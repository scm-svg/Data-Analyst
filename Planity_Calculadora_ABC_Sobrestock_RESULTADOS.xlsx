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1_Instrucciones" sheetId="1" state="visible" r:id="rId1"/>
    <sheet name="2_Parametros" sheetId="2" state="visible" r:id="rId2"/>
    <sheet name="3_Carga_Datos" sheetId="3" state="visible" r:id="rId3"/>
    <sheet name="4_Resultados_SKU" sheetId="4" state="visible" r:id="rId4"/>
    <sheet name="5_Dashboard" sheetId="5" state="visible" r:id="rId5"/>
    <sheet name="6_Diccionari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500ADC"/>
      <sz val="11"/>
    </font>
    <font>
      <name val="Carlito"/>
      <i val="1"/>
      <color rgb="FF1F2937"/>
      <sz val="11"/>
    </font>
  </fonts>
  <fills count="6">
    <fill>
      <patternFill/>
    </fill>
    <fill>
      <patternFill patternType="gray125"/>
    </fill>
    <fill>
      <patternFill patternType="solid">
        <fgColor rgb="FF500ADC"/>
      </patternFill>
    </fill>
    <fill>
      <patternFill patternType="solid">
        <fgColor rgb="FFEEE7FF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wrapText="1"/>
    </xf>
    <xf numFmtId="3" fontId="6" fillId="5" borderId="1" applyAlignment="1" pivotButton="0" quotePrefix="0" xfId="0">
      <alignment horizontal="right" wrapText="1"/>
    </xf>
    <xf numFmtId="165" fontId="6" fillId="5" borderId="1" applyAlignment="1" pivotButton="0" quotePrefix="0" xfId="0">
      <alignment horizontal="right" wrapText="1"/>
    </xf>
    <xf numFmtId="1" fontId="6" fillId="5" borderId="1" applyAlignment="1" pivotButton="0" quotePrefix="0" xfId="0">
      <alignment horizontal="right" wrapText="1"/>
    </xf>
    <xf numFmtId="0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wrapText="1"/>
    </xf>
    <xf numFmtId="3" fontId="0" fillId="0" borderId="1" applyAlignment="1" pivotButton="0" quotePrefix="0" xfId="0">
      <alignment horizontal="center" wrapText="1"/>
    </xf>
    <xf numFmtId="166" fontId="0" fillId="0" borderId="1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2" fillId="3" borderId="8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8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8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dxfs count="8">
    <dxf>
      <font>
        <b val="1"/>
        <color rgb="FF9A3412"/>
      </font>
      <fill>
        <patternFill patternType="solid">
          <bgColor rgb="FFFFEDD5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 val="1"/>
        <color rgb="FF9A3412"/>
      </font>
      <fill>
        <patternFill patternType="solid">
          <bgColor rgb="FFFFEDD5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9C3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s-CL"/>
              <a:t>Venta e inventario por ABC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>
              <a:prstDash val="solid"/>
            </a:ln>
          </spPr>
          <invertIfNegative val="1"/>
          <cat>
            <strRef>
              <f>'5_Dashboard'!$D$5:$D$7</f>
              <strCache>
                <ptCount val="3"/>
                <pt idx="0">
                  <v>A</v>
                </pt>
                <pt idx="1">
                  <v>B</v>
                </pt>
                <pt idx="2">
                  <v>C</v>
                </pt>
              </strCache>
            </strRef>
          </cat>
          <val>
            <numRef>
              <f>'5_Dashboard'!$E$5:$E$7</f>
              <numCache>
                <formatCode>General</formatCode>
                <ptCount val="3"/>
                <pt idx="0">
                  <v>4</v>
                </pt>
                <pt idx="1">
                  <v>4</v>
                </pt>
                <pt idx="2">
                  <v>4</v>
                </pt>
              </numCache>
            </numRef>
          </val>
        </ser>
        <ser>
          <idx val="1"/>
          <order val="1"/>
          <tx>
            <v>Series 2</v>
          </tx>
          <spPr>
            <a:ln>
              <a:prstDash val="solid"/>
            </a:ln>
          </spPr>
          <invertIfNegative val="1"/>
          <cat>
            <strRef>
              <f>'5_Dashboard'!$D$5:$D$7</f>
              <strCache>
                <ptCount val="3"/>
                <pt idx="0">
                  <v>A</v>
                </pt>
                <pt idx="1">
                  <v>B</v>
                </pt>
                <pt idx="2">
                  <v>C</v>
                </pt>
              </strCache>
            </strRef>
          </cat>
          <val>
            <numRef>
              <f>'5_Dashboard'!$F$5:$F$7</f>
              <numCache>
                <formatCode>#,##0</formatCode>
                <ptCount val="3"/>
                <pt idx="0">
                  <v>133500000</v>
                </pt>
                <pt idx="1">
                  <v>40160000</v>
                </pt>
                <pt idx="2">
                  <v>9420000</v>
                </pt>
              </numCache>
            </numRef>
          </val>
        </ser>
        <ser>
          <idx val="2"/>
          <order val="2"/>
          <tx>
            <v>Series 3</v>
          </tx>
          <spPr>
            <a:ln>
              <a:prstDash val="solid"/>
            </a:ln>
          </spPr>
          <invertIfNegative val="1"/>
          <cat>
            <strRef>
              <f>'5_Dashboard'!$D$5:$D$7</f>
              <strCache>
                <ptCount val="3"/>
                <pt idx="0">
                  <v>A</v>
                </pt>
                <pt idx="1">
                  <v>B</v>
                </pt>
                <pt idx="2">
                  <v>C</v>
                </pt>
              </strCache>
            </strRef>
          </cat>
          <val>
            <numRef>
              <f>'5_Dashboard'!$G$5:$G$7</f>
              <numCache>
                <formatCode>#,##0</formatCode>
                <ptCount val="3"/>
                <pt idx="0">
                  <v>12990000</v>
                </pt>
                <pt idx="1">
                  <v>17424000</v>
                </pt>
                <pt idx="2">
                  <v>8300000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s-CL"/>
              <a:t>SKUs por estado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Series 1</v>
          </tx>
          <spPr>
            <a:ln>
              <a:prstDash val="solid"/>
            </a:ln>
          </spPr>
          <invertIfNegative val="1"/>
          <cat>
            <strRef>
              <f>'5_Dashboard'!$J$5:$J$9</f>
              <strCache>
                <ptCount val="5"/>
                <pt idx="0">
                  <v>OK</v>
                </pt>
                <pt idx="1">
                  <v>Riesgo bajo stock</v>
                </pt>
                <pt idx="2">
                  <v>Sobrestock</v>
                </pt>
                <pt idx="3">
                  <v>Sobrestock crítico</v>
                </pt>
                <pt idx="4">
                  <v>Sin rotación</v>
                </pt>
              </strCache>
            </strRef>
          </cat>
          <val>
            <numRef>
              <f>'5_Dashboard'!$K$5:$K$9</f>
              <numCache>
                <formatCode>General</formatCode>
                <ptCount val="5"/>
                <pt idx="0">
                  <v>2</v>
                </pt>
                <pt idx="1">
                  <v>2</v>
                </pt>
                <pt idx="2">
                  <v>0</v>
                </pt>
                <pt idx="3">
                  <v>5</v>
                </pt>
                <pt idx="4">
                  <v>3</v>
                </pt>
              </numCache>
            </numRef>
          </val>
        </ser>
        <ser>
          <idx val="1"/>
          <order val="1"/>
          <tx>
            <v>Series 2</v>
          </tx>
          <spPr>
            <a:ln>
              <a:prstDash val="solid"/>
            </a:ln>
          </spPr>
          <invertIfNegative val="1"/>
          <cat>
            <strRef>
              <f>'5_Dashboard'!$J$5:$J$9</f>
              <strCache>
                <ptCount val="5"/>
                <pt idx="0">
                  <v>OK</v>
                </pt>
                <pt idx="1">
                  <v>Riesgo bajo stock</v>
                </pt>
                <pt idx="2">
                  <v>Sobrestock</v>
                </pt>
                <pt idx="3">
                  <v>Sobrestock crítico</v>
                </pt>
                <pt idx="4">
                  <v>Sin rotación</v>
                </pt>
              </strCache>
            </strRef>
          </cat>
          <val>
            <numRef>
              <f>'5_Dashboard'!$L$5:$L$9</f>
              <numCache>
                <formatCode>#,##0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21461000</v>
                </pt>
                <pt idx="4">
                  <v>4573000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10</row>
      <rowOff>0</rowOff>
    </from>
    <to>
      <col>13</col>
      <colOff>0</colOff>
      <row>25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0</colOff>
      <row>27</row>
      <rowOff>0</rowOff>
    </from>
    <to>
      <col>8</col>
      <colOff>0</colOff>
      <row>43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argaDatosABC" displayName="CargaDatosABC" ref="A3:K203" headerRowCount="1">
  <tableColumns count="11">
    <tableColumn id="1" name="SKU"/>
    <tableColumn id="2" name="Producto"/>
    <tableColumn id="3" name="Categoría"/>
    <tableColumn id="4" name="Venta 12M unidades"/>
    <tableColumn id="5" name="Venta 12M valor"/>
    <tableColumn id="6" name="Margen %"/>
    <tableColumn id="7" name="Stock actual unidades"/>
    <tableColumn id="8" name="Costo unitario"/>
    <tableColumn id="9" name="Venta prom. mensual unidades"/>
    <tableColumn id="10" name="Meses sin venta"/>
    <tableColumn id="11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ABC" displayName="ResultadosABC" ref="A3:R203" headerRowCount="1">
  <tableColumns count="18">
    <tableColumn id="1" name="SKU"/>
    <tableColumn id="2" name="Producto"/>
    <tableColumn id="3" name="Categoría"/>
    <tableColumn id="4" name="Venta 12M valor"/>
    <tableColumn id="5" name="% venta"/>
    <tableColumn id="6" name="% acum. venta"/>
    <tableColumn id="7" name="ABC"/>
    <tableColumn id="8" name="Stock actual"/>
    <tableColumn id="9" name="Costo unitario"/>
    <tableColumn id="10" name="Valor inventario"/>
    <tableColumn id="11" name="Venta prom. mensual"/>
    <tableColumn id="12" name="Cobertura actual meses"/>
    <tableColumn id="13" name="Cobertura objetivo"/>
    <tableColumn id="14" name="Stock objetivo"/>
    <tableColumn id="15" name="Exceso unidades"/>
    <tableColumn id="16" name="Exceso valorizado"/>
    <tableColumn id="17" name="Exceso / inventario"/>
    <tableColumn id="18" name="Estado suger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tabSelected="1" zoomScale="87" zoomScaleNormal="87" workbookViewId="0">
      <selection activeCell="R15" sqref="R15"/>
    </sheetView>
  </sheetViews>
  <sheetFormatPr baseColWidth="10" defaultColWidth="8.6640625" defaultRowHeight="14"/>
  <cols>
    <col width="10.58203125" customWidth="1" style="38" min="1" max="8"/>
  </cols>
  <sheetData>
    <row r="1">
      <c r="A1" s="51" t="n"/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3" t="n"/>
    </row>
    <row r="2" ht="18.65" customHeight="1" s="38">
      <c r="A2" s="54" t="inlineStr">
        <is>
          <t>Planity Tools | Calculadora ABC + Sobrestock</t>
        </is>
      </c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  <c r="K2" s="52" t="n"/>
      <c r="L2" s="53" t="n"/>
    </row>
    <row r="3">
      <c r="A3" s="37" t="n"/>
      <c r="L3" s="39" t="n"/>
    </row>
    <row r="4" ht="17.5" customHeight="1" s="38">
      <c r="A4" s="40" t="inlineStr">
        <is>
          <t>Objetivo de la herramienta</t>
        </is>
      </c>
      <c r="L4" s="39" t="n"/>
    </row>
    <row r="5" ht="32.5" customHeight="1" s="38">
      <c r="A5" s="42" t="inlineStr">
        <is>
          <t>Esta plantilla ayuda a clasificar SKUs por importancia comercial (ABC) y a estimar sobrestock / liquidez inmovilizada.</t>
        </is>
      </c>
      <c r="L5" s="39" t="n"/>
    </row>
    <row r="6" ht="58.5" customHeight="1" s="38">
      <c r="A6" s="42" t="inlineStr">
        <is>
          <t>La herramienta no busca reemplazar un sistema de planificación completo. Sirve para detectar rápidamente dónde se concentra el valor y qué productos pueden estar consumiendo capital innecesario.</t>
        </is>
      </c>
      <c r="L6" s="39" t="n"/>
    </row>
    <row r="7">
      <c r="A7" s="44" t="n"/>
      <c r="B7" s="45" t="n"/>
      <c r="C7" s="45" t="n"/>
      <c r="D7" s="45" t="n"/>
      <c r="E7" s="45" t="n"/>
      <c r="F7" s="45" t="n"/>
      <c r="H7" s="45" t="n"/>
      <c r="L7" s="39" t="n"/>
    </row>
    <row r="8">
      <c r="A8" s="40" t="inlineStr">
        <is>
          <t>Cómo usarla:</t>
        </is>
      </c>
      <c r="L8" s="39" t="n"/>
    </row>
    <row r="9">
      <c r="A9" s="42" t="inlineStr">
        <is>
          <t>1. Revisa y ajusta los parámetros en la hoja 2_Parametros.</t>
        </is>
      </c>
      <c r="L9" s="39" t="n"/>
    </row>
    <row r="10">
      <c r="A10" s="42" t="inlineStr">
        <is>
          <t>2. Reemplaza los datos de ejemplo en 3_Carga_Datos con tus productos.</t>
        </is>
      </c>
      <c r="L10" s="39" t="n"/>
    </row>
    <row r="11">
      <c r="A11" s="42" t="inlineStr">
        <is>
          <t>3. Revisa los resultados por SKU en 4_Resultados_SKU.</t>
        </is>
      </c>
      <c r="L11" s="39" t="n"/>
    </row>
    <row r="12">
      <c r="A12" s="42" t="inlineStr">
        <is>
          <t>4. Usa el dashboard para priorizar acciones comerciales, compras, liquidación o revisión de forecast.</t>
        </is>
      </c>
      <c r="L12" s="39" t="n"/>
    </row>
    <row r="13">
      <c r="A13" s="44" t="n"/>
      <c r="B13" s="45" t="n"/>
      <c r="C13" s="45" t="n"/>
      <c r="D13" s="45" t="n"/>
      <c r="E13" s="45" t="n"/>
      <c r="F13" s="45" t="n"/>
      <c r="G13" s="45" t="n"/>
      <c r="H13" s="45" t="n"/>
      <c r="L13" s="39" t="n"/>
    </row>
    <row r="14" ht="14.5" customHeight="1" s="38">
      <c r="A14" s="46" t="inlineStr">
        <is>
          <t>Tip Planity: el ABC no debería mirarse solo por venta. También conviene cruzarlo con cobertura, rotación, margen, lead time y criticidad operacional.</t>
        </is>
      </c>
      <c r="L14" s="39" t="n"/>
    </row>
    <row r="15">
      <c r="A15" s="37" t="n"/>
      <c r="L15" s="39" t="n"/>
    </row>
    <row r="16">
      <c r="A16" s="48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50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8gNBDdfpeD4IsBQABy2UWw==" formatRows="1" sort="1" spinCount="100000" hashValue="yUekhs6xcLSGqtmjcPUsYfoCDeSQ0Jv1h7MUAXvkhdxF4k0LEMdAQK5yRgh1HyZ2KFIcKC64+yvr8Hgo/Ox9Rw=="/>
  <mergeCells count="10">
    <mergeCell ref="A9:H9"/>
    <mergeCell ref="A4:H4"/>
    <mergeCell ref="A2:L2"/>
    <mergeCell ref="A12:H12"/>
    <mergeCell ref="A10:H10"/>
    <mergeCell ref="A11:H11"/>
    <mergeCell ref="A14:H14"/>
    <mergeCell ref="A5:H5"/>
    <mergeCell ref="A8:H8"/>
    <mergeCell ref="A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8" sqref="E8"/>
    </sheetView>
  </sheetViews>
  <sheetFormatPr baseColWidth="10" defaultColWidth="8.6640625" defaultRowHeight="14"/>
  <cols>
    <col width="38.33203125" customWidth="1" style="12" min="1" max="1"/>
    <col width="16.75" customWidth="1" style="10" min="2" max="2"/>
    <col width="28" customWidth="1" style="12" min="3" max="3"/>
    <col width="8.6640625" customWidth="1" style="12" min="4" max="16384"/>
  </cols>
  <sheetData>
    <row r="1" ht="18.65" customHeight="1" s="38">
      <c r="A1" s="18" t="inlineStr">
        <is>
          <t>Parámetros de clasificación y sobrestock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Unidad / comentario</t>
        </is>
      </c>
    </row>
    <row r="4">
      <c r="A4" s="11" t="inlineStr">
        <is>
          <t>Corte ABC A</t>
        </is>
      </c>
      <c r="B4" s="13" t="n">
        <v>0.8</v>
      </c>
      <c r="C4" s="11" t="inlineStr">
        <is>
          <t>% acumulado de venta hasta A</t>
        </is>
      </c>
    </row>
    <row r="5">
      <c r="A5" s="11" t="inlineStr">
        <is>
          <t>Corte ABC B</t>
        </is>
      </c>
      <c r="B5" s="13" t="n">
        <v>0.95</v>
      </c>
      <c r="C5" s="11" t="inlineStr">
        <is>
          <t>% acumulado de venta hasta B</t>
        </is>
      </c>
    </row>
    <row r="6">
      <c r="A6" s="11" t="inlineStr">
        <is>
          <t>Cobertura objetivo A</t>
        </is>
      </c>
      <c r="B6" s="9" t="n">
        <v>2</v>
      </c>
      <c r="C6" s="11" t="inlineStr">
        <is>
          <t>meses</t>
        </is>
      </c>
    </row>
    <row r="7">
      <c r="A7" s="11" t="inlineStr">
        <is>
          <t>Cobertura objetivo B</t>
        </is>
      </c>
      <c r="B7" s="9" t="n">
        <v>3</v>
      </c>
      <c r="C7" s="11" t="inlineStr">
        <is>
          <t>meses</t>
        </is>
      </c>
    </row>
    <row r="8">
      <c r="A8" s="11" t="inlineStr">
        <is>
          <t>Cobertura objetivo C</t>
        </is>
      </c>
      <c r="B8" s="9" t="n">
        <v>4</v>
      </c>
      <c r="C8" s="11" t="inlineStr">
        <is>
          <t>meses</t>
        </is>
      </c>
    </row>
    <row r="9">
      <c r="A9" s="11" t="inlineStr">
        <is>
          <t>Umbral baja rotación</t>
        </is>
      </c>
      <c r="B9" s="9" t="n">
        <v>3</v>
      </c>
      <c r="C9" s="11" t="inlineStr">
        <is>
          <t>meses sin venta</t>
        </is>
      </c>
    </row>
    <row r="10">
      <c r="A10" s="11" t="inlineStr">
        <is>
          <t>Umbral sin rotación</t>
        </is>
      </c>
      <c r="B10" s="9" t="n">
        <v>6</v>
      </c>
      <c r="C10" s="11" t="inlineStr">
        <is>
          <t>meses sin venta</t>
        </is>
      </c>
    </row>
    <row r="11">
      <c r="A11" s="11" t="inlineStr">
        <is>
          <t>Umbral sobrestock crítico</t>
        </is>
      </c>
      <c r="B11" s="13" t="n">
        <v>0.3</v>
      </c>
      <c r="C11" s="11" t="inlineStr">
        <is>
          <t>exceso / valor inventario</t>
        </is>
      </c>
    </row>
    <row r="12">
      <c r="A12" s="11" t="inlineStr">
        <is>
          <t>Moneda</t>
        </is>
      </c>
      <c r="B12" s="9" t="inlineStr">
        <is>
          <t>USD</t>
        </is>
      </c>
      <c r="C12" s="11" t="inlineStr">
        <is>
          <t>solo referencia visual</t>
        </is>
      </c>
    </row>
    <row r="14">
      <c r="A14" s="41" t="inlineStr">
        <is>
          <t>Notas</t>
        </is>
      </c>
    </row>
    <row r="15" ht="26.5" customFormat="1" customHeight="1" s="10">
      <c r="A15" s="17" t="inlineStr">
        <is>
          <t>• ABC se calcula por participación acumulada de venta valorizada 12 meses.</t>
        </is>
      </c>
      <c r="D15" s="9" t="n"/>
      <c r="E15" s="9" t="n"/>
      <c r="F15" s="9" t="n"/>
    </row>
    <row r="16" ht="32.5" customFormat="1" customHeight="1" s="10">
      <c r="A16" s="17" t="inlineStr">
        <is>
          <t>• Sobrestock se estima comparando stock actual contra cobertura objetivo según clase ABC.</t>
        </is>
      </c>
      <c r="D16" s="9" t="n"/>
      <c r="E16" s="9" t="n"/>
      <c r="F16" s="9" t="n"/>
    </row>
    <row r="17" ht="32.5" customFormat="1" customHeight="1" s="10">
      <c r="A17" s="17" t="inlineStr">
        <is>
          <t>• Si un SKU no tiene venta promedio y supera el umbral de sin rotación, la herramienta considera todo su stock como exceso potencial.</t>
        </is>
      </c>
      <c r="D17" s="9" t="n"/>
      <c r="E17" s="9" t="n"/>
      <c r="F17" s="9" t="n"/>
    </row>
    <row r="18" ht="32.5" customFormat="1" customHeight="1" s="10">
      <c r="A18" s="17" t="inlineStr">
        <is>
          <t>• Los resultados son una estimación inicial. Para decisiones finales conviene revisar lead time, MOQ, estacionalidad, promociones y criticidad del SKU.</t>
        </is>
      </c>
      <c r="D18" s="9" t="n"/>
      <c r="E18" s="9" t="n"/>
      <c r="F18" s="9" t="n"/>
    </row>
  </sheetData>
  <mergeCells count="6">
    <mergeCell ref="A1:F1"/>
    <mergeCell ref="A14:C14"/>
    <mergeCell ref="A17:C17"/>
    <mergeCell ref="A18:C18"/>
    <mergeCell ref="A15:C15"/>
    <mergeCell ref="A16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68"/>
  <sheetViews>
    <sheetView workbookViewId="0">
      <selection activeCell="E6" sqref="E6"/>
    </sheetView>
  </sheetViews>
  <sheetFormatPr baseColWidth="10" defaultColWidth="8.6640625" defaultRowHeight="14"/>
  <cols>
    <col width="14" customWidth="1" style="38" min="1" max="1"/>
    <col width="28" customWidth="1" style="38" min="2" max="2"/>
    <col width="18" customWidth="1" style="38" min="3" max="3"/>
    <col width="16" customWidth="1" style="38" min="4" max="4"/>
    <col width="18" customWidth="1" style="38" min="5" max="5"/>
    <col width="12" customWidth="1" style="38" min="6" max="6"/>
    <col width="18" customWidth="1" style="38" min="7" max="7"/>
    <col width="14" customWidth="1" style="38" min="8" max="8"/>
    <col width="16.6640625" customWidth="1" style="38" min="9" max="9"/>
    <col width="14" customWidth="1" style="38" min="10" max="10"/>
    <col width="28" customWidth="1" style="38" min="11" max="11"/>
  </cols>
  <sheetData>
    <row r="1" ht="18.65" customHeight="1" s="38">
      <c r="A1" s="16" t="inlineStr">
        <is>
          <t>Carga de datos por SKU</t>
        </is>
      </c>
    </row>
    <row r="3" ht="28" customHeight="1" s="38">
      <c r="A3" s="2" t="inlineStr">
        <is>
          <t>SKU</t>
        </is>
      </c>
      <c r="B3" s="2" t="inlineStr">
        <is>
          <t>Producto</t>
        </is>
      </c>
      <c r="C3" s="2" t="inlineStr">
        <is>
          <t>Categoría</t>
        </is>
      </c>
      <c r="D3" s="2" t="inlineStr">
        <is>
          <t>Venta 12M unidades</t>
        </is>
      </c>
      <c r="E3" s="2" t="inlineStr">
        <is>
          <t>Venta 12M valor</t>
        </is>
      </c>
      <c r="F3" s="2" t="inlineStr">
        <is>
          <t>Margen %</t>
        </is>
      </c>
      <c r="G3" s="2" t="inlineStr">
        <is>
          <t>Stock actual unidades</t>
        </is>
      </c>
      <c r="H3" s="2" t="inlineStr">
        <is>
          <t>Costo unitario</t>
        </is>
      </c>
      <c r="I3" s="2" t="inlineStr">
        <is>
          <t>Venta prom. mensual unidades</t>
        </is>
      </c>
      <c r="J3" s="2" t="inlineStr">
        <is>
          <t>Meses sin venta</t>
        </is>
      </c>
      <c r="K3" s="2" t="inlineStr">
        <is>
          <t>Observación</t>
        </is>
      </c>
    </row>
    <row r="4">
      <c r="A4" s="1" t="inlineStr">
        <is>
          <t>TRA12TB</t>
        </is>
      </c>
      <c r="B4" s="1" t="inlineStr">
        <is>
          <t>TRAVEL BACKPACK</t>
        </is>
      </c>
      <c r="C4" s="1" t="inlineStr">
        <is>
          <t>Equipamiento / Bolsos</t>
        </is>
      </c>
      <c r="D4" s="5" t="n">
        <v>1085</v>
      </c>
      <c r="E4" s="5" t="n">
        <v>48726.28582968</v>
      </c>
      <c r="F4" s="4" t="n">
        <v>0.6382865794721518</v>
      </c>
      <c r="G4" s="6" t="n">
        <v>1500</v>
      </c>
      <c r="H4" s="6" t="n">
        <v>20.7</v>
      </c>
      <c r="I4" s="6" t="n">
        <v>108.5</v>
      </c>
      <c r="J4" s="7" t="n">
        <v>5</v>
      </c>
      <c r="K4" s="1" t="inlineStr"/>
    </row>
    <row r="5">
      <c r="A5" s="1" t="inlineStr">
        <is>
          <t>TRA43TB</t>
        </is>
      </c>
      <c r="B5" s="1" t="inlineStr">
        <is>
          <t>TRAVEL BACKPACK</t>
        </is>
      </c>
      <c r="C5" s="1" t="inlineStr">
        <is>
          <t>Equipamiento / Bolsos</t>
        </is>
      </c>
      <c r="D5" s="5" t="n">
        <v>893</v>
      </c>
      <c r="E5" s="5" t="n">
        <v>40876.06238313</v>
      </c>
      <c r="F5" s="4" t="n">
        <v>0.6421576566954545</v>
      </c>
      <c r="G5" s="6" t="n">
        <v>1600</v>
      </c>
      <c r="H5" s="6" t="n">
        <v>20.7</v>
      </c>
      <c r="I5" s="6" t="n">
        <v>89.3</v>
      </c>
      <c r="J5" s="7" t="n">
        <v>4</v>
      </c>
      <c r="K5" s="1" t="inlineStr"/>
    </row>
    <row r="6">
      <c r="A6" s="1" t="inlineStr">
        <is>
          <t>TRA66TB</t>
        </is>
      </c>
      <c r="B6" s="1" t="inlineStr">
        <is>
          <t>TRAVEL BACKPACK</t>
        </is>
      </c>
      <c r="C6" s="1" t="inlineStr">
        <is>
          <t>Equipamiento / Bolsos</t>
        </is>
      </c>
      <c r="D6" s="5" t="n">
        <v>513</v>
      </c>
      <c r="E6" s="5" t="n">
        <v>33969.89774768805</v>
      </c>
      <c r="F6" s="4" t="n">
        <v>0.6766356868733198</v>
      </c>
      <c r="G6" s="6" t="n">
        <v>74</v>
      </c>
      <c r="H6" s="6" t="n">
        <v>20.7</v>
      </c>
      <c r="I6" s="6" t="n">
        <v>51.3</v>
      </c>
      <c r="J6" s="7" t="n">
        <v>0</v>
      </c>
      <c r="K6" s="1" t="inlineStr"/>
    </row>
    <row r="7">
      <c r="A7" s="1" t="inlineStr">
        <is>
          <t>TRA30TB</t>
        </is>
      </c>
      <c r="B7" s="1" t="inlineStr">
        <is>
          <t>TRAVEL BACKPACK</t>
        </is>
      </c>
      <c r="C7" s="1" t="inlineStr">
        <is>
          <t>Equipamiento / Bolsos</t>
        </is>
      </c>
      <c r="D7" s="5" t="n">
        <v>552</v>
      </c>
      <c r="E7" s="5" t="n">
        <v>32832.31545751</v>
      </c>
      <c r="F7" s="4" t="n">
        <v>0.694937180315625</v>
      </c>
      <c r="G7" s="6" t="n">
        <v>0</v>
      </c>
      <c r="H7" s="6" t="n">
        <v>20.7</v>
      </c>
      <c r="I7" s="6" t="n">
        <v>55.2</v>
      </c>
      <c r="J7" s="7" t="n">
        <v>2</v>
      </c>
      <c r="K7" s="1" t="inlineStr">
        <is>
          <t>Sin stock</t>
        </is>
      </c>
    </row>
    <row r="8">
      <c r="A8" s="1" t="inlineStr">
        <is>
          <t>DRY1630L</t>
        </is>
      </c>
      <c r="B8" s="1" t="inlineStr">
        <is>
          <t>DRY BAG 30L</t>
        </is>
      </c>
      <c r="C8" s="1" t="inlineStr">
        <is>
          <t>Equipamiento / Bolsos</t>
        </is>
      </c>
      <c r="D8" s="5" t="n">
        <v>535</v>
      </c>
      <c r="E8" s="5" t="n">
        <v>30028.47764155</v>
      </c>
      <c r="F8" s="4" t="n">
        <v>0.8853092169493589</v>
      </c>
      <c r="G8" s="6" t="n">
        <v>26</v>
      </c>
      <c r="H8" s="6" t="n">
        <v>6.32</v>
      </c>
      <c r="I8" s="6" t="n">
        <v>53.5</v>
      </c>
      <c r="J8" s="7" t="n">
        <v>0</v>
      </c>
      <c r="K8" s="1" t="inlineStr"/>
    </row>
    <row r="9">
      <c r="A9" s="1" t="inlineStr">
        <is>
          <t>TOT4320L</t>
        </is>
      </c>
      <c r="B9" s="1" t="inlineStr">
        <is>
          <t>TOTE BAG</t>
        </is>
      </c>
      <c r="C9" s="1" t="inlineStr">
        <is>
          <t>Equipamiento / Bolsos</t>
        </is>
      </c>
      <c r="D9" s="5" t="n">
        <v>541</v>
      </c>
      <c r="E9" s="5" t="n">
        <v>26358.65101341</v>
      </c>
      <c r="F9" s="4" t="n">
        <v>0.769174136813245</v>
      </c>
      <c r="G9" s="6" t="n">
        <v>27</v>
      </c>
      <c r="H9" s="6" t="n">
        <v>11.95</v>
      </c>
      <c r="I9" s="6" t="n">
        <v>54.1</v>
      </c>
      <c r="J9" s="7" t="n">
        <v>0</v>
      </c>
      <c r="K9" s="1" t="inlineStr"/>
    </row>
    <row r="10">
      <c r="A10" s="1" t="inlineStr">
        <is>
          <t>TOA138ES</t>
        </is>
      </c>
      <c r="B10" s="1" t="inlineStr">
        <is>
          <t>TOALLA ESTAMPADA</t>
        </is>
      </c>
      <c r="C10" s="1" t="inlineStr">
        <is>
          <t>Equipamiento / Toallas</t>
        </is>
      </c>
      <c r="D10" s="5" t="n">
        <v>721</v>
      </c>
      <c r="E10" s="5" t="n">
        <v>26248.81962336</v>
      </c>
      <c r="F10" s="4" t="n">
        <v>0.821399159517878</v>
      </c>
      <c r="G10" s="6" t="n">
        <v>0</v>
      </c>
      <c r="H10" s="6" t="n">
        <v>6.29</v>
      </c>
      <c r="I10" s="6" t="n">
        <v>72.09999999999999</v>
      </c>
      <c r="J10" s="7" t="n">
        <v>1</v>
      </c>
      <c r="K10" s="1" t="inlineStr">
        <is>
          <t>Sin stock</t>
        </is>
      </c>
    </row>
    <row r="11">
      <c r="A11" s="1" t="inlineStr">
        <is>
          <t>TOA139ES</t>
        </is>
      </c>
      <c r="B11" s="1" t="inlineStr">
        <is>
          <t>TOALLA ESTAMPADA</t>
        </is>
      </c>
      <c r="C11" s="1" t="inlineStr">
        <is>
          <t>Equipamiento / Toallas</t>
        </is>
      </c>
      <c r="D11" s="5" t="n">
        <v>690</v>
      </c>
      <c r="E11" s="5" t="n">
        <v>25544.18245853</v>
      </c>
      <c r="F11" s="4" t="n">
        <v>0.8276805250855623</v>
      </c>
      <c r="G11" s="6" t="n">
        <v>94</v>
      </c>
      <c r="H11" s="6" t="n">
        <v>6.290000000000001</v>
      </c>
      <c r="I11" s="6" t="n">
        <v>69</v>
      </c>
      <c r="J11" s="7" t="n">
        <v>0</v>
      </c>
      <c r="K11" s="1" t="inlineStr"/>
    </row>
    <row r="12">
      <c r="A12" s="1" t="inlineStr">
        <is>
          <t>DRY6630L</t>
        </is>
      </c>
      <c r="B12" s="1" t="inlineStr">
        <is>
          <t>DRY BAG 30L</t>
        </is>
      </c>
      <c r="C12" s="1" t="inlineStr">
        <is>
          <t>Equipamiento / Bolsos</t>
        </is>
      </c>
      <c r="D12" s="5" t="n">
        <v>427</v>
      </c>
      <c r="E12" s="5" t="n">
        <v>23390.39957261</v>
      </c>
      <c r="F12" s="4" t="n">
        <v>0.8862681260019023</v>
      </c>
      <c r="G12" s="6" t="n">
        <v>514</v>
      </c>
      <c r="H12" s="6" t="n">
        <v>6.32</v>
      </c>
      <c r="I12" s="6" t="n">
        <v>42.7</v>
      </c>
      <c r="J12" s="7" t="n">
        <v>0</v>
      </c>
      <c r="K12" s="1" t="inlineStr"/>
    </row>
    <row r="13">
      <c r="A13" s="1" t="inlineStr">
        <is>
          <t>JAPCA43TL</t>
        </is>
      </c>
      <c r="B13" s="1" t="inlineStr">
        <is>
          <t>CUADRO JACKET 2.0 CAB</t>
        </is>
      </c>
      <c r="C13" s="1" t="inlineStr">
        <is>
          <t>Equipamiento / Ropa</t>
        </is>
      </c>
      <c r="D13" s="5" t="n">
        <v>294</v>
      </c>
      <c r="E13" s="5" t="n">
        <v>23243.16357076257</v>
      </c>
      <c r="F13" s="4" t="n">
        <v>0.7446666622894309</v>
      </c>
      <c r="G13" s="6" t="n">
        <v>329</v>
      </c>
      <c r="H13" s="6" t="n">
        <v>20.25000225</v>
      </c>
      <c r="I13" s="6" t="n">
        <v>29.4</v>
      </c>
      <c r="J13" s="7" t="n">
        <v>0</v>
      </c>
      <c r="K13" s="1" t="inlineStr"/>
    </row>
    <row r="14">
      <c r="A14" s="1" t="inlineStr">
        <is>
          <t>TOA140ES</t>
        </is>
      </c>
      <c r="B14" s="1" t="inlineStr">
        <is>
          <t>TOALLA ESTAMPADA</t>
        </is>
      </c>
      <c r="C14" s="1" t="inlineStr">
        <is>
          <t>Equipamiento / Toallas</t>
        </is>
      </c>
      <c r="D14" s="5" t="n">
        <v>666</v>
      </c>
      <c r="E14" s="5" t="n">
        <v>23239.08451871</v>
      </c>
      <c r="F14" s="4" t="n">
        <v>0.8214391356081456</v>
      </c>
      <c r="G14" s="6" t="n">
        <v>0</v>
      </c>
      <c r="H14" s="6" t="n">
        <v>6.29</v>
      </c>
      <c r="I14" s="6" t="n">
        <v>66.59999999999999</v>
      </c>
      <c r="J14" s="7" t="n">
        <v>0</v>
      </c>
      <c r="K14" s="1" t="inlineStr">
        <is>
          <t>Sin stock</t>
        </is>
      </c>
    </row>
    <row r="15">
      <c r="A15" s="1" t="inlineStr">
        <is>
          <t>JAPCA43TM</t>
        </is>
      </c>
      <c r="B15" s="1" t="inlineStr">
        <is>
          <t>CUADRO JACKET 2.0 CAB</t>
        </is>
      </c>
      <c r="C15" s="1" t="inlineStr">
        <is>
          <t>Equipamiento / Ropa</t>
        </is>
      </c>
      <c r="D15" s="5" t="n">
        <v>283</v>
      </c>
      <c r="E15" s="5" t="n">
        <v>21903.11530136143</v>
      </c>
      <c r="F15" s="4" t="n">
        <v>0.7466702238348547</v>
      </c>
      <c r="G15" s="6" t="n">
        <v>470</v>
      </c>
      <c r="H15" s="6" t="n">
        <v>20.25000225</v>
      </c>
      <c r="I15" s="6" t="n">
        <v>28.3</v>
      </c>
      <c r="J15" s="7" t="n">
        <v>0</v>
      </c>
      <c r="K15" s="1" t="inlineStr"/>
    </row>
    <row r="16">
      <c r="A16" s="1" t="inlineStr">
        <is>
          <t>TOA125ES</t>
        </is>
      </c>
      <c r="B16" s="1" t="inlineStr">
        <is>
          <t>TOALLA ESTAMPADA</t>
        </is>
      </c>
      <c r="C16" s="1" t="inlineStr">
        <is>
          <t>Equipamiento / Toallas</t>
        </is>
      </c>
      <c r="D16" s="5" t="n">
        <v>590</v>
      </c>
      <c r="E16" s="5" t="n">
        <v>21647.92723672</v>
      </c>
      <c r="F16" s="4" t="n">
        <v>0.8229200266369747</v>
      </c>
      <c r="G16" s="6" t="n">
        <v>20</v>
      </c>
      <c r="H16" s="6" t="n">
        <v>6.29</v>
      </c>
      <c r="I16" s="6" t="n">
        <v>59</v>
      </c>
      <c r="J16" s="7" t="n">
        <v>0</v>
      </c>
      <c r="K16" s="1" t="inlineStr"/>
    </row>
    <row r="17">
      <c r="A17" s="1" t="inlineStr">
        <is>
          <t>DRY3030L</t>
        </is>
      </c>
      <c r="B17" s="1" t="inlineStr">
        <is>
          <t>DRY BAG 30L</t>
        </is>
      </c>
      <c r="C17" s="1" t="inlineStr">
        <is>
          <t>Equipamiento / Bolsos</t>
        </is>
      </c>
      <c r="D17" s="5" t="n">
        <v>382</v>
      </c>
      <c r="E17" s="5" t="n">
        <v>21269.43517987643</v>
      </c>
      <c r="F17" s="4" t="n">
        <v>0.8852277870730263</v>
      </c>
      <c r="G17" s="6" t="n">
        <v>23</v>
      </c>
      <c r="H17" s="6" t="n">
        <v>6.32</v>
      </c>
      <c r="I17" s="6" t="n">
        <v>38.2</v>
      </c>
      <c r="J17" s="7" t="n">
        <v>0</v>
      </c>
      <c r="K17" s="1" t="inlineStr"/>
    </row>
    <row r="18">
      <c r="A18" s="1" t="inlineStr">
        <is>
          <t>PAC30EQ</t>
        </is>
      </c>
      <c r="B18" s="1" t="inlineStr">
        <is>
          <t>PACKING SET</t>
        </is>
      </c>
      <c r="C18" s="1" t="inlineStr">
        <is>
          <t>Equipamiento / Bolsos</t>
        </is>
      </c>
      <c r="D18" s="5" t="n">
        <v>1026</v>
      </c>
      <c r="E18" s="5" t="n">
        <v>20642.76793358</v>
      </c>
      <c r="F18" s="4" t="n">
        <v>0.5887064164643678</v>
      </c>
      <c r="G18" s="6" t="n">
        <v>0</v>
      </c>
      <c r="H18" s="6" t="n">
        <v>10.16</v>
      </c>
      <c r="I18" s="6" t="n">
        <v>102.6</v>
      </c>
      <c r="J18" s="7" t="n">
        <v>7</v>
      </c>
      <c r="K18" s="1" t="inlineStr">
        <is>
          <t>Sin stock</t>
        </is>
      </c>
    </row>
    <row r="19">
      <c r="A19" s="1" t="inlineStr">
        <is>
          <t>TOA12PL</t>
        </is>
      </c>
      <c r="B19" s="1" t="inlineStr">
        <is>
          <t>TOALLA PLAYA</t>
        </is>
      </c>
      <c r="C19" s="1" t="inlineStr">
        <is>
          <t>Equipamiento / Toallas</t>
        </is>
      </c>
      <c r="D19" s="5" t="n">
        <v>605</v>
      </c>
      <c r="E19" s="5" t="n">
        <v>20093.693056</v>
      </c>
      <c r="F19" s="4" t="n">
        <v>0.8461418341212418</v>
      </c>
      <c r="G19" s="6" t="n">
        <v>87</v>
      </c>
      <c r="H19" s="6" t="n">
        <v>4.83</v>
      </c>
      <c r="I19" s="6" t="n">
        <v>60.5</v>
      </c>
      <c r="J19" s="7" t="n">
        <v>0</v>
      </c>
      <c r="K19" s="1" t="inlineStr"/>
    </row>
    <row r="20">
      <c r="A20" s="1" t="inlineStr">
        <is>
          <t>TOT6620L</t>
        </is>
      </c>
      <c r="B20" s="1" t="inlineStr">
        <is>
          <t>TOTE BAG</t>
        </is>
      </c>
      <c r="C20" s="1" t="inlineStr">
        <is>
          <t>Equipamiento / Bolsos</t>
        </is>
      </c>
      <c r="D20" s="5" t="n">
        <v>387</v>
      </c>
      <c r="E20" s="5" t="n">
        <v>19061.95373265</v>
      </c>
      <c r="F20" s="4" t="n">
        <v>0.7646191303453531</v>
      </c>
      <c r="G20" s="6" t="n">
        <v>15</v>
      </c>
      <c r="H20" s="6" t="n">
        <v>11.95</v>
      </c>
      <c r="I20" s="6" t="n">
        <v>38.7</v>
      </c>
      <c r="J20" s="7" t="n">
        <v>0</v>
      </c>
      <c r="K20" s="1" t="inlineStr"/>
    </row>
    <row r="21">
      <c r="A21" s="1" t="inlineStr">
        <is>
          <t>TRA4340L</t>
        </is>
      </c>
      <c r="B21" s="1" t="inlineStr">
        <is>
          <t>TRAVEL BAG 40L</t>
        </is>
      </c>
      <c r="C21" s="1" t="inlineStr">
        <is>
          <t>Equipamiento / Bolsos</t>
        </is>
      </c>
      <c r="D21" s="5" t="n">
        <v>300</v>
      </c>
      <c r="E21" s="5" t="n">
        <v>19034.92595678</v>
      </c>
      <c r="F21" s="4" t="n">
        <v>0.6955180833611571</v>
      </c>
      <c r="G21" s="6" t="n">
        <v>451</v>
      </c>
      <c r="H21" s="6" t="n">
        <v>18.38</v>
      </c>
      <c r="I21" s="6" t="n">
        <v>30</v>
      </c>
      <c r="J21" s="7" t="n">
        <v>0</v>
      </c>
      <c r="K21" s="1" t="inlineStr"/>
    </row>
    <row r="22">
      <c r="A22" s="1" t="inlineStr">
        <is>
          <t>DRY4330L</t>
        </is>
      </c>
      <c r="B22" s="1" t="inlineStr">
        <is>
          <t>DRY BAG 30L</t>
        </is>
      </c>
      <c r="C22" s="1" t="inlineStr">
        <is>
          <t>Equipamiento / Bolsos</t>
        </is>
      </c>
      <c r="D22" s="5" t="n">
        <v>356</v>
      </c>
      <c r="E22" s="5" t="n">
        <v>19017.60078312</v>
      </c>
      <c r="F22" s="4" t="n">
        <v>0.8797740007079511</v>
      </c>
      <c r="G22" s="6" t="n">
        <v>801</v>
      </c>
      <c r="H22" s="6" t="n">
        <v>6.319999999999999</v>
      </c>
      <c r="I22" s="6" t="n">
        <v>35.6</v>
      </c>
      <c r="J22" s="7" t="n">
        <v>2</v>
      </c>
      <c r="K22" s="1" t="inlineStr"/>
    </row>
    <row r="23">
      <c r="A23" s="1" t="inlineStr">
        <is>
          <t>DRY1330L</t>
        </is>
      </c>
      <c r="B23" s="1" t="inlineStr">
        <is>
          <t>DRY BAG 30L</t>
        </is>
      </c>
      <c r="C23" s="1" t="inlineStr">
        <is>
          <t>Equipamiento / Bolsos</t>
        </is>
      </c>
      <c r="D23" s="5" t="n">
        <v>338</v>
      </c>
      <c r="E23" s="5" t="n">
        <v>18350.04990226</v>
      </c>
      <c r="F23" s="4" t="n">
        <v>0.885070779259893</v>
      </c>
      <c r="G23" s="6" t="n">
        <v>469</v>
      </c>
      <c r="H23" s="6" t="n">
        <v>6.319999999999999</v>
      </c>
      <c r="I23" s="6" t="n">
        <v>33.8</v>
      </c>
      <c r="J23" s="7" t="n">
        <v>0</v>
      </c>
      <c r="K23" s="1" t="inlineStr"/>
    </row>
    <row r="24">
      <c r="A24" s="1" t="inlineStr">
        <is>
          <t>DRY2030L</t>
        </is>
      </c>
      <c r="B24" s="1" t="inlineStr">
        <is>
          <t>DRY BAG 30L</t>
        </is>
      </c>
      <c r="C24" s="1" t="inlineStr">
        <is>
          <t>Equipamiento / Bolsos</t>
        </is>
      </c>
      <c r="D24" s="5" t="n">
        <v>322</v>
      </c>
      <c r="E24" s="5" t="n">
        <v>18188.53113325</v>
      </c>
      <c r="F24" s="4" t="n">
        <v>0.8847909345793751</v>
      </c>
      <c r="G24" s="6" t="n">
        <v>0</v>
      </c>
      <c r="H24" s="6" t="n">
        <v>6.32</v>
      </c>
      <c r="I24" s="6" t="n">
        <v>32.2</v>
      </c>
      <c r="J24" s="7" t="n">
        <v>0</v>
      </c>
      <c r="K24" s="1" t="inlineStr">
        <is>
          <t>Sin stock</t>
        </is>
      </c>
    </row>
    <row r="25">
      <c r="A25" s="1" t="inlineStr">
        <is>
          <t>TOA197ES</t>
        </is>
      </c>
      <c r="B25" s="1" t="inlineStr">
        <is>
          <t>TOALLA ESTAMPADA 2.0</t>
        </is>
      </c>
      <c r="C25" s="1" t="inlineStr">
        <is>
          <t>Equipamiento / Toallas</t>
        </is>
      </c>
      <c r="D25" s="5" t="n">
        <v>401</v>
      </c>
      <c r="E25" s="5" t="n">
        <v>18157.3983921</v>
      </c>
      <c r="F25" s="4" t="n">
        <v>0.8702254835397906</v>
      </c>
      <c r="G25" s="6" t="n">
        <v>278</v>
      </c>
      <c r="H25" s="6" t="n">
        <v>5.92</v>
      </c>
      <c r="I25" s="6" t="n">
        <v>40.1</v>
      </c>
      <c r="J25" s="7" t="n">
        <v>0</v>
      </c>
      <c r="K25" s="1" t="inlineStr"/>
    </row>
    <row r="26">
      <c r="A26" s="1" t="inlineStr">
        <is>
          <t>PAP43EQ</t>
        </is>
      </c>
      <c r="B26" s="1" t="inlineStr">
        <is>
          <t>PACKING SET PRO</t>
        </is>
      </c>
      <c r="C26" s="1" t="inlineStr">
        <is>
          <t>Equipamiento / Bolsos</t>
        </is>
      </c>
      <c r="D26" s="5" t="n">
        <v>484</v>
      </c>
      <c r="E26" s="5" t="n">
        <v>16928.16027299</v>
      </c>
      <c r="F26" s="4" t="n">
        <v>0.6751055812819844</v>
      </c>
      <c r="G26" s="6" t="n">
        <v>1007</v>
      </c>
      <c r="H26" s="6" t="n">
        <v>11.32</v>
      </c>
      <c r="I26" s="6" t="n">
        <v>48.4</v>
      </c>
      <c r="J26" s="7" t="n">
        <v>0</v>
      </c>
      <c r="K26" s="1" t="inlineStr"/>
    </row>
    <row r="27">
      <c r="A27" s="1" t="inlineStr">
        <is>
          <t>HAT43EQ</t>
        </is>
      </c>
      <c r="B27" s="1" t="inlineStr">
        <is>
          <t>HAT</t>
        </is>
      </c>
      <c r="C27" s="1" t="inlineStr">
        <is>
          <t>Equipamiento / Sombreros</t>
        </is>
      </c>
      <c r="D27" s="5" t="n">
        <v>590</v>
      </c>
      <c r="E27" s="5" t="n">
        <v>16854.52908925</v>
      </c>
      <c r="F27" s="4" t="n">
        <v>0.8741951830110749</v>
      </c>
      <c r="G27" s="6" t="n">
        <v>450</v>
      </c>
      <c r="H27" s="6" t="n">
        <v>3.96</v>
      </c>
      <c r="I27" s="6" t="n">
        <v>59</v>
      </c>
      <c r="J27" s="7" t="n">
        <v>2</v>
      </c>
      <c r="K27" s="1" t="inlineStr"/>
    </row>
    <row r="28">
      <c r="A28" s="1" t="inlineStr">
        <is>
          <t>KOA43KA</t>
        </is>
      </c>
      <c r="B28" s="1" t="inlineStr">
        <is>
          <t>MINI BAG</t>
        </is>
      </c>
      <c r="C28" s="1" t="inlineStr">
        <is>
          <t>Equipamiento / Bolsos</t>
        </is>
      </c>
      <c r="D28" s="5" t="n">
        <v>427</v>
      </c>
      <c r="E28" s="5" t="n">
        <v>16527.67033869</v>
      </c>
      <c r="F28" s="4" t="n">
        <v>0.8400787251786632</v>
      </c>
      <c r="G28" s="6" t="n">
        <v>101</v>
      </c>
      <c r="H28" s="6" t="n">
        <v>6.33</v>
      </c>
      <c r="I28" s="6" t="n">
        <v>42.7</v>
      </c>
      <c r="J28" s="7" t="n">
        <v>0</v>
      </c>
      <c r="K28" s="1" t="inlineStr"/>
    </row>
    <row r="29">
      <c r="A29" s="1" t="inlineStr">
        <is>
          <t>HAT33EQ</t>
        </is>
      </c>
      <c r="B29" s="1" t="inlineStr">
        <is>
          <t>HAT</t>
        </is>
      </c>
      <c r="C29" s="1" t="inlineStr">
        <is>
          <t>Equipamiento / Sombreros</t>
        </is>
      </c>
      <c r="D29" s="5" t="n">
        <v>592</v>
      </c>
      <c r="E29" s="5" t="n">
        <v>16298.0986509</v>
      </c>
      <c r="F29" s="4" t="n">
        <v>0.8732068853691803</v>
      </c>
      <c r="G29" s="6" t="n">
        <v>459</v>
      </c>
      <c r="H29" s="6" t="n">
        <v>3.96</v>
      </c>
      <c r="I29" s="6" t="n">
        <v>59.2</v>
      </c>
      <c r="J29" s="7" t="n">
        <v>0</v>
      </c>
      <c r="K29" s="1" t="inlineStr"/>
    </row>
    <row r="30">
      <c r="A30" s="1" t="inlineStr">
        <is>
          <t>TOT3020L</t>
        </is>
      </c>
      <c r="B30" s="1" t="inlineStr">
        <is>
          <t>TOTE BAG</t>
        </is>
      </c>
      <c r="C30" s="1" t="inlineStr">
        <is>
          <t>Equipamiento / Bolsos</t>
        </is>
      </c>
      <c r="D30" s="5" t="n">
        <v>334</v>
      </c>
      <c r="E30" s="5" t="n">
        <v>16164.88211311</v>
      </c>
      <c r="F30" s="4" t="n">
        <v>0.7719775256190476</v>
      </c>
      <c r="G30" s="6" t="n">
        <v>2</v>
      </c>
      <c r="H30" s="6" t="n">
        <v>11.95</v>
      </c>
      <c r="I30" s="6" t="n">
        <v>33.4</v>
      </c>
      <c r="J30" s="7" t="n">
        <v>1</v>
      </c>
      <c r="K30" s="1" t="inlineStr"/>
    </row>
    <row r="31">
      <c r="A31" s="1" t="inlineStr">
        <is>
          <t>TOA137ES</t>
        </is>
      </c>
      <c r="B31" s="1" t="inlineStr">
        <is>
          <t>TOALLA ESTAMPADA</t>
        </is>
      </c>
      <c r="C31" s="1" t="inlineStr">
        <is>
          <t>Equipamiento / Toallas</t>
        </is>
      </c>
      <c r="D31" s="5" t="n">
        <v>424</v>
      </c>
      <c r="E31" s="5" t="n">
        <v>15149.30348787</v>
      </c>
      <c r="F31" s="4" t="n">
        <v>0.8211373560550239</v>
      </c>
      <c r="G31" s="6" t="n">
        <v>565</v>
      </c>
      <c r="H31" s="6" t="n">
        <v>6.29</v>
      </c>
      <c r="I31" s="6" t="n">
        <v>42.4</v>
      </c>
      <c r="J31" s="7" t="n">
        <v>0</v>
      </c>
      <c r="K31" s="1" t="inlineStr"/>
    </row>
    <row r="32">
      <c r="A32" s="1" t="inlineStr">
        <is>
          <t>JAPCA43TXL</t>
        </is>
      </c>
      <c r="B32" s="1" t="inlineStr">
        <is>
          <t>CUADRO JACKET 2.0 CAB</t>
        </is>
      </c>
      <c r="C32" s="1" t="inlineStr">
        <is>
          <t>Equipamiento / Ropa</t>
        </is>
      </c>
      <c r="D32" s="5" t="n">
        <v>186</v>
      </c>
      <c r="E32" s="5" t="n">
        <v>14748.42384485417</v>
      </c>
      <c r="F32" s="4" t="n">
        <v>0.7518001322228915</v>
      </c>
      <c r="G32" s="6" t="n">
        <v>590</v>
      </c>
      <c r="H32" s="6" t="n">
        <v>20.25000225</v>
      </c>
      <c r="I32" s="6" t="n">
        <v>18.6</v>
      </c>
      <c r="J32" s="7" t="n">
        <v>0</v>
      </c>
      <c r="K32" s="1" t="inlineStr"/>
    </row>
    <row r="33">
      <c r="A33" s="1" t="inlineStr">
        <is>
          <t>JAPDA43TS</t>
        </is>
      </c>
      <c r="B33" s="1" t="inlineStr">
        <is>
          <t>CUADRO JACKET 2.0 DAMA</t>
        </is>
      </c>
      <c r="C33" s="1" t="inlineStr">
        <is>
          <t>Equipamiento / Ropa</t>
        </is>
      </c>
      <c r="D33" s="5" t="n">
        <v>183</v>
      </c>
      <c r="E33" s="5" t="n">
        <v>14398.96538196</v>
      </c>
      <c r="F33" s="4" t="n">
        <v>0.7495712347034965</v>
      </c>
      <c r="G33" s="6" t="n">
        <v>439</v>
      </c>
      <c r="H33" s="6" t="n">
        <v>20.25</v>
      </c>
      <c r="I33" s="6" t="n">
        <v>18.3</v>
      </c>
      <c r="J33" s="7" t="n">
        <v>0</v>
      </c>
      <c r="K33" s="1" t="inlineStr"/>
    </row>
    <row r="34">
      <c r="A34" s="1" t="inlineStr">
        <is>
          <t>PAC43EQ</t>
        </is>
      </c>
      <c r="B34" s="1" t="inlineStr">
        <is>
          <t>PACKING SET</t>
        </is>
      </c>
      <c r="C34" s="1" t="inlineStr">
        <is>
          <t>Equipamiento / Bolsos</t>
        </is>
      </c>
      <c r="D34" s="5" t="n">
        <v>694</v>
      </c>
      <c r="E34" s="5" t="n">
        <v>14374.35637449</v>
      </c>
      <c r="F34" s="4" t="n">
        <v>0.5803227689183206</v>
      </c>
      <c r="G34" s="6" t="n">
        <v>0</v>
      </c>
      <c r="H34" s="6" t="n">
        <v>10.16</v>
      </c>
      <c r="I34" s="6" t="n">
        <v>69.40000000000001</v>
      </c>
      <c r="J34" s="7" t="n">
        <v>7</v>
      </c>
      <c r="K34" s="1" t="inlineStr">
        <is>
          <t>Sin stock</t>
        </is>
      </c>
    </row>
    <row r="35">
      <c r="A35" s="1" t="inlineStr">
        <is>
          <t>JAPCA162TL</t>
        </is>
      </c>
      <c r="B35" s="1" t="inlineStr">
        <is>
          <t>CUADRO JACKET 2.0 CAB</t>
        </is>
      </c>
      <c r="C35" s="1" t="inlineStr">
        <is>
          <t>Equipamiento / Ropa</t>
        </is>
      </c>
      <c r="D35" s="5" t="n">
        <v>194</v>
      </c>
      <c r="E35" s="5" t="n">
        <v>14279.13182267674</v>
      </c>
      <c r="F35" s="4" t="n">
        <v>0.7515159108136363</v>
      </c>
      <c r="G35" s="6" t="n">
        <v>176</v>
      </c>
      <c r="H35" s="6" t="n">
        <v>20.25000225</v>
      </c>
      <c r="I35" s="6" t="n">
        <v>19.4</v>
      </c>
      <c r="J35" s="7" t="n">
        <v>0</v>
      </c>
      <c r="K35" s="1" t="inlineStr"/>
    </row>
    <row r="36">
      <c r="A36" s="1" t="inlineStr">
        <is>
          <t>CIT70CIB</t>
        </is>
      </c>
      <c r="B36" s="1" t="inlineStr">
        <is>
          <t>CITYBAG</t>
        </is>
      </c>
      <c r="C36" s="1" t="inlineStr">
        <is>
          <t>Equipamiento / Bolsos</t>
        </is>
      </c>
      <c r="D36" s="5" t="n">
        <v>246</v>
      </c>
      <c r="E36" s="5" t="n">
        <v>14165.16198082931</v>
      </c>
      <c r="F36" s="4" t="n">
        <v>0.7543181470278688</v>
      </c>
      <c r="G36" s="6" t="n">
        <v>255</v>
      </c>
      <c r="H36" s="6" t="n">
        <v>14.54</v>
      </c>
      <c r="I36" s="6" t="n">
        <v>24.6</v>
      </c>
      <c r="J36" s="7" t="n">
        <v>0</v>
      </c>
      <c r="K36" s="1" t="inlineStr"/>
    </row>
    <row r="37">
      <c r="A37" s="1" t="inlineStr">
        <is>
          <t>HAT70EQ</t>
        </is>
      </c>
      <c r="B37" s="1" t="inlineStr">
        <is>
          <t>HAT</t>
        </is>
      </c>
      <c r="C37" s="1" t="inlineStr">
        <is>
          <t>Equipamiento / Sombreros</t>
        </is>
      </c>
      <c r="D37" s="5" t="n">
        <v>599</v>
      </c>
      <c r="E37" s="5" t="n">
        <v>13984.77744904</v>
      </c>
      <c r="F37" s="4" t="n">
        <v>0.8633990333318841</v>
      </c>
      <c r="G37" s="6" t="n">
        <v>551</v>
      </c>
      <c r="H37" s="6" t="n">
        <v>3.96</v>
      </c>
      <c r="I37" s="6" t="n">
        <v>59.9</v>
      </c>
      <c r="J37" s="7" t="n">
        <v>0</v>
      </c>
      <c r="K37" s="1" t="inlineStr"/>
    </row>
    <row r="38">
      <c r="A38" s="1" t="inlineStr">
        <is>
          <t>TOT1620L</t>
        </is>
      </c>
      <c r="B38" s="1" t="inlineStr">
        <is>
          <t>TOTE BAG</t>
        </is>
      </c>
      <c r="C38" s="1" t="inlineStr">
        <is>
          <t>Equipamiento / Bolsos</t>
        </is>
      </c>
      <c r="D38" s="5" t="n">
        <v>303</v>
      </c>
      <c r="E38" s="5" t="n">
        <v>13949.16578031</v>
      </c>
      <c r="F38" s="4" t="n">
        <v>0.7457782585068627</v>
      </c>
      <c r="G38" s="6" t="n">
        <v>100</v>
      </c>
      <c r="H38" s="6" t="n">
        <v>11.95</v>
      </c>
      <c r="I38" s="6" t="n">
        <v>30.3</v>
      </c>
      <c r="J38" s="7" t="n">
        <v>4</v>
      </c>
      <c r="K38" s="1" t="inlineStr"/>
    </row>
    <row r="39">
      <c r="A39" s="1" t="inlineStr">
        <is>
          <t>HAT13EQ</t>
        </is>
      </c>
      <c r="B39" s="1" t="inlineStr">
        <is>
          <t>HAT</t>
        </is>
      </c>
      <c r="C39" s="1" t="inlineStr">
        <is>
          <t>Equipamiento / Sombreros</t>
        </is>
      </c>
      <c r="D39" s="5" t="n">
        <v>587</v>
      </c>
      <c r="E39" s="5" t="n">
        <v>13714.67489764</v>
      </c>
      <c r="F39" s="4" t="n">
        <v>0.8624372498514286</v>
      </c>
      <c r="G39" s="6" t="n">
        <v>314</v>
      </c>
      <c r="H39" s="6" t="n">
        <v>3.96</v>
      </c>
      <c r="I39" s="6" t="n">
        <v>58.7</v>
      </c>
      <c r="J39" s="7" t="n">
        <v>0</v>
      </c>
      <c r="K39" s="1" t="inlineStr"/>
    </row>
    <row r="40">
      <c r="A40" s="1" t="inlineStr">
        <is>
          <t>TOA43SP</t>
        </is>
      </c>
      <c r="B40" s="1" t="inlineStr">
        <is>
          <t>TOALLA SPORT</t>
        </is>
      </c>
      <c r="C40" s="1" t="inlineStr">
        <is>
          <t>Equipamiento / Toallas</t>
        </is>
      </c>
      <c r="D40" s="5" t="n">
        <v>823</v>
      </c>
      <c r="E40" s="5" t="n">
        <v>13636.810967582</v>
      </c>
      <c r="F40" s="4" t="n">
        <v>0.9031636367130809</v>
      </c>
      <c r="G40" s="6" t="n">
        <v>1215</v>
      </c>
      <c r="H40" s="6" t="n">
        <v>1.8</v>
      </c>
      <c r="I40" s="6" t="n">
        <v>82.3</v>
      </c>
      <c r="J40" s="7" t="n">
        <v>0</v>
      </c>
      <c r="K40" s="1" t="inlineStr"/>
    </row>
    <row r="41">
      <c r="A41" s="1" t="inlineStr">
        <is>
          <t>DRY0330L</t>
        </is>
      </c>
      <c r="B41" s="1" t="inlineStr">
        <is>
          <t>DRY BAG 30L</t>
        </is>
      </c>
      <c r="C41" s="1" t="inlineStr">
        <is>
          <t>Equipamiento / Bolsos</t>
        </is>
      </c>
      <c r="D41" s="5" t="n">
        <v>271</v>
      </c>
      <c r="E41" s="5" t="n">
        <v>13591.05094475</v>
      </c>
      <c r="F41" s="4" t="n">
        <v>0.8831302778327434</v>
      </c>
      <c r="G41" s="6" t="n">
        <v>635</v>
      </c>
      <c r="H41" s="6" t="n">
        <v>6.32</v>
      </c>
      <c r="I41" s="6" t="n">
        <v>27.1</v>
      </c>
      <c r="J41" s="7" t="n">
        <v>0</v>
      </c>
      <c r="K41" s="1" t="inlineStr"/>
    </row>
    <row r="42">
      <c r="A42" s="1" t="inlineStr">
        <is>
          <t>ZRED194EQ</t>
        </is>
      </c>
      <c r="B42" s="1" t="inlineStr">
        <is>
          <t>ZENIT REDONDO</t>
        </is>
      </c>
      <c r="C42" s="1" t="inlineStr">
        <is>
          <t>Equipamiento / Lentes</t>
        </is>
      </c>
      <c r="D42" s="5" t="n">
        <v>136</v>
      </c>
      <c r="E42" s="5" t="n">
        <v>13587.37126609</v>
      </c>
      <c r="F42" s="4" t="n">
        <v>0.6741641758558559</v>
      </c>
      <c r="G42" s="6" t="n">
        <v>155</v>
      </c>
      <c r="H42" s="6" t="n">
        <v>40.44</v>
      </c>
      <c r="I42" s="6" t="n">
        <v>13.6</v>
      </c>
      <c r="J42" s="7" t="n">
        <v>0</v>
      </c>
      <c r="K42" s="1" t="inlineStr"/>
    </row>
    <row r="43">
      <c r="A43" s="1" t="inlineStr">
        <is>
          <t>JAPDA43TM</t>
        </is>
      </c>
      <c r="B43" s="1" t="inlineStr">
        <is>
          <t>CUADRO JACKET 2.0 DAMA</t>
        </is>
      </c>
      <c r="C43" s="1" t="inlineStr">
        <is>
          <t>Equipamiento / Ropa</t>
        </is>
      </c>
      <c r="D43" s="5" t="n">
        <v>171</v>
      </c>
      <c r="E43" s="5" t="n">
        <v>13365.75303213</v>
      </c>
      <c r="F43" s="4" t="n">
        <v>0.7467796373755906</v>
      </c>
      <c r="G43" s="6" t="n">
        <v>446</v>
      </c>
      <c r="H43" s="6" t="n">
        <v>20.25</v>
      </c>
      <c r="I43" s="6" t="n">
        <v>17.1</v>
      </c>
      <c r="J43" s="7" t="n">
        <v>0</v>
      </c>
      <c r="K43" s="1" t="inlineStr"/>
    </row>
    <row r="44">
      <c r="A44" s="1" t="inlineStr">
        <is>
          <t>MARMICA43TL</t>
        </is>
      </c>
      <c r="B44" s="1" t="inlineStr">
        <is>
          <t>MAR ORIGINAL CAB</t>
        </is>
      </c>
      <c r="C44" s="1" t="inlineStr">
        <is>
          <t>Manufactura / Caballero / P. Superiores</t>
        </is>
      </c>
      <c r="D44" s="5" t="n">
        <v>284</v>
      </c>
      <c r="E44" s="5" t="n">
        <v>13144.04220195496</v>
      </c>
      <c r="F44" s="4" t="n">
        <v>0.900001797495339</v>
      </c>
      <c r="G44" s="6" t="n">
        <v>130</v>
      </c>
      <c r="H44" s="6" t="n">
        <v>4.946357428</v>
      </c>
      <c r="I44" s="6" t="n">
        <v>28.4</v>
      </c>
      <c r="J44" s="7" t="n">
        <v>0</v>
      </c>
      <c r="K44" s="1" t="inlineStr"/>
    </row>
    <row r="45">
      <c r="A45" s="1" t="inlineStr">
        <is>
          <t>TOA196ES</t>
        </is>
      </c>
      <c r="B45" s="1" t="inlineStr">
        <is>
          <t>TOALLA ESTAMPADA 2.0</t>
        </is>
      </c>
      <c r="C45" s="1" t="inlineStr">
        <is>
          <t>Equipamiento / Toallas</t>
        </is>
      </c>
      <c r="D45" s="5" t="n">
        <v>313</v>
      </c>
      <c r="E45" s="5" t="n">
        <v>12823.64648919</v>
      </c>
      <c r="F45" s="4" t="n">
        <v>0.8683482741414814</v>
      </c>
      <c r="G45" s="6" t="n">
        <v>338</v>
      </c>
      <c r="H45" s="6" t="n">
        <v>5.92</v>
      </c>
      <c r="I45" s="6" t="n">
        <v>31.3</v>
      </c>
      <c r="J45" s="7" t="n">
        <v>0</v>
      </c>
      <c r="K45" s="1" t="inlineStr"/>
    </row>
    <row r="46">
      <c r="A46" s="1" t="inlineStr">
        <is>
          <t>TRA4318L</t>
        </is>
      </c>
      <c r="B46" s="1" t="inlineStr">
        <is>
          <t>TRAVEL BAG 18L</t>
        </is>
      </c>
      <c r="C46" s="1" t="inlineStr">
        <is>
          <t>Equipamiento / Bolsos</t>
        </is>
      </c>
      <c r="D46" s="5" t="n">
        <v>243</v>
      </c>
      <c r="E46" s="5" t="n">
        <v>12703.64503544</v>
      </c>
      <c r="F46" s="4" t="n">
        <v>0.7362567203641509</v>
      </c>
      <c r="G46" s="6" t="n">
        <v>395</v>
      </c>
      <c r="H46" s="6" t="n">
        <v>14.07</v>
      </c>
      <c r="I46" s="6" t="n">
        <v>24.3</v>
      </c>
      <c r="J46" s="7" t="n">
        <v>0</v>
      </c>
      <c r="K46" s="1" t="inlineStr"/>
    </row>
    <row r="47">
      <c r="A47" s="1" t="inlineStr">
        <is>
          <t>TOA43CLI</t>
        </is>
      </c>
      <c r="B47" s="1" t="inlineStr">
        <is>
          <t>TOALLA CLIP 2.0</t>
        </is>
      </c>
      <c r="C47" s="1" t="inlineStr">
        <is>
          <t>Equipamiento / Toallas</t>
        </is>
      </c>
      <c r="D47" s="5" t="n">
        <v>529</v>
      </c>
      <c r="E47" s="5" t="n">
        <v>12540.492949164</v>
      </c>
      <c r="F47" s="4" t="n">
        <v>0.7889355376052631</v>
      </c>
      <c r="G47" s="6" t="n">
        <v>309</v>
      </c>
      <c r="H47" s="6" t="n">
        <v>5.11</v>
      </c>
      <c r="I47" s="6" t="n">
        <v>52.9</v>
      </c>
      <c r="J47" s="7" t="n">
        <v>0</v>
      </c>
      <c r="K47" s="1" t="inlineStr"/>
    </row>
    <row r="48">
      <c r="A48" s="1" t="inlineStr">
        <is>
          <t>MARMICA43TM</t>
        </is>
      </c>
      <c r="B48" s="1" t="inlineStr">
        <is>
          <t>MAR ORIGINAL CAB</t>
        </is>
      </c>
      <c r="C48" s="1" t="inlineStr">
        <is>
          <t>Manufactura / Caballero / P. Superiores</t>
        </is>
      </c>
      <c r="D48" s="5" t="n">
        <v>274</v>
      </c>
      <c r="E48" s="5" t="n">
        <v>11951.81931227277</v>
      </c>
      <c r="F48" s="4" t="n">
        <v>0.9005294201387666</v>
      </c>
      <c r="G48" s="6" t="n">
        <v>100</v>
      </c>
      <c r="H48" s="6" t="n">
        <v>4.946357428</v>
      </c>
      <c r="I48" s="6" t="n">
        <v>27.4</v>
      </c>
      <c r="J48" s="7" t="n">
        <v>0</v>
      </c>
      <c r="K48" s="1" t="inlineStr"/>
    </row>
    <row r="49">
      <c r="A49" s="1" t="inlineStr">
        <is>
          <t>TOA203ES</t>
        </is>
      </c>
      <c r="B49" s="1" t="inlineStr">
        <is>
          <t>TOALLA ESTAMPADA 2.0</t>
        </is>
      </c>
      <c r="C49" s="1" t="inlineStr">
        <is>
          <t>Equipamiento / Toallas</t>
        </is>
      </c>
      <c r="D49" s="5" t="n">
        <v>273</v>
      </c>
      <c r="E49" s="5" t="n">
        <v>11856.94313637</v>
      </c>
      <c r="F49" s="4" t="n">
        <v>0.8707107800452381</v>
      </c>
      <c r="G49" s="6" t="n">
        <v>360</v>
      </c>
      <c r="H49" s="6" t="n">
        <v>5.92</v>
      </c>
      <c r="I49" s="6" t="n">
        <v>27.3</v>
      </c>
      <c r="J49" s="7" t="n">
        <v>0</v>
      </c>
      <c r="K49" s="1" t="inlineStr"/>
    </row>
    <row r="50">
      <c r="A50" s="1" t="inlineStr">
        <is>
          <t>JAPCA162TM</t>
        </is>
      </c>
      <c r="B50" s="1" t="inlineStr">
        <is>
          <t>CUADRO JACKET 2.0 CAB</t>
        </is>
      </c>
      <c r="C50" s="1" t="inlineStr">
        <is>
          <t>Equipamiento / Ropa</t>
        </is>
      </c>
      <c r="D50" s="5" t="n">
        <v>162</v>
      </c>
      <c r="E50" s="5" t="n">
        <v>11820.32859545527</v>
      </c>
      <c r="F50" s="4" t="n">
        <v>0.7421717874820001</v>
      </c>
      <c r="G50" s="6" t="n">
        <v>172</v>
      </c>
      <c r="H50" s="6" t="n">
        <v>20.25000225</v>
      </c>
      <c r="I50" s="6" t="n">
        <v>16.2</v>
      </c>
      <c r="J50" s="7" t="n">
        <v>0</v>
      </c>
      <c r="K50" s="1" t="inlineStr"/>
    </row>
    <row r="51">
      <c r="A51" s="1" t="inlineStr">
        <is>
          <t>KOA132KA</t>
        </is>
      </c>
      <c r="B51" s="1" t="inlineStr">
        <is>
          <t>MINI BAG</t>
        </is>
      </c>
      <c r="C51" s="1" t="inlineStr">
        <is>
          <t>Equipamiento / Bolsos</t>
        </is>
      </c>
      <c r="D51" s="5" t="n">
        <v>293</v>
      </c>
      <c r="E51" s="5" t="n">
        <v>11394.89148104056</v>
      </c>
      <c r="F51" s="4" t="n">
        <v>0.8388624366561838</v>
      </c>
      <c r="G51" s="6" t="n">
        <v>166</v>
      </c>
      <c r="H51" s="6" t="n">
        <v>6.33</v>
      </c>
      <c r="I51" s="6" t="n">
        <v>29.3</v>
      </c>
      <c r="J51" s="7" t="n">
        <v>0</v>
      </c>
      <c r="K51" s="1" t="inlineStr"/>
    </row>
    <row r="52">
      <c r="A52" s="1" t="inlineStr">
        <is>
          <t>JAPDA16TM</t>
        </is>
      </c>
      <c r="B52" s="1" t="inlineStr">
        <is>
          <t>CUADRO JACKET 2.0 DAMA</t>
        </is>
      </c>
      <c r="C52" s="1" t="inlineStr">
        <is>
          <t>Equipamiento / Ropa</t>
        </is>
      </c>
      <c r="D52" s="5" t="n">
        <v>147</v>
      </c>
      <c r="E52" s="5" t="n">
        <v>11046.65846984306</v>
      </c>
      <c r="F52" s="4" t="n">
        <v>0.7429946166847222</v>
      </c>
      <c r="G52" s="6" t="n">
        <v>164</v>
      </c>
      <c r="H52" s="6" t="n">
        <v>20.25</v>
      </c>
      <c r="I52" s="6" t="n">
        <v>14.7</v>
      </c>
      <c r="J52" s="7" t="n">
        <v>0</v>
      </c>
      <c r="K52" s="1" t="inlineStr"/>
    </row>
    <row r="53">
      <c r="A53" s="1" t="inlineStr">
        <is>
          <t>DRY4230L</t>
        </is>
      </c>
      <c r="B53" s="1" t="inlineStr">
        <is>
          <t>DRY BAG 30L</t>
        </is>
      </c>
      <c r="C53" s="1" t="inlineStr">
        <is>
          <t>Equipamiento / Bolsos</t>
        </is>
      </c>
      <c r="D53" s="5" t="n">
        <v>217</v>
      </c>
      <c r="E53" s="5" t="n">
        <v>10891.36828372253</v>
      </c>
      <c r="F53" s="4" t="n">
        <v>0.8846328180754545</v>
      </c>
      <c r="G53" s="6" t="n">
        <v>37</v>
      </c>
      <c r="H53" s="6" t="n">
        <v>6.32</v>
      </c>
      <c r="I53" s="6" t="n">
        <v>21.7</v>
      </c>
      <c r="J53" s="7" t="n">
        <v>0</v>
      </c>
      <c r="K53" s="1" t="inlineStr"/>
    </row>
    <row r="54">
      <c r="A54" s="1" t="inlineStr">
        <is>
          <t>PANNTCA43TL</t>
        </is>
      </c>
      <c r="B54" s="1" t="inlineStr">
        <is>
          <t>EXPLORE PANTS CAB</t>
        </is>
      </c>
      <c r="C54" s="1" t="inlineStr">
        <is>
          <t>Manufactura / Caballero / P. Inferiores</t>
        </is>
      </c>
      <c r="D54" s="5" t="n">
        <v>157</v>
      </c>
      <c r="E54" s="5" t="n">
        <v>10871.50474069</v>
      </c>
      <c r="F54" s="4" t="n">
        <v>0.7753450231539474</v>
      </c>
      <c r="G54" s="6" t="n">
        <v>88</v>
      </c>
      <c r="H54" s="6" t="n">
        <v>15.68994502</v>
      </c>
      <c r="I54" s="6" t="n">
        <v>15.7</v>
      </c>
      <c r="J54" s="7" t="n">
        <v>0</v>
      </c>
      <c r="K54" s="1" t="inlineStr"/>
    </row>
    <row r="55">
      <c r="A55" s="1" t="inlineStr">
        <is>
          <t>MARMICA16TM</t>
        </is>
      </c>
      <c r="B55" s="1" t="inlineStr">
        <is>
          <t>MAR ORIGINAL CAB</t>
        </is>
      </c>
      <c r="C55" s="1" t="inlineStr">
        <is>
          <t>Manufactura / Caballero / P. Superiores</t>
        </is>
      </c>
      <c r="D55" s="5" t="n">
        <v>231</v>
      </c>
      <c r="E55" s="5" t="n">
        <v>10772.23598619</v>
      </c>
      <c r="F55" s="4" t="n">
        <v>0.8993497800067632</v>
      </c>
      <c r="G55" s="6" t="n">
        <v>32</v>
      </c>
      <c r="H55" s="6" t="n">
        <v>4.946357428</v>
      </c>
      <c r="I55" s="6" t="n">
        <v>23.1</v>
      </c>
      <c r="J55" s="7" t="n">
        <v>0</v>
      </c>
      <c r="K55" s="1" t="inlineStr"/>
    </row>
    <row r="56">
      <c r="A56" s="1" t="inlineStr">
        <is>
          <t>REFAZUTOGE151EQ</t>
        </is>
      </c>
      <c r="B56" s="1" t="inlineStr">
        <is>
          <t>REFRESH AZUL</t>
        </is>
      </c>
      <c r="C56" s="1" t="inlineStr">
        <is>
          <t>Manufactura / Refresh</t>
        </is>
      </c>
      <c r="D56" s="5" t="n">
        <v>535</v>
      </c>
      <c r="E56" s="5" t="n">
        <v>10756.14784842</v>
      </c>
      <c r="F56" s="4" t="n">
        <v>0.6183963370209836</v>
      </c>
      <c r="G56" s="6" t="n">
        <v>0</v>
      </c>
      <c r="H56" s="6" t="n">
        <v>7.65</v>
      </c>
      <c r="I56" s="6" t="n">
        <v>53.5</v>
      </c>
      <c r="J56" s="7" t="n">
        <v>6</v>
      </c>
      <c r="K56" s="1" t="inlineStr">
        <is>
          <t>Sin stock</t>
        </is>
      </c>
    </row>
    <row r="57">
      <c r="A57" s="1" t="inlineStr">
        <is>
          <t>JAPDA16TS</t>
        </is>
      </c>
      <c r="B57" s="1" t="inlineStr">
        <is>
          <t>CUADRO JACKET 2.0 DAMA</t>
        </is>
      </c>
      <c r="C57" s="1" t="inlineStr">
        <is>
          <t>Equipamiento / Ropa</t>
        </is>
      </c>
      <c r="D57" s="5" t="n">
        <v>145</v>
      </c>
      <c r="E57" s="5" t="n">
        <v>10729.20586184046</v>
      </c>
      <c r="F57" s="4" t="n">
        <v>0.7418826051784173</v>
      </c>
      <c r="G57" s="6" t="n">
        <v>153</v>
      </c>
      <c r="H57" s="6" t="n">
        <v>20.25</v>
      </c>
      <c r="I57" s="6" t="n">
        <v>14.5</v>
      </c>
      <c r="J57" s="7" t="n">
        <v>0</v>
      </c>
      <c r="K57" s="1" t="inlineStr"/>
    </row>
    <row r="58">
      <c r="A58" s="1" t="inlineStr">
        <is>
          <t>MARMICA12TL</t>
        </is>
      </c>
      <c r="B58" s="1" t="inlineStr">
        <is>
          <t>MAR ORIGINAL CAB</t>
        </is>
      </c>
      <c r="C58" s="1" t="inlineStr">
        <is>
          <t>Manufactura / Caballero / P. Superiores</t>
        </is>
      </c>
      <c r="D58" s="5" t="n">
        <v>248</v>
      </c>
      <c r="E58" s="5" t="n">
        <v>10686.64370872144</v>
      </c>
      <c r="F58" s="4" t="n">
        <v>0.8993049319295919</v>
      </c>
      <c r="G58" s="6" t="n">
        <v>67</v>
      </c>
      <c r="H58" s="6" t="n">
        <v>4.946357428</v>
      </c>
      <c r="I58" s="6" t="n">
        <v>24.8</v>
      </c>
      <c r="J58" s="7" t="n">
        <v>0</v>
      </c>
      <c r="K58" s="1" t="inlineStr"/>
    </row>
    <row r="59">
      <c r="A59" s="1" t="inlineStr">
        <is>
          <t>TRA3140L</t>
        </is>
      </c>
      <c r="B59" s="1" t="inlineStr">
        <is>
          <t>TRAVEL BAG 40L</t>
        </is>
      </c>
      <c r="C59" s="1" t="inlineStr">
        <is>
          <t>Equipamiento / Bolsos</t>
        </is>
      </c>
      <c r="D59" s="5" t="n">
        <v>176</v>
      </c>
      <c r="E59" s="5" t="n">
        <v>10589.68085787</v>
      </c>
      <c r="F59" s="4" t="n">
        <v>0.6994778559437126</v>
      </c>
      <c r="G59" s="6" t="n">
        <v>26</v>
      </c>
      <c r="H59" s="6" t="n">
        <v>18.38</v>
      </c>
      <c r="I59" s="6" t="n">
        <v>17.6</v>
      </c>
      <c r="J59" s="7" t="n">
        <v>0</v>
      </c>
      <c r="K59" s="1" t="inlineStr"/>
    </row>
    <row r="60">
      <c r="A60" s="1" t="inlineStr">
        <is>
          <t>JAPCA66TL</t>
        </is>
      </c>
      <c r="B60" s="1" t="inlineStr">
        <is>
          <t>CUADRO JACKET 2.0 CAB</t>
        </is>
      </c>
      <c r="C60" s="1" t="inlineStr">
        <is>
          <t>Equipamiento / Ropa</t>
        </is>
      </c>
      <c r="D60" s="5" t="n">
        <v>129</v>
      </c>
      <c r="E60" s="5" t="n">
        <v>10489.44485759078</v>
      </c>
      <c r="F60" s="4" t="n">
        <v>0.7529068121295652</v>
      </c>
      <c r="G60" s="6" t="n">
        <v>335</v>
      </c>
      <c r="H60" s="6" t="n">
        <v>20.25000225</v>
      </c>
      <c r="I60" s="6" t="n">
        <v>12.9</v>
      </c>
      <c r="J60" s="7" t="n">
        <v>0</v>
      </c>
      <c r="K60" s="1" t="inlineStr"/>
    </row>
    <row r="61">
      <c r="A61" s="1" t="inlineStr">
        <is>
          <t>TOT1320L</t>
        </is>
      </c>
      <c r="B61" s="1" t="inlineStr">
        <is>
          <t>TOTE BAG</t>
        </is>
      </c>
      <c r="C61" s="1" t="inlineStr">
        <is>
          <t>Equipamiento / Bolsos</t>
        </is>
      </c>
      <c r="D61" s="5" t="n">
        <v>224</v>
      </c>
      <c r="E61" s="5" t="n">
        <v>10375.72814611</v>
      </c>
      <c r="F61" s="4" t="n">
        <v>0.7606245112864198</v>
      </c>
      <c r="G61" s="6" t="n">
        <v>100</v>
      </c>
      <c r="H61" s="6" t="n">
        <v>11.95</v>
      </c>
      <c r="I61" s="6" t="n">
        <v>22.4</v>
      </c>
      <c r="J61" s="7" t="n">
        <v>2</v>
      </c>
      <c r="K61" s="1" t="inlineStr"/>
    </row>
    <row r="62">
      <c r="A62" s="1" t="inlineStr">
        <is>
          <t>JAPDA43TXS</t>
        </is>
      </c>
      <c r="B62" s="1" t="inlineStr">
        <is>
          <t>CUADRO JACKET 2.0 DAMA</t>
        </is>
      </c>
      <c r="C62" s="1" t="inlineStr">
        <is>
          <t>Equipamiento / Ropa</t>
        </is>
      </c>
      <c r="D62" s="5" t="n">
        <v>126</v>
      </c>
      <c r="E62" s="5" t="n">
        <v>10344.57524299</v>
      </c>
      <c r="F62" s="4" t="n">
        <v>0.7508138815889764</v>
      </c>
      <c r="G62" s="6" t="n">
        <v>366</v>
      </c>
      <c r="H62" s="6" t="n">
        <v>20.25</v>
      </c>
      <c r="I62" s="6" t="n">
        <v>12.6</v>
      </c>
      <c r="J62" s="7" t="n">
        <v>0</v>
      </c>
      <c r="K62" s="1" t="inlineStr"/>
    </row>
    <row r="63">
      <c r="A63" s="1" t="inlineStr">
        <is>
          <t>DRY5030L</t>
        </is>
      </c>
      <c r="B63" s="1" t="inlineStr">
        <is>
          <t>DRY BAG 30L</t>
        </is>
      </c>
      <c r="C63" s="1" t="inlineStr">
        <is>
          <t>Equipamiento / Bolsos</t>
        </is>
      </c>
      <c r="D63" s="5" t="n">
        <v>205</v>
      </c>
      <c r="E63" s="5" t="n">
        <v>10312.87756663</v>
      </c>
      <c r="F63" s="4" t="n">
        <v>0.8881199292064103</v>
      </c>
      <c r="G63" s="6" t="n">
        <v>26</v>
      </c>
      <c r="H63" s="6" t="n">
        <v>6.32</v>
      </c>
      <c r="I63" s="6" t="n">
        <v>20.5</v>
      </c>
      <c r="J63" s="7" t="n">
        <v>0</v>
      </c>
      <c r="K63" s="1" t="inlineStr"/>
    </row>
    <row r="64">
      <c r="A64" s="1" t="inlineStr">
        <is>
          <t>JAPCA162TXL</t>
        </is>
      </c>
      <c r="B64" s="1" t="inlineStr">
        <is>
          <t>CUADRO JACKET 2.0 CAB</t>
        </is>
      </c>
      <c r="C64" s="1" t="inlineStr">
        <is>
          <t>Equipamiento / Ropa</t>
        </is>
      </c>
      <c r="D64" s="5" t="n">
        <v>131</v>
      </c>
      <c r="E64" s="5" t="n">
        <v>10253.51093916</v>
      </c>
      <c r="F64" s="4" t="n">
        <v>0.7484758488844263</v>
      </c>
      <c r="G64" s="6" t="n">
        <v>208</v>
      </c>
      <c r="H64" s="6" t="n">
        <v>20.25000225</v>
      </c>
      <c r="I64" s="6" t="n">
        <v>13.1</v>
      </c>
      <c r="J64" s="7" t="n">
        <v>0</v>
      </c>
      <c r="K64" s="1" t="inlineStr"/>
    </row>
    <row r="65">
      <c r="A65" s="1" t="inlineStr">
        <is>
          <t>CGCSDA16TS</t>
        </is>
      </c>
      <c r="B65" s="1" t="inlineStr">
        <is>
          <t>CLASICA GC SUBLIMADO DAMA</t>
        </is>
      </c>
      <c r="C65" s="1" t="inlineStr">
        <is>
          <t>Manufactura / Dama / P. Superiores</t>
        </is>
      </c>
      <c r="D65" s="5" t="n">
        <v>792</v>
      </c>
      <c r="E65" s="5" t="n">
        <v>10072.31995874</v>
      </c>
      <c r="F65" s="4" t="n">
        <v>0</v>
      </c>
      <c r="G65" s="6" t="n">
        <v>0</v>
      </c>
      <c r="H65" s="6" t="n">
        <v>0</v>
      </c>
      <c r="I65" s="6" t="n">
        <v>79.2</v>
      </c>
      <c r="J65" s="7" t="n">
        <v>2</v>
      </c>
      <c r="K65" s="1" t="inlineStr">
        <is>
          <t>Sin stock</t>
        </is>
      </c>
    </row>
    <row r="66">
      <c r="A66" s="1" t="inlineStr">
        <is>
          <t>TOA12CLI</t>
        </is>
      </c>
      <c r="B66" s="1" t="inlineStr">
        <is>
          <t>TOALLA CLIP 2.0</t>
        </is>
      </c>
      <c r="C66" s="1" t="inlineStr">
        <is>
          <t>Equipamiento / Toallas</t>
        </is>
      </c>
      <c r="D66" s="5" t="n">
        <v>403</v>
      </c>
      <c r="E66" s="5" t="n">
        <v>10054.131552134</v>
      </c>
      <c r="F66" s="4" t="n">
        <v>0.7880690863975275</v>
      </c>
      <c r="G66" s="6" t="n">
        <v>195</v>
      </c>
      <c r="H66" s="6" t="n">
        <v>5.11</v>
      </c>
      <c r="I66" s="6" t="n">
        <v>40.3</v>
      </c>
      <c r="J66" s="7" t="n">
        <v>0</v>
      </c>
      <c r="K66" s="1" t="inlineStr"/>
    </row>
    <row r="67">
      <c r="A67" s="1" t="inlineStr">
        <is>
          <t>TOA198ES</t>
        </is>
      </c>
      <c r="B67" s="1" t="inlineStr">
        <is>
          <t>TOALLA ESTAMPADA 2.0</t>
        </is>
      </c>
      <c r="C67" s="1" t="inlineStr">
        <is>
          <t>Equipamiento / Toallas</t>
        </is>
      </c>
      <c r="D67" s="5" t="n">
        <v>227</v>
      </c>
      <c r="E67" s="5" t="n">
        <v>10052.33197496</v>
      </c>
      <c r="F67" s="4" t="n">
        <v>0.8717030368833333</v>
      </c>
      <c r="G67" s="6" t="n">
        <v>432</v>
      </c>
      <c r="H67" s="6" t="n">
        <v>5.92</v>
      </c>
      <c r="I67" s="6" t="n">
        <v>22.7</v>
      </c>
      <c r="J67" s="7" t="n">
        <v>0</v>
      </c>
      <c r="K67" s="1" t="inlineStr"/>
    </row>
    <row r="68">
      <c r="A68" s="1" t="inlineStr">
        <is>
          <t>MARMICA12TM</t>
        </is>
      </c>
      <c r="B68" s="1" t="inlineStr">
        <is>
          <t>MAR ORIGINAL CAB</t>
        </is>
      </c>
      <c r="C68" s="1" t="inlineStr">
        <is>
          <t>Manufactura / Caballero / P. Superiores</t>
        </is>
      </c>
      <c r="D68" s="5" t="n">
        <v>232</v>
      </c>
      <c r="E68" s="5" t="n">
        <v>10006.61631858</v>
      </c>
      <c r="F68" s="4" t="n">
        <v>0.8980534795953846</v>
      </c>
      <c r="G68" s="6" t="n">
        <v>24</v>
      </c>
      <c r="H68" s="6" t="n">
        <v>4.946357428</v>
      </c>
      <c r="I68" s="6" t="n">
        <v>23.2</v>
      </c>
      <c r="J68" s="7" t="n">
        <v>0</v>
      </c>
      <c r="K68" s="1" t="inlineStr"/>
    </row>
    <row r="69">
      <c r="A69" s="1" t="inlineStr">
        <is>
          <t>PAP66EQ</t>
        </is>
      </c>
      <c r="B69" s="1" t="inlineStr">
        <is>
          <t>PACKING SET PRO</t>
        </is>
      </c>
      <c r="C69" s="1" t="inlineStr">
        <is>
          <t>Equipamiento / Bolsos</t>
        </is>
      </c>
      <c r="D69" s="5" t="n">
        <v>292</v>
      </c>
      <c r="E69" s="5" t="n">
        <v>9985.954799749999</v>
      </c>
      <c r="F69" s="4" t="n">
        <v>0.6641943343721428</v>
      </c>
      <c r="G69" s="6" t="n">
        <v>1209</v>
      </c>
      <c r="H69" s="6" t="n">
        <v>11.32</v>
      </c>
      <c r="I69" s="6" t="n">
        <v>29.2</v>
      </c>
      <c r="J69" s="7" t="n">
        <v>0</v>
      </c>
      <c r="K69" s="1" t="inlineStr"/>
    </row>
    <row r="70">
      <c r="A70" s="1" t="inlineStr">
        <is>
          <t>DRY435L</t>
        </is>
      </c>
      <c r="B70" s="1" t="inlineStr">
        <is>
          <t>DRY BAG 5L</t>
        </is>
      </c>
      <c r="C70" s="1" t="inlineStr">
        <is>
          <t>Equipamiento / Bolsos</t>
        </is>
      </c>
      <c r="D70" s="5" t="n">
        <v>264</v>
      </c>
      <c r="E70" s="5" t="n">
        <v>9952.075003219999</v>
      </c>
      <c r="F70" s="4" t="n">
        <v>0.8667611598310161</v>
      </c>
      <c r="G70" s="6" t="n">
        <v>430</v>
      </c>
      <c r="H70" s="6" t="n">
        <v>4.91</v>
      </c>
      <c r="I70" s="6" t="n">
        <v>26.4</v>
      </c>
      <c r="J70" s="7" t="n">
        <v>0</v>
      </c>
      <c r="K70" s="1" t="inlineStr"/>
    </row>
    <row r="71">
      <c r="A71" s="1" t="inlineStr">
        <is>
          <t>PAC12EQ</t>
        </is>
      </c>
      <c r="B71" s="1" t="inlineStr">
        <is>
          <t>PACKING SET</t>
        </is>
      </c>
      <c r="C71" s="1" t="inlineStr">
        <is>
          <t>Equipamiento / Bolsos</t>
        </is>
      </c>
      <c r="D71" s="5" t="n">
        <v>470</v>
      </c>
      <c r="E71" s="5" t="n">
        <v>9847.583307319999</v>
      </c>
      <c r="F71" s="4" t="n">
        <v>0.5781237995825503</v>
      </c>
      <c r="G71" s="6" t="n">
        <v>5</v>
      </c>
      <c r="H71" s="6" t="n">
        <v>10.16</v>
      </c>
      <c r="I71" s="6" t="n">
        <v>47</v>
      </c>
      <c r="J71" s="7" t="n">
        <v>6</v>
      </c>
      <c r="K71" s="1" t="inlineStr"/>
    </row>
    <row r="72">
      <c r="A72" s="1" t="inlineStr">
        <is>
          <t>REFAMATOEQ03EQ</t>
        </is>
      </c>
      <c r="B72" s="1" t="inlineStr">
        <is>
          <t>REFRESH AMARILLO</t>
        </is>
      </c>
      <c r="C72" s="1" t="inlineStr">
        <is>
          <t>Manufactura / Refresh</t>
        </is>
      </c>
      <c r="D72" s="5" t="n">
        <v>334</v>
      </c>
      <c r="E72" s="5" t="n">
        <v>9795.16117152</v>
      </c>
      <c r="F72" s="4" t="n">
        <v>0.6158300562639639</v>
      </c>
      <c r="G72" s="6" t="n">
        <v>51</v>
      </c>
      <c r="H72" s="6" t="n">
        <v>12.02</v>
      </c>
      <c r="I72" s="6" t="n">
        <v>33.4</v>
      </c>
      <c r="J72" s="7" t="n">
        <v>0</v>
      </c>
      <c r="K72" s="1" t="inlineStr"/>
    </row>
    <row r="73">
      <c r="A73" s="1" t="inlineStr">
        <is>
          <t>PANNTCA43TM</t>
        </is>
      </c>
      <c r="B73" s="1" t="inlineStr">
        <is>
          <t>EXPLORE PANTS CAB</t>
        </is>
      </c>
      <c r="C73" s="1" t="inlineStr">
        <is>
          <t>Manufactura / Caballero / P. Inferiores</t>
        </is>
      </c>
      <c r="D73" s="5" t="n">
        <v>152</v>
      </c>
      <c r="E73" s="5" t="n">
        <v>9709.01306137</v>
      </c>
      <c r="F73" s="4" t="n">
        <v>0.7741335032023257</v>
      </c>
      <c r="G73" s="6" t="n">
        <v>93</v>
      </c>
      <c r="H73" s="6" t="n">
        <v>15.68994502</v>
      </c>
      <c r="I73" s="6" t="n">
        <v>15.2</v>
      </c>
      <c r="J73" s="7" t="n">
        <v>0</v>
      </c>
      <c r="K73" s="1" t="inlineStr"/>
    </row>
    <row r="74">
      <c r="A74" s="1" t="inlineStr">
        <is>
          <t>CGCSCA16TM</t>
        </is>
      </c>
      <c r="B74" s="1" t="inlineStr">
        <is>
          <t>CLASICA GC SUBLIMADO CAB</t>
        </is>
      </c>
      <c r="C74" s="1" t="inlineStr">
        <is>
          <t>Manufactura / Caballero / P. Superiores</t>
        </is>
      </c>
      <c r="D74" s="5" t="n">
        <v>742</v>
      </c>
      <c r="E74" s="5" t="n">
        <v>9376.5678739</v>
      </c>
      <c r="F74" s="4" t="n">
        <v>0</v>
      </c>
      <c r="G74" s="6" t="n">
        <v>0</v>
      </c>
      <c r="H74" s="6" t="n">
        <v>0</v>
      </c>
      <c r="I74" s="6" t="n">
        <v>74.2</v>
      </c>
      <c r="J74" s="7" t="n">
        <v>2</v>
      </c>
      <c r="K74" s="1" t="inlineStr">
        <is>
          <t>Sin stock</t>
        </is>
      </c>
    </row>
    <row r="75">
      <c r="A75" s="1" t="inlineStr">
        <is>
          <t>TOT5020L</t>
        </is>
      </c>
      <c r="B75" s="1" t="inlineStr">
        <is>
          <t>TOTE BAG</t>
        </is>
      </c>
      <c r="C75" s="1" t="inlineStr">
        <is>
          <t>Equipamiento / Bolsos</t>
        </is>
      </c>
      <c r="D75" s="5" t="n">
        <v>194</v>
      </c>
      <c r="E75" s="5" t="n">
        <v>9239.961947180462</v>
      </c>
      <c r="F75" s="4" t="n">
        <v>0.7768356576621622</v>
      </c>
      <c r="G75" s="6" t="n">
        <v>277</v>
      </c>
      <c r="H75" s="6" t="n">
        <v>11.95</v>
      </c>
      <c r="I75" s="6" t="n">
        <v>19.4</v>
      </c>
      <c r="J75" s="7" t="n">
        <v>0</v>
      </c>
      <c r="K75" s="1" t="inlineStr"/>
    </row>
    <row r="76">
      <c r="A76" s="1" t="inlineStr">
        <is>
          <t>MARMICA16TL</t>
        </is>
      </c>
      <c r="B76" s="1" t="inlineStr">
        <is>
          <t>MAR ORIGINAL CAB</t>
        </is>
      </c>
      <c r="C76" s="1" t="inlineStr">
        <is>
          <t>Manufactura / Caballero / P. Superiores</t>
        </is>
      </c>
      <c r="D76" s="5" t="n">
        <v>206</v>
      </c>
      <c r="E76" s="5" t="n">
        <v>9231.728377871441</v>
      </c>
      <c r="F76" s="4" t="n">
        <v>0.9017790608964072</v>
      </c>
      <c r="G76" s="6" t="n">
        <v>48</v>
      </c>
      <c r="H76" s="6" t="n">
        <v>4.946357428</v>
      </c>
      <c r="I76" s="6" t="n">
        <v>20.6</v>
      </c>
      <c r="J76" s="7" t="n">
        <v>0</v>
      </c>
      <c r="K76" s="1" t="inlineStr"/>
    </row>
    <row r="77">
      <c r="A77" s="1" t="inlineStr">
        <is>
          <t>MARMIDA16TS</t>
        </is>
      </c>
      <c r="B77" s="1" t="inlineStr">
        <is>
          <t>MAR ORIGINAL DAMA</t>
        </is>
      </c>
      <c r="C77" s="1" t="inlineStr">
        <is>
          <t>Manufactura / Dama / P. Superiores</t>
        </is>
      </c>
      <c r="D77" s="5" t="n">
        <v>194</v>
      </c>
      <c r="E77" s="5" t="n">
        <v>9207.513595210001</v>
      </c>
      <c r="F77" s="4" t="n">
        <v>0.9118301121933333</v>
      </c>
      <c r="G77" s="6" t="n">
        <v>26</v>
      </c>
      <c r="H77" s="6" t="n">
        <v>4.278324149</v>
      </c>
      <c r="I77" s="6" t="n">
        <v>19.4</v>
      </c>
      <c r="J77" s="7" t="n">
        <v>0</v>
      </c>
      <c r="K77" s="1" t="inlineStr"/>
    </row>
    <row r="78">
      <c r="A78" s="1" t="inlineStr">
        <is>
          <t>DRY165L</t>
        </is>
      </c>
      <c r="B78" s="1" t="inlineStr">
        <is>
          <t>DRY BAG 5L</t>
        </is>
      </c>
      <c r="C78" s="1" t="inlineStr">
        <is>
          <t>Equipamiento / Bolsos</t>
        </is>
      </c>
      <c r="D78" s="5" t="n">
        <v>278</v>
      </c>
      <c r="E78" s="5" t="n">
        <v>9158.36741588</v>
      </c>
      <c r="F78" s="4" t="n">
        <v>0.8637723237758929</v>
      </c>
      <c r="G78" s="6" t="n">
        <v>47</v>
      </c>
      <c r="H78" s="6" t="n">
        <v>4.91</v>
      </c>
      <c r="I78" s="6" t="n">
        <v>27.8</v>
      </c>
      <c r="J78" s="7" t="n">
        <v>0</v>
      </c>
      <c r="K78" s="1" t="inlineStr"/>
    </row>
    <row r="79">
      <c r="A79" s="1" t="inlineStr">
        <is>
          <t>JAPCA43T2XL</t>
        </is>
      </c>
      <c r="B79" s="1" t="inlineStr">
        <is>
          <t>CUADRO JACKET 2.0 CAB</t>
        </is>
      </c>
      <c r="C79" s="1" t="inlineStr">
        <is>
          <t>Equipamiento / Ropa</t>
        </is>
      </c>
      <c r="D79" s="5" t="n">
        <v>110</v>
      </c>
      <c r="E79" s="5" t="n">
        <v>9118.20990299</v>
      </c>
      <c r="F79" s="4" t="n">
        <v>0.7533658352398057</v>
      </c>
      <c r="G79" s="6" t="n">
        <v>399</v>
      </c>
      <c r="H79" s="6" t="n">
        <v>20.25000225</v>
      </c>
      <c r="I79" s="6" t="n">
        <v>11</v>
      </c>
      <c r="J79" s="7" t="n">
        <v>0</v>
      </c>
      <c r="K79" s="1" t="inlineStr"/>
    </row>
    <row r="80">
      <c r="A80" s="1" t="inlineStr">
        <is>
          <t>JAPDA35TS</t>
        </is>
      </c>
      <c r="B80" s="1" t="inlineStr">
        <is>
          <t>CUADRO JACKET 2.0 DAMA</t>
        </is>
      </c>
      <c r="C80" s="1" t="inlineStr">
        <is>
          <t>Equipamiento / Ropa</t>
        </is>
      </c>
      <c r="D80" s="5" t="n">
        <v>115</v>
      </c>
      <c r="E80" s="5" t="n">
        <v>8947.62537586</v>
      </c>
      <c r="F80" s="4" t="n">
        <v>0.7447381636639344</v>
      </c>
      <c r="G80" s="6" t="n">
        <v>196</v>
      </c>
      <c r="H80" s="6" t="n">
        <v>20.25</v>
      </c>
      <c r="I80" s="6" t="n">
        <v>11.5</v>
      </c>
      <c r="J80" s="7" t="n">
        <v>0</v>
      </c>
      <c r="K80" s="1" t="inlineStr"/>
    </row>
    <row r="81">
      <c r="A81" s="1" t="inlineStr">
        <is>
          <t>MARMICA66TL</t>
        </is>
      </c>
      <c r="B81" s="1" t="inlineStr">
        <is>
          <t>MAR ORIGINAL CAB</t>
        </is>
      </c>
      <c r="C81" s="1" t="inlineStr">
        <is>
          <t>Manufactura / Caballero / P. Superiores</t>
        </is>
      </c>
      <c r="D81" s="5" t="n">
        <v>183</v>
      </c>
      <c r="E81" s="5" t="n">
        <v>8908.373191230001</v>
      </c>
      <c r="F81" s="4" t="n">
        <v>0.8984610098448864</v>
      </c>
      <c r="G81" s="6" t="n">
        <v>34</v>
      </c>
      <c r="H81" s="6" t="n">
        <v>4.946357428</v>
      </c>
      <c r="I81" s="6" t="n">
        <v>18.3</v>
      </c>
      <c r="J81" s="7" t="n">
        <v>0</v>
      </c>
      <c r="K81" s="1" t="inlineStr"/>
    </row>
    <row r="82">
      <c r="A82" s="1" t="inlineStr">
        <is>
          <t>JAPCA66TM</t>
        </is>
      </c>
      <c r="B82" s="1" t="inlineStr">
        <is>
          <t>CUADRO JACKET 2.0 CAB</t>
        </is>
      </c>
      <c r="C82" s="1" t="inlineStr">
        <is>
          <t>Equipamiento / Ropa</t>
        </is>
      </c>
      <c r="D82" s="5" t="n">
        <v>112</v>
      </c>
      <c r="E82" s="5" t="n">
        <v>8899.163690072746</v>
      </c>
      <c r="F82" s="4" t="n">
        <v>0.7388951694825688</v>
      </c>
      <c r="G82" s="6" t="n">
        <v>334</v>
      </c>
      <c r="H82" s="6" t="n">
        <v>20.25000225</v>
      </c>
      <c r="I82" s="6" t="n">
        <v>11.2</v>
      </c>
      <c r="J82" s="7" t="n">
        <v>0</v>
      </c>
      <c r="K82" s="1" t="inlineStr"/>
    </row>
    <row r="83">
      <c r="A83" s="1" t="inlineStr">
        <is>
          <t>PAP33EQ</t>
        </is>
      </c>
      <c r="B83" s="1" t="inlineStr">
        <is>
          <t>PACKING SET PRO</t>
        </is>
      </c>
      <c r="C83" s="1" t="inlineStr">
        <is>
          <t>Equipamiento / Bolsos</t>
        </is>
      </c>
      <c r="D83" s="5" t="n">
        <v>254</v>
      </c>
      <c r="E83" s="5" t="n">
        <v>8869.563626468407</v>
      </c>
      <c r="F83" s="4" t="n">
        <v>0.6708843550092592</v>
      </c>
      <c r="G83" s="6" t="n">
        <v>1242</v>
      </c>
      <c r="H83" s="6" t="n">
        <v>11.32</v>
      </c>
      <c r="I83" s="6" t="n">
        <v>25.4</v>
      </c>
      <c r="J83" s="7" t="n">
        <v>0</v>
      </c>
      <c r="K83" s="1" t="inlineStr"/>
    </row>
    <row r="84">
      <c r="A84" s="1" t="inlineStr">
        <is>
          <t>KOA131KA</t>
        </is>
      </c>
      <c r="B84" s="1" t="inlineStr">
        <is>
          <t>MINI BAG</t>
        </is>
      </c>
      <c r="C84" s="1" t="inlineStr">
        <is>
          <t>Equipamiento / Bolsos</t>
        </is>
      </c>
      <c r="D84" s="5" t="n">
        <v>240</v>
      </c>
      <c r="E84" s="5" t="n">
        <v>8791.891536866704</v>
      </c>
      <c r="F84" s="4" t="n">
        <v>0.8389037993627193</v>
      </c>
      <c r="G84" s="6" t="n">
        <v>471</v>
      </c>
      <c r="H84" s="6" t="n">
        <v>6.33</v>
      </c>
      <c r="I84" s="6" t="n">
        <v>24</v>
      </c>
      <c r="J84" s="7" t="n">
        <v>0</v>
      </c>
      <c r="K84" s="1" t="inlineStr"/>
    </row>
    <row r="85">
      <c r="A85" s="1" t="inlineStr">
        <is>
          <t>TOA43PL</t>
        </is>
      </c>
      <c r="B85" s="1" t="inlineStr">
        <is>
          <t>TOALLA PLAYA</t>
        </is>
      </c>
      <c r="C85" s="1" t="inlineStr">
        <is>
          <t>Equipamiento / Toallas</t>
        </is>
      </c>
      <c r="D85" s="5" t="n">
        <v>273</v>
      </c>
      <c r="E85" s="5" t="n">
        <v>8691.229340239999</v>
      </c>
      <c r="F85" s="4" t="n">
        <v>0.8432992290258065</v>
      </c>
      <c r="G85" s="6" t="n">
        <v>872</v>
      </c>
      <c r="H85" s="6" t="n">
        <v>4.83</v>
      </c>
      <c r="I85" s="6" t="n">
        <v>27.3</v>
      </c>
      <c r="J85" s="7" t="n">
        <v>0</v>
      </c>
      <c r="K85" s="1" t="inlineStr"/>
    </row>
    <row r="86">
      <c r="A86" s="1" t="inlineStr">
        <is>
          <t>TOA127ES</t>
        </is>
      </c>
      <c r="B86" s="1" t="inlineStr">
        <is>
          <t>TOALLA ESTAMPADA</t>
        </is>
      </c>
      <c r="C86" s="1" t="inlineStr">
        <is>
          <t>Equipamiento / Toallas</t>
        </is>
      </c>
      <c r="D86" s="5" t="n">
        <v>261</v>
      </c>
      <c r="E86" s="5" t="n">
        <v>8683.471802846574</v>
      </c>
      <c r="F86" s="4" t="n">
        <v>0.8180678046004237</v>
      </c>
      <c r="G86" s="6" t="n">
        <v>812</v>
      </c>
      <c r="H86" s="6" t="n">
        <v>6.29</v>
      </c>
      <c r="I86" s="6" t="n">
        <v>26.1</v>
      </c>
      <c r="J86" s="7" t="n">
        <v>0</v>
      </c>
      <c r="K86" s="1" t="inlineStr"/>
    </row>
    <row r="87">
      <c r="A87" s="1" t="inlineStr">
        <is>
          <t>PANNTDA43TM</t>
        </is>
      </c>
      <c r="B87" s="1" t="inlineStr">
        <is>
          <t>EXPLORE PANTS DAMA</t>
        </is>
      </c>
      <c r="C87" s="1" t="inlineStr">
        <is>
          <t>Manufactura / Dama / P. Inferiores</t>
        </is>
      </c>
      <c r="D87" s="5" t="n">
        <v>129</v>
      </c>
      <c r="E87" s="5" t="n">
        <v>8563.10352954</v>
      </c>
      <c r="F87" s="4" t="n">
        <v>0.7702206650454546</v>
      </c>
      <c r="G87" s="6" t="n">
        <v>34</v>
      </c>
      <c r="H87" s="6" t="n">
        <v>15.3928899</v>
      </c>
      <c r="I87" s="6" t="n">
        <v>12.9</v>
      </c>
      <c r="J87" s="7" t="n">
        <v>0</v>
      </c>
      <c r="K87" s="1" t="inlineStr"/>
    </row>
    <row r="88">
      <c r="A88" s="1" t="inlineStr">
        <is>
          <t>JAPCA43TS</t>
        </is>
      </c>
      <c r="B88" s="1" t="inlineStr">
        <is>
          <t>CUADRO JACKET 2.0 CAB</t>
        </is>
      </c>
      <c r="C88" s="1" t="inlineStr">
        <is>
          <t>Equipamiento / Ropa</t>
        </is>
      </c>
      <c r="D88" s="5" t="n">
        <v>107</v>
      </c>
      <c r="E88" s="5" t="n">
        <v>8554.15186407</v>
      </c>
      <c r="F88" s="4" t="n">
        <v>0.7510776454114285</v>
      </c>
      <c r="G88" s="6" t="n">
        <v>295</v>
      </c>
      <c r="H88" s="6" t="n">
        <v>20.25000225</v>
      </c>
      <c r="I88" s="6" t="n">
        <v>10.7</v>
      </c>
      <c r="J88" s="7" t="n">
        <v>0</v>
      </c>
      <c r="K88" s="1" t="inlineStr"/>
    </row>
    <row r="89">
      <c r="A89" s="1" t="inlineStr">
        <is>
          <t>REFROJTOGE50EQ</t>
        </is>
      </c>
      <c r="B89" s="1" t="inlineStr">
        <is>
          <t>REFRESH ROJO</t>
        </is>
      </c>
      <c r="C89" s="1" t="inlineStr">
        <is>
          <t>Manufactura / Refresh</t>
        </is>
      </c>
      <c r="D89" s="5" t="n">
        <v>314</v>
      </c>
      <c r="E89" s="5" t="n">
        <v>8511.95267606</v>
      </c>
      <c r="F89" s="4" t="n">
        <v>0.60793390665</v>
      </c>
      <c r="G89" s="6" t="n">
        <v>22</v>
      </c>
      <c r="H89" s="6" t="n">
        <v>10.75</v>
      </c>
      <c r="I89" s="6" t="n">
        <v>31.4</v>
      </c>
      <c r="J89" s="7" t="n">
        <v>2</v>
      </c>
      <c r="K89" s="1" t="inlineStr"/>
    </row>
    <row r="90">
      <c r="A90" s="1" t="inlineStr">
        <is>
          <t>CAP43PC</t>
        </is>
      </c>
      <c r="B90" s="1" t="inlineStr">
        <is>
          <t>PRO CAP</t>
        </is>
      </c>
      <c r="C90" s="1" t="inlineStr">
        <is>
          <t>Equipamiento / Gorras</t>
        </is>
      </c>
      <c r="D90" s="5" t="n">
        <v>304</v>
      </c>
      <c r="E90" s="5" t="n">
        <v>8494.871728010001</v>
      </c>
      <c r="F90" s="4" t="n">
        <v>0.9041911428117647</v>
      </c>
      <c r="G90" s="6" t="n">
        <v>310</v>
      </c>
      <c r="H90" s="6" t="n">
        <v>3.36</v>
      </c>
      <c r="I90" s="6" t="n">
        <v>30.4</v>
      </c>
      <c r="J90" s="7" t="n">
        <v>0</v>
      </c>
      <c r="K90" s="1" t="inlineStr"/>
    </row>
    <row r="91">
      <c r="A91" s="1" t="inlineStr">
        <is>
          <t>TOA200ES</t>
        </is>
      </c>
      <c r="B91" s="1" t="inlineStr">
        <is>
          <t>TOALLA ESTAMPADA 2.0</t>
        </is>
      </c>
      <c r="C91" s="1" t="inlineStr">
        <is>
          <t>Equipamiento / Toallas</t>
        </is>
      </c>
      <c r="D91" s="5" t="n">
        <v>189</v>
      </c>
      <c r="E91" s="5" t="n">
        <v>8419.48701209</v>
      </c>
      <c r="F91" s="4" t="n">
        <v>0.8703906891882353</v>
      </c>
      <c r="G91" s="6" t="n">
        <v>471</v>
      </c>
      <c r="H91" s="6" t="n">
        <v>5.92</v>
      </c>
      <c r="I91" s="6" t="n">
        <v>18.9</v>
      </c>
      <c r="J91" s="7" t="n">
        <v>0</v>
      </c>
      <c r="K91" s="1" t="inlineStr"/>
    </row>
    <row r="92">
      <c r="A92" s="1" t="inlineStr">
        <is>
          <t>JAPDA16TXS</t>
        </is>
      </c>
      <c r="B92" s="1" t="inlineStr">
        <is>
          <t>CUADRO JACKET 2.0 DAMA</t>
        </is>
      </c>
      <c r="C92" s="1" t="inlineStr">
        <is>
          <t>Equipamiento / Ropa</t>
        </is>
      </c>
      <c r="D92" s="5" t="n">
        <v>107</v>
      </c>
      <c r="E92" s="5" t="n">
        <v>8396.946661151609</v>
      </c>
      <c r="F92" s="4" t="n">
        <v>0.7434796702220183</v>
      </c>
      <c r="G92" s="6" t="n">
        <v>133</v>
      </c>
      <c r="H92" s="6" t="n">
        <v>20.25</v>
      </c>
      <c r="I92" s="6" t="n">
        <v>10.7</v>
      </c>
      <c r="J92" s="7" t="n">
        <v>0</v>
      </c>
      <c r="K92" s="1" t="inlineStr"/>
    </row>
    <row r="93">
      <c r="A93" s="1" t="inlineStr">
        <is>
          <t>MARMIDA12TM</t>
        </is>
      </c>
      <c r="B93" s="1" t="inlineStr">
        <is>
          <t>MAR ORIGINAL DAMA</t>
        </is>
      </c>
      <c r="C93" s="1" t="inlineStr">
        <is>
          <t>Manufactura / Dama / P. Superiores</t>
        </is>
      </c>
      <c r="D93" s="5" t="n">
        <v>235</v>
      </c>
      <c r="E93" s="5" t="n">
        <v>8396.355230319999</v>
      </c>
      <c r="F93" s="4" t="n">
        <v>0.9130570944223777</v>
      </c>
      <c r="G93" s="6" t="n">
        <v>73</v>
      </c>
      <c r="H93" s="6" t="n">
        <v>4.278324149</v>
      </c>
      <c r="I93" s="6" t="n">
        <v>23.5</v>
      </c>
      <c r="J93" s="7" t="n">
        <v>0</v>
      </c>
      <c r="K93" s="1" t="inlineStr"/>
    </row>
    <row r="94">
      <c r="A94" s="1" t="inlineStr">
        <is>
          <t>TOA12SP</t>
        </is>
      </c>
      <c r="B94" s="1" t="inlineStr">
        <is>
          <t>TOALLA SPORT</t>
        </is>
      </c>
      <c r="C94" s="1" t="inlineStr">
        <is>
          <t>Equipamiento / Toallas</t>
        </is>
      </c>
      <c r="D94" s="5" t="n">
        <v>482</v>
      </c>
      <c r="E94" s="5" t="n">
        <v>8326.182677071358</v>
      </c>
      <c r="F94" s="4" t="n">
        <v>0.9018746083337104</v>
      </c>
      <c r="G94" s="6" t="n">
        <v>139</v>
      </c>
      <c r="H94" s="6" t="n">
        <v>1.8</v>
      </c>
      <c r="I94" s="6" t="n">
        <v>48.2</v>
      </c>
      <c r="J94" s="7" t="n">
        <v>0</v>
      </c>
      <c r="K94" s="1" t="inlineStr"/>
    </row>
    <row r="95">
      <c r="A95" s="1" t="inlineStr">
        <is>
          <t>TOT0320L</t>
        </is>
      </c>
      <c r="B95" s="1" t="inlineStr">
        <is>
          <t>TOTE BAG</t>
        </is>
      </c>
      <c r="C95" s="1" t="inlineStr">
        <is>
          <t>Equipamiento / Bolsos</t>
        </is>
      </c>
      <c r="D95" s="5" t="n">
        <v>164</v>
      </c>
      <c r="E95" s="5" t="n">
        <v>8314.12541945</v>
      </c>
      <c r="F95" s="4" t="n">
        <v>0.769187176121875</v>
      </c>
      <c r="G95" s="6" t="n">
        <v>83</v>
      </c>
      <c r="H95" s="6" t="n">
        <v>11.95</v>
      </c>
      <c r="I95" s="6" t="n">
        <v>16.4</v>
      </c>
      <c r="J95" s="7" t="n">
        <v>0</v>
      </c>
      <c r="K95" s="1" t="inlineStr"/>
    </row>
    <row r="96">
      <c r="A96" s="1" t="inlineStr">
        <is>
          <t>PANNTCA33TM</t>
        </is>
      </c>
      <c r="B96" s="1" t="inlineStr">
        <is>
          <t>EXPLORE PANTS CAB</t>
        </is>
      </c>
      <c r="C96" s="1" t="inlineStr">
        <is>
          <t>Manufactura / Caballero / P. Inferiores</t>
        </is>
      </c>
      <c r="D96" s="5" t="n">
        <v>119</v>
      </c>
      <c r="E96" s="5" t="n">
        <v>8275.08237127</v>
      </c>
      <c r="F96" s="4" t="n">
        <v>0.7689701016722222</v>
      </c>
      <c r="G96" s="6" t="n">
        <v>57</v>
      </c>
      <c r="H96" s="6" t="n">
        <v>15.68994502</v>
      </c>
      <c r="I96" s="6" t="n">
        <v>11.9</v>
      </c>
      <c r="J96" s="7" t="n">
        <v>0</v>
      </c>
      <c r="K96" s="1" t="inlineStr"/>
    </row>
    <row r="97">
      <c r="A97" s="1" t="inlineStr">
        <is>
          <t>TOA13SP</t>
        </is>
      </c>
      <c r="B97" s="1" t="inlineStr">
        <is>
          <t>TOALLA SPORT</t>
        </is>
      </c>
      <c r="C97" s="1" t="inlineStr">
        <is>
          <t>Equipamiento / Toallas</t>
        </is>
      </c>
      <c r="D97" s="5" t="n">
        <v>458</v>
      </c>
      <c r="E97" s="5" t="n">
        <v>8137.74172628</v>
      </c>
      <c r="F97" s="4" t="n">
        <v>0.9013163809636677</v>
      </c>
      <c r="G97" s="6" t="n">
        <v>132</v>
      </c>
      <c r="H97" s="6" t="n">
        <v>1.8</v>
      </c>
      <c r="I97" s="6" t="n">
        <v>45.8</v>
      </c>
      <c r="J97" s="7" t="n">
        <v>0</v>
      </c>
      <c r="K97" s="1" t="inlineStr"/>
    </row>
    <row r="98">
      <c r="A98" s="1" t="inlineStr">
        <is>
          <t>JACCA43TXL</t>
        </is>
      </c>
      <c r="B98" s="1" t="inlineStr">
        <is>
          <t>JACKET CAB</t>
        </is>
      </c>
      <c r="C98" s="1" t="inlineStr">
        <is>
          <t>Equipamiento / Ropa</t>
        </is>
      </c>
      <c r="D98" s="5" t="n">
        <v>127</v>
      </c>
      <c r="E98" s="5" t="n">
        <v>8124.00158544</v>
      </c>
      <c r="F98" s="4" t="n">
        <v>0.6936820218170543</v>
      </c>
      <c r="G98" s="6" t="n">
        <v>2</v>
      </c>
      <c r="H98" s="6" t="n">
        <v>20.25001933</v>
      </c>
      <c r="I98" s="6" t="n">
        <v>12.7</v>
      </c>
      <c r="J98" s="7" t="n">
        <v>0</v>
      </c>
      <c r="K98" s="1" t="inlineStr"/>
    </row>
    <row r="99">
      <c r="A99" s="1" t="inlineStr">
        <is>
          <t>JAPDA35TM</t>
        </is>
      </c>
      <c r="B99" s="1" t="inlineStr">
        <is>
          <t>CUADRO JACKET 2.0 DAMA</t>
        </is>
      </c>
      <c r="C99" s="1" t="inlineStr">
        <is>
          <t>Equipamiento / Ropa</t>
        </is>
      </c>
      <c r="D99" s="5" t="n">
        <v>106</v>
      </c>
      <c r="E99" s="5" t="n">
        <v>8101.85169224</v>
      </c>
      <c r="F99" s="4" t="n">
        <v>0.7461891034301886</v>
      </c>
      <c r="G99" s="6" t="n">
        <v>186</v>
      </c>
      <c r="H99" s="6" t="n">
        <v>20.25</v>
      </c>
      <c r="I99" s="6" t="n">
        <v>10.6</v>
      </c>
      <c r="J99" s="7" t="n">
        <v>0</v>
      </c>
      <c r="K99" s="1" t="inlineStr"/>
    </row>
    <row r="100">
      <c r="A100" s="1" t="inlineStr">
        <is>
          <t>MARMICA66TM</t>
        </is>
      </c>
      <c r="B100" s="1" t="inlineStr">
        <is>
          <t>MAR ORIGINAL CAB</t>
        </is>
      </c>
      <c r="C100" s="1" t="inlineStr">
        <is>
          <t>Manufactura / Caballero / P. Superiores</t>
        </is>
      </c>
      <c r="D100" s="5" t="n">
        <v>177</v>
      </c>
      <c r="E100" s="5" t="n">
        <v>7945.512655892159</v>
      </c>
      <c r="F100" s="4" t="n">
        <v>0.89675397420679</v>
      </c>
      <c r="G100" s="6" t="n">
        <v>45</v>
      </c>
      <c r="H100" s="6" t="n">
        <v>4.946357428</v>
      </c>
      <c r="I100" s="6" t="n">
        <v>17.7</v>
      </c>
      <c r="J100" s="7" t="n">
        <v>0</v>
      </c>
      <c r="K100" s="1" t="inlineStr"/>
    </row>
    <row r="101">
      <c r="A101" s="1" t="inlineStr">
        <is>
          <t>CIT166CIB</t>
        </is>
      </c>
      <c r="B101" s="1" t="inlineStr">
        <is>
          <t>CITYBAG</t>
        </is>
      </c>
      <c r="C101" s="1" t="inlineStr">
        <is>
          <t>Equipamiento / Bolsos</t>
        </is>
      </c>
      <c r="D101" s="5" t="n">
        <v>145</v>
      </c>
      <c r="E101" s="5" t="n">
        <v>7889.133862960834</v>
      </c>
      <c r="F101" s="4" t="n">
        <v>0.7612671389991735</v>
      </c>
      <c r="G101" s="6" t="n">
        <v>345</v>
      </c>
      <c r="H101" s="6" t="n">
        <v>14.54</v>
      </c>
      <c r="I101" s="6" t="n">
        <v>14.5</v>
      </c>
      <c r="J101" s="7" t="n">
        <v>0</v>
      </c>
      <c r="K101" s="1" t="inlineStr"/>
    </row>
    <row r="102">
      <c r="A102" s="1" t="inlineStr">
        <is>
          <t>PONKI35EQ</t>
        </is>
      </c>
      <c r="B102" s="1" t="inlineStr">
        <is>
          <t>PONCHO KIDS</t>
        </is>
      </c>
      <c r="C102" s="1" t="inlineStr">
        <is>
          <t>Equipamiento / Ponchos</t>
        </is>
      </c>
      <c r="D102" s="5" t="n">
        <v>227</v>
      </c>
      <c r="E102" s="5" t="n">
        <v>7884.41439771</v>
      </c>
      <c r="F102" s="4" t="n">
        <v>0.763658254368932</v>
      </c>
      <c r="G102" s="6" t="n">
        <v>233</v>
      </c>
      <c r="H102" s="6" t="n">
        <v>7.99</v>
      </c>
      <c r="I102" s="6" t="n">
        <v>22.7</v>
      </c>
      <c r="J102" s="7" t="n">
        <v>0</v>
      </c>
      <c r="K102" s="1" t="inlineStr"/>
    </row>
    <row r="103">
      <c r="A103" s="1" t="inlineStr">
        <is>
          <t>JACDA43TM</t>
        </is>
      </c>
      <c r="B103" s="1" t="inlineStr">
        <is>
          <t>JACKET DAMA</t>
        </is>
      </c>
      <c r="C103" s="1" t="inlineStr">
        <is>
          <t>Equipamiento / Ropa</t>
        </is>
      </c>
      <c r="D103" s="5" t="n">
        <v>123</v>
      </c>
      <c r="E103" s="5" t="n">
        <v>7720.147591972989</v>
      </c>
      <c r="F103" s="4" t="n">
        <v>0.6912121896534884</v>
      </c>
      <c r="G103" s="6" t="n">
        <v>21</v>
      </c>
      <c r="H103" s="6" t="n">
        <v>20.25</v>
      </c>
      <c r="I103" s="6" t="n">
        <v>12.3</v>
      </c>
      <c r="J103" s="7" t="n">
        <v>0</v>
      </c>
      <c r="K103" s="1" t="inlineStr"/>
    </row>
    <row r="104">
      <c r="A104" s="1" t="inlineStr">
        <is>
          <t>RIOMICA43TL</t>
        </is>
      </c>
      <c r="B104" s="1" t="inlineStr">
        <is>
          <t>RIO ORIGINAL CAB</t>
        </is>
      </c>
      <c r="C104" s="1" t="inlineStr">
        <is>
          <t>Manufactura / Caballero / P. Superiores</t>
        </is>
      </c>
      <c r="D104" s="5" t="n">
        <v>135</v>
      </c>
      <c r="E104" s="5" t="n">
        <v>7604.57640749</v>
      </c>
      <c r="F104" s="4" t="n">
        <v>0.8901670708448276</v>
      </c>
      <c r="G104" s="6" t="n">
        <v>17</v>
      </c>
      <c r="H104" s="6" t="n">
        <v>5.939350288</v>
      </c>
      <c r="I104" s="6" t="n">
        <v>13.5</v>
      </c>
      <c r="J104" s="7" t="n">
        <v>0</v>
      </c>
      <c r="K104" s="1" t="inlineStr"/>
    </row>
    <row r="105">
      <c r="A105" s="1" t="inlineStr">
        <is>
          <t>TOA01SP</t>
        </is>
      </c>
      <c r="B105" s="1" t="inlineStr">
        <is>
          <t>TOALLA SPORT</t>
        </is>
      </c>
      <c r="C105" s="1" t="inlineStr">
        <is>
          <t>Equipamiento / Toallas</t>
        </is>
      </c>
      <c r="D105" s="5" t="n">
        <v>481</v>
      </c>
      <c r="E105" s="5" t="n">
        <v>7578.852641445585</v>
      </c>
      <c r="F105" s="4" t="n">
        <v>0.9001212714928571</v>
      </c>
      <c r="G105" s="6" t="n">
        <v>523</v>
      </c>
      <c r="H105" s="6" t="n">
        <v>1.8</v>
      </c>
      <c r="I105" s="6" t="n">
        <v>48.1</v>
      </c>
      <c r="J105" s="7" t="n">
        <v>0</v>
      </c>
      <c r="K105" s="1" t="inlineStr"/>
    </row>
    <row r="106">
      <c r="A106" s="1" t="inlineStr">
        <is>
          <t>MARMIDA43TM</t>
        </is>
      </c>
      <c r="B106" s="1" t="inlineStr">
        <is>
          <t>MAR ORIGINAL DAMA</t>
        </is>
      </c>
      <c r="C106" s="1" t="inlineStr">
        <is>
          <t>Manufactura / Dama / P. Superiores</t>
        </is>
      </c>
      <c r="D106" s="5" t="n">
        <v>158</v>
      </c>
      <c r="E106" s="5" t="n">
        <v>7535.59417505</v>
      </c>
      <c r="F106" s="4" t="n">
        <v>0.9114792140785185</v>
      </c>
      <c r="G106" s="6" t="n">
        <v>28</v>
      </c>
      <c r="H106" s="6" t="n">
        <v>4.278324149</v>
      </c>
      <c r="I106" s="6" t="n">
        <v>15.8</v>
      </c>
      <c r="J106" s="7" t="n">
        <v>0</v>
      </c>
      <c r="K106" s="1" t="inlineStr"/>
    </row>
    <row r="107">
      <c r="A107" s="1" t="inlineStr">
        <is>
          <t>MARMIDA16TM</t>
        </is>
      </c>
      <c r="B107" s="1" t="inlineStr">
        <is>
          <t>MAR ORIGINAL DAMA</t>
        </is>
      </c>
      <c r="C107" s="1" t="inlineStr">
        <is>
          <t>Manufactura / Dama / P. Superiores</t>
        </is>
      </c>
      <c r="D107" s="5" t="n">
        <v>177</v>
      </c>
      <c r="E107" s="5" t="n">
        <v>7530.581974732</v>
      </c>
      <c r="F107" s="4" t="n">
        <v>0.9038901777006622</v>
      </c>
      <c r="G107" s="6" t="n">
        <v>26</v>
      </c>
      <c r="H107" s="6" t="n">
        <v>4.278324149</v>
      </c>
      <c r="I107" s="6" t="n">
        <v>17.7</v>
      </c>
      <c r="J107" s="7" t="n">
        <v>0</v>
      </c>
      <c r="K107" s="1" t="inlineStr"/>
    </row>
    <row r="108">
      <c r="A108" s="1" t="inlineStr">
        <is>
          <t>TRA1218L</t>
        </is>
      </c>
      <c r="B108" s="1" t="inlineStr">
        <is>
          <t>TRAVEL BAG 18L</t>
        </is>
      </c>
      <c r="C108" s="1" t="inlineStr">
        <is>
          <t>Equipamiento / Bolsos</t>
        </is>
      </c>
      <c r="D108" s="5" t="n">
        <v>140</v>
      </c>
      <c r="E108" s="5" t="n">
        <v>7499.026051194435</v>
      </c>
      <c r="F108" s="4" t="n">
        <v>0.7491096961890511</v>
      </c>
      <c r="G108" s="6" t="n">
        <v>480</v>
      </c>
      <c r="H108" s="6" t="n">
        <v>14.07</v>
      </c>
      <c r="I108" s="6" t="n">
        <v>14</v>
      </c>
      <c r="J108" s="7" t="n">
        <v>0</v>
      </c>
      <c r="K108" s="1" t="inlineStr"/>
    </row>
    <row r="109">
      <c r="A109" s="1" t="inlineStr">
        <is>
          <t>SUN43EQ</t>
        </is>
      </c>
      <c r="B109" s="1" t="inlineStr">
        <is>
          <t>SUN HAT</t>
        </is>
      </c>
      <c r="C109" s="1" t="inlineStr">
        <is>
          <t>Equipamiento / Sombreros</t>
        </is>
      </c>
      <c r="D109" s="5" t="n">
        <v>273</v>
      </c>
      <c r="E109" s="5" t="n">
        <v>7464.3140267</v>
      </c>
      <c r="F109" s="4" t="n">
        <v>0.7934773211813186</v>
      </c>
      <c r="G109" s="6" t="n">
        <v>0</v>
      </c>
      <c r="H109" s="6" t="n">
        <v>5.58</v>
      </c>
      <c r="I109" s="6" t="n">
        <v>27.3</v>
      </c>
      <c r="J109" s="7" t="n">
        <v>1</v>
      </c>
      <c r="K109" s="1" t="inlineStr">
        <is>
          <t>Sin stock</t>
        </is>
      </c>
    </row>
    <row r="110">
      <c r="A110" s="1" t="inlineStr">
        <is>
          <t>PANNTCA33TL</t>
        </is>
      </c>
      <c r="B110" s="1" t="inlineStr">
        <is>
          <t>EXPLORE PANTS CAB</t>
        </is>
      </c>
      <c r="C110" s="1" t="inlineStr">
        <is>
          <t>Manufactura / Caballero / P. Inferiores</t>
        </is>
      </c>
      <c r="D110" s="5" t="n">
        <v>106</v>
      </c>
      <c r="E110" s="5" t="n">
        <v>7362.03924568</v>
      </c>
      <c r="F110" s="4" t="n">
        <v>0.7717451551130435</v>
      </c>
      <c r="G110" s="6" t="n">
        <v>72</v>
      </c>
      <c r="H110" s="6" t="n">
        <v>15.68994502</v>
      </c>
      <c r="I110" s="6" t="n">
        <v>10.6</v>
      </c>
      <c r="J110" s="7" t="n">
        <v>0</v>
      </c>
      <c r="K110" s="1" t="inlineStr"/>
    </row>
    <row r="111">
      <c r="A111" s="1" t="inlineStr">
        <is>
          <t>CGCSCA16TL</t>
        </is>
      </c>
      <c r="B111" s="1" t="inlineStr">
        <is>
          <t>CLASICA GC SUBLIMADO CAB</t>
        </is>
      </c>
      <c r="C111" s="1" t="inlineStr">
        <is>
          <t>Manufactura / Caballero / P. Superiores</t>
        </is>
      </c>
      <c r="D111" s="5" t="n">
        <v>575</v>
      </c>
      <c r="E111" s="5" t="n">
        <v>7304.415637446</v>
      </c>
      <c r="F111" s="4" t="n">
        <v>0</v>
      </c>
      <c r="G111" s="6" t="n">
        <v>0</v>
      </c>
      <c r="H111" s="6" t="n">
        <v>0</v>
      </c>
      <c r="I111" s="6" t="n">
        <v>57.5</v>
      </c>
      <c r="J111" s="7" t="n">
        <v>2</v>
      </c>
      <c r="K111" s="1" t="inlineStr">
        <is>
          <t>Sin stock</t>
        </is>
      </c>
    </row>
    <row r="112">
      <c r="A112" s="1" t="inlineStr">
        <is>
          <t>TOA126ES</t>
        </is>
      </c>
      <c r="B112" s="1" t="inlineStr">
        <is>
          <t>TOALLA ESTAMPADA</t>
        </is>
      </c>
      <c r="C112" s="1" t="inlineStr">
        <is>
          <t>Equipamiento / Toallas</t>
        </is>
      </c>
      <c r="D112" s="5" t="n">
        <v>202</v>
      </c>
      <c r="E112" s="5" t="n">
        <v>7300.26002588</v>
      </c>
      <c r="F112" s="4" t="n">
        <v>0.8186611320310527</v>
      </c>
      <c r="G112" s="6" t="n">
        <v>1046</v>
      </c>
      <c r="H112" s="6" t="n">
        <v>6.290000000000001</v>
      </c>
      <c r="I112" s="6" t="n">
        <v>20.2</v>
      </c>
      <c r="J112" s="7" t="n">
        <v>0</v>
      </c>
      <c r="K112" s="1" t="inlineStr"/>
    </row>
    <row r="113">
      <c r="A113" s="1" t="inlineStr">
        <is>
          <t>MARMIDA43TS</t>
        </is>
      </c>
      <c r="B113" s="1" t="inlineStr">
        <is>
          <t>MAR ORIGINAL DAMA</t>
        </is>
      </c>
      <c r="C113" s="1" t="inlineStr">
        <is>
          <t>Manufactura / Dama / P. Superiores</t>
        </is>
      </c>
      <c r="D113" s="5" t="n">
        <v>158</v>
      </c>
      <c r="E113" s="5" t="n">
        <v>7223.799213709911</v>
      </c>
      <c r="F113" s="4" t="n">
        <v>0.9104947665797203</v>
      </c>
      <c r="G113" s="6" t="n">
        <v>50</v>
      </c>
      <c r="H113" s="6" t="n">
        <v>4.278324149</v>
      </c>
      <c r="I113" s="6" t="n">
        <v>15.8</v>
      </c>
      <c r="J113" s="7" t="n">
        <v>0</v>
      </c>
      <c r="K113" s="1" t="inlineStr"/>
    </row>
    <row r="114">
      <c r="A114" s="1" t="inlineStr">
        <is>
          <t>JAPCA66TXL</t>
        </is>
      </c>
      <c r="B114" s="1" t="inlineStr">
        <is>
          <t>CUADRO JACKET 2.0 CAB</t>
        </is>
      </c>
      <c r="C114" s="1" t="inlineStr">
        <is>
          <t>Equipamiento / Ropa</t>
        </is>
      </c>
      <c r="D114" s="5" t="n">
        <v>90</v>
      </c>
      <c r="E114" s="5" t="n">
        <v>7209.77415479</v>
      </c>
      <c r="F114" s="4" t="n">
        <v>0.7447630919964285</v>
      </c>
      <c r="G114" s="6" t="n">
        <v>369</v>
      </c>
      <c r="H114" s="6" t="n">
        <v>20.25000225</v>
      </c>
      <c r="I114" s="6" t="n">
        <v>9</v>
      </c>
      <c r="J114" s="7" t="n">
        <v>0</v>
      </c>
      <c r="K114" s="1" t="inlineStr"/>
    </row>
    <row r="115">
      <c r="A115" s="1" t="inlineStr">
        <is>
          <t>CAP16PC</t>
        </is>
      </c>
      <c r="B115" s="1" t="inlineStr">
        <is>
          <t>PRO CAP</t>
        </is>
      </c>
      <c r="C115" s="1" t="inlineStr">
        <is>
          <t>Equipamiento / Gorras</t>
        </is>
      </c>
      <c r="D115" s="5" t="n">
        <v>235</v>
      </c>
      <c r="E115" s="5" t="n">
        <v>7121.28964054</v>
      </c>
      <c r="F115" s="4" t="n">
        <v>0.9039680328524391</v>
      </c>
      <c r="G115" s="6" t="n">
        <v>357</v>
      </c>
      <c r="H115" s="6" t="n">
        <v>3.36</v>
      </c>
      <c r="I115" s="6" t="n">
        <v>23.5</v>
      </c>
      <c r="J115" s="7" t="n">
        <v>0</v>
      </c>
      <c r="K115" s="1" t="inlineStr"/>
    </row>
    <row r="116">
      <c r="A116" s="1" t="inlineStr">
        <is>
          <t>MARMICA43TXL</t>
        </is>
      </c>
      <c r="B116" s="1" t="inlineStr">
        <is>
          <t>MAR ORIGINAL CAB</t>
        </is>
      </c>
      <c r="C116" s="1" t="inlineStr">
        <is>
          <t>Manufactura / Caballero / P. Superiores</t>
        </is>
      </c>
      <c r="D116" s="5" t="n">
        <v>142</v>
      </c>
      <c r="E116" s="5" t="n">
        <v>7117.30420002</v>
      </c>
      <c r="F116" s="4" t="n">
        <v>0.9011128325244899</v>
      </c>
      <c r="G116" s="6" t="n">
        <v>66</v>
      </c>
      <c r="H116" s="6" t="n">
        <v>4.946357428</v>
      </c>
      <c r="I116" s="6" t="n">
        <v>14.2</v>
      </c>
      <c r="J116" s="7" t="n">
        <v>0</v>
      </c>
      <c r="K116" s="1" t="inlineStr"/>
    </row>
    <row r="117">
      <c r="A117" s="1" t="inlineStr">
        <is>
          <t>JAPCA16TM</t>
        </is>
      </c>
      <c r="B117" s="1" t="inlineStr">
        <is>
          <t>CUADRO JACKET 2.0 CAB</t>
        </is>
      </c>
      <c r="C117" s="1" t="inlineStr">
        <is>
          <t>Equipamiento / Ropa</t>
        </is>
      </c>
      <c r="D117" s="5" t="n">
        <v>94</v>
      </c>
      <c r="E117" s="5" t="n">
        <v>7055.68405023161</v>
      </c>
      <c r="F117" s="4" t="n">
        <v>0.7513161725806452</v>
      </c>
      <c r="G117" s="6" t="n">
        <v>215</v>
      </c>
      <c r="H117" s="6" t="n">
        <v>20.25000225</v>
      </c>
      <c r="I117" s="6" t="n">
        <v>9.4</v>
      </c>
      <c r="J117" s="7" t="n">
        <v>0</v>
      </c>
      <c r="K117" s="1" t="inlineStr"/>
    </row>
    <row r="118">
      <c r="A118" s="1" t="inlineStr">
        <is>
          <t>SUN66EQ</t>
        </is>
      </c>
      <c r="B118" s="1" t="inlineStr">
        <is>
          <t>SUN HAT</t>
        </is>
      </c>
      <c r="C118" s="1" t="inlineStr">
        <is>
          <t>Equipamiento / Sombreros</t>
        </is>
      </c>
      <c r="D118" s="5" t="n">
        <v>253</v>
      </c>
      <c r="E118" s="5" t="n">
        <v>6968.93466395</v>
      </c>
      <c r="F118" s="4" t="n">
        <v>0.793643765302381</v>
      </c>
      <c r="G118" s="6" t="n">
        <v>156</v>
      </c>
      <c r="H118" s="6" t="n">
        <v>5.58</v>
      </c>
      <c r="I118" s="6" t="n">
        <v>25.3</v>
      </c>
      <c r="J118" s="7" t="n">
        <v>0</v>
      </c>
      <c r="K118" s="1" t="inlineStr"/>
    </row>
    <row r="119">
      <c r="A119" s="1" t="inlineStr">
        <is>
          <t>KID09EQ</t>
        </is>
      </c>
      <c r="B119" s="1" t="inlineStr">
        <is>
          <t>KID HAT</t>
        </is>
      </c>
      <c r="C119" s="1" t="inlineStr">
        <is>
          <t>Equipamiento / Sombreros</t>
        </is>
      </c>
      <c r="D119" s="5" t="n">
        <v>306</v>
      </c>
      <c r="E119" s="5" t="n">
        <v>6904.24694873</v>
      </c>
      <c r="F119" s="4" t="n">
        <v>0.8571678430952381</v>
      </c>
      <c r="G119" s="6" t="n">
        <v>649</v>
      </c>
      <c r="H119" s="6" t="n">
        <v>3.859999999999999</v>
      </c>
      <c r="I119" s="6" t="n">
        <v>30.6</v>
      </c>
      <c r="J119" s="7" t="n">
        <v>0</v>
      </c>
      <c r="K119" s="1" t="inlineStr"/>
    </row>
    <row r="120">
      <c r="A120" s="1" t="inlineStr">
        <is>
          <t>KID33EQ</t>
        </is>
      </c>
      <c r="B120" s="1" t="inlineStr">
        <is>
          <t>KID HAT</t>
        </is>
      </c>
      <c r="C120" s="1" t="inlineStr">
        <is>
          <t>Equipamiento / Sombreros</t>
        </is>
      </c>
      <c r="D120" s="5" t="n">
        <v>302</v>
      </c>
      <c r="E120" s="5" t="n">
        <v>6898.84592717</v>
      </c>
      <c r="F120" s="4" t="n">
        <v>0.8536746169295775</v>
      </c>
      <c r="G120" s="6" t="n">
        <v>894</v>
      </c>
      <c r="H120" s="6" t="n">
        <v>3.86</v>
      </c>
      <c r="I120" s="6" t="n">
        <v>30.2</v>
      </c>
      <c r="J120" s="7" t="n">
        <v>0</v>
      </c>
      <c r="K120" s="1" t="inlineStr"/>
    </row>
    <row r="121">
      <c r="A121" s="1" t="inlineStr">
        <is>
          <t>CLA43CB</t>
        </is>
      </c>
      <c r="B121" s="1" t="inlineStr">
        <is>
          <t>CLASSIC BACKPACK</t>
        </is>
      </c>
      <c r="C121" s="1" t="inlineStr">
        <is>
          <t>Equipamiento / Bolsos</t>
        </is>
      </c>
      <c r="D121" s="5" t="n">
        <v>145</v>
      </c>
      <c r="E121" s="5" t="n">
        <v>6861.614604316554</v>
      </c>
      <c r="F121" s="4" t="n">
        <v>0.6230957775527778</v>
      </c>
      <c r="G121" s="6" t="n">
        <v>151</v>
      </c>
      <c r="H121" s="6" t="n">
        <v>18.04</v>
      </c>
      <c r="I121" s="6" t="n">
        <v>14.5</v>
      </c>
      <c r="J121" s="7" t="n">
        <v>0</v>
      </c>
      <c r="K121" s="1" t="inlineStr"/>
    </row>
    <row r="122">
      <c r="A122" s="1" t="inlineStr">
        <is>
          <t>MAFMIDA34TM</t>
        </is>
      </c>
      <c r="B122" s="1" t="inlineStr">
        <is>
          <t>MAFE ORIGINAL DAMA</t>
        </is>
      </c>
      <c r="C122" s="1" t="inlineStr">
        <is>
          <t>Manufactura / Dama / P. Superiores</t>
        </is>
      </c>
      <c r="D122" s="5" t="n">
        <v>462</v>
      </c>
      <c r="E122" s="5" t="n">
        <v>6858.210058</v>
      </c>
      <c r="F122" s="4" t="n">
        <v>0.6949406232000001</v>
      </c>
      <c r="G122" s="6" t="n">
        <v>0</v>
      </c>
      <c r="H122" s="6" t="n">
        <v>4.54817671</v>
      </c>
      <c r="I122" s="6" t="n">
        <v>46.2</v>
      </c>
      <c r="J122" s="7" t="n">
        <v>4</v>
      </c>
      <c r="K122" s="1" t="inlineStr">
        <is>
          <t>Sin stock</t>
        </is>
      </c>
    </row>
    <row r="123">
      <c r="A123" s="1" t="inlineStr">
        <is>
          <t>CIT12CIB</t>
        </is>
      </c>
      <c r="B123" s="1" t="inlineStr">
        <is>
          <t>CITYBAG</t>
        </is>
      </c>
      <c r="C123" s="1" t="inlineStr">
        <is>
          <t>Equipamiento / Bolsos</t>
        </is>
      </c>
      <c r="D123" s="5" t="n">
        <v>128</v>
      </c>
      <c r="E123" s="5" t="n">
        <v>6826.373510823812</v>
      </c>
      <c r="F123" s="4" t="n">
        <v>0.7534582735991453</v>
      </c>
      <c r="G123" s="6" t="n">
        <v>370</v>
      </c>
      <c r="H123" s="6" t="n">
        <v>14.54</v>
      </c>
      <c r="I123" s="6" t="n">
        <v>12.8</v>
      </c>
      <c r="J123" s="7" t="n">
        <v>0</v>
      </c>
      <c r="K123" s="1" t="inlineStr"/>
    </row>
    <row r="124">
      <c r="A124" s="1" t="inlineStr">
        <is>
          <t>JAPDA162TXS</t>
        </is>
      </c>
      <c r="B124" s="1" t="inlineStr">
        <is>
          <t>CUADRO JACKET 2.0 DAMA</t>
        </is>
      </c>
      <c r="C124" s="1" t="inlineStr">
        <is>
          <t>Equipamiento / Ropa</t>
        </is>
      </c>
      <c r="D124" s="5" t="n">
        <v>81</v>
      </c>
      <c r="E124" s="5" t="n">
        <v>6801.26267062</v>
      </c>
      <c r="F124" s="4" t="n">
        <v>0.7538295040929411</v>
      </c>
      <c r="G124" s="6" t="n">
        <v>148</v>
      </c>
      <c r="H124" s="6" t="n">
        <v>20.25</v>
      </c>
      <c r="I124" s="6" t="n">
        <v>8.1</v>
      </c>
      <c r="J124" s="7" t="n">
        <v>0</v>
      </c>
      <c r="K124" s="1" t="inlineStr"/>
    </row>
    <row r="125">
      <c r="A125" s="1" t="inlineStr">
        <is>
          <t>MARMICA43TS</t>
        </is>
      </c>
      <c r="B125" s="1" t="inlineStr">
        <is>
          <t>MAR ORIGINAL CAB</t>
        </is>
      </c>
      <c r="C125" s="1" t="inlineStr">
        <is>
          <t>Manufactura / Caballero / P. Superiores</t>
        </is>
      </c>
      <c r="D125" s="5" t="n">
        <v>148</v>
      </c>
      <c r="E125" s="5" t="n">
        <v>6790.27139827</v>
      </c>
      <c r="F125" s="4" t="n">
        <v>0.9018927934115942</v>
      </c>
      <c r="G125" s="6" t="n">
        <v>164</v>
      </c>
      <c r="H125" s="6" t="n">
        <v>4.946357428</v>
      </c>
      <c r="I125" s="6" t="n">
        <v>14.8</v>
      </c>
      <c r="J125" s="7" t="n">
        <v>0</v>
      </c>
      <c r="K125" s="1" t="inlineStr"/>
    </row>
    <row r="126">
      <c r="A126" s="1" t="inlineStr">
        <is>
          <t>JAPCA16TL</t>
        </is>
      </c>
      <c r="B126" s="1" t="inlineStr">
        <is>
          <t>CUADRO JACKET 2.0 CAB</t>
        </is>
      </c>
      <c r="C126" s="1" t="inlineStr">
        <is>
          <t>Equipamiento / Ropa</t>
        </is>
      </c>
      <c r="D126" s="5" t="n">
        <v>85</v>
      </c>
      <c r="E126" s="5" t="n">
        <v>6760.16207213</v>
      </c>
      <c r="F126" s="4" t="n">
        <v>0.7510539138808988</v>
      </c>
      <c r="G126" s="6" t="n">
        <v>238</v>
      </c>
      <c r="H126" s="6" t="n">
        <v>20.25000225</v>
      </c>
      <c r="I126" s="6" t="n">
        <v>8.5</v>
      </c>
      <c r="J126" s="7" t="n">
        <v>0</v>
      </c>
      <c r="K126" s="1" t="inlineStr"/>
    </row>
    <row r="127">
      <c r="A127" s="1" t="inlineStr">
        <is>
          <t>DRY665L</t>
        </is>
      </c>
      <c r="B127" s="1" t="inlineStr">
        <is>
          <t>DRY BAG 5L</t>
        </is>
      </c>
      <c r="C127" s="1" t="inlineStr">
        <is>
          <t>Equipamiento / Bolsos</t>
        </is>
      </c>
      <c r="D127" s="5" t="n">
        <v>187</v>
      </c>
      <c r="E127" s="5" t="n">
        <v>6753.92624668</v>
      </c>
      <c r="F127" s="4" t="n">
        <v>0.8664465972319728</v>
      </c>
      <c r="G127" s="6" t="n">
        <v>326</v>
      </c>
      <c r="H127" s="6" t="n">
        <v>4.91</v>
      </c>
      <c r="I127" s="6" t="n">
        <v>18.7</v>
      </c>
      <c r="J127" s="7" t="n">
        <v>0</v>
      </c>
      <c r="K127" s="1" t="inlineStr"/>
    </row>
    <row r="128">
      <c r="A128" s="1" t="inlineStr">
        <is>
          <t>PANNTDA33TM</t>
        </is>
      </c>
      <c r="B128" s="1" t="inlineStr">
        <is>
          <t>EXPLORE PANTS DAMA</t>
        </is>
      </c>
      <c r="C128" s="1" t="inlineStr">
        <is>
          <t>Manufactura / Dama / P. Inferiores</t>
        </is>
      </c>
      <c r="D128" s="5" t="n">
        <v>106</v>
      </c>
      <c r="E128" s="5" t="n">
        <v>6748.43936879</v>
      </c>
      <c r="F128" s="4" t="n">
        <v>0.7721598116268518</v>
      </c>
      <c r="G128" s="6" t="n">
        <v>87</v>
      </c>
      <c r="H128" s="6" t="n">
        <v>15.3928899</v>
      </c>
      <c r="I128" s="6" t="n">
        <v>10.6</v>
      </c>
      <c r="J128" s="7" t="n">
        <v>0</v>
      </c>
      <c r="K128" s="1" t="inlineStr"/>
    </row>
    <row r="129">
      <c r="A129" s="1" t="inlineStr">
        <is>
          <t>BUC141EQ</t>
        </is>
      </c>
      <c r="B129" s="1" t="inlineStr">
        <is>
          <t>BUCKET HAT ESTAMPADO</t>
        </is>
      </c>
      <c r="C129" s="1" t="inlineStr">
        <is>
          <t>Equipamiento / Sombreros</t>
        </is>
      </c>
      <c r="D129" s="5" t="n">
        <v>237</v>
      </c>
      <c r="E129" s="5" t="n">
        <v>6739.483684</v>
      </c>
      <c r="F129" s="4" t="n">
        <v>0.8237456299447675</v>
      </c>
      <c r="G129" s="6" t="n">
        <v>33</v>
      </c>
      <c r="H129" s="6" t="n">
        <v>4.98</v>
      </c>
      <c r="I129" s="6" t="n">
        <v>23.7</v>
      </c>
      <c r="J129" s="7" t="n">
        <v>0</v>
      </c>
      <c r="K129" s="1" t="inlineStr"/>
    </row>
    <row r="130">
      <c r="A130" s="1" t="inlineStr">
        <is>
          <t>MARMICA11TL</t>
        </is>
      </c>
      <c r="B130" s="1" t="inlineStr">
        <is>
          <t>MAR ORIGINAL CAB</t>
        </is>
      </c>
      <c r="C130" s="1" t="inlineStr">
        <is>
          <t>Manufactura / Caballero / P. Superiores</t>
        </is>
      </c>
      <c r="D130" s="5" t="n">
        <v>144</v>
      </c>
      <c r="E130" s="5" t="n">
        <v>6728.27166121</v>
      </c>
      <c r="F130" s="4" t="n">
        <v>0.8977327781936508</v>
      </c>
      <c r="G130" s="6" t="n">
        <v>49</v>
      </c>
      <c r="H130" s="6" t="n">
        <v>4.946357428</v>
      </c>
      <c r="I130" s="6" t="n">
        <v>14.4</v>
      </c>
      <c r="J130" s="7" t="n">
        <v>0</v>
      </c>
      <c r="K130" s="1" t="inlineStr"/>
    </row>
    <row r="131">
      <c r="A131" s="1" t="inlineStr">
        <is>
          <t>RIOMIDA43TS</t>
        </is>
      </c>
      <c r="B131" s="1" t="inlineStr">
        <is>
          <t>RIO ORIGINAL DAMA</t>
        </is>
      </c>
      <c r="C131" s="1" t="inlineStr">
        <is>
          <t>Manufactura / Dama / P. Superiores</t>
        </is>
      </c>
      <c r="D131" s="5" t="n">
        <v>126</v>
      </c>
      <c r="E131" s="5" t="n">
        <v>6687.0335627</v>
      </c>
      <c r="F131" s="4" t="n">
        <v>0.8942830515959677</v>
      </c>
      <c r="G131" s="6" t="n">
        <v>36</v>
      </c>
      <c r="H131" s="6" t="n">
        <v>5.538832275</v>
      </c>
      <c r="I131" s="6" t="n">
        <v>12.6</v>
      </c>
      <c r="J131" s="7" t="n">
        <v>0</v>
      </c>
      <c r="K131" s="1" t="inlineStr"/>
    </row>
    <row r="132">
      <c r="A132" s="1" t="inlineStr">
        <is>
          <t>CAVAP15135L</t>
        </is>
      </c>
      <c r="B132" s="1" t="inlineStr">
        <is>
          <t>CAVAPACK 35L</t>
        </is>
      </c>
      <c r="C132" s="1" t="inlineStr">
        <is>
          <t>Equipamiento / Cava</t>
        </is>
      </c>
      <c r="D132" s="5" t="n">
        <v>83</v>
      </c>
      <c r="E132" s="5" t="n">
        <v>6417.088125858311</v>
      </c>
      <c r="F132" s="4" t="n">
        <v>0.7432869906761905</v>
      </c>
      <c r="G132" s="6" t="n">
        <v>73</v>
      </c>
      <c r="H132" s="6" t="n">
        <v>24.53</v>
      </c>
      <c r="I132" s="6" t="n">
        <v>8.300000000000001</v>
      </c>
      <c r="J132" s="7" t="n">
        <v>0</v>
      </c>
      <c r="K132" s="1" t="inlineStr"/>
    </row>
    <row r="133">
      <c r="A133" s="1" t="inlineStr">
        <is>
          <t>MARMICA11TM</t>
        </is>
      </c>
      <c r="B133" s="1" t="inlineStr">
        <is>
          <t>MAR ORIGINAL CAB</t>
        </is>
      </c>
      <c r="C133" s="1" t="inlineStr">
        <is>
          <t>Manufactura / Caballero / P. Superiores</t>
        </is>
      </c>
      <c r="D133" s="5" t="n">
        <v>131</v>
      </c>
      <c r="E133" s="5" t="n">
        <v>6393.49675181</v>
      </c>
      <c r="F133" s="4" t="n">
        <v>0.9006090152866667</v>
      </c>
      <c r="G133" s="6" t="n">
        <v>66</v>
      </c>
      <c r="H133" s="6" t="n">
        <v>4.946357428</v>
      </c>
      <c r="I133" s="6" t="n">
        <v>13.1</v>
      </c>
      <c r="J133" s="7" t="n">
        <v>0</v>
      </c>
      <c r="K133" s="1" t="inlineStr"/>
    </row>
    <row r="134">
      <c r="A134" s="1" t="inlineStr">
        <is>
          <t>TOA39SP</t>
        </is>
      </c>
      <c r="B134" s="1" t="inlineStr">
        <is>
          <t>TOALLA SPORT</t>
        </is>
      </c>
      <c r="C134" s="1" t="inlineStr">
        <is>
          <t>Equipamiento / Toallas</t>
        </is>
      </c>
      <c r="D134" s="5" t="n">
        <v>353</v>
      </c>
      <c r="E134" s="5" t="n">
        <v>6378.104554419584</v>
      </c>
      <c r="F134" s="4" t="n">
        <v>0.9013589044780865</v>
      </c>
      <c r="G134" s="6" t="n">
        <v>514</v>
      </c>
      <c r="H134" s="6" t="n">
        <v>1.8</v>
      </c>
      <c r="I134" s="6" t="n">
        <v>35.3</v>
      </c>
      <c r="J134" s="7" t="n">
        <v>0</v>
      </c>
      <c r="K134" s="1" t="inlineStr"/>
    </row>
    <row r="135">
      <c r="A135" s="1" t="inlineStr">
        <is>
          <t>BAC43BF</t>
        </is>
      </c>
      <c r="B135" s="1" t="inlineStr">
        <is>
          <t>BACKPACK FLEX</t>
        </is>
      </c>
      <c r="C135" s="1" t="inlineStr">
        <is>
          <t>Equipamiento / Bolsos</t>
        </is>
      </c>
      <c r="D135" s="5" t="n">
        <v>89</v>
      </c>
      <c r="E135" s="5" t="n">
        <v>6360.526871034689</v>
      </c>
      <c r="F135" s="4" t="n">
        <v>0.7814000005480519</v>
      </c>
      <c r="G135" s="6" t="n">
        <v>400</v>
      </c>
      <c r="H135" s="6" t="n">
        <v>17.91</v>
      </c>
      <c r="I135" s="6" t="n">
        <v>8.9</v>
      </c>
      <c r="J135" s="7" t="n">
        <v>0</v>
      </c>
      <c r="K135" s="1" t="inlineStr"/>
    </row>
    <row r="136">
      <c r="A136" s="1" t="inlineStr">
        <is>
          <t>BUC124EQ</t>
        </is>
      </c>
      <c r="B136" s="1" t="inlineStr">
        <is>
          <t>BUCKET HAT ESTAMPADO</t>
        </is>
      </c>
      <c r="C136" s="1" t="inlineStr">
        <is>
          <t>Equipamiento / Sombreros</t>
        </is>
      </c>
      <c r="D136" s="5" t="n">
        <v>227</v>
      </c>
      <c r="E136" s="5" t="n">
        <v>6302.01171939</v>
      </c>
      <c r="F136" s="4" t="n">
        <v>0.8194513534368794</v>
      </c>
      <c r="G136" s="6" t="n">
        <v>9</v>
      </c>
      <c r="H136" s="6" t="n">
        <v>4.98</v>
      </c>
      <c r="I136" s="6" t="n">
        <v>22.7</v>
      </c>
      <c r="J136" s="7" t="n">
        <v>0</v>
      </c>
      <c r="K136" s="1" t="inlineStr"/>
    </row>
    <row r="137">
      <c r="A137" s="1" t="inlineStr">
        <is>
          <t>TOA30SP</t>
        </is>
      </c>
      <c r="B137" s="1" t="inlineStr">
        <is>
          <t>TOALLA SPORT</t>
        </is>
      </c>
      <c r="C137" s="1" t="inlineStr">
        <is>
          <t>Equipamiento / Toallas</t>
        </is>
      </c>
      <c r="D137" s="5" t="n">
        <v>353</v>
      </c>
      <c r="E137" s="5" t="n">
        <v>6290.899470486342</v>
      </c>
      <c r="F137" s="4" t="n">
        <v>0.9000384792139623</v>
      </c>
      <c r="G137" s="6" t="n">
        <v>414</v>
      </c>
      <c r="H137" s="6" t="n">
        <v>1.8</v>
      </c>
      <c r="I137" s="6" t="n">
        <v>35.3</v>
      </c>
      <c r="J137" s="7" t="n">
        <v>0</v>
      </c>
      <c r="K137" s="1" t="inlineStr"/>
    </row>
    <row r="138">
      <c r="A138" s="1" t="inlineStr">
        <is>
          <t>JACDA43TS</t>
        </is>
      </c>
      <c r="B138" s="1" t="inlineStr">
        <is>
          <t>JACKET DAMA</t>
        </is>
      </c>
      <c r="C138" s="1" t="inlineStr">
        <is>
          <t>Equipamiento / Ropa</t>
        </is>
      </c>
      <c r="D138" s="5" t="n">
        <v>102</v>
      </c>
      <c r="E138" s="5" t="n">
        <v>6290.85104637</v>
      </c>
      <c r="F138" s="4" t="n">
        <v>0.6802837599216495</v>
      </c>
      <c r="G138" s="6" t="n">
        <v>1</v>
      </c>
      <c r="H138" s="6" t="n">
        <v>20.25</v>
      </c>
      <c r="I138" s="6" t="n">
        <v>10.2</v>
      </c>
      <c r="J138" s="7" t="n">
        <v>0</v>
      </c>
      <c r="K138" s="1" t="inlineStr"/>
    </row>
    <row r="139">
      <c r="A139" s="1" t="inlineStr">
        <is>
          <t>RIOMICA43TM</t>
        </is>
      </c>
      <c r="B139" s="1" t="inlineStr">
        <is>
          <t>RIO ORIGINAL CAB</t>
        </is>
      </c>
      <c r="C139" s="1" t="inlineStr">
        <is>
          <t>Manufactura / Caballero / P. Superiores</t>
        </is>
      </c>
      <c r="D139" s="5" t="n">
        <v>110</v>
      </c>
      <c r="E139" s="5" t="n">
        <v>6287.68690582</v>
      </c>
      <c r="F139" s="4" t="n">
        <v>0.8940073010033899</v>
      </c>
      <c r="G139" s="6" t="n">
        <v>31</v>
      </c>
      <c r="H139" s="6" t="n">
        <v>5.939350288</v>
      </c>
      <c r="I139" s="6" t="n">
        <v>11</v>
      </c>
      <c r="J139" s="7" t="n">
        <v>0</v>
      </c>
      <c r="K139" s="1" t="inlineStr"/>
    </row>
    <row r="140">
      <c r="A140" s="1" t="inlineStr">
        <is>
          <t>MARMIDA12TS</t>
        </is>
      </c>
      <c r="B140" s="1" t="inlineStr">
        <is>
          <t>MAR ORIGINAL DAMA</t>
        </is>
      </c>
      <c r="C140" s="1" t="inlineStr">
        <is>
          <t>Manufactura / Dama / P. Superiores</t>
        </is>
      </c>
      <c r="D140" s="5" t="n">
        <v>176</v>
      </c>
      <c r="E140" s="5" t="n">
        <v>6268.55655222</v>
      </c>
      <c r="F140" s="4" t="n">
        <v>0.9123696605782946</v>
      </c>
      <c r="G140" s="6" t="n">
        <v>17</v>
      </c>
      <c r="H140" s="6" t="n">
        <v>4.278324149</v>
      </c>
      <c r="I140" s="6" t="n">
        <v>17.6</v>
      </c>
      <c r="J140" s="7" t="n">
        <v>0</v>
      </c>
      <c r="K140" s="1" t="inlineStr"/>
    </row>
    <row r="141">
      <c r="A141" s="1" t="inlineStr">
        <is>
          <t>TOA13PL</t>
        </is>
      </c>
      <c r="B141" s="1" t="inlineStr">
        <is>
          <t>TOALLA PLAYA</t>
        </is>
      </c>
      <c r="C141" s="1" t="inlineStr">
        <is>
          <t>Equipamiento / Toallas</t>
        </is>
      </c>
      <c r="D141" s="5" t="n">
        <v>201</v>
      </c>
      <c r="E141" s="5" t="n">
        <v>6209.19874546</v>
      </c>
      <c r="F141" s="4" t="n">
        <v>0.8405310927778378</v>
      </c>
      <c r="G141" s="6" t="n">
        <v>719</v>
      </c>
      <c r="H141" s="6" t="n">
        <v>4.83</v>
      </c>
      <c r="I141" s="6" t="n">
        <v>20.1</v>
      </c>
      <c r="J141" s="7" t="n">
        <v>0</v>
      </c>
      <c r="K141" s="1" t="inlineStr"/>
    </row>
    <row r="142">
      <c r="A142" s="1" t="inlineStr">
        <is>
          <t>MARMIDA11TM</t>
        </is>
      </c>
      <c r="B142" s="1" t="inlineStr">
        <is>
          <t>MAR ORIGINAL DAMA</t>
        </is>
      </c>
      <c r="C142" s="1" t="inlineStr">
        <is>
          <t>Manufactura / Dama / P. Superiores</t>
        </is>
      </c>
      <c r="D142" s="5" t="n">
        <v>129</v>
      </c>
      <c r="E142" s="5" t="n">
        <v>6093.092699712889</v>
      </c>
      <c r="F142" s="4" t="n">
        <v>0.9091236569173553</v>
      </c>
      <c r="G142" s="6" t="n">
        <v>17</v>
      </c>
      <c r="H142" s="6" t="n">
        <v>4.278324149</v>
      </c>
      <c r="I142" s="6" t="n">
        <v>12.9</v>
      </c>
      <c r="J142" s="7" t="n">
        <v>0</v>
      </c>
      <c r="K142" s="1" t="inlineStr"/>
    </row>
    <row r="143">
      <c r="A143" s="1" t="inlineStr">
        <is>
          <t>PANNTCA43TXL</t>
        </is>
      </c>
      <c r="B143" s="1" t="inlineStr">
        <is>
          <t>EXPLORE PANTS CAB</t>
        </is>
      </c>
      <c r="C143" s="1" t="inlineStr">
        <is>
          <t>Manufactura / Caballero / P. Inferiores</t>
        </is>
      </c>
      <c r="D143" s="5" t="n">
        <v>85</v>
      </c>
      <c r="E143" s="5" t="n">
        <v>5957.28541559</v>
      </c>
      <c r="F143" s="4" t="n">
        <v>0.7778417323512501</v>
      </c>
      <c r="G143" s="6" t="n">
        <v>34</v>
      </c>
      <c r="H143" s="6" t="n">
        <v>15.68994502</v>
      </c>
      <c r="I143" s="6" t="n">
        <v>8.5</v>
      </c>
      <c r="J143" s="7" t="n">
        <v>0</v>
      </c>
      <c r="K143" s="1" t="inlineStr"/>
    </row>
    <row r="144">
      <c r="A144" s="1" t="inlineStr">
        <is>
          <t>TOA09CLI</t>
        </is>
      </c>
      <c r="B144" s="1" t="inlineStr">
        <is>
          <t>TOALLA CLIP 2.0</t>
        </is>
      </c>
      <c r="C144" s="1" t="inlineStr">
        <is>
          <t>Equipamiento / Toallas</t>
        </is>
      </c>
      <c r="D144" s="5" t="n">
        <v>246</v>
      </c>
      <c r="E144" s="5" t="n">
        <v>5894.285966384</v>
      </c>
      <c r="F144" s="4" t="n">
        <v>0.7729995757611814</v>
      </c>
      <c r="G144" s="6" t="n">
        <v>48</v>
      </c>
      <c r="H144" s="6" t="n">
        <v>5.109999999999999</v>
      </c>
      <c r="I144" s="6" t="n">
        <v>24.6</v>
      </c>
      <c r="J144" s="7" t="n">
        <v>0</v>
      </c>
      <c r="K144" s="1" t="inlineStr"/>
    </row>
    <row r="145">
      <c r="A145" s="1" t="inlineStr">
        <is>
          <t>CLA31CB</t>
        </is>
      </c>
      <c r="B145" s="1" t="inlineStr">
        <is>
          <t>CLASSIC BACKPACK</t>
        </is>
      </c>
      <c r="C145" s="1" t="inlineStr">
        <is>
          <t>Equipamiento / Bolsos</t>
        </is>
      </c>
      <c r="D145" s="5" t="n">
        <v>134</v>
      </c>
      <c r="E145" s="5" t="n">
        <v>5889.39932799</v>
      </c>
      <c r="F145" s="4" t="n">
        <v>0.6123154582030302</v>
      </c>
      <c r="G145" s="6" t="n">
        <v>217</v>
      </c>
      <c r="H145" s="6" t="n">
        <v>18.04</v>
      </c>
      <c r="I145" s="6" t="n">
        <v>13.4</v>
      </c>
      <c r="J145" s="7" t="n">
        <v>0</v>
      </c>
      <c r="K145" s="1" t="inlineStr"/>
    </row>
    <row r="146">
      <c r="A146" s="1" t="inlineStr">
        <is>
          <t>RIOMIDA43TXS</t>
        </is>
      </c>
      <c r="B146" s="1" t="inlineStr">
        <is>
          <t>RIO ORIGINAL DAMA</t>
        </is>
      </c>
      <c r="C146" s="1" t="inlineStr">
        <is>
          <t>Manufactura / Dama / P. Superiores</t>
        </is>
      </c>
      <c r="D146" s="5" t="n">
        <v>102</v>
      </c>
      <c r="E146" s="5" t="n">
        <v>5879.29858744</v>
      </c>
      <c r="F146" s="4" t="n">
        <v>0.8998084402409999</v>
      </c>
      <c r="G146" s="6" t="n">
        <v>19</v>
      </c>
      <c r="H146" s="6" t="n">
        <v>5.538832275</v>
      </c>
      <c r="I146" s="6" t="n">
        <v>10.2</v>
      </c>
      <c r="J146" s="7" t="n">
        <v>0</v>
      </c>
      <c r="K146" s="1" t="inlineStr"/>
    </row>
    <row r="147">
      <c r="A147" s="1" t="inlineStr">
        <is>
          <t>JAPDA162TS</t>
        </is>
      </c>
      <c r="B147" s="1" t="inlineStr">
        <is>
          <t>CUADRO JACKET 2.0 DAMA</t>
        </is>
      </c>
      <c r="C147" s="1" t="inlineStr">
        <is>
          <t>Equipamiento / Ropa</t>
        </is>
      </c>
      <c r="D147" s="5" t="n">
        <v>82</v>
      </c>
      <c r="E147" s="5" t="n">
        <v>5875.30358452</v>
      </c>
      <c r="F147" s="4" t="n">
        <v>0.7430564981416666</v>
      </c>
      <c r="G147" s="6" t="n">
        <v>210</v>
      </c>
      <c r="H147" s="6" t="n">
        <v>20.25</v>
      </c>
      <c r="I147" s="6" t="n">
        <v>8.199999999999999</v>
      </c>
      <c r="J147" s="7" t="n">
        <v>0</v>
      </c>
      <c r="K147" s="1" t="inlineStr"/>
    </row>
    <row r="148">
      <c r="A148" s="1" t="inlineStr">
        <is>
          <t>DRY305L</t>
        </is>
      </c>
      <c r="B148" s="1" t="inlineStr">
        <is>
          <t>DRY BAG 5L</t>
        </is>
      </c>
      <c r="C148" s="1" t="inlineStr">
        <is>
          <t>Equipamiento / Bolsos</t>
        </is>
      </c>
      <c r="D148" s="5" t="n">
        <v>179</v>
      </c>
      <c r="E148" s="5" t="n">
        <v>5859.72685197</v>
      </c>
      <c r="F148" s="4" t="n">
        <v>0.8682234862204724</v>
      </c>
      <c r="G148" s="6" t="n">
        <v>258</v>
      </c>
      <c r="H148" s="6" t="n">
        <v>4.91</v>
      </c>
      <c r="I148" s="6" t="n">
        <v>17.9</v>
      </c>
      <c r="J148" s="7" t="n">
        <v>0</v>
      </c>
      <c r="K148" s="1" t="inlineStr"/>
    </row>
    <row r="149">
      <c r="A149" s="1" t="inlineStr">
        <is>
          <t>TOA63CLI</t>
        </is>
      </c>
      <c r="B149" s="1" t="inlineStr">
        <is>
          <t>TOALLA CLIP 2.0</t>
        </is>
      </c>
      <c r="C149" s="1" t="inlineStr">
        <is>
          <t>Equipamiento / Toallas</t>
        </is>
      </c>
      <c r="D149" s="5" t="n">
        <v>251</v>
      </c>
      <c r="E149" s="5" t="n">
        <v>5852.776057912</v>
      </c>
      <c r="F149" s="4" t="n">
        <v>0.7724695493785714</v>
      </c>
      <c r="G149" s="6" t="n">
        <v>248</v>
      </c>
      <c r="H149" s="6" t="n">
        <v>5.11</v>
      </c>
      <c r="I149" s="6" t="n">
        <v>25.1</v>
      </c>
      <c r="J149" s="7" t="n">
        <v>0</v>
      </c>
      <c r="K149" s="1" t="inlineStr"/>
    </row>
    <row r="150">
      <c r="A150" s="1" t="inlineStr">
        <is>
          <t>PANNTDA43TS</t>
        </is>
      </c>
      <c r="B150" s="1" t="inlineStr">
        <is>
          <t>EXPLORE PANTS DAMA</t>
        </is>
      </c>
      <c r="C150" s="1" t="inlineStr">
        <is>
          <t>Manufactura / Dama / P. Inferiores</t>
        </is>
      </c>
      <c r="D150" s="5" t="n">
        <v>86</v>
      </c>
      <c r="E150" s="5" t="n">
        <v>5849.94103858</v>
      </c>
      <c r="F150" s="4" t="n">
        <v>0.7781750538611766</v>
      </c>
      <c r="G150" s="6" t="n">
        <v>85</v>
      </c>
      <c r="H150" s="6" t="n">
        <v>15.3928899</v>
      </c>
      <c r="I150" s="6" t="n">
        <v>8.6</v>
      </c>
      <c r="J150" s="7" t="n">
        <v>0</v>
      </c>
      <c r="K150" s="1" t="inlineStr"/>
    </row>
    <row r="151">
      <c r="A151" s="1" t="inlineStr">
        <is>
          <t>JACDA43TXS</t>
        </is>
      </c>
      <c r="B151" s="1" t="inlineStr">
        <is>
          <t>JACKET DAMA</t>
        </is>
      </c>
      <c r="C151" s="1" t="inlineStr">
        <is>
          <t>Equipamiento / Ropa</t>
        </is>
      </c>
      <c r="D151" s="5" t="n">
        <v>94</v>
      </c>
      <c r="E151" s="5" t="n">
        <v>5825.9765448</v>
      </c>
      <c r="F151" s="4" t="n">
        <v>0.6855710953</v>
      </c>
      <c r="G151" s="6" t="n">
        <v>0</v>
      </c>
      <c r="H151" s="6" t="n">
        <v>20.25</v>
      </c>
      <c r="I151" s="6" t="n">
        <v>9.4</v>
      </c>
      <c r="J151" s="7" t="n">
        <v>0</v>
      </c>
      <c r="K151" s="1" t="inlineStr">
        <is>
          <t>Sin stock</t>
        </is>
      </c>
    </row>
    <row r="152">
      <c r="A152" s="1" t="inlineStr">
        <is>
          <t>DRY205L</t>
        </is>
      </c>
      <c r="B152" s="1" t="inlineStr">
        <is>
          <t>DRY BAG 5L</t>
        </is>
      </c>
      <c r="C152" s="1" t="inlineStr">
        <is>
          <t>Equipamiento / Bolsos</t>
        </is>
      </c>
      <c r="D152" s="5" t="n">
        <v>147</v>
      </c>
      <c r="E152" s="5" t="n">
        <v>5825.18911081</v>
      </c>
      <c r="F152" s="4" t="n">
        <v>0.8708432050940741</v>
      </c>
      <c r="G152" s="6" t="n">
        <v>157</v>
      </c>
      <c r="H152" s="6" t="n">
        <v>4.91</v>
      </c>
      <c r="I152" s="6" t="n">
        <v>14.7</v>
      </c>
      <c r="J152" s="7" t="n">
        <v>0</v>
      </c>
      <c r="K152" s="1" t="inlineStr"/>
    </row>
    <row r="153">
      <c r="A153" s="1" t="inlineStr">
        <is>
          <t>MAFMIDA34TS</t>
        </is>
      </c>
      <c r="B153" s="1" t="inlineStr">
        <is>
          <t>MAFE ORIGINAL DAMA</t>
        </is>
      </c>
      <c r="C153" s="1" t="inlineStr">
        <is>
          <t>Manufactura / Dama / P. Superiores</t>
        </is>
      </c>
      <c r="D153" s="5" t="n">
        <v>391</v>
      </c>
      <c r="E153" s="5" t="n">
        <v>5814.569397</v>
      </c>
      <c r="F153" s="4" t="n">
        <v>0.6949406232000001</v>
      </c>
      <c r="G153" s="6" t="n">
        <v>0</v>
      </c>
      <c r="H153" s="6" t="n">
        <v>4.54817671</v>
      </c>
      <c r="I153" s="6" t="n">
        <v>39.1</v>
      </c>
      <c r="J153" s="7" t="n">
        <v>4</v>
      </c>
      <c r="K153" s="1" t="inlineStr">
        <is>
          <t>Sin stock</t>
        </is>
      </c>
    </row>
    <row r="154">
      <c r="A154" s="1" t="inlineStr">
        <is>
          <t>REFVERTOGE152EQ</t>
        </is>
      </c>
      <c r="B154" s="1" t="inlineStr">
        <is>
          <t>REFRESH VERDE</t>
        </is>
      </c>
      <c r="C154" s="1" t="inlineStr">
        <is>
          <t>Manufactura / Refresh</t>
        </is>
      </c>
      <c r="D154" s="5" t="n">
        <v>165</v>
      </c>
      <c r="E154" s="5" t="n">
        <v>5795.306791919999</v>
      </c>
      <c r="F154" s="4" t="n">
        <v>0.5958597657499999</v>
      </c>
      <c r="G154" s="6" t="n">
        <v>23</v>
      </c>
      <c r="H154" s="6" t="n">
        <v>14.96</v>
      </c>
      <c r="I154" s="6" t="n">
        <v>16.5</v>
      </c>
      <c r="J154" s="7" t="n">
        <v>2</v>
      </c>
      <c r="K154" s="1" t="inlineStr"/>
    </row>
    <row r="155">
      <c r="A155" s="1" t="inlineStr">
        <is>
          <t>MARMICA12TXL</t>
        </is>
      </c>
      <c r="B155" s="1" t="inlineStr">
        <is>
          <t>MAR ORIGINAL CAB</t>
        </is>
      </c>
      <c r="C155" s="1" t="inlineStr">
        <is>
          <t>Manufactura / Caballero / P. Superiores</t>
        </is>
      </c>
      <c r="D155" s="5" t="n">
        <v>127</v>
      </c>
      <c r="E155" s="5" t="n">
        <v>5779.57387353588</v>
      </c>
      <c r="F155" s="4" t="n">
        <v>0.9014364350259616</v>
      </c>
      <c r="G155" s="6" t="n">
        <v>36</v>
      </c>
      <c r="H155" s="6" t="n">
        <v>4.946357428</v>
      </c>
      <c r="I155" s="6" t="n">
        <v>12.7</v>
      </c>
      <c r="J155" s="7" t="n">
        <v>0</v>
      </c>
      <c r="K155" s="1" t="inlineStr"/>
    </row>
    <row r="156">
      <c r="A156" s="1" t="inlineStr">
        <is>
          <t>MARMIDA66TS</t>
        </is>
      </c>
      <c r="B156" s="1" t="inlineStr">
        <is>
          <t>MAR ORIGINAL DAMA</t>
        </is>
      </c>
      <c r="C156" s="1" t="inlineStr">
        <is>
          <t>Manufactura / Dama / P. Superiores</t>
        </is>
      </c>
      <c r="D156" s="5" t="n">
        <v>133</v>
      </c>
      <c r="E156" s="5" t="n">
        <v>5770.63605157</v>
      </c>
      <c r="F156" s="4" t="n">
        <v>0.9117199511122641</v>
      </c>
      <c r="G156" s="6" t="n">
        <v>35</v>
      </c>
      <c r="H156" s="6" t="n">
        <v>4.278324149</v>
      </c>
      <c r="I156" s="6" t="n">
        <v>13.3</v>
      </c>
      <c r="J156" s="7" t="n">
        <v>0</v>
      </c>
      <c r="K156" s="1" t="inlineStr"/>
    </row>
    <row r="157">
      <c r="A157" s="1" t="inlineStr">
        <is>
          <t>MARMIDA43TXS</t>
        </is>
      </c>
      <c r="B157" s="1" t="inlineStr">
        <is>
          <t>MAR ORIGINAL DAMA</t>
        </is>
      </c>
      <c r="C157" s="1" t="inlineStr">
        <is>
          <t>Manufactura / Dama / P. Superiores</t>
        </is>
      </c>
      <c r="D157" s="5" t="n">
        <v>125</v>
      </c>
      <c r="E157" s="5" t="n">
        <v>5694.88298171</v>
      </c>
      <c r="F157" s="4" t="n">
        <v>0.9146859554842592</v>
      </c>
      <c r="G157" s="6" t="n">
        <v>41</v>
      </c>
      <c r="H157" s="6" t="n">
        <v>4.278324149</v>
      </c>
      <c r="I157" s="6" t="n">
        <v>12.5</v>
      </c>
      <c r="J157" s="7" t="n">
        <v>0</v>
      </c>
      <c r="K157" s="1" t="inlineStr"/>
    </row>
    <row r="158">
      <c r="A158" s="1" t="inlineStr">
        <is>
          <t>MARMICA30TM</t>
        </is>
      </c>
      <c r="B158" s="1" t="inlineStr">
        <is>
          <t>MAR ORIGINAL CAB</t>
        </is>
      </c>
      <c r="C158" s="1" t="inlineStr">
        <is>
          <t>Manufactura / Caballero / P. Superiores</t>
        </is>
      </c>
      <c r="D158" s="5" t="n">
        <v>114</v>
      </c>
      <c r="E158" s="5" t="n">
        <v>5663.35490006</v>
      </c>
      <c r="F158" s="4" t="n">
        <v>0.9021488295138889</v>
      </c>
      <c r="G158" s="6" t="n">
        <v>36</v>
      </c>
      <c r="H158" s="6" t="n">
        <v>4.946357428</v>
      </c>
      <c r="I158" s="6" t="n">
        <v>11.4</v>
      </c>
      <c r="J158" s="7" t="n">
        <v>0</v>
      </c>
      <c r="K158" s="1" t="inlineStr"/>
    </row>
    <row r="159">
      <c r="A159" s="1" t="inlineStr">
        <is>
          <t>JAPCA162TS</t>
        </is>
      </c>
      <c r="B159" s="1" t="inlineStr">
        <is>
          <t>CUADRO JACKET 2.0 CAB</t>
        </is>
      </c>
      <c r="C159" s="1" t="inlineStr">
        <is>
          <t>Equipamiento / Ropa</t>
        </is>
      </c>
      <c r="D159" s="5" t="n">
        <v>72</v>
      </c>
      <c r="E159" s="5" t="n">
        <v>5661.77811624</v>
      </c>
      <c r="F159" s="4" t="n">
        <v>0.7498202841216216</v>
      </c>
      <c r="G159" s="6" t="n">
        <v>156</v>
      </c>
      <c r="H159" s="6" t="n">
        <v>20.25000225</v>
      </c>
      <c r="I159" s="6" t="n">
        <v>7.2</v>
      </c>
      <c r="J159" s="7" t="n">
        <v>0</v>
      </c>
      <c r="K159" s="1" t="inlineStr"/>
    </row>
    <row r="160">
      <c r="A160" s="1" t="inlineStr">
        <is>
          <t>TRA1240L</t>
        </is>
      </c>
      <c r="B160" s="1" t="inlineStr">
        <is>
          <t>TRAVEL BAG 40L</t>
        </is>
      </c>
      <c r="C160" s="1" t="inlineStr">
        <is>
          <t>Equipamiento / Bolsos</t>
        </is>
      </c>
      <c r="D160" s="5" t="n">
        <v>82</v>
      </c>
      <c r="E160" s="5" t="n">
        <v>5658.1256691</v>
      </c>
      <c r="F160" s="4" t="n">
        <v>0.73936311121625</v>
      </c>
      <c r="G160" s="6" t="n">
        <v>481</v>
      </c>
      <c r="H160" s="6" t="n">
        <v>18.38</v>
      </c>
      <c r="I160" s="6" t="n">
        <v>8.199999999999999</v>
      </c>
      <c r="J160" s="7" t="n">
        <v>0</v>
      </c>
      <c r="K160" s="1" t="inlineStr"/>
    </row>
    <row r="161">
      <c r="A161" s="1" t="inlineStr">
        <is>
          <t>JAPDA35TXS</t>
        </is>
      </c>
      <c r="B161" s="1" t="inlineStr">
        <is>
          <t>CUADRO JACKET 2.0 DAMA</t>
        </is>
      </c>
      <c r="C161" s="1" t="inlineStr">
        <is>
          <t>Equipamiento / Ropa</t>
        </is>
      </c>
      <c r="D161" s="5" t="n">
        <v>70</v>
      </c>
      <c r="E161" s="5" t="n">
        <v>5640.10904041</v>
      </c>
      <c r="F161" s="4" t="n">
        <v>0.752093561396</v>
      </c>
      <c r="G161" s="6" t="n">
        <v>160</v>
      </c>
      <c r="H161" s="6" t="n">
        <v>20.25</v>
      </c>
      <c r="I161" s="6" t="n">
        <v>7</v>
      </c>
      <c r="J161" s="7" t="n">
        <v>0</v>
      </c>
      <c r="K161" s="1" t="inlineStr"/>
    </row>
    <row r="162">
      <c r="A162" s="1" t="inlineStr">
        <is>
          <t>TOA66PL</t>
        </is>
      </c>
      <c r="B162" s="1" t="inlineStr">
        <is>
          <t>TOALLA PLAYA</t>
        </is>
      </c>
      <c r="C162" s="1" t="inlineStr">
        <is>
          <t>Equipamiento / Toallas</t>
        </is>
      </c>
      <c r="D162" s="5" t="n">
        <v>184</v>
      </c>
      <c r="E162" s="5" t="n">
        <v>5638.08101359</v>
      </c>
      <c r="F162" s="4" t="n">
        <v>0.8437644742142857</v>
      </c>
      <c r="G162" s="6" t="n">
        <v>1728</v>
      </c>
      <c r="H162" s="6" t="n">
        <v>4.83</v>
      </c>
      <c r="I162" s="6" t="n">
        <v>18.4</v>
      </c>
      <c r="J162" s="7" t="n">
        <v>0</v>
      </c>
      <c r="K162" s="1" t="inlineStr"/>
    </row>
    <row r="163">
      <c r="A163" s="1" t="inlineStr">
        <is>
          <t>TOA39PL</t>
        </is>
      </c>
      <c r="B163" s="1" t="inlineStr">
        <is>
          <t>TOALLA PLAYA</t>
        </is>
      </c>
      <c r="C163" s="1" t="inlineStr">
        <is>
          <t>Equipamiento / Toallas</t>
        </is>
      </c>
      <c r="D163" s="5" t="n">
        <v>200</v>
      </c>
      <c r="E163" s="5" t="n">
        <v>5613.56659642</v>
      </c>
      <c r="F163" s="4" t="n">
        <v>0.8417109628104651</v>
      </c>
      <c r="G163" s="6" t="n">
        <v>220</v>
      </c>
      <c r="H163" s="6" t="n">
        <v>4.83</v>
      </c>
      <c r="I163" s="6" t="n">
        <v>20</v>
      </c>
      <c r="J163" s="7" t="n">
        <v>0</v>
      </c>
      <c r="K163" s="1" t="inlineStr"/>
    </row>
    <row r="164">
      <c r="A164" s="1" t="inlineStr">
        <is>
          <t>PANNTDA33TS</t>
        </is>
      </c>
      <c r="B164" s="1" t="inlineStr">
        <is>
          <t>EXPLORE PANTS DAMA</t>
        </is>
      </c>
      <c r="C164" s="1" t="inlineStr">
        <is>
          <t>Manufactura / Dama / P. Inferiores</t>
        </is>
      </c>
      <c r="D164" s="5" t="n">
        <v>89</v>
      </c>
      <c r="E164" s="5" t="n">
        <v>5595.66854258</v>
      </c>
      <c r="F164" s="4" t="n">
        <v>0.7758593605238095</v>
      </c>
      <c r="G164" s="6" t="n">
        <v>53</v>
      </c>
      <c r="H164" s="6" t="n">
        <v>15.3928899</v>
      </c>
      <c r="I164" s="6" t="n">
        <v>8.9</v>
      </c>
      <c r="J164" s="7" t="n">
        <v>0</v>
      </c>
      <c r="K164" s="1" t="inlineStr"/>
    </row>
    <row r="165">
      <c r="A165" s="1" t="inlineStr">
        <is>
          <t>JACCA43TS</t>
        </is>
      </c>
      <c r="B165" s="1" t="inlineStr">
        <is>
          <t>JACKET CAB</t>
        </is>
      </c>
      <c r="C165" s="1" t="inlineStr">
        <is>
          <t>Equipamiento / Ropa</t>
        </is>
      </c>
      <c r="D165" s="5" t="n">
        <v>88</v>
      </c>
      <c r="E165" s="5" t="n">
        <v>5594.86423835</v>
      </c>
      <c r="F165" s="4" t="n">
        <v>0.6788317474413044</v>
      </c>
      <c r="G165" s="6" t="n">
        <v>8</v>
      </c>
      <c r="H165" s="6" t="n">
        <v>20.25001933</v>
      </c>
      <c r="I165" s="6" t="n">
        <v>8.800000000000001</v>
      </c>
      <c r="J165" s="7" t="n">
        <v>0</v>
      </c>
      <c r="K165" s="1" t="inlineStr"/>
    </row>
    <row r="166">
      <c r="A166" s="1" t="inlineStr">
        <is>
          <t>RIOMIDA43TM</t>
        </is>
      </c>
      <c r="B166" s="1" t="inlineStr">
        <is>
          <t>RIO ORIGINAL DAMA</t>
        </is>
      </c>
      <c r="C166" s="1" t="inlineStr">
        <is>
          <t>Manufactura / Dama / P. Superiores</t>
        </is>
      </c>
      <c r="D166" s="5" t="n">
        <v>103</v>
      </c>
      <c r="E166" s="5" t="n">
        <v>5579.81396295</v>
      </c>
      <c r="F166" s="4" t="n">
        <v>0.8969002455285715</v>
      </c>
      <c r="G166" s="6" t="n">
        <v>91</v>
      </c>
      <c r="H166" s="6" t="n">
        <v>5.538832275</v>
      </c>
      <c r="I166" s="6" t="n">
        <v>10.3</v>
      </c>
      <c r="J166" s="7" t="n">
        <v>0</v>
      </c>
      <c r="K166" s="1" t="inlineStr"/>
    </row>
    <row r="167">
      <c r="A167" s="1" t="inlineStr">
        <is>
          <t>TOA01PL</t>
        </is>
      </c>
      <c r="B167" s="1" t="inlineStr">
        <is>
          <t>TOALLA PLAYA</t>
        </is>
      </c>
      <c r="C167" s="1" t="inlineStr">
        <is>
          <t>Equipamiento / Toallas</t>
        </is>
      </c>
      <c r="D167" s="5" t="n">
        <v>197</v>
      </c>
      <c r="E167" s="5" t="n">
        <v>5535.39365633</v>
      </c>
      <c r="F167" s="4" t="n">
        <v>0.8391757837067073</v>
      </c>
      <c r="G167" s="6" t="n">
        <v>725</v>
      </c>
      <c r="H167" s="6" t="n">
        <v>4.83</v>
      </c>
      <c r="I167" s="6" t="n">
        <v>19.7</v>
      </c>
      <c r="J167" s="7" t="n">
        <v>0</v>
      </c>
      <c r="K167" s="1" t="inlineStr"/>
    </row>
    <row r="168">
      <c r="A168" s="1" t="inlineStr">
        <is>
          <t>ZCUA15EQ</t>
        </is>
      </c>
      <c r="B168" s="1" t="inlineStr">
        <is>
          <t>ZENIT CUADRADO</t>
        </is>
      </c>
      <c r="C168" s="1" t="inlineStr">
        <is>
          <t>Equipamiento / Lentes</t>
        </is>
      </c>
      <c r="D168" s="5" t="n">
        <v>61</v>
      </c>
      <c r="E168" s="5" t="n">
        <v>5524.19526853</v>
      </c>
      <c r="F168" s="4" t="n">
        <v>0.6634283932733334</v>
      </c>
      <c r="G168" s="6" t="n">
        <v>232</v>
      </c>
      <c r="H168" s="6" t="n">
        <v>40.44</v>
      </c>
      <c r="I168" s="6" t="n">
        <v>6.1</v>
      </c>
      <c r="J168" s="7" t="n">
        <v>0</v>
      </c>
      <c r="K168" s="1" t="inlineStr"/>
    </row>
    <row r="169">
      <c r="A169" s="1" t="inlineStr">
        <is>
          <t>JAPDA162TM</t>
        </is>
      </c>
      <c r="B169" s="1" t="inlineStr">
        <is>
          <t>CUADRO JACKET 2.0 DAMA</t>
        </is>
      </c>
      <c r="C169" s="1" t="inlineStr">
        <is>
          <t>Equipamiento / Ropa</t>
        </is>
      </c>
      <c r="D169" s="5" t="n">
        <v>88</v>
      </c>
      <c r="E169" s="5" t="n">
        <v>5490.54237905</v>
      </c>
      <c r="F169" s="4" t="n">
        <v>0.7449600543619047</v>
      </c>
      <c r="G169" s="6" t="n">
        <v>207</v>
      </c>
      <c r="H169" s="6" t="n">
        <v>20.25</v>
      </c>
      <c r="I169" s="6" t="n">
        <v>8.800000000000001</v>
      </c>
      <c r="J169" s="7" t="n">
        <v>0</v>
      </c>
      <c r="K169" s="1" t="inlineStr"/>
    </row>
    <row r="170">
      <c r="A170" s="1" t="inlineStr">
        <is>
          <t>MARMICA16TS</t>
        </is>
      </c>
      <c r="B170" s="1" t="inlineStr">
        <is>
          <t>MAR ORIGINAL CAB</t>
        </is>
      </c>
      <c r="C170" s="1" t="inlineStr">
        <is>
          <t>Manufactura / Caballero / P. Superiores</t>
        </is>
      </c>
      <c r="D170" s="5" t="n">
        <v>107</v>
      </c>
      <c r="E170" s="5" t="n">
        <v>5465.11153097</v>
      </c>
      <c r="F170" s="4" t="n">
        <v>0.9007213387221239</v>
      </c>
      <c r="G170" s="6" t="n">
        <v>68</v>
      </c>
      <c r="H170" s="6" t="n">
        <v>4.946357428</v>
      </c>
      <c r="I170" s="6" t="n">
        <v>10.7</v>
      </c>
      <c r="J170" s="7" t="n">
        <v>0</v>
      </c>
      <c r="K170" s="1" t="inlineStr"/>
    </row>
    <row r="171">
      <c r="A171" s="1" t="inlineStr">
        <is>
          <t>JAPDA01TM</t>
        </is>
      </c>
      <c r="B171" s="1" t="inlineStr">
        <is>
          <t>CUADRO JACKET 2.0 DAMA</t>
        </is>
      </c>
      <c r="C171" s="1" t="inlineStr">
        <is>
          <t>Equipamiento / Ropa</t>
        </is>
      </c>
      <c r="D171" s="5" t="n">
        <v>71</v>
      </c>
      <c r="E171" s="5" t="n">
        <v>5460.09298585</v>
      </c>
      <c r="F171" s="4" t="n">
        <v>0.7445145684625</v>
      </c>
      <c r="G171" s="6" t="n">
        <v>246</v>
      </c>
      <c r="H171" s="6" t="n">
        <v>20.25</v>
      </c>
      <c r="I171" s="6" t="n">
        <v>7.1</v>
      </c>
      <c r="J171" s="7" t="n">
        <v>0</v>
      </c>
      <c r="K171" s="1" t="inlineStr"/>
    </row>
    <row r="172">
      <c r="A172" s="1" t="inlineStr">
        <is>
          <t>PONC151EQ</t>
        </is>
      </c>
      <c r="B172" s="1" t="inlineStr">
        <is>
          <t>PONCHO ADULTO</t>
        </is>
      </c>
      <c r="C172" s="1" t="inlineStr">
        <is>
          <t>Equipamiento / Ponchos</t>
        </is>
      </c>
      <c r="D172" s="5" t="n">
        <v>135</v>
      </c>
      <c r="E172" s="5" t="n">
        <v>5381.5204368</v>
      </c>
      <c r="F172" s="4" t="n">
        <v>0.8048418191589743</v>
      </c>
      <c r="G172" s="6" t="n">
        <v>461</v>
      </c>
      <c r="H172" s="6" t="n">
        <v>8.48</v>
      </c>
      <c r="I172" s="6" t="n">
        <v>13.5</v>
      </c>
      <c r="J172" s="7" t="n">
        <v>0</v>
      </c>
      <c r="K172" s="1" t="inlineStr"/>
    </row>
    <row r="173">
      <c r="A173" s="1" t="inlineStr">
        <is>
          <t>MARMICA13TM</t>
        </is>
      </c>
      <c r="B173" s="1" t="inlineStr">
        <is>
          <t>MAR ORIGINAL CAB</t>
        </is>
      </c>
      <c r="C173" s="1" t="inlineStr">
        <is>
          <t>Manufactura / Caballero / P. Superiores</t>
        </is>
      </c>
      <c r="D173" s="5" t="n">
        <v>113</v>
      </c>
      <c r="E173" s="5" t="n">
        <v>5351.773158015964</v>
      </c>
      <c r="F173" s="4" t="n">
        <v>0.8954463868364583</v>
      </c>
      <c r="G173" s="6" t="n">
        <v>135</v>
      </c>
      <c r="H173" s="6" t="n">
        <v>4.946357428</v>
      </c>
      <c r="I173" s="6" t="n">
        <v>11.3</v>
      </c>
      <c r="J173" s="7" t="n">
        <v>0</v>
      </c>
      <c r="K173" s="1" t="inlineStr"/>
    </row>
    <row r="174">
      <c r="A174" s="1" t="inlineStr">
        <is>
          <t>BUC126EQ</t>
        </is>
      </c>
      <c r="B174" s="1" t="inlineStr">
        <is>
          <t>BUCKET HAT ESTAMPADO</t>
        </is>
      </c>
      <c r="C174" s="1" t="inlineStr">
        <is>
          <t>Equipamiento / Sombreros</t>
        </is>
      </c>
      <c r="D174" s="5" t="n">
        <v>181</v>
      </c>
      <c r="E174" s="5" t="n">
        <v>5318.04221099</v>
      </c>
      <c r="F174" s="4" t="n">
        <v>0.8242826982682354</v>
      </c>
      <c r="G174" s="6" t="n">
        <v>165</v>
      </c>
      <c r="H174" s="6" t="n">
        <v>4.98</v>
      </c>
      <c r="I174" s="6" t="n">
        <v>18.1</v>
      </c>
      <c r="J174" s="7" t="n">
        <v>0</v>
      </c>
      <c r="K174" s="1" t="inlineStr"/>
    </row>
    <row r="175">
      <c r="A175" s="1" t="inlineStr">
        <is>
          <t>MARMIDA43TL</t>
        </is>
      </c>
      <c r="B175" s="1" t="inlineStr">
        <is>
          <t>MAR ORIGINAL DAMA</t>
        </is>
      </c>
      <c r="C175" s="1" t="inlineStr">
        <is>
          <t>Manufactura / Dama / P. Superiores</t>
        </is>
      </c>
      <c r="D175" s="5" t="n">
        <v>113</v>
      </c>
      <c r="E175" s="5" t="n">
        <v>5306.17830839</v>
      </c>
      <c r="F175" s="4" t="n">
        <v>0.9118949843819047</v>
      </c>
      <c r="G175" s="6" t="n">
        <v>69</v>
      </c>
      <c r="H175" s="6" t="n">
        <v>4.278324149</v>
      </c>
      <c r="I175" s="6" t="n">
        <v>11.3</v>
      </c>
      <c r="J175" s="7" t="n">
        <v>0</v>
      </c>
      <c r="K175" s="1" t="inlineStr"/>
    </row>
    <row r="176">
      <c r="A176" s="1" t="inlineStr">
        <is>
          <t>JAPDA01TS</t>
        </is>
      </c>
      <c r="B176" s="1" t="inlineStr">
        <is>
          <t>CUADRO JACKET 2.0 DAMA</t>
        </is>
      </c>
      <c r="C176" s="1" t="inlineStr">
        <is>
          <t>Equipamiento / Ropa</t>
        </is>
      </c>
      <c r="D176" s="5" t="n">
        <v>73</v>
      </c>
      <c r="E176" s="5" t="n">
        <v>5295.74293812</v>
      </c>
      <c r="F176" s="4" t="n">
        <v>0.7381307465571428</v>
      </c>
      <c r="G176" s="6" t="n">
        <v>249</v>
      </c>
      <c r="H176" s="6" t="n">
        <v>20.25</v>
      </c>
      <c r="I176" s="6" t="n">
        <v>7.3</v>
      </c>
      <c r="J176" s="7" t="n">
        <v>0</v>
      </c>
      <c r="K176" s="1" t="inlineStr"/>
    </row>
    <row r="177">
      <c r="A177" s="1" t="inlineStr">
        <is>
          <t>JACCA43TM</t>
        </is>
      </c>
      <c r="B177" s="1" t="inlineStr">
        <is>
          <t>JACKET CAB</t>
        </is>
      </c>
      <c r="C177" s="1" t="inlineStr">
        <is>
          <t>Equipamiento / Ropa</t>
        </is>
      </c>
      <c r="D177" s="5" t="n">
        <v>85</v>
      </c>
      <c r="E177" s="5" t="n">
        <v>5287.97040811</v>
      </c>
      <c r="F177" s="4" t="n">
        <v>0.6837206377469135</v>
      </c>
      <c r="G177" s="6" t="n">
        <v>0</v>
      </c>
      <c r="H177" s="6" t="n">
        <v>20.25001933</v>
      </c>
      <c r="I177" s="6" t="n">
        <v>8.5</v>
      </c>
      <c r="J177" s="7" t="n">
        <v>7</v>
      </c>
      <c r="K177" s="1" t="inlineStr">
        <is>
          <t>Sin stock</t>
        </is>
      </c>
    </row>
    <row r="178">
      <c r="A178" s="1" t="inlineStr">
        <is>
          <t>PANNTCA12TL</t>
        </is>
      </c>
      <c r="B178" s="1" t="inlineStr">
        <is>
          <t>EXPLORE PANTS CAB</t>
        </is>
      </c>
      <c r="C178" s="1" t="inlineStr">
        <is>
          <t>Manufactura / Caballero / P. Inferiores</t>
        </is>
      </c>
      <c r="D178" s="5" t="n">
        <v>80</v>
      </c>
      <c r="E178" s="5" t="n">
        <v>5264.4196798</v>
      </c>
      <c r="F178" s="4" t="n">
        <v>0.7632333511916666</v>
      </c>
      <c r="G178" s="6" t="n">
        <v>56</v>
      </c>
      <c r="H178" s="6" t="n">
        <v>15.68994502</v>
      </c>
      <c r="I178" s="6" t="n">
        <v>8</v>
      </c>
      <c r="J178" s="7" t="n">
        <v>0</v>
      </c>
      <c r="K178" s="1" t="inlineStr"/>
    </row>
    <row r="179">
      <c r="A179" s="1" t="inlineStr">
        <is>
          <t>JAPDA43TL</t>
        </is>
      </c>
      <c r="B179" s="1" t="inlineStr">
        <is>
          <t>CUADRO JACKET 2.0 DAMA</t>
        </is>
      </c>
      <c r="C179" s="1" t="inlineStr">
        <is>
          <t>Equipamiento / Ropa</t>
        </is>
      </c>
      <c r="D179" s="5" t="n">
        <v>64</v>
      </c>
      <c r="E179" s="5" t="n">
        <v>5259.87403881</v>
      </c>
      <c r="F179" s="4" t="n">
        <v>0.7435759412357142</v>
      </c>
      <c r="G179" s="6" t="n">
        <v>306</v>
      </c>
      <c r="H179" s="6" t="n">
        <v>20.25</v>
      </c>
      <c r="I179" s="6" t="n">
        <v>6.4</v>
      </c>
      <c r="J179" s="7" t="n">
        <v>0</v>
      </c>
      <c r="K179" s="1" t="inlineStr"/>
    </row>
    <row r="180">
      <c r="A180" s="1" t="inlineStr">
        <is>
          <t>DRY135L</t>
        </is>
      </c>
      <c r="B180" s="1" t="inlineStr">
        <is>
          <t>DRY BAG 5L</t>
        </is>
      </c>
      <c r="C180" s="1" t="inlineStr">
        <is>
          <t>Equipamiento / Bolsos</t>
        </is>
      </c>
      <c r="D180" s="5" t="n">
        <v>178</v>
      </c>
      <c r="E180" s="5" t="n">
        <v>5253.9467438</v>
      </c>
      <c r="F180" s="4" t="n">
        <v>0.8529496967234043</v>
      </c>
      <c r="G180" s="6" t="n">
        <v>324</v>
      </c>
      <c r="H180" s="6" t="n">
        <v>4.91</v>
      </c>
      <c r="I180" s="6" t="n">
        <v>17.8</v>
      </c>
      <c r="J180" s="7" t="n">
        <v>0</v>
      </c>
      <c r="K180" s="1" t="inlineStr"/>
    </row>
    <row r="181">
      <c r="A181" s="1" t="inlineStr">
        <is>
          <t>JACDA01TS</t>
        </is>
      </c>
      <c r="B181" s="1" t="inlineStr">
        <is>
          <t>JACKET DAMA</t>
        </is>
      </c>
      <c r="C181" s="1" t="inlineStr">
        <is>
          <t>Equipamiento / Ropa</t>
        </is>
      </c>
      <c r="D181" s="5" t="n">
        <v>76</v>
      </c>
      <c r="E181" s="5" t="n">
        <v>5231.31345722</v>
      </c>
      <c r="F181" s="4" t="n">
        <v>0.6963764042375</v>
      </c>
      <c r="G181" s="6" t="n">
        <v>15</v>
      </c>
      <c r="H181" s="6" t="n">
        <v>20.25</v>
      </c>
      <c r="I181" s="6" t="n">
        <v>7.6</v>
      </c>
      <c r="J181" s="7" t="n">
        <v>0</v>
      </c>
      <c r="K181" s="1" t="inlineStr"/>
    </row>
    <row r="182">
      <c r="A182" s="1" t="inlineStr">
        <is>
          <t>PANNTDA43TXL</t>
        </is>
      </c>
      <c r="B182" s="1" t="inlineStr">
        <is>
          <t>EXPLORE PANTS DAMA</t>
        </is>
      </c>
      <c r="C182" s="1" t="inlineStr">
        <is>
          <t>Manufactura / Dama / P. Inferiores</t>
        </is>
      </c>
      <c r="D182" s="5" t="n">
        <v>75</v>
      </c>
      <c r="E182" s="5" t="n">
        <v>5228.72279029</v>
      </c>
      <c r="F182" s="4" t="n">
        <v>0.7735756884397436</v>
      </c>
      <c r="G182" s="6" t="n">
        <v>0</v>
      </c>
      <c r="H182" s="6" t="n">
        <v>15.3928899</v>
      </c>
      <c r="I182" s="6" t="n">
        <v>7.5</v>
      </c>
      <c r="J182" s="7" t="n">
        <v>0</v>
      </c>
      <c r="K182" s="1" t="inlineStr">
        <is>
          <t>Sin stock</t>
        </is>
      </c>
    </row>
    <row r="183">
      <c r="A183" s="1" t="inlineStr">
        <is>
          <t>JACCA66TM</t>
        </is>
      </c>
      <c r="B183" s="1" t="inlineStr">
        <is>
          <t>JACKET CAB</t>
        </is>
      </c>
      <c r="C183" s="1" t="inlineStr">
        <is>
          <t>Equipamiento / Ropa</t>
        </is>
      </c>
      <c r="D183" s="5" t="n">
        <v>87</v>
      </c>
      <c r="E183" s="5" t="n">
        <v>5223.79094479</v>
      </c>
      <c r="F183" s="4" t="n">
        <v>0.683126800522353</v>
      </c>
      <c r="G183" s="6" t="n">
        <v>8</v>
      </c>
      <c r="H183" s="6" t="n">
        <v>20.25001933</v>
      </c>
      <c r="I183" s="6" t="n">
        <v>8.699999999999999</v>
      </c>
      <c r="J183" s="7" t="n">
        <v>0</v>
      </c>
      <c r="K183" s="1" t="inlineStr"/>
    </row>
    <row r="184">
      <c r="A184" s="1" t="inlineStr">
        <is>
          <t>BUC34EQ</t>
        </is>
      </c>
      <c r="B184" s="1" t="inlineStr">
        <is>
          <t>BUCKET HAT</t>
        </is>
      </c>
      <c r="C184" s="1" t="inlineStr">
        <is>
          <t>Equipamiento / Sombreros</t>
        </is>
      </c>
      <c r="D184" s="5" t="n">
        <v>193</v>
      </c>
      <c r="E184" s="5" t="n">
        <v>5203.21389033</v>
      </c>
      <c r="F184" s="4" t="n">
        <v>0.8138804470738318</v>
      </c>
      <c r="G184" s="6" t="n">
        <v>2</v>
      </c>
      <c r="H184" s="6" t="n">
        <v>4.98</v>
      </c>
      <c r="I184" s="6" t="n">
        <v>19.3</v>
      </c>
      <c r="J184" s="7" t="n">
        <v>1</v>
      </c>
      <c r="K184" s="1" t="inlineStr"/>
    </row>
    <row r="185">
      <c r="A185" s="1" t="inlineStr">
        <is>
          <t>DRY4310L</t>
        </is>
      </c>
      <c r="B185" s="1" t="inlineStr">
        <is>
          <t>DRY BAG 10L</t>
        </is>
      </c>
      <c r="C185" s="1" t="inlineStr">
        <is>
          <t>Equipamiento / Bolsos</t>
        </is>
      </c>
      <c r="D185" s="5" t="n">
        <v>130</v>
      </c>
      <c r="E185" s="5" t="n">
        <v>5179.65593031</v>
      </c>
      <c r="F185" s="4" t="n">
        <v>0.8692554329390476</v>
      </c>
      <c r="G185" s="6" t="n">
        <v>51</v>
      </c>
      <c r="H185" s="6" t="n">
        <v>5.22</v>
      </c>
      <c r="I185" s="6" t="n">
        <v>13</v>
      </c>
      <c r="J185" s="7" t="n">
        <v>0</v>
      </c>
      <c r="K185" s="1" t="inlineStr"/>
    </row>
    <row r="186">
      <c r="A186" s="1" t="inlineStr">
        <is>
          <t>TRA6718L</t>
        </is>
      </c>
      <c r="B186" s="1" t="inlineStr">
        <is>
          <t>TRAVEL BAG 18L</t>
        </is>
      </c>
      <c r="C186" s="1" t="inlineStr">
        <is>
          <t>Equipamiento / Bolsos</t>
        </is>
      </c>
      <c r="D186" s="5" t="n">
        <v>115</v>
      </c>
      <c r="E186" s="5" t="n">
        <v>5175.8743007</v>
      </c>
      <c r="F186" s="4" t="n">
        <v>0.7005511142393939</v>
      </c>
      <c r="G186" s="6" t="n">
        <v>48</v>
      </c>
      <c r="H186" s="6" t="n">
        <v>14.07</v>
      </c>
      <c r="I186" s="6" t="n">
        <v>11.5</v>
      </c>
      <c r="J186" s="7" t="n">
        <v>0</v>
      </c>
      <c r="K186" s="1" t="inlineStr"/>
    </row>
    <row r="187">
      <c r="A187" s="1" t="inlineStr">
        <is>
          <t>JACDA43TL</t>
        </is>
      </c>
      <c r="B187" s="1" t="inlineStr">
        <is>
          <t>JACKET DAMA</t>
        </is>
      </c>
      <c r="C187" s="1" t="inlineStr">
        <is>
          <t>Equipamiento / Ropa</t>
        </is>
      </c>
      <c r="D187" s="5" t="n">
        <v>80</v>
      </c>
      <c r="E187" s="5" t="n">
        <v>5142.47940857</v>
      </c>
      <c r="F187" s="4" t="n">
        <v>0.6839287930538461</v>
      </c>
      <c r="G187" s="6" t="n">
        <v>28</v>
      </c>
      <c r="H187" s="6" t="n">
        <v>20.25</v>
      </c>
      <c r="I187" s="6" t="n">
        <v>8</v>
      </c>
      <c r="J187" s="7" t="n">
        <v>0</v>
      </c>
      <c r="K187" s="1" t="inlineStr"/>
    </row>
    <row r="188">
      <c r="A188" s="1" t="inlineStr">
        <is>
          <t>CAP31DC</t>
        </is>
      </c>
      <c r="B188" s="1" t="inlineStr">
        <is>
          <t>DAD CAP</t>
        </is>
      </c>
      <c r="C188" s="1" t="inlineStr">
        <is>
          <t>Equipamiento / Gorras</t>
        </is>
      </c>
      <c r="D188" s="5" t="n">
        <v>174</v>
      </c>
      <c r="E188" s="5" t="n">
        <v>5118.91486003</v>
      </c>
      <c r="F188" s="4" t="n">
        <v>0.8929281116853658</v>
      </c>
      <c r="G188" s="6" t="n">
        <v>468</v>
      </c>
      <c r="H188" s="6" t="n">
        <v>3.27</v>
      </c>
      <c r="I188" s="6" t="n">
        <v>17.4</v>
      </c>
      <c r="J188" s="7" t="n">
        <v>0</v>
      </c>
      <c r="K188" s="1" t="inlineStr"/>
    </row>
    <row r="189">
      <c r="A189" s="1" t="inlineStr">
        <is>
          <t>MARMICA13TL</t>
        </is>
      </c>
      <c r="B189" s="1" t="inlineStr">
        <is>
          <t>MAR ORIGINAL CAB</t>
        </is>
      </c>
      <c r="C189" s="1" t="inlineStr">
        <is>
          <t>Manufactura / Caballero / P. Superiores</t>
        </is>
      </c>
      <c r="D189" s="5" t="n">
        <v>108</v>
      </c>
      <c r="E189" s="5" t="n">
        <v>5118.48947376</v>
      </c>
      <c r="F189" s="4" t="n">
        <v>0.8986280784868131</v>
      </c>
      <c r="G189" s="6" t="n">
        <v>77</v>
      </c>
      <c r="H189" s="6" t="n">
        <v>4.946357428</v>
      </c>
      <c r="I189" s="6" t="n">
        <v>10.8</v>
      </c>
      <c r="J189" s="7" t="n">
        <v>0</v>
      </c>
      <c r="K189" s="1" t="inlineStr"/>
    </row>
    <row r="190">
      <c r="A190" s="1" t="inlineStr">
        <is>
          <t>JAPCA162T2XL</t>
        </is>
      </c>
      <c r="B190" s="1" t="inlineStr">
        <is>
          <t>CUADRO JACKET 2.0 CAB</t>
        </is>
      </c>
      <c r="C190" s="1" t="inlineStr">
        <is>
          <t>Equipamiento / Ropa</t>
        </is>
      </c>
      <c r="D190" s="5" t="n">
        <v>69</v>
      </c>
      <c r="E190" s="5" t="n">
        <v>5114.98189829</v>
      </c>
      <c r="F190" s="4" t="n">
        <v>0.7440830803434211</v>
      </c>
      <c r="G190" s="6" t="n">
        <v>172</v>
      </c>
      <c r="H190" s="6" t="n">
        <v>20.25000225</v>
      </c>
      <c r="I190" s="6" t="n">
        <v>6.9</v>
      </c>
      <c r="J190" s="7" t="n">
        <v>0</v>
      </c>
      <c r="K190" s="1" t="inlineStr"/>
    </row>
    <row r="191">
      <c r="A191" s="1" t="inlineStr">
        <is>
          <t>JACDA01TM</t>
        </is>
      </c>
      <c r="B191" s="1" t="inlineStr">
        <is>
          <t>JACKET DAMA</t>
        </is>
      </c>
      <c r="C191" s="1" t="inlineStr">
        <is>
          <t>Equipamiento / Ropa</t>
        </is>
      </c>
      <c r="D191" s="5" t="n">
        <v>77</v>
      </c>
      <c r="E191" s="5" t="n">
        <v>5114.52203818</v>
      </c>
      <c r="F191" s="4" t="n">
        <v>0.7005081089573171</v>
      </c>
      <c r="G191" s="6" t="n">
        <v>8</v>
      </c>
      <c r="H191" s="6" t="n">
        <v>20.25</v>
      </c>
      <c r="I191" s="6" t="n">
        <v>7.7</v>
      </c>
      <c r="J191" s="7" t="n">
        <v>0</v>
      </c>
      <c r="K191" s="1" t="inlineStr"/>
    </row>
    <row r="192">
      <c r="A192" s="1" t="inlineStr">
        <is>
          <t>DRY2010L</t>
        </is>
      </c>
      <c r="B192" s="1" t="inlineStr">
        <is>
          <t>DRY BAG 10L</t>
        </is>
      </c>
      <c r="C192" s="1" t="inlineStr">
        <is>
          <t>Equipamiento / Bolsos</t>
        </is>
      </c>
      <c r="D192" s="5" t="n">
        <v>124</v>
      </c>
      <c r="E192" s="5" t="n">
        <v>5097.01557223</v>
      </c>
      <c r="F192" s="4" t="n">
        <v>0.8712714303256881</v>
      </c>
      <c r="G192" s="6" t="n">
        <v>87</v>
      </c>
      <c r="H192" s="6" t="n">
        <v>5.22</v>
      </c>
      <c r="I192" s="6" t="n">
        <v>12.4</v>
      </c>
      <c r="J192" s="7" t="n">
        <v>0</v>
      </c>
      <c r="K192" s="1" t="inlineStr"/>
    </row>
    <row r="193">
      <c r="A193" s="1" t="inlineStr">
        <is>
          <t>PANNTCA66TL</t>
        </is>
      </c>
      <c r="B193" s="1" t="inlineStr">
        <is>
          <t>EXPLORE PANTS CAB</t>
        </is>
      </c>
      <c r="C193" s="1" t="inlineStr">
        <is>
          <t>Manufactura / Caballero / P. Inferiores</t>
        </is>
      </c>
      <c r="D193" s="5" t="n">
        <v>75</v>
      </c>
      <c r="E193" s="5" t="n">
        <v>5046.78777135</v>
      </c>
      <c r="F193" s="4" t="n">
        <v>0.7686066926116883</v>
      </c>
      <c r="G193" s="6" t="n">
        <v>49</v>
      </c>
      <c r="H193" s="6" t="n">
        <v>15.68994502</v>
      </c>
      <c r="I193" s="6" t="n">
        <v>7.5</v>
      </c>
      <c r="J193" s="7" t="n">
        <v>0</v>
      </c>
      <c r="K193" s="1" t="inlineStr"/>
    </row>
    <row r="194">
      <c r="A194" s="1" t="inlineStr">
        <is>
          <t>JACCA66TL</t>
        </is>
      </c>
      <c r="B194" s="1" t="inlineStr">
        <is>
          <t>JACKET CAB</t>
        </is>
      </c>
      <c r="C194" s="1" t="inlineStr">
        <is>
          <t>Equipamiento / Ropa</t>
        </is>
      </c>
      <c r="D194" s="5" t="n">
        <v>81</v>
      </c>
      <c r="E194" s="5" t="n">
        <v>5037.33595387</v>
      </c>
      <c r="F194" s="4" t="n">
        <v>0.6853678990662337</v>
      </c>
      <c r="G194" s="6" t="n">
        <v>0</v>
      </c>
      <c r="H194" s="6" t="n">
        <v>20.25001933</v>
      </c>
      <c r="I194" s="6" t="n">
        <v>8.1</v>
      </c>
      <c r="J194" s="7" t="n">
        <v>1</v>
      </c>
      <c r="K194" s="1" t="inlineStr">
        <is>
          <t>Sin stock</t>
        </is>
      </c>
    </row>
    <row r="195">
      <c r="A195" s="1" t="inlineStr">
        <is>
          <t>PANNTCA30TL</t>
        </is>
      </c>
      <c r="B195" s="1" t="inlineStr">
        <is>
          <t>EXPLORE PANTS CAB</t>
        </is>
      </c>
      <c r="C195" s="1" t="inlineStr">
        <is>
          <t>Manufactura / Caballero / P. Inferiores</t>
        </is>
      </c>
      <c r="D195" s="5" t="n">
        <v>74</v>
      </c>
      <c r="E195" s="5" t="n">
        <v>5025.46042167</v>
      </c>
      <c r="F195" s="4" t="n">
        <v>0.766130455452439</v>
      </c>
      <c r="G195" s="6" t="n">
        <v>1</v>
      </c>
      <c r="H195" s="6" t="n">
        <v>15.68994502</v>
      </c>
      <c r="I195" s="6" t="n">
        <v>7.4</v>
      </c>
      <c r="J195" s="7" t="n">
        <v>0</v>
      </c>
      <c r="K195" s="1" t="inlineStr"/>
    </row>
    <row r="196">
      <c r="A196" s="1" t="inlineStr">
        <is>
          <t>BAOCCCA158TM</t>
        </is>
      </c>
      <c r="B196" s="1" t="inlineStr">
        <is>
          <t>BASIC LINE OVERSIZED CAB</t>
        </is>
      </c>
      <c r="C196" s="1" t="inlineStr">
        <is>
          <t>Manufactura / Caballero / P. Superiores</t>
        </is>
      </c>
      <c r="D196" s="5" t="n">
        <v>98</v>
      </c>
      <c r="E196" s="5" t="n">
        <v>5015.274042219499</v>
      </c>
      <c r="F196" s="4" t="n">
        <v>0.8382522339888889</v>
      </c>
      <c r="G196" s="6" t="n">
        <v>20</v>
      </c>
      <c r="H196" s="6" t="n">
        <v>9.336740741</v>
      </c>
      <c r="I196" s="6" t="n">
        <v>9.800000000000001</v>
      </c>
      <c r="J196" s="7" t="n">
        <v>0</v>
      </c>
      <c r="K196" s="1" t="inlineStr"/>
    </row>
    <row r="197">
      <c r="A197" s="1" t="inlineStr">
        <is>
          <t>DRY6610L</t>
        </is>
      </c>
      <c r="B197" s="1" t="inlineStr">
        <is>
          <t>DRY BAG 10L</t>
        </is>
      </c>
      <c r="C197" s="1" t="inlineStr">
        <is>
          <t>Equipamiento / Bolsos</t>
        </is>
      </c>
      <c r="D197" s="5" t="n">
        <v>123</v>
      </c>
      <c r="E197" s="5" t="n">
        <v>4986.00147428</v>
      </c>
      <c r="F197" s="4" t="n">
        <v>0.8679915069466666</v>
      </c>
      <c r="G197" s="6" t="n">
        <v>119</v>
      </c>
      <c r="H197" s="6" t="n">
        <v>5.22</v>
      </c>
      <c r="I197" s="6" t="n">
        <v>12.3</v>
      </c>
      <c r="J197" s="7" t="n">
        <v>0</v>
      </c>
      <c r="K197" s="1" t="inlineStr"/>
    </row>
    <row r="198">
      <c r="A198" s="1" t="inlineStr">
        <is>
          <t>MARMIDA66TM</t>
        </is>
      </c>
      <c r="B198" s="1" t="inlineStr">
        <is>
          <t>MAR ORIGINAL DAMA</t>
        </is>
      </c>
      <c r="C198" s="1" t="inlineStr">
        <is>
          <t>Manufactura / Dama / P. Superiores</t>
        </is>
      </c>
      <c r="D198" s="5" t="n">
        <v>107</v>
      </c>
      <c r="E198" s="5" t="n">
        <v>4969.49649569</v>
      </c>
      <c r="F198" s="4" t="n">
        <v>0.9113312189294738</v>
      </c>
      <c r="G198" s="6" t="n">
        <v>42</v>
      </c>
      <c r="H198" s="6" t="n">
        <v>4.278324149</v>
      </c>
      <c r="I198" s="6" t="n">
        <v>10.7</v>
      </c>
      <c r="J198" s="7" t="n">
        <v>0</v>
      </c>
      <c r="K198" s="1" t="inlineStr"/>
    </row>
    <row r="199">
      <c r="A199" s="1" t="inlineStr">
        <is>
          <t>MARMICA12TS</t>
        </is>
      </c>
      <c r="B199" s="1" t="inlineStr">
        <is>
          <t>MAR ORIGINAL CAB</t>
        </is>
      </c>
      <c r="C199" s="1" t="inlineStr">
        <is>
          <t>Manufactura / Caballero / P. Superiores</t>
        </is>
      </c>
      <c r="D199" s="5" t="n">
        <v>119</v>
      </c>
      <c r="E199" s="5" t="n">
        <v>4964.90192138</v>
      </c>
      <c r="F199" s="4" t="n">
        <v>0.8996559335545454</v>
      </c>
      <c r="G199" s="6" t="n">
        <v>33</v>
      </c>
      <c r="H199" s="6" t="n">
        <v>4.946357428</v>
      </c>
      <c r="I199" s="6" t="n">
        <v>11.9</v>
      </c>
      <c r="J199" s="7" t="n">
        <v>0</v>
      </c>
      <c r="K199" s="1" t="inlineStr"/>
    </row>
    <row r="200">
      <c r="A200" s="1" t="inlineStr">
        <is>
          <t>CIT152CIB</t>
        </is>
      </c>
      <c r="B200" s="1" t="inlineStr">
        <is>
          <t>CITYBAG</t>
        </is>
      </c>
      <c r="C200" s="1" t="inlineStr">
        <is>
          <t>Equipamiento / Bolsos</t>
        </is>
      </c>
      <c r="D200" s="5" t="n">
        <v>87</v>
      </c>
      <c r="E200" s="5" t="n">
        <v>4964.70982972</v>
      </c>
      <c r="F200" s="4" t="n">
        <v>0.7618424194348314</v>
      </c>
      <c r="G200" s="6" t="n">
        <v>413</v>
      </c>
      <c r="H200" s="6" t="n">
        <v>14.54</v>
      </c>
      <c r="I200" s="6" t="n">
        <v>8.699999999999999</v>
      </c>
      <c r="J200" s="7" t="n">
        <v>0</v>
      </c>
      <c r="K200" s="1" t="inlineStr"/>
    </row>
    <row r="201">
      <c r="A201" s="1" t="inlineStr">
        <is>
          <t>TRA5018L</t>
        </is>
      </c>
      <c r="B201" s="1" t="inlineStr">
        <is>
          <t>TRAVEL BAG 18L</t>
        </is>
      </c>
      <c r="C201" s="1" t="inlineStr">
        <is>
          <t>Equipamiento / Bolsos</t>
        </is>
      </c>
      <c r="D201" s="5" t="n">
        <v>103</v>
      </c>
      <c r="E201" s="5" t="n">
        <v>4948.56244964</v>
      </c>
      <c r="F201" s="4" t="n">
        <v>0.7040057752759493</v>
      </c>
      <c r="G201" s="6" t="n">
        <v>10</v>
      </c>
      <c r="H201" s="6" t="n">
        <v>14.07</v>
      </c>
      <c r="I201" s="6" t="n">
        <v>10.3</v>
      </c>
      <c r="J201" s="7" t="n">
        <v>0</v>
      </c>
      <c r="K201" s="1" t="inlineStr"/>
    </row>
    <row r="202">
      <c r="A202" s="1" t="inlineStr">
        <is>
          <t>MARMICA30TL</t>
        </is>
      </c>
      <c r="B202" s="1" t="inlineStr">
        <is>
          <t>MAR ORIGINAL CAB</t>
        </is>
      </c>
      <c r="C202" s="1" t="inlineStr">
        <is>
          <t>Manufactura / Caballero / P. Superiores</t>
        </is>
      </c>
      <c r="D202" s="5" t="n">
        <v>109</v>
      </c>
      <c r="E202" s="5" t="n">
        <v>4915.50172509</v>
      </c>
      <c r="F202" s="4" t="n">
        <v>0.9005102278607143</v>
      </c>
      <c r="G202" s="6" t="n">
        <v>29</v>
      </c>
      <c r="H202" s="6" t="n">
        <v>4.946357428</v>
      </c>
      <c r="I202" s="6" t="n">
        <v>10.9</v>
      </c>
      <c r="J202" s="7" t="n">
        <v>0</v>
      </c>
      <c r="K202" s="1" t="inlineStr"/>
    </row>
    <row r="203">
      <c r="A203" s="1" t="inlineStr">
        <is>
          <t>TRA1340L</t>
        </is>
      </c>
      <c r="B203" s="1" t="inlineStr">
        <is>
          <t>TRAVEL BAG 40L</t>
        </is>
      </c>
      <c r="C203" s="1" t="inlineStr">
        <is>
          <t>Equipamiento / Bolsos</t>
        </is>
      </c>
      <c r="D203" s="5" t="n">
        <v>93</v>
      </c>
      <c r="E203" s="5" t="n">
        <v>4909.8908281</v>
      </c>
      <c r="F203" s="4" t="n">
        <v>0.6630914795137931</v>
      </c>
      <c r="G203" s="6" t="n">
        <v>14</v>
      </c>
      <c r="H203" s="6" t="n">
        <v>18.38</v>
      </c>
      <c r="I203" s="6" t="n">
        <v>9.300000000000001</v>
      </c>
      <c r="J203" s="7" t="n">
        <v>0</v>
      </c>
      <c r="K203" s="1" t="inlineStr"/>
    </row>
    <row r="204">
      <c r="A204" t="inlineStr">
        <is>
          <t>PONKI09EQ</t>
        </is>
      </c>
      <c r="B204" t="inlineStr">
        <is>
          <t>PONCHO KIDS</t>
        </is>
      </c>
      <c r="C204" t="inlineStr">
        <is>
          <t>Equipamiento / Ponchos</t>
        </is>
      </c>
      <c r="D204" t="n">
        <v>145</v>
      </c>
      <c r="E204" t="n">
        <v>4878.17376702</v>
      </c>
      <c r="F204" t="n">
        <v>0.7566382445619403</v>
      </c>
      <c r="G204" t="n">
        <v>101</v>
      </c>
      <c r="H204" t="n">
        <v>7.990000000000001</v>
      </c>
      <c r="I204" t="n">
        <v>14.5</v>
      </c>
      <c r="J204" t="n">
        <v>0</v>
      </c>
      <c r="K204" t="inlineStr"/>
    </row>
    <row r="205">
      <c r="A205" t="inlineStr">
        <is>
          <t>PONKI63EQ</t>
        </is>
      </c>
      <c r="B205" t="inlineStr">
        <is>
          <t>PONCHO KIDS</t>
        </is>
      </c>
      <c r="C205" t="inlineStr">
        <is>
          <t>Equipamiento / Ponchos</t>
        </is>
      </c>
      <c r="D205" t="n">
        <v>137</v>
      </c>
      <c r="E205" t="n">
        <v>4838.74733581</v>
      </c>
      <c r="F205" t="n">
        <v>0.7666966475343283</v>
      </c>
      <c r="G205" t="n">
        <v>378</v>
      </c>
      <c r="H205" t="n">
        <v>7.990000000000001</v>
      </c>
      <c r="I205" t="n">
        <v>13.7</v>
      </c>
      <c r="J205" t="n">
        <v>0</v>
      </c>
      <c r="K205" t="inlineStr"/>
    </row>
    <row r="206">
      <c r="A206" t="inlineStr">
        <is>
          <t>PANNTDA43TL</t>
        </is>
      </c>
      <c r="B206" t="inlineStr">
        <is>
          <t>EXPLORE PANTS DAMA</t>
        </is>
      </c>
      <c r="C206" t="inlineStr">
        <is>
          <t>Manufactura / Dama / P. Inferiores</t>
        </is>
      </c>
      <c r="D206" t="n">
        <v>76</v>
      </c>
      <c r="E206" t="n">
        <v>4830.176081073056</v>
      </c>
      <c r="F206" t="n">
        <v>0.7822960261702703</v>
      </c>
      <c r="G206" t="n">
        <v>5</v>
      </c>
      <c r="H206" t="n">
        <v>15.3928899</v>
      </c>
      <c r="I206" t="n">
        <v>7.6</v>
      </c>
      <c r="J206" t="n">
        <v>0</v>
      </c>
      <c r="K206" t="inlineStr"/>
    </row>
    <row r="207">
      <c r="A207" t="inlineStr">
        <is>
          <t>TOA35SP</t>
        </is>
      </c>
      <c r="B207" t="inlineStr">
        <is>
          <t>TOALLA SPORT</t>
        </is>
      </c>
      <c r="C207" t="inlineStr">
        <is>
          <t>Equipamiento / Toallas</t>
        </is>
      </c>
      <c r="D207" t="n">
        <v>262</v>
      </c>
      <c r="E207" t="n">
        <v>4798.663034675719</v>
      </c>
      <c r="F207" t="n">
        <v>0.9007026703239669</v>
      </c>
      <c r="G207" t="n">
        <v>637</v>
      </c>
      <c r="H207" t="n">
        <v>1.8</v>
      </c>
      <c r="I207" t="n">
        <v>26.2</v>
      </c>
      <c r="J207" t="n">
        <v>0</v>
      </c>
      <c r="K207" t="inlineStr"/>
    </row>
    <row r="208">
      <c r="A208" t="inlineStr">
        <is>
          <t>SHOSUCA153TL</t>
        </is>
      </c>
      <c r="B208" t="inlineStr">
        <is>
          <t>SHORT PLAYA ESTAMPADO CAB</t>
        </is>
      </c>
      <c r="C208" t="inlineStr">
        <is>
          <t>Manufactura / Caballero / P. Inferiores</t>
        </is>
      </c>
      <c r="D208" t="n">
        <v>86</v>
      </c>
      <c r="E208" t="n">
        <v>4770.65191419</v>
      </c>
      <c r="F208" t="n">
        <v>0.7782104345323232</v>
      </c>
      <c r="G208" t="n">
        <v>26</v>
      </c>
      <c r="H208" t="n">
        <v>12.11</v>
      </c>
      <c r="I208" t="n">
        <v>8.6</v>
      </c>
      <c r="J208" t="n">
        <v>0</v>
      </c>
      <c r="K208" t="inlineStr"/>
    </row>
    <row r="209">
      <c r="A209" t="inlineStr">
        <is>
          <t>PANNTCA33TXL</t>
        </is>
      </c>
      <c r="B209" t="inlineStr">
        <is>
          <t>EXPLORE PANTS CAB</t>
        </is>
      </c>
      <c r="C209" t="inlineStr">
        <is>
          <t>Manufactura / Caballero / P. Inferiores</t>
        </is>
      </c>
      <c r="D209" t="n">
        <v>68</v>
      </c>
      <c r="E209" t="n">
        <v>4734.73048081</v>
      </c>
      <c r="F209" t="n">
        <v>0.7779474100724637</v>
      </c>
      <c r="G209" t="n">
        <v>24</v>
      </c>
      <c r="H209" t="n">
        <v>15.68994502</v>
      </c>
      <c r="I209" t="n">
        <v>6.8</v>
      </c>
      <c r="J209" t="n">
        <v>0</v>
      </c>
      <c r="K209" t="inlineStr"/>
    </row>
    <row r="210">
      <c r="A210" t="inlineStr">
        <is>
          <t>MARMIDA16TXS</t>
        </is>
      </c>
      <c r="B210" t="inlineStr">
        <is>
          <t>MAR ORIGINAL DAMA</t>
        </is>
      </c>
      <c r="C210" t="inlineStr">
        <is>
          <t>Manufactura / Dama / P. Superiores</t>
        </is>
      </c>
      <c r="D210" t="n">
        <v>92</v>
      </c>
      <c r="E210" t="n">
        <v>4690.78095829</v>
      </c>
      <c r="F210" t="n">
        <v>0.915307906960215</v>
      </c>
      <c r="G210" t="n">
        <v>29</v>
      </c>
      <c r="H210" t="n">
        <v>4.278324149</v>
      </c>
      <c r="I210" t="n">
        <v>9.199999999999999</v>
      </c>
      <c r="J210" t="n">
        <v>0</v>
      </c>
      <c r="K210" t="inlineStr"/>
    </row>
    <row r="211">
      <c r="A211" t="inlineStr">
        <is>
          <t>JACCA66TXL</t>
        </is>
      </c>
      <c r="B211" t="inlineStr">
        <is>
          <t>JACKET CAB</t>
        </is>
      </c>
      <c r="C211" t="inlineStr">
        <is>
          <t>Equipamiento / Ropa</t>
        </is>
      </c>
      <c r="D211" t="n">
        <v>75</v>
      </c>
      <c r="E211" t="n">
        <v>4681.890749962228</v>
      </c>
      <c r="F211" t="n">
        <v>0.6733805813987014</v>
      </c>
      <c r="G211" t="n">
        <v>34</v>
      </c>
      <c r="H211" t="n">
        <v>20.25001933</v>
      </c>
      <c r="I211" t="n">
        <v>7.5</v>
      </c>
      <c r="J211" t="n">
        <v>0</v>
      </c>
      <c r="K211" t="inlineStr"/>
    </row>
    <row r="212">
      <c r="A212" t="inlineStr">
        <is>
          <t>CGCSDA16TL</t>
        </is>
      </c>
      <c r="B212" t="inlineStr">
        <is>
          <t>CLASICA GC SUBLIMADO DAMA</t>
        </is>
      </c>
      <c r="C212" t="inlineStr">
        <is>
          <t>Manufactura / Dama / P. Superiores</t>
        </is>
      </c>
      <c r="D212" t="n">
        <v>369</v>
      </c>
      <c r="E212" t="n">
        <v>4636.45717134</v>
      </c>
      <c r="F212" t="n">
        <v>0</v>
      </c>
      <c r="G212" t="n">
        <v>0</v>
      </c>
      <c r="H212" t="n">
        <v>0</v>
      </c>
      <c r="I212" t="n">
        <v>36.9</v>
      </c>
      <c r="J212" t="n">
        <v>2</v>
      </c>
      <c r="K212" t="inlineStr">
        <is>
          <t>Sin stock</t>
        </is>
      </c>
    </row>
    <row r="213">
      <c r="A213" t="inlineStr">
        <is>
          <t>MARMIDA48TS</t>
        </is>
      </c>
      <c r="B213" t="inlineStr">
        <is>
          <t>MAR ORIGINAL DAMA</t>
        </is>
      </c>
      <c r="C213" t="inlineStr">
        <is>
          <t>Manufactura / Dama / P. Superiores</t>
        </is>
      </c>
      <c r="D213" t="n">
        <v>99</v>
      </c>
      <c r="E213" t="n">
        <v>4604.19291084</v>
      </c>
      <c r="F213" t="n">
        <v>0.9153047301057472</v>
      </c>
      <c r="G213" t="n">
        <v>18</v>
      </c>
      <c r="H213" t="n">
        <v>4.278324149</v>
      </c>
      <c r="I213" t="n">
        <v>9.9</v>
      </c>
      <c r="J213" t="n">
        <v>0</v>
      </c>
      <c r="K213" t="inlineStr"/>
    </row>
    <row r="214">
      <c r="A214" t="inlineStr">
        <is>
          <t>RIOMIDA12TS</t>
        </is>
      </c>
      <c r="B214" t="inlineStr">
        <is>
          <t>RIO ORIGINAL DAMA</t>
        </is>
      </c>
      <c r="C214" t="inlineStr">
        <is>
          <t>Manufactura / Dama / P. Superiores</t>
        </is>
      </c>
      <c r="D214" t="n">
        <v>85</v>
      </c>
      <c r="E214" t="n">
        <v>4592.11827039</v>
      </c>
      <c r="F214" t="n">
        <v>0.895845784895122</v>
      </c>
      <c r="G214" t="n">
        <v>47</v>
      </c>
      <c r="H214" t="n">
        <v>5.538832275</v>
      </c>
      <c r="I214" t="n">
        <v>8.5</v>
      </c>
      <c r="J214" t="n">
        <v>0</v>
      </c>
      <c r="K214" t="inlineStr"/>
    </row>
    <row r="215">
      <c r="A215" t="inlineStr">
        <is>
          <t>PANNTCA66TM</t>
        </is>
      </c>
      <c r="B215" t="inlineStr">
        <is>
          <t>EXPLORE PANTS CAB</t>
        </is>
      </c>
      <c r="C215" t="inlineStr">
        <is>
          <t>Manufactura / Caballero / P. Inferiores</t>
        </is>
      </c>
      <c r="D215" t="n">
        <v>75</v>
      </c>
      <c r="E215" t="n">
        <v>4583.47417277</v>
      </c>
      <c r="F215" t="n">
        <v>0.7565615805917808</v>
      </c>
      <c r="G215" t="n">
        <v>50</v>
      </c>
      <c r="H215" t="n">
        <v>15.68994502</v>
      </c>
      <c r="I215" t="n">
        <v>7.5</v>
      </c>
      <c r="J215" t="n">
        <v>0</v>
      </c>
      <c r="K215" t="inlineStr"/>
    </row>
    <row r="216">
      <c r="A216" t="inlineStr">
        <is>
          <t>MARMIDA11TS</t>
        </is>
      </c>
      <c r="B216" t="inlineStr">
        <is>
          <t>MAR ORIGINAL DAMA</t>
        </is>
      </c>
      <c r="C216" t="inlineStr">
        <is>
          <t>Manufactura / Dama / P. Superiores</t>
        </is>
      </c>
      <c r="D216" t="n">
        <v>98</v>
      </c>
      <c r="E216" t="n">
        <v>4571.94942838</v>
      </c>
      <c r="F216" t="n">
        <v>0.90998406704</v>
      </c>
      <c r="G216" t="n">
        <v>9</v>
      </c>
      <c r="H216" t="n">
        <v>4.278324149</v>
      </c>
      <c r="I216" t="n">
        <v>9.800000000000001</v>
      </c>
      <c r="J216" t="n">
        <v>0</v>
      </c>
      <c r="K216" t="inlineStr"/>
    </row>
    <row r="217">
      <c r="A217" t="inlineStr">
        <is>
          <t>JACDA01TXS</t>
        </is>
      </c>
      <c r="B217" t="inlineStr">
        <is>
          <t>JACKET DAMA</t>
        </is>
      </c>
      <c r="C217" t="inlineStr">
        <is>
          <t>Equipamiento / Ropa</t>
        </is>
      </c>
      <c r="D217" t="n">
        <v>67</v>
      </c>
      <c r="E217" t="n">
        <v>4513.23550908</v>
      </c>
      <c r="F217" t="n">
        <v>0.7038728204764706</v>
      </c>
      <c r="G217" t="n">
        <v>20</v>
      </c>
      <c r="H217" t="n">
        <v>20.25</v>
      </c>
      <c r="I217" t="n">
        <v>6.7</v>
      </c>
      <c r="J217" t="n">
        <v>0</v>
      </c>
      <c r="K217" t="inlineStr"/>
    </row>
    <row r="218">
      <c r="A218" t="inlineStr">
        <is>
          <t>PANNTDA33TL</t>
        </is>
      </c>
      <c r="B218" t="inlineStr">
        <is>
          <t>EXPLORE PANTS DAMA</t>
        </is>
      </c>
      <c r="C218" t="inlineStr">
        <is>
          <t>Manufactura / Dama / P. Inferiores</t>
        </is>
      </c>
      <c r="D218" t="n">
        <v>67</v>
      </c>
      <c r="E218" t="n">
        <v>4469.45967843</v>
      </c>
      <c r="F218" t="n">
        <v>0.7744805676647888</v>
      </c>
      <c r="G218" t="n">
        <v>71</v>
      </c>
      <c r="H218" t="n">
        <v>15.3928899</v>
      </c>
      <c r="I218" t="n">
        <v>6.7</v>
      </c>
      <c r="J218" t="n">
        <v>0</v>
      </c>
      <c r="K218" t="inlineStr"/>
    </row>
    <row r="219">
      <c r="A219" t="inlineStr">
        <is>
          <t>MARMICA66TXL</t>
        </is>
      </c>
      <c r="B219" t="inlineStr">
        <is>
          <t>MAR ORIGINAL CAB</t>
        </is>
      </c>
      <c r="C219" t="inlineStr">
        <is>
          <t>Manufactura / Caballero / P. Superiores</t>
        </is>
      </c>
      <c r="D219" t="n">
        <v>87</v>
      </c>
      <c r="E219" t="n">
        <v>4465.51332371</v>
      </c>
      <c r="F219" t="n">
        <v>0.8999987141477778</v>
      </c>
      <c r="G219" t="n">
        <v>16</v>
      </c>
      <c r="H219" t="n">
        <v>4.946357428</v>
      </c>
      <c r="I219" t="n">
        <v>8.699999999999999</v>
      </c>
      <c r="J219" t="n">
        <v>0</v>
      </c>
      <c r="K219" t="inlineStr"/>
    </row>
    <row r="220">
      <c r="A220" t="inlineStr">
        <is>
          <t>MARMIDA16TL</t>
        </is>
      </c>
      <c r="B220" t="inlineStr">
        <is>
          <t>MAR ORIGINAL DAMA</t>
        </is>
      </c>
      <c r="C220" t="inlineStr">
        <is>
          <t>Manufactura / Dama / P. Superiores</t>
        </is>
      </c>
      <c r="D220" t="n">
        <v>101</v>
      </c>
      <c r="E220" t="n">
        <v>4445.92697093</v>
      </c>
      <c r="F220" t="n">
        <v>0.9137500027670885</v>
      </c>
      <c r="G220" t="n">
        <v>70</v>
      </c>
      <c r="H220" t="n">
        <v>4.278324149</v>
      </c>
      <c r="I220" t="n">
        <v>10.1</v>
      </c>
      <c r="J220" t="n">
        <v>0</v>
      </c>
      <c r="K220" t="inlineStr"/>
    </row>
    <row r="221">
      <c r="A221" t="inlineStr">
        <is>
          <t>TOA66SP</t>
        </is>
      </c>
      <c r="B221" t="inlineStr">
        <is>
          <t>TOALLA SPORT</t>
        </is>
      </c>
      <c r="C221" t="inlineStr">
        <is>
          <t>Equipamiento / Toallas</t>
        </is>
      </c>
      <c r="D221" t="n">
        <v>265</v>
      </c>
      <c r="E221" t="n">
        <v>4439.719828066848</v>
      </c>
      <c r="F221" t="n">
        <v>0.9013614090285106</v>
      </c>
      <c r="G221" t="n">
        <v>462</v>
      </c>
      <c r="H221" t="n">
        <v>1.8</v>
      </c>
      <c r="I221" t="n">
        <v>26.5</v>
      </c>
      <c r="J221" t="n">
        <v>0</v>
      </c>
      <c r="K221" t="inlineStr"/>
    </row>
    <row r="222">
      <c r="A222" t="inlineStr">
        <is>
          <t>CLAMICA43TL</t>
        </is>
      </c>
      <c r="B222" t="inlineStr">
        <is>
          <t>CLASICA ORIGINAL CAB</t>
        </is>
      </c>
      <c r="C222" t="inlineStr">
        <is>
          <t>Manufactura / Caballero / P. Superiores</t>
        </is>
      </c>
      <c r="D222" t="n">
        <v>141</v>
      </c>
      <c r="E222" t="n">
        <v>4419.779680623555</v>
      </c>
      <c r="F222" t="n">
        <v>0.8800392867849463</v>
      </c>
      <c r="G222" t="n">
        <v>21</v>
      </c>
      <c r="H222" t="n">
        <v>4.598442536</v>
      </c>
      <c r="I222" t="n">
        <v>14.1</v>
      </c>
      <c r="J222" t="n">
        <v>0</v>
      </c>
      <c r="K222" t="inlineStr"/>
    </row>
    <row r="223">
      <c r="A223" t="inlineStr">
        <is>
          <t>JACCA12TXL</t>
        </is>
      </c>
      <c r="B223" t="inlineStr">
        <is>
          <t>JACKET CAB</t>
        </is>
      </c>
      <c r="C223" t="inlineStr">
        <is>
          <t>Equipamiento / Ropa</t>
        </is>
      </c>
      <c r="D223" t="n">
        <v>66</v>
      </c>
      <c r="E223" t="n">
        <v>4404.4689993</v>
      </c>
      <c r="F223" t="n">
        <v>0.6820407576210527</v>
      </c>
      <c r="G223" t="n">
        <v>1</v>
      </c>
      <c r="H223" t="n">
        <v>20.25001933</v>
      </c>
      <c r="I223" t="n">
        <v>6.6</v>
      </c>
      <c r="J223" t="n">
        <v>0</v>
      </c>
      <c r="K223" t="inlineStr"/>
    </row>
    <row r="224">
      <c r="A224" t="inlineStr">
        <is>
          <t>TOA124ES</t>
        </is>
      </c>
      <c r="B224" t="inlineStr">
        <is>
          <t>TOALLA ESTAMPADA</t>
        </is>
      </c>
      <c r="C224" t="inlineStr">
        <is>
          <t>Equipamiento / Toallas</t>
        </is>
      </c>
      <c r="D224" t="n">
        <v>119</v>
      </c>
      <c r="E224" t="n">
        <v>4368.35156789</v>
      </c>
      <c r="F224" t="n">
        <v>0.827909998340708</v>
      </c>
      <c r="G224" t="n">
        <v>1147</v>
      </c>
      <c r="H224" t="n">
        <v>6.29</v>
      </c>
      <c r="I224" t="n">
        <v>11.9</v>
      </c>
      <c r="J224" t="n">
        <v>0</v>
      </c>
      <c r="K224" t="inlineStr"/>
    </row>
    <row r="225">
      <c r="A225" t="inlineStr">
        <is>
          <t>JACDA66TM</t>
        </is>
      </c>
      <c r="B225" t="inlineStr">
        <is>
          <t>JACKET DAMA</t>
        </is>
      </c>
      <c r="C225" t="inlineStr">
        <is>
          <t>Equipamiento / Ropa</t>
        </is>
      </c>
      <c r="D225" t="n">
        <v>69</v>
      </c>
      <c r="E225" t="n">
        <v>4342.789527797273</v>
      </c>
      <c r="F225" t="n">
        <v>0.6866494565269842</v>
      </c>
      <c r="G225" t="n">
        <v>32</v>
      </c>
      <c r="H225" t="n">
        <v>20.25</v>
      </c>
      <c r="I225" t="n">
        <v>6.9</v>
      </c>
      <c r="J225" t="n">
        <v>0</v>
      </c>
      <c r="K225" t="inlineStr"/>
    </row>
    <row r="226">
      <c r="A226" t="inlineStr">
        <is>
          <t>MARMICA66TS</t>
        </is>
      </c>
      <c r="B226" t="inlineStr">
        <is>
          <t>MAR ORIGINAL CAB</t>
        </is>
      </c>
      <c r="C226" t="inlineStr">
        <is>
          <t>Manufactura / Caballero / P. Superiores</t>
        </is>
      </c>
      <c r="D226" t="n">
        <v>87</v>
      </c>
      <c r="E226" t="n">
        <v>4300.58175455</v>
      </c>
      <c r="F226" t="n">
        <v>0.9049661560185186</v>
      </c>
      <c r="G226" t="n">
        <v>45</v>
      </c>
      <c r="H226" t="n">
        <v>4.946357428</v>
      </c>
      <c r="I226" t="n">
        <v>8.699999999999999</v>
      </c>
      <c r="J226" t="n">
        <v>0</v>
      </c>
      <c r="K226" t="inlineStr"/>
    </row>
    <row r="227">
      <c r="A227" t="inlineStr">
        <is>
          <t>JAPCA66T2XL</t>
        </is>
      </c>
      <c r="B227" t="inlineStr">
        <is>
          <t>CUADRO JACKET 2.0 CAB</t>
        </is>
      </c>
      <c r="C227" t="inlineStr">
        <is>
          <t>Equipamiento / Ropa</t>
        </is>
      </c>
      <c r="D227" t="n">
        <v>53</v>
      </c>
      <c r="E227" t="n">
        <v>4270.19781397</v>
      </c>
      <c r="F227" t="n">
        <v>0.746578107236842</v>
      </c>
      <c r="G227" t="n">
        <v>226</v>
      </c>
      <c r="H227" t="n">
        <v>20.25000225</v>
      </c>
      <c r="I227" t="n">
        <v>5.3</v>
      </c>
      <c r="J227" t="n">
        <v>0</v>
      </c>
      <c r="K227" t="inlineStr"/>
    </row>
    <row r="228">
      <c r="A228" t="inlineStr">
        <is>
          <t>JACDA47TXS</t>
        </is>
      </c>
      <c r="B228" t="inlineStr">
        <is>
          <t>JACKET DAMA</t>
        </is>
      </c>
      <c r="C228" t="inlineStr">
        <is>
          <t>Equipamiento / Ropa</t>
        </is>
      </c>
      <c r="D228" t="n">
        <v>63</v>
      </c>
      <c r="E228" t="n">
        <v>4268.54078171</v>
      </c>
      <c r="F228" t="n">
        <v>0.694012917275</v>
      </c>
      <c r="G228" t="n">
        <v>14</v>
      </c>
      <c r="H228" t="n">
        <v>20.25</v>
      </c>
      <c r="I228" t="n">
        <v>6.3</v>
      </c>
      <c r="J228" t="n">
        <v>0</v>
      </c>
      <c r="K228" t="inlineStr"/>
    </row>
    <row r="229">
      <c r="A229" t="inlineStr">
        <is>
          <t>JAPDA66TM</t>
        </is>
      </c>
      <c r="B229" t="inlineStr">
        <is>
          <t>CUADRO JACKET 2.0 DAMA</t>
        </is>
      </c>
      <c r="C229" t="inlineStr">
        <is>
          <t>Equipamiento / Ropa</t>
        </is>
      </c>
      <c r="D229" t="n">
        <v>55</v>
      </c>
      <c r="E229" t="n">
        <v>4253.6319936</v>
      </c>
      <c r="F229" t="n">
        <v>0.7317465792627451</v>
      </c>
      <c r="G229" t="n">
        <v>222</v>
      </c>
      <c r="H229" t="n">
        <v>20.25</v>
      </c>
      <c r="I229" t="n">
        <v>5.5</v>
      </c>
      <c r="J229" t="n">
        <v>0</v>
      </c>
      <c r="K229" t="inlineStr"/>
    </row>
    <row r="230">
      <c r="A230" t="inlineStr">
        <is>
          <t>TOA30PL</t>
        </is>
      </c>
      <c r="B230" t="inlineStr">
        <is>
          <t>TOALLA PLAYA</t>
        </is>
      </c>
      <c r="C230" t="inlineStr">
        <is>
          <t>Equipamiento / Toallas</t>
        </is>
      </c>
      <c r="D230" t="n">
        <v>131</v>
      </c>
      <c r="E230" t="n">
        <v>4243.98038318</v>
      </c>
      <c r="F230" t="n">
        <v>0.842683888449</v>
      </c>
      <c r="G230" t="n">
        <v>287</v>
      </c>
      <c r="H230" t="n">
        <v>4.83</v>
      </c>
      <c r="I230" t="n">
        <v>13.1</v>
      </c>
      <c r="J230" t="n">
        <v>0</v>
      </c>
      <c r="K230" t="inlineStr"/>
    </row>
    <row r="231">
      <c r="A231" t="inlineStr">
        <is>
          <t>MARMICA43T2XL</t>
        </is>
      </c>
      <c r="B231" t="inlineStr">
        <is>
          <t>MAR ORIGINAL CAB</t>
        </is>
      </c>
      <c r="C231" t="inlineStr">
        <is>
          <t>Manufactura / Caballero / P. Superiores</t>
        </is>
      </c>
      <c r="D231" t="n">
        <v>84</v>
      </c>
      <c r="E231" t="n">
        <v>4240.570606895515</v>
      </c>
      <c r="F231" t="n">
        <v>0.9000218344663043</v>
      </c>
      <c r="G231" t="n">
        <v>77</v>
      </c>
      <c r="H231" t="n">
        <v>4.946357428</v>
      </c>
      <c r="I231" t="n">
        <v>8.4</v>
      </c>
      <c r="J231" t="n">
        <v>0</v>
      </c>
      <c r="K231" t="inlineStr"/>
    </row>
    <row r="232">
      <c r="A232" t="inlineStr">
        <is>
          <t>BACCCDA158TM</t>
        </is>
      </c>
      <c r="B232" t="inlineStr">
        <is>
          <t>BASIC LINE CROP TEE DAMA</t>
        </is>
      </c>
      <c r="C232" t="inlineStr">
        <is>
          <t>Manufactura / Dama / P. Superiores</t>
        </is>
      </c>
      <c r="D232" t="n">
        <v>82</v>
      </c>
      <c r="E232" t="n">
        <v>4239.574990959834</v>
      </c>
      <c r="F232" t="n">
        <v>0.884624807017284</v>
      </c>
      <c r="G232" t="n">
        <v>18</v>
      </c>
      <c r="H232" t="n">
        <v>6.196330832999999</v>
      </c>
      <c r="I232" t="n">
        <v>8.199999999999999</v>
      </c>
      <c r="J232" t="n">
        <v>0</v>
      </c>
      <c r="K232" t="inlineStr"/>
    </row>
    <row r="233">
      <c r="A233" t="inlineStr">
        <is>
          <t>BACCCDA158TXS</t>
        </is>
      </c>
      <c r="B233" t="inlineStr">
        <is>
          <t>BASIC LINE CROP TEE DAMA</t>
        </is>
      </c>
      <c r="C233" t="inlineStr">
        <is>
          <t>Manufactura / Dama / P. Superiores</t>
        </is>
      </c>
      <c r="D233" t="n">
        <v>84</v>
      </c>
      <c r="E233" t="n">
        <v>4227.38033065</v>
      </c>
      <c r="F233" t="n">
        <v>0.8895842906027027</v>
      </c>
      <c r="G233" t="n">
        <v>63</v>
      </c>
      <c r="H233" t="n">
        <v>6.196330833</v>
      </c>
      <c r="I233" t="n">
        <v>8.4</v>
      </c>
      <c r="J233" t="n">
        <v>0</v>
      </c>
      <c r="K233" t="inlineStr"/>
    </row>
    <row r="234">
      <c r="A234" t="inlineStr">
        <is>
          <t>MARMICA01TM</t>
        </is>
      </c>
      <c r="B234" t="inlineStr">
        <is>
          <t>MAR ORIGINAL CAB</t>
        </is>
      </c>
      <c r="C234" t="inlineStr">
        <is>
          <t>Manufactura / Caballero / P. Superiores</t>
        </is>
      </c>
      <c r="D234" t="n">
        <v>105</v>
      </c>
      <c r="E234" t="n">
        <v>4166.06180909</v>
      </c>
      <c r="F234" t="n">
        <v>0.8997903805925925</v>
      </c>
      <c r="G234" t="n">
        <v>46</v>
      </c>
      <c r="H234" t="n">
        <v>4.946357428</v>
      </c>
      <c r="I234" t="n">
        <v>10.5</v>
      </c>
      <c r="J234" t="n">
        <v>0</v>
      </c>
      <c r="K234" t="inlineStr"/>
    </row>
    <row r="235">
      <c r="A235" t="inlineStr">
        <is>
          <t>MARMIDA13TS</t>
        </is>
      </c>
      <c r="B235" t="inlineStr">
        <is>
          <t>MAR ORIGINAL DAMA</t>
        </is>
      </c>
      <c r="C235" t="inlineStr">
        <is>
          <t>Manufactura / Dama / P. Superiores</t>
        </is>
      </c>
      <c r="D235" t="n">
        <v>106</v>
      </c>
      <c r="E235" t="n">
        <v>4152.76688276</v>
      </c>
      <c r="F235" t="n">
        <v>0.912828857795122</v>
      </c>
      <c r="G235" t="n">
        <v>2</v>
      </c>
      <c r="H235" t="n">
        <v>4.278324149</v>
      </c>
      <c r="I235" t="n">
        <v>10.6</v>
      </c>
      <c r="J235" t="n">
        <v>0</v>
      </c>
      <c r="K235" t="inlineStr"/>
    </row>
    <row r="236">
      <c r="A236" t="inlineStr">
        <is>
          <t>TOA30CLI</t>
        </is>
      </c>
      <c r="B236" t="inlineStr">
        <is>
          <t>TOALLA CLIP 2.0</t>
        </is>
      </c>
      <c r="C236" t="inlineStr">
        <is>
          <t>Equipamiento / Toallas</t>
        </is>
      </c>
      <c r="D236" t="n">
        <v>205</v>
      </c>
      <c r="E236" t="n">
        <v>4128.254786694</v>
      </c>
      <c r="F236" t="n">
        <v>0.7406342084055249</v>
      </c>
      <c r="G236" t="n">
        <v>1</v>
      </c>
      <c r="H236" t="n">
        <v>5.11</v>
      </c>
      <c r="I236" t="n">
        <v>20.5</v>
      </c>
      <c r="J236" t="n">
        <v>1</v>
      </c>
      <c r="K236" t="inlineStr"/>
    </row>
    <row r="237">
      <c r="A237" t="inlineStr">
        <is>
          <t>MARMIDA66TXS</t>
        </is>
      </c>
      <c r="B237" t="inlineStr">
        <is>
          <t>MAR ORIGINAL DAMA</t>
        </is>
      </c>
      <c r="C237" t="inlineStr">
        <is>
          <t>Manufactura / Dama / P. Superiores</t>
        </is>
      </c>
      <c r="D237" t="n">
        <v>86</v>
      </c>
      <c r="E237" t="n">
        <v>4125.78069045</v>
      </c>
      <c r="F237" t="n">
        <v>0.915275253627907</v>
      </c>
      <c r="G237" t="n">
        <v>42</v>
      </c>
      <c r="H237" t="n">
        <v>4.278324149</v>
      </c>
      <c r="I237" t="n">
        <v>8.6</v>
      </c>
      <c r="J237" t="n">
        <v>0</v>
      </c>
      <c r="K237" t="inlineStr"/>
    </row>
    <row r="238">
      <c r="A238" t="inlineStr">
        <is>
          <t>CLA12CB</t>
        </is>
      </c>
      <c r="B238" t="inlineStr">
        <is>
          <t>CLASSIC BACKPACK</t>
        </is>
      </c>
      <c r="C238" t="inlineStr">
        <is>
          <t>Equipamiento / Bolsos</t>
        </is>
      </c>
      <c r="D238" t="n">
        <v>95</v>
      </c>
      <c r="E238" t="n">
        <v>4112.22926224</v>
      </c>
      <c r="F238" t="n">
        <v>0.5987417108507247</v>
      </c>
      <c r="G238" t="n">
        <v>313</v>
      </c>
      <c r="H238" t="n">
        <v>18.04</v>
      </c>
      <c r="I238" t="n">
        <v>9.5</v>
      </c>
      <c r="J238" t="n">
        <v>0</v>
      </c>
      <c r="K238" t="inlineStr"/>
    </row>
    <row r="239">
      <c r="A239" t="inlineStr">
        <is>
          <t>JAPKI162T12</t>
        </is>
      </c>
      <c r="B239" t="inlineStr">
        <is>
          <t>CUADRO JACKET 2.0 KIDS</t>
        </is>
      </c>
      <c r="C239" t="inlineStr">
        <is>
          <t>Equipamiento / Ropa</t>
        </is>
      </c>
      <c r="D239" t="n">
        <v>63</v>
      </c>
      <c r="E239" t="n">
        <v>4102.52389679</v>
      </c>
      <c r="F239" t="n">
        <v>0.7674815803444445</v>
      </c>
      <c r="G239" t="n">
        <v>56</v>
      </c>
      <c r="H239" t="n">
        <v>15.17</v>
      </c>
      <c r="I239" t="n">
        <v>6.3</v>
      </c>
      <c r="J239" t="n">
        <v>0</v>
      </c>
      <c r="K239" t="inlineStr"/>
    </row>
    <row r="240">
      <c r="A240" t="inlineStr">
        <is>
          <t>MARMIDA50TS</t>
        </is>
      </c>
      <c r="B240" t="inlineStr">
        <is>
          <t>MAR ORIGINAL DAMA</t>
        </is>
      </c>
      <c r="C240" t="inlineStr">
        <is>
          <t>Manufactura / Dama / P. Superiores</t>
        </is>
      </c>
      <c r="D240" t="n">
        <v>99</v>
      </c>
      <c r="E240" t="n">
        <v>4098.22469321</v>
      </c>
      <c r="F240" t="n">
        <v>0.909074942468421</v>
      </c>
      <c r="G240" t="n">
        <v>12</v>
      </c>
      <c r="H240" t="n">
        <v>4.278324149</v>
      </c>
      <c r="I240" t="n">
        <v>9.9</v>
      </c>
      <c r="J240" t="n">
        <v>0</v>
      </c>
      <c r="K240" t="inlineStr"/>
    </row>
    <row r="241">
      <c r="A241" t="inlineStr">
        <is>
          <t>JAPCA16TXL</t>
        </is>
      </c>
      <c r="B241" t="inlineStr">
        <is>
          <t>CUADRO JACKET 2.0 CAB</t>
        </is>
      </c>
      <c r="C241" t="inlineStr">
        <is>
          <t>Equipamiento / Ropa</t>
        </is>
      </c>
      <c r="D241" t="n">
        <v>53</v>
      </c>
      <c r="E241" t="n">
        <v>4098.0696511</v>
      </c>
      <c r="F241" t="n">
        <v>0.73855900735</v>
      </c>
      <c r="G241" t="n">
        <v>243</v>
      </c>
      <c r="H241" t="n">
        <v>20.25000225</v>
      </c>
      <c r="I241" t="n">
        <v>5.3</v>
      </c>
      <c r="J241" t="n">
        <v>0</v>
      </c>
      <c r="K241" t="inlineStr"/>
    </row>
    <row r="242">
      <c r="A242" t="inlineStr">
        <is>
          <t>MARMICA11TXL</t>
        </is>
      </c>
      <c r="B242" t="inlineStr">
        <is>
          <t>MAR ORIGINAL CAB</t>
        </is>
      </c>
      <c r="C242" t="inlineStr">
        <is>
          <t>Manufactura / Caballero / P. Superiores</t>
        </is>
      </c>
      <c r="D242" t="n">
        <v>86</v>
      </c>
      <c r="E242" t="n">
        <v>4094.09881424</v>
      </c>
      <c r="F242" t="n">
        <v>0.8966827170058139</v>
      </c>
      <c r="G242" t="n">
        <v>24</v>
      </c>
      <c r="H242" t="n">
        <v>4.946357428</v>
      </c>
      <c r="I242" t="n">
        <v>8.6</v>
      </c>
      <c r="J242" t="n">
        <v>0</v>
      </c>
      <c r="K242" t="inlineStr"/>
    </row>
    <row r="243">
      <c r="A243" t="inlineStr">
        <is>
          <t>MARMICA16TXL</t>
        </is>
      </c>
      <c r="B243" t="inlineStr">
        <is>
          <t>MAR ORIGINAL CAB</t>
        </is>
      </c>
      <c r="C243" t="inlineStr">
        <is>
          <t>Manufactura / Caballero / P. Superiores</t>
        </is>
      </c>
      <c r="D243" t="n">
        <v>87</v>
      </c>
      <c r="E243" t="n">
        <v>4081.30955482</v>
      </c>
      <c r="F243" t="n">
        <v>0.8975066413717948</v>
      </c>
      <c r="G243" t="n">
        <v>60</v>
      </c>
      <c r="H243" t="n">
        <v>4.946357428</v>
      </c>
      <c r="I243" t="n">
        <v>8.699999999999999</v>
      </c>
      <c r="J243" t="n">
        <v>0</v>
      </c>
      <c r="K243" t="inlineStr"/>
    </row>
    <row r="244">
      <c r="A244" t="inlineStr">
        <is>
          <t>JACDA47TS</t>
        </is>
      </c>
      <c r="B244" t="inlineStr">
        <is>
          <t>JACKET DAMA</t>
        </is>
      </c>
      <c r="C244" t="inlineStr">
        <is>
          <t>Equipamiento / Ropa</t>
        </is>
      </c>
      <c r="D244" t="n">
        <v>61</v>
      </c>
      <c r="E244" t="n">
        <v>4052.17642569</v>
      </c>
      <c r="F244" t="n">
        <v>0.6885975001508197</v>
      </c>
      <c r="G244" t="n">
        <v>0</v>
      </c>
      <c r="H244" t="n">
        <v>20.25</v>
      </c>
      <c r="I244" t="n">
        <v>6.1</v>
      </c>
      <c r="J244" t="n">
        <v>1</v>
      </c>
      <c r="K244" t="inlineStr">
        <is>
          <t>Sin stock</t>
        </is>
      </c>
    </row>
    <row r="245">
      <c r="A245" t="inlineStr">
        <is>
          <t>CAVAP4335L</t>
        </is>
      </c>
      <c r="B245" t="inlineStr">
        <is>
          <t>CAVAPACK 35L</t>
        </is>
      </c>
      <c r="C245" t="inlineStr">
        <is>
          <t>Equipamiento / Cava</t>
        </is>
      </c>
      <c r="D245" t="n">
        <v>54</v>
      </c>
      <c r="E245" t="n">
        <v>4050.96176498</v>
      </c>
      <c r="F245" t="n">
        <v>0.7387678621424243</v>
      </c>
      <c r="G245" t="n">
        <v>431</v>
      </c>
      <c r="H245" t="n">
        <v>24.53</v>
      </c>
      <c r="I245" t="n">
        <v>5.4</v>
      </c>
      <c r="J245" t="n">
        <v>0</v>
      </c>
      <c r="K245" t="inlineStr"/>
    </row>
    <row r="246">
      <c r="A246" t="inlineStr">
        <is>
          <t>JACDA66TS</t>
        </is>
      </c>
      <c r="B246" t="inlineStr">
        <is>
          <t>JACKET DAMA</t>
        </is>
      </c>
      <c r="C246" t="inlineStr">
        <is>
          <t>Equipamiento / Ropa</t>
        </is>
      </c>
      <c r="D246" t="n">
        <v>67</v>
      </c>
      <c r="E246" t="n">
        <v>4048.788336525383</v>
      </c>
      <c r="F246" t="n">
        <v>0.682694575957377</v>
      </c>
      <c r="G246" t="n">
        <v>47</v>
      </c>
      <c r="H246" t="n">
        <v>20.25</v>
      </c>
      <c r="I246" t="n">
        <v>6.7</v>
      </c>
      <c r="J246" t="n">
        <v>0</v>
      </c>
      <c r="K246" t="inlineStr"/>
    </row>
    <row r="247">
      <c r="A247" t="inlineStr">
        <is>
          <t>BUC127EQ</t>
        </is>
      </c>
      <c r="B247" t="inlineStr">
        <is>
          <t>BUCKET HAT ESTAMPADO</t>
        </is>
      </c>
      <c r="C247" t="inlineStr">
        <is>
          <t>Equipamiento / Sombreros</t>
        </is>
      </c>
      <c r="D247" t="n">
        <v>138</v>
      </c>
      <c r="E247" t="n">
        <v>3994.56513371</v>
      </c>
      <c r="F247" t="n">
        <v>0.8252871479557143</v>
      </c>
      <c r="G247" t="n">
        <v>46</v>
      </c>
      <c r="H247" t="n">
        <v>4.98</v>
      </c>
      <c r="I247" t="n">
        <v>13.8</v>
      </c>
      <c r="J247" t="n">
        <v>0</v>
      </c>
      <c r="K247" t="inlineStr"/>
    </row>
    <row r="248">
      <c r="A248" t="inlineStr">
        <is>
          <t>TOA50CLI</t>
        </is>
      </c>
      <c r="B248" t="inlineStr">
        <is>
          <t>TOALLA CLIP 2.0</t>
        </is>
      </c>
      <c r="C248" t="inlineStr">
        <is>
          <t>Equipamiento / Toallas</t>
        </is>
      </c>
      <c r="D248" t="n">
        <v>175</v>
      </c>
      <c r="E248" t="n">
        <v>3987.187491722</v>
      </c>
      <c r="F248" t="n">
        <v>0.7650508221530121</v>
      </c>
      <c r="G248" t="n">
        <v>384</v>
      </c>
      <c r="H248" t="n">
        <v>5.11</v>
      </c>
      <c r="I248" t="n">
        <v>17.5</v>
      </c>
      <c r="J248" t="n">
        <v>0</v>
      </c>
      <c r="K248" t="inlineStr"/>
    </row>
    <row r="249">
      <c r="A249" t="inlineStr">
        <is>
          <t>MARMIDA48TM</t>
        </is>
      </c>
      <c r="B249" t="inlineStr">
        <is>
          <t>MAR ORIGINAL DAMA</t>
        </is>
      </c>
      <c r="C249" t="inlineStr">
        <is>
          <t>Manufactura / Dama / P. Superiores</t>
        </is>
      </c>
      <c r="D249" t="n">
        <v>78</v>
      </c>
      <c r="E249" t="n">
        <v>3972.12752057</v>
      </c>
      <c r="F249" t="n">
        <v>0.91373265639875</v>
      </c>
      <c r="G249" t="n">
        <v>43</v>
      </c>
      <c r="H249" t="n">
        <v>4.278324149</v>
      </c>
      <c r="I249" t="n">
        <v>7.8</v>
      </c>
      <c r="J249" t="n">
        <v>0</v>
      </c>
      <c r="K249" t="inlineStr"/>
    </row>
    <row r="250">
      <c r="A250" t="inlineStr">
        <is>
          <t>MARMIDA34TS</t>
        </is>
      </c>
      <c r="B250" t="inlineStr">
        <is>
          <t>MAR ORIGINAL DAMA</t>
        </is>
      </c>
      <c r="C250" t="inlineStr">
        <is>
          <t>Manufactura / Dama / P. Superiores</t>
        </is>
      </c>
      <c r="D250" t="n">
        <v>83</v>
      </c>
      <c r="E250" t="n">
        <v>3970.54792426</v>
      </c>
      <c r="F250" t="n">
        <v>0.9172811467749999</v>
      </c>
      <c r="G250" t="n">
        <v>6</v>
      </c>
      <c r="H250" t="n">
        <v>4.278324149</v>
      </c>
      <c r="I250" t="n">
        <v>8.300000000000001</v>
      </c>
      <c r="J250" t="n">
        <v>0</v>
      </c>
      <c r="K250" t="inlineStr"/>
    </row>
    <row r="251">
      <c r="A251" t="inlineStr">
        <is>
          <t>PANNTCA12TM</t>
        </is>
      </c>
      <c r="B251" t="inlineStr">
        <is>
          <t>EXPLORE PANTS CAB</t>
        </is>
      </c>
      <c r="C251" t="inlineStr">
        <is>
          <t>Manufactura / Caballero / P. Inferiores</t>
        </is>
      </c>
      <c r="D251" t="n">
        <v>64</v>
      </c>
      <c r="E251" t="n">
        <v>3944.12793485</v>
      </c>
      <c r="F251" t="n">
        <v>0.7587771284811594</v>
      </c>
      <c r="G251" t="n">
        <v>73</v>
      </c>
      <c r="H251" t="n">
        <v>15.68994502</v>
      </c>
      <c r="I251" t="n">
        <v>6.4</v>
      </c>
      <c r="J251" t="n">
        <v>0</v>
      </c>
      <c r="K251" t="inlineStr"/>
    </row>
    <row r="252">
      <c r="A252" t="inlineStr">
        <is>
          <t>BAOCCCA158TL</t>
        </is>
      </c>
      <c r="B252" t="inlineStr">
        <is>
          <t>BASIC LINE OVERSIZED CAB</t>
        </is>
      </c>
      <c r="C252" t="inlineStr">
        <is>
          <t>Manufactura / Caballero / P. Superiores</t>
        </is>
      </c>
      <c r="D252" t="n">
        <v>71</v>
      </c>
      <c r="E252" t="n">
        <v>3926.47669295</v>
      </c>
      <c r="F252" t="n">
        <v>0.847452874347541</v>
      </c>
      <c r="G252" t="n">
        <v>17</v>
      </c>
      <c r="H252" t="n">
        <v>9.336740741</v>
      </c>
      <c r="I252" t="n">
        <v>7.1</v>
      </c>
      <c r="J252" t="n">
        <v>0</v>
      </c>
      <c r="K252" t="inlineStr"/>
    </row>
    <row r="253">
      <c r="A253" t="inlineStr">
        <is>
          <t>JAPDA66TS</t>
        </is>
      </c>
      <c r="B253" t="inlineStr">
        <is>
          <t>CUADRO JACKET 2.0 DAMA</t>
        </is>
      </c>
      <c r="C253" t="inlineStr">
        <is>
          <t>Equipamiento / Ropa</t>
        </is>
      </c>
      <c r="D253" t="n">
        <v>49</v>
      </c>
      <c r="E253" t="n">
        <v>3914.87386361</v>
      </c>
      <c r="F253" t="n">
        <v>0.7450925715204545</v>
      </c>
      <c r="G253" t="n">
        <v>202</v>
      </c>
      <c r="H253" t="n">
        <v>20.25</v>
      </c>
      <c r="I253" t="n">
        <v>4.9</v>
      </c>
      <c r="J253" t="n">
        <v>0</v>
      </c>
      <c r="K253" t="inlineStr"/>
    </row>
    <row r="254">
      <c r="A254" t="inlineStr">
        <is>
          <t>MARMICA01TL</t>
        </is>
      </c>
      <c r="B254" t="inlineStr">
        <is>
          <t>MAR ORIGINAL CAB</t>
        </is>
      </c>
      <c r="C254" t="inlineStr">
        <is>
          <t>Manufactura / Caballero / P. Superiores</t>
        </is>
      </c>
      <c r="D254" t="n">
        <v>86</v>
      </c>
      <c r="E254" t="n">
        <v>3901.130659472229</v>
      </c>
      <c r="F254" t="n">
        <v>0.8961520272780488</v>
      </c>
      <c r="G254" t="n">
        <v>81</v>
      </c>
      <c r="H254" t="n">
        <v>4.946357428</v>
      </c>
      <c r="I254" t="n">
        <v>8.6</v>
      </c>
      <c r="J254" t="n">
        <v>0</v>
      </c>
      <c r="K254" t="inlineStr"/>
    </row>
    <row r="255">
      <c r="A255" t="inlineStr">
        <is>
          <t>SHOSUCA155TM</t>
        </is>
      </c>
      <c r="B255" t="inlineStr">
        <is>
          <t>SHORT PLAYA ESTAMPADO CAB</t>
        </is>
      </c>
      <c r="C255" t="inlineStr">
        <is>
          <t>Manufactura / Caballero / P. Inferiores</t>
        </is>
      </c>
      <c r="D255" t="n">
        <v>70</v>
      </c>
      <c r="E255" t="n">
        <v>3856.22348034</v>
      </c>
      <c r="F255" t="n">
        <v>0.7885301154594203</v>
      </c>
      <c r="G255" t="n">
        <v>27</v>
      </c>
      <c r="H255" t="n">
        <v>12.11</v>
      </c>
      <c r="I255" t="n">
        <v>7</v>
      </c>
      <c r="J255" t="n">
        <v>0</v>
      </c>
      <c r="K255" t="inlineStr"/>
    </row>
    <row r="256">
      <c r="A256" t="inlineStr">
        <is>
          <t>JACCA43TL</t>
        </is>
      </c>
      <c r="B256" t="inlineStr">
        <is>
          <t>JACKET CAB</t>
        </is>
      </c>
      <c r="C256" t="inlineStr">
        <is>
          <t>Equipamiento / Ropa</t>
        </is>
      </c>
      <c r="D256" t="n">
        <v>68</v>
      </c>
      <c r="E256" t="n">
        <v>3847.4919773</v>
      </c>
      <c r="F256" t="n">
        <v>0.6776710234919355</v>
      </c>
      <c r="G256" t="n">
        <v>0</v>
      </c>
      <c r="H256" t="n">
        <v>20.25001933</v>
      </c>
      <c r="I256" t="n">
        <v>6.8</v>
      </c>
      <c r="J256" t="n">
        <v>2</v>
      </c>
      <c r="K256" t="inlineStr">
        <is>
          <t>Sin stock</t>
        </is>
      </c>
    </row>
    <row r="257">
      <c r="A257" t="inlineStr">
        <is>
          <t>PANNTCA43TS</t>
        </is>
      </c>
      <c r="B257" t="inlineStr">
        <is>
          <t>EXPLORE PANTS CAB</t>
        </is>
      </c>
      <c r="C257" t="inlineStr">
        <is>
          <t>Manufactura / Caballero / P. Inferiores</t>
        </is>
      </c>
      <c r="D257" t="n">
        <v>59</v>
      </c>
      <c r="E257" t="n">
        <v>3833.65663915</v>
      </c>
      <c r="F257" t="n">
        <v>0.7824360815775862</v>
      </c>
      <c r="G257" t="n">
        <v>58</v>
      </c>
      <c r="H257" t="n">
        <v>15.68994502</v>
      </c>
      <c r="I257" t="n">
        <v>5.9</v>
      </c>
      <c r="J257" t="n">
        <v>0</v>
      </c>
      <c r="K257" t="inlineStr"/>
    </row>
    <row r="258">
      <c r="A258" t="inlineStr">
        <is>
          <t>DAYCSTCA43TM</t>
        </is>
      </c>
      <c r="B258" t="inlineStr">
        <is>
          <t>CLASICA DAILY 3.0 CAB</t>
        </is>
      </c>
      <c r="C258" t="inlineStr">
        <is>
          <t>Manufactura / Caballero / P. Superiores</t>
        </is>
      </c>
      <c r="D258" t="n">
        <v>101</v>
      </c>
      <c r="E258" t="n">
        <v>3788.770416831214</v>
      </c>
      <c r="F258" t="n">
        <v>0.7493798806184211</v>
      </c>
      <c r="G258" t="n">
        <v>139</v>
      </c>
      <c r="H258" t="n">
        <v>11.76035097</v>
      </c>
      <c r="I258" t="n">
        <v>10.1</v>
      </c>
      <c r="J258" t="n">
        <v>0</v>
      </c>
      <c r="K258" t="inlineStr"/>
    </row>
    <row r="259">
      <c r="A259" t="inlineStr">
        <is>
          <t>MARMIDA12TL</t>
        </is>
      </c>
      <c r="B259" t="inlineStr">
        <is>
          <t>MAR ORIGINAL DAMA</t>
        </is>
      </c>
      <c r="C259" t="inlineStr">
        <is>
          <t>Manufactura / Dama / P. Superiores</t>
        </is>
      </c>
      <c r="D259" t="n">
        <v>91</v>
      </c>
      <c r="E259" t="n">
        <v>3773.40049201</v>
      </c>
      <c r="F259" t="n">
        <v>0.9118007185611111</v>
      </c>
      <c r="G259" t="n">
        <v>86</v>
      </c>
      <c r="H259" t="n">
        <v>4.278324149</v>
      </c>
      <c r="I259" t="n">
        <v>9.1</v>
      </c>
      <c r="J259" t="n">
        <v>0</v>
      </c>
      <c r="K259" t="inlineStr"/>
    </row>
    <row r="260">
      <c r="A260" t="inlineStr">
        <is>
          <t>JAPDA16TL</t>
        </is>
      </c>
      <c r="B260" t="inlineStr">
        <is>
          <t>CUADRO JACKET 2.0 DAMA</t>
        </is>
      </c>
      <c r="C260" t="inlineStr">
        <is>
          <t>Equipamiento / Ropa</t>
        </is>
      </c>
      <c r="D260" t="n">
        <v>48</v>
      </c>
      <c r="E260" t="n">
        <v>3768.9075829</v>
      </c>
      <c r="F260" t="n">
        <v>0.7468738258645833</v>
      </c>
      <c r="G260" t="n">
        <v>147</v>
      </c>
      <c r="H260" t="n">
        <v>20.25</v>
      </c>
      <c r="I260" t="n">
        <v>4.8</v>
      </c>
      <c r="J260" t="n">
        <v>0</v>
      </c>
      <c r="K260" t="inlineStr"/>
    </row>
    <row r="261">
      <c r="A261" t="inlineStr">
        <is>
          <t>PANNTDA43TXS</t>
        </is>
      </c>
      <c r="B261" t="inlineStr">
        <is>
          <t>EXPLORE PANTS DAMA</t>
        </is>
      </c>
      <c r="C261" t="inlineStr">
        <is>
          <t>Manufactura / Dama / P. Inferiores</t>
        </is>
      </c>
      <c r="D261" t="n">
        <v>63</v>
      </c>
      <c r="E261" t="n">
        <v>3752.20229713</v>
      </c>
      <c r="F261" t="n">
        <v>0.7734452826355932</v>
      </c>
      <c r="G261" t="n">
        <v>56</v>
      </c>
      <c r="H261" t="n">
        <v>15.3928899</v>
      </c>
      <c r="I261" t="n">
        <v>6.3</v>
      </c>
      <c r="J261" t="n">
        <v>0</v>
      </c>
      <c r="K261" t="inlineStr"/>
    </row>
    <row r="262">
      <c r="A262" t="inlineStr">
        <is>
          <t>TOA35PL</t>
        </is>
      </c>
      <c r="B262" t="inlineStr">
        <is>
          <t>TOALLA PLAYA</t>
        </is>
      </c>
      <c r="C262" t="inlineStr">
        <is>
          <t>Equipamiento / Toallas</t>
        </is>
      </c>
      <c r="D262" t="n">
        <v>122</v>
      </c>
      <c r="E262" t="n">
        <v>3743.33425587</v>
      </c>
      <c r="F262" t="n">
        <v>0.8386789630745901</v>
      </c>
      <c r="G262" t="n">
        <v>856</v>
      </c>
      <c r="H262" t="n">
        <v>4.83</v>
      </c>
      <c r="I262" t="n">
        <v>12.2</v>
      </c>
      <c r="J262" t="n">
        <v>0</v>
      </c>
      <c r="K262" t="inlineStr"/>
    </row>
    <row r="263">
      <c r="A263" t="inlineStr">
        <is>
          <t>RIOMICA43TXL</t>
        </is>
      </c>
      <c r="B263" t="inlineStr">
        <is>
          <t>RIO ORIGINAL CAB</t>
        </is>
      </c>
      <c r="C263" t="inlineStr">
        <is>
          <t>Manufactura / Caballero / P. Superiores</t>
        </is>
      </c>
      <c r="D263" t="n">
        <v>65</v>
      </c>
      <c r="E263" t="n">
        <v>3731.80751008</v>
      </c>
      <c r="F263" t="n">
        <v>0.8923639003647059</v>
      </c>
      <c r="G263" t="n">
        <v>30</v>
      </c>
      <c r="H263" t="n">
        <v>5.939350288</v>
      </c>
      <c r="I263" t="n">
        <v>6.5</v>
      </c>
      <c r="J263" t="n">
        <v>0</v>
      </c>
      <c r="K263" t="inlineStr"/>
    </row>
    <row r="264">
      <c r="A264" t="inlineStr">
        <is>
          <t>CAP12CM</t>
        </is>
      </c>
      <c r="B264" t="inlineStr">
        <is>
          <t>CAMO CAP</t>
        </is>
      </c>
      <c r="C264" t="inlineStr">
        <is>
          <t>Equipamiento / Gorras</t>
        </is>
      </c>
      <c r="D264" t="n">
        <v>135</v>
      </c>
      <c r="E264" t="n">
        <v>3730.63129864</v>
      </c>
      <c r="F264" t="n">
        <v>0.8910314192042017</v>
      </c>
      <c r="G264" t="n">
        <v>598</v>
      </c>
      <c r="H264" t="n">
        <v>3.36</v>
      </c>
      <c r="I264" t="n">
        <v>13.5</v>
      </c>
      <c r="J264" t="n">
        <v>0</v>
      </c>
      <c r="K264" t="inlineStr"/>
    </row>
    <row r="265">
      <c r="A265" t="inlineStr">
        <is>
          <t>JACCA33TM</t>
        </is>
      </c>
      <c r="B265" t="inlineStr">
        <is>
          <t>JACKET CAB</t>
        </is>
      </c>
      <c r="C265" t="inlineStr">
        <is>
          <t>Equipamiento / Ropa</t>
        </is>
      </c>
      <c r="D265" t="n">
        <v>56</v>
      </c>
      <c r="E265" t="n">
        <v>3727.71909056</v>
      </c>
      <c r="F265" t="n">
        <v>0.6993449202790323</v>
      </c>
      <c r="G265" t="n">
        <v>6</v>
      </c>
      <c r="H265" t="n">
        <v>20.25001933</v>
      </c>
      <c r="I265" t="n">
        <v>5.6</v>
      </c>
      <c r="J265" t="n">
        <v>0</v>
      </c>
      <c r="K265" t="inlineStr"/>
    </row>
    <row r="266">
      <c r="A266" t="inlineStr">
        <is>
          <t>RIOMICA12TXL</t>
        </is>
      </c>
      <c r="B266" t="inlineStr">
        <is>
          <t>RIO ORIGINAL CAB</t>
        </is>
      </c>
      <c r="C266" t="inlineStr">
        <is>
          <t>Manufactura / Caballero / P. Superiores</t>
        </is>
      </c>
      <c r="D266" t="n">
        <v>67</v>
      </c>
      <c r="E266" t="n">
        <v>3726.66298528</v>
      </c>
      <c r="F266" t="n">
        <v>0.8900125846318181</v>
      </c>
      <c r="G266" t="n">
        <v>22</v>
      </c>
      <c r="H266" t="n">
        <v>5.939350288</v>
      </c>
      <c r="I266" t="n">
        <v>6.7</v>
      </c>
      <c r="J266" t="n">
        <v>0</v>
      </c>
      <c r="K266" t="inlineStr"/>
    </row>
    <row r="267">
      <c r="A267" t="inlineStr">
        <is>
          <t>JACDA47TM</t>
        </is>
      </c>
      <c r="B267" t="inlineStr">
        <is>
          <t>JACKET DAMA</t>
        </is>
      </c>
      <c r="C267" t="inlineStr">
        <is>
          <t>Equipamiento / Ropa</t>
        </is>
      </c>
      <c r="D267" t="n">
        <v>55</v>
      </c>
      <c r="E267" t="n">
        <v>3714.69827444</v>
      </c>
      <c r="F267" t="n">
        <v>0.6978454542474577</v>
      </c>
      <c r="G267" t="n">
        <v>2</v>
      </c>
      <c r="H267" t="n">
        <v>20.25</v>
      </c>
      <c r="I267" t="n">
        <v>5.5</v>
      </c>
      <c r="J267" t="n">
        <v>0</v>
      </c>
      <c r="K267" t="inlineStr"/>
    </row>
    <row r="268">
      <c r="A268" t="inlineStr">
        <is>
          <t>CAP66CM</t>
        </is>
      </c>
      <c r="B268" t="inlineStr">
        <is>
          <t>CAMO CAP</t>
        </is>
      </c>
      <c r="C268" t="inlineStr">
        <is>
          <t>Equipamiento / Gorras</t>
        </is>
      </c>
      <c r="D268" t="n">
        <v>121</v>
      </c>
      <c r="E268" t="n">
        <v>3712.24639439</v>
      </c>
      <c r="F268" t="n">
        <v>0.888753728991129</v>
      </c>
      <c r="G268" t="n">
        <v>1216</v>
      </c>
      <c r="H268" t="n">
        <v>3.36</v>
      </c>
      <c r="I268" t="n">
        <v>12.1</v>
      </c>
      <c r="J268" t="n">
        <v>0</v>
      </c>
      <c r="K268" t="inlineStr"/>
    </row>
    <row r="269">
      <c r="A269" t="inlineStr">
        <is>
          <t>TOA202ES</t>
        </is>
      </c>
      <c r="B269" t="inlineStr">
        <is>
          <t>TOALLA ESTAMPADA 2.0</t>
        </is>
      </c>
      <c r="C269" t="inlineStr">
        <is>
          <t>Equipamiento / Toallas</t>
        </is>
      </c>
      <c r="D269" t="n">
        <v>84</v>
      </c>
      <c r="E269" t="n">
        <v>3687.5576184</v>
      </c>
      <c r="F269" t="n">
        <v>0.8691966198797468</v>
      </c>
      <c r="G269" t="n">
        <v>813</v>
      </c>
      <c r="H269" t="n">
        <v>5.92</v>
      </c>
      <c r="I269" t="n">
        <v>8.4</v>
      </c>
      <c r="J269" t="n">
        <v>0</v>
      </c>
      <c r="K269" t="inlineStr"/>
    </row>
    <row r="270">
      <c r="A270" t="inlineStr">
        <is>
          <t>MARMIDA70TM</t>
        </is>
      </c>
      <c r="B270" t="inlineStr">
        <is>
          <t>MAR ORIGINAL DAMA</t>
        </is>
      </c>
      <c r="C270" t="inlineStr">
        <is>
          <t>Manufactura / Dama / P. Superiores</t>
        </is>
      </c>
      <c r="D270" t="n">
        <v>70</v>
      </c>
      <c r="E270" t="n">
        <v>3673.07263943</v>
      </c>
      <c r="F270" t="n">
        <v>0.9176749513828125</v>
      </c>
      <c r="G270" t="n">
        <v>21</v>
      </c>
      <c r="H270" t="n">
        <v>4.278324149</v>
      </c>
      <c r="I270" t="n">
        <v>7</v>
      </c>
      <c r="J270" t="n">
        <v>0</v>
      </c>
      <c r="K270" t="inlineStr"/>
    </row>
    <row r="271">
      <c r="A271" t="inlineStr">
        <is>
          <t>SHOSUCA153TM</t>
        </is>
      </c>
      <c r="B271" t="inlineStr">
        <is>
          <t>SHORT PLAYA ESTAMPADO CAB</t>
        </is>
      </c>
      <c r="C271" t="inlineStr">
        <is>
          <t>Manufactura / Caballero / P. Inferiores</t>
        </is>
      </c>
      <c r="D271" t="n">
        <v>63</v>
      </c>
      <c r="E271" t="n">
        <v>3632.8193683</v>
      </c>
      <c r="F271" t="n">
        <v>0.7791624188621622</v>
      </c>
      <c r="G271" t="n">
        <v>41</v>
      </c>
      <c r="H271" t="n">
        <v>12.11</v>
      </c>
      <c r="I271" t="n">
        <v>6.3</v>
      </c>
      <c r="J271" t="n">
        <v>0</v>
      </c>
      <c r="K271" t="inlineStr"/>
    </row>
    <row r="272">
      <c r="A272" t="inlineStr">
        <is>
          <t>POLPLCA16TL</t>
        </is>
      </c>
      <c r="B272" t="inlineStr">
        <is>
          <t>CLASSIC POLO</t>
        </is>
      </c>
      <c r="C272" t="inlineStr">
        <is>
          <t>Manufactura / Caballero / P. Superiores</t>
        </is>
      </c>
      <c r="D272" t="n">
        <v>78</v>
      </c>
      <c r="E272" t="n">
        <v>3632.15172829</v>
      </c>
      <c r="F272" t="n">
        <v>0.8370432574556819</v>
      </c>
      <c r="G272" t="n">
        <v>4</v>
      </c>
      <c r="H272" t="n">
        <v>7.34</v>
      </c>
      <c r="I272" t="n">
        <v>7.8</v>
      </c>
      <c r="J272" t="n">
        <v>1</v>
      </c>
      <c r="K272" t="inlineStr"/>
    </row>
    <row r="273">
      <c r="A273" t="inlineStr">
        <is>
          <t>RIOMIDA34TM</t>
        </is>
      </c>
      <c r="B273" t="inlineStr">
        <is>
          <t>RIO ORIGINAL DAMA</t>
        </is>
      </c>
      <c r="C273" t="inlineStr">
        <is>
          <t>Manufactura / Dama / P. Superiores</t>
        </is>
      </c>
      <c r="D273" t="n">
        <v>67</v>
      </c>
      <c r="E273" t="n">
        <v>3621.74891901</v>
      </c>
      <c r="F273" t="n">
        <v>0.896407289057353</v>
      </c>
      <c r="G273" t="n">
        <v>17</v>
      </c>
      <c r="H273" t="n">
        <v>5.538832275</v>
      </c>
      <c r="I273" t="n">
        <v>6.7</v>
      </c>
      <c r="J273" t="n">
        <v>0</v>
      </c>
      <c r="K273" t="inlineStr"/>
    </row>
    <row r="274">
      <c r="A274" t="inlineStr">
        <is>
          <t>PANNTCA30TM</t>
        </is>
      </c>
      <c r="B274" t="inlineStr">
        <is>
          <t>EXPLORE PANTS CAB</t>
        </is>
      </c>
      <c r="C274" t="inlineStr">
        <is>
          <t>Manufactura / Caballero / P. Inferiores</t>
        </is>
      </c>
      <c r="D274" t="n">
        <v>61</v>
      </c>
      <c r="E274" t="n">
        <v>3617.16497311</v>
      </c>
      <c r="F274" t="n">
        <v>0.7709836549132076</v>
      </c>
      <c r="G274" t="n">
        <v>5</v>
      </c>
      <c r="H274" t="n">
        <v>15.68994502</v>
      </c>
      <c r="I274" t="n">
        <v>6.1</v>
      </c>
      <c r="J274" t="n">
        <v>0</v>
      </c>
      <c r="K274" t="inlineStr"/>
    </row>
    <row r="275">
      <c r="A275" t="inlineStr">
        <is>
          <t>JACCA70TL</t>
        </is>
      </c>
      <c r="B275" t="inlineStr">
        <is>
          <t>JACKET CAB</t>
        </is>
      </c>
      <c r="C275" t="inlineStr">
        <is>
          <t>Equipamiento / Ropa</t>
        </is>
      </c>
      <c r="D275" t="n">
        <v>56</v>
      </c>
      <c r="E275" t="n">
        <v>3616.21675545</v>
      </c>
      <c r="F275" t="n">
        <v>0.6854143723678572</v>
      </c>
      <c r="G275" t="n">
        <v>2</v>
      </c>
      <c r="H275" t="n">
        <v>20.25001933</v>
      </c>
      <c r="I275" t="n">
        <v>5.6</v>
      </c>
      <c r="J275" t="n">
        <v>0</v>
      </c>
      <c r="K275" t="inlineStr"/>
    </row>
    <row r="276">
      <c r="A276" t="inlineStr">
        <is>
          <t>RIOMICA43TS</t>
        </is>
      </c>
      <c r="B276" t="inlineStr">
        <is>
          <t>RIO ORIGINAL CAB</t>
        </is>
      </c>
      <c r="C276" t="inlineStr">
        <is>
          <t>Manufactura / Caballero / P. Superiores</t>
        </is>
      </c>
      <c r="D276" t="n">
        <v>62</v>
      </c>
      <c r="E276" t="n">
        <v>3614.04027228</v>
      </c>
      <c r="F276" t="n">
        <v>0.8946666304016394</v>
      </c>
      <c r="G276" t="n">
        <v>29</v>
      </c>
      <c r="H276" t="n">
        <v>5.939350288</v>
      </c>
      <c r="I276" t="n">
        <v>6.2</v>
      </c>
      <c r="J276" t="n">
        <v>0</v>
      </c>
      <c r="K276" t="inlineStr"/>
    </row>
    <row r="277">
      <c r="A277" t="inlineStr">
        <is>
          <t>MARMICA12T2XL</t>
        </is>
      </c>
      <c r="B277" t="inlineStr">
        <is>
          <t>MAR ORIGINAL CAB</t>
        </is>
      </c>
      <c r="C277" t="inlineStr">
        <is>
          <t>Manufactura / Caballero / P. Superiores</t>
        </is>
      </c>
      <c r="D277" t="n">
        <v>74</v>
      </c>
      <c r="E277" t="n">
        <v>3602.87305767</v>
      </c>
      <c r="F277" t="n">
        <v>0.9000634846214286</v>
      </c>
      <c r="G277" t="n">
        <v>40</v>
      </c>
      <c r="H277" t="n">
        <v>4.946357428</v>
      </c>
      <c r="I277" t="n">
        <v>7.4</v>
      </c>
      <c r="J277" t="n">
        <v>0</v>
      </c>
      <c r="K277" t="inlineStr"/>
    </row>
    <row r="278">
      <c r="A278" t="inlineStr">
        <is>
          <t>RIOMIDA12TM</t>
        </is>
      </c>
      <c r="B278" t="inlineStr">
        <is>
          <t>RIO ORIGINAL DAMA</t>
        </is>
      </c>
      <c r="C278" t="inlineStr">
        <is>
          <t>Manufactura / Dama / P. Superiores</t>
        </is>
      </c>
      <c r="D278" t="n">
        <v>65</v>
      </c>
      <c r="E278" t="n">
        <v>3600.44527632</v>
      </c>
      <c r="F278" t="n">
        <v>0.90011887638</v>
      </c>
      <c r="G278" t="n">
        <v>56</v>
      </c>
      <c r="H278" t="n">
        <v>5.538832275</v>
      </c>
      <c r="I278" t="n">
        <v>6.5</v>
      </c>
      <c r="J278" t="n">
        <v>0</v>
      </c>
      <c r="K278" t="inlineStr"/>
    </row>
    <row r="279">
      <c r="A279" t="inlineStr">
        <is>
          <t>SHONRCA43TXL</t>
        </is>
      </c>
      <c r="B279" t="inlineStr">
        <is>
          <t>SHORT SPORT CAB</t>
        </is>
      </c>
      <c r="C279" t="inlineStr">
        <is>
          <t>Manufactura / Caballero / P. Inferiores</t>
        </is>
      </c>
      <c r="D279" t="n">
        <v>82</v>
      </c>
      <c r="E279" t="n">
        <v>3599.94285829</v>
      </c>
      <c r="F279" t="n">
        <v>0.7523943586409638</v>
      </c>
      <c r="G279" t="n">
        <v>3</v>
      </c>
      <c r="H279" t="n">
        <v>10.6514486</v>
      </c>
      <c r="I279" t="n">
        <v>8.199999999999999</v>
      </c>
      <c r="J279" t="n">
        <v>0</v>
      </c>
      <c r="K279" t="inlineStr"/>
    </row>
    <row r="280">
      <c r="A280" t="inlineStr">
        <is>
          <t>CLAMICA12TM</t>
        </is>
      </c>
      <c r="B280" t="inlineStr">
        <is>
          <t>CLASICA ORIGINAL CAB</t>
        </is>
      </c>
      <c r="C280" t="inlineStr">
        <is>
          <t>Manufactura / Caballero / P. Superiores</t>
        </is>
      </c>
      <c r="D280" t="n">
        <v>110</v>
      </c>
      <c r="E280" t="n">
        <v>3570.50934486</v>
      </c>
      <c r="F280" t="n">
        <v>0.8720934308224489</v>
      </c>
      <c r="G280" t="n">
        <v>22</v>
      </c>
      <c r="H280" t="n">
        <v>4.598442536</v>
      </c>
      <c r="I280" t="n">
        <v>11</v>
      </c>
      <c r="J280" t="n">
        <v>0</v>
      </c>
      <c r="K280" t="inlineStr"/>
    </row>
    <row r="281">
      <c r="A281" t="inlineStr">
        <is>
          <t>PANNTDA12TM</t>
        </is>
      </c>
      <c r="B281" t="inlineStr">
        <is>
          <t>EXPLORE PANTS DAMA</t>
        </is>
      </c>
      <c r="C281" t="inlineStr">
        <is>
          <t>Manufactura / Dama / P. Inferiores</t>
        </is>
      </c>
      <c r="D281" t="n">
        <v>53</v>
      </c>
      <c r="E281" t="n">
        <v>3530.97301251</v>
      </c>
      <c r="F281" t="n">
        <v>0.7636927527351852</v>
      </c>
      <c r="G281" t="n">
        <v>69</v>
      </c>
      <c r="H281" t="n">
        <v>15.3928899</v>
      </c>
      <c r="I281" t="n">
        <v>5.3</v>
      </c>
      <c r="J281" t="n">
        <v>0</v>
      </c>
      <c r="K281" t="inlineStr"/>
    </row>
    <row r="282">
      <c r="A282" t="inlineStr">
        <is>
          <t>CLAMICA43TM</t>
        </is>
      </c>
      <c r="B282" t="inlineStr">
        <is>
          <t>CLASICA ORIGINAL CAB</t>
        </is>
      </c>
      <c r="C282" t="inlineStr">
        <is>
          <t>Manufactura / Caballero / P. Superiores</t>
        </is>
      </c>
      <c r="D282" t="n">
        <v>163</v>
      </c>
      <c r="E282" t="n">
        <v>3530.71564178</v>
      </c>
      <c r="F282" t="n">
        <v>0.876318996466265</v>
      </c>
      <c r="G282" t="n">
        <v>17</v>
      </c>
      <c r="H282" t="n">
        <v>4.598442536</v>
      </c>
      <c r="I282" t="n">
        <v>16.3</v>
      </c>
      <c r="J282" t="n">
        <v>0</v>
      </c>
      <c r="K282" t="inlineStr"/>
    </row>
    <row r="283">
      <c r="A283" t="inlineStr">
        <is>
          <t>JACCA70TM</t>
        </is>
      </c>
      <c r="B283" t="inlineStr">
        <is>
          <t>JACKET CAB</t>
        </is>
      </c>
      <c r="C283" t="inlineStr">
        <is>
          <t>Equipamiento / Ropa</t>
        </is>
      </c>
      <c r="D283" t="n">
        <v>52</v>
      </c>
      <c r="E283" t="n">
        <v>3518.65710905</v>
      </c>
      <c r="F283" t="n">
        <v>0.6936759571576924</v>
      </c>
      <c r="G283" t="n">
        <v>6</v>
      </c>
      <c r="H283" t="n">
        <v>20.25001933</v>
      </c>
      <c r="I283" t="n">
        <v>5.2</v>
      </c>
      <c r="J283" t="n">
        <v>0</v>
      </c>
      <c r="K283" t="inlineStr"/>
    </row>
    <row r="284">
      <c r="A284" t="inlineStr">
        <is>
          <t>RIOMIDA12TXS</t>
        </is>
      </c>
      <c r="B284" t="inlineStr">
        <is>
          <t>RIO ORIGINAL DAMA</t>
        </is>
      </c>
      <c r="C284" t="inlineStr">
        <is>
          <t>Manufactura / Dama / P. Superiores</t>
        </is>
      </c>
      <c r="D284" t="n">
        <v>63</v>
      </c>
      <c r="E284" t="n">
        <v>3516.02305849</v>
      </c>
      <c r="F284" t="n">
        <v>0.8998838400626865</v>
      </c>
      <c r="G284" t="n">
        <v>10</v>
      </c>
      <c r="H284" t="n">
        <v>5.538832275</v>
      </c>
      <c r="I284" t="n">
        <v>6.3</v>
      </c>
      <c r="J284" t="n">
        <v>0</v>
      </c>
      <c r="K284" t="inlineStr"/>
    </row>
    <row r="285">
      <c r="A285" t="inlineStr">
        <is>
          <t>PONC01EQ</t>
        </is>
      </c>
      <c r="B285" t="inlineStr">
        <is>
          <t>PONCHO ADULTO</t>
        </is>
      </c>
      <c r="C285" t="inlineStr">
        <is>
          <t>Equipamiento / Ponchos</t>
        </is>
      </c>
      <c r="D285" t="n">
        <v>91</v>
      </c>
      <c r="E285" t="n">
        <v>3493.13774641</v>
      </c>
      <c r="F285" t="n">
        <v>0.7970501445666667</v>
      </c>
      <c r="G285" t="n">
        <v>513</v>
      </c>
      <c r="H285" t="n">
        <v>8.48</v>
      </c>
      <c r="I285" t="n">
        <v>9.1</v>
      </c>
      <c r="J285" t="n">
        <v>0</v>
      </c>
      <c r="K285" t="inlineStr"/>
    </row>
    <row r="286">
      <c r="A286" t="inlineStr">
        <is>
          <t>SHOSUCA155TL</t>
        </is>
      </c>
      <c r="B286" t="inlineStr">
        <is>
          <t>SHORT PLAYA ESTAMPADO CAB</t>
        </is>
      </c>
      <c r="C286" t="inlineStr">
        <is>
          <t>Manufactura / Caballero / P. Inferiores</t>
        </is>
      </c>
      <c r="D286" t="n">
        <v>62</v>
      </c>
      <c r="E286" t="n">
        <v>3472.99727432</v>
      </c>
      <c r="F286" t="n">
        <v>0.784291192475</v>
      </c>
      <c r="G286" t="n">
        <v>11</v>
      </c>
      <c r="H286" t="n">
        <v>12.11</v>
      </c>
      <c r="I286" t="n">
        <v>6.2</v>
      </c>
      <c r="J286" t="n">
        <v>0</v>
      </c>
      <c r="K286" t="inlineStr"/>
    </row>
    <row r="287">
      <c r="A287" t="inlineStr">
        <is>
          <t>DRY1310L</t>
        </is>
      </c>
      <c r="B287" t="inlineStr">
        <is>
          <t>DRY BAG 10L</t>
        </is>
      </c>
      <c r="C287" t="inlineStr">
        <is>
          <t>Equipamiento / Bolsos</t>
        </is>
      </c>
      <c r="D287" t="n">
        <v>83</v>
      </c>
      <c r="E287" t="n">
        <v>3461.62485665</v>
      </c>
      <c r="F287" t="n">
        <v>0.8717281869077922</v>
      </c>
      <c r="G287" t="n">
        <v>156</v>
      </c>
      <c r="H287" t="n">
        <v>5.22</v>
      </c>
      <c r="I287" t="n">
        <v>8.300000000000001</v>
      </c>
      <c r="J287" t="n">
        <v>0</v>
      </c>
      <c r="K287" t="inlineStr"/>
    </row>
    <row r="288">
      <c r="A288" t="inlineStr">
        <is>
          <t>RIOMICA12TM</t>
        </is>
      </c>
      <c r="B288" t="inlineStr">
        <is>
          <t>RIO ORIGINAL CAB</t>
        </is>
      </c>
      <c r="C288" t="inlineStr">
        <is>
          <t>Manufactura / Caballero / P. Superiores</t>
        </is>
      </c>
      <c r="D288" t="n">
        <v>60</v>
      </c>
      <c r="E288" t="n">
        <v>3456.99218165</v>
      </c>
      <c r="F288" t="n">
        <v>0.8914178251241935</v>
      </c>
      <c r="G288" t="n">
        <v>10</v>
      </c>
      <c r="H288" t="n">
        <v>5.939350287999999</v>
      </c>
      <c r="I288" t="n">
        <v>6</v>
      </c>
      <c r="J288" t="n">
        <v>0</v>
      </c>
      <c r="K288" t="inlineStr"/>
    </row>
    <row r="289">
      <c r="A289" t="inlineStr">
        <is>
          <t>CAP31PC</t>
        </is>
      </c>
      <c r="B289" t="inlineStr">
        <is>
          <t>PRO CAP</t>
        </is>
      </c>
      <c r="C289" t="inlineStr">
        <is>
          <t>Equipamiento / Gorras</t>
        </is>
      </c>
      <c r="D289" t="n">
        <v>105</v>
      </c>
      <c r="E289" t="n">
        <v>3432.42594799</v>
      </c>
      <c r="F289" t="n">
        <v>0.9025014232680413</v>
      </c>
      <c r="G289" t="n">
        <v>521</v>
      </c>
      <c r="H289" t="n">
        <v>3.36</v>
      </c>
      <c r="I289" t="n">
        <v>10.5</v>
      </c>
      <c r="J289" t="n">
        <v>0</v>
      </c>
      <c r="K289" t="inlineStr"/>
    </row>
    <row r="290">
      <c r="A290" t="inlineStr">
        <is>
          <t>REFAZUTOEQ151EQ</t>
        </is>
      </c>
      <c r="B290" t="inlineStr">
        <is>
          <t>REFRESH AZUL</t>
        </is>
      </c>
      <c r="C290" t="inlineStr">
        <is>
          <t>Manufactura / Refresh</t>
        </is>
      </c>
      <c r="D290" t="n">
        <v>169</v>
      </c>
      <c r="E290" t="n">
        <v>3428.14838687</v>
      </c>
      <c r="F290" t="n">
        <v>0.6202246087033333</v>
      </c>
      <c r="G290" t="n">
        <v>0</v>
      </c>
      <c r="H290" t="n">
        <v>7.65</v>
      </c>
      <c r="I290" t="n">
        <v>16.9</v>
      </c>
      <c r="J290" t="n">
        <v>6</v>
      </c>
      <c r="K290" t="inlineStr">
        <is>
          <t>Sin stock</t>
        </is>
      </c>
    </row>
    <row r="291">
      <c r="A291" t="inlineStr">
        <is>
          <t>CAP43FC</t>
        </is>
      </c>
      <c r="B291" t="inlineStr">
        <is>
          <t>FIT CAP</t>
        </is>
      </c>
      <c r="C291" t="inlineStr">
        <is>
          <t>Equipamiento / Gorras</t>
        </is>
      </c>
      <c r="D291" t="n">
        <v>113</v>
      </c>
      <c r="E291" t="n">
        <v>3425.29887294</v>
      </c>
      <c r="F291" t="n">
        <v>0.8819124781138613</v>
      </c>
      <c r="G291" t="n">
        <v>493</v>
      </c>
      <c r="H291" t="n">
        <v>4.11</v>
      </c>
      <c r="I291" t="n">
        <v>11.3</v>
      </c>
      <c r="J291" t="n">
        <v>0</v>
      </c>
      <c r="K291" t="inlineStr"/>
    </row>
    <row r="292">
      <c r="A292" t="inlineStr">
        <is>
          <t>RIOMICA16TXL</t>
        </is>
      </c>
      <c r="B292" t="inlineStr">
        <is>
          <t>RIO ORIGINAL CAB</t>
        </is>
      </c>
      <c r="C292" t="inlineStr">
        <is>
          <t>Manufactura / Caballero / P. Superiores</t>
        </is>
      </c>
      <c r="D292" t="n">
        <v>62</v>
      </c>
      <c r="E292" t="n">
        <v>3419.063675485358</v>
      </c>
      <c r="F292" t="n">
        <v>0.8885104359414286</v>
      </c>
      <c r="G292" t="n">
        <v>16</v>
      </c>
      <c r="H292" t="n">
        <v>5.939350288</v>
      </c>
      <c r="I292" t="n">
        <v>6.2</v>
      </c>
      <c r="J292" t="n">
        <v>0</v>
      </c>
      <c r="K292" t="inlineStr"/>
    </row>
    <row r="293">
      <c r="A293" t="inlineStr">
        <is>
          <t>MARMIDA34TM</t>
        </is>
      </c>
      <c r="B293" t="inlineStr">
        <is>
          <t>MAR ORIGINAL DAMA</t>
        </is>
      </c>
      <c r="C293" t="inlineStr">
        <is>
          <t>Manufactura / Dama / P. Superiores</t>
        </is>
      </c>
      <c r="D293" t="n">
        <v>74</v>
      </c>
      <c r="E293" t="n">
        <v>3412.52617734</v>
      </c>
      <c r="F293" t="n">
        <v>0.9193456411704225</v>
      </c>
      <c r="G293" t="n">
        <v>10</v>
      </c>
      <c r="H293" t="n">
        <v>4.278324149</v>
      </c>
      <c r="I293" t="n">
        <v>7.4</v>
      </c>
      <c r="J293" t="n">
        <v>0</v>
      </c>
      <c r="K293" t="inlineStr"/>
    </row>
    <row r="294">
      <c r="A294" t="inlineStr">
        <is>
          <t>JAPDA35TL</t>
        </is>
      </c>
      <c r="B294" t="inlineStr">
        <is>
          <t>CUADRO JACKET 2.0 DAMA</t>
        </is>
      </c>
      <c r="C294" t="inlineStr">
        <is>
          <t>Equipamiento / Ropa</t>
        </is>
      </c>
      <c r="D294" t="n">
        <v>45</v>
      </c>
      <c r="E294" t="n">
        <v>3411.86969771</v>
      </c>
      <c r="F294" t="n">
        <v>0.7426978382489796</v>
      </c>
      <c r="G294" t="n">
        <v>156</v>
      </c>
      <c r="H294" t="n">
        <v>20.25</v>
      </c>
      <c r="I294" t="n">
        <v>4.5</v>
      </c>
      <c r="J294" t="n">
        <v>0</v>
      </c>
      <c r="K294" t="inlineStr"/>
    </row>
    <row r="295">
      <c r="A295" t="inlineStr">
        <is>
          <t>CLAMICA16TL</t>
        </is>
      </c>
      <c r="B295" t="inlineStr">
        <is>
          <t>CLASICA ORIGINAL CAB</t>
        </is>
      </c>
      <c r="C295" t="inlineStr">
        <is>
          <t>Manufactura / Caballero / P. Superiores</t>
        </is>
      </c>
      <c r="D295" t="n">
        <v>123</v>
      </c>
      <c r="E295" t="n">
        <v>3403.13370015</v>
      </c>
      <c r="F295" t="n">
        <v>0.8740014155954545</v>
      </c>
      <c r="G295" t="n">
        <v>47</v>
      </c>
      <c r="H295" t="n">
        <v>4.598442536</v>
      </c>
      <c r="I295" t="n">
        <v>12.3</v>
      </c>
      <c r="J295" t="n">
        <v>0</v>
      </c>
      <c r="K295" t="inlineStr"/>
    </row>
    <row r="296">
      <c r="A296" t="inlineStr">
        <is>
          <t>DAYCSTCA16TM</t>
        </is>
      </c>
      <c r="B296" t="inlineStr">
        <is>
          <t>CLASICA DAILY 3.0 CAB</t>
        </is>
      </c>
      <c r="C296" t="inlineStr">
        <is>
          <t>Manufactura / Caballero / P. Superiores</t>
        </is>
      </c>
      <c r="D296" t="n">
        <v>92</v>
      </c>
      <c r="E296" t="n">
        <v>3387.654725295706</v>
      </c>
      <c r="F296" t="n">
        <v>0.7595443325730159</v>
      </c>
      <c r="G296" t="n">
        <v>72</v>
      </c>
      <c r="H296" t="n">
        <v>11.76035097</v>
      </c>
      <c r="I296" t="n">
        <v>9.199999999999999</v>
      </c>
      <c r="J296" t="n">
        <v>0</v>
      </c>
      <c r="K296" t="inlineStr"/>
    </row>
    <row r="297">
      <c r="A297" t="inlineStr">
        <is>
          <t>PANNTCA66TXL</t>
        </is>
      </c>
      <c r="B297" t="inlineStr">
        <is>
          <t>EXPLORE PANTS CAB</t>
        </is>
      </c>
      <c r="C297" t="inlineStr">
        <is>
          <t>Manufactura / Caballero / P. Inferiores</t>
        </is>
      </c>
      <c r="D297" t="n">
        <v>49</v>
      </c>
      <c r="E297" t="n">
        <v>3383.363406</v>
      </c>
      <c r="F297" t="n">
        <v>0.7748120068901961</v>
      </c>
      <c r="G297" t="n">
        <v>7</v>
      </c>
      <c r="H297" t="n">
        <v>15.68994502</v>
      </c>
      <c r="I297" t="n">
        <v>4.9</v>
      </c>
      <c r="J297" t="n">
        <v>0</v>
      </c>
      <c r="K297" t="inlineStr"/>
    </row>
    <row r="298">
      <c r="A298" t="inlineStr">
        <is>
          <t>TOA64CLI</t>
        </is>
      </c>
      <c r="B298" t="inlineStr">
        <is>
          <t>TOALLA CLIP 2.0</t>
        </is>
      </c>
      <c r="C298" t="inlineStr">
        <is>
          <t>Equipamiento / Toallas</t>
        </is>
      </c>
      <c r="D298" t="n">
        <v>145</v>
      </c>
      <c r="E298" t="n">
        <v>3372.22000849</v>
      </c>
      <c r="F298" t="n">
        <v>0.7763345121608696</v>
      </c>
      <c r="G298" t="n">
        <v>251</v>
      </c>
      <c r="H298" t="n">
        <v>5.11</v>
      </c>
      <c r="I298" t="n">
        <v>14.5</v>
      </c>
      <c r="J298" t="n">
        <v>0</v>
      </c>
      <c r="K298" t="inlineStr"/>
    </row>
    <row r="299">
      <c r="A299" t="inlineStr">
        <is>
          <t>MARMIDA70TS</t>
        </is>
      </c>
      <c r="B299" t="inlineStr">
        <is>
          <t>MAR ORIGINAL DAMA</t>
        </is>
      </c>
      <c r="C299" t="inlineStr">
        <is>
          <t>Manufactura / Dama / P. Superiores</t>
        </is>
      </c>
      <c r="D299" t="n">
        <v>64</v>
      </c>
      <c r="E299" t="n">
        <v>3372.00780342165</v>
      </c>
      <c r="F299" t="n">
        <v>0.918504868368254</v>
      </c>
      <c r="G299" t="n">
        <v>23</v>
      </c>
      <c r="H299" t="n">
        <v>4.278324149</v>
      </c>
      <c r="I299" t="n">
        <v>6.4</v>
      </c>
      <c r="J299" t="n">
        <v>0</v>
      </c>
      <c r="K299" t="inlineStr"/>
    </row>
    <row r="300">
      <c r="A300" t="inlineStr">
        <is>
          <t>JAPCA16TS</t>
        </is>
      </c>
      <c r="B300" t="inlineStr">
        <is>
          <t>CUADRO JACKET 2.0 CAB</t>
        </is>
      </c>
      <c r="C300" t="inlineStr">
        <is>
          <t>Equipamiento / Ropa</t>
        </is>
      </c>
      <c r="D300" t="n">
        <v>47</v>
      </c>
      <c r="E300" t="n">
        <v>3368.48386217</v>
      </c>
      <c r="F300" t="n">
        <v>0.7523118989711111</v>
      </c>
      <c r="G300" t="n">
        <v>180</v>
      </c>
      <c r="H300" t="n">
        <v>20.25000225</v>
      </c>
      <c r="I300" t="n">
        <v>4.7</v>
      </c>
      <c r="J300" t="n">
        <v>0</v>
      </c>
      <c r="K300" t="inlineStr"/>
    </row>
    <row r="301">
      <c r="A301" t="inlineStr">
        <is>
          <t>MARMIDA12TXS</t>
        </is>
      </c>
      <c r="B301" t="inlineStr">
        <is>
          <t>MAR ORIGINAL DAMA</t>
        </is>
      </c>
      <c r="C301" t="inlineStr">
        <is>
          <t>Manufactura / Dama / P. Superiores</t>
        </is>
      </c>
      <c r="D301" t="n">
        <v>79</v>
      </c>
      <c r="E301" t="n">
        <v>3358.47590595</v>
      </c>
      <c r="F301" t="n">
        <v>0.9113935218972603</v>
      </c>
      <c r="G301" t="n">
        <v>14</v>
      </c>
      <c r="H301" t="n">
        <v>4.278324149</v>
      </c>
      <c r="I301" t="n">
        <v>7.9</v>
      </c>
      <c r="J301" t="n">
        <v>0</v>
      </c>
      <c r="K301" t="inlineStr"/>
    </row>
    <row r="302">
      <c r="A302" t="inlineStr">
        <is>
          <t>JAPKI43T12</t>
        </is>
      </c>
      <c r="B302" t="inlineStr">
        <is>
          <t>CUADRO JACKET 2.0 KIDS</t>
        </is>
      </c>
      <c r="C302" t="inlineStr">
        <is>
          <t>Equipamiento / Ropa</t>
        </is>
      </c>
      <c r="D302" t="n">
        <v>53</v>
      </c>
      <c r="E302" t="n">
        <v>3352.26430381</v>
      </c>
      <c r="F302" t="n">
        <v>0.758451020895082</v>
      </c>
      <c r="G302" t="n">
        <v>98</v>
      </c>
      <c r="H302" t="n">
        <v>15.17</v>
      </c>
      <c r="I302" t="n">
        <v>5.3</v>
      </c>
      <c r="J302" t="n">
        <v>0</v>
      </c>
      <c r="K302" t="inlineStr"/>
    </row>
    <row r="303">
      <c r="A303" t="inlineStr">
        <is>
          <t>PONKI30EQ</t>
        </is>
      </c>
      <c r="B303" t="inlineStr">
        <is>
          <t>PONCHO KIDS</t>
        </is>
      </c>
      <c r="C303" t="inlineStr">
        <is>
          <t>Equipamiento / Ponchos</t>
        </is>
      </c>
      <c r="D303" t="n">
        <v>96</v>
      </c>
      <c r="E303" t="n">
        <v>3343.30983169</v>
      </c>
      <c r="F303" t="n">
        <v>0.7602841657059524</v>
      </c>
      <c r="G303" t="n">
        <v>270</v>
      </c>
      <c r="H303" t="n">
        <v>7.989999999999999</v>
      </c>
      <c r="I303" t="n">
        <v>9.6</v>
      </c>
      <c r="J303" t="n">
        <v>0</v>
      </c>
      <c r="K303" t="inlineStr"/>
    </row>
    <row r="304">
      <c r="A304" t="inlineStr">
        <is>
          <t>JACCA14TL</t>
        </is>
      </c>
      <c r="B304" t="inlineStr">
        <is>
          <t>JACKET CAB</t>
        </is>
      </c>
      <c r="C304" t="inlineStr">
        <is>
          <t>Equipamiento / Ropa</t>
        </is>
      </c>
      <c r="D304" t="n">
        <v>51</v>
      </c>
      <c r="E304" t="n">
        <v>3340.888290457097</v>
      </c>
      <c r="F304" t="n">
        <v>0.6825047842215687</v>
      </c>
      <c r="G304" t="n">
        <v>115</v>
      </c>
      <c r="H304" t="n">
        <v>20.25001933</v>
      </c>
      <c r="I304" t="n">
        <v>5.1</v>
      </c>
      <c r="J304" t="n">
        <v>0</v>
      </c>
      <c r="K304" t="inlineStr"/>
    </row>
    <row r="305">
      <c r="A305" t="inlineStr">
        <is>
          <t>TOA199ES</t>
        </is>
      </c>
      <c r="B305" t="inlineStr">
        <is>
          <t>TOALLA ESTAMPADA 2.0</t>
        </is>
      </c>
      <c r="C305" t="inlineStr">
        <is>
          <t>Equipamiento / Toallas</t>
        </is>
      </c>
      <c r="D305" t="n">
        <v>75</v>
      </c>
      <c r="E305" t="n">
        <v>3335.92005847</v>
      </c>
      <c r="F305" t="n">
        <v>0.8724551867847222</v>
      </c>
      <c r="G305" t="n">
        <v>557</v>
      </c>
      <c r="H305" t="n">
        <v>5.92</v>
      </c>
      <c r="I305" t="n">
        <v>7.5</v>
      </c>
      <c r="J305" t="n">
        <v>0</v>
      </c>
      <c r="K305" t="inlineStr"/>
    </row>
    <row r="306">
      <c r="A306" t="inlineStr">
        <is>
          <t>JACDA01TL</t>
        </is>
      </c>
      <c r="B306" t="inlineStr">
        <is>
          <t>JACKET DAMA</t>
        </is>
      </c>
      <c r="C306" t="inlineStr">
        <is>
          <t>Equipamiento / Ropa</t>
        </is>
      </c>
      <c r="D306" t="n">
        <v>49</v>
      </c>
      <c r="E306" t="n">
        <v>3325.81437951</v>
      </c>
      <c r="F306" t="n">
        <v>0.699952449325</v>
      </c>
      <c r="G306" t="n">
        <v>21</v>
      </c>
      <c r="H306" t="n">
        <v>20.25</v>
      </c>
      <c r="I306" t="n">
        <v>4.9</v>
      </c>
      <c r="J306" t="n">
        <v>0</v>
      </c>
      <c r="K306" t="inlineStr"/>
    </row>
    <row r="307">
      <c r="A307" t="inlineStr">
        <is>
          <t>TRA5040L</t>
        </is>
      </c>
      <c r="B307" t="inlineStr">
        <is>
          <t>TRAVEL BAG 40L</t>
        </is>
      </c>
      <c r="C307" t="inlineStr">
        <is>
          <t>Equipamiento / Bolsos</t>
        </is>
      </c>
      <c r="D307" t="n">
        <v>54</v>
      </c>
      <c r="E307" t="n">
        <v>3279.15370038</v>
      </c>
      <c r="F307" t="n">
        <v>0.7056098611592593</v>
      </c>
      <c r="G307" t="n">
        <v>248</v>
      </c>
      <c r="H307" t="n">
        <v>18.38</v>
      </c>
      <c r="I307" t="n">
        <v>5.4</v>
      </c>
      <c r="J307" t="n">
        <v>0</v>
      </c>
      <c r="K307" t="inlineStr"/>
    </row>
    <row r="308">
      <c r="A308" t="inlineStr">
        <is>
          <t>KID23EQ</t>
        </is>
      </c>
      <c r="B308" t="inlineStr">
        <is>
          <t>KID HAT</t>
        </is>
      </c>
      <c r="C308" t="inlineStr">
        <is>
          <t>Equipamiento / Sombreros</t>
        </is>
      </c>
      <c r="D308" t="n">
        <v>142</v>
      </c>
      <c r="E308" t="n">
        <v>3277.17611718</v>
      </c>
      <c r="F308" t="n">
        <v>0.8521770977148936</v>
      </c>
      <c r="G308" t="n">
        <v>454</v>
      </c>
      <c r="H308" t="n">
        <v>3.86</v>
      </c>
      <c r="I308" t="n">
        <v>14.2</v>
      </c>
      <c r="J308" t="n">
        <v>0</v>
      </c>
      <c r="K308" t="inlineStr"/>
    </row>
    <row r="309">
      <c r="A309" t="inlineStr">
        <is>
          <t>BAOCCCA43TM</t>
        </is>
      </c>
      <c r="B309" t="inlineStr">
        <is>
          <t>BASIC LINE OVERSIZED CAB</t>
        </is>
      </c>
      <c r="C309" t="inlineStr">
        <is>
          <t>Manufactura / Caballero / P. Superiores</t>
        </is>
      </c>
      <c r="D309" t="n">
        <v>59</v>
      </c>
      <c r="E309" t="n">
        <v>3275.13587413</v>
      </c>
      <c r="F309" t="n">
        <v>0.8409028371034483</v>
      </c>
      <c r="G309" t="n">
        <v>22</v>
      </c>
      <c r="H309" t="n">
        <v>9.336740741</v>
      </c>
      <c r="I309" t="n">
        <v>5.9</v>
      </c>
      <c r="J309" t="n">
        <v>0</v>
      </c>
      <c r="K309" t="inlineStr"/>
    </row>
    <row r="310">
      <c r="A310" t="inlineStr">
        <is>
          <t>PONC12EQ</t>
        </is>
      </c>
      <c r="B310" t="inlineStr">
        <is>
          <t>PONCHO KIDS</t>
        </is>
      </c>
      <c r="C310" t="inlineStr">
        <is>
          <t>Equipamiento / Ponchos</t>
        </is>
      </c>
      <c r="D310" t="n">
        <v>83</v>
      </c>
      <c r="E310" t="n">
        <v>3271.21463374</v>
      </c>
      <c r="F310" t="n">
        <v>0.79646461768125</v>
      </c>
      <c r="G310" t="n">
        <v>79</v>
      </c>
      <c r="H310" t="n">
        <v>7.990000000000001</v>
      </c>
      <c r="I310" t="n">
        <v>8.300000000000001</v>
      </c>
      <c r="J310" t="n">
        <v>0</v>
      </c>
      <c r="K310" t="inlineStr"/>
    </row>
    <row r="311">
      <c r="A311" t="inlineStr">
        <is>
          <t>BAPCCDA43TM</t>
        </is>
      </c>
      <c r="B311" t="inlineStr">
        <is>
          <t>BASIC LINE PANT DAMA</t>
        </is>
      </c>
      <c r="C311" t="inlineStr">
        <is>
          <t>Manufactura / Dama / P. Inferiores</t>
        </is>
      </c>
      <c r="D311" t="n">
        <v>57</v>
      </c>
      <c r="E311" t="n">
        <v>3264.05155855</v>
      </c>
      <c r="F311" t="n">
        <v>0.8322734952285714</v>
      </c>
      <c r="G311" t="n">
        <v>29</v>
      </c>
      <c r="H311" t="n">
        <v>11.2</v>
      </c>
      <c r="I311" t="n">
        <v>5.7</v>
      </c>
      <c r="J311" t="n">
        <v>0</v>
      </c>
      <c r="K311" t="inlineStr"/>
    </row>
    <row r="312">
      <c r="A312" t="inlineStr">
        <is>
          <t>CRECA43TU</t>
        </is>
      </c>
      <c r="B312" t="inlineStr">
        <is>
          <t>CREW SOCKS CAB</t>
        </is>
      </c>
      <c r="C312" t="inlineStr">
        <is>
          <t>Equipamiento / Accesorios</t>
        </is>
      </c>
      <c r="D312" t="n">
        <v>196</v>
      </c>
      <c r="E312" t="n">
        <v>3250.487256430679</v>
      </c>
      <c r="F312" t="n">
        <v>0.847427245065812</v>
      </c>
      <c r="G312" t="n">
        <v>798</v>
      </c>
      <c r="H312" t="n">
        <v>2.83</v>
      </c>
      <c r="I312" t="n">
        <v>19.6</v>
      </c>
      <c r="J312" t="n">
        <v>0</v>
      </c>
      <c r="K312" t="inlineStr"/>
    </row>
    <row r="313">
      <c r="A313" t="inlineStr">
        <is>
          <t>PANNTCA12TXL</t>
        </is>
      </c>
      <c r="B313" t="inlineStr">
        <is>
          <t>EXPLORE PANTS CAB</t>
        </is>
      </c>
      <c r="C313" t="inlineStr">
        <is>
          <t>Manufactura / Caballero / P. Inferiores</t>
        </is>
      </c>
      <c r="D313" t="n">
        <v>46</v>
      </c>
      <c r="E313" t="n">
        <v>3239.28249459</v>
      </c>
      <c r="F313" t="n">
        <v>0.7767214953755102</v>
      </c>
      <c r="G313" t="n">
        <v>9</v>
      </c>
      <c r="H313" t="n">
        <v>15.68994502</v>
      </c>
      <c r="I313" t="n">
        <v>4.6</v>
      </c>
      <c r="J313" t="n">
        <v>0</v>
      </c>
      <c r="K313" t="inlineStr"/>
    </row>
    <row r="314">
      <c r="A314" t="inlineStr">
        <is>
          <t>DRY3010L</t>
        </is>
      </c>
      <c r="B314" t="inlineStr">
        <is>
          <t>DRY BAG 10L</t>
        </is>
      </c>
      <c r="C314" t="inlineStr">
        <is>
          <t>Equipamiento / Bolsos</t>
        </is>
      </c>
      <c r="D314" t="n">
        <v>91</v>
      </c>
      <c r="E314" t="n">
        <v>3234.25832549</v>
      </c>
      <c r="F314" t="n">
        <v>0.8590357287480769</v>
      </c>
      <c r="G314" t="n">
        <v>156</v>
      </c>
      <c r="H314" t="n">
        <v>5.22</v>
      </c>
      <c r="I314" t="n">
        <v>9.1</v>
      </c>
      <c r="J314" t="n">
        <v>0</v>
      </c>
      <c r="K314" t="inlineStr"/>
    </row>
    <row r="315">
      <c r="A315" t="inlineStr">
        <is>
          <t>JACKI47T12</t>
        </is>
      </c>
      <c r="B315" t="inlineStr">
        <is>
          <t>JACKET KIDS</t>
        </is>
      </c>
      <c r="C315" t="inlineStr">
        <is>
          <t>Manufactura / Kids / P. Superiores</t>
        </is>
      </c>
      <c r="D315" t="n">
        <v>56</v>
      </c>
      <c r="E315" t="n">
        <v>3227.117201701195</v>
      </c>
      <c r="F315" t="n">
        <v>0.7279285560857143</v>
      </c>
      <c r="G315" t="n">
        <v>52</v>
      </c>
      <c r="H315" t="n">
        <v>15.17</v>
      </c>
      <c r="I315" t="n">
        <v>5.6</v>
      </c>
      <c r="J315" t="n">
        <v>0</v>
      </c>
      <c r="K315" t="inlineStr"/>
    </row>
    <row r="316">
      <c r="A316" t="inlineStr">
        <is>
          <t>PANNTDA33TXL</t>
        </is>
      </c>
      <c r="B316" t="inlineStr">
        <is>
          <t>EXPLORE PANTS DAMA</t>
        </is>
      </c>
      <c r="C316" t="inlineStr">
        <is>
          <t>Manufactura / Dama / P. Inferiores</t>
        </is>
      </c>
      <c r="D316" t="n">
        <v>47</v>
      </c>
      <c r="E316" t="n">
        <v>3210.12107958</v>
      </c>
      <c r="F316" t="n">
        <v>0.7682208287446808</v>
      </c>
      <c r="G316" t="n">
        <v>47</v>
      </c>
      <c r="H316" t="n">
        <v>15.3928899</v>
      </c>
      <c r="I316" t="n">
        <v>4.7</v>
      </c>
      <c r="J316" t="n">
        <v>0</v>
      </c>
      <c r="K316" t="inlineStr"/>
    </row>
    <row r="317">
      <c r="A317" t="inlineStr">
        <is>
          <t>JACDA66TXS</t>
        </is>
      </c>
      <c r="B317" t="inlineStr">
        <is>
          <t>JACKET DAMA</t>
        </is>
      </c>
      <c r="C317" t="inlineStr">
        <is>
          <t>Equipamiento / Ropa</t>
        </is>
      </c>
      <c r="D317" t="n">
        <v>48</v>
      </c>
      <c r="E317" t="n">
        <v>3200.75081637</v>
      </c>
      <c r="F317" t="n">
        <v>0.691638914109091</v>
      </c>
      <c r="G317" t="n">
        <v>11</v>
      </c>
      <c r="H317" t="n">
        <v>20.25</v>
      </c>
      <c r="I317" t="n">
        <v>4.8</v>
      </c>
      <c r="J317" t="n">
        <v>0</v>
      </c>
      <c r="K317" t="inlineStr"/>
    </row>
    <row r="318">
      <c r="A318" t="inlineStr">
        <is>
          <t>CLAMICA16TM</t>
        </is>
      </c>
      <c r="B318" t="inlineStr">
        <is>
          <t>CLASICA ORIGINAL CAB</t>
        </is>
      </c>
      <c r="C318" t="inlineStr">
        <is>
          <t>Manufactura / Caballero / P. Superiores</t>
        </is>
      </c>
      <c r="D318" t="n">
        <v>145</v>
      </c>
      <c r="E318" t="n">
        <v>3199.98752417</v>
      </c>
      <c r="F318" t="n">
        <v>0.8780041810015873</v>
      </c>
      <c r="G318" t="n">
        <v>49</v>
      </c>
      <c r="H318" t="n">
        <v>4.598442536</v>
      </c>
      <c r="I318" t="n">
        <v>14.5</v>
      </c>
      <c r="J318" t="n">
        <v>0</v>
      </c>
      <c r="K318" t="inlineStr"/>
    </row>
    <row r="319">
      <c r="A319" t="inlineStr">
        <is>
          <t>MARMIDA11TL</t>
        </is>
      </c>
      <c r="B319" t="inlineStr">
        <is>
          <t>MAR ORIGINAL DAMA</t>
        </is>
      </c>
      <c r="C319" t="inlineStr">
        <is>
          <t>Manufactura / Dama / P. Superiores</t>
        </is>
      </c>
      <c r="D319" t="n">
        <v>63</v>
      </c>
      <c r="E319" t="n">
        <v>3180.95384247</v>
      </c>
      <c r="F319" t="n">
        <v>0.9110445762515151</v>
      </c>
      <c r="G319" t="n">
        <v>73</v>
      </c>
      <c r="H319" t="n">
        <v>4.278324149</v>
      </c>
      <c r="I319" t="n">
        <v>6.3</v>
      </c>
      <c r="J319" t="n">
        <v>0</v>
      </c>
      <c r="K319" t="inlineStr"/>
    </row>
    <row r="320">
      <c r="A320" t="inlineStr">
        <is>
          <t>PANNTDA66TL</t>
        </is>
      </c>
      <c r="B320" t="inlineStr">
        <is>
          <t>EXPLORE PANTS DAMA</t>
        </is>
      </c>
      <c r="C320" t="inlineStr">
        <is>
          <t>Manufactura / Dama / P. Inferiores</t>
        </is>
      </c>
      <c r="D320" t="n">
        <v>47</v>
      </c>
      <c r="E320" t="n">
        <v>3175.59993934</v>
      </c>
      <c r="F320" t="n">
        <v>0.7776948971840909</v>
      </c>
      <c r="G320" t="n">
        <v>51</v>
      </c>
      <c r="H320" t="n">
        <v>15.3928899</v>
      </c>
      <c r="I320" t="n">
        <v>4.7</v>
      </c>
      <c r="J320" t="n">
        <v>0</v>
      </c>
      <c r="K320" t="inlineStr"/>
    </row>
    <row r="321">
      <c r="A321" t="inlineStr">
        <is>
          <t>MARMIDA50TM</t>
        </is>
      </c>
      <c r="B321" t="inlineStr">
        <is>
          <t>MAR ORIGINAL DAMA</t>
        </is>
      </c>
      <c r="C321" t="inlineStr">
        <is>
          <t>Manufactura / Dama / P. Superiores</t>
        </is>
      </c>
      <c r="D321" t="n">
        <v>72</v>
      </c>
      <c r="E321" t="n">
        <v>3168.70200339</v>
      </c>
      <c r="F321" t="n">
        <v>0.9102542238612903</v>
      </c>
      <c r="G321" t="n">
        <v>34</v>
      </c>
      <c r="H321" t="n">
        <v>4.278324149</v>
      </c>
      <c r="I321" t="n">
        <v>7.2</v>
      </c>
      <c r="J321" t="n">
        <v>0</v>
      </c>
      <c r="K321" t="inlineStr"/>
    </row>
    <row r="322">
      <c r="A322" t="inlineStr">
        <is>
          <t>PANNTCA31TL</t>
        </is>
      </c>
      <c r="B322" t="inlineStr">
        <is>
          <t>EXPLORE PANTS CAB</t>
        </is>
      </c>
      <c r="C322" t="inlineStr">
        <is>
          <t>Manufactura / Caballero / P. Inferiores</t>
        </is>
      </c>
      <c r="D322" t="n">
        <v>50</v>
      </c>
      <c r="E322" t="n">
        <v>3167.39216596</v>
      </c>
      <c r="F322" t="n">
        <v>0.7855759781727273</v>
      </c>
      <c r="G322" t="n">
        <v>0</v>
      </c>
      <c r="H322" t="n">
        <v>15.68994502</v>
      </c>
      <c r="I322" t="n">
        <v>5</v>
      </c>
      <c r="J322" t="n">
        <v>1</v>
      </c>
      <c r="K322" t="inlineStr">
        <is>
          <t>Sin stock</t>
        </is>
      </c>
    </row>
    <row r="323">
      <c r="A323" t="inlineStr">
        <is>
          <t>JACCA14TM</t>
        </is>
      </c>
      <c r="B323" t="inlineStr">
        <is>
          <t>JACKET CAB</t>
        </is>
      </c>
      <c r="C323" t="inlineStr">
        <is>
          <t>Equipamiento / Ropa</t>
        </is>
      </c>
      <c r="D323" t="n">
        <v>47</v>
      </c>
      <c r="E323" t="n">
        <v>3143.4312493</v>
      </c>
      <c r="F323" t="n">
        <v>0.6959114284877551</v>
      </c>
      <c r="G323" t="n">
        <v>136</v>
      </c>
      <c r="H323" t="n">
        <v>20.25001933</v>
      </c>
      <c r="I323" t="n">
        <v>4.7</v>
      </c>
      <c r="J323" t="n">
        <v>0</v>
      </c>
      <c r="K323" t="inlineStr"/>
    </row>
    <row r="324">
      <c r="A324" t="inlineStr">
        <is>
          <t>JAPDA01TXS</t>
        </is>
      </c>
      <c r="B324" t="inlineStr">
        <is>
          <t>CUADRO JACKET 2.0 DAMA</t>
        </is>
      </c>
      <c r="C324" t="inlineStr">
        <is>
          <t>Equipamiento / Ropa</t>
        </is>
      </c>
      <c r="D324" t="n">
        <v>42</v>
      </c>
      <c r="E324" t="n">
        <v>3140.69442773</v>
      </c>
      <c r="F324" t="n">
        <v>0.749743862181579</v>
      </c>
      <c r="G324" t="n">
        <v>195</v>
      </c>
      <c r="H324" t="n">
        <v>20.25</v>
      </c>
      <c r="I324" t="n">
        <v>4.2</v>
      </c>
      <c r="J324" t="n">
        <v>0</v>
      </c>
      <c r="K324" t="inlineStr"/>
    </row>
    <row r="325">
      <c r="A325" t="inlineStr">
        <is>
          <t>PANNTCA33TS</t>
        </is>
      </c>
      <c r="B325" t="inlineStr">
        <is>
          <t>EXPLORE PANTS CAB</t>
        </is>
      </c>
      <c r="C325" t="inlineStr">
        <is>
          <t>Manufactura / Caballero / P. Inferiores</t>
        </is>
      </c>
      <c r="D325" t="n">
        <v>53</v>
      </c>
      <c r="E325" t="n">
        <v>3138.43398092</v>
      </c>
      <c r="F325" t="n">
        <v>0.7735230968673469</v>
      </c>
      <c r="G325" t="n">
        <v>41</v>
      </c>
      <c r="H325" t="n">
        <v>15.68994502</v>
      </c>
      <c r="I325" t="n">
        <v>5.3</v>
      </c>
      <c r="J325" t="n">
        <v>0</v>
      </c>
      <c r="K325" t="inlineStr"/>
    </row>
    <row r="326">
      <c r="A326" t="inlineStr">
        <is>
          <t>PANNTDA66TM</t>
        </is>
      </c>
      <c r="B326" t="inlineStr">
        <is>
          <t>EXPLORE PANTS DAMA</t>
        </is>
      </c>
      <c r="C326" t="inlineStr">
        <is>
          <t>Manufactura / Dama / P. Inferiores</t>
        </is>
      </c>
      <c r="D326" t="n">
        <v>51</v>
      </c>
      <c r="E326" t="n">
        <v>3136.01777247</v>
      </c>
      <c r="F326" t="n">
        <v>0.762045681290566</v>
      </c>
      <c r="G326" t="n">
        <v>45</v>
      </c>
      <c r="H326" t="n">
        <v>15.3928899</v>
      </c>
      <c r="I326" t="n">
        <v>5.1</v>
      </c>
      <c r="J326" t="n">
        <v>0</v>
      </c>
      <c r="K326" t="inlineStr"/>
    </row>
    <row r="327">
      <c r="A327" t="inlineStr">
        <is>
          <t>MARMIDA13TM</t>
        </is>
      </c>
      <c r="B327" t="inlineStr">
        <is>
          <t>MAR ORIGINAL DAMA</t>
        </is>
      </c>
      <c r="C327" t="inlineStr">
        <is>
          <t>Manufactura / Dama / P. Superiores</t>
        </is>
      </c>
      <c r="D327" t="n">
        <v>79</v>
      </c>
      <c r="E327" t="n">
        <v>3133.92884004</v>
      </c>
      <c r="F327" t="n">
        <v>0.9085240303677419</v>
      </c>
      <c r="G327" t="n">
        <v>11</v>
      </c>
      <c r="H327" t="n">
        <v>4.278324149</v>
      </c>
      <c r="I327" t="n">
        <v>7.9</v>
      </c>
      <c r="J327" t="n">
        <v>0</v>
      </c>
      <c r="K327" t="inlineStr"/>
    </row>
    <row r="328">
      <c r="A328" t="inlineStr">
        <is>
          <t>JACCA33TS</t>
        </is>
      </c>
      <c r="B328" t="inlineStr">
        <is>
          <t>JACKET CAB</t>
        </is>
      </c>
      <c r="C328" t="inlineStr">
        <is>
          <t>Equipamiento / Ropa</t>
        </is>
      </c>
      <c r="D328" t="n">
        <v>47</v>
      </c>
      <c r="E328" t="n">
        <v>3129.27480111</v>
      </c>
      <c r="F328" t="n">
        <v>0.700004713864</v>
      </c>
      <c r="G328" t="n">
        <v>18</v>
      </c>
      <c r="H328" t="n">
        <v>20.25001933</v>
      </c>
      <c r="I328" t="n">
        <v>4.7</v>
      </c>
      <c r="J328" t="n">
        <v>0</v>
      </c>
      <c r="K328" t="inlineStr"/>
    </row>
    <row r="329">
      <c r="A329" t="inlineStr">
        <is>
          <t>BACCCDA38TXS</t>
        </is>
      </c>
      <c r="B329" t="inlineStr">
        <is>
          <t>BASIC LINE CROP TEE DAMA</t>
        </is>
      </c>
      <c r="C329" t="inlineStr">
        <is>
          <t>Manufactura / Dama / P. Superiores</t>
        </is>
      </c>
      <c r="D329" t="n">
        <v>62</v>
      </c>
      <c r="E329" t="n">
        <v>3123.58966903</v>
      </c>
      <c r="F329" t="n">
        <v>0.8878143484152542</v>
      </c>
      <c r="G329" t="n">
        <v>37</v>
      </c>
      <c r="H329" t="n">
        <v>6.196330833</v>
      </c>
      <c r="I329" t="n">
        <v>6.2</v>
      </c>
      <c r="J329" t="n">
        <v>0</v>
      </c>
      <c r="K329" t="inlineStr"/>
    </row>
    <row r="330">
      <c r="A330" t="inlineStr">
        <is>
          <t>RIOMIDA11TS</t>
        </is>
      </c>
      <c r="B330" t="inlineStr">
        <is>
          <t>RIO ORIGINAL DAMA</t>
        </is>
      </c>
      <c r="C330" t="inlineStr">
        <is>
          <t>Manufactura / Dama / P. Superiores</t>
        </is>
      </c>
      <c r="D330" t="n">
        <v>58</v>
      </c>
      <c r="E330" t="n">
        <v>3122.19888432</v>
      </c>
      <c r="F330" t="n">
        <v>0.8948885550981818</v>
      </c>
      <c r="G330" t="n">
        <v>13</v>
      </c>
      <c r="H330" t="n">
        <v>5.538832275</v>
      </c>
      <c r="I330" t="n">
        <v>5.8</v>
      </c>
      <c r="J330" t="n">
        <v>0</v>
      </c>
      <c r="K330" t="inlineStr"/>
    </row>
    <row r="331">
      <c r="A331" t="inlineStr">
        <is>
          <t>JACCA66T2XL</t>
        </is>
      </c>
      <c r="B331" t="inlineStr">
        <is>
          <t>JACKET CAB</t>
        </is>
      </c>
      <c r="C331" t="inlineStr">
        <is>
          <t>Equipamiento / Ropa</t>
        </is>
      </c>
      <c r="D331" t="n">
        <v>48</v>
      </c>
      <c r="E331" t="n">
        <v>3105.67454657</v>
      </c>
      <c r="F331" t="n">
        <v>0.688507406430909</v>
      </c>
      <c r="G331" t="n">
        <v>3</v>
      </c>
      <c r="H331" t="n">
        <v>20.25001933</v>
      </c>
      <c r="I331" t="n">
        <v>4.8</v>
      </c>
      <c r="J331" t="n">
        <v>0</v>
      </c>
      <c r="K331" t="inlineStr"/>
    </row>
    <row r="332">
      <c r="A332" t="inlineStr">
        <is>
          <t>RIOMIDA16TM</t>
        </is>
      </c>
      <c r="B332" t="inlineStr">
        <is>
          <t>RIO ORIGINAL DAMA</t>
        </is>
      </c>
      <c r="C332" t="inlineStr">
        <is>
          <t>Manufactura / Dama / P. Superiores</t>
        </is>
      </c>
      <c r="D332" t="n">
        <v>58</v>
      </c>
      <c r="E332" t="n">
        <v>3105.35973946</v>
      </c>
      <c r="F332" t="n">
        <v>0.8930644286372882</v>
      </c>
      <c r="G332" t="n">
        <v>12</v>
      </c>
      <c r="H332" t="n">
        <v>5.538832275</v>
      </c>
      <c r="I332" t="n">
        <v>5.8</v>
      </c>
      <c r="J332" t="n">
        <v>0</v>
      </c>
      <c r="K332" t="inlineStr"/>
    </row>
    <row r="333">
      <c r="A333" t="inlineStr">
        <is>
          <t>BAOCCCA158TS</t>
        </is>
      </c>
      <c r="B333" t="inlineStr">
        <is>
          <t>BASIC LINE OVERSIZED CAB</t>
        </is>
      </c>
      <c r="C333" t="inlineStr">
        <is>
          <t>Manufactura / Caballero / P. Superiores</t>
        </is>
      </c>
      <c r="D333" t="n">
        <v>57</v>
      </c>
      <c r="E333" t="n">
        <v>3094.79713083</v>
      </c>
      <c r="F333" t="n">
        <v>0.8437839062428572</v>
      </c>
      <c r="G333" t="n">
        <v>65</v>
      </c>
      <c r="H333" t="n">
        <v>9.336740741</v>
      </c>
      <c r="I333" t="n">
        <v>5.7</v>
      </c>
      <c r="J333" t="n">
        <v>0</v>
      </c>
      <c r="K333" t="inlineStr"/>
    </row>
    <row r="334">
      <c r="A334" t="inlineStr">
        <is>
          <t>POLPLCA12TM</t>
        </is>
      </c>
      <c r="B334" t="inlineStr">
        <is>
          <t>CLASSIC POLO</t>
        </is>
      </c>
      <c r="C334" t="inlineStr">
        <is>
          <t>Manufactura / Caballero / P. Superiores</t>
        </is>
      </c>
      <c r="D334" t="n">
        <v>72</v>
      </c>
      <c r="E334" t="n">
        <v>3092.616370401597</v>
      </c>
      <c r="F334" t="n">
        <v>0.8221331309208955</v>
      </c>
      <c r="G334" t="n">
        <v>2</v>
      </c>
      <c r="H334" t="n">
        <v>7.34</v>
      </c>
      <c r="I334" t="n">
        <v>7.2</v>
      </c>
      <c r="J334" t="n">
        <v>0</v>
      </c>
      <c r="K334" t="inlineStr"/>
    </row>
    <row r="335">
      <c r="A335" t="inlineStr">
        <is>
          <t>CAP12FC</t>
        </is>
      </c>
      <c r="B335" t="inlineStr">
        <is>
          <t>FIT CAP</t>
        </is>
      </c>
      <c r="C335" t="inlineStr">
        <is>
          <t>Equipamiento / Gorras</t>
        </is>
      </c>
      <c r="D335" t="n">
        <v>115</v>
      </c>
      <c r="E335" t="n">
        <v>3089.64368761</v>
      </c>
      <c r="F335" t="n">
        <v>0.8836421673306819</v>
      </c>
      <c r="G335" t="n">
        <v>688</v>
      </c>
      <c r="H335" t="n">
        <v>4.11</v>
      </c>
      <c r="I335" t="n">
        <v>11.5</v>
      </c>
      <c r="J335" t="n">
        <v>0</v>
      </c>
      <c r="K335" t="inlineStr"/>
    </row>
    <row r="336">
      <c r="A336" t="inlineStr">
        <is>
          <t>JAPDA43TXL</t>
        </is>
      </c>
      <c r="B336" t="inlineStr">
        <is>
          <t>CUADRO JACKET 2.0 DAMA</t>
        </is>
      </c>
      <c r="C336" t="inlineStr">
        <is>
          <t>Equipamiento / Ropa</t>
        </is>
      </c>
      <c r="D336" t="n">
        <v>37</v>
      </c>
      <c r="E336" t="n">
        <v>3077.54985581</v>
      </c>
      <c r="F336" t="n">
        <v>0.7516035798575758</v>
      </c>
      <c r="G336" t="n">
        <v>361</v>
      </c>
      <c r="H336" t="n">
        <v>20.25</v>
      </c>
      <c r="I336" t="n">
        <v>3.7</v>
      </c>
      <c r="J336" t="n">
        <v>1</v>
      </c>
      <c r="K336" t="inlineStr"/>
    </row>
    <row r="337">
      <c r="A337" t="inlineStr">
        <is>
          <t>RIOMICA50TL</t>
        </is>
      </c>
      <c r="B337" t="inlineStr">
        <is>
          <t>RIO ORIGINAL CAB</t>
        </is>
      </c>
      <c r="C337" t="inlineStr">
        <is>
          <t>Manufactura / Caballero / P. Superiores</t>
        </is>
      </c>
      <c r="D337" t="n">
        <v>56</v>
      </c>
      <c r="E337" t="n">
        <v>3076.18362743</v>
      </c>
      <c r="F337" t="n">
        <v>0.8854496574714286</v>
      </c>
      <c r="G337" t="n">
        <v>18</v>
      </c>
      <c r="H337" t="n">
        <v>5.939350288</v>
      </c>
      <c r="I337" t="n">
        <v>5.6</v>
      </c>
      <c r="J337" t="n">
        <v>0</v>
      </c>
      <c r="K337" t="inlineStr"/>
    </row>
    <row r="338">
      <c r="A338" t="inlineStr">
        <is>
          <t>RIOMICA11TL</t>
        </is>
      </c>
      <c r="B338" t="inlineStr">
        <is>
          <t>RIO ORIGINAL CAB</t>
        </is>
      </c>
      <c r="C338" t="inlineStr">
        <is>
          <t>Manufactura / Caballero / P. Superiores</t>
        </is>
      </c>
      <c r="D338" t="n">
        <v>59</v>
      </c>
      <c r="E338" t="n">
        <v>3075.38175095</v>
      </c>
      <c r="F338" t="n">
        <v>0.8842471810507937</v>
      </c>
      <c r="G338" t="n">
        <v>21</v>
      </c>
      <c r="H338" t="n">
        <v>5.939350288</v>
      </c>
      <c r="I338" t="n">
        <v>5.9</v>
      </c>
      <c r="J338" t="n">
        <v>0</v>
      </c>
      <c r="K338" t="inlineStr"/>
    </row>
    <row r="339">
      <c r="A339" t="inlineStr">
        <is>
          <t>POLPLCA16TM</t>
        </is>
      </c>
      <c r="B339" t="inlineStr">
        <is>
          <t>CLASSIC POLO</t>
        </is>
      </c>
      <c r="C339" t="inlineStr">
        <is>
          <t>Manufactura / Caballero / P. Superiores</t>
        </is>
      </c>
      <c r="D339" t="n">
        <v>73</v>
      </c>
      <c r="E339" t="n">
        <v>3052.89034878</v>
      </c>
      <c r="F339" t="n">
        <v>0.8337454032955883</v>
      </c>
      <c r="G339" t="n">
        <v>6</v>
      </c>
      <c r="H339" t="n">
        <v>7.339999999999999</v>
      </c>
      <c r="I339" t="n">
        <v>7.3</v>
      </c>
      <c r="J339" t="n">
        <v>0</v>
      </c>
      <c r="K339" t="inlineStr"/>
    </row>
    <row r="340">
      <c r="A340" t="inlineStr">
        <is>
          <t>SHONRCA30TXL</t>
        </is>
      </c>
      <c r="B340" t="inlineStr">
        <is>
          <t>SHORT SPORT CAB</t>
        </is>
      </c>
      <c r="C340" t="inlineStr">
        <is>
          <t>Manufactura / Caballero / P. Inferiores</t>
        </is>
      </c>
      <c r="D340" t="n">
        <v>69</v>
      </c>
      <c r="E340" t="n">
        <v>3034.787501046704</v>
      </c>
      <c r="F340" t="n">
        <v>0.754176181138961</v>
      </c>
      <c r="G340" t="n">
        <v>23</v>
      </c>
      <c r="H340" t="n">
        <v>10.6514486</v>
      </c>
      <c r="I340" t="n">
        <v>6.9</v>
      </c>
      <c r="J340" t="n">
        <v>0</v>
      </c>
      <c r="K340" t="inlineStr"/>
    </row>
    <row r="341">
      <c r="A341" t="inlineStr">
        <is>
          <t>RIOMICA16TL</t>
        </is>
      </c>
      <c r="B341" t="inlineStr">
        <is>
          <t>RIO ORIGINAL CAB</t>
        </is>
      </c>
      <c r="C341" t="inlineStr">
        <is>
          <t>Manufactura / Caballero / P. Superiores</t>
        </is>
      </c>
      <c r="D341" t="n">
        <v>57</v>
      </c>
      <c r="E341" t="n">
        <v>3029.42548881</v>
      </c>
      <c r="F341" t="n">
        <v>0.8895281951065573</v>
      </c>
      <c r="G341" t="n">
        <v>29</v>
      </c>
      <c r="H341" t="n">
        <v>5.939350288</v>
      </c>
      <c r="I341" t="n">
        <v>5.7</v>
      </c>
      <c r="J341" t="n">
        <v>0</v>
      </c>
      <c r="K341" t="inlineStr"/>
    </row>
    <row r="342">
      <c r="A342" t="inlineStr">
        <is>
          <t>SHONRCA30TL</t>
        </is>
      </c>
      <c r="B342" t="inlineStr">
        <is>
          <t>SHORT SPORT CAB</t>
        </is>
      </c>
      <c r="C342" t="inlineStr">
        <is>
          <t>Manufactura / Caballero / P. Inferiores</t>
        </is>
      </c>
      <c r="D342" t="n">
        <v>79</v>
      </c>
      <c r="E342" t="n">
        <v>3027.87449688</v>
      </c>
      <c r="F342" t="n">
        <v>0.7581800253970149</v>
      </c>
      <c r="G342" t="n">
        <v>2</v>
      </c>
      <c r="H342" t="n">
        <v>10.6514486</v>
      </c>
      <c r="I342" t="n">
        <v>7.9</v>
      </c>
      <c r="J342" t="n">
        <v>1</v>
      </c>
      <c r="K342" t="inlineStr"/>
    </row>
    <row r="343">
      <c r="A343" t="inlineStr">
        <is>
          <t>MARMICA70TL</t>
        </is>
      </c>
      <c r="B343" t="inlineStr">
        <is>
          <t>MAR ORIGINAL CAB</t>
        </is>
      </c>
      <c r="C343" t="inlineStr">
        <is>
          <t>Manufactura / Caballero / P. Superiores</t>
        </is>
      </c>
      <c r="D343" t="n">
        <v>65</v>
      </c>
      <c r="E343" t="n">
        <v>3018.75816514</v>
      </c>
      <c r="F343" t="n">
        <v>0.9012004373516129</v>
      </c>
      <c r="G343" t="n">
        <v>58</v>
      </c>
      <c r="H343" t="n">
        <v>4.946357428</v>
      </c>
      <c r="I343" t="n">
        <v>6.5</v>
      </c>
      <c r="J343" t="n">
        <v>0</v>
      </c>
      <c r="K343" t="inlineStr"/>
    </row>
    <row r="344">
      <c r="A344" t="inlineStr">
        <is>
          <t>MARMIDA48TXS</t>
        </is>
      </c>
      <c r="B344" t="inlineStr">
        <is>
          <t>MAR ORIGINAL DAMA</t>
        </is>
      </c>
      <c r="C344" t="inlineStr">
        <is>
          <t>Manufactura / Dama / P. Superiores</t>
        </is>
      </c>
      <c r="D344" t="n">
        <v>62</v>
      </c>
      <c r="E344" t="n">
        <v>3017.00729682</v>
      </c>
      <c r="F344" t="n">
        <v>0.9176590687905661</v>
      </c>
      <c r="G344" t="n">
        <v>21</v>
      </c>
      <c r="H344" t="n">
        <v>4.278324149</v>
      </c>
      <c r="I344" t="n">
        <v>6.2</v>
      </c>
      <c r="J344" t="n">
        <v>0</v>
      </c>
      <c r="K344" t="inlineStr"/>
    </row>
    <row r="345">
      <c r="A345" t="inlineStr">
        <is>
          <t>MARMICA50TL</t>
        </is>
      </c>
      <c r="B345" t="inlineStr">
        <is>
          <t>MAR ORIGINAL CAB</t>
        </is>
      </c>
      <c r="C345" t="inlineStr">
        <is>
          <t>Manufactura / Caballero / P. Superiores</t>
        </is>
      </c>
      <c r="D345" t="n">
        <v>65</v>
      </c>
      <c r="E345" t="n">
        <v>3011.887550143664</v>
      </c>
      <c r="F345" t="n">
        <v>0.8957465747612903</v>
      </c>
      <c r="G345" t="n">
        <v>91</v>
      </c>
      <c r="H345" t="n">
        <v>4.946357428</v>
      </c>
      <c r="I345" t="n">
        <v>6.5</v>
      </c>
      <c r="J345" t="n">
        <v>0</v>
      </c>
      <c r="K345" t="inlineStr"/>
    </row>
    <row r="346">
      <c r="A346" t="inlineStr">
        <is>
          <t>RIOMIDA16TS</t>
        </is>
      </c>
      <c r="B346" t="inlineStr">
        <is>
          <t>RIO ORIGINAL DAMA</t>
        </is>
      </c>
      <c r="C346" t="inlineStr">
        <is>
          <t>Manufactura / Dama / P. Superiores</t>
        </is>
      </c>
      <c r="D346" t="n">
        <v>56</v>
      </c>
      <c r="E346" t="n">
        <v>3003.89521855</v>
      </c>
      <c r="F346" t="n">
        <v>0.8960679067578947</v>
      </c>
      <c r="G346" t="n">
        <v>25</v>
      </c>
      <c r="H346" t="n">
        <v>5.538832274999999</v>
      </c>
      <c r="I346" t="n">
        <v>5.6</v>
      </c>
      <c r="J346" t="n">
        <v>0</v>
      </c>
      <c r="K346" t="inlineStr"/>
    </row>
    <row r="347">
      <c r="A347" t="inlineStr">
        <is>
          <t>MAFMIDA34TL</t>
        </is>
      </c>
      <c r="B347" t="inlineStr">
        <is>
          <t>MAFE ORIGINAL DAMA</t>
        </is>
      </c>
      <c r="C347" t="inlineStr">
        <is>
          <t>Manufactura / Dama / P. Superiores</t>
        </is>
      </c>
      <c r="D347" t="n">
        <v>200</v>
      </c>
      <c r="E347" t="n">
        <v>2981.83046</v>
      </c>
      <c r="F347" t="n">
        <v>0.6949406232000001</v>
      </c>
      <c r="G347" t="n">
        <v>0</v>
      </c>
      <c r="H347" t="n">
        <v>4.54817671</v>
      </c>
      <c r="I347" t="n">
        <v>20</v>
      </c>
      <c r="J347" t="n">
        <v>4</v>
      </c>
      <c r="K347" t="inlineStr">
        <is>
          <t>Sin stock</t>
        </is>
      </c>
    </row>
    <row r="348">
      <c r="A348" t="inlineStr">
        <is>
          <t>MARMICA50TM</t>
        </is>
      </c>
      <c r="B348" t="inlineStr">
        <is>
          <t>MAR ORIGINAL CAB</t>
        </is>
      </c>
      <c r="C348" t="inlineStr">
        <is>
          <t>Manufactura / Caballero / P. Superiores</t>
        </is>
      </c>
      <c r="D348" t="n">
        <v>67</v>
      </c>
      <c r="E348" t="n">
        <v>2969.644480706643</v>
      </c>
      <c r="F348" t="n">
        <v>0.8967491915810345</v>
      </c>
      <c r="G348" t="n">
        <v>68</v>
      </c>
      <c r="H348" t="n">
        <v>4.946357428</v>
      </c>
      <c r="I348" t="n">
        <v>6.7</v>
      </c>
      <c r="J348" t="n">
        <v>1</v>
      </c>
      <c r="K348" t="inlineStr"/>
    </row>
    <row r="349">
      <c r="A349" t="inlineStr">
        <is>
          <t>KOA65KA</t>
        </is>
      </c>
      <c r="B349" t="inlineStr">
        <is>
          <t>MINI BAG</t>
        </is>
      </c>
      <c r="C349" t="inlineStr">
        <is>
          <t>Equipamiento / Bolsos</t>
        </is>
      </c>
      <c r="D349" t="n">
        <v>83</v>
      </c>
      <c r="E349" t="n">
        <v>2937.553495046704</v>
      </c>
      <c r="F349" t="n">
        <v>0.8352128583426667</v>
      </c>
      <c r="G349" t="n">
        <v>931</v>
      </c>
      <c r="H349" t="n">
        <v>6.33</v>
      </c>
      <c r="I349" t="n">
        <v>8.300000000000001</v>
      </c>
      <c r="J349" t="n">
        <v>0</v>
      </c>
      <c r="K349" t="inlineStr"/>
    </row>
    <row r="350">
      <c r="A350" t="inlineStr">
        <is>
          <t>MARMIDA34TL</t>
        </is>
      </c>
      <c r="B350" t="inlineStr">
        <is>
          <t>MAR ORIGINAL DAMA</t>
        </is>
      </c>
      <c r="C350" t="inlineStr">
        <is>
          <t>Manufactura / Dama / P. Superiores</t>
        </is>
      </c>
      <c r="D350" t="n">
        <v>60</v>
      </c>
      <c r="E350" t="n">
        <v>2929.78629778</v>
      </c>
      <c r="F350" t="n">
        <v>0.9114866765296875</v>
      </c>
      <c r="G350" t="n">
        <v>29</v>
      </c>
      <c r="H350" t="n">
        <v>4.278324149</v>
      </c>
      <c r="I350" t="n">
        <v>6</v>
      </c>
      <c r="J350" t="n">
        <v>0</v>
      </c>
      <c r="K350" t="inlineStr"/>
    </row>
    <row r="351">
      <c r="A351" t="inlineStr">
        <is>
          <t>ANKCA43TU</t>
        </is>
      </c>
      <c r="B351" t="inlineStr">
        <is>
          <t>ANKLE SOCKS CAB</t>
        </is>
      </c>
      <c r="C351" t="inlineStr">
        <is>
          <t>Equipamiento / Accesorios</t>
        </is>
      </c>
      <c r="D351" t="n">
        <v>156</v>
      </c>
      <c r="E351" t="n">
        <v>2921.073637644</v>
      </c>
      <c r="F351" t="n">
        <v>0.8633237172766129</v>
      </c>
      <c r="G351" t="n">
        <v>846</v>
      </c>
      <c r="H351" t="n">
        <v>2.67</v>
      </c>
      <c r="I351" t="n">
        <v>15.6</v>
      </c>
      <c r="J351" t="n">
        <v>0</v>
      </c>
      <c r="K351" t="inlineStr"/>
    </row>
    <row r="352">
      <c r="A352" t="inlineStr">
        <is>
          <t>BACCCDA158TS</t>
        </is>
      </c>
      <c r="B352" t="inlineStr">
        <is>
          <t>BASIC LINE CROP TEE DAMA</t>
        </is>
      </c>
      <c r="C352" t="inlineStr">
        <is>
          <t>Manufactura / Dama / P. Superiores</t>
        </is>
      </c>
      <c r="D352" t="n">
        <v>63</v>
      </c>
      <c r="E352" t="n">
        <v>2908.82070704</v>
      </c>
      <c r="F352" t="n">
        <v>0.8834215757637931</v>
      </c>
      <c r="G352" t="n">
        <v>10</v>
      </c>
      <c r="H352" t="n">
        <v>6.196330833</v>
      </c>
      <c r="I352" t="n">
        <v>6.3</v>
      </c>
      <c r="J352" t="n">
        <v>0</v>
      </c>
      <c r="K352" t="inlineStr"/>
    </row>
    <row r="353">
      <c r="A353" t="inlineStr">
        <is>
          <t>RIOMICA16TS</t>
        </is>
      </c>
      <c r="B353" t="inlineStr">
        <is>
          <t>RIO ORIGINAL CAB</t>
        </is>
      </c>
      <c r="C353" t="inlineStr">
        <is>
          <t>Manufactura / Caballero / P. Superiores</t>
        </is>
      </c>
      <c r="D353" t="n">
        <v>52</v>
      </c>
      <c r="E353" t="n">
        <v>2882.58219501</v>
      </c>
      <c r="F353" t="n">
        <v>0.8884929609793104</v>
      </c>
      <c r="G353" t="n">
        <v>24</v>
      </c>
      <c r="H353" t="n">
        <v>5.939350288000001</v>
      </c>
      <c r="I353" t="n">
        <v>5.2</v>
      </c>
      <c r="J353" t="n">
        <v>0</v>
      </c>
      <c r="K353" t="inlineStr"/>
    </row>
    <row r="354">
      <c r="A354" t="inlineStr">
        <is>
          <t>CLAMICA43TS</t>
        </is>
      </c>
      <c r="B354" t="inlineStr">
        <is>
          <t>CLASICA ORIGINAL CAB</t>
        </is>
      </c>
      <c r="C354" t="inlineStr">
        <is>
          <t>Manufactura / Caballero / P. Superiores</t>
        </is>
      </c>
      <c r="D354" t="n">
        <v>108</v>
      </c>
      <c r="E354" t="n">
        <v>2879.29701127</v>
      </c>
      <c r="F354" t="n">
        <v>0.8835730037042857</v>
      </c>
      <c r="G354" t="n">
        <v>75</v>
      </c>
      <c r="H354" t="n">
        <v>4.598442536</v>
      </c>
      <c r="I354" t="n">
        <v>10.8</v>
      </c>
      <c r="J354" t="n">
        <v>0</v>
      </c>
      <c r="K354" t="inlineStr"/>
    </row>
    <row r="355">
      <c r="A355" t="inlineStr">
        <is>
          <t>DRY095L</t>
        </is>
      </c>
      <c r="B355" t="inlineStr">
        <is>
          <t>DRY BAG 5L</t>
        </is>
      </c>
      <c r="C355" t="inlineStr">
        <is>
          <t>Equipamiento / Bolsos</t>
        </is>
      </c>
      <c r="D355" t="n">
        <v>91</v>
      </c>
      <c r="E355" t="n">
        <v>2872.72347263</v>
      </c>
      <c r="F355" t="n">
        <v>0.8499852304951613</v>
      </c>
      <c r="G355" t="n">
        <v>7</v>
      </c>
      <c r="H355" t="n">
        <v>4.91</v>
      </c>
      <c r="I355" t="n">
        <v>9.1</v>
      </c>
      <c r="J355" t="n">
        <v>0</v>
      </c>
      <c r="K355" t="inlineStr"/>
    </row>
    <row r="356">
      <c r="A356" t="inlineStr">
        <is>
          <t>CAP33EC</t>
        </is>
      </c>
      <c r="B356" t="inlineStr">
        <is>
          <t>EXPLORE CAP</t>
        </is>
      </c>
      <c r="C356" t="inlineStr">
        <is>
          <t>Equipamiento / Gorras</t>
        </is>
      </c>
      <c r="D356" t="n">
        <v>97</v>
      </c>
      <c r="E356" t="n">
        <v>2864.00283928</v>
      </c>
      <c r="F356" t="n">
        <v>0.8949458828307693</v>
      </c>
      <c r="G356" t="n">
        <v>502</v>
      </c>
      <c r="H356" t="n">
        <v>3.360013258</v>
      </c>
      <c r="I356" t="n">
        <v>9.699999999999999</v>
      </c>
      <c r="J356" t="n">
        <v>0</v>
      </c>
      <c r="K356" t="inlineStr"/>
    </row>
    <row r="357">
      <c r="A357" t="inlineStr">
        <is>
          <t>JACKI43T12</t>
        </is>
      </c>
      <c r="B357" t="inlineStr">
        <is>
          <t>JACKET KIDS</t>
        </is>
      </c>
      <c r="C357" t="inlineStr">
        <is>
          <t>Manufactura / Kids / P. Superiores</t>
        </is>
      </c>
      <c r="D357" t="n">
        <v>52</v>
      </c>
      <c r="E357" t="n">
        <v>2827.905367903847</v>
      </c>
      <c r="F357" t="n">
        <v>0.7180075782344262</v>
      </c>
      <c r="G357" t="n">
        <v>96</v>
      </c>
      <c r="H357" t="n">
        <v>15.17</v>
      </c>
      <c r="I357" t="n">
        <v>5.2</v>
      </c>
      <c r="J357" t="n">
        <v>0</v>
      </c>
      <c r="K357" t="inlineStr"/>
    </row>
    <row r="358">
      <c r="A358" t="inlineStr">
        <is>
          <t>MARMICA11TS</t>
        </is>
      </c>
      <c r="B358" t="inlineStr">
        <is>
          <t>MAR ORIGINAL CAB</t>
        </is>
      </c>
      <c r="C358" t="inlineStr">
        <is>
          <t>Manufactura / Caballero / P. Superiores</t>
        </is>
      </c>
      <c r="D358" t="n">
        <v>60</v>
      </c>
      <c r="E358" t="n">
        <v>2826.20849608</v>
      </c>
      <c r="F358" t="n">
        <v>0.8974737992693549</v>
      </c>
      <c r="G358" t="n">
        <v>26</v>
      </c>
      <c r="H358" t="n">
        <v>4.946357428</v>
      </c>
      <c r="I358" t="n">
        <v>6</v>
      </c>
      <c r="J358" t="n">
        <v>0</v>
      </c>
      <c r="K358" t="inlineStr"/>
    </row>
    <row r="359">
      <c r="A359" t="inlineStr">
        <is>
          <t>JACCA66TS</t>
        </is>
      </c>
      <c r="B359" t="inlineStr">
        <is>
          <t>JACKET CAB</t>
        </is>
      </c>
      <c r="C359" t="inlineStr">
        <is>
          <t>Equipamiento / Ropa</t>
        </is>
      </c>
      <c r="D359" t="n">
        <v>47</v>
      </c>
      <c r="E359" t="n">
        <v>2824.56215246</v>
      </c>
      <c r="F359" t="n">
        <v>0.68827640765</v>
      </c>
      <c r="G359" t="n">
        <v>46</v>
      </c>
      <c r="H359" t="n">
        <v>20.25001933</v>
      </c>
      <c r="I359" t="n">
        <v>4.7</v>
      </c>
      <c r="J359" t="n">
        <v>0</v>
      </c>
      <c r="K359" t="inlineStr"/>
    </row>
    <row r="360">
      <c r="A360" t="inlineStr">
        <is>
          <t>ZRED193EQ</t>
        </is>
      </c>
      <c r="B360" t="inlineStr">
        <is>
          <t>ZENIT REDONDO</t>
        </is>
      </c>
      <c r="C360" t="inlineStr">
        <is>
          <t>Equipamiento / Lentes</t>
        </is>
      </c>
      <c r="D360" t="n">
        <v>27</v>
      </c>
      <c r="E360" t="n">
        <v>2821.92030241</v>
      </c>
      <c r="F360" t="n">
        <v>0.6776788338772728</v>
      </c>
      <c r="G360" t="n">
        <v>263</v>
      </c>
      <c r="H360" t="n">
        <v>40.44</v>
      </c>
      <c r="I360" t="n">
        <v>2.7</v>
      </c>
      <c r="J360" t="n">
        <v>0</v>
      </c>
      <c r="K360" t="inlineStr"/>
    </row>
    <row r="361">
      <c r="A361" t="inlineStr">
        <is>
          <t>JACCA33TL</t>
        </is>
      </c>
      <c r="B361" t="inlineStr">
        <is>
          <t>JACKET CAB</t>
        </is>
      </c>
      <c r="C361" t="inlineStr">
        <is>
          <t>Equipamiento / Ropa</t>
        </is>
      </c>
      <c r="D361" t="n">
        <v>42</v>
      </c>
      <c r="E361" t="n">
        <v>2802.85967648</v>
      </c>
      <c r="F361" t="n">
        <v>0.6916238470627907</v>
      </c>
      <c r="G361" t="n">
        <v>0</v>
      </c>
      <c r="H361" t="n">
        <v>20.25001933</v>
      </c>
      <c r="I361" t="n">
        <v>4.2</v>
      </c>
      <c r="J361" t="n">
        <v>4</v>
      </c>
      <c r="K361" t="inlineStr">
        <is>
          <t>Sin stock</t>
        </is>
      </c>
    </row>
    <row r="362">
      <c r="A362" t="inlineStr">
        <is>
          <t>MARMIDA70TXS</t>
        </is>
      </c>
      <c r="B362" t="inlineStr">
        <is>
          <t>MAR ORIGINAL DAMA</t>
        </is>
      </c>
      <c r="C362" t="inlineStr">
        <is>
          <t>Manufactura / Dama / P. Superiores</t>
        </is>
      </c>
      <c r="D362" t="n">
        <v>54</v>
      </c>
      <c r="E362" t="n">
        <v>2797.35630344</v>
      </c>
      <c r="F362" t="n">
        <v>0.9159848174981482</v>
      </c>
      <c r="G362" t="n">
        <v>24</v>
      </c>
      <c r="H362" t="n">
        <v>4.278324149</v>
      </c>
      <c r="I362" t="n">
        <v>5.4</v>
      </c>
      <c r="J362" t="n">
        <v>0</v>
      </c>
      <c r="K362" t="inlineStr"/>
    </row>
    <row r="363">
      <c r="A363" t="inlineStr">
        <is>
          <t>REFAMATOGE03EQ</t>
        </is>
      </c>
      <c r="B363" t="inlineStr">
        <is>
          <t>REFRESH AMARILLO</t>
        </is>
      </c>
      <c r="C363" t="inlineStr">
        <is>
          <t>Manufactura / Refresh</t>
        </is>
      </c>
      <c r="D363" t="n">
        <v>92</v>
      </c>
      <c r="E363" t="n">
        <v>2782.78441925</v>
      </c>
      <c r="F363" t="n">
        <v>0.6059061900355264</v>
      </c>
      <c r="G363" t="n">
        <v>15</v>
      </c>
      <c r="H363" t="n">
        <v>12.02</v>
      </c>
      <c r="I363" t="n">
        <v>9.199999999999999</v>
      </c>
      <c r="J363" t="n">
        <v>2</v>
      </c>
      <c r="K363" t="inlineStr"/>
    </row>
    <row r="364">
      <c r="A364" t="inlineStr">
        <is>
          <t>MARMICA13TS</t>
        </is>
      </c>
      <c r="B364" t="inlineStr">
        <is>
          <t>MAR ORIGINAL CAB</t>
        </is>
      </c>
      <c r="C364" t="inlineStr">
        <is>
          <t>Manufactura / Caballero / P. Superiores</t>
        </is>
      </c>
      <c r="D364" t="n">
        <v>59</v>
      </c>
      <c r="E364" t="n">
        <v>2775.77195444</v>
      </c>
      <c r="F364" t="n">
        <v>0.8976419317166666</v>
      </c>
      <c r="G364" t="n">
        <v>152</v>
      </c>
      <c r="H364" t="n">
        <v>4.946357428</v>
      </c>
      <c r="I364" t="n">
        <v>5.9</v>
      </c>
      <c r="J364" t="n">
        <v>0</v>
      </c>
      <c r="K364" t="inlineStr"/>
    </row>
    <row r="365">
      <c r="A365" t="inlineStr">
        <is>
          <t>MARMIDA34TXS</t>
        </is>
      </c>
      <c r="B365" t="inlineStr">
        <is>
          <t>MAR ORIGINAL DAMA</t>
        </is>
      </c>
      <c r="C365" t="inlineStr">
        <is>
          <t>Manufactura / Dama / P. Superiores</t>
        </is>
      </c>
      <c r="D365" t="n">
        <v>55</v>
      </c>
      <c r="E365" t="n">
        <v>2774.03678112</v>
      </c>
      <c r="F365" t="n">
        <v>0.9149672563037735</v>
      </c>
      <c r="G365" t="n">
        <v>26</v>
      </c>
      <c r="H365" t="n">
        <v>4.278324149</v>
      </c>
      <c r="I365" t="n">
        <v>5.5</v>
      </c>
      <c r="J365" t="n">
        <v>0</v>
      </c>
      <c r="K365" t="inlineStr"/>
    </row>
    <row r="366">
      <c r="A366" t="inlineStr">
        <is>
          <t>DAYCSTCA66TM</t>
        </is>
      </c>
      <c r="B366" t="inlineStr">
        <is>
          <t>CLASICA DAILY 3.0 CAB</t>
        </is>
      </c>
      <c r="C366" t="inlineStr">
        <is>
          <t>Manufactura / Caballero / P. Superiores</t>
        </is>
      </c>
      <c r="D366" t="n">
        <v>59</v>
      </c>
      <c r="E366" t="n">
        <v>2766.15846095</v>
      </c>
      <c r="F366" t="n">
        <v>0.7579469605877194</v>
      </c>
      <c r="G366" t="n">
        <v>33</v>
      </c>
      <c r="H366" t="n">
        <v>11.76035097</v>
      </c>
      <c r="I366" t="n">
        <v>5.9</v>
      </c>
      <c r="J366" t="n">
        <v>0</v>
      </c>
      <c r="K366" t="inlineStr"/>
    </row>
    <row r="367">
      <c r="A367" t="inlineStr">
        <is>
          <t>RIOMIDA01TS</t>
        </is>
      </c>
      <c r="B367" t="inlineStr">
        <is>
          <t>RIO ORIGINAL DAMA</t>
        </is>
      </c>
      <c r="C367" t="inlineStr">
        <is>
          <t>Manufactura / Dama / P. Superiores</t>
        </is>
      </c>
      <c r="D367" t="n">
        <v>51</v>
      </c>
      <c r="E367" t="n">
        <v>2760.67519978</v>
      </c>
      <c r="F367" t="n">
        <v>0.8917962020679999</v>
      </c>
      <c r="G367" t="n">
        <v>20</v>
      </c>
      <c r="H367" t="n">
        <v>5.538832275</v>
      </c>
      <c r="I367" t="n">
        <v>5.1</v>
      </c>
      <c r="J367" t="n">
        <v>1</v>
      </c>
      <c r="K367" t="inlineStr"/>
    </row>
    <row r="368">
      <c r="A368" t="inlineStr">
        <is>
          <t>RIOMIDA34TS</t>
        </is>
      </c>
      <c r="B368" t="inlineStr">
        <is>
          <t>RIO ORIGINAL DAMA</t>
        </is>
      </c>
      <c r="C368" t="inlineStr">
        <is>
          <t>Manufactura / Dama / P. Superiores</t>
        </is>
      </c>
      <c r="D368" t="n">
        <v>55</v>
      </c>
      <c r="E368" t="n">
        <v>2757.31054131</v>
      </c>
      <c r="F368" t="n">
        <v>0.8844107762654545</v>
      </c>
      <c r="G368" t="n">
        <v>18</v>
      </c>
      <c r="H368" t="n">
        <v>5.538832275</v>
      </c>
      <c r="I368" t="n">
        <v>5.5</v>
      </c>
      <c r="J368" t="n">
        <v>0</v>
      </c>
      <c r="K368" t="inlineStr"/>
    </row>
    <row r="369">
      <c r="A369" t="inlineStr">
        <is>
          <t>SHOSUCA154TL</t>
        </is>
      </c>
      <c r="B369" t="inlineStr">
        <is>
          <t>SHORT PLAYA ESTAMPADO CAB</t>
        </is>
      </c>
      <c r="C369" t="inlineStr">
        <is>
          <t>Manufactura / Caballero / P. Inferiores</t>
        </is>
      </c>
      <c r="D369" t="n">
        <v>53</v>
      </c>
      <c r="E369" t="n">
        <v>2756.72169258</v>
      </c>
      <c r="F369" t="n">
        <v>0.7768448959509804</v>
      </c>
      <c r="G369" t="n">
        <v>43</v>
      </c>
      <c r="H369" t="n">
        <v>12.11</v>
      </c>
      <c r="I369" t="n">
        <v>5.3</v>
      </c>
      <c r="J369" t="n">
        <v>0</v>
      </c>
      <c r="K369" t="inlineStr"/>
    </row>
    <row r="370">
      <c r="A370" t="inlineStr">
        <is>
          <t>JAPCA66TS</t>
        </is>
      </c>
      <c r="B370" t="inlineStr">
        <is>
          <t>CUADRO JACKET 2.0 CAB</t>
        </is>
      </c>
      <c r="C370" t="inlineStr">
        <is>
          <t>Equipamiento / Ropa</t>
        </is>
      </c>
      <c r="D370" t="n">
        <v>34</v>
      </c>
      <c r="E370" t="n">
        <v>2755.45786971</v>
      </c>
      <c r="F370" t="n">
        <v>0.753105185017647</v>
      </c>
      <c r="G370" t="n">
        <v>268</v>
      </c>
      <c r="H370" t="n">
        <v>20.25000225</v>
      </c>
      <c r="I370" t="n">
        <v>3.4</v>
      </c>
      <c r="J370" t="n">
        <v>0</v>
      </c>
      <c r="K370" t="inlineStr"/>
    </row>
    <row r="371">
      <c r="A371" t="inlineStr">
        <is>
          <t>TOA201ES</t>
        </is>
      </c>
      <c r="B371" t="inlineStr">
        <is>
          <t>TOALLA ESTAMPADA 2.0</t>
        </is>
      </c>
      <c r="C371" t="inlineStr">
        <is>
          <t>Equipamiento / Toallas</t>
        </is>
      </c>
      <c r="D371" t="n">
        <v>63</v>
      </c>
      <c r="E371" t="n">
        <v>2755.06327242</v>
      </c>
      <c r="F371" t="n">
        <v>0.8657021773140625</v>
      </c>
      <c r="G371" t="n">
        <v>0</v>
      </c>
      <c r="H371" t="n">
        <v>5.92</v>
      </c>
      <c r="I371" t="n">
        <v>6.3</v>
      </c>
      <c r="J371" t="n">
        <v>4</v>
      </c>
      <c r="K371" t="inlineStr">
        <is>
          <t>Sin stock</t>
        </is>
      </c>
    </row>
    <row r="372">
      <c r="A372" t="inlineStr">
        <is>
          <t>BACCCDA43TM</t>
        </is>
      </c>
      <c r="B372" t="inlineStr">
        <is>
          <t>BASIC LINE CROP TEE DAMA</t>
        </is>
      </c>
      <c r="C372" t="inlineStr">
        <is>
          <t>Manufactura / Dama / P. Superiores</t>
        </is>
      </c>
      <c r="D372" t="n">
        <v>55</v>
      </c>
      <c r="E372" t="n">
        <v>2717.81347507</v>
      </c>
      <c r="F372" t="n">
        <v>0.8871014114571428</v>
      </c>
      <c r="G372" t="n">
        <v>38</v>
      </c>
      <c r="H372" t="n">
        <v>6.196330833</v>
      </c>
      <c r="I372" t="n">
        <v>5.5</v>
      </c>
      <c r="J372" t="n">
        <v>0</v>
      </c>
      <c r="K372" t="inlineStr"/>
    </row>
    <row r="373">
      <c r="A373" t="inlineStr">
        <is>
          <t>CLAMECA43TXL</t>
        </is>
      </c>
      <c r="B373" t="inlineStr">
        <is>
          <t>CLASICA SPORT CAB</t>
        </is>
      </c>
      <c r="C373" t="inlineStr">
        <is>
          <t>Manufactura / Caballero / P. Superiores</t>
        </is>
      </c>
      <c r="D373" t="n">
        <v>61</v>
      </c>
      <c r="E373" t="n">
        <v>2716.67861998</v>
      </c>
      <c r="F373" t="n">
        <v>0.7719921614476191</v>
      </c>
      <c r="G373" t="n">
        <v>36</v>
      </c>
      <c r="H373" t="n">
        <v>10.3013454</v>
      </c>
      <c r="I373" t="n">
        <v>6.1</v>
      </c>
      <c r="J373" t="n">
        <v>0</v>
      </c>
      <c r="K373" t="inlineStr"/>
    </row>
    <row r="374">
      <c r="A374" t="inlineStr">
        <is>
          <t>ZCUA195EQ</t>
        </is>
      </c>
      <c r="B374" t="inlineStr">
        <is>
          <t>ZENIT CUADRADO</t>
        </is>
      </c>
      <c r="C374" t="inlineStr">
        <is>
          <t>Equipamiento / Lentes</t>
        </is>
      </c>
      <c r="D374" t="n">
        <v>25</v>
      </c>
      <c r="E374" t="n">
        <v>2711.60372393</v>
      </c>
      <c r="F374" t="n">
        <v>0.6854576064173913</v>
      </c>
      <c r="G374" t="n">
        <v>272</v>
      </c>
      <c r="H374" t="n">
        <v>40.44</v>
      </c>
      <c r="I374" t="n">
        <v>2.5</v>
      </c>
      <c r="J374" t="n">
        <v>0</v>
      </c>
      <c r="K374" t="inlineStr"/>
    </row>
    <row r="375">
      <c r="A375" t="inlineStr">
        <is>
          <t>BAOCCCA158TXL</t>
        </is>
      </c>
      <c r="B375" t="inlineStr">
        <is>
          <t>BASIC LINE OVERSIZED CAB</t>
        </is>
      </c>
      <c r="C375" t="inlineStr">
        <is>
          <t>Manufactura / Caballero / P. Superiores</t>
        </is>
      </c>
      <c r="D375" t="n">
        <v>45</v>
      </c>
      <c r="E375" t="n">
        <v>2698.49318081</v>
      </c>
      <c r="F375" t="n">
        <v>0.8408609938361702</v>
      </c>
      <c r="G375" t="n">
        <v>15</v>
      </c>
      <c r="H375" t="n">
        <v>9.336740741</v>
      </c>
      <c r="I375" t="n">
        <v>4.5</v>
      </c>
      <c r="J375" t="n">
        <v>0</v>
      </c>
      <c r="K375" t="inlineStr"/>
    </row>
    <row r="376">
      <c r="A376" t="inlineStr">
        <is>
          <t>MARMIDA01TM</t>
        </is>
      </c>
      <c r="B376" t="inlineStr">
        <is>
          <t>MAR ORIGINAL DAMA</t>
        </is>
      </c>
      <c r="C376" t="inlineStr">
        <is>
          <t>Manufactura / Dama / P. Superiores</t>
        </is>
      </c>
      <c r="D376" t="n">
        <v>59</v>
      </c>
      <c r="E376" t="n">
        <v>2695.494590052229</v>
      </c>
      <c r="F376" t="n">
        <v>0.90745407267</v>
      </c>
      <c r="G376" t="n">
        <v>23</v>
      </c>
      <c r="H376" t="n">
        <v>4.278324149</v>
      </c>
      <c r="I376" t="n">
        <v>5.9</v>
      </c>
      <c r="J376" t="n">
        <v>0</v>
      </c>
      <c r="K376" t="inlineStr"/>
    </row>
    <row r="377">
      <c r="A377" t="inlineStr">
        <is>
          <t>CGCSCA16TXL</t>
        </is>
      </c>
      <c r="B377" t="inlineStr">
        <is>
          <t>CLASICA GC SUBLIMADO CAB</t>
        </is>
      </c>
      <c r="C377" t="inlineStr">
        <is>
          <t>Manufactura / Caballero / P. Superiores</t>
        </is>
      </c>
      <c r="D377" t="n">
        <v>210</v>
      </c>
      <c r="E377" t="n">
        <v>2687.66271111</v>
      </c>
      <c r="F377" t="n">
        <v>0</v>
      </c>
      <c r="G377" t="n">
        <v>0</v>
      </c>
      <c r="H377" t="n">
        <v>0</v>
      </c>
      <c r="I377" t="n">
        <v>21</v>
      </c>
      <c r="J377" t="n">
        <v>2</v>
      </c>
      <c r="K377" t="inlineStr">
        <is>
          <t>Sin stock</t>
        </is>
      </c>
    </row>
    <row r="378">
      <c r="A378" t="inlineStr">
        <is>
          <t>RIOMICA12TS</t>
        </is>
      </c>
      <c r="B378" t="inlineStr">
        <is>
          <t>RIO ORIGINAL CAB</t>
        </is>
      </c>
      <c r="C378" t="inlineStr">
        <is>
          <t>Manufactura / Caballero / P. Superiores</t>
        </is>
      </c>
      <c r="D378" t="n">
        <v>46</v>
      </c>
      <c r="E378" t="n">
        <v>2687.37609608</v>
      </c>
      <c r="F378" t="n">
        <v>0.8946203695920001</v>
      </c>
      <c r="G378" t="n">
        <v>25</v>
      </c>
      <c r="H378" t="n">
        <v>5.939350288000001</v>
      </c>
      <c r="I378" t="n">
        <v>4.6</v>
      </c>
      <c r="J378" t="n">
        <v>0</v>
      </c>
      <c r="K378" t="inlineStr"/>
    </row>
    <row r="379">
      <c r="A379" t="inlineStr">
        <is>
          <t>RIOMICA11TXL</t>
        </is>
      </c>
      <c r="B379" t="inlineStr">
        <is>
          <t>RIO ORIGINAL CAB</t>
        </is>
      </c>
      <c r="C379" t="inlineStr">
        <is>
          <t>Manufactura / Caballero / P. Superiores</t>
        </is>
      </c>
      <c r="D379" t="n">
        <v>50</v>
      </c>
      <c r="E379" t="n">
        <v>2677.51693972</v>
      </c>
      <c r="F379" t="n">
        <v>0.8852726656416667</v>
      </c>
      <c r="G379" t="n">
        <v>4</v>
      </c>
      <c r="H379" t="n">
        <v>5.939350288</v>
      </c>
      <c r="I379" t="n">
        <v>5</v>
      </c>
      <c r="J379" t="n">
        <v>1</v>
      </c>
      <c r="K379" t="inlineStr"/>
    </row>
    <row r="380">
      <c r="A380" t="inlineStr">
        <is>
          <t>JAPCA01TL</t>
        </is>
      </c>
      <c r="B380" t="inlineStr">
        <is>
          <t>CUADRO JACKET 2.0 CAB</t>
        </is>
      </c>
      <c r="C380" t="inlineStr">
        <is>
          <t>Equipamiento / Ropa</t>
        </is>
      </c>
      <c r="D380" t="n">
        <v>39</v>
      </c>
      <c r="E380" t="n">
        <v>2646.341614785774</v>
      </c>
      <c r="F380" t="n">
        <v>0.7512411695708333</v>
      </c>
      <c r="G380" t="n">
        <v>202</v>
      </c>
      <c r="H380" t="n">
        <v>20.25000225</v>
      </c>
      <c r="I380" t="n">
        <v>3.9</v>
      </c>
      <c r="J380" t="n">
        <v>0</v>
      </c>
      <c r="K380" t="inlineStr"/>
    </row>
    <row r="381">
      <c r="A381" t="inlineStr">
        <is>
          <t>CLAMECA43TL</t>
        </is>
      </c>
      <c r="B381" t="inlineStr">
        <is>
          <t>CLASICA SPORT CAB</t>
        </is>
      </c>
      <c r="C381" t="inlineStr">
        <is>
          <t>Manufactura / Caballero / P. Superiores</t>
        </is>
      </c>
      <c r="D381" t="n">
        <v>61</v>
      </c>
      <c r="E381" t="n">
        <v>2643.80458681</v>
      </c>
      <c r="F381" t="n">
        <v>0.7749049931661017</v>
      </c>
      <c r="G381" t="n">
        <v>7</v>
      </c>
      <c r="H381" t="n">
        <v>10.3013454</v>
      </c>
      <c r="I381" t="n">
        <v>6.1</v>
      </c>
      <c r="J381" t="n">
        <v>0</v>
      </c>
      <c r="K381" t="inlineStr"/>
    </row>
    <row r="382">
      <c r="A382" t="inlineStr">
        <is>
          <t>PANNTCA31TM</t>
        </is>
      </c>
      <c r="B382" t="inlineStr">
        <is>
          <t>EXPLORE PANTS CAB</t>
        </is>
      </c>
      <c r="C382" t="inlineStr">
        <is>
          <t>Manufactura / Caballero / P. Inferiores</t>
        </is>
      </c>
      <c r="D382" t="n">
        <v>43</v>
      </c>
      <c r="E382" t="n">
        <v>2642.86770845</v>
      </c>
      <c r="F382" t="n">
        <v>0.7928999176675</v>
      </c>
      <c r="G382" t="n">
        <v>4</v>
      </c>
      <c r="H382" t="n">
        <v>15.68994502</v>
      </c>
      <c r="I382" t="n">
        <v>4.3</v>
      </c>
      <c r="J382" t="n">
        <v>0</v>
      </c>
      <c r="K382" t="inlineStr"/>
    </row>
    <row r="383">
      <c r="A383" t="inlineStr">
        <is>
          <t>RIOMICA66TXL</t>
        </is>
      </c>
      <c r="B383" t="inlineStr">
        <is>
          <t>RIO ORIGINAL CAB</t>
        </is>
      </c>
      <c r="C383" t="inlineStr">
        <is>
          <t>Manufactura / Caballero / P. Superiores</t>
        </is>
      </c>
      <c r="D383" t="n">
        <v>50</v>
      </c>
      <c r="E383" t="n">
        <v>2640.10844917</v>
      </c>
      <c r="F383" t="n">
        <v>0.8882991652431372</v>
      </c>
      <c r="G383" t="n">
        <v>15</v>
      </c>
      <c r="H383" t="n">
        <v>5.939350288</v>
      </c>
      <c r="I383" t="n">
        <v>5</v>
      </c>
      <c r="J383" t="n">
        <v>0</v>
      </c>
      <c r="K383" t="inlineStr"/>
    </row>
    <row r="384">
      <c r="A384" t="inlineStr">
        <is>
          <t>BAC33BF</t>
        </is>
      </c>
      <c r="B384" t="inlineStr">
        <is>
          <t>BACKPACK FLEX</t>
        </is>
      </c>
      <c r="C384" t="inlineStr">
        <is>
          <t>Equipamiento / Bolsos</t>
        </is>
      </c>
      <c r="D384" t="n">
        <v>43</v>
      </c>
      <c r="E384" t="n">
        <v>2628.77695254</v>
      </c>
      <c r="F384" t="n">
        <v>0.7806077244375</v>
      </c>
      <c r="G384" t="n">
        <v>468</v>
      </c>
      <c r="H384" t="n">
        <v>17.91</v>
      </c>
      <c r="I384" t="n">
        <v>4.3</v>
      </c>
      <c r="J384" t="n">
        <v>0</v>
      </c>
      <c r="K384" t="inlineStr"/>
    </row>
    <row r="385">
      <c r="A385" t="inlineStr">
        <is>
          <t>BUC69EQ</t>
        </is>
      </c>
      <c r="B385" t="inlineStr">
        <is>
          <t>BUCKET HAT</t>
        </is>
      </c>
      <c r="C385" t="inlineStr">
        <is>
          <t>Equipamiento / Sombreros</t>
        </is>
      </c>
      <c r="D385" t="n">
        <v>97</v>
      </c>
      <c r="E385" t="n">
        <v>2625.72443781</v>
      </c>
      <c r="F385" t="n">
        <v>0.8101475380322917</v>
      </c>
      <c r="G385" t="n">
        <v>0</v>
      </c>
      <c r="H385" t="n">
        <v>4.98</v>
      </c>
      <c r="I385" t="n">
        <v>9.699999999999999</v>
      </c>
      <c r="J385" t="n">
        <v>3</v>
      </c>
      <c r="K385" t="inlineStr">
        <is>
          <t>Sin stock</t>
        </is>
      </c>
    </row>
    <row r="386">
      <c r="A386" t="inlineStr">
        <is>
          <t>POLPLCA30TM</t>
        </is>
      </c>
      <c r="B386" t="inlineStr">
        <is>
          <t>CLASSIC POLO</t>
        </is>
      </c>
      <c r="C386" t="inlineStr">
        <is>
          <t>Manufactura / Caballero / P. Superiores</t>
        </is>
      </c>
      <c r="D386" t="n">
        <v>58</v>
      </c>
      <c r="E386" t="n">
        <v>2617.31021423</v>
      </c>
      <c r="F386" t="n">
        <v>0.8359354550730158</v>
      </c>
      <c r="G386" t="n">
        <v>21</v>
      </c>
      <c r="H386" t="n">
        <v>7.34</v>
      </c>
      <c r="I386" t="n">
        <v>5.8</v>
      </c>
      <c r="J386" t="n">
        <v>0</v>
      </c>
      <c r="K386" t="inlineStr"/>
    </row>
    <row r="387">
      <c r="A387" t="inlineStr">
        <is>
          <t>CLA66CB</t>
        </is>
      </c>
      <c r="B387" t="inlineStr">
        <is>
          <t>CLASSIC BACKPACK</t>
        </is>
      </c>
      <c r="C387" t="inlineStr">
        <is>
          <t>Equipamiento / Bolsos</t>
        </is>
      </c>
      <c r="D387" t="n">
        <v>61</v>
      </c>
      <c r="E387" t="n">
        <v>2616.04122508</v>
      </c>
      <c r="F387" t="n">
        <v>0.5946469602045454</v>
      </c>
      <c r="G387" t="n">
        <v>214</v>
      </c>
      <c r="H387" t="n">
        <v>18.04</v>
      </c>
      <c r="I387" t="n">
        <v>6.1</v>
      </c>
      <c r="J387" t="n">
        <v>1</v>
      </c>
      <c r="K387" t="inlineStr"/>
    </row>
    <row r="388">
      <c r="A388" t="inlineStr">
        <is>
          <t>PANNTDA30TM</t>
        </is>
      </c>
      <c r="B388" t="inlineStr">
        <is>
          <t>EXPLORE PANTS DAMA</t>
        </is>
      </c>
      <c r="C388" t="inlineStr">
        <is>
          <t>Manufactura / Dama / P. Inferiores</t>
        </is>
      </c>
      <c r="D388" t="n">
        <v>51</v>
      </c>
      <c r="E388" t="n">
        <v>2608.3293135</v>
      </c>
      <c r="F388" t="n">
        <v>0.761556414485</v>
      </c>
      <c r="G388" t="n">
        <v>23</v>
      </c>
      <c r="H388" t="n">
        <v>15.3928899</v>
      </c>
      <c r="I388" t="n">
        <v>5.1</v>
      </c>
      <c r="J388" t="n">
        <v>0</v>
      </c>
      <c r="K388" t="inlineStr"/>
    </row>
    <row r="389">
      <c r="A389" t="inlineStr">
        <is>
          <t>KOA13KA</t>
        </is>
      </c>
      <c r="B389" t="inlineStr">
        <is>
          <t>MINI BAG</t>
        </is>
      </c>
      <c r="C389" t="inlineStr">
        <is>
          <t>Equipamiento / Bolsos</t>
        </is>
      </c>
      <c r="D389" t="n">
        <v>67</v>
      </c>
      <c r="E389" t="n">
        <v>2605.77063291</v>
      </c>
      <c r="F389" t="n">
        <v>0.8495363948655738</v>
      </c>
      <c r="G389" t="n">
        <v>984</v>
      </c>
      <c r="H389" t="n">
        <v>6.33</v>
      </c>
      <c r="I389" t="n">
        <v>6.7</v>
      </c>
      <c r="J389" t="n">
        <v>0</v>
      </c>
      <c r="K389" t="inlineStr"/>
    </row>
    <row r="390">
      <c r="A390" t="inlineStr">
        <is>
          <t>RIOMICA13TS</t>
        </is>
      </c>
      <c r="B390" t="inlineStr">
        <is>
          <t>RIO ORIGINAL CAB</t>
        </is>
      </c>
      <c r="C390" t="inlineStr">
        <is>
          <t>Manufactura / Caballero / P. Superiores</t>
        </is>
      </c>
      <c r="D390" t="n">
        <v>46</v>
      </c>
      <c r="E390" t="n">
        <v>2586.16806338</v>
      </c>
      <c r="F390" t="n">
        <v>0.88930325012</v>
      </c>
      <c r="G390" t="n">
        <v>11</v>
      </c>
      <c r="H390" t="n">
        <v>5.939350288</v>
      </c>
      <c r="I390" t="n">
        <v>4.6</v>
      </c>
      <c r="J390" t="n">
        <v>0</v>
      </c>
      <c r="K390" t="inlineStr"/>
    </row>
    <row r="391">
      <c r="A391" t="inlineStr">
        <is>
          <t>CLA33CB</t>
        </is>
      </c>
      <c r="B391" t="inlineStr">
        <is>
          <t>CLASSIC BACKPACK</t>
        </is>
      </c>
      <c r="C391" t="inlineStr">
        <is>
          <t>Equipamiento / Bolsos</t>
        </is>
      </c>
      <c r="D391" t="n">
        <v>57</v>
      </c>
      <c r="E391" t="n">
        <v>2575.54730166</v>
      </c>
      <c r="F391" t="n">
        <v>0.6047156293720931</v>
      </c>
      <c r="G391" t="n">
        <v>425</v>
      </c>
      <c r="H391" t="n">
        <v>18.04</v>
      </c>
      <c r="I391" t="n">
        <v>5.7</v>
      </c>
      <c r="J391" t="n">
        <v>0</v>
      </c>
      <c r="K391" t="inlineStr"/>
    </row>
    <row r="392">
      <c r="A392" t="inlineStr">
        <is>
          <t>MARMIDA43TXL</t>
        </is>
      </c>
      <c r="B392" t="inlineStr">
        <is>
          <t>MAR ORIGINAL DAMA</t>
        </is>
      </c>
      <c r="C392" t="inlineStr">
        <is>
          <t>Manufactura / Dama / P. Superiores</t>
        </is>
      </c>
      <c r="D392" t="n">
        <v>53</v>
      </c>
      <c r="E392" t="n">
        <v>2560.27062274</v>
      </c>
      <c r="F392" t="n">
        <v>0.9110011919185185</v>
      </c>
      <c r="G392" t="n">
        <v>32</v>
      </c>
      <c r="H392" t="n">
        <v>4.278324149</v>
      </c>
      <c r="I392" t="n">
        <v>5.3</v>
      </c>
      <c r="J392" t="n">
        <v>0</v>
      </c>
      <c r="K392" t="inlineStr"/>
    </row>
    <row r="393">
      <c r="A393" t="inlineStr">
        <is>
          <t>SHONRCA16TL</t>
        </is>
      </c>
      <c r="B393" t="inlineStr">
        <is>
          <t>SHORT SPORT CAB</t>
        </is>
      </c>
      <c r="C393" t="inlineStr">
        <is>
          <t>Manufactura / Caballero / P. Inferiores</t>
        </is>
      </c>
      <c r="D393" t="n">
        <v>72</v>
      </c>
      <c r="E393" t="n">
        <v>2558.26546785</v>
      </c>
      <c r="F393" t="n">
        <v>0.7652762698728813</v>
      </c>
      <c r="G393" t="n">
        <v>17</v>
      </c>
      <c r="H393" t="n">
        <v>10.6514486</v>
      </c>
      <c r="I393" t="n">
        <v>7.2</v>
      </c>
      <c r="J393" t="n">
        <v>0</v>
      </c>
      <c r="K393" t="inlineStr"/>
    </row>
    <row r="394">
      <c r="A394" t="inlineStr">
        <is>
          <t>RIOMIDA01TM</t>
        </is>
      </c>
      <c r="B394" t="inlineStr">
        <is>
          <t>RIO ORIGINAL DAMA</t>
        </is>
      </c>
      <c r="C394" t="inlineStr">
        <is>
          <t>Manufactura / Dama / P. Superiores</t>
        </is>
      </c>
      <c r="D394" t="n">
        <v>46</v>
      </c>
      <c r="E394" t="n">
        <v>2549.3658412</v>
      </c>
      <c r="F394" t="n">
        <v>0.8963475353152175</v>
      </c>
      <c r="G394" t="n">
        <v>29</v>
      </c>
      <c r="H394" t="n">
        <v>5.538832275</v>
      </c>
      <c r="I394" t="n">
        <v>4.6</v>
      </c>
      <c r="J394" t="n">
        <v>0</v>
      </c>
      <c r="K394" t="inlineStr"/>
    </row>
    <row r="395">
      <c r="A395" t="inlineStr">
        <is>
          <t>RIOMICA50TM</t>
        </is>
      </c>
      <c r="B395" t="inlineStr">
        <is>
          <t>RIO ORIGINAL CAB</t>
        </is>
      </c>
      <c r="C395" t="inlineStr">
        <is>
          <t>Manufactura / Caballero / P. Superiores</t>
        </is>
      </c>
      <c r="D395" t="n">
        <v>48</v>
      </c>
      <c r="E395" t="n">
        <v>2543.58138158</v>
      </c>
      <c r="F395" t="n">
        <v>0.8869167816460001</v>
      </c>
      <c r="G395" t="n">
        <v>15</v>
      </c>
      <c r="H395" t="n">
        <v>5.939350288000001</v>
      </c>
      <c r="I395" t="n">
        <v>4.8</v>
      </c>
      <c r="J395" t="n">
        <v>0</v>
      </c>
      <c r="K395" t="inlineStr"/>
    </row>
    <row r="396">
      <c r="A396" t="inlineStr">
        <is>
          <t>PONC152EQ</t>
        </is>
      </c>
      <c r="B396" t="inlineStr">
        <is>
          <t>PONCHO ADULTO</t>
        </is>
      </c>
      <c r="C396" t="inlineStr">
        <is>
          <t>Equipamiento / Ponchos</t>
        </is>
      </c>
      <c r="D396" t="n">
        <v>63</v>
      </c>
      <c r="E396" t="n">
        <v>2541.90012783</v>
      </c>
      <c r="F396" t="n">
        <v>0.8078400548946429</v>
      </c>
      <c r="G396" t="n">
        <v>533</v>
      </c>
      <c r="H396" t="n">
        <v>8.48</v>
      </c>
      <c r="I396" t="n">
        <v>6.3</v>
      </c>
      <c r="J396" t="n">
        <v>0</v>
      </c>
      <c r="K396" t="inlineStr"/>
    </row>
    <row r="397">
      <c r="A397" t="inlineStr">
        <is>
          <t>SHOSUCA155TXL</t>
        </is>
      </c>
      <c r="B397" t="inlineStr">
        <is>
          <t>SHORT PLAYA ESTAMPADO CAB</t>
        </is>
      </c>
      <c r="C397" t="inlineStr">
        <is>
          <t>Manufactura / Caballero / P. Inferiores</t>
        </is>
      </c>
      <c r="D397" t="n">
        <v>40</v>
      </c>
      <c r="E397" t="n">
        <v>2531.00824923</v>
      </c>
      <c r="F397" t="n">
        <v>0.8062172230307691</v>
      </c>
      <c r="G397" t="n">
        <v>12</v>
      </c>
      <c r="H397" t="n">
        <v>12.11</v>
      </c>
      <c r="I397" t="n">
        <v>4</v>
      </c>
      <c r="J397" t="n">
        <v>0</v>
      </c>
      <c r="K397" t="inlineStr"/>
    </row>
    <row r="398">
      <c r="A398" t="inlineStr">
        <is>
          <t>RIOMIDA16TL</t>
        </is>
      </c>
      <c r="B398" t="inlineStr">
        <is>
          <t>RIO ORIGINAL DAMA</t>
        </is>
      </c>
      <c r="C398" t="inlineStr">
        <is>
          <t>Manufactura / Dama / P. Superiores</t>
        </is>
      </c>
      <c r="D398" t="n">
        <v>47</v>
      </c>
      <c r="E398" t="n">
        <v>2530.50714969</v>
      </c>
      <c r="F398" t="n">
        <v>0.8937585920369565</v>
      </c>
      <c r="G398" t="n">
        <v>39</v>
      </c>
      <c r="H398" t="n">
        <v>5.538832275</v>
      </c>
      <c r="I398" t="n">
        <v>4.7</v>
      </c>
      <c r="J398" t="n">
        <v>1</v>
      </c>
      <c r="K398" t="inlineStr"/>
    </row>
    <row r="399">
      <c r="A399" t="inlineStr">
        <is>
          <t>HEA103EQ</t>
        </is>
      </c>
      <c r="B399" t="inlineStr">
        <is>
          <t>HEADBAND</t>
        </is>
      </c>
      <c r="C399" t="inlineStr">
        <is>
          <t>Equipamiento / Accesorios</t>
        </is>
      </c>
      <c r="D399" t="n">
        <v>198</v>
      </c>
      <c r="E399" t="n">
        <v>2527.52748203</v>
      </c>
      <c r="F399" t="n">
        <v>0.7028275365556962</v>
      </c>
      <c r="G399" t="n">
        <v>610</v>
      </c>
      <c r="H399" t="n">
        <v>4.26</v>
      </c>
      <c r="I399" t="n">
        <v>19.8</v>
      </c>
      <c r="J399" t="n">
        <v>0</v>
      </c>
      <c r="K399" t="inlineStr"/>
    </row>
    <row r="400">
      <c r="A400" t="inlineStr">
        <is>
          <t>CLAMICA12TL</t>
        </is>
      </c>
      <c r="B400" t="inlineStr">
        <is>
          <t>CLASICA ORIGINAL CAB</t>
        </is>
      </c>
      <c r="C400" t="inlineStr">
        <is>
          <t>Manufactura / Caballero / P. Superiores</t>
        </is>
      </c>
      <c r="D400" t="n">
        <v>88</v>
      </c>
      <c r="E400" t="n">
        <v>2524.71776379</v>
      </c>
      <c r="F400" t="n">
        <v>0.8693195395058824</v>
      </c>
      <c r="G400" t="n">
        <v>18</v>
      </c>
      <c r="H400" t="n">
        <v>4.598442536</v>
      </c>
      <c r="I400" t="n">
        <v>8.800000000000001</v>
      </c>
      <c r="J400" t="n">
        <v>0</v>
      </c>
      <c r="K400" t="inlineStr"/>
    </row>
    <row r="401">
      <c r="A401" t="inlineStr">
        <is>
          <t>MTOT151UN</t>
        </is>
      </c>
      <c r="B401" t="inlineStr">
        <is>
          <t>MAXI TOTE</t>
        </is>
      </c>
      <c r="C401" t="inlineStr">
        <is>
          <t>Equipamiento / Bolsos</t>
        </is>
      </c>
      <c r="D401" t="n">
        <v>38</v>
      </c>
      <c r="E401" t="n">
        <v>2521.46640008</v>
      </c>
      <c r="F401" t="n">
        <v>0.7788598722935484</v>
      </c>
      <c r="G401" t="n">
        <v>803</v>
      </c>
      <c r="H401" t="n">
        <v>17.13</v>
      </c>
      <c r="I401" t="n">
        <v>3.8</v>
      </c>
      <c r="J401" t="n">
        <v>0</v>
      </c>
      <c r="K401" t="inlineStr"/>
    </row>
    <row r="402">
      <c r="A402" t="inlineStr">
        <is>
          <t>DRY1610L</t>
        </is>
      </c>
      <c r="B402" t="inlineStr">
        <is>
          <t>DRY BAG 10L</t>
        </is>
      </c>
      <c r="C402" t="inlineStr">
        <is>
          <t>Equipamiento / Bolsos</t>
        </is>
      </c>
      <c r="D402" t="n">
        <v>60</v>
      </c>
      <c r="E402" t="n">
        <v>2515.79160883</v>
      </c>
      <c r="F402" t="n">
        <v>0.87250754516</v>
      </c>
      <c r="G402" t="n">
        <v>134</v>
      </c>
      <c r="H402" t="n">
        <v>5.22</v>
      </c>
      <c r="I402" t="n">
        <v>6</v>
      </c>
      <c r="J402" t="n">
        <v>0</v>
      </c>
      <c r="K402" t="inlineStr"/>
    </row>
    <row r="403">
      <c r="A403" t="inlineStr">
        <is>
          <t>SHOSUCA156TM</t>
        </is>
      </c>
      <c r="B403" t="inlineStr">
        <is>
          <t>SHORT PLAYA ESTAMPADO CAB</t>
        </is>
      </c>
      <c r="C403" t="inlineStr">
        <is>
          <t>Manufactura / Caballero / P. Inferiores</t>
        </is>
      </c>
      <c r="D403" t="n">
        <v>48</v>
      </c>
      <c r="E403" t="n">
        <v>2514.94965654</v>
      </c>
      <c r="F403" t="n">
        <v>0.7692152139530611</v>
      </c>
      <c r="G403" t="n">
        <v>3</v>
      </c>
      <c r="H403" t="n">
        <v>12.11</v>
      </c>
      <c r="I403" t="n">
        <v>4.8</v>
      </c>
      <c r="J403" t="n">
        <v>1</v>
      </c>
      <c r="K403" t="inlineStr"/>
    </row>
    <row r="404">
      <c r="A404" t="inlineStr">
        <is>
          <t>RIOMICA13TXL</t>
        </is>
      </c>
      <c r="B404" t="inlineStr">
        <is>
          <t>RIO ORIGINAL CAB</t>
        </is>
      </c>
      <c r="C404" t="inlineStr">
        <is>
          <t>Manufactura / Caballero / P. Superiores</t>
        </is>
      </c>
      <c r="D404" t="n">
        <v>48</v>
      </c>
      <c r="E404" t="n">
        <v>2510.04270953</v>
      </c>
      <c r="F404" t="n">
        <v>0.8826336875039216</v>
      </c>
      <c r="G404" t="n">
        <v>21</v>
      </c>
      <c r="H404" t="n">
        <v>5.939350288</v>
      </c>
      <c r="I404" t="n">
        <v>4.8</v>
      </c>
      <c r="J404" t="n">
        <v>0</v>
      </c>
      <c r="K404" t="inlineStr"/>
    </row>
    <row r="405">
      <c r="A405" t="inlineStr">
        <is>
          <t>CLAMIDA12TM</t>
        </is>
      </c>
      <c r="B405" t="inlineStr">
        <is>
          <t>CLASICA ORIGINAL DAMA</t>
        </is>
      </c>
      <c r="C405" t="inlineStr">
        <is>
          <t>Manufactura / Dama / P. Superiores</t>
        </is>
      </c>
      <c r="D405" t="n">
        <v>81</v>
      </c>
      <c r="E405" t="n">
        <v>2502.63269259</v>
      </c>
      <c r="F405" t="n">
        <v>0.8933625934639999</v>
      </c>
      <c r="G405" t="n">
        <v>7</v>
      </c>
      <c r="H405" t="n">
        <v>3.923227589</v>
      </c>
      <c r="I405" t="n">
        <v>8.1</v>
      </c>
      <c r="J405" t="n">
        <v>0</v>
      </c>
      <c r="K405" t="inlineStr"/>
    </row>
    <row r="406">
      <c r="A406" t="inlineStr">
        <is>
          <t>CGCSDA16TXS</t>
        </is>
      </c>
      <c r="B406" t="inlineStr">
        <is>
          <t>CLASICA GC SUBLIMADO DAMA</t>
        </is>
      </c>
      <c r="C406" t="inlineStr">
        <is>
          <t>Manufactura / Dama / P. Superiores</t>
        </is>
      </c>
      <c r="D406" t="n">
        <v>198</v>
      </c>
      <c r="E406" t="n">
        <v>2499.877982066</v>
      </c>
      <c r="F406" t="n">
        <v>0</v>
      </c>
      <c r="G406" t="n">
        <v>0</v>
      </c>
      <c r="H406" t="n">
        <v>0</v>
      </c>
      <c r="I406" t="n">
        <v>19.8</v>
      </c>
      <c r="J406" t="n">
        <v>2</v>
      </c>
      <c r="K406" t="inlineStr">
        <is>
          <t>Sin stock</t>
        </is>
      </c>
    </row>
    <row r="407">
      <c r="A407" t="inlineStr">
        <is>
          <t>MARMIKI16T12</t>
        </is>
      </c>
      <c r="B407" t="inlineStr">
        <is>
          <t>MAR ORIGINAL KIDS</t>
        </is>
      </c>
      <c r="C407" t="inlineStr">
        <is>
          <t>Manufactura / Kids / P. Superiores</t>
        </is>
      </c>
      <c r="D407" t="n">
        <v>66</v>
      </c>
      <c r="E407" t="n">
        <v>2497.19349486</v>
      </c>
      <c r="F407" t="n">
        <v>0.9158301273440679</v>
      </c>
      <c r="G407" t="n">
        <v>24</v>
      </c>
      <c r="H407" t="n">
        <v>3.168013332</v>
      </c>
      <c r="I407" t="n">
        <v>6.6</v>
      </c>
      <c r="J407" t="n">
        <v>0</v>
      </c>
      <c r="K407" t="inlineStr"/>
    </row>
    <row r="408">
      <c r="A408" t="inlineStr">
        <is>
          <t>SHONRCA30TM</t>
        </is>
      </c>
      <c r="B408" t="inlineStr">
        <is>
          <t>SHORT SPORT CAB</t>
        </is>
      </c>
      <c r="C408" t="inlineStr">
        <is>
          <t>Manufactura / Caballero / P. Inferiores</t>
        </is>
      </c>
      <c r="D408" t="n">
        <v>65</v>
      </c>
      <c r="E408" t="n">
        <v>2494.07061536</v>
      </c>
      <c r="F408" t="n">
        <v>0.7502127753724137</v>
      </c>
      <c r="G408" t="n">
        <v>1</v>
      </c>
      <c r="H408" t="n">
        <v>10.6514486</v>
      </c>
      <c r="I408" t="n">
        <v>6.5</v>
      </c>
      <c r="J408" t="n">
        <v>1</v>
      </c>
      <c r="K408" t="inlineStr"/>
    </row>
    <row r="409">
      <c r="A409" t="inlineStr">
        <is>
          <t>POLPLCA33TL</t>
        </is>
      </c>
      <c r="B409" t="inlineStr">
        <is>
          <t>CLASSIC POLO</t>
        </is>
      </c>
      <c r="C409" t="inlineStr">
        <is>
          <t>Manufactura / Caballero / P. Superiores</t>
        </is>
      </c>
      <c r="D409" t="n">
        <v>57</v>
      </c>
      <c r="E409" t="n">
        <v>2493.69462587</v>
      </c>
      <c r="F409" t="n">
        <v>0.8338880964109375</v>
      </c>
      <c r="G409" t="n">
        <v>43</v>
      </c>
      <c r="H409" t="n">
        <v>7.34</v>
      </c>
      <c r="I409" t="n">
        <v>5.7</v>
      </c>
      <c r="J409" t="n">
        <v>0</v>
      </c>
      <c r="K409" t="inlineStr"/>
    </row>
    <row r="410">
      <c r="A410" t="inlineStr">
        <is>
          <t>MARMICA66T2XL</t>
        </is>
      </c>
      <c r="B410" t="inlineStr">
        <is>
          <t>MAR ORIGINAL CAB</t>
        </is>
      </c>
      <c r="C410" t="inlineStr">
        <is>
          <t>Manufactura / Caballero / P. Superiores</t>
        </is>
      </c>
      <c r="D410" t="n">
        <v>49</v>
      </c>
      <c r="E410" t="n">
        <v>2488.96795324</v>
      </c>
      <c r="F410" t="n">
        <v>0.9002398796122449</v>
      </c>
      <c r="G410" t="n">
        <v>22</v>
      </c>
      <c r="H410" t="n">
        <v>4.946357428</v>
      </c>
      <c r="I410" t="n">
        <v>4.9</v>
      </c>
      <c r="J410" t="n">
        <v>0</v>
      </c>
      <c r="K410" t="inlineStr"/>
    </row>
    <row r="411">
      <c r="A411" t="inlineStr">
        <is>
          <t>MARMIKI43T12</t>
        </is>
      </c>
      <c r="B411" t="inlineStr">
        <is>
          <t>MAR ORIGINAL KIDS</t>
        </is>
      </c>
      <c r="C411" t="inlineStr">
        <is>
          <t>Manufactura / Kids / P. Superiores</t>
        </is>
      </c>
      <c r="D411" t="n">
        <v>65</v>
      </c>
      <c r="E411" t="n">
        <v>2488.9381789</v>
      </c>
      <c r="F411" t="n">
        <v>0.9168664952522388</v>
      </c>
      <c r="G411" t="n">
        <v>11</v>
      </c>
      <c r="H411" t="n">
        <v>3.168013332</v>
      </c>
      <c r="I411" t="n">
        <v>6.5</v>
      </c>
      <c r="J411" t="n">
        <v>0</v>
      </c>
      <c r="K411" t="inlineStr"/>
    </row>
    <row r="412">
      <c r="A412" t="inlineStr">
        <is>
          <t>PANNTDA12TL</t>
        </is>
      </c>
      <c r="B412" t="inlineStr">
        <is>
          <t>EXPLORE PANTS DAMA</t>
        </is>
      </c>
      <c r="C412" t="inlineStr">
        <is>
          <t>Manufactura / Dama / P. Inferiores</t>
        </is>
      </c>
      <c r="D412" t="n">
        <v>36</v>
      </c>
      <c r="E412" t="n">
        <v>2484.37211439</v>
      </c>
      <c r="F412" t="n">
        <v>0.7741328193054055</v>
      </c>
      <c r="G412" t="n">
        <v>10</v>
      </c>
      <c r="H412" t="n">
        <v>15.3928899</v>
      </c>
      <c r="I412" t="n">
        <v>3.6</v>
      </c>
      <c r="J412" t="n">
        <v>0</v>
      </c>
      <c r="K412" t="inlineStr"/>
    </row>
    <row r="413">
      <c r="A413" t="inlineStr">
        <is>
          <t>MARMIKI12T12</t>
        </is>
      </c>
      <c r="B413" t="inlineStr">
        <is>
          <t>MAR ORIGINAL KIDS</t>
        </is>
      </c>
      <c r="C413" t="inlineStr">
        <is>
          <t>Manufactura / Kids / P. Superiores</t>
        </is>
      </c>
      <c r="D413" t="n">
        <v>67</v>
      </c>
      <c r="E413" t="n">
        <v>2483.55609698</v>
      </c>
      <c r="F413" t="n">
        <v>0.915577695877612</v>
      </c>
      <c r="G413" t="n">
        <v>25</v>
      </c>
      <c r="H413" t="n">
        <v>3.168013332</v>
      </c>
      <c r="I413" t="n">
        <v>6.7</v>
      </c>
      <c r="J413" t="n">
        <v>0</v>
      </c>
      <c r="K413" t="inlineStr"/>
    </row>
    <row r="414">
      <c r="A414" t="inlineStr">
        <is>
          <t>RIOMICA16TM</t>
        </is>
      </c>
      <c r="B414" t="inlineStr">
        <is>
          <t>RIO ORIGINAL CAB</t>
        </is>
      </c>
      <c r="C414" t="inlineStr">
        <is>
          <t>Manufactura / Caballero / P. Superiores</t>
        </is>
      </c>
      <c r="D414" t="n">
        <v>44</v>
      </c>
      <c r="E414" t="n">
        <v>2483.25643272</v>
      </c>
      <c r="F414" t="n">
        <v>0.8905774541428573</v>
      </c>
      <c r="G414" t="n">
        <v>20</v>
      </c>
      <c r="H414" t="n">
        <v>5.939350288</v>
      </c>
      <c r="I414" t="n">
        <v>4.4</v>
      </c>
      <c r="J414" t="n">
        <v>0</v>
      </c>
      <c r="K414" t="inlineStr"/>
    </row>
    <row r="415">
      <c r="A415" t="inlineStr">
        <is>
          <t>JACKI01T12</t>
        </is>
      </c>
      <c r="B415" t="inlineStr">
        <is>
          <t>JACKET KIDS</t>
        </is>
      </c>
      <c r="C415" t="inlineStr">
        <is>
          <t>Manufactura / Kids / P. Superiores</t>
        </is>
      </c>
      <c r="D415" t="n">
        <v>43</v>
      </c>
      <c r="E415" t="n">
        <v>2481.97128141</v>
      </c>
      <c r="F415" t="n">
        <v>0.7276940980765958</v>
      </c>
      <c r="G415" t="n">
        <v>98</v>
      </c>
      <c r="H415" t="n">
        <v>15.17</v>
      </c>
      <c r="I415" t="n">
        <v>4.3</v>
      </c>
      <c r="J415" t="n">
        <v>0</v>
      </c>
      <c r="K415" t="inlineStr"/>
    </row>
    <row r="416">
      <c r="A416" t="inlineStr">
        <is>
          <t>RIOMICA13TM</t>
        </is>
      </c>
      <c r="B416" t="inlineStr">
        <is>
          <t>RIO ORIGINAL CAB</t>
        </is>
      </c>
      <c r="C416" t="inlineStr">
        <is>
          <t>Manufactura / Caballero / P. Superiores</t>
        </is>
      </c>
      <c r="D416" t="n">
        <v>46</v>
      </c>
      <c r="E416" t="n">
        <v>2472.41748825</v>
      </c>
      <c r="F416" t="n">
        <v>0.8871215193040817</v>
      </c>
      <c r="G416" t="n">
        <v>8</v>
      </c>
      <c r="H416" t="n">
        <v>5.939350288</v>
      </c>
      <c r="I416" t="n">
        <v>4.6</v>
      </c>
      <c r="J416" t="n">
        <v>0</v>
      </c>
      <c r="K416" t="inlineStr"/>
    </row>
    <row r="417">
      <c r="A417" t="inlineStr">
        <is>
          <t>POLPLCA30TL</t>
        </is>
      </c>
      <c r="B417" t="inlineStr">
        <is>
          <t>CLASSIC POLO</t>
        </is>
      </c>
      <c r="C417" t="inlineStr">
        <is>
          <t>Manufactura / Caballero / P. Superiores</t>
        </is>
      </c>
      <c r="D417" t="n">
        <v>56</v>
      </c>
      <c r="E417" t="n">
        <v>2469.5152809</v>
      </c>
      <c r="F417" t="n">
        <v>0.8325296866145162</v>
      </c>
      <c r="G417" t="n">
        <v>2</v>
      </c>
      <c r="H417" t="n">
        <v>7.34</v>
      </c>
      <c r="I417" t="n">
        <v>5.6</v>
      </c>
      <c r="J417" t="n">
        <v>0</v>
      </c>
      <c r="K417" t="inlineStr"/>
    </row>
    <row r="418">
      <c r="A418" t="inlineStr">
        <is>
          <t>JACDA33TXS</t>
        </is>
      </c>
      <c r="B418" t="inlineStr">
        <is>
          <t>JACKET DAMA</t>
        </is>
      </c>
      <c r="C418" t="inlineStr">
        <is>
          <t>Equipamiento / Ropa</t>
        </is>
      </c>
      <c r="D418" t="n">
        <v>39</v>
      </c>
      <c r="E418" t="n">
        <v>2467.69992346</v>
      </c>
      <c r="F418" t="n">
        <v>0.6862059745833333</v>
      </c>
      <c r="G418" t="n">
        <v>0</v>
      </c>
      <c r="H418" t="n">
        <v>20.25</v>
      </c>
      <c r="I418" t="n">
        <v>3.9</v>
      </c>
      <c r="J418" t="n">
        <v>4</v>
      </c>
      <c r="K418" t="inlineStr">
        <is>
          <t>Sin stock</t>
        </is>
      </c>
    </row>
    <row r="419">
      <c r="A419" t="inlineStr">
        <is>
          <t>JAPDA162TL</t>
        </is>
      </c>
      <c r="B419" t="inlineStr">
        <is>
          <t>CUADRO JACKET 2.0 DAMA</t>
        </is>
      </c>
      <c r="C419" t="inlineStr">
        <is>
          <t>Equipamiento / Ropa</t>
        </is>
      </c>
      <c r="D419" t="n">
        <v>34</v>
      </c>
      <c r="E419" t="n">
        <v>2467.64620905</v>
      </c>
      <c r="F419" t="n">
        <v>0.7546539274625</v>
      </c>
      <c r="G419" t="n">
        <v>156</v>
      </c>
      <c r="H419" t="n">
        <v>20.25</v>
      </c>
      <c r="I419" t="n">
        <v>3.4</v>
      </c>
      <c r="J419" t="n">
        <v>0</v>
      </c>
      <c r="K419" t="inlineStr"/>
    </row>
    <row r="420">
      <c r="A420" t="inlineStr">
        <is>
          <t>SHOSUCA154TM</t>
        </is>
      </c>
      <c r="B420" t="inlineStr">
        <is>
          <t>SHORT PLAYA ESTAMPADO CAB</t>
        </is>
      </c>
      <c r="C420" t="inlineStr">
        <is>
          <t>Manufactura / Caballero / P. Inferiores</t>
        </is>
      </c>
      <c r="D420" t="n">
        <v>45</v>
      </c>
      <c r="E420" t="n">
        <v>2463.70778062</v>
      </c>
      <c r="F420" t="n">
        <v>0.7730694415716981</v>
      </c>
      <c r="G420" t="n">
        <v>55</v>
      </c>
      <c r="H420" t="n">
        <v>12.11</v>
      </c>
      <c r="I420" t="n">
        <v>4.5</v>
      </c>
      <c r="J420" t="n">
        <v>0</v>
      </c>
      <c r="K420" t="inlineStr"/>
    </row>
    <row r="421">
      <c r="A421" t="inlineStr">
        <is>
          <t>JACCA43T2XL</t>
        </is>
      </c>
      <c r="B421" t="inlineStr">
        <is>
          <t>JACKET CAB</t>
        </is>
      </c>
      <c r="C421" t="inlineStr">
        <is>
          <t>Equipamiento / Ropa</t>
        </is>
      </c>
      <c r="D421" t="n">
        <v>40</v>
      </c>
      <c r="E421" t="n">
        <v>2462.70138331</v>
      </c>
      <c r="F421" t="n">
        <v>0.6742998853056603</v>
      </c>
      <c r="G421" t="n">
        <v>2</v>
      </c>
      <c r="H421" t="n">
        <v>20.25001933</v>
      </c>
      <c r="I421" t="n">
        <v>4</v>
      </c>
      <c r="J421" t="n">
        <v>1</v>
      </c>
      <c r="K421" t="inlineStr"/>
    </row>
    <row r="422">
      <c r="A422" t="inlineStr">
        <is>
          <t>SHONRCA12TL</t>
        </is>
      </c>
      <c r="B422" t="inlineStr">
        <is>
          <t>SHORT SPORT CAB</t>
        </is>
      </c>
      <c r="C422" t="inlineStr">
        <is>
          <t>Manufactura / Caballero / P. Inferiores</t>
        </is>
      </c>
      <c r="D422" t="n">
        <v>60</v>
      </c>
      <c r="E422" t="n">
        <v>2445.47186984</v>
      </c>
      <c r="F422" t="n">
        <v>0.7612706559543859</v>
      </c>
      <c r="G422" t="n">
        <v>13</v>
      </c>
      <c r="H422" t="n">
        <v>10.6514486</v>
      </c>
      <c r="I422" t="n">
        <v>6</v>
      </c>
      <c r="J422" t="n">
        <v>0</v>
      </c>
      <c r="K422" t="inlineStr"/>
    </row>
    <row r="423">
      <c r="A423" t="inlineStr">
        <is>
          <t>BACCCDA38TL</t>
        </is>
      </c>
      <c r="B423" t="inlineStr">
        <is>
          <t>BASIC LINE CROP TEE DAMA</t>
        </is>
      </c>
      <c r="C423" t="inlineStr">
        <is>
          <t>Manufactura / Dama / P. Superiores</t>
        </is>
      </c>
      <c r="D423" t="n">
        <v>48</v>
      </c>
      <c r="E423" t="n">
        <v>2442.04091273</v>
      </c>
      <c r="F423" t="n">
        <v>0.8903706212697674</v>
      </c>
      <c r="G423" t="n">
        <v>39</v>
      </c>
      <c r="H423" t="n">
        <v>6.196330832999999</v>
      </c>
      <c r="I423" t="n">
        <v>4.8</v>
      </c>
      <c r="J423" t="n">
        <v>0</v>
      </c>
      <c r="K423" t="inlineStr"/>
    </row>
    <row r="424">
      <c r="A424" t="inlineStr">
        <is>
          <t>BAOCCCA43TL</t>
        </is>
      </c>
      <c r="B424" t="inlineStr">
        <is>
          <t>BASIC LINE OVERSIZED CAB</t>
        </is>
      </c>
      <c r="C424" t="inlineStr">
        <is>
          <t>Manufactura / Caballero / P. Superiores</t>
        </is>
      </c>
      <c r="D424" t="n">
        <v>49</v>
      </c>
      <c r="E424" t="n">
        <v>2418.88346275</v>
      </c>
      <c r="F424" t="n">
        <v>0.846323410472093</v>
      </c>
      <c r="G424" t="n">
        <v>15</v>
      </c>
      <c r="H424" t="n">
        <v>9.336740741</v>
      </c>
      <c r="I424" t="n">
        <v>4.9</v>
      </c>
      <c r="J424" t="n">
        <v>0</v>
      </c>
      <c r="K424" t="inlineStr"/>
    </row>
    <row r="425">
      <c r="A425" t="inlineStr">
        <is>
          <t>PANNTDA31TM</t>
        </is>
      </c>
      <c r="B425" t="inlineStr">
        <is>
          <t>EXPLORE PANTS DAMA</t>
        </is>
      </c>
      <c r="C425" t="inlineStr">
        <is>
          <t>Manufactura / Dama / P. Inferiores</t>
        </is>
      </c>
      <c r="D425" t="n">
        <v>38</v>
      </c>
      <c r="E425" t="n">
        <v>2411.97719743</v>
      </c>
      <c r="F425" t="n">
        <v>0.7845583514352942</v>
      </c>
      <c r="G425" t="n">
        <v>13</v>
      </c>
      <c r="H425" t="n">
        <v>15.3928899</v>
      </c>
      <c r="I425" t="n">
        <v>3.8</v>
      </c>
      <c r="J425" t="n">
        <v>0</v>
      </c>
      <c r="K425" t="inlineStr"/>
    </row>
    <row r="426">
      <c r="A426" t="inlineStr">
        <is>
          <t>MARMIDA30TM</t>
        </is>
      </c>
      <c r="B426" t="inlineStr">
        <is>
          <t>MAR ORIGINAL DAMA</t>
        </is>
      </c>
      <c r="C426" t="inlineStr">
        <is>
          <t>Manufactura / Dama / P. Superiores</t>
        </is>
      </c>
      <c r="D426" t="n">
        <v>57</v>
      </c>
      <c r="E426" t="n">
        <v>2406.80950409</v>
      </c>
      <c r="F426" t="n">
        <v>0.911801515097826</v>
      </c>
      <c r="G426" t="n">
        <v>7</v>
      </c>
      <c r="H426" t="n">
        <v>4.278324149</v>
      </c>
      <c r="I426" t="n">
        <v>5.7</v>
      </c>
      <c r="J426" t="n">
        <v>1</v>
      </c>
      <c r="K426" t="inlineStr"/>
    </row>
    <row r="427">
      <c r="A427" t="inlineStr">
        <is>
          <t>JACDA47TL</t>
        </is>
      </c>
      <c r="B427" t="inlineStr">
        <is>
          <t>JACKET DAMA</t>
        </is>
      </c>
      <c r="C427" t="inlineStr">
        <is>
          <t>Equipamiento / Ropa</t>
        </is>
      </c>
      <c r="D427" t="n">
        <v>35</v>
      </c>
      <c r="E427" t="n">
        <v>2406.35627311</v>
      </c>
      <c r="F427" t="n">
        <v>0.6934473018621621</v>
      </c>
      <c r="G427" t="n">
        <v>24</v>
      </c>
      <c r="H427" t="n">
        <v>20.25</v>
      </c>
      <c r="I427" t="n">
        <v>3.5</v>
      </c>
      <c r="J427" t="n">
        <v>0</v>
      </c>
      <c r="K427" t="inlineStr"/>
    </row>
    <row r="428">
      <c r="A428" t="inlineStr">
        <is>
          <t>POLPLCA30TXL</t>
        </is>
      </c>
      <c r="B428" t="inlineStr">
        <is>
          <t>CLASSIC POLO</t>
        </is>
      </c>
      <c r="C428" t="inlineStr">
        <is>
          <t>Manufactura / Caballero / P. Superiores</t>
        </is>
      </c>
      <c r="D428" t="n">
        <v>50</v>
      </c>
      <c r="E428" t="n">
        <v>2401.99435291</v>
      </c>
      <c r="F428" t="n">
        <v>0.8382544165685185</v>
      </c>
      <c r="G428" t="n">
        <v>1</v>
      </c>
      <c r="H428" t="n">
        <v>7.34</v>
      </c>
      <c r="I428" t="n">
        <v>5</v>
      </c>
      <c r="J428" t="n">
        <v>0</v>
      </c>
      <c r="K428" t="inlineStr"/>
    </row>
    <row r="429">
      <c r="A429" t="inlineStr">
        <is>
          <t>MARMIKI16T8</t>
        </is>
      </c>
      <c r="B429" t="inlineStr">
        <is>
          <t>MAR ORIGINAL KIDS</t>
        </is>
      </c>
      <c r="C429" t="inlineStr">
        <is>
          <t>Manufactura / Kids / P. Superiores</t>
        </is>
      </c>
      <c r="D429" t="n">
        <v>65</v>
      </c>
      <c r="E429" t="n">
        <v>2401.51483262</v>
      </c>
      <c r="F429" t="n">
        <v>0.9142505486534482</v>
      </c>
      <c r="G429" t="n">
        <v>27</v>
      </c>
      <c r="H429" t="n">
        <v>3.168013332</v>
      </c>
      <c r="I429" t="n">
        <v>6.5</v>
      </c>
      <c r="J429" t="n">
        <v>0</v>
      </c>
      <c r="K429" t="inlineStr"/>
    </row>
    <row r="430">
      <c r="A430" t="inlineStr">
        <is>
          <t>MARMIDA66TL</t>
        </is>
      </c>
      <c r="B430" t="inlineStr">
        <is>
          <t>MAR ORIGINAL DAMA</t>
        </is>
      </c>
      <c r="C430" t="inlineStr">
        <is>
          <t>Manufactura / Dama / P. Superiores</t>
        </is>
      </c>
      <c r="D430" t="n">
        <v>49</v>
      </c>
      <c r="E430" t="n">
        <v>2397.7179572</v>
      </c>
      <c r="F430" t="n">
        <v>0.9087661919938775</v>
      </c>
      <c r="G430" t="n">
        <v>54</v>
      </c>
      <c r="H430" t="n">
        <v>4.278324149</v>
      </c>
      <c r="I430" t="n">
        <v>4.9</v>
      </c>
      <c r="J430" t="n">
        <v>1</v>
      </c>
      <c r="K430" t="inlineStr"/>
    </row>
    <row r="431">
      <c r="A431" t="inlineStr">
        <is>
          <t>BUC01EQ</t>
        </is>
      </c>
      <c r="B431" t="inlineStr">
        <is>
          <t>BUCKET HAT</t>
        </is>
      </c>
      <c r="C431" t="inlineStr">
        <is>
          <t>Equipamiento / Sombreros</t>
        </is>
      </c>
      <c r="D431" t="n">
        <v>94</v>
      </c>
      <c r="E431" t="n">
        <v>2395.21050486</v>
      </c>
      <c r="F431" t="n">
        <v>0.7973142790121622</v>
      </c>
      <c r="G431" t="n">
        <v>0</v>
      </c>
      <c r="H431" t="n">
        <v>4.98</v>
      </c>
      <c r="I431" t="n">
        <v>9.4</v>
      </c>
      <c r="J431" t="n">
        <v>1</v>
      </c>
      <c r="K431" t="inlineStr">
        <is>
          <t>Sin stock</t>
        </is>
      </c>
    </row>
    <row r="432">
      <c r="A432" t="inlineStr">
        <is>
          <t>RIOMIDA11TM</t>
        </is>
      </c>
      <c r="B432" t="inlineStr">
        <is>
          <t>RIO ORIGINAL DAMA</t>
        </is>
      </c>
      <c r="C432" t="inlineStr">
        <is>
          <t>Manufactura / Dama / P. Superiores</t>
        </is>
      </c>
      <c r="D432" t="n">
        <v>45</v>
      </c>
      <c r="E432" t="n">
        <v>2391.06637354</v>
      </c>
      <c r="F432" t="n">
        <v>0.8951734946272727</v>
      </c>
      <c r="G432" t="n">
        <v>9</v>
      </c>
      <c r="H432" t="n">
        <v>5.538832275</v>
      </c>
      <c r="I432" t="n">
        <v>4.5</v>
      </c>
      <c r="J432" t="n">
        <v>2</v>
      </c>
      <c r="K432" t="inlineStr"/>
    </row>
    <row r="433">
      <c r="A433" t="inlineStr">
        <is>
          <t>POLPLCA12TL</t>
        </is>
      </c>
      <c r="B433" t="inlineStr">
        <is>
          <t>CLASSIC POLO</t>
        </is>
      </c>
      <c r="C433" t="inlineStr">
        <is>
          <t>Manufactura / Caballero / P. Superiores</t>
        </is>
      </c>
      <c r="D433" t="n">
        <v>55</v>
      </c>
      <c r="E433" t="n">
        <v>2384.76440178</v>
      </c>
      <c r="F433" t="n">
        <v>0.835690384780303</v>
      </c>
      <c r="G433" t="n">
        <v>0</v>
      </c>
      <c r="H433" t="n">
        <v>7.34</v>
      </c>
      <c r="I433" t="n">
        <v>5.5</v>
      </c>
      <c r="J433" t="n">
        <v>2</v>
      </c>
      <c r="K433" t="inlineStr">
        <is>
          <t>Sin stock</t>
        </is>
      </c>
    </row>
    <row r="434">
      <c r="A434" t="inlineStr">
        <is>
          <t>CAP12VS</t>
        </is>
      </c>
      <c r="B434" t="inlineStr">
        <is>
          <t>VISERA</t>
        </is>
      </c>
      <c r="C434" t="inlineStr">
        <is>
          <t>Equipamiento / Gorras</t>
        </is>
      </c>
      <c r="D434" t="n">
        <v>70</v>
      </c>
      <c r="E434" t="n">
        <v>2371.15812455</v>
      </c>
      <c r="F434" t="n">
        <v>0.5837162177560606</v>
      </c>
      <c r="G434" t="n">
        <v>2</v>
      </c>
      <c r="H434" t="n">
        <v>13.5</v>
      </c>
      <c r="I434" t="n">
        <v>7</v>
      </c>
      <c r="J434" t="n">
        <v>1</v>
      </c>
      <c r="K434" t="inlineStr"/>
    </row>
    <row r="435">
      <c r="A435" t="inlineStr">
        <is>
          <t>MARMIDA53TM</t>
        </is>
      </c>
      <c r="B435" t="inlineStr">
        <is>
          <t>MAR ORIGINAL DAMA</t>
        </is>
      </c>
      <c r="C435" t="inlineStr">
        <is>
          <t>Manufactura / Dama / P. Superiores</t>
        </is>
      </c>
      <c r="D435" t="n">
        <v>49</v>
      </c>
      <c r="E435" t="n">
        <v>2370.06222866</v>
      </c>
      <c r="F435" t="n">
        <v>0.9130262572711112</v>
      </c>
      <c r="G435" t="n">
        <v>20</v>
      </c>
      <c r="H435" t="n">
        <v>4.278324149</v>
      </c>
      <c r="I435" t="n">
        <v>4.9</v>
      </c>
      <c r="J435" t="n">
        <v>0</v>
      </c>
      <c r="K435" t="inlineStr"/>
    </row>
    <row r="436">
      <c r="A436" t="inlineStr">
        <is>
          <t>RIOMICA11TM</t>
        </is>
      </c>
      <c r="B436" t="inlineStr">
        <is>
          <t>RIO ORIGINAL CAB</t>
        </is>
      </c>
      <c r="C436" t="inlineStr">
        <is>
          <t>Manufactura / Caballero / P. Superiores</t>
        </is>
      </c>
      <c r="D436" t="n">
        <v>44</v>
      </c>
      <c r="E436" t="n">
        <v>2366.64292304</v>
      </c>
      <c r="F436" t="n">
        <v>0.8861123564052631</v>
      </c>
      <c r="G436" t="n">
        <v>1</v>
      </c>
      <c r="H436" t="n">
        <v>5.939350288</v>
      </c>
      <c r="I436" t="n">
        <v>4.4</v>
      </c>
      <c r="J436" t="n">
        <v>1</v>
      </c>
      <c r="K436" t="inlineStr"/>
    </row>
    <row r="437">
      <c r="A437" t="inlineStr">
        <is>
          <t>BAOCCCA158TXS</t>
        </is>
      </c>
      <c r="B437" t="inlineStr">
        <is>
          <t>BASIC LINE OVERSIZED CAB</t>
        </is>
      </c>
      <c r="C437" t="inlineStr">
        <is>
          <t>Manufactura / Caballero / P. Superiores</t>
        </is>
      </c>
      <c r="D437" t="n">
        <v>43</v>
      </c>
      <c r="E437" t="n">
        <v>2362.24363058</v>
      </c>
      <c r="F437" t="n">
        <v>0.839285723425</v>
      </c>
      <c r="G437" t="n">
        <v>51</v>
      </c>
      <c r="H437" t="n">
        <v>9.336740741</v>
      </c>
      <c r="I437" t="n">
        <v>4.3</v>
      </c>
      <c r="J437" t="n">
        <v>0</v>
      </c>
      <c r="K437" t="inlineStr"/>
    </row>
    <row r="438">
      <c r="A438" t="inlineStr">
        <is>
          <t>JACKI47T8</t>
        </is>
      </c>
      <c r="B438" t="inlineStr">
        <is>
          <t>JACKET KIDS</t>
        </is>
      </c>
      <c r="C438" t="inlineStr">
        <is>
          <t>Manufactura / Kids / P. Superiores</t>
        </is>
      </c>
      <c r="D438" t="n">
        <v>41</v>
      </c>
      <c r="E438" t="n">
        <v>2359.33416193</v>
      </c>
      <c r="F438" t="n">
        <v>0.73226566255</v>
      </c>
      <c r="G438" t="n">
        <v>98</v>
      </c>
      <c r="H438" t="n">
        <v>15.17</v>
      </c>
      <c r="I438" t="n">
        <v>4.1</v>
      </c>
      <c r="J438" t="n">
        <v>0</v>
      </c>
      <c r="K438" t="inlineStr"/>
    </row>
    <row r="439">
      <c r="A439" t="inlineStr">
        <is>
          <t>CLAMECA43TM</t>
        </is>
      </c>
      <c r="B439" t="inlineStr">
        <is>
          <t>CLASICA SPORT CAB</t>
        </is>
      </c>
      <c r="C439" t="inlineStr">
        <is>
          <t>Manufactura / Caballero / P. Superiores</t>
        </is>
      </c>
      <c r="D439" t="n">
        <v>52</v>
      </c>
      <c r="E439" t="n">
        <v>2352.996963531506</v>
      </c>
      <c r="F439" t="n">
        <v>0.7853867830782609</v>
      </c>
      <c r="G439" t="n">
        <v>7</v>
      </c>
      <c r="H439" t="n">
        <v>10.3013454</v>
      </c>
      <c r="I439" t="n">
        <v>5.2</v>
      </c>
      <c r="J439" t="n">
        <v>0</v>
      </c>
      <c r="K439" t="inlineStr"/>
    </row>
    <row r="440">
      <c r="A440" t="inlineStr">
        <is>
          <t>CAP66EC</t>
        </is>
      </c>
      <c r="B440" t="inlineStr">
        <is>
          <t>EXPLORE CAP</t>
        </is>
      </c>
      <c r="C440" t="inlineStr">
        <is>
          <t>Equipamiento / Gorras</t>
        </is>
      </c>
      <c r="D440" t="n">
        <v>81</v>
      </c>
      <c r="E440" t="n">
        <v>2349.47296039</v>
      </c>
      <c r="F440" t="n">
        <v>0.8910078729315067</v>
      </c>
      <c r="G440" t="n">
        <v>221</v>
      </c>
      <c r="H440" t="n">
        <v>3.360013258</v>
      </c>
      <c r="I440" t="n">
        <v>8.1</v>
      </c>
      <c r="J440" t="n">
        <v>0</v>
      </c>
      <c r="K440" t="inlineStr"/>
    </row>
    <row r="441">
      <c r="A441" t="inlineStr">
        <is>
          <t>MARMICA70TM</t>
        </is>
      </c>
      <c r="B441" t="inlineStr">
        <is>
          <t>MAR ORIGINAL CAB</t>
        </is>
      </c>
      <c r="C441" t="inlineStr">
        <is>
          <t>Manufactura / Caballero / P. Superiores</t>
        </is>
      </c>
      <c r="D441" t="n">
        <v>57</v>
      </c>
      <c r="E441" t="n">
        <v>2348.986489588881</v>
      </c>
      <c r="F441" t="n">
        <v>0.9056431804125</v>
      </c>
      <c r="G441" t="n">
        <v>70</v>
      </c>
      <c r="H441" t="n">
        <v>4.946357428</v>
      </c>
      <c r="I441" t="n">
        <v>5.7</v>
      </c>
      <c r="J441" t="n">
        <v>0</v>
      </c>
      <c r="K441" t="inlineStr"/>
    </row>
    <row r="442">
      <c r="A442" t="inlineStr">
        <is>
          <t>JACKI66T12</t>
        </is>
      </c>
      <c r="B442" t="inlineStr">
        <is>
          <t>JACKET KIDS</t>
        </is>
      </c>
      <c r="C442" t="inlineStr">
        <is>
          <t>Manufactura / Kids / P. Superiores</t>
        </is>
      </c>
      <c r="D442" t="n">
        <v>41</v>
      </c>
      <c r="E442" t="n">
        <v>2340.85856914</v>
      </c>
      <c r="F442" t="n">
        <v>0.722748964178261</v>
      </c>
      <c r="G442" t="n">
        <v>105</v>
      </c>
      <c r="H442" t="n">
        <v>15.17</v>
      </c>
      <c r="I442" t="n">
        <v>4.1</v>
      </c>
      <c r="J442" t="n">
        <v>0</v>
      </c>
      <c r="K442" t="inlineStr"/>
    </row>
    <row r="443">
      <c r="A443" t="inlineStr">
        <is>
          <t>MARMICA13TXL</t>
        </is>
      </c>
      <c r="B443" t="inlineStr">
        <is>
          <t>MAR ORIGINAL CAB</t>
        </is>
      </c>
      <c r="C443" t="inlineStr">
        <is>
          <t>Manufactura / Caballero / P. Superiores</t>
        </is>
      </c>
      <c r="D443" t="n">
        <v>53</v>
      </c>
      <c r="E443" t="n">
        <v>2334.7022165</v>
      </c>
      <c r="F443" t="n">
        <v>0.8945451351820001</v>
      </c>
      <c r="G443" t="n">
        <v>79</v>
      </c>
      <c r="H443" t="n">
        <v>4.946357428</v>
      </c>
      <c r="I443" t="n">
        <v>5.3</v>
      </c>
      <c r="J443" t="n">
        <v>0</v>
      </c>
      <c r="K443" t="inlineStr"/>
    </row>
    <row r="444">
      <c r="A444" t="inlineStr">
        <is>
          <t>JACCA14TXL</t>
        </is>
      </c>
      <c r="B444" t="inlineStr">
        <is>
          <t>JACKET CAB</t>
        </is>
      </c>
      <c r="C444" t="inlineStr">
        <is>
          <t>Equipamiento / Ropa</t>
        </is>
      </c>
      <c r="D444" t="n">
        <v>34</v>
      </c>
      <c r="E444" t="n">
        <v>2315.40293359</v>
      </c>
      <c r="F444" t="n">
        <v>0.69340703845</v>
      </c>
      <c r="G444" t="n">
        <v>150</v>
      </c>
      <c r="H444" t="n">
        <v>20.25001933</v>
      </c>
      <c r="I444" t="n">
        <v>3.4</v>
      </c>
      <c r="J444" t="n">
        <v>0</v>
      </c>
      <c r="K444" t="inlineStr"/>
    </row>
    <row r="445">
      <c r="A445" t="inlineStr">
        <is>
          <t>MARMIDA01TS</t>
        </is>
      </c>
      <c r="B445" t="inlineStr">
        <is>
          <t>MAR ORIGINAL DAMA</t>
        </is>
      </c>
      <c r="C445" t="inlineStr">
        <is>
          <t>Manufactura / Dama / P. Superiores</t>
        </is>
      </c>
      <c r="D445" t="n">
        <v>73</v>
      </c>
      <c r="E445" t="n">
        <v>2314.64418059</v>
      </c>
      <c r="F445" t="n">
        <v>0.9108608541784313</v>
      </c>
      <c r="G445" t="n">
        <v>24</v>
      </c>
      <c r="H445" t="n">
        <v>4.278324149</v>
      </c>
      <c r="I445" t="n">
        <v>7.3</v>
      </c>
      <c r="J445" t="n">
        <v>0</v>
      </c>
      <c r="K445" t="inlineStr"/>
    </row>
    <row r="446">
      <c r="A446" t="inlineStr">
        <is>
          <t>DAYCSTCA16TL</t>
        </is>
      </c>
      <c r="B446" t="inlineStr">
        <is>
          <t>CLASICA DAILY 3.0 CAB</t>
        </is>
      </c>
      <c r="C446" t="inlineStr">
        <is>
          <t>Manufactura / Caballero / P. Superiores</t>
        </is>
      </c>
      <c r="D446" t="n">
        <v>78</v>
      </c>
      <c r="E446" t="n">
        <v>2313.77055363</v>
      </c>
      <c r="F446" t="n">
        <v>0.7392085965326087</v>
      </c>
      <c r="G446" t="n">
        <v>20</v>
      </c>
      <c r="H446" t="n">
        <v>11.76035097</v>
      </c>
      <c r="I446" t="n">
        <v>7.8</v>
      </c>
      <c r="J446" t="n">
        <v>0</v>
      </c>
      <c r="K446" t="inlineStr"/>
    </row>
    <row r="447">
      <c r="A447" t="inlineStr">
        <is>
          <t>JAPDA66TL</t>
        </is>
      </c>
      <c r="B447" t="inlineStr">
        <is>
          <t>CUADRO JACKET 2.0 DAMA</t>
        </is>
      </c>
      <c r="C447" t="inlineStr">
        <is>
          <t>Equipamiento / Ropa</t>
        </is>
      </c>
      <c r="D447" t="n">
        <v>28</v>
      </c>
      <c r="E447" t="n">
        <v>2313.24013539</v>
      </c>
      <c r="F447" t="n">
        <v>0.7440615905391305</v>
      </c>
      <c r="G447" t="n">
        <v>165</v>
      </c>
      <c r="H447" t="n">
        <v>20.25</v>
      </c>
      <c r="I447" t="n">
        <v>2.8</v>
      </c>
      <c r="J447" t="n">
        <v>0</v>
      </c>
      <c r="K447" t="inlineStr"/>
    </row>
    <row r="448">
      <c r="A448" t="inlineStr">
        <is>
          <t>CLAMICA43TXL</t>
        </is>
      </c>
      <c r="B448" t="inlineStr">
        <is>
          <t>CLASICA ORIGINAL CAB</t>
        </is>
      </c>
      <c r="C448" t="inlineStr">
        <is>
          <t>Manufactura / Caballero / P. Superiores</t>
        </is>
      </c>
      <c r="D448" t="n">
        <v>71</v>
      </c>
      <c r="E448" t="n">
        <v>2312.58651348</v>
      </c>
      <c r="F448" t="n">
        <v>0.8825661631372094</v>
      </c>
      <c r="G448" t="n">
        <v>69</v>
      </c>
      <c r="H448" t="n">
        <v>4.598442536</v>
      </c>
      <c r="I448" t="n">
        <v>7.1</v>
      </c>
      <c r="J448" t="n">
        <v>0</v>
      </c>
      <c r="K448" t="inlineStr"/>
    </row>
    <row r="449">
      <c r="A449" t="inlineStr">
        <is>
          <t>RIOMIDA34TXS</t>
        </is>
      </c>
      <c r="B449" t="inlineStr">
        <is>
          <t>RIO ORIGINAL DAMA</t>
        </is>
      </c>
      <c r="C449" t="inlineStr">
        <is>
          <t>Manufactura / Dama / P. Superiores</t>
        </is>
      </c>
      <c r="D449" t="n">
        <v>43</v>
      </c>
      <c r="E449" t="n">
        <v>2309.25922058</v>
      </c>
      <c r="F449" t="n">
        <v>0.8988871226170733</v>
      </c>
      <c r="G449" t="n">
        <v>16</v>
      </c>
      <c r="H449" t="n">
        <v>5.538832275</v>
      </c>
      <c r="I449" t="n">
        <v>4.3</v>
      </c>
      <c r="J449" t="n">
        <v>0</v>
      </c>
      <c r="K449" t="inlineStr"/>
    </row>
    <row r="450">
      <c r="A450" t="inlineStr">
        <is>
          <t>RIOMIDA50TS</t>
        </is>
      </c>
      <c r="B450" t="inlineStr">
        <is>
          <t>RIO ORIGINAL DAMA</t>
        </is>
      </c>
      <c r="C450" t="inlineStr">
        <is>
          <t>Manufactura / Dama / P. Superiores</t>
        </is>
      </c>
      <c r="D450" t="n">
        <v>44</v>
      </c>
      <c r="E450" t="n">
        <v>2305.10094062</v>
      </c>
      <c r="F450" t="n">
        <v>0.8930258859871796</v>
      </c>
      <c r="G450" t="n">
        <v>5</v>
      </c>
      <c r="H450" t="n">
        <v>5.538832275</v>
      </c>
      <c r="I450" t="n">
        <v>4.4</v>
      </c>
      <c r="J450" t="n">
        <v>0</v>
      </c>
      <c r="K450" t="inlineStr"/>
    </row>
    <row r="451">
      <c r="A451" t="inlineStr">
        <is>
          <t>CAP12DC</t>
        </is>
      </c>
      <c r="B451" t="inlineStr">
        <is>
          <t>DAD CAP</t>
        </is>
      </c>
      <c r="C451" t="inlineStr">
        <is>
          <t>Equipamiento / Gorras</t>
        </is>
      </c>
      <c r="D451" t="n">
        <v>81</v>
      </c>
      <c r="E451" t="n">
        <v>2299.66892812</v>
      </c>
      <c r="F451" t="n">
        <v>0.8922105187958904</v>
      </c>
      <c r="G451" t="n">
        <v>77</v>
      </c>
      <c r="H451" t="n">
        <v>3.27</v>
      </c>
      <c r="I451" t="n">
        <v>8.1</v>
      </c>
      <c r="J451" t="n">
        <v>0</v>
      </c>
      <c r="K451" t="inlineStr"/>
    </row>
    <row r="452">
      <c r="A452" t="inlineStr">
        <is>
          <t>JACCA33T2XL</t>
        </is>
      </c>
      <c r="B452" t="inlineStr">
        <is>
          <t>JACKET CAB</t>
        </is>
      </c>
      <c r="C452" t="inlineStr">
        <is>
          <t>Equipamiento / Ropa</t>
        </is>
      </c>
      <c r="D452" t="n">
        <v>34</v>
      </c>
      <c r="E452" t="n">
        <v>2296.05847197</v>
      </c>
      <c r="F452" t="n">
        <v>0.693317619732353</v>
      </c>
      <c r="G452" t="n">
        <v>2</v>
      </c>
      <c r="H452" t="n">
        <v>20.25001933</v>
      </c>
      <c r="I452" t="n">
        <v>3.4</v>
      </c>
      <c r="J452" t="n">
        <v>0</v>
      </c>
      <c r="K452" t="inlineStr"/>
    </row>
    <row r="453">
      <c r="A453" t="inlineStr">
        <is>
          <t>POLPLCA33TXL</t>
        </is>
      </c>
      <c r="B453" t="inlineStr">
        <is>
          <t>CLASSIC POLO</t>
        </is>
      </c>
      <c r="C453" t="inlineStr">
        <is>
          <t>Manufactura / Caballero / P. Superiores</t>
        </is>
      </c>
      <c r="D453" t="n">
        <v>53</v>
      </c>
      <c r="E453" t="n">
        <v>2295.06246208</v>
      </c>
      <c r="F453" t="n">
        <v>0.8291306832436364</v>
      </c>
      <c r="G453" t="n">
        <v>0</v>
      </c>
      <c r="H453" t="n">
        <v>7.339999999999999</v>
      </c>
      <c r="I453" t="n">
        <v>5.3</v>
      </c>
      <c r="J453" t="n">
        <v>0</v>
      </c>
      <c r="K453" t="inlineStr">
        <is>
          <t>Sin stock</t>
        </is>
      </c>
    </row>
    <row r="454">
      <c r="A454" t="inlineStr">
        <is>
          <t>BAOCCCA38TL</t>
        </is>
      </c>
      <c r="B454" t="inlineStr">
        <is>
          <t>BASIC LINE OVERSIZED CAB</t>
        </is>
      </c>
      <c r="C454" t="inlineStr">
        <is>
          <t>Manufactura / Caballero / P. Superiores</t>
        </is>
      </c>
      <c r="D454" t="n">
        <v>40</v>
      </c>
      <c r="E454" t="n">
        <v>2290.94524022</v>
      </c>
      <c r="F454" t="n">
        <v>0.8505225196314286</v>
      </c>
      <c r="G454" t="n">
        <v>19</v>
      </c>
      <c r="H454" t="n">
        <v>9.336740741</v>
      </c>
      <c r="I454" t="n">
        <v>4</v>
      </c>
      <c r="J454" t="n">
        <v>0</v>
      </c>
      <c r="K454" t="inlineStr"/>
    </row>
    <row r="455">
      <c r="A455" t="inlineStr">
        <is>
          <t>OVE16EQ</t>
        </is>
      </c>
      <c r="B455" t="inlineStr">
        <is>
          <t>OVERGRIP</t>
        </is>
      </c>
      <c r="C455" t="inlineStr">
        <is>
          <t>Equipamiento / Accesorios</t>
        </is>
      </c>
      <c r="D455" t="n">
        <v>387</v>
      </c>
      <c r="E455" t="n">
        <v>2287.880417777</v>
      </c>
      <c r="F455" t="n">
        <v>0.72272805452649</v>
      </c>
      <c r="G455" t="n">
        <v>559</v>
      </c>
      <c r="H455" t="n">
        <v>3.2</v>
      </c>
      <c r="I455" t="n">
        <v>38.7</v>
      </c>
      <c r="J455" t="n">
        <v>0</v>
      </c>
      <c r="K455" t="inlineStr"/>
    </row>
    <row r="456">
      <c r="A456" t="inlineStr">
        <is>
          <t>JAPKI35T12</t>
        </is>
      </c>
      <c r="B456" t="inlineStr">
        <is>
          <t>CUADRO JACKET 2.0 KIDS</t>
        </is>
      </c>
      <c r="C456" t="inlineStr">
        <is>
          <t>Equipamiento / Ropa</t>
        </is>
      </c>
      <c r="D456" t="n">
        <v>33</v>
      </c>
      <c r="E456" t="n">
        <v>2278.89869803</v>
      </c>
      <c r="F456" t="n">
        <v>0.7768854281794872</v>
      </c>
      <c r="G456" t="n">
        <v>115</v>
      </c>
      <c r="H456" t="n">
        <v>15.17</v>
      </c>
      <c r="I456" t="n">
        <v>3.3</v>
      </c>
      <c r="J456" t="n">
        <v>0</v>
      </c>
      <c r="K456" t="inlineStr"/>
    </row>
    <row r="457">
      <c r="A457" t="inlineStr">
        <is>
          <t>BAOCCCA43TXL</t>
        </is>
      </c>
      <c r="B457" t="inlineStr">
        <is>
          <t>BASIC LINE OVERSIZED CAB</t>
        </is>
      </c>
      <c r="C457" t="inlineStr">
        <is>
          <t>Manufactura / Caballero / P. Superiores</t>
        </is>
      </c>
      <c r="D457" t="n">
        <v>38</v>
      </c>
      <c r="E457" t="n">
        <v>2277.55427627</v>
      </c>
      <c r="F457" t="n">
        <v>0.8373650508111111</v>
      </c>
      <c r="G457" t="n">
        <v>24</v>
      </c>
      <c r="H457" t="n">
        <v>9.336740741</v>
      </c>
      <c r="I457" t="n">
        <v>3.8</v>
      </c>
      <c r="J457" t="n">
        <v>0</v>
      </c>
      <c r="K457" t="inlineStr"/>
    </row>
    <row r="458">
      <c r="A458" t="inlineStr">
        <is>
          <t>DAYCSTCA43TL</t>
        </is>
      </c>
      <c r="B458" t="inlineStr">
        <is>
          <t>CLASICA DAILY 3.0 CAB</t>
        </is>
      </c>
      <c r="C458" t="inlineStr">
        <is>
          <t>Manufactura / Caballero / P. Superiores</t>
        </is>
      </c>
      <c r="D458" t="n">
        <v>74</v>
      </c>
      <c r="E458" t="n">
        <v>2259.28021568</v>
      </c>
      <c r="F458" t="n">
        <v>0.74539404865</v>
      </c>
      <c r="G458" t="n">
        <v>48</v>
      </c>
      <c r="H458" t="n">
        <v>11.76035097</v>
      </c>
      <c r="I458" t="n">
        <v>7.4</v>
      </c>
      <c r="J458" t="n">
        <v>0</v>
      </c>
      <c r="K458" t="inlineStr"/>
    </row>
    <row r="459">
      <c r="A459" t="inlineStr">
        <is>
          <t>SHOSUCA156TL</t>
        </is>
      </c>
      <c r="B459" t="inlineStr">
        <is>
          <t>SHORT PLAYA ESTAMPADO CAB</t>
        </is>
      </c>
      <c r="C459" t="inlineStr">
        <is>
          <t>Manufactura / Caballero / P. Inferiores</t>
        </is>
      </c>
      <c r="D459" t="n">
        <v>45</v>
      </c>
      <c r="E459" t="n">
        <v>2255.99737105</v>
      </c>
      <c r="F459" t="n">
        <v>0.7594654284816326</v>
      </c>
      <c r="G459" t="n">
        <v>7</v>
      </c>
      <c r="H459" t="n">
        <v>12.11</v>
      </c>
      <c r="I459" t="n">
        <v>4.5</v>
      </c>
      <c r="J459" t="n">
        <v>0</v>
      </c>
      <c r="K459" t="inlineStr"/>
    </row>
    <row r="460">
      <c r="A460" t="inlineStr">
        <is>
          <t>JACCA70TXL</t>
        </is>
      </c>
      <c r="B460" t="inlineStr">
        <is>
          <t>JACKET CAB</t>
        </is>
      </c>
      <c r="C460" t="inlineStr">
        <is>
          <t>Equipamiento / Ropa</t>
        </is>
      </c>
      <c r="D460" t="n">
        <v>35</v>
      </c>
      <c r="E460" t="n">
        <v>2248.814933886466</v>
      </c>
      <c r="F460" t="n">
        <v>0.6883022586666666</v>
      </c>
      <c r="G460" t="n">
        <v>56</v>
      </c>
      <c r="H460" t="n">
        <v>20.25001933</v>
      </c>
      <c r="I460" t="n">
        <v>3.5</v>
      </c>
      <c r="J460" t="n">
        <v>0</v>
      </c>
      <c r="K460" t="inlineStr"/>
    </row>
    <row r="461">
      <c r="A461" t="inlineStr">
        <is>
          <t>BAPCCDA43TS</t>
        </is>
      </c>
      <c r="B461" t="inlineStr">
        <is>
          <t>BASIC LINE PANT DAMA</t>
        </is>
      </c>
      <c r="C461" t="inlineStr">
        <is>
          <t>Manufactura / Dama / P. Inferiores</t>
        </is>
      </c>
      <c r="D461" t="n">
        <v>45</v>
      </c>
      <c r="E461" t="n">
        <v>2239.18100395</v>
      </c>
      <c r="F461" t="n">
        <v>0.83046121066</v>
      </c>
      <c r="G461" t="n">
        <v>35</v>
      </c>
      <c r="H461" t="n">
        <v>11.2</v>
      </c>
      <c r="I461" t="n">
        <v>4.5</v>
      </c>
      <c r="J461" t="n">
        <v>0</v>
      </c>
      <c r="K461" t="inlineStr"/>
    </row>
    <row r="462">
      <c r="A462" t="inlineStr">
        <is>
          <t>MARMIDA11TXS</t>
        </is>
      </c>
      <c r="B462" t="inlineStr">
        <is>
          <t>MAR ORIGINAL DAMA</t>
        </is>
      </c>
      <c r="C462" t="inlineStr">
        <is>
          <t>Manufactura / Dama / P. Superiores</t>
        </is>
      </c>
      <c r="D462" t="n">
        <v>48</v>
      </c>
      <c r="E462" t="n">
        <v>2237.22989995</v>
      </c>
      <c r="F462" t="n">
        <v>0.9155007841720931</v>
      </c>
      <c r="G462" t="n">
        <v>8</v>
      </c>
      <c r="H462" t="n">
        <v>4.278324149</v>
      </c>
      <c r="I462" t="n">
        <v>4.8</v>
      </c>
      <c r="J462" t="n">
        <v>0</v>
      </c>
      <c r="K462" t="inlineStr"/>
    </row>
    <row r="463">
      <c r="A463" t="inlineStr">
        <is>
          <t>PANNTDA12TXL</t>
        </is>
      </c>
      <c r="B463" t="inlineStr">
        <is>
          <t>EXPLORE PANTS DAMA</t>
        </is>
      </c>
      <c r="C463" t="inlineStr">
        <is>
          <t>Manufactura / Dama / P. Inferiores</t>
        </is>
      </c>
      <c r="D463" t="n">
        <v>34</v>
      </c>
      <c r="E463" t="n">
        <v>2235.22478433</v>
      </c>
      <c r="F463" t="n">
        <v>0.7629741732263158</v>
      </c>
      <c r="G463" t="n">
        <v>9</v>
      </c>
      <c r="H463" t="n">
        <v>15.3928899</v>
      </c>
      <c r="I463" t="n">
        <v>3.4</v>
      </c>
      <c r="J463" t="n">
        <v>0</v>
      </c>
      <c r="K463" t="inlineStr"/>
    </row>
    <row r="464">
      <c r="A464" t="inlineStr">
        <is>
          <t>JAPDA01TL</t>
        </is>
      </c>
      <c r="B464" t="inlineStr">
        <is>
          <t>CUADRO JACKET 2.0 DAMA</t>
        </is>
      </c>
      <c r="C464" t="inlineStr">
        <is>
          <t>Equipamiento / Ropa</t>
        </is>
      </c>
      <c r="D464" t="n">
        <v>29</v>
      </c>
      <c r="E464" t="n">
        <v>2223.71493404</v>
      </c>
      <c r="F464" t="n">
        <v>0.7331222616791666</v>
      </c>
      <c r="G464" t="n">
        <v>165</v>
      </c>
      <c r="H464" t="n">
        <v>20.25</v>
      </c>
      <c r="I464" t="n">
        <v>2.9</v>
      </c>
      <c r="J464" t="n">
        <v>0</v>
      </c>
      <c r="K464" t="inlineStr"/>
    </row>
    <row r="465">
      <c r="A465" t="inlineStr">
        <is>
          <t>RIOMIDA43TL</t>
        </is>
      </c>
      <c r="B465" t="inlineStr">
        <is>
          <t>RIO ORIGINAL DAMA</t>
        </is>
      </c>
      <c r="C465" t="inlineStr">
        <is>
          <t>Manufactura / Dama / P. Superiores</t>
        </is>
      </c>
      <c r="D465" t="n">
        <v>41</v>
      </c>
      <c r="E465" t="n">
        <v>2217.5861357</v>
      </c>
      <c r="F465" t="n">
        <v>0.892078077472973</v>
      </c>
      <c r="G465" t="n">
        <v>50</v>
      </c>
      <c r="H465" t="n">
        <v>5.538832275</v>
      </c>
      <c r="I465" t="n">
        <v>4.1</v>
      </c>
      <c r="J465" t="n">
        <v>1</v>
      </c>
      <c r="K465" t="inlineStr"/>
    </row>
    <row r="466">
      <c r="A466" t="inlineStr">
        <is>
          <t>SHOSUCA153TXL</t>
        </is>
      </c>
      <c r="B466" t="inlineStr">
        <is>
          <t>SHORT PLAYA ESTAMPADO CAB</t>
        </is>
      </c>
      <c r="C466" t="inlineStr">
        <is>
          <t>Manufactura / Caballero / P. Inferiores</t>
        </is>
      </c>
      <c r="D466" t="n">
        <v>36</v>
      </c>
      <c r="E466" t="n">
        <v>2201.04399017</v>
      </c>
      <c r="F466" t="n">
        <v>0.8045506457054055</v>
      </c>
      <c r="G466" t="n">
        <v>5</v>
      </c>
      <c r="H466" t="n">
        <v>12.11</v>
      </c>
      <c r="I466" t="n">
        <v>3.6</v>
      </c>
      <c r="J466" t="n">
        <v>2</v>
      </c>
      <c r="K466" t="inlineStr"/>
    </row>
    <row r="467">
      <c r="A467" t="inlineStr">
        <is>
          <t>JACCA33TXL</t>
        </is>
      </c>
      <c r="B467" t="inlineStr">
        <is>
          <t>JACKET CAB</t>
        </is>
      </c>
      <c r="C467" t="inlineStr">
        <is>
          <t>Equipamiento / Ropa</t>
        </is>
      </c>
      <c r="D467" t="n">
        <v>33</v>
      </c>
      <c r="E467" t="n">
        <v>2191.40533574</v>
      </c>
      <c r="F467" t="n">
        <v>0.6899655166243244</v>
      </c>
      <c r="G467" t="n">
        <v>30</v>
      </c>
      <c r="H467" t="n">
        <v>20.25001933</v>
      </c>
      <c r="I467" t="n">
        <v>3.3</v>
      </c>
      <c r="J467" t="n">
        <v>0</v>
      </c>
      <c r="K467" t="inlineStr"/>
    </row>
    <row r="468">
      <c r="A468" t="inlineStr">
        <is>
          <t>CLAMICA16TS</t>
        </is>
      </c>
      <c r="B468" t="inlineStr">
        <is>
          <t>CLASICA ORIGINAL CAB</t>
        </is>
      </c>
      <c r="C468" t="inlineStr">
        <is>
          <t>Manufactura / Caballero / P. Superiores</t>
        </is>
      </c>
      <c r="D468" t="n">
        <v>86</v>
      </c>
      <c r="E468" t="n">
        <v>2188.10332908</v>
      </c>
      <c r="F468" t="n">
        <v>0.8823762423196078</v>
      </c>
      <c r="G468" t="n">
        <v>78</v>
      </c>
      <c r="H468" t="n">
        <v>4.598442536000001</v>
      </c>
      <c r="I468" t="n">
        <v>8.6</v>
      </c>
      <c r="J468" t="n">
        <v>0</v>
      </c>
      <c r="K468" t="inlineStr"/>
    </row>
    <row r="469">
      <c r="A469" t="inlineStr">
        <is>
          <t>JAPCA16T2XL</t>
        </is>
      </c>
      <c r="B469" t="inlineStr">
        <is>
          <t>CUADRO JACKET 2.0 CAB</t>
        </is>
      </c>
      <c r="C469" t="inlineStr">
        <is>
          <t>Equipamiento / Ropa</t>
        </is>
      </c>
      <c r="D469" t="n">
        <v>26</v>
      </c>
      <c r="E469" t="n">
        <v>2187.48823817</v>
      </c>
      <c r="F469" t="n">
        <v>0.7545621669875</v>
      </c>
      <c r="G469" t="n">
        <v>183</v>
      </c>
      <c r="H469" t="n">
        <v>20.25000225</v>
      </c>
      <c r="I469" t="n">
        <v>2.6</v>
      </c>
      <c r="J469" t="n">
        <v>0</v>
      </c>
      <c r="K469" t="inlineStr"/>
    </row>
    <row r="470">
      <c r="A470" t="inlineStr">
        <is>
          <t>RIOMIDA01TXS</t>
        </is>
      </c>
      <c r="B470" t="inlineStr">
        <is>
          <t>RIO ORIGINAL DAMA</t>
        </is>
      </c>
      <c r="C470" t="inlineStr">
        <is>
          <t>Manufactura / Dama / P. Superiores</t>
        </is>
      </c>
      <c r="D470" t="n">
        <v>41</v>
      </c>
      <c r="E470" t="n">
        <v>2175.41210847</v>
      </c>
      <c r="F470" t="n">
        <v>0.8929792588157895</v>
      </c>
      <c r="G470" t="n">
        <v>21</v>
      </c>
      <c r="H470" t="n">
        <v>5.538832275</v>
      </c>
      <c r="I470" t="n">
        <v>4.1</v>
      </c>
      <c r="J470" t="n">
        <v>0</v>
      </c>
      <c r="K470" t="inlineStr"/>
    </row>
    <row r="471">
      <c r="A471" t="inlineStr">
        <is>
          <t>SHONRCA43TL</t>
        </is>
      </c>
      <c r="B471" t="inlineStr">
        <is>
          <t>SHORT SPORT CAB</t>
        </is>
      </c>
      <c r="C471" t="inlineStr">
        <is>
          <t>Manufactura / Caballero / P. Inferiores</t>
        </is>
      </c>
      <c r="D471" t="n">
        <v>65</v>
      </c>
      <c r="E471" t="n">
        <v>2168.82954799</v>
      </c>
      <c r="F471" t="n">
        <v>0.7451311687612245</v>
      </c>
      <c r="G471" t="n">
        <v>0</v>
      </c>
      <c r="H471" t="n">
        <v>10.6514486</v>
      </c>
      <c r="I471" t="n">
        <v>6.5</v>
      </c>
      <c r="J471" t="n">
        <v>1</v>
      </c>
      <c r="K471" t="inlineStr">
        <is>
          <t>Sin stock</t>
        </is>
      </c>
    </row>
    <row r="472">
      <c r="A472" t="inlineStr">
        <is>
          <t>RIOMICA70TM</t>
        </is>
      </c>
      <c r="B472" t="inlineStr">
        <is>
          <t>RIO ORIGINAL CAB</t>
        </is>
      </c>
      <c r="C472" t="inlineStr">
        <is>
          <t>Manufactura / Caballero / P. Superiores</t>
        </is>
      </c>
      <c r="D472" t="n">
        <v>37</v>
      </c>
      <c r="E472" t="n">
        <v>2163.82250143</v>
      </c>
      <c r="F472" t="n">
        <v>0.8949633377944445</v>
      </c>
      <c r="G472" t="n">
        <v>25</v>
      </c>
      <c r="H472" t="n">
        <v>5.939350288</v>
      </c>
      <c r="I472" t="n">
        <v>3.7</v>
      </c>
      <c r="J472" t="n">
        <v>0</v>
      </c>
      <c r="K472" t="inlineStr"/>
    </row>
    <row r="473">
      <c r="A473" t="inlineStr">
        <is>
          <t>RIOMICA13TL</t>
        </is>
      </c>
      <c r="B473" t="inlineStr">
        <is>
          <t>RIO ORIGINAL CAB</t>
        </is>
      </c>
      <c r="C473" t="inlineStr">
        <is>
          <t>Manufactura / Caballero / P. Superiores</t>
        </is>
      </c>
      <c r="D473" t="n">
        <v>43</v>
      </c>
      <c r="E473" t="n">
        <v>2161.45055902</v>
      </c>
      <c r="F473" t="n">
        <v>0.8810622152936171</v>
      </c>
      <c r="G473" t="n">
        <v>21</v>
      </c>
      <c r="H473" t="n">
        <v>5.939350288</v>
      </c>
      <c r="I473" t="n">
        <v>4.3</v>
      </c>
      <c r="J473" t="n">
        <v>0</v>
      </c>
      <c r="K473" t="inlineStr"/>
    </row>
    <row r="474">
      <c r="A474" t="inlineStr">
        <is>
          <t>RIOMICA12TL</t>
        </is>
      </c>
      <c r="B474" t="inlineStr">
        <is>
          <t>RIO ORIGINAL CAB</t>
        </is>
      </c>
      <c r="C474" t="inlineStr">
        <is>
          <t>Manufactura / Caballero / P. Superiores</t>
        </is>
      </c>
      <c r="D474" t="n">
        <v>37</v>
      </c>
      <c r="E474" t="n">
        <v>2143.30747664</v>
      </c>
      <c r="F474" t="n">
        <v>0.8947869179171429</v>
      </c>
      <c r="G474" t="n">
        <v>6</v>
      </c>
      <c r="H474" t="n">
        <v>5.939350288</v>
      </c>
      <c r="I474" t="n">
        <v>3.7</v>
      </c>
      <c r="J474" t="n">
        <v>2</v>
      </c>
      <c r="K474" t="inlineStr"/>
    </row>
    <row r="475">
      <c r="A475" t="inlineStr">
        <is>
          <t>MARMIDA53TS</t>
        </is>
      </c>
      <c r="B475" t="inlineStr">
        <is>
          <t>MAR ORIGINAL DAMA</t>
        </is>
      </c>
      <c r="C475" t="inlineStr">
        <is>
          <t>Manufactura / Dama / P. Superiores</t>
        </is>
      </c>
      <c r="D475" t="n">
        <v>43</v>
      </c>
      <c r="E475" t="n">
        <v>2140.28020947</v>
      </c>
      <c r="F475" t="n">
        <v>0.9157310613452381</v>
      </c>
      <c r="G475" t="n">
        <v>17</v>
      </c>
      <c r="H475" t="n">
        <v>4.278324149</v>
      </c>
      <c r="I475" t="n">
        <v>4.3</v>
      </c>
      <c r="J475" t="n">
        <v>0</v>
      </c>
      <c r="K475" t="inlineStr"/>
    </row>
    <row r="476">
      <c r="A476" t="inlineStr">
        <is>
          <t>BAOCCCA38TM</t>
        </is>
      </c>
      <c r="B476" t="inlineStr">
        <is>
          <t>BASIC LINE OVERSIZED CAB</t>
        </is>
      </c>
      <c r="C476" t="inlineStr">
        <is>
          <t>Manufactura / Caballero / P. Superiores</t>
        </is>
      </c>
      <c r="D476" t="n">
        <v>39</v>
      </c>
      <c r="E476" t="n">
        <v>2137.31730633</v>
      </c>
      <c r="F476" t="n">
        <v>0.8414856095088235</v>
      </c>
      <c r="G476" t="n">
        <v>24</v>
      </c>
      <c r="H476" t="n">
        <v>9.336740741</v>
      </c>
      <c r="I476" t="n">
        <v>3.9</v>
      </c>
      <c r="J476" t="n">
        <v>0</v>
      </c>
      <c r="K476" t="inlineStr"/>
    </row>
    <row r="477">
      <c r="A477" t="inlineStr">
        <is>
          <t>SHONRCA12TXL</t>
        </is>
      </c>
      <c r="B477" t="inlineStr">
        <is>
          <t>SHORT SPORT CAB</t>
        </is>
      </c>
      <c r="C477" t="inlineStr">
        <is>
          <t>Manufactura / Caballero / P. Inferiores</t>
        </is>
      </c>
      <c r="D477" t="n">
        <v>47</v>
      </c>
      <c r="E477" t="n">
        <v>2132.53058654</v>
      </c>
      <c r="F477" t="n">
        <v>0.7619522745923076</v>
      </c>
      <c r="G477" t="n">
        <v>18</v>
      </c>
      <c r="H477" t="n">
        <v>10.6514486</v>
      </c>
      <c r="I477" t="n">
        <v>4.7</v>
      </c>
      <c r="J477" t="n">
        <v>0</v>
      </c>
      <c r="K477" t="inlineStr"/>
    </row>
    <row r="478">
      <c r="A478" t="inlineStr">
        <is>
          <t>BACCCDA158TL</t>
        </is>
      </c>
      <c r="B478" t="inlineStr">
        <is>
          <t>BASIC LINE CROP TEE DAMA</t>
        </is>
      </c>
      <c r="C478" t="inlineStr">
        <is>
          <t>Manufactura / Dama / P. Superiores</t>
        </is>
      </c>
      <c r="D478" t="n">
        <v>42</v>
      </c>
      <c r="E478" t="n">
        <v>2131.44824805</v>
      </c>
      <c r="F478" t="n">
        <v>0.8852355159045455</v>
      </c>
      <c r="G478" t="n">
        <v>28</v>
      </c>
      <c r="H478" t="n">
        <v>6.196330833</v>
      </c>
      <c r="I478" t="n">
        <v>4.2</v>
      </c>
      <c r="J478" t="n">
        <v>0</v>
      </c>
      <c r="K478" t="inlineStr"/>
    </row>
    <row r="479">
      <c r="A479" t="inlineStr">
        <is>
          <t>PANNTDA33TXS</t>
        </is>
      </c>
      <c r="B479" t="inlineStr">
        <is>
          <t>EXPLORE PANTS DAMA</t>
        </is>
      </c>
      <c r="C479" t="inlineStr">
        <is>
          <t>Manufactura / Dama / P. Inferiores</t>
        </is>
      </c>
      <c r="D479" t="n">
        <v>36</v>
      </c>
      <c r="E479" t="n">
        <v>2129.59172661</v>
      </c>
      <c r="F479" t="n">
        <v>0.7690895348685715</v>
      </c>
      <c r="G479" t="n">
        <v>36</v>
      </c>
      <c r="H479" t="n">
        <v>15.3928899</v>
      </c>
      <c r="I479" t="n">
        <v>3.6</v>
      </c>
      <c r="J479" t="n">
        <v>0</v>
      </c>
      <c r="K479" t="inlineStr"/>
    </row>
    <row r="480">
      <c r="A480" t="inlineStr">
        <is>
          <t>DAYCSTDA43TS</t>
        </is>
      </c>
      <c r="B480" t="inlineStr">
        <is>
          <t>CLASICA DAILY 3.0 DAMA</t>
        </is>
      </c>
      <c r="C480" t="inlineStr">
        <is>
          <t>Manufactura / Dama / P. Superiores</t>
        </is>
      </c>
      <c r="D480" t="n">
        <v>58</v>
      </c>
      <c r="E480" t="n">
        <v>2123.0465696</v>
      </c>
      <c r="F480" t="n">
        <v>0.7722817821045456</v>
      </c>
      <c r="G480" t="n">
        <v>72</v>
      </c>
      <c r="H480" t="n">
        <v>10.28586481</v>
      </c>
      <c r="I480" t="n">
        <v>5.8</v>
      </c>
      <c r="J480" t="n">
        <v>0</v>
      </c>
      <c r="K480" t="inlineStr"/>
    </row>
    <row r="481">
      <c r="A481" t="inlineStr">
        <is>
          <t>MARMICA70TS</t>
        </is>
      </c>
      <c r="B481" t="inlineStr">
        <is>
          <t>MAR ORIGINAL CAB</t>
        </is>
      </c>
      <c r="C481" t="inlineStr">
        <is>
          <t>Manufactura / Caballero / P. Superiores</t>
        </is>
      </c>
      <c r="D481" t="n">
        <v>50</v>
      </c>
      <c r="E481" t="n">
        <v>2119.66708457</v>
      </c>
      <c r="F481" t="n">
        <v>0.9026434088304348</v>
      </c>
      <c r="G481" t="n">
        <v>23</v>
      </c>
      <c r="H481" t="n">
        <v>4.946357428</v>
      </c>
      <c r="I481" t="n">
        <v>5</v>
      </c>
      <c r="J481" t="n">
        <v>0</v>
      </c>
      <c r="K481" t="inlineStr"/>
    </row>
    <row r="482">
      <c r="A482" t="inlineStr">
        <is>
          <t>DAYCSTDA16TS</t>
        </is>
      </c>
      <c r="B482" t="inlineStr">
        <is>
          <t>CLASICA DAILY 3.0 DAMA</t>
        </is>
      </c>
      <c r="C482" t="inlineStr">
        <is>
          <t>Manufactura / Dama / P. Superiores</t>
        </is>
      </c>
      <c r="D482" t="n">
        <v>70</v>
      </c>
      <c r="E482" t="n">
        <v>2115.75704155</v>
      </c>
      <c r="F482" t="n">
        <v>0.7725782741097561</v>
      </c>
      <c r="G482" t="n">
        <v>43</v>
      </c>
      <c r="H482" t="n">
        <v>10.28586481</v>
      </c>
      <c r="I482" t="n">
        <v>7</v>
      </c>
      <c r="J482" t="n">
        <v>0</v>
      </c>
      <c r="K482" t="inlineStr"/>
    </row>
    <row r="483">
      <c r="A483" t="inlineStr">
        <is>
          <t>JAPCA01TM</t>
        </is>
      </c>
      <c r="B483" t="inlineStr">
        <is>
          <t>CUADRO JACKET 2.0 CAB</t>
        </is>
      </c>
      <c r="C483" t="inlineStr">
        <is>
          <t>Equipamiento / Ropa</t>
        </is>
      </c>
      <c r="D483" t="n">
        <v>30</v>
      </c>
      <c r="E483" t="n">
        <v>2108.0991172</v>
      </c>
      <c r="F483" t="n">
        <v>0.7503849359923076</v>
      </c>
      <c r="G483" t="n">
        <v>271</v>
      </c>
      <c r="H483" t="n">
        <v>20.25000225</v>
      </c>
      <c r="I483" t="n">
        <v>3</v>
      </c>
      <c r="J483" t="n">
        <v>1</v>
      </c>
      <c r="K483" t="inlineStr"/>
    </row>
    <row r="484">
      <c r="A484" t="inlineStr">
        <is>
          <t>PANNTDA66TS</t>
        </is>
      </c>
      <c r="B484" t="inlineStr">
        <is>
          <t>EXPLORE PANTS DAMA</t>
        </is>
      </c>
      <c r="C484" t="inlineStr">
        <is>
          <t>Manufactura / Dama / P. Inferiores</t>
        </is>
      </c>
      <c r="D484" t="n">
        <v>40</v>
      </c>
      <c r="E484" t="n">
        <v>2094.75225656</v>
      </c>
      <c r="F484" t="n">
        <v>0.7676181991567568</v>
      </c>
      <c r="G484" t="n">
        <v>82</v>
      </c>
      <c r="H484" t="n">
        <v>15.3928899</v>
      </c>
      <c r="I484" t="n">
        <v>4</v>
      </c>
      <c r="J484" t="n">
        <v>0</v>
      </c>
      <c r="K484" t="inlineStr"/>
    </row>
    <row r="485">
      <c r="A485" t="inlineStr">
        <is>
          <t>MARMICA30TXL</t>
        </is>
      </c>
      <c r="B485" t="inlineStr">
        <is>
          <t>MAR ORIGINAL CAB</t>
        </is>
      </c>
      <c r="C485" t="inlineStr">
        <is>
          <t>Manufactura / Caballero / P. Superiores</t>
        </is>
      </c>
      <c r="D485" t="n">
        <v>40</v>
      </c>
      <c r="E485" t="n">
        <v>2075.82657161</v>
      </c>
      <c r="F485" t="n">
        <v>0.9050208112026317</v>
      </c>
      <c r="G485" t="n">
        <v>23</v>
      </c>
      <c r="H485" t="n">
        <v>4.946357428</v>
      </c>
      <c r="I485" t="n">
        <v>4</v>
      </c>
      <c r="J485" t="n">
        <v>0</v>
      </c>
      <c r="K485" t="inlineStr"/>
    </row>
    <row r="486">
      <c r="A486" t="inlineStr">
        <is>
          <t>PANNTCA30TXL</t>
        </is>
      </c>
      <c r="B486" t="inlineStr">
        <is>
          <t>EXPLORE PANTS CAB</t>
        </is>
      </c>
      <c r="C486" t="inlineStr">
        <is>
          <t>Manufactura / Caballero / P. Inferiores</t>
        </is>
      </c>
      <c r="D486" t="n">
        <v>34</v>
      </c>
      <c r="E486" t="n">
        <v>2075.28125934</v>
      </c>
      <c r="F486" t="n">
        <v>0.758330974490909</v>
      </c>
      <c r="G486" t="n">
        <v>0</v>
      </c>
      <c r="H486" t="n">
        <v>15.68994502</v>
      </c>
      <c r="I486" t="n">
        <v>3.4</v>
      </c>
      <c r="J486" t="n">
        <v>1</v>
      </c>
      <c r="K486" t="inlineStr">
        <is>
          <t>Sin stock</t>
        </is>
      </c>
    </row>
    <row r="487">
      <c r="A487" t="inlineStr">
        <is>
          <t>JAPKI35T8</t>
        </is>
      </c>
      <c r="B487" t="inlineStr">
        <is>
          <t>CUADRO JACKET 2.0 KIDS</t>
        </is>
      </c>
      <c r="C487" t="inlineStr">
        <is>
          <t>Equipamiento / Ropa</t>
        </is>
      </c>
      <c r="D487" t="n">
        <v>31</v>
      </c>
      <c r="E487" t="n">
        <v>2058.39428652</v>
      </c>
      <c r="F487" t="n">
        <v>0.7745320546666666</v>
      </c>
      <c r="G487" t="n">
        <v>89</v>
      </c>
      <c r="H487" t="n">
        <v>15.17</v>
      </c>
      <c r="I487" t="n">
        <v>3.1</v>
      </c>
      <c r="J487" t="n">
        <v>0</v>
      </c>
      <c r="K487" t="inlineStr"/>
    </row>
    <row r="488">
      <c r="A488" t="inlineStr">
        <is>
          <t>SHONRCA12TM</t>
        </is>
      </c>
      <c r="B488" t="inlineStr">
        <is>
          <t>SHORT SPORT CAB</t>
        </is>
      </c>
      <c r="C488" t="inlineStr">
        <is>
          <t>Manufactura / Caballero / P. Inferiores</t>
        </is>
      </c>
      <c r="D488" t="n">
        <v>54</v>
      </c>
      <c r="E488" t="n">
        <v>2057.76472246</v>
      </c>
      <c r="F488" t="n">
        <v>0.7595403498660378</v>
      </c>
      <c r="G488" t="n">
        <v>4</v>
      </c>
      <c r="H488" t="n">
        <v>10.6514486</v>
      </c>
      <c r="I488" t="n">
        <v>5.4</v>
      </c>
      <c r="J488" t="n">
        <v>0</v>
      </c>
      <c r="K488" t="inlineStr"/>
    </row>
    <row r="489">
      <c r="A489" t="inlineStr">
        <is>
          <t>BUC107EQ</t>
        </is>
      </c>
      <c r="B489" t="inlineStr">
        <is>
          <t>BUCKET HAT ESTAMPADO</t>
        </is>
      </c>
      <c r="C489" t="inlineStr">
        <is>
          <t>Equipamiento / Sombreros</t>
        </is>
      </c>
      <c r="D489" t="n">
        <v>88</v>
      </c>
      <c r="E489" t="n">
        <v>2050.39964704</v>
      </c>
      <c r="F489" t="n">
        <v>0.8300398274058823</v>
      </c>
      <c r="G489" t="n">
        <v>529</v>
      </c>
      <c r="H489" t="n">
        <v>4.98</v>
      </c>
      <c r="I489" t="n">
        <v>8.800000000000001</v>
      </c>
      <c r="J489" t="n">
        <v>0</v>
      </c>
      <c r="K489" t="inlineStr"/>
    </row>
    <row r="490">
      <c r="A490" t="inlineStr">
        <is>
          <t>POLPLCA14TXL</t>
        </is>
      </c>
      <c r="B490" t="inlineStr">
        <is>
          <t>CLASSIC POLO</t>
        </is>
      </c>
      <c r="C490" t="inlineStr">
        <is>
          <t>Manufactura / Caballero / P. Superiores</t>
        </is>
      </c>
      <c r="D490" t="n">
        <v>47</v>
      </c>
      <c r="E490" t="n">
        <v>2050.34684871</v>
      </c>
      <c r="F490" t="n">
        <v>0.8360718984723404</v>
      </c>
      <c r="G490" t="n">
        <v>20</v>
      </c>
      <c r="H490" t="n">
        <v>7.339999999999999</v>
      </c>
      <c r="I490" t="n">
        <v>4.7</v>
      </c>
      <c r="J490" t="n">
        <v>0</v>
      </c>
      <c r="K490" t="inlineStr"/>
    </row>
    <row r="491">
      <c r="A491" t="inlineStr">
        <is>
          <t>MARMIDA13TL</t>
        </is>
      </c>
      <c r="B491" t="inlineStr">
        <is>
          <t>MAR ORIGINAL DAMA</t>
        </is>
      </c>
      <c r="C491" t="inlineStr">
        <is>
          <t>Manufactura / Dama / P. Superiores</t>
        </is>
      </c>
      <c r="D491" t="n">
        <v>46</v>
      </c>
      <c r="E491" t="n">
        <v>2047.31432865</v>
      </c>
      <c r="F491" t="n">
        <v>0.9100477157414634</v>
      </c>
      <c r="G491" t="n">
        <v>41</v>
      </c>
      <c r="H491" t="n">
        <v>4.278324149</v>
      </c>
      <c r="I491" t="n">
        <v>4.6</v>
      </c>
      <c r="J491" t="n">
        <v>0</v>
      </c>
      <c r="K491" t="inlineStr"/>
    </row>
    <row r="492">
      <c r="A492" t="inlineStr">
        <is>
          <t>TOA50SP</t>
        </is>
      </c>
      <c r="B492" t="inlineStr">
        <is>
          <t>TOALLA SPORT</t>
        </is>
      </c>
      <c r="C492" t="inlineStr">
        <is>
          <t>Equipamiento / Toallas</t>
        </is>
      </c>
      <c r="D492" t="n">
        <v>144</v>
      </c>
      <c r="E492" t="n">
        <v>2039.01609119</v>
      </c>
      <c r="F492" t="n">
        <v>0.9019913635125</v>
      </c>
      <c r="G492" t="n">
        <v>572</v>
      </c>
      <c r="H492" t="n">
        <v>1.8</v>
      </c>
      <c r="I492" t="n">
        <v>14.4</v>
      </c>
      <c r="J492" t="n">
        <v>0</v>
      </c>
      <c r="K492" t="inlineStr"/>
    </row>
    <row r="493">
      <c r="A493" t="inlineStr">
        <is>
          <t>RIOMICA66TL</t>
        </is>
      </c>
      <c r="B493" t="inlineStr">
        <is>
          <t>RIO ORIGINAL CAB</t>
        </is>
      </c>
      <c r="C493" t="inlineStr">
        <is>
          <t>Manufactura / Caballero / P. Superiores</t>
        </is>
      </c>
      <c r="D493" t="n">
        <v>44</v>
      </c>
      <c r="E493" t="n">
        <v>2024.760580622044</v>
      </c>
      <c r="F493" t="n">
        <v>0.8924386397368421</v>
      </c>
      <c r="G493" t="n">
        <v>4</v>
      </c>
      <c r="H493" t="n">
        <v>5.939350288</v>
      </c>
      <c r="I493" t="n">
        <v>4.4</v>
      </c>
      <c r="J493" t="n">
        <v>1</v>
      </c>
      <c r="K493" t="inlineStr"/>
    </row>
    <row r="494">
      <c r="A494" t="inlineStr">
        <is>
          <t>PANNTDA30TL</t>
        </is>
      </c>
      <c r="B494" t="inlineStr">
        <is>
          <t>EXPLORE PANTS DAMA</t>
        </is>
      </c>
      <c r="C494" t="inlineStr">
        <is>
          <t>Manufactura / Dama / P. Inferiores</t>
        </is>
      </c>
      <c r="D494" t="n">
        <v>36</v>
      </c>
      <c r="E494" t="n">
        <v>2020.18251151</v>
      </c>
      <c r="F494" t="n">
        <v>0.7692072080838709</v>
      </c>
      <c r="G494" t="n">
        <v>2</v>
      </c>
      <c r="H494" t="n">
        <v>15.3928899</v>
      </c>
      <c r="I494" t="n">
        <v>3.6</v>
      </c>
      <c r="J494" t="n">
        <v>0</v>
      </c>
      <c r="K494" t="inlineStr"/>
    </row>
    <row r="495">
      <c r="A495" t="inlineStr">
        <is>
          <t>SHOUNCA187TL</t>
        </is>
      </c>
      <c r="B495" t="inlineStr">
        <is>
          <t>SHORT PLAYA CAB</t>
        </is>
      </c>
      <c r="C495" t="inlineStr">
        <is>
          <t>Manufactura / Caballero / P. Inferiores</t>
        </is>
      </c>
      <c r="D495" t="n">
        <v>41</v>
      </c>
      <c r="E495" t="n">
        <v>2001.9357431</v>
      </c>
      <c r="F495" t="n">
        <v>0.7959497301785715</v>
      </c>
      <c r="G495" t="n">
        <v>14</v>
      </c>
      <c r="H495" t="n">
        <v>9.99</v>
      </c>
      <c r="I495" t="n">
        <v>4.1</v>
      </c>
      <c r="J495" t="n">
        <v>0</v>
      </c>
      <c r="K495" t="inlineStr"/>
    </row>
    <row r="496">
      <c r="A496" t="inlineStr">
        <is>
          <t>MARMIKI16T6</t>
        </is>
      </c>
      <c r="B496" t="inlineStr">
        <is>
          <t>MAR ORIGINAL KIDS</t>
        </is>
      </c>
      <c r="C496" t="inlineStr">
        <is>
          <t>Manufactura / Kids / P. Superiores</t>
        </is>
      </c>
      <c r="D496" t="n">
        <v>56</v>
      </c>
      <c r="E496" t="n">
        <v>1996.01547159</v>
      </c>
      <c r="F496" t="n">
        <v>0.9128990679538462</v>
      </c>
      <c r="G496" t="n">
        <v>29</v>
      </c>
      <c r="H496" t="n">
        <v>3.168013332</v>
      </c>
      <c r="I496" t="n">
        <v>5.6</v>
      </c>
      <c r="J496" t="n">
        <v>0</v>
      </c>
      <c r="K496" t="inlineStr"/>
    </row>
    <row r="497">
      <c r="A497" t="inlineStr">
        <is>
          <t>OVE43EQ</t>
        </is>
      </c>
      <c r="B497" t="inlineStr">
        <is>
          <t>OVERGRIP</t>
        </is>
      </c>
      <c r="C497" t="inlineStr">
        <is>
          <t>Equipamiento / Accesorios</t>
        </is>
      </c>
      <c r="D497" t="n">
        <v>237</v>
      </c>
      <c r="E497" t="n">
        <v>1990.928635727</v>
      </c>
      <c r="F497" t="n">
        <v>0.7204499511428571</v>
      </c>
      <c r="G497" t="n">
        <v>456</v>
      </c>
      <c r="H497" t="n">
        <v>3.2</v>
      </c>
      <c r="I497" t="n">
        <v>23.7</v>
      </c>
      <c r="J497" t="n">
        <v>0</v>
      </c>
      <c r="K497" t="inlineStr"/>
    </row>
    <row r="498">
      <c r="A498" t="inlineStr">
        <is>
          <t>CAP30CM</t>
        </is>
      </c>
      <c r="B498" t="inlineStr">
        <is>
          <t>CAMO CAP</t>
        </is>
      </c>
      <c r="C498" t="inlineStr">
        <is>
          <t>Equipamiento / Gorras</t>
        </is>
      </c>
      <c r="D498" t="n">
        <v>65</v>
      </c>
      <c r="E498" t="n">
        <v>1983.966291042893</v>
      </c>
      <c r="F498" t="n">
        <v>0.8948790558619047</v>
      </c>
      <c r="G498" t="n">
        <v>397</v>
      </c>
      <c r="H498" t="n">
        <v>3.36</v>
      </c>
      <c r="I498" t="n">
        <v>6.5</v>
      </c>
      <c r="J498" t="n">
        <v>0</v>
      </c>
      <c r="K498" t="inlineStr"/>
    </row>
    <row r="499">
      <c r="A499" t="inlineStr">
        <is>
          <t>JACKI01T10</t>
        </is>
      </c>
      <c r="B499" t="inlineStr">
        <is>
          <t>JACKET KIDS</t>
        </is>
      </c>
      <c r="C499" t="inlineStr">
        <is>
          <t>Manufactura / Kids / P. Superiores</t>
        </is>
      </c>
      <c r="D499" t="n">
        <v>35</v>
      </c>
      <c r="E499" t="n">
        <v>1971.59003606</v>
      </c>
      <c r="F499" t="n">
        <v>0.7190653773846154</v>
      </c>
      <c r="G499" t="n">
        <v>156</v>
      </c>
      <c r="H499" t="n">
        <v>15.17</v>
      </c>
      <c r="I499" t="n">
        <v>3.5</v>
      </c>
      <c r="J499" t="n">
        <v>0</v>
      </c>
      <c r="K499" t="inlineStr"/>
    </row>
    <row r="500">
      <c r="A500" t="inlineStr">
        <is>
          <t>JACKI66T10</t>
        </is>
      </c>
      <c r="B500" t="inlineStr">
        <is>
          <t>JACKET KIDS</t>
        </is>
      </c>
      <c r="C500" t="inlineStr">
        <is>
          <t>Manufactura / Kids / P. Superiores</t>
        </is>
      </c>
      <c r="D500" t="n">
        <v>34</v>
      </c>
      <c r="E500" t="n">
        <v>1971.04595101</v>
      </c>
      <c r="F500" t="n">
        <v>0.7301466722</v>
      </c>
      <c r="G500" t="n">
        <v>142</v>
      </c>
      <c r="H500" t="n">
        <v>15.17</v>
      </c>
      <c r="I500" t="n">
        <v>3.4</v>
      </c>
      <c r="J500" t="n">
        <v>0</v>
      </c>
      <c r="K500" t="inlineStr"/>
    </row>
    <row r="501">
      <c r="A501" t="inlineStr">
        <is>
          <t>CLAMICA12TS</t>
        </is>
      </c>
      <c r="B501" t="inlineStr">
        <is>
          <t>CLASICA ORIGINAL CAB</t>
        </is>
      </c>
      <c r="C501" t="inlineStr">
        <is>
          <t>Manufactura / Caballero / P. Superiores</t>
        </is>
      </c>
      <c r="D501" t="n">
        <v>52</v>
      </c>
      <c r="E501" t="n">
        <v>1967.89977383</v>
      </c>
      <c r="F501" t="n">
        <v>0.8868316366210527</v>
      </c>
      <c r="G501" t="n">
        <v>26</v>
      </c>
      <c r="H501" t="n">
        <v>4.598442536</v>
      </c>
      <c r="I501" t="n">
        <v>5.2</v>
      </c>
      <c r="J501" t="n">
        <v>0</v>
      </c>
      <c r="K501" t="inlineStr"/>
    </row>
    <row r="502">
      <c r="A502" t="inlineStr">
        <is>
          <t>JAPDA16TXL</t>
        </is>
      </c>
      <c r="B502" t="inlineStr">
        <is>
          <t>CUADRO JACKET 2.0 DAMA</t>
        </is>
      </c>
      <c r="C502" t="inlineStr">
        <is>
          <t>Equipamiento / Ropa</t>
        </is>
      </c>
      <c r="D502" t="n">
        <v>27</v>
      </c>
      <c r="E502" t="n">
        <v>1960.90481432</v>
      </c>
      <c r="F502" t="n">
        <v>0.7378525836068965</v>
      </c>
      <c r="G502" t="n">
        <v>168</v>
      </c>
      <c r="H502" t="n">
        <v>20.25</v>
      </c>
      <c r="I502" t="n">
        <v>2.7</v>
      </c>
      <c r="J502" t="n">
        <v>0</v>
      </c>
      <c r="K502" t="inlineStr"/>
    </row>
    <row r="503">
      <c r="A503" t="inlineStr">
        <is>
          <t>JACKI43T10</t>
        </is>
      </c>
      <c r="B503" t="inlineStr">
        <is>
          <t>JACKET KIDS</t>
        </is>
      </c>
      <c r="C503" t="inlineStr">
        <is>
          <t>Manufactura / Kids / P. Superiores</t>
        </is>
      </c>
      <c r="D503" t="n">
        <v>35</v>
      </c>
      <c r="E503" t="n">
        <v>1960.0674526</v>
      </c>
      <c r="F503" t="n">
        <v>0.7218708348871795</v>
      </c>
      <c r="G503" t="n">
        <v>130</v>
      </c>
      <c r="H503" t="n">
        <v>15.17</v>
      </c>
      <c r="I503" t="n">
        <v>3.5</v>
      </c>
      <c r="J503" t="n">
        <v>0</v>
      </c>
      <c r="K503" t="inlineStr"/>
    </row>
    <row r="504">
      <c r="A504" t="inlineStr">
        <is>
          <t>PANNTKI12T12</t>
        </is>
      </c>
      <c r="B504" t="inlineStr">
        <is>
          <t>EXPLORE PANTS KIDS</t>
        </is>
      </c>
      <c r="C504" t="inlineStr">
        <is>
          <t>Manufactura / Kids / P. Inferiores</t>
        </is>
      </c>
      <c r="D504" t="n">
        <v>37</v>
      </c>
      <c r="E504" t="n">
        <v>1954.29993252</v>
      </c>
      <c r="F504" t="n">
        <v>0.726483471055</v>
      </c>
      <c r="G504" t="n">
        <v>17</v>
      </c>
      <c r="H504" t="n">
        <v>13.98</v>
      </c>
      <c r="I504" t="n">
        <v>3.7</v>
      </c>
      <c r="J504" t="n">
        <v>0</v>
      </c>
      <c r="K504" t="inlineStr"/>
    </row>
    <row r="505">
      <c r="A505" t="inlineStr">
        <is>
          <t>CAP38DC</t>
        </is>
      </c>
      <c r="B505" t="inlineStr">
        <is>
          <t>DAD CAP</t>
        </is>
      </c>
      <c r="C505" t="inlineStr">
        <is>
          <t>Equipamiento / Gorras</t>
        </is>
      </c>
      <c r="D505" t="n">
        <v>70</v>
      </c>
      <c r="E505" t="n">
        <v>1950.13709975</v>
      </c>
      <c r="F505" t="n">
        <v>0.8977302814836066</v>
      </c>
      <c r="G505" t="n">
        <v>1014</v>
      </c>
      <c r="H505" t="n">
        <v>3.27</v>
      </c>
      <c r="I505" t="n">
        <v>7</v>
      </c>
      <c r="J505" t="n">
        <v>0</v>
      </c>
      <c r="K505" t="inlineStr"/>
    </row>
    <row r="506">
      <c r="A506" t="inlineStr">
        <is>
          <t>RIOMIDA12TXL</t>
        </is>
      </c>
      <c r="B506" t="inlineStr">
        <is>
          <t>RIO ORIGINAL DAMA</t>
        </is>
      </c>
      <c r="C506" t="inlineStr">
        <is>
          <t>Manufactura / Dama / P. Superiores</t>
        </is>
      </c>
      <c r="D506" t="n">
        <v>36</v>
      </c>
      <c r="E506" t="n">
        <v>1944.1749939</v>
      </c>
      <c r="F506" t="n">
        <v>0.8978934682848485</v>
      </c>
      <c r="G506" t="n">
        <v>20</v>
      </c>
      <c r="H506" t="n">
        <v>5.538832275</v>
      </c>
      <c r="I506" t="n">
        <v>3.6</v>
      </c>
      <c r="J506" t="n">
        <v>0</v>
      </c>
      <c r="K506" t="inlineStr"/>
    </row>
    <row r="507">
      <c r="A507" t="inlineStr">
        <is>
          <t>NOSDA43TU</t>
        </is>
      </c>
      <c r="B507" t="inlineStr">
        <is>
          <t>NO SHOW SOCKS DAMA</t>
        </is>
      </c>
      <c r="C507" t="inlineStr">
        <is>
          <t>Equipamiento / Accesorios</t>
        </is>
      </c>
      <c r="D507" t="n">
        <v>94</v>
      </c>
      <c r="E507" t="n">
        <v>1938.16745186</v>
      </c>
      <c r="F507" t="n">
        <v>0.8685871996082192</v>
      </c>
      <c r="G507" t="n">
        <v>900</v>
      </c>
      <c r="H507" t="n">
        <v>2.83</v>
      </c>
      <c r="I507" t="n">
        <v>9.4</v>
      </c>
      <c r="J507" t="n">
        <v>0</v>
      </c>
      <c r="K507" t="inlineStr"/>
    </row>
    <row r="508">
      <c r="A508" t="inlineStr">
        <is>
          <t>BACCCDA43TXS</t>
        </is>
      </c>
      <c r="B508" t="inlineStr">
        <is>
          <t>BASIC LINE CROP TEE DAMA</t>
        </is>
      </c>
      <c r="C508" t="inlineStr">
        <is>
          <t>Manufactura / Dama / P. Superiores</t>
        </is>
      </c>
      <c r="D508" t="n">
        <v>42</v>
      </c>
      <c r="E508" t="n">
        <v>1936.28552053</v>
      </c>
      <c r="F508" t="n">
        <v>0.8892175811615385</v>
      </c>
      <c r="G508" t="n">
        <v>107</v>
      </c>
      <c r="H508" t="n">
        <v>6.196330833</v>
      </c>
      <c r="I508" t="n">
        <v>4.2</v>
      </c>
      <c r="J508" t="n">
        <v>0</v>
      </c>
      <c r="K508" t="inlineStr"/>
    </row>
    <row r="509">
      <c r="A509" t="inlineStr">
        <is>
          <t>MARMIKI12T10</t>
        </is>
      </c>
      <c r="B509" t="inlineStr">
        <is>
          <t>MAR ORIGINAL KIDS</t>
        </is>
      </c>
      <c r="C509" t="inlineStr">
        <is>
          <t>Manufactura / Kids / P. Superiores</t>
        </is>
      </c>
      <c r="D509" t="n">
        <v>53</v>
      </c>
      <c r="E509" t="n">
        <v>1932.61925626</v>
      </c>
      <c r="F509" t="n">
        <v>0.9113877039163636</v>
      </c>
      <c r="G509" t="n">
        <v>25</v>
      </c>
      <c r="H509" t="n">
        <v>3.168013332</v>
      </c>
      <c r="I509" t="n">
        <v>5.3</v>
      </c>
      <c r="J509" t="n">
        <v>0</v>
      </c>
      <c r="K509" t="inlineStr"/>
    </row>
    <row r="510">
      <c r="A510" t="inlineStr">
        <is>
          <t>SHOUNCA170TL</t>
        </is>
      </c>
      <c r="B510" t="inlineStr">
        <is>
          <t>SHORT PLAYA CAB</t>
        </is>
      </c>
      <c r="C510" t="inlineStr">
        <is>
          <t>Manufactura / Caballero / P. Inferiores</t>
        </is>
      </c>
      <c r="D510" t="n">
        <v>39</v>
      </c>
      <c r="E510" t="n">
        <v>1925.61628468</v>
      </c>
      <c r="F510" t="n">
        <v>0.7991541737243243</v>
      </c>
      <c r="G510" t="n">
        <v>18</v>
      </c>
      <c r="H510" t="n">
        <v>9.99</v>
      </c>
      <c r="I510" t="n">
        <v>3.9</v>
      </c>
      <c r="J510" t="n">
        <v>0</v>
      </c>
      <c r="K510" t="inlineStr"/>
    </row>
    <row r="511">
      <c r="A511" t="inlineStr">
        <is>
          <t>CLAMIDA16TM</t>
        </is>
      </c>
      <c r="B511" t="inlineStr">
        <is>
          <t>CLASICA ORIGINAL DAMA</t>
        </is>
      </c>
      <c r="C511" t="inlineStr">
        <is>
          <t>Manufactura / Dama / P. Superiores</t>
        </is>
      </c>
      <c r="D511" t="n">
        <v>99</v>
      </c>
      <c r="E511" t="n">
        <v>1925.26438737</v>
      </c>
      <c r="F511" t="n">
        <v>0.8938097944428571</v>
      </c>
      <c r="G511" t="n">
        <v>35</v>
      </c>
      <c r="H511" t="n">
        <v>3.923227589</v>
      </c>
      <c r="I511" t="n">
        <v>9.9</v>
      </c>
      <c r="J511" t="n">
        <v>0</v>
      </c>
      <c r="K511" t="inlineStr"/>
    </row>
    <row r="512">
      <c r="A512" t="inlineStr">
        <is>
          <t>ANKDA43TU</t>
        </is>
      </c>
      <c r="B512" t="inlineStr">
        <is>
          <t>ANKLE SOCKS DAMA</t>
        </is>
      </c>
      <c r="C512" t="inlineStr">
        <is>
          <t>Equipamiento / Accesorios</t>
        </is>
      </c>
      <c r="D512" t="n">
        <v>102</v>
      </c>
      <c r="E512" t="n">
        <v>1924.739541298</v>
      </c>
      <c r="F512" t="n">
        <v>0.8632551227219513</v>
      </c>
      <c r="G512" t="n">
        <v>292</v>
      </c>
      <c r="H512" t="n">
        <v>2.67</v>
      </c>
      <c r="I512" t="n">
        <v>10.2</v>
      </c>
      <c r="J512" t="n">
        <v>0</v>
      </c>
      <c r="K512" t="inlineStr"/>
    </row>
    <row r="513">
      <c r="A513" t="inlineStr">
        <is>
          <t>MARMIDA50TXS</t>
        </is>
      </c>
      <c r="B513" t="inlineStr">
        <is>
          <t>MAR ORIGINAL DAMA</t>
        </is>
      </c>
      <c r="C513" t="inlineStr">
        <is>
          <t>Manufactura / Dama / P. Superiores</t>
        </is>
      </c>
      <c r="D513" t="n">
        <v>41</v>
      </c>
      <c r="E513" t="n">
        <v>1920.65139843</v>
      </c>
      <c r="F513" t="n">
        <v>0.9072721058736842</v>
      </c>
      <c r="G513" t="n">
        <v>14</v>
      </c>
      <c r="H513" t="n">
        <v>4.278324149</v>
      </c>
      <c r="I513" t="n">
        <v>4.1</v>
      </c>
      <c r="J513" t="n">
        <v>0</v>
      </c>
      <c r="K513" t="inlineStr"/>
    </row>
    <row r="514">
      <c r="A514" t="inlineStr">
        <is>
          <t>MARMIKI43T8</t>
        </is>
      </c>
      <c r="B514" t="inlineStr">
        <is>
          <t>MAR ORIGINAL KIDS</t>
        </is>
      </c>
      <c r="C514" t="inlineStr">
        <is>
          <t>Manufactura / Kids / P. Superiores</t>
        </is>
      </c>
      <c r="D514" t="n">
        <v>50</v>
      </c>
      <c r="E514" t="n">
        <v>1919.75892436</v>
      </c>
      <c r="F514" t="n">
        <v>0.9156796227092593</v>
      </c>
      <c r="G514" t="n">
        <v>23</v>
      </c>
      <c r="H514" t="n">
        <v>3.168013332</v>
      </c>
      <c r="I514" t="n">
        <v>5</v>
      </c>
      <c r="J514" t="n">
        <v>0</v>
      </c>
      <c r="K514" t="inlineStr"/>
    </row>
    <row r="515">
      <c r="A515" t="inlineStr">
        <is>
          <t>RIOMIDA50TXS</t>
        </is>
      </c>
      <c r="B515" t="inlineStr">
        <is>
          <t>RIO ORIGINAL DAMA</t>
        </is>
      </c>
      <c r="C515" t="inlineStr">
        <is>
          <t>Manufactura / Dama / P. Superiores</t>
        </is>
      </c>
      <c r="D515" t="n">
        <v>35</v>
      </c>
      <c r="E515" t="n">
        <v>1906.43133631</v>
      </c>
      <c r="F515" t="n">
        <v>0.8969666622918919</v>
      </c>
      <c r="G515" t="n">
        <v>3</v>
      </c>
      <c r="H515" t="n">
        <v>5.538832275</v>
      </c>
      <c r="I515" t="n">
        <v>3.5</v>
      </c>
      <c r="J515" t="n">
        <v>0</v>
      </c>
      <c r="K515" t="inlineStr"/>
    </row>
    <row r="516">
      <c r="A516" t="inlineStr">
        <is>
          <t>MARMIDA30TS</t>
        </is>
      </c>
      <c r="B516" t="inlineStr">
        <is>
          <t>MAR ORIGINAL DAMA</t>
        </is>
      </c>
      <c r="C516" t="inlineStr">
        <is>
          <t>Manufactura / Dama / P. Superiores</t>
        </is>
      </c>
      <c r="D516" t="n">
        <v>42</v>
      </c>
      <c r="E516" t="n">
        <v>1903.37275339</v>
      </c>
      <c r="F516" t="n">
        <v>0.91263194525</v>
      </c>
      <c r="G516" t="n">
        <v>4</v>
      </c>
      <c r="H516" t="n">
        <v>4.278324149</v>
      </c>
      <c r="I516" t="n">
        <v>4.2</v>
      </c>
      <c r="J516" t="n">
        <v>1</v>
      </c>
      <c r="K516" t="inlineStr"/>
    </row>
    <row r="517">
      <c r="A517" t="inlineStr">
        <is>
          <t>JACKI47T10</t>
        </is>
      </c>
      <c r="B517" t="inlineStr">
        <is>
          <t>JACKET KIDS</t>
        </is>
      </c>
      <c r="C517" t="inlineStr">
        <is>
          <t>Manufactura / Kids / P. Superiores</t>
        </is>
      </c>
      <c r="D517" t="n">
        <v>32</v>
      </c>
      <c r="E517" t="n">
        <v>1898.04846409</v>
      </c>
      <c r="F517" t="n">
        <v>0.7334628468578948</v>
      </c>
      <c r="G517" t="n">
        <v>119</v>
      </c>
      <c r="H517" t="n">
        <v>15.17</v>
      </c>
      <c r="I517" t="n">
        <v>3.2</v>
      </c>
      <c r="J517" t="n">
        <v>0</v>
      </c>
      <c r="K517" t="inlineStr"/>
    </row>
    <row r="518">
      <c r="A518" t="inlineStr">
        <is>
          <t>TOA03SP</t>
        </is>
      </c>
      <c r="B518" t="inlineStr">
        <is>
          <t>TOALLA SPORT</t>
        </is>
      </c>
      <c r="C518" t="inlineStr">
        <is>
          <t>Equipamiento / Toallas</t>
        </is>
      </c>
      <c r="D518" t="n">
        <v>106</v>
      </c>
      <c r="E518" t="n">
        <v>1888.473116963</v>
      </c>
      <c r="F518" t="n">
        <v>0.8985856128157895</v>
      </c>
      <c r="G518" t="n">
        <v>606</v>
      </c>
      <c r="H518" t="n">
        <v>1.8</v>
      </c>
      <c r="I518" t="n">
        <v>10.6</v>
      </c>
      <c r="J518" t="n">
        <v>0</v>
      </c>
      <c r="K518" t="inlineStr"/>
    </row>
    <row r="519">
      <c r="A519" t="inlineStr">
        <is>
          <t>RIOMIKI12T4</t>
        </is>
      </c>
      <c r="B519" t="inlineStr">
        <is>
          <t>RIO ORIGINAL KIDS</t>
        </is>
      </c>
      <c r="C519" t="inlineStr">
        <is>
          <t>Manufactura / Kids / P. Superiores</t>
        </is>
      </c>
      <c r="D519" t="n">
        <v>44</v>
      </c>
      <c r="E519" t="n">
        <v>1885.53280848</v>
      </c>
      <c r="F519" t="n">
        <v>0.916077250545238</v>
      </c>
      <c r="G519" t="n">
        <v>36</v>
      </c>
      <c r="H519" t="n">
        <v>3.617969464</v>
      </c>
      <c r="I519" t="n">
        <v>4.4</v>
      </c>
      <c r="J519" t="n">
        <v>0</v>
      </c>
      <c r="K519" t="inlineStr"/>
    </row>
    <row r="520">
      <c r="A520" t="inlineStr">
        <is>
          <t>SHONRCA16TXL</t>
        </is>
      </c>
      <c r="B520" t="inlineStr">
        <is>
          <t>SHORT SPORT CAB</t>
        </is>
      </c>
      <c r="C520" t="inlineStr">
        <is>
          <t>Manufactura / Caballero / P. Inferiores</t>
        </is>
      </c>
      <c r="D520" t="n">
        <v>44</v>
      </c>
      <c r="E520" t="n">
        <v>1883.24486933</v>
      </c>
      <c r="F520" t="n">
        <v>0.7567534094121952</v>
      </c>
      <c r="G520" t="n">
        <v>66</v>
      </c>
      <c r="H520" t="n">
        <v>10.6514486</v>
      </c>
      <c r="I520" t="n">
        <v>4.4</v>
      </c>
      <c r="J520" t="n">
        <v>0</v>
      </c>
      <c r="K520" t="inlineStr"/>
    </row>
    <row r="521">
      <c r="A521" t="inlineStr">
        <is>
          <t>PANNTDA12TS</t>
        </is>
      </c>
      <c r="B521" t="inlineStr">
        <is>
          <t>EXPLORE PANTS DAMA</t>
        </is>
      </c>
      <c r="C521" t="inlineStr">
        <is>
          <t>Manufactura / Dama / P. Inferiores</t>
        </is>
      </c>
      <c r="D521" t="n">
        <v>31</v>
      </c>
      <c r="E521" t="n">
        <v>1872.71315141</v>
      </c>
      <c r="F521" t="n">
        <v>0.7593082537633333</v>
      </c>
      <c r="G521" t="n">
        <v>139</v>
      </c>
      <c r="H521" t="n">
        <v>15.3928899</v>
      </c>
      <c r="I521" t="n">
        <v>3.1</v>
      </c>
      <c r="J521" t="n">
        <v>0</v>
      </c>
      <c r="K521" t="inlineStr"/>
    </row>
    <row r="522">
      <c r="A522" t="inlineStr">
        <is>
          <t>CLAMIDA16TS</t>
        </is>
      </c>
      <c r="B522" t="inlineStr">
        <is>
          <t>CLASICA ORIGINAL DAMA</t>
        </is>
      </c>
      <c r="C522" t="inlineStr">
        <is>
          <t>Manufactura / Dama / P. Superiores</t>
        </is>
      </c>
      <c r="D522" t="n">
        <v>85</v>
      </c>
      <c r="E522" t="n">
        <v>1868.64725226</v>
      </c>
      <c r="F522" t="n">
        <v>0.8875675984933333</v>
      </c>
      <c r="G522" t="n">
        <v>23</v>
      </c>
      <c r="H522" t="n">
        <v>3.923227589</v>
      </c>
      <c r="I522" t="n">
        <v>8.5</v>
      </c>
      <c r="J522" t="n">
        <v>0</v>
      </c>
      <c r="K522" t="inlineStr"/>
    </row>
    <row r="523">
      <c r="A523" t="inlineStr">
        <is>
          <t>NOSCA43TU</t>
        </is>
      </c>
      <c r="B523" t="inlineStr">
        <is>
          <t>NO SHOW SOCKS CAB</t>
        </is>
      </c>
      <c r="C523" t="inlineStr">
        <is>
          <t>Equipamiento / Accesorios</t>
        </is>
      </c>
      <c r="D523" t="n">
        <v>100</v>
      </c>
      <c r="E523" t="n">
        <v>1867.14920152</v>
      </c>
      <c r="F523" t="n">
        <v>0.8571450955962026</v>
      </c>
      <c r="G523" t="n">
        <v>897</v>
      </c>
      <c r="H523" t="n">
        <v>2.83</v>
      </c>
      <c r="I523" t="n">
        <v>10</v>
      </c>
      <c r="J523" t="n">
        <v>0</v>
      </c>
      <c r="K523" t="inlineStr"/>
    </row>
    <row r="524">
      <c r="A524" t="inlineStr">
        <is>
          <t>DAYCSTDA43TM</t>
        </is>
      </c>
      <c r="B524" t="inlineStr">
        <is>
          <t>CLASICA DAILY 3.0 DAMA</t>
        </is>
      </c>
      <c r="C524" t="inlineStr">
        <is>
          <t>Manufactura / Dama / P. Superiores</t>
        </is>
      </c>
      <c r="D524" t="n">
        <v>50</v>
      </c>
      <c r="E524" t="n">
        <v>1865.65185045</v>
      </c>
      <c r="F524" t="n">
        <v>0.7793557266102564</v>
      </c>
      <c r="G524" t="n">
        <v>35</v>
      </c>
      <c r="H524" t="n">
        <v>10.28586481</v>
      </c>
      <c r="I524" t="n">
        <v>5</v>
      </c>
      <c r="J524" t="n">
        <v>0</v>
      </c>
      <c r="K524" t="inlineStr"/>
    </row>
    <row r="525">
      <c r="A525" t="inlineStr">
        <is>
          <t>MAFMIDA43TM</t>
        </is>
      </c>
      <c r="B525" t="inlineStr">
        <is>
          <t>MAFE ORIGINAL DAMA</t>
        </is>
      </c>
      <c r="C525" t="inlineStr">
        <is>
          <t>Manufactura / Dama / P. Superiores</t>
        </is>
      </c>
      <c r="D525" t="n">
        <v>66</v>
      </c>
      <c r="E525" t="n">
        <v>1845.94177696</v>
      </c>
      <c r="F525" t="n">
        <v>0.8399749931321429</v>
      </c>
      <c r="G525" t="n">
        <v>76</v>
      </c>
      <c r="H525" t="n">
        <v>4.54817671</v>
      </c>
      <c r="I525" t="n">
        <v>6.6</v>
      </c>
      <c r="J525" t="n">
        <v>0</v>
      </c>
      <c r="K525" t="inlineStr"/>
    </row>
    <row r="526">
      <c r="A526" t="inlineStr">
        <is>
          <t>MARMIKI12T8</t>
        </is>
      </c>
      <c r="B526" t="inlineStr">
        <is>
          <t>MAR ORIGINAL KIDS</t>
        </is>
      </c>
      <c r="C526" t="inlineStr">
        <is>
          <t>Manufactura / Kids / P. Superiores</t>
        </is>
      </c>
      <c r="D526" t="n">
        <v>47</v>
      </c>
      <c r="E526" t="n">
        <v>1842.68847159</v>
      </c>
      <c r="F526" t="n">
        <v>0.9174841775555556</v>
      </c>
      <c r="G526" t="n">
        <v>26</v>
      </c>
      <c r="H526" t="n">
        <v>3.168013332</v>
      </c>
      <c r="I526" t="n">
        <v>4.7</v>
      </c>
      <c r="J526" t="n">
        <v>0</v>
      </c>
      <c r="K526" t="inlineStr"/>
    </row>
    <row r="527">
      <c r="A527" t="inlineStr">
        <is>
          <t>JACDA33TL</t>
        </is>
      </c>
      <c r="B527" t="inlineStr">
        <is>
          <t>JACKET DAMA</t>
        </is>
      </c>
      <c r="C527" t="inlineStr">
        <is>
          <t>Equipamiento / Ropa</t>
        </is>
      </c>
      <c r="D527" t="n">
        <v>27</v>
      </c>
      <c r="E527" t="n">
        <v>1825.94140082</v>
      </c>
      <c r="F527" t="n">
        <v>0.7027212736818182</v>
      </c>
      <c r="G527" t="n">
        <v>0</v>
      </c>
      <c r="H527" t="n">
        <v>20.25</v>
      </c>
      <c r="I527" t="n">
        <v>2.7</v>
      </c>
      <c r="J527" t="n">
        <v>0</v>
      </c>
      <c r="K527" t="inlineStr">
        <is>
          <t>Sin stock</t>
        </is>
      </c>
    </row>
    <row r="528">
      <c r="A528" t="inlineStr">
        <is>
          <t>RIOMIDA70TXS</t>
        </is>
      </c>
      <c r="B528" t="inlineStr">
        <is>
          <t>RIO ORIGINAL DAMA</t>
        </is>
      </c>
      <c r="C528" t="inlineStr">
        <is>
          <t>Manufactura / Dama / P. Superiores</t>
        </is>
      </c>
      <c r="D528" t="n">
        <v>34</v>
      </c>
      <c r="E528" t="n">
        <v>1822.65059197</v>
      </c>
      <c r="F528" t="n">
        <v>0.89889316724375</v>
      </c>
      <c r="G528" t="n">
        <v>43</v>
      </c>
      <c r="H528" t="n">
        <v>5.538832275</v>
      </c>
      <c r="I528" t="n">
        <v>3.4</v>
      </c>
      <c r="J528" t="n">
        <v>0</v>
      </c>
      <c r="K528" t="inlineStr"/>
    </row>
    <row r="529">
      <c r="A529" t="inlineStr">
        <is>
          <t>PANNTDA30TS</t>
        </is>
      </c>
      <c r="B529" t="inlineStr">
        <is>
          <t>EXPLORE PANTS DAMA</t>
        </is>
      </c>
      <c r="C529" t="inlineStr">
        <is>
          <t>Manufactura / Dama / P. Inferiores</t>
        </is>
      </c>
      <c r="D529" t="n">
        <v>45</v>
      </c>
      <c r="E529" t="n">
        <v>1820.55845781</v>
      </c>
      <c r="F529" t="n">
        <v>0.7625271146096775</v>
      </c>
      <c r="G529" t="n">
        <v>35</v>
      </c>
      <c r="H529" t="n">
        <v>15.3928899</v>
      </c>
      <c r="I529" t="n">
        <v>4.5</v>
      </c>
      <c r="J529" t="n">
        <v>0</v>
      </c>
      <c r="K529" t="inlineStr"/>
    </row>
    <row r="530">
      <c r="A530" t="inlineStr">
        <is>
          <t>SHOSUCA153TS</t>
        </is>
      </c>
      <c r="B530" t="inlineStr">
        <is>
          <t>SHORT PLAYA ESTAMPADO CAB</t>
        </is>
      </c>
      <c r="C530" t="inlineStr">
        <is>
          <t>Manufactura / Caballero / P. Inferiores</t>
        </is>
      </c>
      <c r="D530" t="n">
        <v>33</v>
      </c>
      <c r="E530" t="n">
        <v>1816.81730154</v>
      </c>
      <c r="F530" t="n">
        <v>0.7854270849545455</v>
      </c>
      <c r="G530" t="n">
        <v>40</v>
      </c>
      <c r="H530" t="n">
        <v>12.11</v>
      </c>
      <c r="I530" t="n">
        <v>3.3</v>
      </c>
      <c r="J530" t="n">
        <v>0</v>
      </c>
      <c r="K530" t="inlineStr"/>
    </row>
    <row r="531">
      <c r="A531" t="inlineStr">
        <is>
          <t>MARMICA04TL</t>
        </is>
      </c>
      <c r="B531" t="inlineStr">
        <is>
          <t>MAR ORIGINAL CAB</t>
        </is>
      </c>
      <c r="C531" t="inlineStr">
        <is>
          <t>Manufactura / Caballero / P. Superiores</t>
        </is>
      </c>
      <c r="D531" t="n">
        <v>42</v>
      </c>
      <c r="E531" t="n">
        <v>1815.49886122</v>
      </c>
      <c r="F531" t="n">
        <v>0.9008299220472222</v>
      </c>
      <c r="G531" t="n">
        <v>24</v>
      </c>
      <c r="H531" t="n">
        <v>4.946357428</v>
      </c>
      <c r="I531" t="n">
        <v>4.2</v>
      </c>
      <c r="J531" t="n">
        <v>0</v>
      </c>
      <c r="K531" t="inlineStr"/>
    </row>
    <row r="532">
      <c r="A532" t="inlineStr">
        <is>
          <t>MARMIKI16T2</t>
        </is>
      </c>
      <c r="B532" t="inlineStr">
        <is>
          <t>MAR ORIGINAL KIDS</t>
        </is>
      </c>
      <c r="C532" t="inlineStr">
        <is>
          <t>Manufactura / Kids / P. Superiores</t>
        </is>
      </c>
      <c r="D532" t="n">
        <v>49</v>
      </c>
      <c r="E532" t="n">
        <v>1812.93749501</v>
      </c>
      <c r="F532" t="n">
        <v>0.9147618597295455</v>
      </c>
      <c r="G532" t="n">
        <v>16</v>
      </c>
      <c r="H532" t="n">
        <v>3.168013332</v>
      </c>
      <c r="I532" t="n">
        <v>4.9</v>
      </c>
      <c r="J532" t="n">
        <v>0</v>
      </c>
      <c r="K532" t="inlineStr"/>
    </row>
    <row r="533">
      <c r="A533" t="inlineStr">
        <is>
          <t>MARMIDA12TXL</t>
        </is>
      </c>
      <c r="B533" t="inlineStr">
        <is>
          <t>MAR ORIGINAL DAMA</t>
        </is>
      </c>
      <c r="C533" t="inlineStr">
        <is>
          <t>Manufactura / Dama / P. Superiores</t>
        </is>
      </c>
      <c r="D533" t="n">
        <v>40</v>
      </c>
      <c r="E533" t="n">
        <v>1812.25983245</v>
      </c>
      <c r="F533" t="n">
        <v>0.908714086571795</v>
      </c>
      <c r="G533" t="n">
        <v>31</v>
      </c>
      <c r="H533" t="n">
        <v>4.278324149</v>
      </c>
      <c r="I533" t="n">
        <v>4</v>
      </c>
      <c r="J533" t="n">
        <v>0</v>
      </c>
      <c r="K533" t="inlineStr"/>
    </row>
    <row r="534">
      <c r="A534" t="inlineStr">
        <is>
          <t>MARMIKI43T6</t>
        </is>
      </c>
      <c r="B534" t="inlineStr">
        <is>
          <t>MAR ORIGINAL KIDS</t>
        </is>
      </c>
      <c r="C534" t="inlineStr">
        <is>
          <t>Manufactura / Kids / P. Superiores</t>
        </is>
      </c>
      <c r="D534" t="n">
        <v>47</v>
      </c>
      <c r="E534" t="n">
        <v>1809.75124454</v>
      </c>
      <c r="F534" t="n">
        <v>0.9146156374921568</v>
      </c>
      <c r="G534" t="n">
        <v>44</v>
      </c>
      <c r="H534" t="n">
        <v>3.168013332</v>
      </c>
      <c r="I534" t="n">
        <v>4.7</v>
      </c>
      <c r="J534" t="n">
        <v>0</v>
      </c>
      <c r="K534" t="inlineStr"/>
    </row>
    <row r="535">
      <c r="A535" t="inlineStr">
        <is>
          <t>RIOMIKI11T12</t>
        </is>
      </c>
      <c r="B535" t="inlineStr">
        <is>
          <t>RIO ORIGINAL KIDS</t>
        </is>
      </c>
      <c r="C535" t="inlineStr">
        <is>
          <t>Manufactura / Kids / P. Superiores</t>
        </is>
      </c>
      <c r="D535" t="n">
        <v>42</v>
      </c>
      <c r="E535" t="n">
        <v>1809.25683607</v>
      </c>
      <c r="F535" t="n">
        <v>0.9142112873295454</v>
      </c>
      <c r="G535" t="n">
        <v>54</v>
      </c>
      <c r="H535" t="n">
        <v>3.617969464</v>
      </c>
      <c r="I535" t="n">
        <v>4.2</v>
      </c>
      <c r="J535" t="n">
        <v>0</v>
      </c>
      <c r="K535" t="inlineStr"/>
    </row>
    <row r="536">
      <c r="A536" t="inlineStr">
        <is>
          <t>NOSDA16TU</t>
        </is>
      </c>
      <c r="B536" t="inlineStr">
        <is>
          <t>NO SHOW SOCKS DAMA</t>
        </is>
      </c>
      <c r="C536" t="inlineStr">
        <is>
          <t>Equipamiento / Accesorios</t>
        </is>
      </c>
      <c r="D536" t="n">
        <v>95</v>
      </c>
      <c r="E536" t="n">
        <v>1803.257044632</v>
      </c>
      <c r="F536" t="n">
        <v>0.8429747151303371</v>
      </c>
      <c r="G536" t="n">
        <v>70</v>
      </c>
      <c r="H536" t="n">
        <v>2.83</v>
      </c>
      <c r="I536" t="n">
        <v>9.5</v>
      </c>
      <c r="J536" t="n">
        <v>0</v>
      </c>
      <c r="K536" t="inlineStr"/>
    </row>
    <row r="537">
      <c r="A537" t="inlineStr">
        <is>
          <t>CLAMECA30TM</t>
        </is>
      </c>
      <c r="B537" t="inlineStr">
        <is>
          <t>CLASICA SPORT CAB</t>
        </is>
      </c>
      <c r="C537" t="inlineStr">
        <is>
          <t>Manufactura / Caballero / P. Superiores</t>
        </is>
      </c>
      <c r="D537" t="n">
        <v>47</v>
      </c>
      <c r="E537" t="n">
        <v>1799.06629082</v>
      </c>
      <c r="F537" t="n">
        <v>0.7677792637947368</v>
      </c>
      <c r="G537" t="n">
        <v>10</v>
      </c>
      <c r="H537" t="n">
        <v>10.3013454</v>
      </c>
      <c r="I537" t="n">
        <v>4.7</v>
      </c>
      <c r="J537" t="n">
        <v>0</v>
      </c>
      <c r="K537" t="inlineStr"/>
    </row>
    <row r="538">
      <c r="A538" t="inlineStr">
        <is>
          <t>CLAMECA43TS</t>
        </is>
      </c>
      <c r="B538" t="inlineStr">
        <is>
          <t>CLASICA SPORT CAB</t>
        </is>
      </c>
      <c r="C538" t="inlineStr">
        <is>
          <t>Manufactura / Caballero / P. Superiores</t>
        </is>
      </c>
      <c r="D538" t="n">
        <v>41</v>
      </c>
      <c r="E538" t="n">
        <v>1796.38600141</v>
      </c>
      <c r="F538" t="n">
        <v>0.7854652642085714</v>
      </c>
      <c r="G538" t="n">
        <v>22</v>
      </c>
      <c r="H538" t="n">
        <v>10.3013454</v>
      </c>
      <c r="I538" t="n">
        <v>4.1</v>
      </c>
      <c r="J538" t="n">
        <v>0</v>
      </c>
      <c r="K538" t="inlineStr"/>
    </row>
    <row r="539">
      <c r="A539" t="inlineStr">
        <is>
          <t>RIOMICA01TL</t>
        </is>
      </c>
      <c r="B539" t="inlineStr">
        <is>
          <t>RIO ORIGINAL CAB</t>
        </is>
      </c>
      <c r="C539" t="inlineStr">
        <is>
          <t>Manufactura / Caballero / P. Superiores</t>
        </is>
      </c>
      <c r="D539" t="n">
        <v>36</v>
      </c>
      <c r="E539" t="n">
        <v>1795.68558291</v>
      </c>
      <c r="F539" t="n">
        <v>0.8812408782894736</v>
      </c>
      <c r="G539" t="n">
        <v>14</v>
      </c>
      <c r="H539" t="n">
        <v>5.939350288</v>
      </c>
      <c r="I539" t="n">
        <v>3.6</v>
      </c>
      <c r="J539" t="n">
        <v>0</v>
      </c>
      <c r="K539" t="inlineStr"/>
    </row>
    <row r="540">
      <c r="A540" t="inlineStr">
        <is>
          <t>BAPCCDA43TL</t>
        </is>
      </c>
      <c r="B540" t="inlineStr">
        <is>
          <t>BASIC LINE PANT DAMA</t>
        </is>
      </c>
      <c r="C540" t="inlineStr">
        <is>
          <t>Manufactura / Dama / P. Inferiores</t>
        </is>
      </c>
      <c r="D540" t="n">
        <v>33</v>
      </c>
      <c r="E540" t="n">
        <v>1794.6115956</v>
      </c>
      <c r="F540" t="n">
        <v>0.8134591625774193</v>
      </c>
      <c r="G540" t="n">
        <v>34</v>
      </c>
      <c r="H540" t="n">
        <v>11.2</v>
      </c>
      <c r="I540" t="n">
        <v>3.3</v>
      </c>
      <c r="J540" t="n">
        <v>0</v>
      </c>
      <c r="K540" t="inlineStr"/>
    </row>
    <row r="541">
      <c r="A541" t="inlineStr">
        <is>
          <t>JAPDA66TXS</t>
        </is>
      </c>
      <c r="B541" t="inlineStr">
        <is>
          <t>CUADRO JACKET 2.0 DAMA</t>
        </is>
      </c>
      <c r="C541" t="inlineStr">
        <is>
          <t>Equipamiento / Ropa</t>
        </is>
      </c>
      <c r="D541" t="n">
        <v>22</v>
      </c>
      <c r="E541" t="n">
        <v>1789.31279268</v>
      </c>
      <c r="F541" t="n">
        <v>0.7514718032181819</v>
      </c>
      <c r="G541" t="n">
        <v>147</v>
      </c>
      <c r="H541" t="n">
        <v>20.25</v>
      </c>
      <c r="I541" t="n">
        <v>2.2</v>
      </c>
      <c r="J541" t="n">
        <v>0</v>
      </c>
      <c r="K541" t="inlineStr"/>
    </row>
    <row r="542">
      <c r="A542" t="inlineStr">
        <is>
          <t>BAPCCDA184TS</t>
        </is>
      </c>
      <c r="B542" t="inlineStr">
        <is>
          <t>BASIC LINE PANT DAMA</t>
        </is>
      </c>
      <c r="C542" t="inlineStr">
        <is>
          <t>Manufactura / Dama / P. Inferiores</t>
        </is>
      </c>
      <c r="D542" t="n">
        <v>31</v>
      </c>
      <c r="E542" t="n">
        <v>1788.1849353</v>
      </c>
      <c r="F542" t="n">
        <v>0.8400130535689655</v>
      </c>
      <c r="G542" t="n">
        <v>10</v>
      </c>
      <c r="H542" t="n">
        <v>11.2</v>
      </c>
      <c r="I542" t="n">
        <v>3.1</v>
      </c>
      <c r="J542" t="n">
        <v>1</v>
      </c>
      <c r="K542" t="inlineStr"/>
    </row>
    <row r="543">
      <c r="A543" t="inlineStr">
        <is>
          <t>GEODOCACA43TL</t>
        </is>
      </c>
      <c r="B543" t="inlineStr">
        <is>
          <t>ADVANCE GEO DOMINIC CAB</t>
        </is>
      </c>
      <c r="C543" t="inlineStr">
        <is>
          <t>Manufactura / Caballero / P. Superiores</t>
        </is>
      </c>
      <c r="D543" t="n">
        <v>33</v>
      </c>
      <c r="E543" t="n">
        <v>1782.24060482</v>
      </c>
      <c r="F543" t="n">
        <v>0.8024577958896552</v>
      </c>
      <c r="G543" t="n">
        <v>10</v>
      </c>
      <c r="H543" t="n">
        <v>13.35</v>
      </c>
      <c r="I543" t="n">
        <v>3.3</v>
      </c>
      <c r="J543" t="n">
        <v>0</v>
      </c>
      <c r="K543" t="inlineStr"/>
    </row>
    <row r="544">
      <c r="A544" t="inlineStr">
        <is>
          <t>MARMIDA01TL</t>
        </is>
      </c>
      <c r="B544" t="inlineStr">
        <is>
          <t>MAR ORIGINAL DAMA</t>
        </is>
      </c>
      <c r="C544" t="inlineStr">
        <is>
          <t>Manufactura / Dama / P. Superiores</t>
        </is>
      </c>
      <c r="D544" t="n">
        <v>36</v>
      </c>
      <c r="E544" t="n">
        <v>1778.86322932</v>
      </c>
      <c r="F544" t="n">
        <v>0.9101072580575</v>
      </c>
      <c r="G544" t="n">
        <v>36</v>
      </c>
      <c r="H544" t="n">
        <v>4.278324149</v>
      </c>
      <c r="I544" t="n">
        <v>3.6</v>
      </c>
      <c r="J544" t="n">
        <v>0</v>
      </c>
      <c r="K544" t="inlineStr"/>
    </row>
    <row r="545">
      <c r="A545" t="inlineStr">
        <is>
          <t>RIOMIKI11T2</t>
        </is>
      </c>
      <c r="B545" t="inlineStr">
        <is>
          <t>RIO ORIGINAL KIDS</t>
        </is>
      </c>
      <c r="C545" t="inlineStr">
        <is>
          <t>Manufactura / Kids / P. Superiores</t>
        </is>
      </c>
      <c r="D545" t="n">
        <v>42</v>
      </c>
      <c r="E545" t="n">
        <v>1778.20102099</v>
      </c>
      <c r="F545" t="n">
        <v>0.9158496177857144</v>
      </c>
      <c r="G545" t="n">
        <v>34</v>
      </c>
      <c r="H545" t="n">
        <v>3.617969464</v>
      </c>
      <c r="I545" t="n">
        <v>4.2</v>
      </c>
      <c r="J545" t="n">
        <v>0</v>
      </c>
      <c r="K545" t="inlineStr"/>
    </row>
    <row r="546">
      <c r="A546" t="inlineStr">
        <is>
          <t>JACCA14TS</t>
        </is>
      </c>
      <c r="B546" t="inlineStr">
        <is>
          <t>JACKET CAB</t>
        </is>
      </c>
      <c r="C546" t="inlineStr">
        <is>
          <t>Equipamiento / Ropa</t>
        </is>
      </c>
      <c r="D546" t="n">
        <v>25</v>
      </c>
      <c r="E546" t="n">
        <v>1777.34552418</v>
      </c>
      <c r="F546" t="n">
        <v>0.6964607053259259</v>
      </c>
      <c r="G546" t="n">
        <v>46</v>
      </c>
      <c r="H546" t="n">
        <v>20.25001933</v>
      </c>
      <c r="I546" t="n">
        <v>2.5</v>
      </c>
      <c r="J546" t="n">
        <v>0</v>
      </c>
      <c r="K546" t="inlineStr"/>
    </row>
    <row r="547">
      <c r="A547" t="inlineStr">
        <is>
          <t>PANNTCA66TS</t>
        </is>
      </c>
      <c r="B547" t="inlineStr">
        <is>
          <t>EXPLORE PANTS CAB</t>
        </is>
      </c>
      <c r="C547" t="inlineStr">
        <is>
          <t>Manufactura / Caballero / P. Inferiores</t>
        </is>
      </c>
      <c r="D547" t="n">
        <v>30</v>
      </c>
      <c r="E547" t="n">
        <v>1777.31338773</v>
      </c>
      <c r="F547" t="n">
        <v>0.75985138205</v>
      </c>
      <c r="G547" t="n">
        <v>38</v>
      </c>
      <c r="H547" t="n">
        <v>15.68994502</v>
      </c>
      <c r="I547" t="n">
        <v>3</v>
      </c>
      <c r="J547" t="n">
        <v>0</v>
      </c>
      <c r="K547" t="inlineStr"/>
    </row>
    <row r="548">
      <c r="A548" t="inlineStr">
        <is>
          <t>MARMIDA70TL</t>
        </is>
      </c>
      <c r="B548" t="inlineStr">
        <is>
          <t>MAR ORIGINAL DAMA</t>
        </is>
      </c>
      <c r="C548" t="inlineStr">
        <is>
          <t>Manufactura / Dama / P. Superiores</t>
        </is>
      </c>
      <c r="D548" t="n">
        <v>38</v>
      </c>
      <c r="E548" t="n">
        <v>1776.58571104</v>
      </c>
      <c r="F548" t="n">
        <v>0.9091014724555555</v>
      </c>
      <c r="G548" t="n">
        <v>63</v>
      </c>
      <c r="H548" t="n">
        <v>4.278324149</v>
      </c>
      <c r="I548" t="n">
        <v>3.8</v>
      </c>
      <c r="J548" t="n">
        <v>0</v>
      </c>
      <c r="K548" t="inlineStr"/>
    </row>
    <row r="549">
      <c r="A549" t="inlineStr">
        <is>
          <t>MARMIKI16T4</t>
        </is>
      </c>
      <c r="B549" t="inlineStr">
        <is>
          <t>MAR ORIGINAL KIDS</t>
        </is>
      </c>
      <c r="C549" t="inlineStr">
        <is>
          <t>Manufactura / Kids / P. Superiores</t>
        </is>
      </c>
      <c r="D549" t="n">
        <v>49</v>
      </c>
      <c r="E549" t="n">
        <v>1776.44551818</v>
      </c>
      <c r="F549" t="n">
        <v>0.9108676724520833</v>
      </c>
      <c r="G549" t="n">
        <v>24</v>
      </c>
      <c r="H549" t="n">
        <v>3.168013332</v>
      </c>
      <c r="I549" t="n">
        <v>4.9</v>
      </c>
      <c r="J549" t="n">
        <v>0</v>
      </c>
      <c r="K549" t="inlineStr"/>
    </row>
    <row r="550">
      <c r="A550" t="inlineStr">
        <is>
          <t>MAFMIDA16TM</t>
        </is>
      </c>
      <c r="B550" t="inlineStr">
        <is>
          <t>MAFE ORIGINAL DAMA</t>
        </is>
      </c>
      <c r="C550" t="inlineStr">
        <is>
          <t>Manufactura / Dama / P. Superiores</t>
        </is>
      </c>
      <c r="D550" t="n">
        <v>70</v>
      </c>
      <c r="E550" t="n">
        <v>1766.374829</v>
      </c>
      <c r="F550" t="n">
        <v>0.8307394656658537</v>
      </c>
      <c r="G550" t="n">
        <v>30</v>
      </c>
      <c r="H550" t="n">
        <v>4.54817671</v>
      </c>
      <c r="I550" t="n">
        <v>7</v>
      </c>
      <c r="J550" t="n">
        <v>0</v>
      </c>
      <c r="K550" t="inlineStr"/>
    </row>
    <row r="551">
      <c r="A551" t="inlineStr">
        <is>
          <t>PANNTDA66TXL</t>
        </is>
      </c>
      <c r="B551" t="inlineStr">
        <is>
          <t>EXPLORE PANTS DAMA</t>
        </is>
      </c>
      <c r="C551" t="inlineStr">
        <is>
          <t>Manufactura / Dama / P. Inferiores</t>
        </is>
      </c>
      <c r="D551" t="n">
        <v>26</v>
      </c>
      <c r="E551" t="n">
        <v>1763.53080337</v>
      </c>
      <c r="F551" t="n">
        <v>0.785972368524</v>
      </c>
      <c r="G551" t="n">
        <v>15</v>
      </c>
      <c r="H551" t="n">
        <v>15.3928899</v>
      </c>
      <c r="I551" t="n">
        <v>2.6</v>
      </c>
      <c r="J551" t="n">
        <v>0</v>
      </c>
      <c r="K551" t="inlineStr"/>
    </row>
    <row r="552">
      <c r="A552" t="inlineStr">
        <is>
          <t>SHOUNCA69TL</t>
        </is>
      </c>
      <c r="B552" t="inlineStr">
        <is>
          <t>SHORT PLAYA CAB</t>
        </is>
      </c>
      <c r="C552" t="inlineStr">
        <is>
          <t>Manufactura / Caballero / P. Inferiores</t>
        </is>
      </c>
      <c r="D552" t="n">
        <v>35</v>
      </c>
      <c r="E552" t="n">
        <v>1761.7672256</v>
      </c>
      <c r="F552" t="n">
        <v>0.8052551986558824</v>
      </c>
      <c r="G552" t="n">
        <v>19</v>
      </c>
      <c r="H552" t="n">
        <v>9.99</v>
      </c>
      <c r="I552" t="n">
        <v>3.5</v>
      </c>
      <c r="J552" t="n">
        <v>0</v>
      </c>
      <c r="K552" t="inlineStr"/>
    </row>
    <row r="553">
      <c r="A553" t="inlineStr">
        <is>
          <t>RIOMIDA11TXS</t>
        </is>
      </c>
      <c r="B553" t="inlineStr">
        <is>
          <t>RIO ORIGINAL DAMA</t>
        </is>
      </c>
      <c r="C553" t="inlineStr">
        <is>
          <t>Manufactura / Dama / P. Superiores</t>
        </is>
      </c>
      <c r="D553" t="n">
        <v>33</v>
      </c>
      <c r="E553" t="n">
        <v>1758.96230709</v>
      </c>
      <c r="F553" t="n">
        <v>0.89374736236875</v>
      </c>
      <c r="G553" t="n">
        <v>15</v>
      </c>
      <c r="H553" t="n">
        <v>5.538832275</v>
      </c>
      <c r="I553" t="n">
        <v>3.3</v>
      </c>
      <c r="J553" t="n">
        <v>0</v>
      </c>
      <c r="K553" t="inlineStr"/>
    </row>
    <row r="554">
      <c r="A554" t="inlineStr">
        <is>
          <t>SHOUNCA69TM</t>
        </is>
      </c>
      <c r="B554" t="inlineStr">
        <is>
          <t>SHORT PLAYA CAB</t>
        </is>
      </c>
      <c r="C554" t="inlineStr">
        <is>
          <t>Manufactura / Caballero / P. Inferiores</t>
        </is>
      </c>
      <c r="D554" t="n">
        <v>39</v>
      </c>
      <c r="E554" t="n">
        <v>1755.12212718</v>
      </c>
      <c r="F554" t="n">
        <v>0.7889066429166667</v>
      </c>
      <c r="G554" t="n">
        <v>18</v>
      </c>
      <c r="H554" t="n">
        <v>9.99</v>
      </c>
      <c r="I554" t="n">
        <v>3.9</v>
      </c>
      <c r="J554" t="n">
        <v>0</v>
      </c>
      <c r="K554" t="inlineStr"/>
    </row>
    <row r="555">
      <c r="A555" t="inlineStr">
        <is>
          <t>RIOMIDA70TM</t>
        </is>
      </c>
      <c r="B555" t="inlineStr">
        <is>
          <t>RIO ORIGINAL DAMA</t>
        </is>
      </c>
      <c r="C555" t="inlineStr">
        <is>
          <t>Manufactura / Dama / P. Superiores</t>
        </is>
      </c>
      <c r="D555" t="n">
        <v>30</v>
      </c>
      <c r="E555" t="n">
        <v>1752.98378476</v>
      </c>
      <c r="F555" t="n">
        <v>0.9004248277392858</v>
      </c>
      <c r="G555" t="n">
        <v>20</v>
      </c>
      <c r="H555" t="n">
        <v>5.538832275</v>
      </c>
      <c r="I555" t="n">
        <v>3</v>
      </c>
      <c r="J555" t="n">
        <v>0</v>
      </c>
      <c r="K555" t="inlineStr"/>
    </row>
    <row r="556">
      <c r="A556" t="inlineStr">
        <is>
          <t>MARMIDA48TL</t>
        </is>
      </c>
      <c r="B556" t="inlineStr">
        <is>
          <t>MAR ORIGINAL DAMA</t>
        </is>
      </c>
      <c r="C556" t="inlineStr">
        <is>
          <t>Manufactura / Dama / P. Superiores</t>
        </is>
      </c>
      <c r="D556" t="n">
        <v>35</v>
      </c>
      <c r="E556" t="n">
        <v>1751.85769878</v>
      </c>
      <c r="F556" t="n">
        <v>0.9147412461205883</v>
      </c>
      <c r="G556" t="n">
        <v>45</v>
      </c>
      <c r="H556" t="n">
        <v>4.278324149</v>
      </c>
      <c r="I556" t="n">
        <v>3.5</v>
      </c>
      <c r="J556" t="n">
        <v>0</v>
      </c>
      <c r="K556" t="inlineStr"/>
    </row>
    <row r="557">
      <c r="A557" t="inlineStr">
        <is>
          <t>TOA50PL</t>
        </is>
      </c>
      <c r="B557" t="inlineStr">
        <is>
          <t>TOALLA PLAYA</t>
        </is>
      </c>
      <c r="C557" t="inlineStr">
        <is>
          <t>Equipamiento / Toallas</t>
        </is>
      </c>
      <c r="D557" t="n">
        <v>69</v>
      </c>
      <c r="E557" t="n">
        <v>1751.84114302</v>
      </c>
      <c r="F557" t="n">
        <v>0.8399456312543859</v>
      </c>
      <c r="G557" t="n">
        <v>1059</v>
      </c>
      <c r="H557" t="n">
        <v>4.83</v>
      </c>
      <c r="I557" t="n">
        <v>6.9</v>
      </c>
      <c r="J557" t="n">
        <v>0</v>
      </c>
      <c r="K557" t="inlineStr"/>
    </row>
    <row r="558">
      <c r="A558" t="inlineStr">
        <is>
          <t>RIOMIKI11T8</t>
        </is>
      </c>
      <c r="B558" t="inlineStr">
        <is>
          <t>RIO ORIGINAL KIDS</t>
        </is>
      </c>
      <c r="C558" t="inlineStr">
        <is>
          <t>Manufactura / Kids / P. Superiores</t>
        </is>
      </c>
      <c r="D558" t="n">
        <v>40</v>
      </c>
      <c r="E558" t="n">
        <v>1742.36149788</v>
      </c>
      <c r="F558" t="n">
        <v>0.9161485948942858</v>
      </c>
      <c r="G558" t="n">
        <v>44</v>
      </c>
      <c r="H558" t="n">
        <v>3.617969464</v>
      </c>
      <c r="I558" t="n">
        <v>4</v>
      </c>
      <c r="J558" t="n">
        <v>0</v>
      </c>
      <c r="K558" t="inlineStr"/>
    </row>
    <row r="559">
      <c r="A559" t="inlineStr">
        <is>
          <t>PANNTDA31TL</t>
        </is>
      </c>
      <c r="B559" t="inlineStr">
        <is>
          <t>EXPLORE PANTS DAMA</t>
        </is>
      </c>
      <c r="C559" t="inlineStr">
        <is>
          <t>Manufactura / Dama / P. Inferiores</t>
        </is>
      </c>
      <c r="D559" t="n">
        <v>26</v>
      </c>
      <c r="E559" t="n">
        <v>1734.62287582</v>
      </c>
      <c r="F559" t="n">
        <v>0.7808883147892857</v>
      </c>
      <c r="G559" t="n">
        <v>0</v>
      </c>
      <c r="H559" t="n">
        <v>15.3928899</v>
      </c>
      <c r="I559" t="n">
        <v>2.6</v>
      </c>
      <c r="J559" t="n">
        <v>0</v>
      </c>
      <c r="K559" t="inlineStr">
        <is>
          <t>Sin stock</t>
        </is>
      </c>
    </row>
    <row r="560">
      <c r="A560" t="inlineStr">
        <is>
          <t>TOA16CLI</t>
        </is>
      </c>
      <c r="B560" t="inlineStr">
        <is>
          <t>TOALLA CLIP 2.0</t>
        </is>
      </c>
      <c r="C560" t="inlineStr">
        <is>
          <t>Equipamiento / Toallas</t>
        </is>
      </c>
      <c r="D560" t="n">
        <v>88</v>
      </c>
      <c r="E560" t="n">
        <v>1732.054719589</v>
      </c>
      <c r="F560" t="n">
        <v>0.7738250632467533</v>
      </c>
      <c r="G560" t="n">
        <v>372</v>
      </c>
      <c r="H560" t="n">
        <v>5.11</v>
      </c>
      <c r="I560" t="n">
        <v>8.800000000000001</v>
      </c>
      <c r="J560" t="n">
        <v>0</v>
      </c>
      <c r="K560" t="inlineStr"/>
    </row>
    <row r="561">
      <c r="A561" t="inlineStr">
        <is>
          <t>BAPCCDA184TM</t>
        </is>
      </c>
      <c r="B561" t="inlineStr">
        <is>
          <t>BASIC LINE PANT DAMA</t>
        </is>
      </c>
      <c r="C561" t="inlineStr">
        <is>
          <t>Manufactura / Dama / P. Inferiores</t>
        </is>
      </c>
      <c r="D561" t="n">
        <v>33</v>
      </c>
      <c r="E561" t="n">
        <v>1730.37365855</v>
      </c>
      <c r="F561" t="n">
        <v>0.8234075537038461</v>
      </c>
      <c r="G561" t="n">
        <v>13</v>
      </c>
      <c r="H561" t="n">
        <v>11.2</v>
      </c>
      <c r="I561" t="n">
        <v>3.3</v>
      </c>
      <c r="J561" t="n">
        <v>0</v>
      </c>
      <c r="K561" t="inlineStr"/>
    </row>
    <row r="562">
      <c r="A562" t="inlineStr">
        <is>
          <t>CAP16VS</t>
        </is>
      </c>
      <c r="B562" t="inlineStr">
        <is>
          <t>VISERA</t>
        </is>
      </c>
      <c r="C562" t="inlineStr">
        <is>
          <t>Equipamiento / Gorras</t>
        </is>
      </c>
      <c r="D562" t="n">
        <v>51</v>
      </c>
      <c r="E562" t="n">
        <v>1723.56080708</v>
      </c>
      <c r="F562" t="n">
        <v>0.5922972119297872</v>
      </c>
      <c r="G562" t="n">
        <v>4</v>
      </c>
      <c r="H562" t="n">
        <v>13.5</v>
      </c>
      <c r="I562" t="n">
        <v>5.1</v>
      </c>
      <c r="J562" t="n">
        <v>1</v>
      </c>
      <c r="K562" t="inlineStr"/>
    </row>
    <row r="563">
      <c r="A563" t="inlineStr">
        <is>
          <t>MARMIKI66T6</t>
        </is>
      </c>
      <c r="B563" t="inlineStr">
        <is>
          <t>MAR ORIGINAL KIDS</t>
        </is>
      </c>
      <c r="C563" t="inlineStr">
        <is>
          <t>Manufactura / Kids / P. Superiores</t>
        </is>
      </c>
      <c r="D563" t="n">
        <v>45</v>
      </c>
      <c r="E563" t="n">
        <v>1721.87320697</v>
      </c>
      <c r="F563" t="n">
        <v>0.9147107943645834</v>
      </c>
      <c r="G563" t="n">
        <v>5</v>
      </c>
      <c r="H563" t="n">
        <v>3.168013332</v>
      </c>
      <c r="I563" t="n">
        <v>4.5</v>
      </c>
      <c r="J563" t="n">
        <v>0</v>
      </c>
      <c r="K563" t="inlineStr"/>
    </row>
    <row r="564">
      <c r="A564" t="inlineStr">
        <is>
          <t>DAYCSTCA16TS</t>
        </is>
      </c>
      <c r="B564" t="inlineStr">
        <is>
          <t>CLASICA DAILY 3.0 CAB</t>
        </is>
      </c>
      <c r="C564" t="inlineStr">
        <is>
          <t>Manufactura / Caballero / P. Superiores</t>
        </is>
      </c>
      <c r="D564" t="n">
        <v>47</v>
      </c>
      <c r="E564" t="n">
        <v>1721.34127485</v>
      </c>
      <c r="F564" t="n">
        <v>0.72978104235</v>
      </c>
      <c r="G564" t="n">
        <v>56</v>
      </c>
      <c r="H564" t="n">
        <v>11.76035097</v>
      </c>
      <c r="I564" t="n">
        <v>4.7</v>
      </c>
      <c r="J564" t="n">
        <v>0</v>
      </c>
      <c r="K564" t="inlineStr"/>
    </row>
    <row r="565">
      <c r="A565" t="inlineStr">
        <is>
          <t>MARMIDA13TXS</t>
        </is>
      </c>
      <c r="B565" t="inlineStr">
        <is>
          <t>MAR ORIGINAL DAMA</t>
        </is>
      </c>
      <c r="C565" t="inlineStr">
        <is>
          <t>Manufactura / Dama / P. Superiores</t>
        </is>
      </c>
      <c r="D565" t="n">
        <v>38</v>
      </c>
      <c r="E565" t="n">
        <v>1720.20431794</v>
      </c>
      <c r="F565" t="n">
        <v>0.9126738582972221</v>
      </c>
      <c r="G565" t="n">
        <v>6</v>
      </c>
      <c r="H565" t="n">
        <v>4.278324149</v>
      </c>
      <c r="I565" t="n">
        <v>3.8</v>
      </c>
      <c r="J565" t="n">
        <v>1</v>
      </c>
      <c r="K565" t="inlineStr"/>
    </row>
    <row r="566">
      <c r="A566" t="inlineStr">
        <is>
          <t>RIOMIKI12T14</t>
        </is>
      </c>
      <c r="B566" t="inlineStr">
        <is>
          <t>RIO ORIGINAL KIDS</t>
        </is>
      </c>
      <c r="C566" t="inlineStr">
        <is>
          <t>Manufactura / Kids / P. Superiores</t>
        </is>
      </c>
      <c r="D566" t="n">
        <v>39</v>
      </c>
      <c r="E566" t="n">
        <v>1717.37418677</v>
      </c>
      <c r="F566" t="n">
        <v>0.9160636822268292</v>
      </c>
      <c r="G566" t="n">
        <v>61</v>
      </c>
      <c r="H566" t="n">
        <v>3.617969464</v>
      </c>
      <c r="I566" t="n">
        <v>3.9</v>
      </c>
      <c r="J566" t="n">
        <v>0</v>
      </c>
      <c r="K566" t="inlineStr"/>
    </row>
    <row r="567">
      <c r="A567" t="inlineStr">
        <is>
          <t>CLAMECA30TL</t>
        </is>
      </c>
      <c r="B567" t="inlineStr">
        <is>
          <t>CLASICA SPORT CAB</t>
        </is>
      </c>
      <c r="C567" t="inlineStr">
        <is>
          <t>Manufactura / Caballero / P. Superiores</t>
        </is>
      </c>
      <c r="D567" t="n">
        <v>42</v>
      </c>
      <c r="E567" t="n">
        <v>1714.72173302</v>
      </c>
      <c r="F567" t="n">
        <v>0.7738093607805555</v>
      </c>
      <c r="G567" t="n">
        <v>13</v>
      </c>
      <c r="H567" t="n">
        <v>10.3013454</v>
      </c>
      <c r="I567" t="n">
        <v>4.2</v>
      </c>
      <c r="J567" t="n">
        <v>0</v>
      </c>
      <c r="K567" t="inlineStr"/>
    </row>
    <row r="568">
      <c r="A568" t="inlineStr">
        <is>
          <t>JACKI43T8</t>
        </is>
      </c>
      <c r="B568" t="inlineStr">
        <is>
          <t>JACKET KIDS</t>
        </is>
      </c>
      <c r="C568" t="inlineStr">
        <is>
          <t>Manufactura / Kids / P. Superiores</t>
        </is>
      </c>
      <c r="D568" t="n">
        <v>32</v>
      </c>
      <c r="E568" t="n">
        <v>1714.68721866</v>
      </c>
      <c r="F568" t="n">
        <v>0.7136954267970588</v>
      </c>
      <c r="G568" t="n">
        <v>144</v>
      </c>
      <c r="H568" t="n">
        <v>15.17</v>
      </c>
      <c r="I568" t="n">
        <v>3.2</v>
      </c>
      <c r="J568" t="n">
        <v>0</v>
      </c>
      <c r="K568" t="inlineStr"/>
    </row>
    <row r="569">
      <c r="A569" t="inlineStr">
        <is>
          <t>CREDA43TU</t>
        </is>
      </c>
      <c r="B569" t="inlineStr">
        <is>
          <t>CREW SOCKS DAMA</t>
        </is>
      </c>
      <c r="C569" t="inlineStr">
        <is>
          <t>Equipamiento / Accesorios</t>
        </is>
      </c>
      <c r="D569" t="n">
        <v>104</v>
      </c>
      <c r="E569" t="n">
        <v>1713.204011864</v>
      </c>
      <c r="F569" t="n">
        <v>0.8513569297746836</v>
      </c>
      <c r="G569" t="n">
        <v>886</v>
      </c>
      <c r="H569" t="n">
        <v>2.830000000000001</v>
      </c>
      <c r="I569" t="n">
        <v>10.4</v>
      </c>
      <c r="J569" t="n">
        <v>0</v>
      </c>
      <c r="K569" t="inlineStr"/>
    </row>
    <row r="570">
      <c r="A570" t="inlineStr">
        <is>
          <t>JAPDA35TXL</t>
        </is>
      </c>
      <c r="B570" t="inlineStr">
        <is>
          <t>CUADRO JACKET 2.0 DAMA</t>
        </is>
      </c>
      <c r="C570" t="inlineStr">
        <is>
          <t>Equipamiento / Ropa</t>
        </is>
      </c>
      <c r="D570" t="n">
        <v>21</v>
      </c>
      <c r="E570" t="n">
        <v>1705.06850632</v>
      </c>
      <c r="F570" t="n">
        <v>0.7410598526227272</v>
      </c>
      <c r="G570" t="n">
        <v>178</v>
      </c>
      <c r="H570" t="n">
        <v>20.25</v>
      </c>
      <c r="I570" t="n">
        <v>2.1</v>
      </c>
      <c r="J570" t="n">
        <v>0</v>
      </c>
      <c r="K570" t="inlineStr"/>
    </row>
    <row r="571">
      <c r="A571" t="inlineStr">
        <is>
          <t>JAPKI162T4</t>
        </is>
      </c>
      <c r="B571" t="inlineStr">
        <is>
          <t>CUADRO JACKET 2.0 KIDS</t>
        </is>
      </c>
      <c r="C571" t="inlineStr">
        <is>
          <t>Equipamiento / Ropa</t>
        </is>
      </c>
      <c r="D571" t="n">
        <v>25</v>
      </c>
      <c r="E571" t="n">
        <v>1703.06253817</v>
      </c>
      <c r="F571" t="n">
        <v>0.7742031960599999</v>
      </c>
      <c r="G571" t="n">
        <v>15</v>
      </c>
      <c r="H571" t="n">
        <v>15.17</v>
      </c>
      <c r="I571" t="n">
        <v>2.5</v>
      </c>
      <c r="J571" t="n">
        <v>0</v>
      </c>
      <c r="K571" t="inlineStr"/>
    </row>
    <row r="572">
      <c r="A572" t="inlineStr">
        <is>
          <t>SHOSUCA153T2XL</t>
        </is>
      </c>
      <c r="B572" t="inlineStr">
        <is>
          <t>SHORT PLAYA ESTAMPADO CAB</t>
        </is>
      </c>
      <c r="C572" t="inlineStr">
        <is>
          <t>Manufactura / Caballero / P. Inferiores</t>
        </is>
      </c>
      <c r="D572" t="n">
        <v>30</v>
      </c>
      <c r="E572" t="n">
        <v>1692.90705732</v>
      </c>
      <c r="F572" t="n">
        <v>0.7888884191206896</v>
      </c>
      <c r="G572" t="n">
        <v>5</v>
      </c>
      <c r="H572" t="n">
        <v>12.11</v>
      </c>
      <c r="I572" t="n">
        <v>3</v>
      </c>
      <c r="J572" t="n">
        <v>1</v>
      </c>
      <c r="K572" t="inlineStr"/>
    </row>
    <row r="573">
      <c r="A573" t="inlineStr">
        <is>
          <t>MARMIKI16T10</t>
        </is>
      </c>
      <c r="B573" t="inlineStr">
        <is>
          <t>MAR ORIGINAL KIDS</t>
        </is>
      </c>
      <c r="C573" t="inlineStr">
        <is>
          <t>Manufactura / Kids / P. Superiores</t>
        </is>
      </c>
      <c r="D573" t="n">
        <v>44</v>
      </c>
      <c r="E573" t="n">
        <v>1691.98203203</v>
      </c>
      <c r="F573" t="n">
        <v>0.9156532433590908</v>
      </c>
      <c r="G573" t="n">
        <v>21</v>
      </c>
      <c r="H573" t="n">
        <v>3.168013332000001</v>
      </c>
      <c r="I573" t="n">
        <v>4.4</v>
      </c>
      <c r="J573" t="n">
        <v>0</v>
      </c>
      <c r="K573" t="inlineStr"/>
    </row>
    <row r="574">
      <c r="A574" t="inlineStr">
        <is>
          <t>CLAMICA30TM</t>
        </is>
      </c>
      <c r="B574" t="inlineStr">
        <is>
          <t>CLASICA ORIGINAL CAB</t>
        </is>
      </c>
      <c r="C574" t="inlineStr">
        <is>
          <t>Manufactura / Caballero / P. Superiores</t>
        </is>
      </c>
      <c r="D574" t="n">
        <v>56</v>
      </c>
      <c r="E574" t="n">
        <v>1689.36987553</v>
      </c>
      <c r="F574" t="n">
        <v>0.8712605287076923</v>
      </c>
      <c r="G574" t="n">
        <v>0</v>
      </c>
      <c r="H574" t="n">
        <v>4.598442536</v>
      </c>
      <c r="I574" t="n">
        <v>5.6</v>
      </c>
      <c r="J574" t="n">
        <v>0</v>
      </c>
      <c r="K574" t="inlineStr">
        <is>
          <t>Sin stock</t>
        </is>
      </c>
    </row>
    <row r="575">
      <c r="A575" t="inlineStr">
        <is>
          <t>BAN62EQ</t>
        </is>
      </c>
      <c r="B575" t="inlineStr">
        <is>
          <t>CUADRO BAND</t>
        </is>
      </c>
      <c r="C575" t="inlineStr">
        <is>
          <t>Equipamiento / Accesorios</t>
        </is>
      </c>
      <c r="D575" t="n">
        <v>600</v>
      </c>
      <c r="E575" t="n">
        <v>1687.397329661729</v>
      </c>
      <c r="F575" t="n">
        <v>0.8874752329842391</v>
      </c>
      <c r="G575" t="n">
        <v>3197</v>
      </c>
      <c r="H575" t="n">
        <v>0.3159183673</v>
      </c>
      <c r="I575" t="n">
        <v>60</v>
      </c>
      <c r="J575" t="n">
        <v>0</v>
      </c>
      <c r="K575" t="inlineStr"/>
    </row>
    <row r="576">
      <c r="A576" t="inlineStr">
        <is>
          <t>SHOSUKI153T14</t>
        </is>
      </c>
      <c r="B576" t="inlineStr">
        <is>
          <t>SHORT PLAYA ESTAMPADO KIDS</t>
        </is>
      </c>
      <c r="C576" t="inlineStr">
        <is>
          <t>Manufactura / Kids / P. Superiores</t>
        </is>
      </c>
      <c r="D576" t="n">
        <v>37</v>
      </c>
      <c r="E576" t="n">
        <v>1685.29388293</v>
      </c>
      <c r="F576" t="n">
        <v>0.8389558468333334</v>
      </c>
      <c r="G576" t="n">
        <v>6</v>
      </c>
      <c r="H576" t="n">
        <v>7.21</v>
      </c>
      <c r="I576" t="n">
        <v>3.7</v>
      </c>
      <c r="J576" t="n">
        <v>0</v>
      </c>
      <c r="K576" t="inlineStr"/>
    </row>
    <row r="577">
      <c r="A577" t="inlineStr">
        <is>
          <t>DAYCSTCA66TL</t>
        </is>
      </c>
      <c r="B577" t="inlineStr">
        <is>
          <t>CLASICA DAILY 3.0 CAB</t>
        </is>
      </c>
      <c r="C577" t="inlineStr">
        <is>
          <t>Manufactura / Caballero / P. Superiores</t>
        </is>
      </c>
      <c r="D577" t="n">
        <v>44</v>
      </c>
      <c r="E577" t="n">
        <v>1684.75199577</v>
      </c>
      <c r="F577" t="n">
        <v>0.7344602202272728</v>
      </c>
      <c r="G577" t="n">
        <v>6</v>
      </c>
      <c r="H577" t="n">
        <v>11.76035097</v>
      </c>
      <c r="I577" t="n">
        <v>4.4</v>
      </c>
      <c r="J577" t="n">
        <v>0</v>
      </c>
      <c r="K577" t="inlineStr"/>
    </row>
    <row r="578">
      <c r="A578" t="inlineStr">
        <is>
          <t>RIOMIDA16TXL</t>
        </is>
      </c>
      <c r="B578" t="inlineStr">
        <is>
          <t>RIO ORIGINAL DAMA</t>
        </is>
      </c>
      <c r="C578" t="inlineStr">
        <is>
          <t>Manufactura / Dama / P. Superiores</t>
        </is>
      </c>
      <c r="D578" t="n">
        <v>31</v>
      </c>
      <c r="E578" t="n">
        <v>1681.37118432</v>
      </c>
      <c r="F578" t="n">
        <v>0.894931480435294</v>
      </c>
      <c r="G578" t="n">
        <v>29</v>
      </c>
      <c r="H578" t="n">
        <v>5.538832275</v>
      </c>
      <c r="I578" t="n">
        <v>3.1</v>
      </c>
      <c r="J578" t="n">
        <v>0</v>
      </c>
      <c r="K578" t="inlineStr"/>
    </row>
    <row r="579">
      <c r="A579" t="inlineStr">
        <is>
          <t>JACDA66TL</t>
        </is>
      </c>
      <c r="B579" t="inlineStr">
        <is>
          <t>JACKET DAMA</t>
        </is>
      </c>
      <c r="C579" t="inlineStr">
        <is>
          <t>Equipamiento / Ropa</t>
        </is>
      </c>
      <c r="D579" t="n">
        <v>29</v>
      </c>
      <c r="E579" t="n">
        <v>1676.66561309</v>
      </c>
      <c r="F579" t="n">
        <v>0.670039915064</v>
      </c>
      <c r="G579" t="n">
        <v>55</v>
      </c>
      <c r="H579" t="n">
        <v>20.25</v>
      </c>
      <c r="I579" t="n">
        <v>2.9</v>
      </c>
      <c r="J579" t="n">
        <v>0</v>
      </c>
      <c r="K579" t="inlineStr"/>
    </row>
    <row r="580">
      <c r="A580" t="inlineStr">
        <is>
          <t>CLAMICA43T2XL</t>
        </is>
      </c>
      <c r="B580" t="inlineStr">
        <is>
          <t>CLASICA ORIGINAL CAB</t>
        </is>
      </c>
      <c r="C580" t="inlineStr">
        <is>
          <t>Manufactura / Caballero / P. Superiores</t>
        </is>
      </c>
      <c r="D580" t="n">
        <v>42</v>
      </c>
      <c r="E580" t="n">
        <v>1666.45290496</v>
      </c>
      <c r="F580" t="n">
        <v>0.8909076990114285</v>
      </c>
      <c r="G580" t="n">
        <v>26</v>
      </c>
      <c r="H580" t="n">
        <v>4.598442536</v>
      </c>
      <c r="I580" t="n">
        <v>4.2</v>
      </c>
      <c r="J580" t="n">
        <v>1</v>
      </c>
      <c r="K580" t="inlineStr"/>
    </row>
    <row r="581">
      <c r="A581" t="inlineStr">
        <is>
          <t>JACCA14T2XL</t>
        </is>
      </c>
      <c r="B581" t="inlineStr">
        <is>
          <t>JACKET CAB</t>
        </is>
      </c>
      <c r="C581" t="inlineStr">
        <is>
          <t>Equipamiento / Ropa</t>
        </is>
      </c>
      <c r="D581" t="n">
        <v>25</v>
      </c>
      <c r="E581" t="n">
        <v>1652.98734945</v>
      </c>
      <c r="F581" t="n">
        <v>0.6924652760034483</v>
      </c>
      <c r="G581" t="n">
        <v>105</v>
      </c>
      <c r="H581" t="n">
        <v>20.25001933</v>
      </c>
      <c r="I581" t="n">
        <v>2.5</v>
      </c>
      <c r="J581" t="n">
        <v>0</v>
      </c>
      <c r="K581" t="inlineStr"/>
    </row>
    <row r="582">
      <c r="A582" t="inlineStr">
        <is>
          <t>MARMIDA01TXS</t>
        </is>
      </c>
      <c r="B582" t="inlineStr">
        <is>
          <t>MAR ORIGINAL DAMA</t>
        </is>
      </c>
      <c r="C582" t="inlineStr">
        <is>
          <t>Manufactura / Dama / P. Superiores</t>
        </is>
      </c>
      <c r="D582" t="n">
        <v>39</v>
      </c>
      <c r="E582" t="n">
        <v>1649.45166684</v>
      </c>
      <c r="F582" t="n">
        <v>0.9140230019548387</v>
      </c>
      <c r="G582" t="n">
        <v>18</v>
      </c>
      <c r="H582" t="n">
        <v>4.278324149</v>
      </c>
      <c r="I582" t="n">
        <v>3.9</v>
      </c>
      <c r="J582" t="n">
        <v>0</v>
      </c>
      <c r="K582" t="inlineStr"/>
    </row>
    <row r="583">
      <c r="A583" t="inlineStr">
        <is>
          <t>SHOSUCA155TS</t>
        </is>
      </c>
      <c r="B583" t="inlineStr">
        <is>
          <t>SHORT PLAYA ESTAMPADO CAB</t>
        </is>
      </c>
      <c r="C583" t="inlineStr">
        <is>
          <t>Manufactura / Caballero / P. Inferiores</t>
        </is>
      </c>
      <c r="D583" t="n">
        <v>30</v>
      </c>
      <c r="E583" t="n">
        <v>1644.26777835</v>
      </c>
      <c r="F583" t="n">
        <v>0.7882296065771429</v>
      </c>
      <c r="G583" t="n">
        <v>18</v>
      </c>
      <c r="H583" t="n">
        <v>12.11</v>
      </c>
      <c r="I583" t="n">
        <v>3</v>
      </c>
      <c r="J583" t="n">
        <v>0</v>
      </c>
      <c r="K583" t="inlineStr"/>
    </row>
    <row r="584">
      <c r="A584" t="inlineStr">
        <is>
          <t>MARMICA50TS</t>
        </is>
      </c>
      <c r="B584" t="inlineStr">
        <is>
          <t>MAR ORIGINAL CAB</t>
        </is>
      </c>
      <c r="C584" t="inlineStr">
        <is>
          <t>Manufactura / Caballero / P. Superiores</t>
        </is>
      </c>
      <c r="D584" t="n">
        <v>35</v>
      </c>
      <c r="E584" t="n">
        <v>1643.61291212</v>
      </c>
      <c r="F584" t="n">
        <v>0.9030668911176472</v>
      </c>
      <c r="G584" t="n">
        <v>73</v>
      </c>
      <c r="H584" t="n">
        <v>4.946357428</v>
      </c>
      <c r="I584" t="n">
        <v>3.5</v>
      </c>
      <c r="J584" t="n">
        <v>0</v>
      </c>
      <c r="K584" t="inlineStr"/>
    </row>
    <row r="585">
      <c r="A585" t="inlineStr">
        <is>
          <t>MAFMIDA43TS</t>
        </is>
      </c>
      <c r="B585" t="inlineStr">
        <is>
          <t>MAFE ORIGINAL DAMA</t>
        </is>
      </c>
      <c r="C585" t="inlineStr">
        <is>
          <t>Manufactura / Dama / P. Superiores</t>
        </is>
      </c>
      <c r="D585" t="n">
        <v>57</v>
      </c>
      <c r="E585" t="n">
        <v>1642.82821157</v>
      </c>
      <c r="F585" t="n">
        <v>0.8446674010851063</v>
      </c>
      <c r="G585" t="n">
        <v>51</v>
      </c>
      <c r="H585" t="n">
        <v>4.54817671</v>
      </c>
      <c r="I585" t="n">
        <v>5.7</v>
      </c>
      <c r="J585" t="n">
        <v>0</v>
      </c>
      <c r="K585" t="inlineStr"/>
    </row>
    <row r="586">
      <c r="A586" t="inlineStr">
        <is>
          <t>MARMIKI43T14</t>
        </is>
      </c>
      <c r="B586" t="inlineStr">
        <is>
          <t>MAR ORIGINAL KIDS</t>
        </is>
      </c>
      <c r="C586" t="inlineStr">
        <is>
          <t>Manufactura / Kids / P. Superiores</t>
        </is>
      </c>
      <c r="D586" t="n">
        <v>46</v>
      </c>
      <c r="E586" t="n">
        <v>1642.4423743</v>
      </c>
      <c r="F586" t="n">
        <v>0.909148529237255</v>
      </c>
      <c r="G586" t="n">
        <v>20</v>
      </c>
      <c r="H586" t="n">
        <v>3.168013332</v>
      </c>
      <c r="I586" t="n">
        <v>4.6</v>
      </c>
      <c r="J586" t="n">
        <v>0</v>
      </c>
      <c r="K586" t="inlineStr"/>
    </row>
    <row r="587">
      <c r="A587" t="inlineStr">
        <is>
          <t>MAFMIDA16TS</t>
        </is>
      </c>
      <c r="B587" t="inlineStr">
        <is>
          <t>MAFE ORIGINAL DAMA</t>
        </is>
      </c>
      <c r="C587" t="inlineStr">
        <is>
          <t>Manufactura / Dama / P. Superiores</t>
        </is>
      </c>
      <c r="D587" t="n">
        <v>65</v>
      </c>
      <c r="E587" t="n">
        <v>1641.60876892</v>
      </c>
      <c r="F587" t="n">
        <v>0.8398041109037736</v>
      </c>
      <c r="G587" t="n">
        <v>17</v>
      </c>
      <c r="H587" t="n">
        <v>4.54817671</v>
      </c>
      <c r="I587" t="n">
        <v>6.5</v>
      </c>
      <c r="J587" t="n">
        <v>0</v>
      </c>
      <c r="K587" t="inlineStr"/>
    </row>
    <row r="588">
      <c r="A588" t="inlineStr">
        <is>
          <t>CLAMIDA43TM</t>
        </is>
      </c>
      <c r="B588" t="inlineStr">
        <is>
          <t>CLASICA ORIGINAL DAMA</t>
        </is>
      </c>
      <c r="C588" t="inlineStr">
        <is>
          <t>Manufactura / Dama / P. Superiores</t>
        </is>
      </c>
      <c r="D588" t="n">
        <v>99</v>
      </c>
      <c r="E588" t="n">
        <v>1640.44548963</v>
      </c>
      <c r="F588" t="n">
        <v>0.8950189878547619</v>
      </c>
      <c r="G588" t="n">
        <v>21</v>
      </c>
      <c r="H588" t="n">
        <v>3.923227589</v>
      </c>
      <c r="I588" t="n">
        <v>9.9</v>
      </c>
      <c r="J588" t="n">
        <v>0</v>
      </c>
      <c r="K588" t="inlineStr"/>
    </row>
    <row r="589">
      <c r="A589" t="inlineStr">
        <is>
          <t>MARMIKI12T6</t>
        </is>
      </c>
      <c r="B589" t="inlineStr">
        <is>
          <t>MAR ORIGINAL KIDS</t>
        </is>
      </c>
      <c r="C589" t="inlineStr">
        <is>
          <t>Manufactura / Kids / P. Superiores</t>
        </is>
      </c>
      <c r="D589" t="n">
        <v>45</v>
      </c>
      <c r="E589" t="n">
        <v>1636.15215966</v>
      </c>
      <c r="F589" t="n">
        <v>0.9165502903136363</v>
      </c>
      <c r="G589" t="n">
        <v>10</v>
      </c>
      <c r="H589" t="n">
        <v>3.168013332000001</v>
      </c>
      <c r="I589" t="n">
        <v>4.5</v>
      </c>
      <c r="J589" t="n">
        <v>0</v>
      </c>
      <c r="K589" t="inlineStr"/>
    </row>
    <row r="590">
      <c r="A590" t="inlineStr">
        <is>
          <t>JAPKI35T10</t>
        </is>
      </c>
      <c r="B590" t="inlineStr">
        <is>
          <t>CUADRO JACKET 2.0 KIDS</t>
        </is>
      </c>
      <c r="C590" t="inlineStr">
        <is>
          <t>Equipamiento / Ropa</t>
        </is>
      </c>
      <c r="D590" t="n">
        <v>25</v>
      </c>
      <c r="E590" t="n">
        <v>1634.38198943</v>
      </c>
      <c r="F590" t="n">
        <v>0.763971871372</v>
      </c>
      <c r="G590" t="n">
        <v>93</v>
      </c>
      <c r="H590" t="n">
        <v>15.17</v>
      </c>
      <c r="I590" t="n">
        <v>2.5</v>
      </c>
      <c r="J590" t="n">
        <v>0</v>
      </c>
      <c r="K590" t="inlineStr"/>
    </row>
    <row r="591">
      <c r="A591" t="inlineStr">
        <is>
          <t>BAN43EQ</t>
        </is>
      </c>
      <c r="B591" t="inlineStr">
        <is>
          <t>CUADRO BAND</t>
        </is>
      </c>
      <c r="C591" t="inlineStr">
        <is>
          <t>Equipamiento / Accesorios</t>
        </is>
      </c>
      <c r="D591" t="n">
        <v>1101</v>
      </c>
      <c r="E591" t="n">
        <v>1632.312823535</v>
      </c>
      <c r="F591" t="n">
        <v>0.8583902672694137</v>
      </c>
      <c r="G591" t="n">
        <v>4284</v>
      </c>
      <c r="H591" t="n">
        <v>0.3159183673</v>
      </c>
      <c r="I591" t="n">
        <v>110.1</v>
      </c>
      <c r="J591" t="n">
        <v>0</v>
      </c>
      <c r="K591" t="inlineStr"/>
    </row>
    <row r="592">
      <c r="A592" t="inlineStr">
        <is>
          <t>SHOUNCA38TL</t>
        </is>
      </c>
      <c r="B592" t="inlineStr">
        <is>
          <t>SHORT PLAYA CAB</t>
        </is>
      </c>
      <c r="C592" t="inlineStr">
        <is>
          <t>Manufactura / Caballero / P. Inferiores</t>
        </is>
      </c>
      <c r="D592" t="n">
        <v>35</v>
      </c>
      <c r="E592" t="n">
        <v>1631.92754345</v>
      </c>
      <c r="F592" t="n">
        <v>0.7935985554787879</v>
      </c>
      <c r="G592" t="n">
        <v>22</v>
      </c>
      <c r="H592" t="n">
        <v>9.99</v>
      </c>
      <c r="I592" t="n">
        <v>3.5</v>
      </c>
      <c r="J592" t="n">
        <v>0</v>
      </c>
      <c r="K592" t="inlineStr"/>
    </row>
    <row r="593">
      <c r="A593" t="inlineStr">
        <is>
          <t>MIKFNDA16TS</t>
        </is>
      </c>
      <c r="B593" t="inlineStr">
        <is>
          <t>MIKA SPORT LITE DAMA</t>
        </is>
      </c>
      <c r="C593" t="inlineStr">
        <is>
          <t>Manufactura / Dama / P. Superiores</t>
        </is>
      </c>
      <c r="D593" t="n">
        <v>53</v>
      </c>
      <c r="E593" t="n">
        <v>1631.62613455</v>
      </c>
      <c r="F593" t="n">
        <v>0.8465419733155555</v>
      </c>
      <c r="G593" t="n">
        <v>3</v>
      </c>
      <c r="H593" t="n">
        <v>5.484675344</v>
      </c>
      <c r="I593" t="n">
        <v>5.3</v>
      </c>
      <c r="J593" t="n">
        <v>0</v>
      </c>
      <c r="K593" t="inlineStr"/>
    </row>
    <row r="594">
      <c r="A594" t="inlineStr">
        <is>
          <t>SHUNTDA43TM</t>
        </is>
      </c>
      <c r="B594" t="inlineStr">
        <is>
          <t>SHORT SPORT R1 DAMA</t>
        </is>
      </c>
      <c r="C594" t="inlineStr">
        <is>
          <t>Manufactura / Dama / P. Inferiores</t>
        </is>
      </c>
      <c r="D594" t="n">
        <v>36</v>
      </c>
      <c r="E594" t="n">
        <v>1625.20689878</v>
      </c>
      <c r="F594" t="n">
        <v>0.8240952906121213</v>
      </c>
      <c r="G594" t="n">
        <v>43</v>
      </c>
      <c r="H594" t="n">
        <v>8.33</v>
      </c>
      <c r="I594" t="n">
        <v>3.6</v>
      </c>
      <c r="J594" t="n">
        <v>0</v>
      </c>
      <c r="K594" t="inlineStr"/>
    </row>
    <row r="595">
      <c r="A595" t="inlineStr">
        <is>
          <t>POLPLCA33TM</t>
        </is>
      </c>
      <c r="B595" t="inlineStr">
        <is>
          <t>CLASSIC POLO</t>
        </is>
      </c>
      <c r="C595" t="inlineStr">
        <is>
          <t>Manufactura / Caballero / P. Superiores</t>
        </is>
      </c>
      <c r="D595" t="n">
        <v>39</v>
      </c>
      <c r="E595" t="n">
        <v>1624.14552763</v>
      </c>
      <c r="F595" t="n">
        <v>0.8271760329054054</v>
      </c>
      <c r="G595" t="n">
        <v>61</v>
      </c>
      <c r="H595" t="n">
        <v>7.34</v>
      </c>
      <c r="I595" t="n">
        <v>3.9</v>
      </c>
      <c r="J595" t="n">
        <v>0</v>
      </c>
      <c r="K595" t="inlineStr"/>
    </row>
    <row r="596">
      <c r="A596" t="inlineStr">
        <is>
          <t>RIOMIKI43T12</t>
        </is>
      </c>
      <c r="B596" t="inlineStr">
        <is>
          <t>RIO ORIGINAL KIDS</t>
        </is>
      </c>
      <c r="C596" t="inlineStr">
        <is>
          <t>Manufactura / Kids / P. Superiores</t>
        </is>
      </c>
      <c r="D596" t="n">
        <v>37</v>
      </c>
      <c r="E596" t="n">
        <v>1623.55570211</v>
      </c>
      <c r="F596" t="n">
        <v>0.9153731890902439</v>
      </c>
      <c r="G596" t="n">
        <v>96</v>
      </c>
      <c r="H596" t="n">
        <v>3.617969464</v>
      </c>
      <c r="I596" t="n">
        <v>3.7</v>
      </c>
      <c r="J596" t="n">
        <v>0</v>
      </c>
      <c r="K596" t="inlineStr"/>
    </row>
    <row r="597">
      <c r="A597" t="inlineStr">
        <is>
          <t>PANNTDA31TXL</t>
        </is>
      </c>
      <c r="B597" t="inlineStr">
        <is>
          <t>EXPLORE PANTS DAMA</t>
        </is>
      </c>
      <c r="C597" t="inlineStr">
        <is>
          <t>Manufactura / Dama / P. Inferiores</t>
        </is>
      </c>
      <c r="D597" t="n">
        <v>22</v>
      </c>
      <c r="E597" t="n">
        <v>1622.41401747</v>
      </c>
      <c r="F597" t="n">
        <v>0.7880614320045454</v>
      </c>
      <c r="G597" t="n">
        <v>0</v>
      </c>
      <c r="H597" t="n">
        <v>15.3928899</v>
      </c>
      <c r="I597" t="n">
        <v>2.2</v>
      </c>
      <c r="J597" t="n">
        <v>1</v>
      </c>
      <c r="K597" t="inlineStr">
        <is>
          <t>Sin stock</t>
        </is>
      </c>
    </row>
    <row r="598">
      <c r="A598" t="inlineStr">
        <is>
          <t>DAYCSTCA43TS</t>
        </is>
      </c>
      <c r="B598" t="inlineStr">
        <is>
          <t>CLASICA DAILY 3.0 CAB</t>
        </is>
      </c>
      <c r="C598" t="inlineStr">
        <is>
          <t>Manufactura / Caballero / P. Superiores</t>
        </is>
      </c>
      <c r="D598" t="n">
        <v>41</v>
      </c>
      <c r="E598" t="n">
        <v>1620.75619354</v>
      </c>
      <c r="F598" t="n">
        <v>0.7392597186078947</v>
      </c>
      <c r="G598" t="n">
        <v>12</v>
      </c>
      <c r="H598" t="n">
        <v>11.76035097</v>
      </c>
      <c r="I598" t="n">
        <v>4.1</v>
      </c>
      <c r="J598" t="n">
        <v>0</v>
      </c>
      <c r="K598" t="inlineStr"/>
    </row>
    <row r="599">
      <c r="A599" t="inlineStr">
        <is>
          <t>HEA75EQ</t>
        </is>
      </c>
      <c r="B599" t="inlineStr">
        <is>
          <t>HEADBAND</t>
        </is>
      </c>
      <c r="C599" t="inlineStr">
        <is>
          <t>Equipamiento / Accesorios</t>
        </is>
      </c>
      <c r="D599" t="n">
        <v>106</v>
      </c>
      <c r="E599" t="n">
        <v>1617.059372994068</v>
      </c>
      <c r="F599" t="n">
        <v>0.7089538263136365</v>
      </c>
      <c r="G599" t="n">
        <v>162</v>
      </c>
      <c r="H599" t="n">
        <v>4.26</v>
      </c>
      <c r="I599" t="n">
        <v>10.6</v>
      </c>
      <c r="J599" t="n">
        <v>0</v>
      </c>
      <c r="K599" t="inlineStr"/>
    </row>
    <row r="600">
      <c r="A600" t="inlineStr">
        <is>
          <t>JACCA12TM</t>
        </is>
      </c>
      <c r="B600" t="inlineStr">
        <is>
          <t>JACKET CAB</t>
        </is>
      </c>
      <c r="C600" t="inlineStr">
        <is>
          <t>Equipamiento / Ropa</t>
        </is>
      </c>
      <c r="D600" t="n">
        <v>27</v>
      </c>
      <c r="E600" t="n">
        <v>1614.9834762</v>
      </c>
      <c r="F600" t="n">
        <v>0.6852693726517242</v>
      </c>
      <c r="G600" t="n">
        <v>0</v>
      </c>
      <c r="H600" t="n">
        <v>20.25001933</v>
      </c>
      <c r="I600" t="n">
        <v>2.7</v>
      </c>
      <c r="J600" t="n">
        <v>7</v>
      </c>
      <c r="K600" t="inlineStr">
        <is>
          <t>Sin stock</t>
        </is>
      </c>
    </row>
    <row r="601">
      <c r="A601" t="inlineStr">
        <is>
          <t>MIKFNDA10TM</t>
        </is>
      </c>
      <c r="B601" t="inlineStr">
        <is>
          <t>MIKA SPORT LITE DAMA</t>
        </is>
      </c>
      <c r="C601" t="inlineStr">
        <is>
          <t>Manufactura / Dama / P. Superiores</t>
        </is>
      </c>
      <c r="D601" t="n">
        <v>48</v>
      </c>
      <c r="E601" t="n">
        <v>1605.08410622</v>
      </c>
      <c r="F601" t="n">
        <v>0.836219833723913</v>
      </c>
      <c r="G601" t="n">
        <v>3</v>
      </c>
      <c r="H601" t="n">
        <v>5.484675343999999</v>
      </c>
      <c r="I601" t="n">
        <v>4.8</v>
      </c>
      <c r="J601" t="n">
        <v>1</v>
      </c>
      <c r="K601" t="inlineStr"/>
    </row>
    <row r="602">
      <c r="A602" t="inlineStr">
        <is>
          <t>MARMIKI43T10</t>
        </is>
      </c>
      <c r="B602" t="inlineStr">
        <is>
          <t>MAR ORIGINAL KIDS</t>
        </is>
      </c>
      <c r="C602" t="inlineStr">
        <is>
          <t>Manufactura / Kids / P. Superiores</t>
        </is>
      </c>
      <c r="D602" t="n">
        <v>44</v>
      </c>
      <c r="E602" t="n">
        <v>1601.042801213524</v>
      </c>
      <c r="F602" t="n">
        <v>0.9101307309822223</v>
      </c>
      <c r="G602" t="n">
        <v>23</v>
      </c>
      <c r="H602" t="n">
        <v>3.168013332</v>
      </c>
      <c r="I602" t="n">
        <v>4.4</v>
      </c>
      <c r="J602" t="n">
        <v>0</v>
      </c>
      <c r="K602" t="inlineStr"/>
    </row>
    <row r="603">
      <c r="A603" t="inlineStr">
        <is>
          <t>JAPKI162T10</t>
        </is>
      </c>
      <c r="B603" t="inlineStr">
        <is>
          <t>CUADRO JACKET 2.0 KIDS</t>
        </is>
      </c>
      <c r="C603" t="inlineStr">
        <is>
          <t>Equipamiento / Ropa</t>
        </is>
      </c>
      <c r="D603" t="n">
        <v>25</v>
      </c>
      <c r="E603" t="n">
        <v>1597.21070043</v>
      </c>
      <c r="F603" t="n">
        <v>0.76272269225</v>
      </c>
      <c r="G603" t="n">
        <v>98</v>
      </c>
      <c r="H603" t="n">
        <v>15.17</v>
      </c>
      <c r="I603" t="n">
        <v>2.5</v>
      </c>
      <c r="J603" t="n">
        <v>0</v>
      </c>
      <c r="K603" t="inlineStr"/>
    </row>
    <row r="604">
      <c r="A604" t="inlineStr">
        <is>
          <t>CLAMIDA12TS</t>
        </is>
      </c>
      <c r="B604" t="inlineStr">
        <is>
          <t>CLASICA ORIGINAL DAMA</t>
        </is>
      </c>
      <c r="C604" t="inlineStr">
        <is>
          <t>Manufactura / Dama / P. Superiores</t>
        </is>
      </c>
      <c r="D604" t="n">
        <v>52</v>
      </c>
      <c r="E604" t="n">
        <v>1596.50174351</v>
      </c>
      <c r="F604" t="n">
        <v>0.8950498177785714</v>
      </c>
      <c r="G604" t="n">
        <v>18</v>
      </c>
      <c r="H604" t="n">
        <v>3.923227589</v>
      </c>
      <c r="I604" t="n">
        <v>5.2</v>
      </c>
      <c r="J604" t="n">
        <v>1</v>
      </c>
      <c r="K604" t="inlineStr"/>
    </row>
    <row r="605">
      <c r="A605" t="inlineStr">
        <is>
          <t>RIOMICA70TL</t>
        </is>
      </c>
      <c r="B605" t="inlineStr">
        <is>
          <t>RIO ORIGINAL CAB</t>
        </is>
      </c>
      <c r="C605" t="inlineStr">
        <is>
          <t>Manufactura / Caballero / P. Superiores</t>
        </is>
      </c>
      <c r="D605" t="n">
        <v>29</v>
      </c>
      <c r="E605" t="n">
        <v>1595.83971603</v>
      </c>
      <c r="F605" t="n">
        <v>0.8919546517464285</v>
      </c>
      <c r="G605" t="n">
        <v>33</v>
      </c>
      <c r="H605" t="n">
        <v>5.939350288000001</v>
      </c>
      <c r="I605" t="n">
        <v>2.9</v>
      </c>
      <c r="J605" t="n">
        <v>0</v>
      </c>
      <c r="K605" t="inlineStr"/>
    </row>
    <row r="606">
      <c r="A606" t="inlineStr">
        <is>
          <t>RIOMICA70TS</t>
        </is>
      </c>
      <c r="B606" t="inlineStr">
        <is>
          <t>RIO ORIGINAL CAB</t>
        </is>
      </c>
      <c r="C606" t="inlineStr">
        <is>
          <t>Manufactura / Caballero / P. Superiores</t>
        </is>
      </c>
      <c r="D606" t="n">
        <v>28</v>
      </c>
      <c r="E606" t="n">
        <v>1586.69979457</v>
      </c>
      <c r="F606" t="n">
        <v>0.8966398928111111</v>
      </c>
      <c r="G606" t="n">
        <v>43</v>
      </c>
      <c r="H606" t="n">
        <v>5.939350288</v>
      </c>
      <c r="I606" t="n">
        <v>2.8</v>
      </c>
      <c r="J606" t="n">
        <v>1</v>
      </c>
      <c r="K606" t="inlineStr"/>
    </row>
    <row r="607">
      <c r="A607" t="inlineStr">
        <is>
          <t>POLPLCA12TS</t>
        </is>
      </c>
      <c r="B607" t="inlineStr">
        <is>
          <t>CLASSIC POLO</t>
        </is>
      </c>
      <c r="C607" t="inlineStr">
        <is>
          <t>Manufactura / Caballero / P. Superiores</t>
        </is>
      </c>
      <c r="D607" t="n">
        <v>41</v>
      </c>
      <c r="E607" t="n">
        <v>1582.49900604</v>
      </c>
      <c r="F607" t="n">
        <v>0.8181456599388889</v>
      </c>
      <c r="G607" t="n">
        <v>24</v>
      </c>
      <c r="H607" t="n">
        <v>7.340000000000001</v>
      </c>
      <c r="I607" t="n">
        <v>4.1</v>
      </c>
      <c r="J607" t="n">
        <v>0</v>
      </c>
      <c r="K607" t="inlineStr"/>
    </row>
    <row r="608">
      <c r="A608" t="inlineStr">
        <is>
          <t>RIOMIDA43TXL</t>
        </is>
      </c>
      <c r="B608" t="inlineStr">
        <is>
          <t>RIO ORIGINAL DAMA</t>
        </is>
      </c>
      <c r="C608" t="inlineStr">
        <is>
          <t>Manufactura / Dama / P. Superiores</t>
        </is>
      </c>
      <c r="D608" t="n">
        <v>31</v>
      </c>
      <c r="E608" t="n">
        <v>1581.4383944</v>
      </c>
      <c r="F608" t="n">
        <v>0.8879712509969697</v>
      </c>
      <c r="G608" t="n">
        <v>27</v>
      </c>
      <c r="H608" t="n">
        <v>5.538832275</v>
      </c>
      <c r="I608" t="n">
        <v>3.1</v>
      </c>
      <c r="J608" t="n">
        <v>1</v>
      </c>
      <c r="K608" t="inlineStr"/>
    </row>
    <row r="609">
      <c r="A609" t="inlineStr">
        <is>
          <t>SHOUNCA38TM</t>
        </is>
      </c>
      <c r="B609" t="inlineStr">
        <is>
          <t>SHORT PLAYA CAB</t>
        </is>
      </c>
      <c r="C609" t="inlineStr">
        <is>
          <t>Manufactura / Caballero / P. Inferiores</t>
        </is>
      </c>
      <c r="D609" t="n">
        <v>32</v>
      </c>
      <c r="E609" t="n">
        <v>1581.22678842</v>
      </c>
      <c r="F609" t="n">
        <v>0.792260500284375</v>
      </c>
      <c r="G609" t="n">
        <v>29</v>
      </c>
      <c r="H609" t="n">
        <v>9.99</v>
      </c>
      <c r="I609" t="n">
        <v>3.2</v>
      </c>
      <c r="J609" t="n">
        <v>0</v>
      </c>
      <c r="K609" t="inlineStr"/>
    </row>
    <row r="610">
      <c r="A610" t="inlineStr">
        <is>
          <t>JACKI66T6</t>
        </is>
      </c>
      <c r="B610" t="inlineStr">
        <is>
          <t>JACKET KIDS</t>
        </is>
      </c>
      <c r="C610" t="inlineStr">
        <is>
          <t>Manufactura / Kids / P. Superiores</t>
        </is>
      </c>
      <c r="D610" t="n">
        <v>27</v>
      </c>
      <c r="E610" t="n">
        <v>1580.72984218</v>
      </c>
      <c r="F610" t="n">
        <v>0.7329744369935484</v>
      </c>
      <c r="G610" t="n">
        <v>140</v>
      </c>
      <c r="H610" t="n">
        <v>15.17</v>
      </c>
      <c r="I610" t="n">
        <v>2.7</v>
      </c>
      <c r="J610" t="n">
        <v>0</v>
      </c>
      <c r="K610" t="inlineStr"/>
    </row>
    <row r="611">
      <c r="A611" t="inlineStr">
        <is>
          <t>RIOMIKI48T4</t>
        </is>
      </c>
      <c r="B611" t="inlineStr">
        <is>
          <t>RIO ORIGINAL KIDS</t>
        </is>
      </c>
      <c r="C611" t="inlineStr">
        <is>
          <t>Manufactura / Kids / P. Superiores</t>
        </is>
      </c>
      <c r="D611" t="n">
        <v>35</v>
      </c>
      <c r="E611" t="n">
        <v>1574.72816473</v>
      </c>
      <c r="F611" t="n">
        <v>0.9169819117800001</v>
      </c>
      <c r="G611" t="n">
        <v>35</v>
      </c>
      <c r="H611" t="n">
        <v>3.617969464</v>
      </c>
      <c r="I611" t="n">
        <v>3.5</v>
      </c>
      <c r="J611" t="n">
        <v>0</v>
      </c>
      <c r="K611" t="inlineStr"/>
    </row>
    <row r="612">
      <c r="A612" t="inlineStr">
        <is>
          <t>SHONRCA43TM</t>
        </is>
      </c>
      <c r="B612" t="inlineStr">
        <is>
          <t>SHORT SPORT CAB</t>
        </is>
      </c>
      <c r="C612" t="inlineStr">
        <is>
          <t>Manufactura / Caballero / P. Inferiores</t>
        </is>
      </c>
      <c r="D612" t="n">
        <v>55</v>
      </c>
      <c r="E612" t="n">
        <v>1563.27524595</v>
      </c>
      <c r="F612" t="n">
        <v>0.7589240371684211</v>
      </c>
      <c r="G612" t="n">
        <v>3</v>
      </c>
      <c r="H612" t="n">
        <v>10.6514486</v>
      </c>
      <c r="I612" t="n">
        <v>5.5</v>
      </c>
      <c r="J612" t="n">
        <v>2</v>
      </c>
      <c r="K612" t="inlineStr"/>
    </row>
    <row r="613">
      <c r="A613" t="inlineStr">
        <is>
          <t>SHUNTCA31TL</t>
        </is>
      </c>
      <c r="B613" t="inlineStr">
        <is>
          <t>SHORT SPORT R1 CAB</t>
        </is>
      </c>
      <c r="C613" t="inlineStr">
        <is>
          <t>Manufactura / Caballero / P. Inferiores</t>
        </is>
      </c>
      <c r="D613" t="n">
        <v>33</v>
      </c>
      <c r="E613" t="n">
        <v>1561.19129186</v>
      </c>
      <c r="F613" t="n">
        <v>0.8303299305375</v>
      </c>
      <c r="G613" t="n">
        <v>2</v>
      </c>
      <c r="H613" t="n">
        <v>9.119999999999999</v>
      </c>
      <c r="I613" t="n">
        <v>3.3</v>
      </c>
      <c r="J613" t="n">
        <v>0</v>
      </c>
      <c r="K613" t="inlineStr"/>
    </row>
    <row r="614">
      <c r="A614" t="inlineStr">
        <is>
          <t>RIOMIKI13T12</t>
        </is>
      </c>
      <c r="B614" t="inlineStr">
        <is>
          <t>RIO ORIGINAL KIDS</t>
        </is>
      </c>
      <c r="C614" t="inlineStr">
        <is>
          <t>Manufactura / Kids / P. Superiores</t>
        </is>
      </c>
      <c r="D614" t="n">
        <v>36</v>
      </c>
      <c r="E614" t="n">
        <v>1554.81048965</v>
      </c>
      <c r="F614" t="n">
        <v>0.9189233407868421</v>
      </c>
      <c r="G614" t="n">
        <v>31</v>
      </c>
      <c r="H614" t="n">
        <v>3.617969464</v>
      </c>
      <c r="I614" t="n">
        <v>3.6</v>
      </c>
      <c r="J614" t="n">
        <v>1</v>
      </c>
      <c r="K614" t="inlineStr"/>
    </row>
    <row r="615">
      <c r="A615" t="inlineStr">
        <is>
          <t>POLPLCA12TXL</t>
        </is>
      </c>
      <c r="B615" t="inlineStr">
        <is>
          <t>CLASSIC POLO</t>
        </is>
      </c>
      <c r="C615" t="inlineStr">
        <is>
          <t>Manufactura / Caballero / P. Superiores</t>
        </is>
      </c>
      <c r="D615" t="n">
        <v>38</v>
      </c>
      <c r="E615" t="n">
        <v>1551.90442315</v>
      </c>
      <c r="F615" t="n">
        <v>0.8179542571869566</v>
      </c>
      <c r="G615" t="n">
        <v>0</v>
      </c>
      <c r="H615" t="n">
        <v>7.34</v>
      </c>
      <c r="I615" t="n">
        <v>3.8</v>
      </c>
      <c r="J615" t="n">
        <v>1</v>
      </c>
      <c r="K615" t="inlineStr">
        <is>
          <t>Sin stock</t>
        </is>
      </c>
    </row>
    <row r="616">
      <c r="A616" t="inlineStr">
        <is>
          <t>SHONTCA43TL</t>
        </is>
      </c>
      <c r="B616" t="inlineStr">
        <is>
          <t>EXPLORE SHORT CAB</t>
        </is>
      </c>
      <c r="C616" t="inlineStr">
        <is>
          <t>Manufactura / Caballero / P. Inferiores</t>
        </is>
      </c>
      <c r="D616" t="n">
        <v>32</v>
      </c>
      <c r="E616" t="n">
        <v>1551.50833395</v>
      </c>
      <c r="F616" t="n">
        <v>0.767915608483871</v>
      </c>
      <c r="G616" t="n">
        <v>3</v>
      </c>
      <c r="H616" t="n">
        <v>11.17</v>
      </c>
      <c r="I616" t="n">
        <v>3.2</v>
      </c>
      <c r="J616" t="n">
        <v>0</v>
      </c>
      <c r="K616" t="inlineStr"/>
    </row>
    <row r="617">
      <c r="A617" t="inlineStr">
        <is>
          <t>LMOFIDA43TM</t>
        </is>
      </c>
      <c r="B617" t="inlineStr">
        <is>
          <t>LEGGING MOVA</t>
        </is>
      </c>
      <c r="C617" t="inlineStr">
        <is>
          <t>Manufactura / Dama / P. Inferiores</t>
        </is>
      </c>
      <c r="D617" t="n">
        <v>27</v>
      </c>
      <c r="E617" t="n">
        <v>1550.53579755</v>
      </c>
      <c r="F617" t="n">
        <v>0.78607220528</v>
      </c>
      <c r="G617" t="n">
        <v>12</v>
      </c>
      <c r="H617" t="n">
        <v>17.7</v>
      </c>
      <c r="I617" t="n">
        <v>2.7</v>
      </c>
      <c r="J617" t="n">
        <v>0</v>
      </c>
      <c r="K617" t="inlineStr"/>
    </row>
    <row r="618">
      <c r="A618" t="inlineStr">
        <is>
          <t>SARSPDA12TM</t>
        </is>
      </c>
      <c r="B618" t="inlineStr">
        <is>
          <t>FALDA SARA DAMA</t>
        </is>
      </c>
      <c r="C618" t="inlineStr">
        <is>
          <t>Manufactura / Dama / P. Inferiores</t>
        </is>
      </c>
      <c r="D618" t="n">
        <v>34</v>
      </c>
      <c r="E618" t="n">
        <v>1546.17656724</v>
      </c>
      <c r="F618" t="n">
        <v>0.804775781046875</v>
      </c>
      <c r="G618" t="n">
        <v>13</v>
      </c>
      <c r="H618" t="n">
        <v>9.500113852</v>
      </c>
      <c r="I618" t="n">
        <v>3.4</v>
      </c>
      <c r="J618" t="n">
        <v>0</v>
      </c>
      <c r="K618" t="inlineStr"/>
    </row>
    <row r="619">
      <c r="A619" t="inlineStr">
        <is>
          <t>DAYCSTDA16TM</t>
        </is>
      </c>
      <c r="B619" t="inlineStr">
        <is>
          <t>CLASICA DAILY 3.0 DAMA</t>
        </is>
      </c>
      <c r="C619" t="inlineStr">
        <is>
          <t>Manufactura / Dama / P. Superiores</t>
        </is>
      </c>
      <c r="D619" t="n">
        <v>52</v>
      </c>
      <c r="E619" t="n">
        <v>1544.02441635</v>
      </c>
      <c r="F619" t="n">
        <v>0.780635179996875</v>
      </c>
      <c r="G619" t="n">
        <v>24</v>
      </c>
      <c r="H619" t="n">
        <v>10.28586481</v>
      </c>
      <c r="I619" t="n">
        <v>5.2</v>
      </c>
      <c r="J619" t="n">
        <v>0</v>
      </c>
      <c r="K619" t="inlineStr"/>
    </row>
    <row r="620">
      <c r="A620" t="inlineStr">
        <is>
          <t>JAPKI162T8</t>
        </is>
      </c>
      <c r="B620" t="inlineStr">
        <is>
          <t>CUADRO JACKET 2.0 KIDS</t>
        </is>
      </c>
      <c r="C620" t="inlineStr">
        <is>
          <t>Equipamiento / Ropa</t>
        </is>
      </c>
      <c r="D620" t="n">
        <v>23</v>
      </c>
      <c r="E620" t="n">
        <v>1541.91409428</v>
      </c>
      <c r="F620" t="n">
        <v>0.7835335765047619</v>
      </c>
      <c r="G620" t="n">
        <v>95</v>
      </c>
      <c r="H620" t="n">
        <v>15.17</v>
      </c>
      <c r="I620" t="n">
        <v>2.3</v>
      </c>
      <c r="J620" t="n">
        <v>0</v>
      </c>
      <c r="K620" t="inlineStr"/>
    </row>
    <row r="621">
      <c r="A621" t="inlineStr">
        <is>
          <t>CLAMICA16TXL</t>
        </is>
      </c>
      <c r="B621" t="inlineStr">
        <is>
          <t>CLASICA ORIGINAL CAB</t>
        </is>
      </c>
      <c r="C621" t="inlineStr">
        <is>
          <t>Manufactura / Caballero / P. Superiores</t>
        </is>
      </c>
      <c r="D621" t="n">
        <v>50</v>
      </c>
      <c r="E621" t="n">
        <v>1535.78689995</v>
      </c>
      <c r="F621" t="n">
        <v>0.8669830747848485</v>
      </c>
      <c r="G621" t="n">
        <v>64</v>
      </c>
      <c r="H621" t="n">
        <v>4.598442536</v>
      </c>
      <c r="I621" t="n">
        <v>5</v>
      </c>
      <c r="J621" t="n">
        <v>0</v>
      </c>
      <c r="K621" t="inlineStr"/>
    </row>
    <row r="622">
      <c r="A622" t="inlineStr">
        <is>
          <t>JAPKI01T12</t>
        </is>
      </c>
      <c r="B622" t="inlineStr">
        <is>
          <t>CUADRO JACKET 2.0 KIDS</t>
        </is>
      </c>
      <c r="C622" t="inlineStr">
        <is>
          <t>Equipamiento / Ropa</t>
        </is>
      </c>
      <c r="D622" t="n">
        <v>23</v>
      </c>
      <c r="E622" t="n">
        <v>1523.1051167</v>
      </c>
      <c r="F622" t="n">
        <v>0.7607237303379309</v>
      </c>
      <c r="G622" t="n">
        <v>53</v>
      </c>
      <c r="H622" t="n">
        <v>15.17</v>
      </c>
      <c r="I622" t="n">
        <v>2.3</v>
      </c>
      <c r="J622" t="n">
        <v>0</v>
      </c>
      <c r="K622" t="inlineStr"/>
    </row>
    <row r="623">
      <c r="A623" t="inlineStr">
        <is>
          <t>JAPKI162T6</t>
        </is>
      </c>
      <c r="B623" t="inlineStr">
        <is>
          <t>CUADRO JACKET 2.0 KIDS</t>
        </is>
      </c>
      <c r="C623" t="inlineStr">
        <is>
          <t>Equipamiento / Ropa</t>
        </is>
      </c>
      <c r="D623" t="n">
        <v>24</v>
      </c>
      <c r="E623" t="n">
        <v>1516.72185724</v>
      </c>
      <c r="F623" t="n">
        <v>0.7631277621869564</v>
      </c>
      <c r="G623" t="n">
        <v>6</v>
      </c>
      <c r="H623" t="n">
        <v>15.17</v>
      </c>
      <c r="I623" t="n">
        <v>2.4</v>
      </c>
      <c r="J623" t="n">
        <v>0</v>
      </c>
      <c r="K623" t="inlineStr"/>
    </row>
    <row r="624">
      <c r="A624" t="inlineStr">
        <is>
          <t>CLAMECA16TL</t>
        </is>
      </c>
      <c r="B624" t="inlineStr">
        <is>
          <t>CLASICA SPORT CAB</t>
        </is>
      </c>
      <c r="C624" t="inlineStr">
        <is>
          <t>Manufactura / Caballero / P. Superiores</t>
        </is>
      </c>
      <c r="D624" t="n">
        <v>34</v>
      </c>
      <c r="E624" t="n">
        <v>1510.362971724416</v>
      </c>
      <c r="F624" t="n">
        <v>0.7714827663861111</v>
      </c>
      <c r="G624" t="n">
        <v>5</v>
      </c>
      <c r="H624" t="n">
        <v>10.3013454</v>
      </c>
      <c r="I624" t="n">
        <v>3.4</v>
      </c>
      <c r="J624" t="n">
        <v>0</v>
      </c>
      <c r="K624" t="inlineStr"/>
    </row>
    <row r="625">
      <c r="A625" t="inlineStr">
        <is>
          <t>BAPCCDA43TXL</t>
        </is>
      </c>
      <c r="B625" t="inlineStr">
        <is>
          <t>BASIC LINE PANT DAMA</t>
        </is>
      </c>
      <c r="C625" t="inlineStr">
        <is>
          <t>Manufactura / Dama / P. Inferiores</t>
        </is>
      </c>
      <c r="D625" t="n">
        <v>23</v>
      </c>
      <c r="E625" t="n">
        <v>1510.00296177</v>
      </c>
      <c r="F625" t="n">
        <v>0.8309542431318182</v>
      </c>
      <c r="G625" t="n">
        <v>26</v>
      </c>
      <c r="H625" t="n">
        <v>11.2</v>
      </c>
      <c r="I625" t="n">
        <v>2.3</v>
      </c>
      <c r="J625" t="n">
        <v>0</v>
      </c>
      <c r="K625" t="inlineStr"/>
    </row>
    <row r="626">
      <c r="A626" t="inlineStr">
        <is>
          <t>MARMIKI16T14</t>
        </is>
      </c>
      <c r="B626" t="inlineStr">
        <is>
          <t>MAR ORIGINAL KIDS</t>
        </is>
      </c>
      <c r="C626" t="inlineStr">
        <is>
          <t>Manufactura / Kids / P. Superiores</t>
        </is>
      </c>
      <c r="D626" t="n">
        <v>41</v>
      </c>
      <c r="E626" t="n">
        <v>1504.05020718</v>
      </c>
      <c r="F626" t="n">
        <v>0.9147628342999999</v>
      </c>
      <c r="G626" t="n">
        <v>17</v>
      </c>
      <c r="H626" t="n">
        <v>3.168013332</v>
      </c>
      <c r="I626" t="n">
        <v>4.1</v>
      </c>
      <c r="J626" t="n">
        <v>0</v>
      </c>
      <c r="K626" t="inlineStr"/>
    </row>
    <row r="627">
      <c r="A627" t="inlineStr">
        <is>
          <t>MARMIKI53T12</t>
        </is>
      </c>
      <c r="B627" t="inlineStr">
        <is>
          <t>MAR ORIGINAL KIDS</t>
        </is>
      </c>
      <c r="C627" t="inlineStr">
        <is>
          <t>Manufactura / Kids / P. Superiores</t>
        </is>
      </c>
      <c r="D627" t="n">
        <v>39</v>
      </c>
      <c r="E627" t="n">
        <v>1503.35921292</v>
      </c>
      <c r="F627" t="n">
        <v>0.9174623865054053</v>
      </c>
      <c r="G627" t="n">
        <v>33</v>
      </c>
      <c r="H627" t="n">
        <v>3.168013332</v>
      </c>
      <c r="I627" t="n">
        <v>3.9</v>
      </c>
      <c r="J627" t="n">
        <v>0</v>
      </c>
      <c r="K627" t="inlineStr"/>
    </row>
    <row r="628">
      <c r="A628" t="inlineStr">
        <is>
          <t>SARSPDA12TS</t>
        </is>
      </c>
      <c r="B628" t="inlineStr">
        <is>
          <t>FALDA SARA DAMA</t>
        </is>
      </c>
      <c r="C628" t="inlineStr">
        <is>
          <t>Manufactura / Dama / P. Inferiores</t>
        </is>
      </c>
      <c r="D628" t="n">
        <v>31</v>
      </c>
      <c r="E628" t="n">
        <v>1500.60989769</v>
      </c>
      <c r="F628" t="n">
        <v>0.8106400594594594</v>
      </c>
      <c r="G628" t="n">
        <v>17</v>
      </c>
      <c r="H628" t="n">
        <v>9.500113852</v>
      </c>
      <c r="I628" t="n">
        <v>3.1</v>
      </c>
      <c r="J628" t="n">
        <v>0</v>
      </c>
      <c r="K628" t="inlineStr"/>
    </row>
    <row r="629">
      <c r="A629" t="inlineStr">
        <is>
          <t>RIOMICA66TM</t>
        </is>
      </c>
      <c r="B629" t="inlineStr">
        <is>
          <t>RIO ORIGINAL CAB</t>
        </is>
      </c>
      <c r="C629" t="inlineStr">
        <is>
          <t>Manufactura / Caballero / P. Superiores</t>
        </is>
      </c>
      <c r="D629" t="n">
        <v>30</v>
      </c>
      <c r="E629" t="n">
        <v>1497.10238782</v>
      </c>
      <c r="F629" t="n">
        <v>0.8862137620678572</v>
      </c>
      <c r="G629" t="n">
        <v>2</v>
      </c>
      <c r="H629" t="n">
        <v>5.939350288</v>
      </c>
      <c r="I629" t="n">
        <v>3</v>
      </c>
      <c r="J629" t="n">
        <v>0</v>
      </c>
      <c r="K629" t="inlineStr"/>
    </row>
    <row r="630">
      <c r="A630" t="inlineStr">
        <is>
          <t>BACCCDA38TM</t>
        </is>
      </c>
      <c r="B630" t="inlineStr">
        <is>
          <t>BASIC LINE CROP TEE DAMA</t>
        </is>
      </c>
      <c r="C630" t="inlineStr">
        <is>
          <t>Manufactura / Dama / P. Superiores</t>
        </is>
      </c>
      <c r="D630" t="n">
        <v>34</v>
      </c>
      <c r="E630" t="n">
        <v>1495.00338386</v>
      </c>
      <c r="F630" t="n">
        <v>0.892434493032</v>
      </c>
      <c r="G630" t="n">
        <v>10</v>
      </c>
      <c r="H630" t="n">
        <v>6.196330833</v>
      </c>
      <c r="I630" t="n">
        <v>3.4</v>
      </c>
      <c r="J630" t="n">
        <v>0</v>
      </c>
      <c r="K630" t="inlineStr"/>
    </row>
    <row r="631">
      <c r="A631" t="inlineStr">
        <is>
          <t>RIOMIKI50T4</t>
        </is>
      </c>
      <c r="B631" t="inlineStr">
        <is>
          <t>RIO ORIGINAL KIDS</t>
        </is>
      </c>
      <c r="C631" t="inlineStr">
        <is>
          <t>Manufactura / Kids / P. Superiores</t>
        </is>
      </c>
      <c r="D631" t="n">
        <v>35</v>
      </c>
      <c r="E631" t="n">
        <v>1493.01389153</v>
      </c>
      <c r="F631" t="n">
        <v>0.9108971228685714</v>
      </c>
      <c r="G631" t="n">
        <v>53</v>
      </c>
      <c r="H631" t="n">
        <v>3.617969464</v>
      </c>
      <c r="I631" t="n">
        <v>3.5</v>
      </c>
      <c r="J631" t="n">
        <v>0</v>
      </c>
      <c r="K631" t="inlineStr"/>
    </row>
    <row r="632">
      <c r="A632" t="inlineStr">
        <is>
          <t>BACCCDA43TS</t>
        </is>
      </c>
      <c r="B632" t="inlineStr">
        <is>
          <t>BASIC LINE CROP TEE DAMA</t>
        </is>
      </c>
      <c r="C632" t="inlineStr">
        <is>
          <t>Manufactura / Dama / P. Superiores</t>
        </is>
      </c>
      <c r="D632" t="n">
        <v>33</v>
      </c>
      <c r="E632" t="n">
        <v>1486.25471677</v>
      </c>
      <c r="F632" t="n">
        <v>0.8888488097076923</v>
      </c>
      <c r="G632" t="n">
        <v>84</v>
      </c>
      <c r="H632" t="n">
        <v>6.196330833</v>
      </c>
      <c r="I632" t="n">
        <v>3.3</v>
      </c>
      <c r="J632" t="n">
        <v>0</v>
      </c>
      <c r="K632" t="inlineStr"/>
    </row>
    <row r="633">
      <c r="A633" t="inlineStr">
        <is>
          <t>JACKI47T6</t>
        </is>
      </c>
      <c r="B633" t="inlineStr">
        <is>
          <t>JACKET KIDS</t>
        </is>
      </c>
      <c r="C633" t="inlineStr">
        <is>
          <t>Manufactura / Kids / P. Superiores</t>
        </is>
      </c>
      <c r="D633" t="n">
        <v>27</v>
      </c>
      <c r="E633" t="n">
        <v>1483.38047999</v>
      </c>
      <c r="F633" t="n">
        <v>0.7251437987966667</v>
      </c>
      <c r="G633" t="n">
        <v>33</v>
      </c>
      <c r="H633" t="n">
        <v>15.17</v>
      </c>
      <c r="I633" t="n">
        <v>2.7</v>
      </c>
      <c r="J633" t="n">
        <v>0</v>
      </c>
      <c r="K633" t="inlineStr"/>
    </row>
    <row r="634">
      <c r="A634" t="inlineStr">
        <is>
          <t>BAOCCCA43TS</t>
        </is>
      </c>
      <c r="B634" t="inlineStr">
        <is>
          <t>BASIC LINE OVERSIZED CAB</t>
        </is>
      </c>
      <c r="C634" t="inlineStr">
        <is>
          <t>Manufactura / Caballero / P. Superiores</t>
        </is>
      </c>
      <c r="D634" t="n">
        <v>33</v>
      </c>
      <c r="E634" t="n">
        <v>1482.89844223</v>
      </c>
      <c r="F634" t="n">
        <v>0.843128327</v>
      </c>
      <c r="G634" t="n">
        <v>89</v>
      </c>
      <c r="H634" t="n">
        <v>9.336740741</v>
      </c>
      <c r="I634" t="n">
        <v>3.3</v>
      </c>
      <c r="J634" t="n">
        <v>0</v>
      </c>
      <c r="K634" t="inlineStr"/>
    </row>
    <row r="635">
      <c r="A635" t="inlineStr">
        <is>
          <t>MARMIDA50TL</t>
        </is>
      </c>
      <c r="B635" t="inlineStr">
        <is>
          <t>MAR ORIGINAL DAMA</t>
        </is>
      </c>
      <c r="C635" t="inlineStr">
        <is>
          <t>Manufactura / Dama / P. Superiores</t>
        </is>
      </c>
      <c r="D635" t="n">
        <v>36</v>
      </c>
      <c r="E635" t="n">
        <v>1481.39075901</v>
      </c>
      <c r="F635" t="n">
        <v>0.9074673203517242</v>
      </c>
      <c r="G635" t="n">
        <v>60</v>
      </c>
      <c r="H635" t="n">
        <v>4.278324149</v>
      </c>
      <c r="I635" t="n">
        <v>3.6</v>
      </c>
      <c r="J635" t="n">
        <v>1</v>
      </c>
      <c r="K635" t="inlineStr"/>
    </row>
    <row r="636">
      <c r="A636" t="inlineStr">
        <is>
          <t>SHOSUCA154T2XL</t>
        </is>
      </c>
      <c r="B636" t="inlineStr">
        <is>
          <t>SHORT PLAYA ESTAMPADO CAB</t>
        </is>
      </c>
      <c r="C636" t="inlineStr">
        <is>
          <t>Manufactura / Caballero / P. Inferiores</t>
        </is>
      </c>
      <c r="D636" t="n">
        <v>28</v>
      </c>
      <c r="E636" t="n">
        <v>1472.1153101</v>
      </c>
      <c r="F636" t="n">
        <v>0.7721441392666667</v>
      </c>
      <c r="G636" t="n">
        <v>14</v>
      </c>
      <c r="H636" t="n">
        <v>12.11</v>
      </c>
      <c r="I636" t="n">
        <v>2.8</v>
      </c>
      <c r="J636" t="n">
        <v>1</v>
      </c>
      <c r="K636" t="inlineStr"/>
    </row>
    <row r="637">
      <c r="A637" t="inlineStr">
        <is>
          <t>RIOMIKI43T8</t>
        </is>
      </c>
      <c r="B637" t="inlineStr">
        <is>
          <t>RIO ORIGINAL KIDS</t>
        </is>
      </c>
      <c r="C637" t="inlineStr">
        <is>
          <t>Manufactura / Kids / P. Superiores</t>
        </is>
      </c>
      <c r="D637" t="n">
        <v>34</v>
      </c>
      <c r="E637" t="n">
        <v>1470.19339179</v>
      </c>
      <c r="F637" t="n">
        <v>0.9163923785850001</v>
      </c>
      <c r="G637" t="n">
        <v>75</v>
      </c>
      <c r="H637" t="n">
        <v>3.617969464</v>
      </c>
      <c r="I637" t="n">
        <v>3.4</v>
      </c>
      <c r="J637" t="n">
        <v>0</v>
      </c>
      <c r="K637" t="inlineStr"/>
    </row>
    <row r="638">
      <c r="A638" t="inlineStr">
        <is>
          <t>SHUNTCA43TS</t>
        </is>
      </c>
      <c r="B638" t="inlineStr">
        <is>
          <t>SHORT SPORT R1 CAB</t>
        </is>
      </c>
      <c r="C638" t="inlineStr">
        <is>
          <t>Manufactura / Caballero / P. Inferiores</t>
        </is>
      </c>
      <c r="D638" t="n">
        <v>32</v>
      </c>
      <c r="E638" t="n">
        <v>1469.571988</v>
      </c>
      <c r="F638" t="n">
        <v>0.8145287680034483</v>
      </c>
      <c r="G638" t="n">
        <v>26</v>
      </c>
      <c r="H638" t="n">
        <v>9.119999999999999</v>
      </c>
      <c r="I638" t="n">
        <v>3.2</v>
      </c>
      <c r="J638" t="n">
        <v>0</v>
      </c>
      <c r="K638" t="inlineStr"/>
    </row>
    <row r="639">
      <c r="A639" t="inlineStr">
        <is>
          <t>SHOSUCA156T2XL</t>
        </is>
      </c>
      <c r="B639" t="inlineStr">
        <is>
          <t>SHORT PLAYA ESTAMPADO CAB</t>
        </is>
      </c>
      <c r="C639" t="inlineStr">
        <is>
          <t>Manufactura / Caballero / P. Inferiores</t>
        </is>
      </c>
      <c r="D639" t="n">
        <v>28</v>
      </c>
      <c r="E639" t="n">
        <v>1469.30442508</v>
      </c>
      <c r="F639" t="n">
        <v>0.76127486699</v>
      </c>
      <c r="G639" t="n">
        <v>9</v>
      </c>
      <c r="H639" t="n">
        <v>12.11</v>
      </c>
      <c r="I639" t="n">
        <v>2.8</v>
      </c>
      <c r="J639" t="n">
        <v>1</v>
      </c>
      <c r="K639" t="inlineStr"/>
    </row>
    <row r="640">
      <c r="A640" t="inlineStr">
        <is>
          <t>MIKFNDA16TM</t>
        </is>
      </c>
      <c r="B640" t="inlineStr">
        <is>
          <t>MIKA SPORT LITE DAMA</t>
        </is>
      </c>
      <c r="C640" t="inlineStr">
        <is>
          <t>Manufactura / Dama / P. Superiores</t>
        </is>
      </c>
      <c r="D640" t="n">
        <v>44</v>
      </c>
      <c r="E640" t="n">
        <v>1467.63952245</v>
      </c>
      <c r="F640" t="n">
        <v>0.8466272183292682</v>
      </c>
      <c r="G640" t="n">
        <v>8</v>
      </c>
      <c r="H640" t="n">
        <v>5.484675344</v>
      </c>
      <c r="I640" t="n">
        <v>4.4</v>
      </c>
      <c r="J640" t="n">
        <v>0</v>
      </c>
      <c r="K640" t="inlineStr"/>
    </row>
    <row r="641">
      <c r="A641" t="inlineStr">
        <is>
          <t>HEA73EQ</t>
        </is>
      </c>
      <c r="B641" t="inlineStr">
        <is>
          <t>HEADBAND</t>
        </is>
      </c>
      <c r="C641" t="inlineStr">
        <is>
          <t>Equipamiento / Accesorios</t>
        </is>
      </c>
      <c r="D641" t="n">
        <v>95</v>
      </c>
      <c r="E641" t="n">
        <v>1461.415538245</v>
      </c>
      <c r="F641" t="n">
        <v>0.7070767486376345</v>
      </c>
      <c r="G641" t="n">
        <v>211</v>
      </c>
      <c r="H641" t="n">
        <v>4.26</v>
      </c>
      <c r="I641" t="n">
        <v>9.5</v>
      </c>
      <c r="J641" t="n">
        <v>0</v>
      </c>
      <c r="K641" t="inlineStr"/>
    </row>
    <row r="642">
      <c r="A642" t="inlineStr">
        <is>
          <t>JACCA70TS</t>
        </is>
      </c>
      <c r="B642" t="inlineStr">
        <is>
          <t>JACKET CAB</t>
        </is>
      </c>
      <c r="C642" t="inlineStr">
        <is>
          <t>Equipamiento / Ropa</t>
        </is>
      </c>
      <c r="D642" t="n">
        <v>25</v>
      </c>
      <c r="E642" t="n">
        <v>1460.54730724</v>
      </c>
      <c r="F642" t="n">
        <v>0.6934853018639999</v>
      </c>
      <c r="G642" t="n">
        <v>71</v>
      </c>
      <c r="H642" t="n">
        <v>20.25001933</v>
      </c>
      <c r="I642" t="n">
        <v>2.5</v>
      </c>
      <c r="J642" t="n">
        <v>0</v>
      </c>
      <c r="K642" t="inlineStr"/>
    </row>
    <row r="643">
      <c r="A643" t="inlineStr">
        <is>
          <t>POLPLCA33T2XL</t>
        </is>
      </c>
      <c r="B643" t="inlineStr">
        <is>
          <t>CLASSIC POLO</t>
        </is>
      </c>
      <c r="C643" t="inlineStr">
        <is>
          <t>Manufactura / Caballero / P. Superiores</t>
        </is>
      </c>
      <c r="D643" t="n">
        <v>30</v>
      </c>
      <c r="E643" t="n">
        <v>1457.00580934</v>
      </c>
      <c r="F643" t="n">
        <v>0.8463893668774193</v>
      </c>
      <c r="G643" t="n">
        <v>0</v>
      </c>
      <c r="H643" t="n">
        <v>7.34</v>
      </c>
      <c r="I643" t="n">
        <v>3</v>
      </c>
      <c r="J643" t="n">
        <v>0</v>
      </c>
      <c r="K643" t="inlineStr">
        <is>
          <t>Sin stock</t>
        </is>
      </c>
    </row>
    <row r="644">
      <c r="A644" t="inlineStr">
        <is>
          <t>MARMIDA04TM</t>
        </is>
      </c>
      <c r="B644" t="inlineStr">
        <is>
          <t>MAR ORIGINAL DAMA</t>
        </is>
      </c>
      <c r="C644" t="inlineStr">
        <is>
          <t>Manufactura / Dama / P. Superiores</t>
        </is>
      </c>
      <c r="D644" t="n">
        <v>29</v>
      </c>
      <c r="E644" t="n">
        <v>1455.9664098</v>
      </c>
      <c r="F644" t="n">
        <v>0.9149201747758621</v>
      </c>
      <c r="G644" t="n">
        <v>50</v>
      </c>
      <c r="H644" t="n">
        <v>4.278324149</v>
      </c>
      <c r="I644" t="n">
        <v>2.9</v>
      </c>
      <c r="J644" t="n">
        <v>0</v>
      </c>
      <c r="K644" t="inlineStr"/>
    </row>
    <row r="645">
      <c r="A645" t="inlineStr">
        <is>
          <t>RIOMIKI16T2</t>
        </is>
      </c>
      <c r="B645" t="inlineStr">
        <is>
          <t>RIO ORIGINAL KIDS</t>
        </is>
      </c>
      <c r="C645" t="inlineStr">
        <is>
          <t>Manufactura / Kids / P. Superiores</t>
        </is>
      </c>
      <c r="D645" t="n">
        <v>35</v>
      </c>
      <c r="E645" t="n">
        <v>1452.41425907</v>
      </c>
      <c r="F645" t="n">
        <v>0.9162626472324323</v>
      </c>
      <c r="G645" t="n">
        <v>33</v>
      </c>
      <c r="H645" t="n">
        <v>3.617969464</v>
      </c>
      <c r="I645" t="n">
        <v>3.5</v>
      </c>
      <c r="J645" t="n">
        <v>0</v>
      </c>
      <c r="K645" t="inlineStr"/>
    </row>
    <row r="646">
      <c r="A646" t="inlineStr">
        <is>
          <t>RIOMIDA70TS</t>
        </is>
      </c>
      <c r="B646" t="inlineStr">
        <is>
          <t>RIO ORIGINAL DAMA</t>
        </is>
      </c>
      <c r="C646" t="inlineStr">
        <is>
          <t>Manufactura / Dama / P. Superiores</t>
        </is>
      </c>
      <c r="D646" t="n">
        <v>26</v>
      </c>
      <c r="E646" t="n">
        <v>1450.99842551</v>
      </c>
      <c r="F646" t="n">
        <v>0.8988992160416668</v>
      </c>
      <c r="G646" t="n">
        <v>34</v>
      </c>
      <c r="H646" t="n">
        <v>5.538832275</v>
      </c>
      <c r="I646" t="n">
        <v>2.6</v>
      </c>
      <c r="J646" t="n">
        <v>0</v>
      </c>
      <c r="K646" t="inlineStr"/>
    </row>
    <row r="647">
      <c r="A647" t="inlineStr">
        <is>
          <t>CLAMECA13TL</t>
        </is>
      </c>
      <c r="B647" t="inlineStr">
        <is>
          <t>CLASICA SPORT CAB</t>
        </is>
      </c>
      <c r="C647" t="inlineStr">
        <is>
          <t>Manufactura / Caballero / P. Superiores</t>
        </is>
      </c>
      <c r="D647" t="n">
        <v>29</v>
      </c>
      <c r="E647" t="n">
        <v>1449.27348485</v>
      </c>
      <c r="F647" t="n">
        <v>0.7846203586612903</v>
      </c>
      <c r="G647" t="n">
        <v>1</v>
      </c>
      <c r="H647" t="n">
        <v>10.3013454</v>
      </c>
      <c r="I647" t="n">
        <v>2.9</v>
      </c>
      <c r="J647" t="n">
        <v>0</v>
      </c>
      <c r="K647" t="inlineStr"/>
    </row>
    <row r="648">
      <c r="A648" t="inlineStr">
        <is>
          <t>CLAMECA30TS</t>
        </is>
      </c>
      <c r="B648" t="inlineStr">
        <is>
          <t>CLASICA SPORT CAB</t>
        </is>
      </c>
      <c r="C648" t="inlineStr">
        <is>
          <t>Manufactura / Caballero / P. Superiores</t>
        </is>
      </c>
      <c r="D648" t="n">
        <v>27</v>
      </c>
      <c r="E648" t="n">
        <v>1439.12032578</v>
      </c>
      <c r="F648" t="n">
        <v>0.8019772195037037</v>
      </c>
      <c r="G648" t="n">
        <v>18</v>
      </c>
      <c r="H648" t="n">
        <v>10.3013454</v>
      </c>
      <c r="I648" t="n">
        <v>2.7</v>
      </c>
      <c r="J648" t="n">
        <v>0</v>
      </c>
      <c r="K648" t="inlineStr"/>
    </row>
    <row r="649">
      <c r="A649" t="inlineStr">
        <is>
          <t>MARMICA30TS</t>
        </is>
      </c>
      <c r="B649" t="inlineStr">
        <is>
          <t>MAR ORIGINAL CAB</t>
        </is>
      </c>
      <c r="C649" t="inlineStr">
        <is>
          <t>Manufactura / Caballero / P. Superiores</t>
        </is>
      </c>
      <c r="D649" t="n">
        <v>30</v>
      </c>
      <c r="E649" t="n">
        <v>1433.58408871</v>
      </c>
      <c r="F649" t="n">
        <v>0.9039047968321429</v>
      </c>
      <c r="G649" t="n">
        <v>37</v>
      </c>
      <c r="H649" t="n">
        <v>4.946357428</v>
      </c>
      <c r="I649" t="n">
        <v>3</v>
      </c>
      <c r="J649" t="n">
        <v>0</v>
      </c>
      <c r="K649" t="inlineStr"/>
    </row>
    <row r="650">
      <c r="A650" t="inlineStr">
        <is>
          <t>JAPKI43T8</t>
        </is>
      </c>
      <c r="B650" t="inlineStr">
        <is>
          <t>CUADRO JACKET 2.0 KIDS</t>
        </is>
      </c>
      <c r="C650" t="inlineStr">
        <is>
          <t>Equipamiento / Ropa</t>
        </is>
      </c>
      <c r="D650" t="n">
        <v>22</v>
      </c>
      <c r="E650" t="n">
        <v>1430.66387643</v>
      </c>
      <c r="F650" t="n">
        <v>0.766699711335</v>
      </c>
      <c r="G650" t="n">
        <v>76</v>
      </c>
      <c r="H650" t="n">
        <v>15.17</v>
      </c>
      <c r="I650" t="n">
        <v>2.2</v>
      </c>
      <c r="J650" t="n">
        <v>0</v>
      </c>
      <c r="K650" t="inlineStr"/>
    </row>
    <row r="651">
      <c r="A651" t="inlineStr">
        <is>
          <t>SNA66EQ</t>
        </is>
      </c>
      <c r="B651" t="inlineStr">
        <is>
          <t>LLAVERO SNAP</t>
        </is>
      </c>
      <c r="C651" t="inlineStr">
        <is>
          <t>Equipamiento / Accesorios</t>
        </is>
      </c>
      <c r="D651" t="n">
        <v>238</v>
      </c>
      <c r="E651" t="n">
        <v>1424.358392463</v>
      </c>
      <c r="F651" t="n">
        <v>0.8261321600104545</v>
      </c>
      <c r="G651" t="n">
        <v>605</v>
      </c>
      <c r="H651" t="n">
        <v>1</v>
      </c>
      <c r="I651" t="n">
        <v>23.8</v>
      </c>
      <c r="J651" t="n">
        <v>0</v>
      </c>
      <c r="K651" t="inlineStr"/>
    </row>
    <row r="652">
      <c r="A652" t="inlineStr">
        <is>
          <t>MARMICA30T2XL</t>
        </is>
      </c>
      <c r="B652" t="inlineStr">
        <is>
          <t>MAR ORIGINAL CAB</t>
        </is>
      </c>
      <c r="C652" t="inlineStr">
        <is>
          <t>Manufactura / Caballero / P. Superiores</t>
        </is>
      </c>
      <c r="D652" t="n">
        <v>29</v>
      </c>
      <c r="E652" t="n">
        <v>1412.72250558</v>
      </c>
      <c r="F652" t="n">
        <v>0.8987735399678571</v>
      </c>
      <c r="G652" t="n">
        <v>50</v>
      </c>
      <c r="H652" t="n">
        <v>4.946357428</v>
      </c>
      <c r="I652" t="n">
        <v>2.9</v>
      </c>
      <c r="J652" t="n">
        <v>0</v>
      </c>
      <c r="K652" t="inlineStr"/>
    </row>
    <row r="653">
      <c r="A653" t="inlineStr">
        <is>
          <t>CAP16FC</t>
        </is>
      </c>
      <c r="B653" t="inlineStr">
        <is>
          <t>FIT CAP</t>
        </is>
      </c>
      <c r="C653" t="inlineStr">
        <is>
          <t>Equipamiento / Gorras</t>
        </is>
      </c>
      <c r="D653" t="n">
        <v>59</v>
      </c>
      <c r="E653" t="n">
        <v>1407.98503341</v>
      </c>
      <c r="F653" t="n">
        <v>0.8808897978325</v>
      </c>
      <c r="G653" t="n">
        <v>980</v>
      </c>
      <c r="H653" t="n">
        <v>4.11</v>
      </c>
      <c r="I653" t="n">
        <v>5.9</v>
      </c>
      <c r="J653" t="n">
        <v>0</v>
      </c>
      <c r="K653" t="inlineStr"/>
    </row>
    <row r="654">
      <c r="A654" t="inlineStr">
        <is>
          <t>MARMIDA30TL</t>
        </is>
      </c>
      <c r="B654" t="inlineStr">
        <is>
          <t>MAR ORIGINAL DAMA</t>
        </is>
      </c>
      <c r="C654" t="inlineStr">
        <is>
          <t>Manufactura / Dama / P. Superiores</t>
        </is>
      </c>
      <c r="D654" t="n">
        <v>29</v>
      </c>
      <c r="E654" t="n">
        <v>1407.95992149</v>
      </c>
      <c r="F654" t="n">
        <v>0.90940678808</v>
      </c>
      <c r="G654" t="n">
        <v>27</v>
      </c>
      <c r="H654" t="n">
        <v>4.278324149</v>
      </c>
      <c r="I654" t="n">
        <v>2.9</v>
      </c>
      <c r="J654" t="n">
        <v>0</v>
      </c>
      <c r="K654" t="inlineStr"/>
    </row>
    <row r="655">
      <c r="A655" t="inlineStr">
        <is>
          <t>RIOMIKI11T6</t>
        </is>
      </c>
      <c r="B655" t="inlineStr">
        <is>
          <t>RIO ORIGINAL KIDS</t>
        </is>
      </c>
      <c r="C655" t="inlineStr">
        <is>
          <t>Manufactura / Kids / P. Superiores</t>
        </is>
      </c>
      <c r="D655" t="n">
        <v>32</v>
      </c>
      <c r="E655" t="n">
        <v>1406.38008651</v>
      </c>
      <c r="F655" t="n">
        <v>0.915947810284375</v>
      </c>
      <c r="G655" t="n">
        <v>18</v>
      </c>
      <c r="H655" t="n">
        <v>3.617969464</v>
      </c>
      <c r="I655" t="n">
        <v>3.2</v>
      </c>
      <c r="J655" t="n">
        <v>0</v>
      </c>
      <c r="K655" t="inlineStr"/>
    </row>
    <row r="656">
      <c r="A656" t="inlineStr">
        <is>
          <t>CLAMIDA16TL</t>
        </is>
      </c>
      <c r="B656" t="inlineStr">
        <is>
          <t>CLASICA ORIGINAL DAMA</t>
        </is>
      </c>
      <c r="C656" t="inlineStr">
        <is>
          <t>Manufactura / Dama / P. Superiores</t>
        </is>
      </c>
      <c r="D656" t="n">
        <v>59</v>
      </c>
      <c r="E656" t="n">
        <v>1405.4109094</v>
      </c>
      <c r="F656" t="n">
        <v>0.8887786459289474</v>
      </c>
      <c r="G656" t="n">
        <v>30</v>
      </c>
      <c r="H656" t="n">
        <v>3.923227589</v>
      </c>
      <c r="I656" t="n">
        <v>5.9</v>
      </c>
      <c r="J656" t="n">
        <v>0</v>
      </c>
      <c r="K656" t="inlineStr"/>
    </row>
    <row r="657">
      <c r="A657" t="inlineStr">
        <is>
          <t>CLAMICA13TL</t>
        </is>
      </c>
      <c r="B657" t="inlineStr">
        <is>
          <t>CLASICA ORIGINAL CAB</t>
        </is>
      </c>
      <c r="C657" t="inlineStr">
        <is>
          <t>Manufactura / Caballero / P. Superiores</t>
        </is>
      </c>
      <c r="D657" t="n">
        <v>36</v>
      </c>
      <c r="E657" t="n">
        <v>1403.98297355</v>
      </c>
      <c r="F657" t="n">
        <v>0.8798730845458334</v>
      </c>
      <c r="G657" t="n">
        <v>6</v>
      </c>
      <c r="H657" t="n">
        <v>4.598442536</v>
      </c>
      <c r="I657" t="n">
        <v>3.6</v>
      </c>
      <c r="J657" t="n">
        <v>0</v>
      </c>
      <c r="K657" t="inlineStr"/>
    </row>
    <row r="658">
      <c r="A658" t="inlineStr">
        <is>
          <t>JAPKI35T4</t>
        </is>
      </c>
      <c r="B658" t="inlineStr">
        <is>
          <t>CUADRO JACKET 2.0 KIDS</t>
        </is>
      </c>
      <c r="C658" t="inlineStr">
        <is>
          <t>Equipamiento / Ropa</t>
        </is>
      </c>
      <c r="D658" t="n">
        <v>20</v>
      </c>
      <c r="E658" t="n">
        <v>1400.81312134</v>
      </c>
      <c r="F658" t="n">
        <v>0.7782139190368421</v>
      </c>
      <c r="G658" t="n">
        <v>22</v>
      </c>
      <c r="H658" t="n">
        <v>15.17</v>
      </c>
      <c r="I658" t="n">
        <v>2</v>
      </c>
      <c r="J658" t="n">
        <v>0</v>
      </c>
      <c r="K658" t="inlineStr"/>
    </row>
    <row r="659">
      <c r="A659" t="inlineStr">
        <is>
          <t>SHONRCA16TM</t>
        </is>
      </c>
      <c r="B659" t="inlineStr">
        <is>
          <t>SHORT SPORT CAB</t>
        </is>
      </c>
      <c r="C659" t="inlineStr">
        <is>
          <t>Manufactura / Caballero / P. Inferiores</t>
        </is>
      </c>
      <c r="D659" t="n">
        <v>58</v>
      </c>
      <c r="E659" t="n">
        <v>1400.18392088</v>
      </c>
      <c r="F659" t="n">
        <v>0.7554579423166667</v>
      </c>
      <c r="G659" t="n">
        <v>0</v>
      </c>
      <c r="H659" t="n">
        <v>10.6514486</v>
      </c>
      <c r="I659" t="n">
        <v>5.8</v>
      </c>
      <c r="J659" t="n">
        <v>0</v>
      </c>
      <c r="K659" t="inlineStr">
        <is>
          <t>Sin stock</t>
        </is>
      </c>
    </row>
    <row r="660">
      <c r="A660" t="inlineStr">
        <is>
          <t>SNA30EQ</t>
        </is>
      </c>
      <c r="B660" t="inlineStr">
        <is>
          <t>LLAVERO SNAP</t>
        </is>
      </c>
      <c r="C660" t="inlineStr">
        <is>
          <t>Equipamiento / Accesorios</t>
        </is>
      </c>
      <c r="D660" t="n">
        <v>256</v>
      </c>
      <c r="E660" t="n">
        <v>1399.527249285</v>
      </c>
      <c r="F660" t="n">
        <v>0.8156351591886138</v>
      </c>
      <c r="G660" t="n">
        <v>617</v>
      </c>
      <c r="H660" t="n">
        <v>1</v>
      </c>
      <c r="I660" t="n">
        <v>25.6</v>
      </c>
      <c r="J660" t="n">
        <v>0</v>
      </c>
      <c r="K660" t="inlineStr"/>
    </row>
    <row r="661">
      <c r="A661" t="inlineStr">
        <is>
          <t>LMOFIDA12TM</t>
        </is>
      </c>
      <c r="B661" t="inlineStr">
        <is>
          <t>LEGGING MOVA</t>
        </is>
      </c>
      <c r="C661" t="inlineStr">
        <is>
          <t>Manufactura / Dama / P. Inferiores</t>
        </is>
      </c>
      <c r="D661" t="n">
        <v>22</v>
      </c>
      <c r="E661" t="n">
        <v>1399.41664195</v>
      </c>
      <c r="F661" t="n">
        <v>0.78555461042</v>
      </c>
      <c r="G661" t="n">
        <v>9</v>
      </c>
      <c r="H661" t="n">
        <v>17.7</v>
      </c>
      <c r="I661" t="n">
        <v>2.2</v>
      </c>
      <c r="J661" t="n">
        <v>0</v>
      </c>
      <c r="K661" t="inlineStr"/>
    </row>
    <row r="662">
      <c r="A662" t="inlineStr">
        <is>
          <t>CLAMICA66TL</t>
        </is>
      </c>
      <c r="B662" t="inlineStr">
        <is>
          <t>CLASICA ORIGINAL CAB</t>
        </is>
      </c>
      <c r="C662" t="inlineStr">
        <is>
          <t>Manufactura / Caballero / P. Superiores</t>
        </is>
      </c>
      <c r="D662" t="n">
        <v>55</v>
      </c>
      <c r="E662" t="n">
        <v>1396.29550823</v>
      </c>
      <c r="F662" t="n">
        <v>0.8826224264717948</v>
      </c>
      <c r="G662" t="n">
        <v>17</v>
      </c>
      <c r="H662" t="n">
        <v>4.598442536</v>
      </c>
      <c r="I662" t="n">
        <v>5.5</v>
      </c>
      <c r="J662" t="n">
        <v>0</v>
      </c>
      <c r="K662" t="inlineStr"/>
    </row>
    <row r="663">
      <c r="A663" t="inlineStr">
        <is>
          <t>POLPLCA14TL</t>
        </is>
      </c>
      <c r="B663" t="inlineStr">
        <is>
          <t>CLASSIC POLO</t>
        </is>
      </c>
      <c r="C663" t="inlineStr">
        <is>
          <t>Manufactura / Caballero / P. Superiores</t>
        </is>
      </c>
      <c r="D663" t="n">
        <v>31</v>
      </c>
      <c r="E663" t="n">
        <v>1392.94359329</v>
      </c>
      <c r="F663" t="n">
        <v>0.8370678514893617</v>
      </c>
      <c r="G663" t="n">
        <v>92</v>
      </c>
      <c r="H663" t="n">
        <v>7.340000000000001</v>
      </c>
      <c r="I663" t="n">
        <v>3.1</v>
      </c>
      <c r="J663" t="n">
        <v>0</v>
      </c>
      <c r="K663" t="inlineStr"/>
    </row>
    <row r="664">
      <c r="A664" t="inlineStr">
        <is>
          <t>MARMIKI34T6</t>
        </is>
      </c>
      <c r="B664" t="inlineStr">
        <is>
          <t>MAR ORIGINAL KIDS</t>
        </is>
      </c>
      <c r="C664" t="inlineStr">
        <is>
          <t>Manufactura / Kids / P. Superiores</t>
        </is>
      </c>
      <c r="D664" t="n">
        <v>37</v>
      </c>
      <c r="E664" t="n">
        <v>1389.26429809</v>
      </c>
      <c r="F664" t="n">
        <v>0.9154088672944444</v>
      </c>
      <c r="G664" t="n">
        <v>19</v>
      </c>
      <c r="H664" t="n">
        <v>3.168013332</v>
      </c>
      <c r="I664" t="n">
        <v>3.7</v>
      </c>
      <c r="J664" t="n">
        <v>0</v>
      </c>
      <c r="K664" t="inlineStr"/>
    </row>
    <row r="665">
      <c r="A665" t="inlineStr">
        <is>
          <t>RIOMIKI11T10</t>
        </is>
      </c>
      <c r="B665" t="inlineStr">
        <is>
          <t>RIO ORIGINAL KIDS</t>
        </is>
      </c>
      <c r="C665" t="inlineStr">
        <is>
          <t>Manufactura / Kids / P. Superiores</t>
        </is>
      </c>
      <c r="D665" t="n">
        <v>33</v>
      </c>
      <c r="E665" t="n">
        <v>1388.66420127</v>
      </c>
      <c r="F665" t="n">
        <v>0.9128227736179486</v>
      </c>
      <c r="G665" t="n">
        <v>65</v>
      </c>
      <c r="H665" t="n">
        <v>3.617969464</v>
      </c>
      <c r="I665" t="n">
        <v>3.3</v>
      </c>
      <c r="J665" t="n">
        <v>0</v>
      </c>
      <c r="K665" t="inlineStr"/>
    </row>
    <row r="666">
      <c r="A666" t="inlineStr">
        <is>
          <t>PONC43EQ</t>
        </is>
      </c>
      <c r="B666" t="inlineStr">
        <is>
          <t>PONCHO KIDS</t>
        </is>
      </c>
      <c r="C666" t="inlineStr">
        <is>
          <t>Equipamiento / Ponchos</t>
        </is>
      </c>
      <c r="D666" t="n">
        <v>35</v>
      </c>
      <c r="E666" t="n">
        <v>1384.79382871</v>
      </c>
      <c r="F666" t="n">
        <v>0.7919127445764707</v>
      </c>
      <c r="G666" t="n">
        <v>161</v>
      </c>
      <c r="H666" t="n">
        <v>7.990000000000001</v>
      </c>
      <c r="I666" t="n">
        <v>3.5</v>
      </c>
      <c r="J666" t="n">
        <v>0</v>
      </c>
      <c r="K666" t="inlineStr"/>
    </row>
    <row r="667">
      <c r="A667" t="inlineStr">
        <is>
          <t>CREDA16TU</t>
        </is>
      </c>
      <c r="B667" t="inlineStr">
        <is>
          <t>CREW SOCKS DAMA</t>
        </is>
      </c>
      <c r="C667" t="inlineStr">
        <is>
          <t>Equipamiento / Accesorios</t>
        </is>
      </c>
      <c r="D667" t="n">
        <v>86</v>
      </c>
      <c r="E667" t="n">
        <v>1381.76290505</v>
      </c>
      <c r="F667" t="n">
        <v>0.856504289732258</v>
      </c>
      <c r="G667" t="n">
        <v>915</v>
      </c>
      <c r="H667" t="n">
        <v>2.83</v>
      </c>
      <c r="I667" t="n">
        <v>8.6</v>
      </c>
      <c r="J667" t="n">
        <v>0</v>
      </c>
      <c r="K667" t="inlineStr"/>
    </row>
    <row r="668">
      <c r="A668" t="inlineStr">
        <is>
          <t>BAOCCCA158T2XL</t>
        </is>
      </c>
      <c r="B668" t="inlineStr">
        <is>
          <t>BASIC LINE OVERSIZED CAB</t>
        </is>
      </c>
      <c r="C668" t="inlineStr">
        <is>
          <t>Manufactura / Caballero / P. Superiores</t>
        </is>
      </c>
      <c r="D668" t="n">
        <v>21</v>
      </c>
      <c r="E668" t="n">
        <v>1381.67781139</v>
      </c>
      <c r="F668" t="n">
        <v>0.853354344304762</v>
      </c>
      <c r="G668" t="n">
        <v>39</v>
      </c>
      <c r="H668" t="n">
        <v>9.336740741</v>
      </c>
      <c r="I668" t="n">
        <v>2.1</v>
      </c>
      <c r="J668" t="n">
        <v>0</v>
      </c>
      <c r="K668" t="inlineStr"/>
    </row>
    <row r="669">
      <c r="A669" t="inlineStr">
        <is>
          <t>MARMIKI12T2</t>
        </is>
      </c>
      <c r="B669" t="inlineStr">
        <is>
          <t>MAR ORIGINAL KIDS</t>
        </is>
      </c>
      <c r="C669" t="inlineStr">
        <is>
          <t>Manufactura / Kids / P. Superiores</t>
        </is>
      </c>
      <c r="D669" t="n">
        <v>37</v>
      </c>
      <c r="E669" t="n">
        <v>1380.474086894638</v>
      </c>
      <c r="F669" t="n">
        <v>0.9137073713897436</v>
      </c>
      <c r="G669" t="n">
        <v>24</v>
      </c>
      <c r="H669" t="n">
        <v>3.168013332</v>
      </c>
      <c r="I669" t="n">
        <v>3.7</v>
      </c>
      <c r="J669" t="n">
        <v>0</v>
      </c>
      <c r="K669" t="inlineStr"/>
    </row>
    <row r="670">
      <c r="A670" t="inlineStr">
        <is>
          <t>PANNTCA12TS</t>
        </is>
      </c>
      <c r="B670" t="inlineStr">
        <is>
          <t>EXPLORE PANTS CAB</t>
        </is>
      </c>
      <c r="C670" t="inlineStr">
        <is>
          <t>Manufactura / Caballero / P. Inferiores</t>
        </is>
      </c>
      <c r="D670" t="n">
        <v>22</v>
      </c>
      <c r="E670" t="n">
        <v>1379.44764159</v>
      </c>
      <c r="F670" t="n">
        <v>0.7675471843130436</v>
      </c>
      <c r="G670" t="n">
        <v>44</v>
      </c>
      <c r="H670" t="n">
        <v>15.68994502</v>
      </c>
      <c r="I670" t="n">
        <v>2.2</v>
      </c>
      <c r="J670" t="n">
        <v>0</v>
      </c>
      <c r="K670" t="inlineStr"/>
    </row>
    <row r="671">
      <c r="A671" t="inlineStr">
        <is>
          <t>RIOMIKI43T10</t>
        </is>
      </c>
      <c r="B671" t="inlineStr">
        <is>
          <t>RIO ORIGINAL KIDS</t>
        </is>
      </c>
      <c r="C671" t="inlineStr">
        <is>
          <t>Manufactura / Kids / P. Superiores</t>
        </is>
      </c>
      <c r="D671" t="n">
        <v>32</v>
      </c>
      <c r="E671" t="n">
        <v>1369.95614944</v>
      </c>
      <c r="F671" t="n">
        <v>0.9137681225882353</v>
      </c>
      <c r="G671" t="n">
        <v>80</v>
      </c>
      <c r="H671" t="n">
        <v>3.617969464</v>
      </c>
      <c r="I671" t="n">
        <v>3.2</v>
      </c>
      <c r="J671" t="n">
        <v>0</v>
      </c>
      <c r="K671" t="inlineStr"/>
    </row>
    <row r="672">
      <c r="A672" t="inlineStr">
        <is>
          <t>TOA03PL</t>
        </is>
      </c>
      <c r="B672" t="inlineStr">
        <is>
          <t>TOALLA PLAYA</t>
        </is>
      </c>
      <c r="C672" t="inlineStr">
        <is>
          <t>Equipamiento / Toallas</t>
        </is>
      </c>
      <c r="D672" t="n">
        <v>46</v>
      </c>
      <c r="E672" t="n">
        <v>1369.93445106</v>
      </c>
      <c r="F672" t="n">
        <v>0.8392339225095239</v>
      </c>
      <c r="G672" t="n">
        <v>676</v>
      </c>
      <c r="H672" t="n">
        <v>4.83</v>
      </c>
      <c r="I672" t="n">
        <v>4.6</v>
      </c>
      <c r="J672" t="n">
        <v>0</v>
      </c>
      <c r="K672" t="inlineStr"/>
    </row>
    <row r="673">
      <c r="A673" t="inlineStr">
        <is>
          <t>RIOMIKI12T2</t>
        </is>
      </c>
      <c r="B673" t="inlineStr">
        <is>
          <t>RIO ORIGINAL KIDS</t>
        </is>
      </c>
      <c r="C673" t="inlineStr">
        <is>
          <t>Manufactura / Kids / P. Superiores</t>
        </is>
      </c>
      <c r="D673" t="n">
        <v>32</v>
      </c>
      <c r="E673" t="n">
        <v>1367.31732166</v>
      </c>
      <c r="F673" t="n">
        <v>0.913357477009375</v>
      </c>
      <c r="G673" t="n">
        <v>58</v>
      </c>
      <c r="H673" t="n">
        <v>3.617969464</v>
      </c>
      <c r="I673" t="n">
        <v>3.2</v>
      </c>
      <c r="J673" t="n">
        <v>0</v>
      </c>
      <c r="K673" t="inlineStr"/>
    </row>
    <row r="674">
      <c r="A674" t="inlineStr">
        <is>
          <t>RIOMIKI34T4</t>
        </is>
      </c>
      <c r="B674" t="inlineStr">
        <is>
          <t>RIO ORIGINAL KIDS</t>
        </is>
      </c>
      <c r="C674" t="inlineStr">
        <is>
          <t>Manufactura / Kids / P. Superiores</t>
        </is>
      </c>
      <c r="D674" t="n">
        <v>31</v>
      </c>
      <c r="E674" t="n">
        <v>1366.64194367</v>
      </c>
      <c r="F674" t="n">
        <v>0.9162141821999999</v>
      </c>
      <c r="G674" t="n">
        <v>13</v>
      </c>
      <c r="H674" t="n">
        <v>3.617969464</v>
      </c>
      <c r="I674" t="n">
        <v>3.1</v>
      </c>
      <c r="J674" t="n">
        <v>0</v>
      </c>
      <c r="K674" t="inlineStr"/>
    </row>
    <row r="675">
      <c r="A675" t="inlineStr">
        <is>
          <t>HEA160EQ</t>
        </is>
      </c>
      <c r="B675" t="inlineStr">
        <is>
          <t>HEADBAND</t>
        </is>
      </c>
      <c r="C675" t="inlineStr">
        <is>
          <t>Equipamiento / Accesorios</t>
        </is>
      </c>
      <c r="D675" t="n">
        <v>91</v>
      </c>
      <c r="E675" t="n">
        <v>1366.58747881</v>
      </c>
      <c r="F675" t="n">
        <v>0.7049373150119564</v>
      </c>
      <c r="G675" t="n">
        <v>693</v>
      </c>
      <c r="H675" t="n">
        <v>4.26</v>
      </c>
      <c r="I675" t="n">
        <v>9.1</v>
      </c>
      <c r="J675" t="n">
        <v>0</v>
      </c>
      <c r="K675" t="inlineStr"/>
    </row>
    <row r="676">
      <c r="A676" t="inlineStr">
        <is>
          <t>MAFMIDA34TXS</t>
        </is>
      </c>
      <c r="B676" t="inlineStr">
        <is>
          <t>MAFE ORIGINAL DAMA</t>
        </is>
      </c>
      <c r="C676" t="inlineStr">
        <is>
          <t>Manufactura / Dama / P. Superiores</t>
        </is>
      </c>
      <c r="D676" t="n">
        <v>92</v>
      </c>
      <c r="E676" t="n">
        <v>1366.47094925</v>
      </c>
      <c r="F676" t="n">
        <v>0.75520488365</v>
      </c>
      <c r="G676" t="n">
        <v>0</v>
      </c>
      <c r="H676" t="n">
        <v>4.54817671</v>
      </c>
      <c r="I676" t="n">
        <v>9.199999999999999</v>
      </c>
      <c r="J676" t="n">
        <v>3</v>
      </c>
      <c r="K676" t="inlineStr">
        <is>
          <t>Sin stock</t>
        </is>
      </c>
    </row>
    <row r="677">
      <c r="A677" t="inlineStr">
        <is>
          <t>DAYCSTCA66TS</t>
        </is>
      </c>
      <c r="B677" t="inlineStr">
        <is>
          <t>CLASICA DAILY 3.0 CAB</t>
        </is>
      </c>
      <c r="C677" t="inlineStr">
        <is>
          <t>Manufactura / Caballero / P. Superiores</t>
        </is>
      </c>
      <c r="D677" t="n">
        <v>32</v>
      </c>
      <c r="E677" t="n">
        <v>1363.5828491</v>
      </c>
      <c r="F677" t="n">
        <v>0.749945799416129</v>
      </c>
      <c r="G677" t="n">
        <v>87</v>
      </c>
      <c r="H677" t="n">
        <v>11.76035097</v>
      </c>
      <c r="I677" t="n">
        <v>3.2</v>
      </c>
      <c r="J677" t="n">
        <v>0</v>
      </c>
      <c r="K677" t="inlineStr"/>
    </row>
    <row r="678">
      <c r="A678" t="inlineStr">
        <is>
          <t>RIOMIKI12T12</t>
        </is>
      </c>
      <c r="B678" t="inlineStr">
        <is>
          <t>RIO ORIGINAL KIDS</t>
        </is>
      </c>
      <c r="C678" t="inlineStr">
        <is>
          <t>Manufactura / Kids / P. Superiores</t>
        </is>
      </c>
      <c r="D678" t="n">
        <v>32</v>
      </c>
      <c r="E678" t="n">
        <v>1363.14303008</v>
      </c>
      <c r="F678" t="n">
        <v>0.9167468432818182</v>
      </c>
      <c r="G678" t="n">
        <v>61</v>
      </c>
      <c r="H678" t="n">
        <v>3.617969464</v>
      </c>
      <c r="I678" t="n">
        <v>3.2</v>
      </c>
      <c r="J678" t="n">
        <v>0</v>
      </c>
      <c r="K678" t="inlineStr"/>
    </row>
    <row r="679">
      <c r="A679" t="inlineStr">
        <is>
          <t>JAPKI35T6</t>
        </is>
      </c>
      <c r="B679" t="inlineStr">
        <is>
          <t>CUADRO JACKET 2.0 KIDS</t>
        </is>
      </c>
      <c r="C679" t="inlineStr">
        <is>
          <t>Equipamiento / Ropa</t>
        </is>
      </c>
      <c r="D679" t="n">
        <v>22</v>
      </c>
      <c r="E679" t="n">
        <v>1361.11737954</v>
      </c>
      <c r="F679" t="n">
        <v>0.773544042765</v>
      </c>
      <c r="G679" t="n">
        <v>16</v>
      </c>
      <c r="H679" t="n">
        <v>15.17</v>
      </c>
      <c r="I679" t="n">
        <v>2.2</v>
      </c>
      <c r="J679" t="n">
        <v>0</v>
      </c>
      <c r="K679" t="inlineStr"/>
    </row>
    <row r="680">
      <c r="A680" t="inlineStr">
        <is>
          <t>MARMICA04TM</t>
        </is>
      </c>
      <c r="B680" t="inlineStr">
        <is>
          <t>MAR ORIGINAL CAB</t>
        </is>
      </c>
      <c r="C680" t="inlineStr">
        <is>
          <t>Manufactura / Caballero / P. Superiores</t>
        </is>
      </c>
      <c r="D680" t="n">
        <v>33</v>
      </c>
      <c r="E680" t="n">
        <v>1354.02238603</v>
      </c>
      <c r="F680" t="n">
        <v>0.8972274524413792</v>
      </c>
      <c r="G680" t="n">
        <v>53</v>
      </c>
      <c r="H680" t="n">
        <v>4.946357428</v>
      </c>
      <c r="I680" t="n">
        <v>3.3</v>
      </c>
      <c r="J680" t="n">
        <v>0</v>
      </c>
      <c r="K680" t="inlineStr"/>
    </row>
    <row r="681">
      <c r="A681" t="inlineStr">
        <is>
          <t>BAOCCCA38TXL</t>
        </is>
      </c>
      <c r="B681" t="inlineStr">
        <is>
          <t>BASIC LINE OVERSIZED CAB</t>
        </is>
      </c>
      <c r="C681" t="inlineStr">
        <is>
          <t>Manufactura / Caballero / P. Superiores</t>
        </is>
      </c>
      <c r="D681" t="n">
        <v>22</v>
      </c>
      <c r="E681" t="n">
        <v>1353.68697125</v>
      </c>
      <c r="F681" t="n">
        <v>0.8430182777304348</v>
      </c>
      <c r="G681" t="n">
        <v>26</v>
      </c>
      <c r="H681" t="n">
        <v>9.336740741</v>
      </c>
      <c r="I681" t="n">
        <v>2.2</v>
      </c>
      <c r="J681" t="n">
        <v>0</v>
      </c>
      <c r="K681" t="inlineStr"/>
    </row>
    <row r="682">
      <c r="A682" t="inlineStr">
        <is>
          <t>SHOUNCA187TM</t>
        </is>
      </c>
      <c r="B682" t="inlineStr">
        <is>
          <t>SHORT PLAYA CAB</t>
        </is>
      </c>
      <c r="C682" t="inlineStr">
        <is>
          <t>Manufactura / Caballero / P. Inferiores</t>
        </is>
      </c>
      <c r="D682" t="n">
        <v>29</v>
      </c>
      <c r="E682" t="n">
        <v>1353.65836538</v>
      </c>
      <c r="F682" t="n">
        <v>0.7843030448466667</v>
      </c>
      <c r="G682" t="n">
        <v>25</v>
      </c>
      <c r="H682" t="n">
        <v>9.99</v>
      </c>
      <c r="I682" t="n">
        <v>2.9</v>
      </c>
      <c r="J682" t="n">
        <v>0</v>
      </c>
      <c r="K682" t="inlineStr"/>
    </row>
    <row r="683">
      <c r="A683" t="inlineStr">
        <is>
          <t>BAOCCCA38TS</t>
        </is>
      </c>
      <c r="B683" t="inlineStr">
        <is>
          <t>BASIC LINE OVERSIZED CAB</t>
        </is>
      </c>
      <c r="C683" t="inlineStr">
        <is>
          <t>Manufactura / Caballero / P. Superiores</t>
        </is>
      </c>
      <c r="D683" t="n">
        <v>32</v>
      </c>
      <c r="E683" t="n">
        <v>1352.07468403</v>
      </c>
      <c r="F683" t="n">
        <v>0.8247974817615386</v>
      </c>
      <c r="G683" t="n">
        <v>59</v>
      </c>
      <c r="H683" t="n">
        <v>9.336740741</v>
      </c>
      <c r="I683" t="n">
        <v>3.2</v>
      </c>
      <c r="J683" t="n">
        <v>0</v>
      </c>
      <c r="K683" t="inlineStr"/>
    </row>
    <row r="684">
      <c r="A684" t="inlineStr">
        <is>
          <t>CRECA16TU</t>
        </is>
      </c>
      <c r="B684" t="inlineStr">
        <is>
          <t>CREW SOCKS CAB</t>
        </is>
      </c>
      <c r="C684" t="inlineStr">
        <is>
          <t>Equipamiento / Accesorios</t>
        </is>
      </c>
      <c r="D684" t="n">
        <v>86</v>
      </c>
      <c r="E684" t="n">
        <v>1350.077570671</v>
      </c>
      <c r="F684" t="n">
        <v>0.855209924147619</v>
      </c>
      <c r="G684" t="n">
        <v>907</v>
      </c>
      <c r="H684" t="n">
        <v>2.83</v>
      </c>
      <c r="I684" t="n">
        <v>8.6</v>
      </c>
      <c r="J684" t="n">
        <v>0</v>
      </c>
      <c r="K684" t="inlineStr"/>
    </row>
    <row r="685">
      <c r="A685" t="inlineStr">
        <is>
          <t>MARMIKI48T12</t>
        </is>
      </c>
      <c r="B685" t="inlineStr">
        <is>
          <t>MAR ORIGINAL KIDS</t>
        </is>
      </c>
      <c r="C685" t="inlineStr">
        <is>
          <t>Manufactura / Kids / P. Superiores</t>
        </is>
      </c>
      <c r="D685" t="n">
        <v>34</v>
      </c>
      <c r="E685" t="n">
        <v>1349.73515264</v>
      </c>
      <c r="F685" t="n">
        <v>0.9188201159057143</v>
      </c>
      <c r="G685" t="n">
        <v>26</v>
      </c>
      <c r="H685" t="n">
        <v>3.168013332</v>
      </c>
      <c r="I685" t="n">
        <v>3.4</v>
      </c>
      <c r="J685" t="n">
        <v>0</v>
      </c>
      <c r="K685" t="inlineStr"/>
    </row>
    <row r="686">
      <c r="A686" t="inlineStr">
        <is>
          <t>SHUNTCA31TXL</t>
        </is>
      </c>
      <c r="B686" t="inlineStr">
        <is>
          <t>SHORT SPORT R1 CAB</t>
        </is>
      </c>
      <c r="C686" t="inlineStr">
        <is>
          <t>Manufactura / Caballero / P. Inferiores</t>
        </is>
      </c>
      <c r="D686" t="n">
        <v>26</v>
      </c>
      <c r="E686" t="n">
        <v>1349.41179686</v>
      </c>
      <c r="F686" t="n">
        <v>0.8349250827192307</v>
      </c>
      <c r="G686" t="n">
        <v>5</v>
      </c>
      <c r="H686" t="n">
        <v>9.119999999999999</v>
      </c>
      <c r="I686" t="n">
        <v>2.6</v>
      </c>
      <c r="J686" t="n">
        <v>0</v>
      </c>
      <c r="K686" t="inlineStr"/>
    </row>
    <row r="687">
      <c r="A687" t="inlineStr">
        <is>
          <t>MARMICA01TXL</t>
        </is>
      </c>
      <c r="B687" t="inlineStr">
        <is>
          <t>MAR ORIGINAL CAB</t>
        </is>
      </c>
      <c r="C687" t="inlineStr">
        <is>
          <t>Manufactura / Caballero / P. Superiores</t>
        </is>
      </c>
      <c r="D687" t="n">
        <v>27</v>
      </c>
      <c r="E687" t="n">
        <v>1346.03641143</v>
      </c>
      <c r="F687" t="n">
        <v>0.8982463767076924</v>
      </c>
      <c r="G687" t="n">
        <v>36</v>
      </c>
      <c r="H687" t="n">
        <v>4.946357428</v>
      </c>
      <c r="I687" t="n">
        <v>2.7</v>
      </c>
      <c r="J687" t="n">
        <v>0</v>
      </c>
      <c r="K687" t="inlineStr"/>
    </row>
    <row r="688">
      <c r="A688" t="inlineStr">
        <is>
          <t>PANNTCA31TXL</t>
        </is>
      </c>
      <c r="B688" t="inlineStr">
        <is>
          <t>EXPLORE PANTS CAB</t>
        </is>
      </c>
      <c r="C688" t="inlineStr">
        <is>
          <t>Manufactura / Caballero / P. Inferiores</t>
        </is>
      </c>
      <c r="D688" t="n">
        <v>21</v>
      </c>
      <c r="E688" t="n">
        <v>1345.88255421</v>
      </c>
      <c r="F688" t="n">
        <v>0.8002701196318182</v>
      </c>
      <c r="G688" t="n">
        <v>0</v>
      </c>
      <c r="H688" t="n">
        <v>15.68994502</v>
      </c>
      <c r="I688" t="n">
        <v>2.1</v>
      </c>
      <c r="J688" t="n">
        <v>1</v>
      </c>
      <c r="K688" t="inlineStr">
        <is>
          <t>Sin stock</t>
        </is>
      </c>
    </row>
    <row r="689">
      <c r="A689" t="inlineStr">
        <is>
          <t>RIOMIKI34T10</t>
        </is>
      </c>
      <c r="B689" t="inlineStr">
        <is>
          <t>RIO ORIGINAL KIDS</t>
        </is>
      </c>
      <c r="C689" t="inlineStr">
        <is>
          <t>Manufactura / Kids / P. Superiores</t>
        </is>
      </c>
      <c r="D689" t="n">
        <v>30</v>
      </c>
      <c r="E689" t="n">
        <v>1345.83103107</v>
      </c>
      <c r="F689" t="n">
        <v>0.9183498351333333</v>
      </c>
      <c r="G689" t="n">
        <v>44</v>
      </c>
      <c r="H689" t="n">
        <v>3.617969464</v>
      </c>
      <c r="I689" t="n">
        <v>3</v>
      </c>
      <c r="J689" t="n">
        <v>1</v>
      </c>
      <c r="K689" t="inlineStr"/>
    </row>
    <row r="690">
      <c r="A690" t="inlineStr">
        <is>
          <t>PANNTKI66T12</t>
        </is>
      </c>
      <c r="B690" t="inlineStr">
        <is>
          <t>EXPLORE PANTS KIDS</t>
        </is>
      </c>
      <c r="C690" t="inlineStr">
        <is>
          <t>Manufactura / Kids / P. Inferiores</t>
        </is>
      </c>
      <c r="D690" t="n">
        <v>27</v>
      </c>
      <c r="E690" t="n">
        <v>1343.23666084</v>
      </c>
      <c r="F690" t="n">
        <v>0.7185241116384616</v>
      </c>
      <c r="G690" t="n">
        <v>18</v>
      </c>
      <c r="H690" t="n">
        <v>13.98</v>
      </c>
      <c r="I690" t="n">
        <v>2.7</v>
      </c>
      <c r="J690" t="n">
        <v>0</v>
      </c>
      <c r="K690" t="inlineStr"/>
    </row>
    <row r="691">
      <c r="A691" t="inlineStr">
        <is>
          <t>MARMIKI50T12</t>
        </is>
      </c>
      <c r="B691" t="inlineStr">
        <is>
          <t>MAR ORIGINAL KIDS</t>
        </is>
      </c>
      <c r="C691" t="inlineStr">
        <is>
          <t>Manufactura / Kids / P. Superiores</t>
        </is>
      </c>
      <c r="D691" t="n">
        <v>37</v>
      </c>
      <c r="E691" t="n">
        <v>1340.83169786</v>
      </c>
      <c r="F691" t="n">
        <v>0.9122278792030303</v>
      </c>
      <c r="G691" t="n">
        <v>23</v>
      </c>
      <c r="H691" t="n">
        <v>3.168013332</v>
      </c>
      <c r="I691" t="n">
        <v>3.7</v>
      </c>
      <c r="J691" t="n">
        <v>1</v>
      </c>
      <c r="K691" t="inlineStr"/>
    </row>
    <row r="692">
      <c r="A692" t="inlineStr">
        <is>
          <t>MARMIKI12T4</t>
        </is>
      </c>
      <c r="B692" t="inlineStr">
        <is>
          <t>MAR ORIGINAL KIDS</t>
        </is>
      </c>
      <c r="C692" t="inlineStr">
        <is>
          <t>Manufactura / Kids / P. Superiores</t>
        </is>
      </c>
      <c r="D692" t="n">
        <v>37</v>
      </c>
      <c r="E692" t="n">
        <v>1337.86122106</v>
      </c>
      <c r="F692" t="n">
        <v>0.9143086926457142</v>
      </c>
      <c r="G692" t="n">
        <v>14</v>
      </c>
      <c r="H692" t="n">
        <v>3.168013332</v>
      </c>
      <c r="I692" t="n">
        <v>3.7</v>
      </c>
      <c r="J692" t="n">
        <v>2</v>
      </c>
      <c r="K692" t="inlineStr"/>
    </row>
    <row r="693">
      <c r="A693" t="inlineStr">
        <is>
          <t>PANNTDA31TS</t>
        </is>
      </c>
      <c r="B693" t="inlineStr">
        <is>
          <t>EXPLORE PANTS DAMA</t>
        </is>
      </c>
      <c r="C693" t="inlineStr">
        <is>
          <t>Manufactura / Dama / P. Inferiores</t>
        </is>
      </c>
      <c r="D693" t="n">
        <v>19</v>
      </c>
      <c r="E693" t="n">
        <v>1336.46621339</v>
      </c>
      <c r="F693" t="n">
        <v>0.7989404091047619</v>
      </c>
      <c r="G693" t="n">
        <v>36</v>
      </c>
      <c r="H693" t="n">
        <v>15.3928899</v>
      </c>
      <c r="I693" t="n">
        <v>1.9</v>
      </c>
      <c r="J693" t="n">
        <v>0</v>
      </c>
      <c r="K693" t="inlineStr"/>
    </row>
    <row r="694">
      <c r="A694" t="inlineStr">
        <is>
          <t>CLAMECA30TXL</t>
        </is>
      </c>
      <c r="B694" t="inlineStr">
        <is>
          <t>CLASICA SPORT CAB</t>
        </is>
      </c>
      <c r="C694" t="inlineStr">
        <is>
          <t>Manufactura / Caballero / P. Superiores</t>
        </is>
      </c>
      <c r="D694" t="n">
        <v>28</v>
      </c>
      <c r="E694" t="n">
        <v>1336.06855391</v>
      </c>
      <c r="F694" t="n">
        <v>0.7721815577103448</v>
      </c>
      <c r="G694" t="n">
        <v>34</v>
      </c>
      <c r="H694" t="n">
        <v>10.3013454</v>
      </c>
      <c r="I694" t="n">
        <v>2.8</v>
      </c>
      <c r="J694" t="n">
        <v>0</v>
      </c>
      <c r="K694" t="inlineStr"/>
    </row>
    <row r="695">
      <c r="A695" t="inlineStr">
        <is>
          <t>RIOMIKI13T8</t>
        </is>
      </c>
      <c r="B695" t="inlineStr">
        <is>
          <t>RIO ORIGINAL KIDS</t>
        </is>
      </c>
      <c r="C695" t="inlineStr">
        <is>
          <t>Manufactura / Kids / P. Superiores</t>
        </is>
      </c>
      <c r="D695" t="n">
        <v>32</v>
      </c>
      <c r="E695" t="n">
        <v>1332.82910025</v>
      </c>
      <c r="F695" t="n">
        <v>0.9137966940030303</v>
      </c>
      <c r="G695" t="n">
        <v>20</v>
      </c>
      <c r="H695" t="n">
        <v>3.617969464</v>
      </c>
      <c r="I695" t="n">
        <v>3.2</v>
      </c>
      <c r="J695" t="n">
        <v>0</v>
      </c>
      <c r="K695" t="inlineStr"/>
    </row>
    <row r="696">
      <c r="A696" t="inlineStr">
        <is>
          <t>SHOSUKI155T12</t>
        </is>
      </c>
      <c r="B696" t="inlineStr">
        <is>
          <t>SHORT PLAYA ESTAMPADO KIDS</t>
        </is>
      </c>
      <c r="C696" t="inlineStr">
        <is>
          <t>Manufactura / Kids / P. Superiores</t>
        </is>
      </c>
      <c r="D696" t="n">
        <v>30</v>
      </c>
      <c r="E696" t="n">
        <v>1327.92536615</v>
      </c>
      <c r="F696" t="n">
        <v>0.8299378036666667</v>
      </c>
      <c r="G696" t="n">
        <v>7</v>
      </c>
      <c r="H696" t="n">
        <v>7.21</v>
      </c>
      <c r="I696" t="n">
        <v>3</v>
      </c>
      <c r="J696" t="n">
        <v>0</v>
      </c>
      <c r="K696" t="inlineStr"/>
    </row>
    <row r="697">
      <c r="A697" t="inlineStr">
        <is>
          <t>SHOSUCA156TS</t>
        </is>
      </c>
      <c r="B697" t="inlineStr">
        <is>
          <t>SHORT PLAYA ESTAMPADO CAB</t>
        </is>
      </c>
      <c r="C697" t="inlineStr">
        <is>
          <t>Manufactura / Caballero / P. Inferiores</t>
        </is>
      </c>
      <c r="D697" t="n">
        <v>25</v>
      </c>
      <c r="E697" t="n">
        <v>1327.61955198</v>
      </c>
      <c r="F697" t="n">
        <v>0.761289831067742</v>
      </c>
      <c r="G697" t="n">
        <v>22</v>
      </c>
      <c r="H697" t="n">
        <v>12.11</v>
      </c>
      <c r="I697" t="n">
        <v>2.5</v>
      </c>
      <c r="J697" t="n">
        <v>0</v>
      </c>
      <c r="K697" t="inlineStr"/>
    </row>
    <row r="698">
      <c r="A698" t="inlineStr">
        <is>
          <t>RIOMIDA11TXL</t>
        </is>
      </c>
      <c r="B698" t="inlineStr">
        <is>
          <t>RIO ORIGINAL DAMA</t>
        </is>
      </c>
      <c r="C698" t="inlineStr">
        <is>
          <t>Manufactura / Dama / P. Superiores</t>
        </is>
      </c>
      <c r="D698" t="n">
        <v>25</v>
      </c>
      <c r="E698" t="n">
        <v>1326.87579001</v>
      </c>
      <c r="F698" t="n">
        <v>0.8968647581285714</v>
      </c>
      <c r="G698" t="n">
        <v>33</v>
      </c>
      <c r="H698" t="n">
        <v>5.538832275</v>
      </c>
      <c r="I698" t="n">
        <v>2.5</v>
      </c>
      <c r="J698" t="n">
        <v>1</v>
      </c>
      <c r="K698" t="inlineStr"/>
    </row>
    <row r="699">
      <c r="A699" t="inlineStr">
        <is>
          <t>POLPLCA16TXL</t>
        </is>
      </c>
      <c r="B699" t="inlineStr">
        <is>
          <t>CLASSIC POLO</t>
        </is>
      </c>
      <c r="C699" t="inlineStr">
        <is>
          <t>Manufactura / Caballero / P. Superiores</t>
        </is>
      </c>
      <c r="D699" t="n">
        <v>34</v>
      </c>
      <c r="E699" t="n">
        <v>1326.42182333</v>
      </c>
      <c r="F699" t="n">
        <v>0.8277383398783784</v>
      </c>
      <c r="G699" t="n">
        <v>0</v>
      </c>
      <c r="H699" t="n">
        <v>7.34</v>
      </c>
      <c r="I699" t="n">
        <v>3.4</v>
      </c>
      <c r="J699" t="n">
        <v>1</v>
      </c>
      <c r="K699" t="inlineStr">
        <is>
          <t>Sin stock</t>
        </is>
      </c>
    </row>
    <row r="700">
      <c r="A700" t="inlineStr">
        <is>
          <t>NOSCA16TU</t>
        </is>
      </c>
      <c r="B700" t="inlineStr">
        <is>
          <t>NO SHOW SOCKS CAB</t>
        </is>
      </c>
      <c r="C700" t="inlineStr">
        <is>
          <t>Equipamiento / Accesorios</t>
        </is>
      </c>
      <c r="D700" t="n">
        <v>74</v>
      </c>
      <c r="E700" t="n">
        <v>1326.370644113</v>
      </c>
      <c r="F700" t="n">
        <v>0.8404716720857143</v>
      </c>
      <c r="G700" t="n">
        <v>173</v>
      </c>
      <c r="H700" t="n">
        <v>2.83</v>
      </c>
      <c r="I700" t="n">
        <v>7.4</v>
      </c>
      <c r="J700" t="n">
        <v>0</v>
      </c>
      <c r="K700" t="inlineStr"/>
    </row>
    <row r="701">
      <c r="A701" t="inlineStr">
        <is>
          <t>NAHFNCA70TM</t>
        </is>
      </c>
      <c r="B701" t="inlineStr">
        <is>
          <t>NOAH SPORT LITE CAB</t>
        </is>
      </c>
      <c r="C701" t="inlineStr">
        <is>
          <t>Manufactura / Caballero / P. Superiores</t>
        </is>
      </c>
      <c r="D701" t="n">
        <v>41</v>
      </c>
      <c r="E701" t="n">
        <v>1323.0868864</v>
      </c>
      <c r="F701" t="n">
        <v>0.5112346943585365</v>
      </c>
      <c r="G701" t="n">
        <v>9</v>
      </c>
      <c r="H701" t="n">
        <v>17.61141534</v>
      </c>
      <c r="I701" t="n">
        <v>4.1</v>
      </c>
      <c r="J701" t="n">
        <v>0</v>
      </c>
      <c r="K701" t="inlineStr"/>
    </row>
    <row r="702">
      <c r="A702" t="inlineStr">
        <is>
          <t>RIOMIDA50TM</t>
        </is>
      </c>
      <c r="B702" t="inlineStr">
        <is>
          <t>RIO ORIGINAL DAMA</t>
        </is>
      </c>
      <c r="C702" t="inlineStr">
        <is>
          <t>Manufactura / Dama / P. Superiores</t>
        </is>
      </c>
      <c r="D702" t="n">
        <v>24</v>
      </c>
      <c r="E702" t="n">
        <v>1322.21659895</v>
      </c>
      <c r="F702" t="n">
        <v>0.896713455023077</v>
      </c>
      <c r="G702" t="n">
        <v>23</v>
      </c>
      <c r="H702" t="n">
        <v>5.538832275</v>
      </c>
      <c r="I702" t="n">
        <v>2.4</v>
      </c>
      <c r="J702" t="n">
        <v>0</v>
      </c>
      <c r="K702" t="inlineStr"/>
    </row>
    <row r="703">
      <c r="A703" t="inlineStr">
        <is>
          <t>RIOMICA11TS</t>
        </is>
      </c>
      <c r="B703" t="inlineStr">
        <is>
          <t>RIO ORIGINAL CAB</t>
        </is>
      </c>
      <c r="C703" t="inlineStr">
        <is>
          <t>Manufactura / Caballero / P. Superiores</t>
        </is>
      </c>
      <c r="D703" t="n">
        <v>24</v>
      </c>
      <c r="E703" t="n">
        <v>1319.99788316</v>
      </c>
      <c r="F703" t="n">
        <v>0.888668471644</v>
      </c>
      <c r="G703" t="n">
        <v>29</v>
      </c>
      <c r="H703" t="n">
        <v>5.939350288000001</v>
      </c>
      <c r="I703" t="n">
        <v>2.4</v>
      </c>
      <c r="J703" t="n">
        <v>0</v>
      </c>
      <c r="K703" t="inlineStr"/>
    </row>
    <row r="704">
      <c r="A704" t="inlineStr">
        <is>
          <t>JACCA12TL</t>
        </is>
      </c>
      <c r="B704" t="inlineStr">
        <is>
          <t>JACKET CAB</t>
        </is>
      </c>
      <c r="C704" t="inlineStr">
        <is>
          <t>Equipamiento / Ropa</t>
        </is>
      </c>
      <c r="D704" t="n">
        <v>21</v>
      </c>
      <c r="E704" t="n">
        <v>1318.17643186</v>
      </c>
      <c r="F704" t="n">
        <v>0.6739464812863637</v>
      </c>
      <c r="G704" t="n">
        <v>0</v>
      </c>
      <c r="H704" t="n">
        <v>20.25001933</v>
      </c>
      <c r="I704" t="n">
        <v>2.1</v>
      </c>
      <c r="J704" t="n">
        <v>7</v>
      </c>
      <c r="K704" t="inlineStr">
        <is>
          <t>Sin stock</t>
        </is>
      </c>
    </row>
    <row r="705">
      <c r="A705" t="inlineStr">
        <is>
          <t>CLAMIDA43TS</t>
        </is>
      </c>
      <c r="B705" t="inlineStr">
        <is>
          <t>CLASICA ORIGINAL DAMA</t>
        </is>
      </c>
      <c r="C705" t="inlineStr">
        <is>
          <t>Manufactura / Dama / P. Superiores</t>
        </is>
      </c>
      <c r="D705" t="n">
        <v>79</v>
      </c>
      <c r="E705" t="n">
        <v>1317.3921838</v>
      </c>
      <c r="F705" t="n">
        <v>0.8987216724151514</v>
      </c>
      <c r="G705" t="n">
        <v>55</v>
      </c>
      <c r="H705" t="n">
        <v>3.923227589</v>
      </c>
      <c r="I705" t="n">
        <v>7.9</v>
      </c>
      <c r="J705" t="n">
        <v>0</v>
      </c>
      <c r="K705" t="inlineStr"/>
    </row>
    <row r="706">
      <c r="A706" t="inlineStr">
        <is>
          <t>PANNTDA30TXL</t>
        </is>
      </c>
      <c r="B706" t="inlineStr">
        <is>
          <t>EXPLORE PANTS DAMA</t>
        </is>
      </c>
      <c r="C706" t="inlineStr">
        <is>
          <t>Manufactura / Dama / P. Inferiores</t>
        </is>
      </c>
      <c r="D706" t="n">
        <v>20</v>
      </c>
      <c r="E706" t="n">
        <v>1316.71571612</v>
      </c>
      <c r="F706" t="n">
        <v>0.7657725341421052</v>
      </c>
      <c r="G706" t="n">
        <v>12</v>
      </c>
      <c r="H706" t="n">
        <v>15.3928899</v>
      </c>
      <c r="I706" t="n">
        <v>2</v>
      </c>
      <c r="J706" t="n">
        <v>0</v>
      </c>
      <c r="K706" t="inlineStr"/>
    </row>
    <row r="707">
      <c r="A707" t="inlineStr">
        <is>
          <t>TOA65SP</t>
        </is>
      </c>
      <c r="B707" t="inlineStr">
        <is>
          <t>TOALLA SPORT</t>
        </is>
      </c>
      <c r="C707" t="inlineStr">
        <is>
          <t>Equipamiento / Toallas</t>
        </is>
      </c>
      <c r="D707" t="n">
        <v>84</v>
      </c>
      <c r="E707" t="n">
        <v>1311.362254252</v>
      </c>
      <c r="F707" t="n">
        <v>0.8994563292792207</v>
      </c>
      <c r="G707" t="n">
        <v>681</v>
      </c>
      <c r="H707" t="n">
        <v>1.8</v>
      </c>
      <c r="I707" t="n">
        <v>8.4</v>
      </c>
      <c r="J707" t="n">
        <v>0</v>
      </c>
      <c r="K707" t="inlineStr"/>
    </row>
    <row r="708">
      <c r="A708" t="inlineStr">
        <is>
          <t>CLAMICA12TXL</t>
        </is>
      </c>
      <c r="B708" t="inlineStr">
        <is>
          <t>CLASICA ORIGINAL CAB</t>
        </is>
      </c>
      <c r="C708" t="inlineStr">
        <is>
          <t>Manufactura / Caballero / P. Superiores</t>
        </is>
      </c>
      <c r="D708" t="n">
        <v>37</v>
      </c>
      <c r="E708" t="n">
        <v>1310.98691239</v>
      </c>
      <c r="F708" t="n">
        <v>0.8742245007708332</v>
      </c>
      <c r="G708" t="n">
        <v>22</v>
      </c>
      <c r="H708" t="n">
        <v>4.598442536</v>
      </c>
      <c r="I708" t="n">
        <v>3.7</v>
      </c>
      <c r="J708" t="n">
        <v>0</v>
      </c>
      <c r="K708" t="inlineStr"/>
    </row>
    <row r="709">
      <c r="A709" t="inlineStr">
        <is>
          <t>PANNTKI12T10</t>
        </is>
      </c>
      <c r="B709" t="inlineStr">
        <is>
          <t>EXPLORE PANTS KIDS</t>
        </is>
      </c>
      <c r="C709" t="inlineStr">
        <is>
          <t>Manufactura / Kids / P. Inferiores</t>
        </is>
      </c>
      <c r="D709" t="n">
        <v>25</v>
      </c>
      <c r="E709" t="n">
        <v>1307.135143</v>
      </c>
      <c r="F709" t="n">
        <v>0.72803748090625</v>
      </c>
      <c r="G709" t="n">
        <v>28</v>
      </c>
      <c r="H709" t="n">
        <v>13.98</v>
      </c>
      <c r="I709" t="n">
        <v>2.5</v>
      </c>
      <c r="J709" t="n">
        <v>0</v>
      </c>
      <c r="K709" t="inlineStr"/>
    </row>
    <row r="710">
      <c r="A710" t="inlineStr">
        <is>
          <t>JACCA12T2XL</t>
        </is>
      </c>
      <c r="B710" t="inlineStr">
        <is>
          <t>JACKET CAB</t>
        </is>
      </c>
      <c r="C710" t="inlineStr">
        <is>
          <t>Equipamiento / Ropa</t>
        </is>
      </c>
      <c r="D710" t="n">
        <v>20</v>
      </c>
      <c r="E710" t="n">
        <v>1307.059062</v>
      </c>
      <c r="F710" t="n">
        <v>0.6984926337952381</v>
      </c>
      <c r="G710" t="n">
        <v>0</v>
      </c>
      <c r="H710" t="n">
        <v>20.25001933</v>
      </c>
      <c r="I710" t="n">
        <v>2</v>
      </c>
      <c r="J710" t="n">
        <v>6</v>
      </c>
      <c r="K710" t="inlineStr">
        <is>
          <t>Sin stock</t>
        </is>
      </c>
    </row>
    <row r="711">
      <c r="A711" t="inlineStr">
        <is>
          <t>RIOMIDA01TXL</t>
        </is>
      </c>
      <c r="B711" t="inlineStr">
        <is>
          <t>RIO ORIGINAL DAMA</t>
        </is>
      </c>
      <c r="C711" t="inlineStr">
        <is>
          <t>Manufactura / Dama / P. Superiores</t>
        </is>
      </c>
      <c r="D711" t="n">
        <v>25</v>
      </c>
      <c r="E711" t="n">
        <v>1304.42282575</v>
      </c>
      <c r="F711" t="n">
        <v>0.8935661677052632</v>
      </c>
      <c r="G711" t="n">
        <v>31</v>
      </c>
      <c r="H711" t="n">
        <v>5.538832275</v>
      </c>
      <c r="I711" t="n">
        <v>2.5</v>
      </c>
      <c r="J711" t="n">
        <v>2</v>
      </c>
      <c r="K711" t="inlineStr"/>
    </row>
    <row r="712">
      <c r="A712" t="inlineStr">
        <is>
          <t>RIOMIDA16TXS</t>
        </is>
      </c>
      <c r="B712" t="inlineStr">
        <is>
          <t>RIO ORIGINAL DAMA</t>
        </is>
      </c>
      <c r="C712" t="inlineStr">
        <is>
          <t>Manufactura / Dama / P. Superiores</t>
        </is>
      </c>
      <c r="D712" t="n">
        <v>25</v>
      </c>
      <c r="E712" t="n">
        <v>1299.68383785</v>
      </c>
      <c r="F712" t="n">
        <v>0.8918546001</v>
      </c>
      <c r="G712" t="n">
        <v>15</v>
      </c>
      <c r="H712" t="n">
        <v>5.538832275</v>
      </c>
      <c r="I712" t="n">
        <v>2.5</v>
      </c>
      <c r="J712" t="n">
        <v>0</v>
      </c>
      <c r="K712" t="inlineStr"/>
    </row>
    <row r="713">
      <c r="A713" t="inlineStr">
        <is>
          <t>POLPLCA14T2XL</t>
        </is>
      </c>
      <c r="B713" t="inlineStr">
        <is>
          <t>CLASSIC POLO</t>
        </is>
      </c>
      <c r="C713" t="inlineStr">
        <is>
          <t>Manufactura / Caballero / P. Superiores</t>
        </is>
      </c>
      <c r="D713" t="n">
        <v>28</v>
      </c>
      <c r="E713" t="n">
        <v>1299.45796994</v>
      </c>
      <c r="F713" t="n">
        <v>0.8424307988</v>
      </c>
      <c r="G713" t="n">
        <v>4</v>
      </c>
      <c r="H713" t="n">
        <v>7.339999999999999</v>
      </c>
      <c r="I713" t="n">
        <v>2.8</v>
      </c>
      <c r="J713" t="n">
        <v>0</v>
      </c>
      <c r="K713" t="inlineStr"/>
    </row>
    <row r="714">
      <c r="A714" t="inlineStr">
        <is>
          <t>RIOMIKI11T4</t>
        </is>
      </c>
      <c r="B714" t="inlineStr">
        <is>
          <t>RIO ORIGINAL KIDS</t>
        </is>
      </c>
      <c r="C714" t="inlineStr">
        <is>
          <t>Manufactura / Kids / P. Superiores</t>
        </is>
      </c>
      <c r="D714" t="n">
        <v>32</v>
      </c>
      <c r="E714" t="n">
        <v>1297.47462313</v>
      </c>
      <c r="F714" t="n">
        <v>0.9139912010823529</v>
      </c>
      <c r="G714" t="n">
        <v>11</v>
      </c>
      <c r="H714" t="n">
        <v>3.617969464</v>
      </c>
      <c r="I714" t="n">
        <v>3.2</v>
      </c>
      <c r="J714" t="n">
        <v>0</v>
      </c>
      <c r="K714" t="inlineStr"/>
    </row>
    <row r="715">
      <c r="A715" t="inlineStr">
        <is>
          <t>BANDVZLA</t>
        </is>
      </c>
      <c r="B715" t="inlineStr">
        <is>
          <t>CUADRO BAND</t>
        </is>
      </c>
      <c r="C715" t="inlineStr">
        <is>
          <t>Equipamiento / Accesorios</t>
        </is>
      </c>
      <c r="D715" t="n">
        <v>1017</v>
      </c>
      <c r="E715" t="n">
        <v>1292.587898298357</v>
      </c>
      <c r="F715" t="n">
        <v>0.9529187236793893</v>
      </c>
      <c r="G715" t="n">
        <v>9607</v>
      </c>
      <c r="H715" t="n">
        <v>0.3159183673</v>
      </c>
      <c r="I715" t="n">
        <v>101.7</v>
      </c>
      <c r="J715" t="n">
        <v>0</v>
      </c>
      <c r="K715" t="inlineStr"/>
    </row>
    <row r="716">
      <c r="A716" t="inlineStr">
        <is>
          <t>CAP46MC</t>
        </is>
      </c>
      <c r="B716" t="inlineStr">
        <is>
          <t>MESH CAP</t>
        </is>
      </c>
      <c r="C716" t="inlineStr">
        <is>
          <t>Equipamiento / Gorras</t>
        </is>
      </c>
      <c r="D716" t="n">
        <v>51</v>
      </c>
      <c r="E716" t="n">
        <v>1291.98009721</v>
      </c>
      <c r="F716" t="n">
        <v>0.8697768640441861</v>
      </c>
      <c r="G716" t="n">
        <v>1</v>
      </c>
      <c r="H716" t="n">
        <v>3.36</v>
      </c>
      <c r="I716" t="n">
        <v>5.1</v>
      </c>
      <c r="J716" t="n">
        <v>1</v>
      </c>
      <c r="K716" t="inlineStr"/>
    </row>
    <row r="717">
      <c r="A717" t="inlineStr">
        <is>
          <t>BAOCCCA38T2XL</t>
        </is>
      </c>
      <c r="B717" t="inlineStr">
        <is>
          <t>BASIC LINE OVERSIZED CAB</t>
        </is>
      </c>
      <c r="C717" t="inlineStr">
        <is>
          <t>Manufactura / Caballero / P. Superiores</t>
        </is>
      </c>
      <c r="D717" t="n">
        <v>22</v>
      </c>
      <c r="E717" t="n">
        <v>1288.06668099</v>
      </c>
      <c r="F717" t="n">
        <v>0.8427130096523809</v>
      </c>
      <c r="G717" t="n">
        <v>13</v>
      </c>
      <c r="H717" t="n">
        <v>9.336740741</v>
      </c>
      <c r="I717" t="n">
        <v>2.2</v>
      </c>
      <c r="J717" t="n">
        <v>0</v>
      </c>
      <c r="K717" t="inlineStr"/>
    </row>
    <row r="718">
      <c r="A718" t="inlineStr">
        <is>
          <t>CLAMECA16TXL</t>
        </is>
      </c>
      <c r="B718" t="inlineStr">
        <is>
          <t>CLASICA SPORT CAB</t>
        </is>
      </c>
      <c r="C718" t="inlineStr">
        <is>
          <t>Manufactura / Caballero / P. Superiores</t>
        </is>
      </c>
      <c r="D718" t="n">
        <v>25</v>
      </c>
      <c r="E718" t="n">
        <v>1283.89209316</v>
      </c>
      <c r="F718" t="n">
        <v>0.7870996098857143</v>
      </c>
      <c r="G718" t="n">
        <v>9</v>
      </c>
      <c r="H718" t="n">
        <v>10.3013454</v>
      </c>
      <c r="I718" t="n">
        <v>2.5</v>
      </c>
      <c r="J718" t="n">
        <v>1</v>
      </c>
      <c r="K718" t="inlineStr"/>
    </row>
    <row r="719">
      <c r="A719" t="inlineStr">
        <is>
          <t>RIOMIKI34T12</t>
        </is>
      </c>
      <c r="B719" t="inlineStr">
        <is>
          <t>RIO ORIGINAL KIDS</t>
        </is>
      </c>
      <c r="C719" t="inlineStr">
        <is>
          <t>Manufactura / Kids / P. Superiores</t>
        </is>
      </c>
      <c r="D719" t="n">
        <v>29</v>
      </c>
      <c r="E719" t="n">
        <v>1281.70154135</v>
      </c>
      <c r="F719" t="n">
        <v>0.9171547265142858</v>
      </c>
      <c r="G719" t="n">
        <v>46</v>
      </c>
      <c r="H719" t="n">
        <v>3.617969464</v>
      </c>
      <c r="I719" t="n">
        <v>2.9</v>
      </c>
      <c r="J719" t="n">
        <v>0</v>
      </c>
      <c r="K719" t="inlineStr"/>
    </row>
    <row r="720">
      <c r="A720" t="inlineStr">
        <is>
          <t>BAN59EQ</t>
        </is>
      </c>
      <c r="B720" t="inlineStr">
        <is>
          <t>CUADRO BAND</t>
        </is>
      </c>
      <c r="C720" t="inlineStr">
        <is>
          <t>Equipamiento / Accesorios</t>
        </is>
      </c>
      <c r="D720" t="n">
        <v>451</v>
      </c>
      <c r="E720" t="n">
        <v>1278.340714161</v>
      </c>
      <c r="F720" t="n">
        <v>0.8876249939414919</v>
      </c>
      <c r="G720" t="n">
        <v>785</v>
      </c>
      <c r="H720" t="n">
        <v>0.3159183673</v>
      </c>
      <c r="I720" t="n">
        <v>45.1</v>
      </c>
      <c r="J720" t="n">
        <v>0</v>
      </c>
      <c r="K720" t="inlineStr"/>
    </row>
    <row r="721">
      <c r="A721" t="inlineStr">
        <is>
          <t>RIOMIKI43T6</t>
        </is>
      </c>
      <c r="B721" t="inlineStr">
        <is>
          <t>RIO ORIGINAL KIDS</t>
        </is>
      </c>
      <c r="C721" t="inlineStr">
        <is>
          <t>Manufactura / Kids / P. Superiores</t>
        </is>
      </c>
      <c r="D721" t="n">
        <v>28</v>
      </c>
      <c r="E721" t="n">
        <v>1276.81578056</v>
      </c>
      <c r="F721" t="n">
        <v>0.9190918297769231</v>
      </c>
      <c r="G721" t="n">
        <v>26</v>
      </c>
      <c r="H721" t="n">
        <v>3.617969464</v>
      </c>
      <c r="I721" t="n">
        <v>2.8</v>
      </c>
      <c r="J721" t="n">
        <v>0</v>
      </c>
      <c r="K721" t="inlineStr"/>
    </row>
    <row r="722">
      <c r="A722" t="inlineStr">
        <is>
          <t>MARMICA50TXL</t>
        </is>
      </c>
      <c r="B722" t="inlineStr">
        <is>
          <t>MAR ORIGINAL CAB</t>
        </is>
      </c>
      <c r="C722" t="inlineStr">
        <is>
          <t>Manufactura / Caballero / P. Superiores</t>
        </is>
      </c>
      <c r="D722" t="n">
        <v>26</v>
      </c>
      <c r="E722" t="n">
        <v>1272.801188</v>
      </c>
      <c r="F722" t="n">
        <v>0.8949353026035715</v>
      </c>
      <c r="G722" t="n">
        <v>43</v>
      </c>
      <c r="H722" t="n">
        <v>4.946357428</v>
      </c>
      <c r="I722" t="n">
        <v>2.6</v>
      </c>
      <c r="J722" t="n">
        <v>0</v>
      </c>
      <c r="K722" t="inlineStr"/>
    </row>
    <row r="723">
      <c r="A723" t="inlineStr">
        <is>
          <t>RIOMIKI12T8</t>
        </is>
      </c>
      <c r="B723" t="inlineStr">
        <is>
          <t>RIO ORIGINAL KIDS</t>
        </is>
      </c>
      <c r="C723" t="inlineStr">
        <is>
          <t>Manufactura / Kids / P. Superiores</t>
        </is>
      </c>
      <c r="D723" t="n">
        <v>31</v>
      </c>
      <c r="E723" t="n">
        <v>1269.98321272</v>
      </c>
      <c r="F723" t="n">
        <v>0.912017840115625</v>
      </c>
      <c r="G723" t="n">
        <v>77</v>
      </c>
      <c r="H723" t="n">
        <v>3.617969464</v>
      </c>
      <c r="I723" t="n">
        <v>3.1</v>
      </c>
      <c r="J723" t="n">
        <v>0</v>
      </c>
      <c r="K723" t="inlineStr"/>
    </row>
    <row r="724">
      <c r="A724" t="inlineStr">
        <is>
          <t>RIOMIDA01TL</t>
        </is>
      </c>
      <c r="B724" t="inlineStr">
        <is>
          <t>RIO ORIGINAL DAMA</t>
        </is>
      </c>
      <c r="C724" t="inlineStr">
        <is>
          <t>Manufactura / Dama / P. Superiores</t>
        </is>
      </c>
      <c r="D724" t="n">
        <v>25</v>
      </c>
      <c r="E724" t="n">
        <v>1267.50880494</v>
      </c>
      <c r="F724" t="n">
        <v>0.888031872547826</v>
      </c>
      <c r="G724" t="n">
        <v>27</v>
      </c>
      <c r="H724" t="n">
        <v>5.538832275</v>
      </c>
      <c r="I724" t="n">
        <v>2.5</v>
      </c>
      <c r="J724" t="n">
        <v>1</v>
      </c>
      <c r="K724" t="inlineStr"/>
    </row>
    <row r="725">
      <c r="A725" t="inlineStr">
        <is>
          <t>RIOMICA50TXL</t>
        </is>
      </c>
      <c r="B725" t="inlineStr">
        <is>
          <t>RIO ORIGINAL CAB</t>
        </is>
      </c>
      <c r="C725" t="inlineStr">
        <is>
          <t>Manufactura / Caballero / P. Superiores</t>
        </is>
      </c>
      <c r="D725" t="n">
        <v>23</v>
      </c>
      <c r="E725" t="n">
        <v>1265.48645</v>
      </c>
      <c r="F725" t="n">
        <v>0.8921837618399999</v>
      </c>
      <c r="G725" t="n">
        <v>32</v>
      </c>
      <c r="H725" t="n">
        <v>5.939350288000001</v>
      </c>
      <c r="I725" t="n">
        <v>2.3</v>
      </c>
      <c r="J725" t="n">
        <v>1</v>
      </c>
      <c r="K725" t="inlineStr"/>
    </row>
    <row r="726">
      <c r="A726" t="inlineStr">
        <is>
          <t>RIOMIDA66TS</t>
        </is>
      </c>
      <c r="B726" t="inlineStr">
        <is>
          <t>RIO ORIGINAL DAMA</t>
        </is>
      </c>
      <c r="C726" t="inlineStr">
        <is>
          <t>Manufactura / Dama / P. Superiores</t>
        </is>
      </c>
      <c r="D726" t="n">
        <v>26</v>
      </c>
      <c r="E726" t="n">
        <v>1265.21241833</v>
      </c>
      <c r="F726" t="n">
        <v>0.8872724288416666</v>
      </c>
      <c r="G726" t="n">
        <v>21</v>
      </c>
      <c r="H726" t="n">
        <v>5.538832275</v>
      </c>
      <c r="I726" t="n">
        <v>2.6</v>
      </c>
      <c r="J726" t="n">
        <v>0</v>
      </c>
      <c r="K726" t="inlineStr"/>
    </row>
    <row r="727">
      <c r="A727" t="inlineStr">
        <is>
          <t>DAYCSTCA66TXL</t>
        </is>
      </c>
      <c r="B727" t="inlineStr">
        <is>
          <t>CLASICA DAILY 3.0 CAB</t>
        </is>
      </c>
      <c r="C727" t="inlineStr">
        <is>
          <t>Manufactura / Caballero / P. Superiores</t>
        </is>
      </c>
      <c r="D727" t="n">
        <v>26</v>
      </c>
      <c r="E727" t="n">
        <v>1262.15155012</v>
      </c>
      <c r="F727" t="n">
        <v>0.7554618172178572</v>
      </c>
      <c r="G727" t="n">
        <v>18</v>
      </c>
      <c r="H727" t="n">
        <v>11.76035097</v>
      </c>
      <c r="I727" t="n">
        <v>2.6</v>
      </c>
      <c r="J727" t="n">
        <v>0</v>
      </c>
      <c r="K727" t="inlineStr"/>
    </row>
    <row r="728">
      <c r="A728" t="inlineStr">
        <is>
          <t>RIOMICA50TS</t>
        </is>
      </c>
      <c r="B728" t="inlineStr">
        <is>
          <t>RIO ORIGINAL CAB</t>
        </is>
      </c>
      <c r="C728" t="inlineStr">
        <is>
          <t>Manufactura / Caballero / P. Superiores</t>
        </is>
      </c>
      <c r="D728" t="n">
        <v>23</v>
      </c>
      <c r="E728" t="n">
        <v>1262.05162946</v>
      </c>
      <c r="F728" t="n">
        <v>0.8888189067521739</v>
      </c>
      <c r="G728" t="n">
        <v>17</v>
      </c>
      <c r="H728" t="n">
        <v>5.939350287999999</v>
      </c>
      <c r="I728" t="n">
        <v>2.3</v>
      </c>
      <c r="J728" t="n">
        <v>0</v>
      </c>
      <c r="K728" t="inlineStr"/>
    </row>
    <row r="729">
      <c r="A729" t="inlineStr">
        <is>
          <t>RIOMIKI13T10</t>
        </is>
      </c>
      <c r="B729" t="inlineStr">
        <is>
          <t>RIO ORIGINAL KIDS</t>
        </is>
      </c>
      <c r="C729" t="inlineStr">
        <is>
          <t>Manufactura / Kids / P. Superiores</t>
        </is>
      </c>
      <c r="D729" t="n">
        <v>30</v>
      </c>
      <c r="E729" t="n">
        <v>1249.34458774</v>
      </c>
      <c r="F729" t="n">
        <v>0.910572124713793</v>
      </c>
      <c r="G729" t="n">
        <v>30</v>
      </c>
      <c r="H729" t="n">
        <v>3.617969464000001</v>
      </c>
      <c r="I729" t="n">
        <v>3</v>
      </c>
      <c r="J729" t="n">
        <v>0</v>
      </c>
      <c r="K729" t="inlineStr"/>
    </row>
    <row r="730">
      <c r="A730" t="inlineStr">
        <is>
          <t>JACKI66T4</t>
        </is>
      </c>
      <c r="B730" t="inlineStr">
        <is>
          <t>JACKET KIDS</t>
        </is>
      </c>
      <c r="C730" t="inlineStr">
        <is>
          <t>Manufactura / Kids / P. Superiores</t>
        </is>
      </c>
      <c r="D730" t="n">
        <v>23</v>
      </c>
      <c r="E730" t="n">
        <v>1248.60932222</v>
      </c>
      <c r="F730" t="n">
        <v>0.7215747827809524</v>
      </c>
      <c r="G730" t="n">
        <v>43</v>
      </c>
      <c r="H730" t="n">
        <v>15.17</v>
      </c>
      <c r="I730" t="n">
        <v>2.3</v>
      </c>
      <c r="J730" t="n">
        <v>1</v>
      </c>
      <c r="K730" t="inlineStr"/>
    </row>
    <row r="731">
      <c r="A731" t="inlineStr">
        <is>
          <t>RIOMIKI01T4</t>
        </is>
      </c>
      <c r="B731" t="inlineStr">
        <is>
          <t>RIO ORIGINAL KIDS</t>
        </is>
      </c>
      <c r="C731" t="inlineStr">
        <is>
          <t>Manufactura / Kids / P. Superiores</t>
        </is>
      </c>
      <c r="D731" t="n">
        <v>29</v>
      </c>
      <c r="E731" t="n">
        <v>1248.20801097</v>
      </c>
      <c r="F731" t="n">
        <v>0.9154999386433332</v>
      </c>
      <c r="G731" t="n">
        <v>25</v>
      </c>
      <c r="H731" t="n">
        <v>3.617969464</v>
      </c>
      <c r="I731" t="n">
        <v>2.9</v>
      </c>
      <c r="J731" t="n">
        <v>0</v>
      </c>
      <c r="K731" t="inlineStr"/>
    </row>
    <row r="732">
      <c r="A732" t="inlineStr">
        <is>
          <t>CLAMECA16TS</t>
        </is>
      </c>
      <c r="B732" t="inlineStr">
        <is>
          <t>CLASICA SPORT CAB</t>
        </is>
      </c>
      <c r="C732" t="inlineStr">
        <is>
          <t>Manufactura / Caballero / P. Superiores</t>
        </is>
      </c>
      <c r="D732" t="n">
        <v>24</v>
      </c>
      <c r="E732" t="n">
        <v>1245.8720552</v>
      </c>
      <c r="F732" t="n">
        <v>0.798346953937037</v>
      </c>
      <c r="G732" t="n">
        <v>12</v>
      </c>
      <c r="H732" t="n">
        <v>10.3013454</v>
      </c>
      <c r="I732" t="n">
        <v>2.4</v>
      </c>
      <c r="J732" t="n">
        <v>0</v>
      </c>
      <c r="K732" t="inlineStr"/>
    </row>
    <row r="733">
      <c r="A733" t="inlineStr">
        <is>
          <t>ADUMMCA16TL</t>
        </is>
      </c>
      <c r="B733" t="inlineStr">
        <is>
          <t>ACTIVE DUO CAB</t>
        </is>
      </c>
      <c r="C733" t="inlineStr">
        <is>
          <t>Manufactura / Caballero / P. Superiores</t>
        </is>
      </c>
      <c r="D733" t="n">
        <v>32</v>
      </c>
      <c r="E733" t="n">
        <v>1241.97320839</v>
      </c>
      <c r="F733" t="n">
        <v>0.8866838078923076</v>
      </c>
      <c r="G733" t="n">
        <v>5</v>
      </c>
      <c r="H733" t="n">
        <v>5.09</v>
      </c>
      <c r="I733" t="n">
        <v>3.2</v>
      </c>
      <c r="J733" t="n">
        <v>3</v>
      </c>
      <c r="K733" t="inlineStr"/>
    </row>
    <row r="734">
      <c r="A734" t="inlineStr">
        <is>
          <t>RIOMIKI34T8</t>
        </is>
      </c>
      <c r="B734" t="inlineStr">
        <is>
          <t>RIO ORIGINAL KIDS</t>
        </is>
      </c>
      <c r="C734" t="inlineStr">
        <is>
          <t>Manufactura / Kids / P. Superiores</t>
        </is>
      </c>
      <c r="D734" t="n">
        <v>31</v>
      </c>
      <c r="E734" t="n">
        <v>1240.67561235</v>
      </c>
      <c r="F734" t="n">
        <v>0.9141798062266666</v>
      </c>
      <c r="G734" t="n">
        <v>32</v>
      </c>
      <c r="H734" t="n">
        <v>3.617969464</v>
      </c>
      <c r="I734" t="n">
        <v>3.1</v>
      </c>
      <c r="J734" t="n">
        <v>0</v>
      </c>
      <c r="K734" t="inlineStr"/>
    </row>
    <row r="735">
      <c r="A735" t="inlineStr">
        <is>
          <t>BAN135EQ</t>
        </is>
      </c>
      <c r="B735" t="inlineStr">
        <is>
          <t>CUADRO BAND</t>
        </is>
      </c>
      <c r="C735" t="inlineStr">
        <is>
          <t>Equipamiento / Accesorios</t>
        </is>
      </c>
      <c r="D735" t="n">
        <v>434</v>
      </c>
      <c r="E735" t="n">
        <v>1238.576385256</v>
      </c>
      <c r="F735" t="n">
        <v>0.8881074348229591</v>
      </c>
      <c r="G735" t="n">
        <v>3688</v>
      </c>
      <c r="H735" t="n">
        <v>0.3159183673</v>
      </c>
      <c r="I735" t="n">
        <v>43.4</v>
      </c>
      <c r="J735" t="n">
        <v>0</v>
      </c>
      <c r="K735" t="inlineStr"/>
    </row>
    <row r="736">
      <c r="A736" t="inlineStr">
        <is>
          <t>RIOMIDA48TS</t>
        </is>
      </c>
      <c r="B736" t="inlineStr">
        <is>
          <t>RIO ORIGINAL DAMA</t>
        </is>
      </c>
      <c r="C736" t="inlineStr">
        <is>
          <t>Manufactura / Dama / P. Superiores</t>
        </is>
      </c>
      <c r="D736" t="n">
        <v>22</v>
      </c>
      <c r="E736" t="n">
        <v>1236.75545663</v>
      </c>
      <c r="F736" t="n">
        <v>0.8993214621727272</v>
      </c>
      <c r="G736" t="n">
        <v>26</v>
      </c>
      <c r="H736" t="n">
        <v>5.538832275</v>
      </c>
      <c r="I736" t="n">
        <v>2.2</v>
      </c>
      <c r="J736" t="n">
        <v>0</v>
      </c>
      <c r="K736" t="inlineStr"/>
    </row>
    <row r="737">
      <c r="A737" t="inlineStr">
        <is>
          <t>MIKFNDA16TXS</t>
        </is>
      </c>
      <c r="B737" t="inlineStr">
        <is>
          <t>MIKA SPORT LITE DAMA</t>
        </is>
      </c>
      <c r="C737" t="inlineStr">
        <is>
          <t>Manufactura / Dama / P. Superiores</t>
        </is>
      </c>
      <c r="D737" t="n">
        <v>36</v>
      </c>
      <c r="E737" t="n">
        <v>1236.07537417</v>
      </c>
      <c r="F737" t="n">
        <v>0.8542637521606061</v>
      </c>
      <c r="G737" t="n">
        <v>33</v>
      </c>
      <c r="H737" t="n">
        <v>5.484675344</v>
      </c>
      <c r="I737" t="n">
        <v>3.6</v>
      </c>
      <c r="J737" t="n">
        <v>0</v>
      </c>
      <c r="K737" t="inlineStr"/>
    </row>
    <row r="738">
      <c r="A738" t="inlineStr">
        <is>
          <t>RIOMIDA12TL</t>
        </is>
      </c>
      <c r="B738" t="inlineStr">
        <is>
          <t>RIO ORIGINAL DAMA</t>
        </is>
      </c>
      <c r="C738" t="inlineStr">
        <is>
          <t>Manufactura / Dama / P. Superiores</t>
        </is>
      </c>
      <c r="D738" t="n">
        <v>22</v>
      </c>
      <c r="E738" t="n">
        <v>1234.44615768</v>
      </c>
      <c r="F738" t="n">
        <v>0.90429656603</v>
      </c>
      <c r="G738" t="n">
        <v>31</v>
      </c>
      <c r="H738" t="n">
        <v>5.538832275</v>
      </c>
      <c r="I738" t="n">
        <v>2.2</v>
      </c>
      <c r="J738" t="n">
        <v>0</v>
      </c>
      <c r="K738" t="inlineStr"/>
    </row>
    <row r="739">
      <c r="A739" t="inlineStr">
        <is>
          <t>MARMIKI13T10</t>
        </is>
      </c>
      <c r="B739" t="inlineStr">
        <is>
          <t>MAR ORIGINAL KIDS</t>
        </is>
      </c>
      <c r="C739" t="inlineStr">
        <is>
          <t>Manufactura / Kids / P. Superiores</t>
        </is>
      </c>
      <c r="D739" t="n">
        <v>33</v>
      </c>
      <c r="E739" t="n">
        <v>1234.06555642</v>
      </c>
      <c r="F739" t="n">
        <v>0.912083602616129</v>
      </c>
      <c r="G739" t="n">
        <v>22</v>
      </c>
      <c r="H739" t="n">
        <v>3.168013332</v>
      </c>
      <c r="I739" t="n">
        <v>3.3</v>
      </c>
      <c r="J739" t="n">
        <v>0</v>
      </c>
      <c r="K739" t="inlineStr"/>
    </row>
    <row r="740">
      <c r="A740" t="inlineStr">
        <is>
          <t>PANNTCA30TS</t>
        </is>
      </c>
      <c r="B740" t="inlineStr">
        <is>
          <t>EXPLORE PANTS CAB</t>
        </is>
      </c>
      <c r="C740" t="inlineStr">
        <is>
          <t>Manufactura / Caballero / P. Inferiores</t>
        </is>
      </c>
      <c r="D740" t="n">
        <v>25</v>
      </c>
      <c r="E740" t="n">
        <v>1229.77717044</v>
      </c>
      <c r="F740" t="n">
        <v>0.7619145299150001</v>
      </c>
      <c r="G740" t="n">
        <v>6</v>
      </c>
      <c r="H740" t="n">
        <v>15.68994502</v>
      </c>
      <c r="I740" t="n">
        <v>2.5</v>
      </c>
      <c r="J740" t="n">
        <v>0</v>
      </c>
      <c r="K740" t="inlineStr"/>
    </row>
    <row r="741">
      <c r="A741" t="inlineStr">
        <is>
          <t>DAYCSTDA16TL</t>
        </is>
      </c>
      <c r="B741" t="inlineStr">
        <is>
          <t>CLASICA DAILY 3.0 DAMA</t>
        </is>
      </c>
      <c r="C741" t="inlineStr">
        <is>
          <t>Manufactura / Dama / P. Superiores</t>
        </is>
      </c>
      <c r="D741" t="n">
        <v>32</v>
      </c>
      <c r="E741" t="n">
        <v>1229.77122707</v>
      </c>
      <c r="F741" t="n">
        <v>0.7663731222363637</v>
      </c>
      <c r="G741" t="n">
        <v>21</v>
      </c>
      <c r="H741" t="n">
        <v>10.28586481</v>
      </c>
      <c r="I741" t="n">
        <v>3.2</v>
      </c>
      <c r="J741" t="n">
        <v>1</v>
      </c>
      <c r="K741" t="inlineStr"/>
    </row>
    <row r="742">
      <c r="A742" t="inlineStr">
        <is>
          <t>SHUNTCA31TM</t>
        </is>
      </c>
      <c r="B742" t="inlineStr">
        <is>
          <t>SHORT SPORT R1 CAB</t>
        </is>
      </c>
      <c r="C742" t="inlineStr">
        <is>
          <t>Manufactura / Caballero / P. Inferiores</t>
        </is>
      </c>
      <c r="D742" t="n">
        <v>29</v>
      </c>
      <c r="E742" t="n">
        <v>1227.3141947</v>
      </c>
      <c r="F742" t="n">
        <v>0.8329751521681819</v>
      </c>
      <c r="G742" t="n">
        <v>2</v>
      </c>
      <c r="H742" t="n">
        <v>9.119999999999999</v>
      </c>
      <c r="I742" t="n">
        <v>2.9</v>
      </c>
      <c r="J742" t="n">
        <v>0</v>
      </c>
      <c r="K742" t="inlineStr"/>
    </row>
    <row r="743">
      <c r="A743" t="inlineStr">
        <is>
          <t>MARMIKI43T4</t>
        </is>
      </c>
      <c r="B743" t="inlineStr">
        <is>
          <t>MAR ORIGINAL KIDS</t>
        </is>
      </c>
      <c r="C743" t="inlineStr">
        <is>
          <t>Manufactura / Kids / P. Superiores</t>
        </is>
      </c>
      <c r="D743" t="n">
        <v>31</v>
      </c>
      <c r="E743" t="n">
        <v>1226.38984582</v>
      </c>
      <c r="F743" t="n">
        <v>0.91895129791875</v>
      </c>
      <c r="G743" t="n">
        <v>55</v>
      </c>
      <c r="H743" t="n">
        <v>3.168013332</v>
      </c>
      <c r="I743" t="n">
        <v>3.1</v>
      </c>
      <c r="J743" t="n">
        <v>0</v>
      </c>
      <c r="K743" t="inlineStr"/>
    </row>
    <row r="744">
      <c r="A744" t="inlineStr">
        <is>
          <t>CUTAG81</t>
        </is>
      </c>
      <c r="B744" t="inlineStr">
        <is>
          <t>CUADRO TAG</t>
        </is>
      </c>
      <c r="C744" t="inlineStr">
        <is>
          <t>Equipamiento / Accesorios</t>
        </is>
      </c>
      <c r="D744" t="n">
        <v>178</v>
      </c>
      <c r="E744" t="n">
        <v>1220.202013241</v>
      </c>
      <c r="F744" t="n">
        <v>0.92122812914375</v>
      </c>
      <c r="G744" t="n">
        <v>163</v>
      </c>
      <c r="H744" t="n">
        <v>0.8100000000000001</v>
      </c>
      <c r="I744" t="n">
        <v>17.8</v>
      </c>
      <c r="J744" t="n">
        <v>0</v>
      </c>
      <c r="K744" t="inlineStr"/>
    </row>
    <row r="745">
      <c r="A745" t="inlineStr">
        <is>
          <t>MARMIKI01T8</t>
        </is>
      </c>
      <c r="B745" t="inlineStr">
        <is>
          <t>MAR ORIGINAL KIDS</t>
        </is>
      </c>
      <c r="C745" t="inlineStr">
        <is>
          <t>Manufactura / Kids / P. Superiores</t>
        </is>
      </c>
      <c r="D745" t="n">
        <v>34</v>
      </c>
      <c r="E745" t="n">
        <v>1219.81374725</v>
      </c>
      <c r="F745" t="n">
        <v>0.911795541184375</v>
      </c>
      <c r="G745" t="n">
        <v>46</v>
      </c>
      <c r="H745" t="n">
        <v>3.168013332</v>
      </c>
      <c r="I745" t="n">
        <v>3.4</v>
      </c>
      <c r="J745" t="n">
        <v>0</v>
      </c>
      <c r="K745" t="inlineStr"/>
    </row>
    <row r="746">
      <c r="A746" t="inlineStr">
        <is>
          <t>RIOMICA30TXL</t>
        </is>
      </c>
      <c r="B746" t="inlineStr">
        <is>
          <t>RIO ORIGINAL CAB</t>
        </is>
      </c>
      <c r="C746" t="inlineStr">
        <is>
          <t>Manufactura / Caballero / P. Superiores</t>
        </is>
      </c>
      <c r="D746" t="n">
        <v>23</v>
      </c>
      <c r="E746" t="n">
        <v>1209.70299622</v>
      </c>
      <c r="F746" t="n">
        <v>0.8878269622279999</v>
      </c>
      <c r="G746" t="n">
        <v>23</v>
      </c>
      <c r="H746" t="n">
        <v>5.939350288000001</v>
      </c>
      <c r="I746" t="n">
        <v>2.3</v>
      </c>
      <c r="J746" t="n">
        <v>1</v>
      </c>
      <c r="K746" t="inlineStr"/>
    </row>
    <row r="747">
      <c r="A747" t="inlineStr">
        <is>
          <t>POLPLCA16TS</t>
        </is>
      </c>
      <c r="B747" t="inlineStr">
        <is>
          <t>CLASSIC POLO</t>
        </is>
      </c>
      <c r="C747" t="inlineStr">
        <is>
          <t>Manufactura / Caballero / P. Superiores</t>
        </is>
      </c>
      <c r="D747" t="n">
        <v>28</v>
      </c>
      <c r="E747" t="n">
        <v>1208.192267321148</v>
      </c>
      <c r="F747" t="n">
        <v>0.8486748404785714</v>
      </c>
      <c r="G747" t="n">
        <v>55</v>
      </c>
      <c r="H747" t="n">
        <v>7.34</v>
      </c>
      <c r="I747" t="n">
        <v>2.8</v>
      </c>
      <c r="J747" t="n">
        <v>0</v>
      </c>
      <c r="K747" t="inlineStr"/>
    </row>
    <row r="748">
      <c r="A748" t="inlineStr">
        <is>
          <t>JACDA34TL</t>
        </is>
      </c>
      <c r="B748" t="inlineStr">
        <is>
          <t>JACKET DAMA</t>
        </is>
      </c>
      <c r="C748" t="inlineStr">
        <is>
          <t>Equipamiento / Ropa</t>
        </is>
      </c>
      <c r="D748" t="n">
        <v>18</v>
      </c>
      <c r="E748" t="n">
        <v>1208.00885029</v>
      </c>
      <c r="F748" t="n">
        <v>0.6944773813545454</v>
      </c>
      <c r="G748" t="n">
        <v>0</v>
      </c>
      <c r="H748" t="n">
        <v>20.25</v>
      </c>
      <c r="I748" t="n">
        <v>1.8</v>
      </c>
      <c r="J748" t="n">
        <v>2</v>
      </c>
      <c r="K748" t="inlineStr">
        <is>
          <t>Sin stock</t>
        </is>
      </c>
    </row>
    <row r="749">
      <c r="A749" t="inlineStr">
        <is>
          <t>RIOMIKI12T6</t>
        </is>
      </c>
      <c r="B749" t="inlineStr">
        <is>
          <t>RIO ORIGINAL KIDS</t>
        </is>
      </c>
      <c r="C749" t="inlineStr">
        <is>
          <t>Manufactura / Kids / P. Superiores</t>
        </is>
      </c>
      <c r="D749" t="n">
        <v>29</v>
      </c>
      <c r="E749" t="n">
        <v>1204.77750899</v>
      </c>
      <c r="F749" t="n">
        <v>0.9134809813533333</v>
      </c>
      <c r="G749" t="n">
        <v>76</v>
      </c>
      <c r="H749" t="n">
        <v>3.617969464</v>
      </c>
      <c r="I749" t="n">
        <v>2.9</v>
      </c>
      <c r="J749" t="n">
        <v>0</v>
      </c>
      <c r="K749" t="inlineStr"/>
    </row>
    <row r="750">
      <c r="A750" t="inlineStr">
        <is>
          <t>MARMICA16T2XL</t>
        </is>
      </c>
      <c r="B750" t="inlineStr">
        <is>
          <t>MAR ORIGINAL CAB</t>
        </is>
      </c>
      <c r="C750" t="inlineStr">
        <is>
          <t>Manufactura / Caballero / P. Superiores</t>
        </is>
      </c>
      <c r="D750" t="n">
        <v>24</v>
      </c>
      <c r="E750" t="n">
        <v>1202.81693297</v>
      </c>
      <c r="F750" t="n">
        <v>0.903514994</v>
      </c>
      <c r="G750" t="n">
        <v>70</v>
      </c>
      <c r="H750" t="n">
        <v>4.946357428</v>
      </c>
      <c r="I750" t="n">
        <v>2.4</v>
      </c>
      <c r="J750" t="n">
        <v>0</v>
      </c>
      <c r="K750" t="inlineStr"/>
    </row>
    <row r="751">
      <c r="A751" t="inlineStr">
        <is>
          <t>MARMICA13T2XL</t>
        </is>
      </c>
      <c r="B751" t="inlineStr">
        <is>
          <t>MAR ORIGINAL CAB</t>
        </is>
      </c>
      <c r="C751" t="inlineStr">
        <is>
          <t>Manufactura / Caballero / P. Superiores</t>
        </is>
      </c>
      <c r="D751" t="n">
        <v>23</v>
      </c>
      <c r="E751" t="n">
        <v>1201.79877708</v>
      </c>
      <c r="F751" t="n">
        <v>0.8990481148259258</v>
      </c>
      <c r="G751" t="n">
        <v>87</v>
      </c>
      <c r="H751" t="n">
        <v>4.946357428</v>
      </c>
      <c r="I751" t="n">
        <v>2.3</v>
      </c>
      <c r="J751" t="n">
        <v>0</v>
      </c>
      <c r="K751" t="inlineStr"/>
    </row>
    <row r="752">
      <c r="A752" t="inlineStr">
        <is>
          <t>MARMIDA04TS</t>
        </is>
      </c>
      <c r="B752" t="inlineStr">
        <is>
          <t>MAR ORIGINAL DAMA</t>
        </is>
      </c>
      <c r="C752" t="inlineStr">
        <is>
          <t>Manufactura / Dama / P. Superiores</t>
        </is>
      </c>
      <c r="D752" t="n">
        <v>23</v>
      </c>
      <c r="E752" t="n">
        <v>1201.73079073</v>
      </c>
      <c r="F752" t="n">
        <v>0.9167670816000001</v>
      </c>
      <c r="G752" t="n">
        <v>49</v>
      </c>
      <c r="H752" t="n">
        <v>4.278324149</v>
      </c>
      <c r="I752" t="n">
        <v>2.3</v>
      </c>
      <c r="J752" t="n">
        <v>0</v>
      </c>
      <c r="K752" t="inlineStr"/>
    </row>
    <row r="753">
      <c r="A753" t="inlineStr">
        <is>
          <t>MARMIDA66TXL</t>
        </is>
      </c>
      <c r="B753" t="inlineStr">
        <is>
          <t>MAR ORIGINAL DAMA</t>
        </is>
      </c>
      <c r="C753" t="inlineStr">
        <is>
          <t>Manufactura / Dama / P. Superiores</t>
        </is>
      </c>
      <c r="D753" t="n">
        <v>25</v>
      </c>
      <c r="E753" t="n">
        <v>1198.38527113</v>
      </c>
      <c r="F753" t="n">
        <v>0.909869562596</v>
      </c>
      <c r="G753" t="n">
        <v>38</v>
      </c>
      <c r="H753" t="n">
        <v>4.278324149</v>
      </c>
      <c r="I753" t="n">
        <v>2.5</v>
      </c>
      <c r="J753" t="n">
        <v>0</v>
      </c>
      <c r="K753" t="inlineStr"/>
    </row>
    <row r="754">
      <c r="A754" t="inlineStr">
        <is>
          <t>CLAMICA66TS</t>
        </is>
      </c>
      <c r="B754" t="inlineStr">
        <is>
          <t>CLASICA ORIGINAL CAB</t>
        </is>
      </c>
      <c r="C754" t="inlineStr">
        <is>
          <t>Manufactura / Caballero / P. Superiores</t>
        </is>
      </c>
      <c r="D754" t="n">
        <v>35</v>
      </c>
      <c r="E754" t="n">
        <v>1194.06783898</v>
      </c>
      <c r="F754" t="n">
        <v>0.8864882386724138</v>
      </c>
      <c r="G754" t="n">
        <v>41</v>
      </c>
      <c r="H754" t="n">
        <v>4.598442536</v>
      </c>
      <c r="I754" t="n">
        <v>3.5</v>
      </c>
      <c r="J754" t="n">
        <v>0</v>
      </c>
      <c r="K754" t="inlineStr"/>
    </row>
    <row r="755">
      <c r="A755" t="inlineStr">
        <is>
          <t>SHOSUCA156TXL</t>
        </is>
      </c>
      <c r="B755" t="inlineStr">
        <is>
          <t>SHORT PLAYA ESTAMPADO CAB</t>
        </is>
      </c>
      <c r="C755" t="inlineStr">
        <is>
          <t>Manufactura / Caballero / P. Inferiores</t>
        </is>
      </c>
      <c r="D755" t="n">
        <v>23</v>
      </c>
      <c r="E755" t="n">
        <v>1193.07481547</v>
      </c>
      <c r="F755" t="n">
        <v>0.7618423088461538</v>
      </c>
      <c r="G755" t="n">
        <v>41</v>
      </c>
      <c r="H755" t="n">
        <v>12.11</v>
      </c>
      <c r="I755" t="n">
        <v>2.3</v>
      </c>
      <c r="J755" t="n">
        <v>0</v>
      </c>
      <c r="K755" t="inlineStr"/>
    </row>
    <row r="756">
      <c r="A756" t="inlineStr">
        <is>
          <t>SHOSUCA155T2XL</t>
        </is>
      </c>
      <c r="B756" t="inlineStr">
        <is>
          <t>SHORT PLAYA ESTAMPADO CAB</t>
        </is>
      </c>
      <c r="C756" t="inlineStr">
        <is>
          <t>Manufactura / Caballero / P. Inferiores</t>
        </is>
      </c>
      <c r="D756" t="n">
        <v>20</v>
      </c>
      <c r="E756" t="n">
        <v>1188.7054299</v>
      </c>
      <c r="F756" t="n">
        <v>0.7911606934090909</v>
      </c>
      <c r="G756" t="n">
        <v>2</v>
      </c>
      <c r="H756" t="n">
        <v>12.11</v>
      </c>
      <c r="I756" t="n">
        <v>2</v>
      </c>
      <c r="J756" t="n">
        <v>1</v>
      </c>
      <c r="K756" t="inlineStr"/>
    </row>
    <row r="757">
      <c r="A757" t="inlineStr">
        <is>
          <t>LPR43EQ</t>
        </is>
      </c>
      <c r="B757" t="inlineStr">
        <is>
          <t>LANYARD PRO</t>
        </is>
      </c>
      <c r="C757" t="inlineStr">
        <is>
          <t>Equipamiento / Accesorios</t>
        </is>
      </c>
      <c r="D757" t="n">
        <v>212</v>
      </c>
      <c r="E757" t="n">
        <v>1187.440455276</v>
      </c>
      <c r="F757" t="n">
        <v>0.7910045477334975</v>
      </c>
      <c r="G757" t="n">
        <v>450</v>
      </c>
      <c r="H757" t="n">
        <v>1.15</v>
      </c>
      <c r="I757" t="n">
        <v>21.2</v>
      </c>
      <c r="J757" t="n">
        <v>0</v>
      </c>
      <c r="K757" t="inlineStr"/>
    </row>
    <row r="758">
      <c r="A758" t="inlineStr">
        <is>
          <t>SHOUNCA170TM</t>
        </is>
      </c>
      <c r="B758" t="inlineStr">
        <is>
          <t>SHORT PLAYA CAB</t>
        </is>
      </c>
      <c r="C758" t="inlineStr">
        <is>
          <t>Manufactura / Caballero / P. Inferiores</t>
        </is>
      </c>
      <c r="D758" t="n">
        <v>25</v>
      </c>
      <c r="E758" t="n">
        <v>1186.85310074</v>
      </c>
      <c r="F758" t="n">
        <v>0.7847804437724137</v>
      </c>
      <c r="G758" t="n">
        <v>31</v>
      </c>
      <c r="H758" t="n">
        <v>9.99</v>
      </c>
      <c r="I758" t="n">
        <v>2.5</v>
      </c>
      <c r="J758" t="n">
        <v>0</v>
      </c>
      <c r="K758" t="inlineStr"/>
    </row>
    <row r="759">
      <c r="A759" t="inlineStr">
        <is>
          <t>PANNTKI12T8</t>
        </is>
      </c>
      <c r="B759" t="inlineStr">
        <is>
          <t>EXPLORE PANTS KIDS</t>
        </is>
      </c>
      <c r="C759" t="inlineStr">
        <is>
          <t>Manufactura / Kids / P. Inferiores</t>
        </is>
      </c>
      <c r="D759" t="n">
        <v>23</v>
      </c>
      <c r="E759" t="n">
        <v>1185.0095236</v>
      </c>
      <c r="F759" t="n">
        <v>0.7396925753772727</v>
      </c>
      <c r="G759" t="n">
        <v>28</v>
      </c>
      <c r="H759" t="n">
        <v>13.98</v>
      </c>
      <c r="I759" t="n">
        <v>2.3</v>
      </c>
      <c r="J759" t="n">
        <v>1</v>
      </c>
      <c r="K759" t="inlineStr"/>
    </row>
    <row r="760">
      <c r="A760" t="inlineStr">
        <is>
          <t>GEODOCACA168TM</t>
        </is>
      </c>
      <c r="B760" t="inlineStr">
        <is>
          <t>ADVANCE GEO DOMINIC CAB</t>
        </is>
      </c>
      <c r="C760" t="inlineStr">
        <is>
          <t>Manufactura / Caballero / P. Superiores</t>
        </is>
      </c>
      <c r="D760" t="n">
        <v>22</v>
      </c>
      <c r="E760" t="n">
        <v>1184.85370875</v>
      </c>
      <c r="F760" t="n">
        <v>0.8030215167470589</v>
      </c>
      <c r="G760" t="n">
        <v>17</v>
      </c>
      <c r="H760" t="n">
        <v>13.35</v>
      </c>
      <c r="I760" t="n">
        <v>2.2</v>
      </c>
      <c r="J760" t="n">
        <v>0</v>
      </c>
      <c r="K760" t="inlineStr"/>
    </row>
    <row r="761">
      <c r="A761" t="inlineStr">
        <is>
          <t>MARMIKI12T14</t>
        </is>
      </c>
      <c r="B761" t="inlineStr">
        <is>
          <t>MAR ORIGINAL KIDS</t>
        </is>
      </c>
      <c r="C761" t="inlineStr">
        <is>
          <t>Manufactura / Kids / P. Superiores</t>
        </is>
      </c>
      <c r="D761" t="n">
        <v>32</v>
      </c>
      <c r="E761" t="n">
        <v>1182.99086859</v>
      </c>
      <c r="F761" t="n">
        <v>0.916073927325</v>
      </c>
      <c r="G761" t="n">
        <v>21</v>
      </c>
      <c r="H761" t="n">
        <v>3.168013332</v>
      </c>
      <c r="I761" t="n">
        <v>3.2</v>
      </c>
      <c r="J761" t="n">
        <v>0</v>
      </c>
      <c r="K761" t="inlineStr"/>
    </row>
    <row r="762">
      <c r="A762" t="inlineStr">
        <is>
          <t>RIOMIKI16T4</t>
        </is>
      </c>
      <c r="B762" t="inlineStr">
        <is>
          <t>RIO ORIGINAL KIDS</t>
        </is>
      </c>
      <c r="C762" t="inlineStr">
        <is>
          <t>Manufactura / Kids / P. Superiores</t>
        </is>
      </c>
      <c r="D762" t="n">
        <v>29</v>
      </c>
      <c r="E762" t="n">
        <v>1182.82025439</v>
      </c>
      <c r="F762" t="n">
        <v>0.9160846953481482</v>
      </c>
      <c r="G762" t="n">
        <v>15</v>
      </c>
      <c r="H762" t="n">
        <v>3.617969464000001</v>
      </c>
      <c r="I762" t="n">
        <v>2.9</v>
      </c>
      <c r="J762" t="n">
        <v>0</v>
      </c>
      <c r="K762" t="inlineStr"/>
    </row>
    <row r="763">
      <c r="A763" t="inlineStr">
        <is>
          <t>SHONTDA43TM</t>
        </is>
      </c>
      <c r="B763" t="inlineStr">
        <is>
          <t>EXPLORE SHORT DAMA</t>
        </is>
      </c>
      <c r="C763" t="inlineStr">
        <is>
          <t>Manufactura / Dama / P. Inferiores</t>
        </is>
      </c>
      <c r="D763" t="n">
        <v>24</v>
      </c>
      <c r="E763" t="n">
        <v>1182.6192112</v>
      </c>
      <c r="F763" t="n">
        <v>0.7994453988583333</v>
      </c>
      <c r="G763" t="n">
        <v>44</v>
      </c>
      <c r="H763" t="n">
        <v>10.22113744</v>
      </c>
      <c r="I763" t="n">
        <v>2.4</v>
      </c>
      <c r="J763" t="n">
        <v>0</v>
      </c>
      <c r="K763" t="inlineStr"/>
    </row>
    <row r="764">
      <c r="A764" t="inlineStr">
        <is>
          <t>PANNTDA30TXS</t>
        </is>
      </c>
      <c r="B764" t="inlineStr">
        <is>
          <t>EXPLORE PANTS DAMA</t>
        </is>
      </c>
      <c r="C764" t="inlineStr">
        <is>
          <t>Manufactura / Dama / P. Inferiores</t>
        </is>
      </c>
      <c r="D764" t="n">
        <v>18</v>
      </c>
      <c r="E764" t="n">
        <v>1181.69242166</v>
      </c>
      <c r="F764" t="n">
        <v>0.7762204455</v>
      </c>
      <c r="G764" t="n">
        <v>36</v>
      </c>
      <c r="H764" t="n">
        <v>15.3928899</v>
      </c>
      <c r="I764" t="n">
        <v>1.8</v>
      </c>
      <c r="J764" t="n">
        <v>0</v>
      </c>
      <c r="K764" t="inlineStr"/>
    </row>
    <row r="765">
      <c r="A765" t="inlineStr">
        <is>
          <t>CAP70EC</t>
        </is>
      </c>
      <c r="B765" t="inlineStr">
        <is>
          <t>EXPLORE CAP</t>
        </is>
      </c>
      <c r="C765" t="inlineStr">
        <is>
          <t>Equipamiento / Gorras</t>
        </is>
      </c>
      <c r="D765" t="n">
        <v>46</v>
      </c>
      <c r="E765" t="n">
        <v>1180.40450776</v>
      </c>
      <c r="F765" t="n">
        <v>0.8854592925184211</v>
      </c>
      <c r="G765" t="n">
        <v>264</v>
      </c>
      <c r="H765" t="n">
        <v>3.360013258</v>
      </c>
      <c r="I765" t="n">
        <v>4.6</v>
      </c>
      <c r="J765" t="n">
        <v>0</v>
      </c>
      <c r="K765" t="inlineStr"/>
    </row>
    <row r="766">
      <c r="A766" t="inlineStr">
        <is>
          <t>REFVERTOEQ152EQ</t>
        </is>
      </c>
      <c r="B766" t="inlineStr">
        <is>
          <t>REFRESH VERDE</t>
        </is>
      </c>
      <c r="C766" t="inlineStr">
        <is>
          <t>Manufactura / Refresh</t>
        </is>
      </c>
      <c r="D766" t="n">
        <v>48</v>
      </c>
      <c r="E766" t="n">
        <v>1175.42032035</v>
      </c>
      <c r="F766" t="n">
        <v>0.60297733025</v>
      </c>
      <c r="G766" t="n">
        <v>58</v>
      </c>
      <c r="H766" t="n">
        <v>14.96</v>
      </c>
      <c r="I766" t="n">
        <v>4.8</v>
      </c>
      <c r="J766" t="n">
        <v>0</v>
      </c>
      <c r="K766" t="inlineStr"/>
    </row>
    <row r="767">
      <c r="A767" t="inlineStr">
        <is>
          <t>JACKI66T2</t>
        </is>
      </c>
      <c r="B767" t="inlineStr">
        <is>
          <t>JACKET KIDS</t>
        </is>
      </c>
      <c r="C767" t="inlineStr">
        <is>
          <t>Manufactura / Kids / P. Superiores</t>
        </is>
      </c>
      <c r="D767" t="n">
        <v>20</v>
      </c>
      <c r="E767" t="n">
        <v>1175.36151856</v>
      </c>
      <c r="F767" t="n">
        <v>0.7288539521399999</v>
      </c>
      <c r="G767" t="n">
        <v>72</v>
      </c>
      <c r="H767" t="n">
        <v>15.17</v>
      </c>
      <c r="I767" t="n">
        <v>2</v>
      </c>
      <c r="J767" t="n">
        <v>1</v>
      </c>
      <c r="K767" t="inlineStr"/>
    </row>
    <row r="768">
      <c r="A768" t="inlineStr">
        <is>
          <t>RIOMIKI50T6</t>
        </is>
      </c>
      <c r="B768" t="inlineStr">
        <is>
          <t>RIO ORIGINAL KIDS</t>
        </is>
      </c>
      <c r="C768" t="inlineStr">
        <is>
          <t>Manufactura / Kids / P. Superiores</t>
        </is>
      </c>
      <c r="D768" t="n">
        <v>28</v>
      </c>
      <c r="E768" t="n">
        <v>1174.52536869</v>
      </c>
      <c r="F768" t="n">
        <v>0.9155322166083333</v>
      </c>
      <c r="G768" t="n">
        <v>33</v>
      </c>
      <c r="H768" t="n">
        <v>3.617969464</v>
      </c>
      <c r="I768" t="n">
        <v>2.8</v>
      </c>
      <c r="J768" t="n">
        <v>1</v>
      </c>
      <c r="K768" t="inlineStr"/>
    </row>
    <row r="769">
      <c r="A769" t="inlineStr">
        <is>
          <t>JAPCA01TXL</t>
        </is>
      </c>
      <c r="B769" t="inlineStr">
        <is>
          <t>CUADRO JACKET 2.0 CAB</t>
        </is>
      </c>
      <c r="C769" t="inlineStr">
        <is>
          <t>Equipamiento / Ropa</t>
        </is>
      </c>
      <c r="D769" t="n">
        <v>17</v>
      </c>
      <c r="E769" t="n">
        <v>1173.55512457</v>
      </c>
      <c r="F769" t="n">
        <v>0.7383820285666667</v>
      </c>
      <c r="G769" t="n">
        <v>218</v>
      </c>
      <c r="H769" t="n">
        <v>20.25000225</v>
      </c>
      <c r="I769" t="n">
        <v>1.7</v>
      </c>
      <c r="J769" t="n">
        <v>0</v>
      </c>
      <c r="K769" t="inlineStr"/>
    </row>
    <row r="770">
      <c r="A770" t="inlineStr">
        <is>
          <t>RIOMIKI13T6</t>
        </is>
      </c>
      <c r="B770" t="inlineStr">
        <is>
          <t>RIO ORIGINAL KIDS</t>
        </is>
      </c>
      <c r="C770" t="inlineStr">
        <is>
          <t>Manufactura / Kids / P. Superiores</t>
        </is>
      </c>
      <c r="D770" t="n">
        <v>27</v>
      </c>
      <c r="E770" t="n">
        <v>1172.92758493</v>
      </c>
      <c r="F770" t="n">
        <v>0.9142608014153846</v>
      </c>
      <c r="G770" t="n">
        <v>26</v>
      </c>
      <c r="H770" t="n">
        <v>3.617969464</v>
      </c>
      <c r="I770" t="n">
        <v>2.7</v>
      </c>
      <c r="J770" t="n">
        <v>0</v>
      </c>
      <c r="K770" t="inlineStr"/>
    </row>
    <row r="771">
      <c r="A771" t="inlineStr">
        <is>
          <t>SHONRCA12TS</t>
        </is>
      </c>
      <c r="B771" t="inlineStr">
        <is>
          <t>SHORT SPORT CAB</t>
        </is>
      </c>
      <c r="C771" t="inlineStr">
        <is>
          <t>Manufactura / Caballero / P. Inferiores</t>
        </is>
      </c>
      <c r="D771" t="n">
        <v>37</v>
      </c>
      <c r="E771" t="n">
        <v>1170.15314537</v>
      </c>
      <c r="F771" t="n">
        <v>0.7462686586178571</v>
      </c>
      <c r="G771" t="n">
        <v>9</v>
      </c>
      <c r="H771" t="n">
        <v>10.6514486</v>
      </c>
      <c r="I771" t="n">
        <v>3.7</v>
      </c>
      <c r="J771" t="n">
        <v>0</v>
      </c>
      <c r="K771" t="inlineStr"/>
    </row>
    <row r="772">
      <c r="A772" t="inlineStr">
        <is>
          <t>MARMIKI50T8</t>
        </is>
      </c>
      <c r="B772" t="inlineStr">
        <is>
          <t>MAR ORIGINAL KIDS</t>
        </is>
      </c>
      <c r="C772" t="inlineStr">
        <is>
          <t>Manufactura / Kids / P. Superiores</t>
        </is>
      </c>
      <c r="D772" t="n">
        <v>35</v>
      </c>
      <c r="E772" t="n">
        <v>1169.66720355</v>
      </c>
      <c r="F772" t="n">
        <v>0.9085055661064516</v>
      </c>
      <c r="G772" t="n">
        <v>53</v>
      </c>
      <c r="H772" t="n">
        <v>3.168013332</v>
      </c>
      <c r="I772" t="n">
        <v>3.5</v>
      </c>
      <c r="J772" t="n">
        <v>0</v>
      </c>
      <c r="K772" t="inlineStr"/>
    </row>
    <row r="773">
      <c r="A773" t="inlineStr">
        <is>
          <t>SHOSUKI155T14</t>
        </is>
      </c>
      <c r="B773" t="inlineStr">
        <is>
          <t>SHORT PLAYA ESTAMPADO KIDS</t>
        </is>
      </c>
      <c r="C773" t="inlineStr">
        <is>
          <t>Manufactura / Kids / P. Superiores</t>
        </is>
      </c>
      <c r="D773" t="n">
        <v>26</v>
      </c>
      <c r="E773" t="n">
        <v>1169.07159734</v>
      </c>
      <c r="F773" t="n">
        <v>0.8279131463428572</v>
      </c>
      <c r="G773" t="n">
        <v>7</v>
      </c>
      <c r="H773" t="n">
        <v>7.21</v>
      </c>
      <c r="I773" t="n">
        <v>2.6</v>
      </c>
      <c r="J773" t="n">
        <v>1</v>
      </c>
      <c r="K773" t="inlineStr"/>
    </row>
    <row r="774">
      <c r="A774" t="inlineStr">
        <is>
          <t>MARMIKI50T10</t>
        </is>
      </c>
      <c r="B774" t="inlineStr">
        <is>
          <t>MAR ORIGINAL KIDS</t>
        </is>
      </c>
      <c r="C774" t="inlineStr">
        <is>
          <t>Manufactura / Kids / P. Superiores</t>
        </is>
      </c>
      <c r="D774" t="n">
        <v>30</v>
      </c>
      <c r="E774" t="n">
        <v>1166.93503942</v>
      </c>
      <c r="F774" t="n">
        <v>0.9168240768413793</v>
      </c>
      <c r="G774" t="n">
        <v>51</v>
      </c>
      <c r="H774" t="n">
        <v>3.168013332</v>
      </c>
      <c r="I774" t="n">
        <v>3</v>
      </c>
      <c r="J774" t="n">
        <v>0</v>
      </c>
      <c r="K774" t="inlineStr"/>
    </row>
    <row r="775">
      <c r="A775" t="inlineStr">
        <is>
          <t>JAPDA162TXL</t>
        </is>
      </c>
      <c r="B775" t="inlineStr">
        <is>
          <t>CUADRO JACKET 2.0 DAMA</t>
        </is>
      </c>
      <c r="C775" t="inlineStr">
        <is>
          <t>Equipamiento / Ropa</t>
        </is>
      </c>
      <c r="D775" t="n">
        <v>15</v>
      </c>
      <c r="E775" t="n">
        <v>1166.79572781</v>
      </c>
      <c r="F775" t="n">
        <v>0.7528073720785714</v>
      </c>
      <c r="G775" t="n">
        <v>108</v>
      </c>
      <c r="H775" t="n">
        <v>20.25</v>
      </c>
      <c r="I775" t="n">
        <v>1.5</v>
      </c>
      <c r="J775" t="n">
        <v>0</v>
      </c>
      <c r="K775" t="inlineStr"/>
    </row>
    <row r="776">
      <c r="A776" t="inlineStr">
        <is>
          <t>HELBFDA16TM</t>
        </is>
      </c>
      <c r="B776" t="inlineStr">
        <is>
          <t>HELEN BIO MOVE DAMA</t>
        </is>
      </c>
      <c r="C776" t="inlineStr">
        <is>
          <t>Manufactura / Dama / P. Superiores</t>
        </is>
      </c>
      <c r="D776" t="n">
        <v>20</v>
      </c>
      <c r="E776" t="n">
        <v>1165.0296602</v>
      </c>
      <c r="F776" t="n">
        <v>0.87777869581</v>
      </c>
      <c r="G776" t="n">
        <v>8</v>
      </c>
      <c r="H776" t="n">
        <v>7.34081746</v>
      </c>
      <c r="I776" t="n">
        <v>2</v>
      </c>
      <c r="J776" t="n">
        <v>0</v>
      </c>
      <c r="K776" t="inlineStr"/>
    </row>
    <row r="777">
      <c r="A777" t="inlineStr">
        <is>
          <t>MARMIDA48TXL</t>
        </is>
      </c>
      <c r="B777" t="inlineStr">
        <is>
          <t>MAR ORIGINAL DAMA</t>
        </is>
      </c>
      <c r="C777" t="inlineStr">
        <is>
          <t>Manufactura / Dama / P. Superiores</t>
        </is>
      </c>
      <c r="D777" t="n">
        <v>24</v>
      </c>
      <c r="E777" t="n">
        <v>1161.60821773</v>
      </c>
      <c r="F777" t="n">
        <v>0.9095172015208334</v>
      </c>
      <c r="G777" t="n">
        <v>44</v>
      </c>
      <c r="H777" t="n">
        <v>4.278324149</v>
      </c>
      <c r="I777" t="n">
        <v>2.4</v>
      </c>
      <c r="J777" t="n">
        <v>0</v>
      </c>
      <c r="K777" t="inlineStr"/>
    </row>
    <row r="778">
      <c r="A778" t="inlineStr">
        <is>
          <t>SHOSUCA154TXL</t>
        </is>
      </c>
      <c r="B778" t="inlineStr">
        <is>
          <t>SHORT PLAYA ESTAMPADO CAB</t>
        </is>
      </c>
      <c r="C778" t="inlineStr">
        <is>
          <t>Manufactura / Caballero / P. Inferiores</t>
        </is>
      </c>
      <c r="D778" t="n">
        <v>23</v>
      </c>
      <c r="E778" t="n">
        <v>1161.55897417</v>
      </c>
      <c r="F778" t="n">
        <v>0.7655239521148148</v>
      </c>
      <c r="G778" t="n">
        <v>15</v>
      </c>
      <c r="H778" t="n">
        <v>12.11</v>
      </c>
      <c r="I778" t="n">
        <v>2.3</v>
      </c>
      <c r="J778" t="n">
        <v>3</v>
      </c>
      <c r="K778" t="inlineStr"/>
    </row>
    <row r="779">
      <c r="A779" t="inlineStr">
        <is>
          <t>POLPLCA30T2XL</t>
        </is>
      </c>
      <c r="B779" t="inlineStr">
        <is>
          <t>CLASSIC POLO</t>
        </is>
      </c>
      <c r="C779" t="inlineStr">
        <is>
          <t>Manufactura / Caballero / P. Superiores</t>
        </is>
      </c>
      <c r="D779" t="n">
        <v>24</v>
      </c>
      <c r="E779" t="n">
        <v>1159.14007718</v>
      </c>
      <c r="F779" t="n">
        <v>0.8262656461689655</v>
      </c>
      <c r="G779" t="n">
        <v>1</v>
      </c>
      <c r="H779" t="n">
        <v>7.34</v>
      </c>
      <c r="I779" t="n">
        <v>2.4</v>
      </c>
      <c r="J779" t="n">
        <v>1</v>
      </c>
      <c r="K779" t="inlineStr"/>
    </row>
    <row r="780">
      <c r="A780" t="inlineStr">
        <is>
          <t>RIOMICA66T2XL</t>
        </is>
      </c>
      <c r="B780" t="inlineStr">
        <is>
          <t>RIO ORIGINAL CAB</t>
        </is>
      </c>
      <c r="C780" t="inlineStr">
        <is>
          <t>Manufactura / Caballero / P. Superiores</t>
        </is>
      </c>
      <c r="D780" t="n">
        <v>24</v>
      </c>
      <c r="E780" t="n">
        <v>1159.07263241</v>
      </c>
      <c r="F780" t="n">
        <v>0.8819868056769231</v>
      </c>
      <c r="G780" t="n">
        <v>1</v>
      </c>
      <c r="H780" t="n">
        <v>5.939350287999999</v>
      </c>
      <c r="I780" t="n">
        <v>2.4</v>
      </c>
      <c r="J780" t="n">
        <v>0</v>
      </c>
      <c r="K780" t="inlineStr"/>
    </row>
    <row r="781">
      <c r="A781" t="inlineStr">
        <is>
          <t>RIOMIKI13T4</t>
        </is>
      </c>
      <c r="B781" t="inlineStr">
        <is>
          <t>RIO ORIGINAL KIDS</t>
        </is>
      </c>
      <c r="C781" t="inlineStr">
        <is>
          <t>Manufactura / Kids / P. Superiores</t>
        </is>
      </c>
      <c r="D781" t="n">
        <v>27</v>
      </c>
      <c r="E781" t="n">
        <v>1155.38996891</v>
      </c>
      <c r="F781" t="n">
        <v>0.9142825964071429</v>
      </c>
      <c r="G781" t="n">
        <v>18</v>
      </c>
      <c r="H781" t="n">
        <v>3.617969464</v>
      </c>
      <c r="I781" t="n">
        <v>2.7</v>
      </c>
      <c r="J781" t="n">
        <v>0</v>
      </c>
      <c r="K781" t="inlineStr"/>
    </row>
    <row r="782">
      <c r="A782" t="inlineStr">
        <is>
          <t>POLPLCA14TM</t>
        </is>
      </c>
      <c r="B782" t="inlineStr">
        <is>
          <t>CLASSIC POLO</t>
        </is>
      </c>
      <c r="C782" t="inlineStr">
        <is>
          <t>Manufactura / Caballero / P. Superiores</t>
        </is>
      </c>
      <c r="D782" t="n">
        <v>27</v>
      </c>
      <c r="E782" t="n">
        <v>1152.243188115277</v>
      </c>
      <c r="F782" t="n">
        <v>0.8316587980285715</v>
      </c>
      <c r="G782" t="n">
        <v>89</v>
      </c>
      <c r="H782" t="n">
        <v>7.34</v>
      </c>
      <c r="I782" t="n">
        <v>2.7</v>
      </c>
      <c r="J782" t="n">
        <v>0</v>
      </c>
      <c r="K782" t="inlineStr"/>
    </row>
    <row r="783">
      <c r="A783" t="inlineStr">
        <is>
          <t>RIOMIDA11TL</t>
        </is>
      </c>
      <c r="B783" t="inlineStr">
        <is>
          <t>RIO ORIGINAL DAMA</t>
        </is>
      </c>
      <c r="C783" t="inlineStr">
        <is>
          <t>Manufactura / Dama / P. Superiores</t>
        </is>
      </c>
      <c r="D783" t="n">
        <v>22</v>
      </c>
      <c r="E783" t="n">
        <v>1151.32623673</v>
      </c>
      <c r="F783" t="n">
        <v>0.892192035925</v>
      </c>
      <c r="G783" t="n">
        <v>4</v>
      </c>
      <c r="H783" t="n">
        <v>5.538832275</v>
      </c>
      <c r="I783" t="n">
        <v>2.2</v>
      </c>
      <c r="J783" t="n">
        <v>0</v>
      </c>
      <c r="K783" t="inlineStr"/>
    </row>
    <row r="784">
      <c r="A784" t="inlineStr">
        <is>
          <t>MARMIDA16TXL</t>
        </is>
      </c>
      <c r="B784" t="inlineStr">
        <is>
          <t>MAR ORIGINAL DAMA</t>
        </is>
      </c>
      <c r="C784" t="inlineStr">
        <is>
          <t>Manufactura / Dama / P. Superiores</t>
        </is>
      </c>
      <c r="D784" t="n">
        <v>25</v>
      </c>
      <c r="E784" t="n">
        <v>1149.85960888</v>
      </c>
      <c r="F784" t="n">
        <v>0.9126120867954545</v>
      </c>
      <c r="G784" t="n">
        <v>108</v>
      </c>
      <c r="H784" t="n">
        <v>4.278324149</v>
      </c>
      <c r="I784" t="n">
        <v>2.5</v>
      </c>
      <c r="J784" t="n">
        <v>0</v>
      </c>
      <c r="K784" t="inlineStr"/>
    </row>
    <row r="785">
      <c r="A785" t="inlineStr">
        <is>
          <t>CLAMICA66TM</t>
        </is>
      </c>
      <c r="B785" t="inlineStr">
        <is>
          <t>CLASICA ORIGINAL CAB</t>
        </is>
      </c>
      <c r="C785" t="inlineStr">
        <is>
          <t>Manufactura / Caballero / P. Superiores</t>
        </is>
      </c>
      <c r="D785" t="n">
        <v>51</v>
      </c>
      <c r="E785" t="n">
        <v>1148.7960443</v>
      </c>
      <c r="F785" t="n">
        <v>0.8784230786470588</v>
      </c>
      <c r="G785" t="n">
        <v>14</v>
      </c>
      <c r="H785" t="n">
        <v>4.598442536</v>
      </c>
      <c r="I785" t="n">
        <v>5.1</v>
      </c>
      <c r="J785" t="n">
        <v>0</v>
      </c>
      <c r="K785" t="inlineStr"/>
    </row>
    <row r="786">
      <c r="A786" t="inlineStr">
        <is>
          <t>SNA13EQ</t>
        </is>
      </c>
      <c r="B786" t="inlineStr">
        <is>
          <t>LLAVERO SNAP</t>
        </is>
      </c>
      <c r="C786" t="inlineStr">
        <is>
          <t>Equipamiento / Accesorios</t>
        </is>
      </c>
      <c r="D786" t="n">
        <v>209</v>
      </c>
      <c r="E786" t="n">
        <v>1146.998714233624</v>
      </c>
      <c r="F786" t="n">
        <v>0.8133468885994974</v>
      </c>
      <c r="G786" t="n">
        <v>703</v>
      </c>
      <c r="H786" t="n">
        <v>1</v>
      </c>
      <c r="I786" t="n">
        <v>20.9</v>
      </c>
      <c r="J786" t="n">
        <v>0</v>
      </c>
      <c r="K786" t="inlineStr"/>
    </row>
    <row r="787">
      <c r="A787" t="inlineStr">
        <is>
          <t>DOMBFCA43TM</t>
        </is>
      </c>
      <c r="B787" t="inlineStr">
        <is>
          <t>DOMINIC BIO MOVE CAB</t>
        </is>
      </c>
      <c r="C787" t="inlineStr">
        <is>
          <t>Manufactura / Caballero / P. Superiores</t>
        </is>
      </c>
      <c r="D787" t="n">
        <v>21</v>
      </c>
      <c r="E787" t="n">
        <v>1144.53017816</v>
      </c>
      <c r="F787" t="n">
        <v>0.7788987778050001</v>
      </c>
      <c r="G787" t="n">
        <v>17</v>
      </c>
      <c r="H787" t="n">
        <v>13.86</v>
      </c>
      <c r="I787" t="n">
        <v>2.1</v>
      </c>
      <c r="J787" t="n">
        <v>0</v>
      </c>
      <c r="K787" t="inlineStr"/>
    </row>
    <row r="788">
      <c r="A788" t="inlineStr">
        <is>
          <t>MARMIDA11TXL</t>
        </is>
      </c>
      <c r="B788" t="inlineStr">
        <is>
          <t>MAR ORIGINAL DAMA</t>
        </is>
      </c>
      <c r="C788" t="inlineStr">
        <is>
          <t>Manufactura / Dama / P. Superiores</t>
        </is>
      </c>
      <c r="D788" t="n">
        <v>24</v>
      </c>
      <c r="E788" t="n">
        <v>1140.16377969</v>
      </c>
      <c r="F788" t="n">
        <v>0.9077077173296296</v>
      </c>
      <c r="G788" t="n">
        <v>31</v>
      </c>
      <c r="H788" t="n">
        <v>4.278324149</v>
      </c>
      <c r="I788" t="n">
        <v>2.4</v>
      </c>
      <c r="J788" t="n">
        <v>2</v>
      </c>
      <c r="K788" t="inlineStr"/>
    </row>
    <row r="789">
      <c r="A789" t="inlineStr">
        <is>
          <t>PANNTDA66TXS</t>
        </is>
      </c>
      <c r="B789" t="inlineStr">
        <is>
          <t>EXPLORE PANTS DAMA</t>
        </is>
      </c>
      <c r="C789" t="inlineStr">
        <is>
          <t>Manufactura / Dama / P. Inferiores</t>
        </is>
      </c>
      <c r="D789" t="n">
        <v>19</v>
      </c>
      <c r="E789" t="n">
        <v>1133.06614526</v>
      </c>
      <c r="F789" t="n">
        <v>0.748000656665</v>
      </c>
      <c r="G789" t="n">
        <v>50</v>
      </c>
      <c r="H789" t="n">
        <v>15.3928899</v>
      </c>
      <c r="I789" t="n">
        <v>1.9</v>
      </c>
      <c r="J789" t="n">
        <v>1</v>
      </c>
      <c r="K789" t="inlineStr"/>
    </row>
    <row r="790">
      <c r="A790" t="inlineStr">
        <is>
          <t>RIOMIDA34TXL</t>
        </is>
      </c>
      <c r="B790" t="inlineStr">
        <is>
          <t>RIO ORIGINAL DAMA</t>
        </is>
      </c>
      <c r="C790" t="inlineStr">
        <is>
          <t>Manufactura / Dama / P. Superiores</t>
        </is>
      </c>
      <c r="D790" t="n">
        <v>20</v>
      </c>
      <c r="E790" t="n">
        <v>1130.68362939</v>
      </c>
      <c r="F790" t="n">
        <v>0.899407664947619</v>
      </c>
      <c r="G790" t="n">
        <v>33</v>
      </c>
      <c r="H790" t="n">
        <v>5.538832275</v>
      </c>
      <c r="I790" t="n">
        <v>2</v>
      </c>
      <c r="J790" t="n">
        <v>0</v>
      </c>
      <c r="K790" t="inlineStr"/>
    </row>
    <row r="791">
      <c r="A791" t="inlineStr">
        <is>
          <t>MARMIKI01T6</t>
        </is>
      </c>
      <c r="B791" t="inlineStr">
        <is>
          <t>MAR ORIGINAL KIDS</t>
        </is>
      </c>
      <c r="C791" t="inlineStr">
        <is>
          <t>Manufactura / Kids / P. Superiores</t>
        </is>
      </c>
      <c r="D791" t="n">
        <v>31</v>
      </c>
      <c r="E791" t="n">
        <v>1130.41779951</v>
      </c>
      <c r="F791" t="n">
        <v>0.9041128940151515</v>
      </c>
      <c r="G791" t="n">
        <v>51</v>
      </c>
      <c r="H791" t="n">
        <v>3.168013332</v>
      </c>
      <c r="I791" t="n">
        <v>3.1</v>
      </c>
      <c r="J791" t="n">
        <v>0</v>
      </c>
      <c r="K791" t="inlineStr"/>
    </row>
    <row r="792">
      <c r="A792" t="inlineStr">
        <is>
          <t>RIOMIKI43T2</t>
        </is>
      </c>
      <c r="B792" t="inlineStr">
        <is>
          <t>RIO ORIGINAL KIDS</t>
        </is>
      </c>
      <c r="C792" t="inlineStr">
        <is>
          <t>Manufactura / Kids / P. Superiores</t>
        </is>
      </c>
      <c r="D792" t="n">
        <v>28</v>
      </c>
      <c r="E792" t="n">
        <v>1127.70107849</v>
      </c>
      <c r="F792" t="n">
        <v>0.9054894703633334</v>
      </c>
      <c r="G792" t="n">
        <v>49</v>
      </c>
      <c r="H792" t="n">
        <v>3.617969464</v>
      </c>
      <c r="I792" t="n">
        <v>2.8</v>
      </c>
      <c r="J792" t="n">
        <v>0</v>
      </c>
      <c r="K792" t="inlineStr"/>
    </row>
    <row r="793">
      <c r="A793" t="inlineStr">
        <is>
          <t>BAC13BF</t>
        </is>
      </c>
      <c r="B793" t="inlineStr">
        <is>
          <t>BACKPACK FLEX</t>
        </is>
      </c>
      <c r="C793" t="inlineStr">
        <is>
          <t>Equipamiento / Bolsos</t>
        </is>
      </c>
      <c r="D793" t="n">
        <v>22</v>
      </c>
      <c r="E793" t="n">
        <v>1125.70018217</v>
      </c>
      <c r="F793" t="n">
        <v>0.7703036947071428</v>
      </c>
      <c r="G793" t="n">
        <v>480</v>
      </c>
      <c r="H793" t="n">
        <v>17.91</v>
      </c>
      <c r="I793" t="n">
        <v>2.2</v>
      </c>
      <c r="J793" t="n">
        <v>0</v>
      </c>
      <c r="K793" t="inlineStr"/>
    </row>
    <row r="794">
      <c r="A794" t="inlineStr">
        <is>
          <t>TOA64WA</t>
        </is>
      </c>
      <c r="B794" t="inlineStr">
        <is>
          <t>TOALLA WAFFLE</t>
        </is>
      </c>
      <c r="C794" t="inlineStr">
        <is>
          <t>Equipamiento / Toallas</t>
        </is>
      </c>
      <c r="D794" t="n">
        <v>53</v>
      </c>
      <c r="E794" t="n">
        <v>1123.6201075</v>
      </c>
      <c r="F794" t="n">
        <v>0.7353639433612245</v>
      </c>
      <c r="G794" t="n">
        <v>18</v>
      </c>
      <c r="H794" t="n">
        <v>5.5</v>
      </c>
      <c r="I794" t="n">
        <v>5.3</v>
      </c>
      <c r="J794" t="n">
        <v>0</v>
      </c>
      <c r="K794" t="inlineStr"/>
    </row>
    <row r="795">
      <c r="A795" t="inlineStr">
        <is>
          <t>SARSPDA43TXS</t>
        </is>
      </c>
      <c r="B795" t="inlineStr">
        <is>
          <t>FALDA SARA DAMA</t>
        </is>
      </c>
      <c r="C795" t="inlineStr">
        <is>
          <t>Manufactura / Dama / P. Inferiores</t>
        </is>
      </c>
      <c r="D795" t="n">
        <v>26</v>
      </c>
      <c r="E795" t="n">
        <v>1114.93320685</v>
      </c>
      <c r="F795" t="n">
        <v>0.8011623824545455</v>
      </c>
      <c r="G795" t="n">
        <v>9</v>
      </c>
      <c r="H795" t="n">
        <v>9.500113852</v>
      </c>
      <c r="I795" t="n">
        <v>2.6</v>
      </c>
      <c r="J795" t="n">
        <v>2</v>
      </c>
      <c r="K795" t="inlineStr"/>
    </row>
    <row r="796">
      <c r="A796" t="inlineStr">
        <is>
          <t>DAYCSTDA43TL</t>
        </is>
      </c>
      <c r="B796" t="inlineStr">
        <is>
          <t>CLASICA DAILY 3.0 DAMA</t>
        </is>
      </c>
      <c r="C796" t="inlineStr">
        <is>
          <t>Manufactura / Dama / P. Superiores</t>
        </is>
      </c>
      <c r="D796" t="n">
        <v>26</v>
      </c>
      <c r="E796" t="n">
        <v>1114.87964076</v>
      </c>
      <c r="F796" t="n">
        <v>0.758156944115</v>
      </c>
      <c r="G796" t="n">
        <v>2</v>
      </c>
      <c r="H796" t="n">
        <v>10.28586481</v>
      </c>
      <c r="I796" t="n">
        <v>2.6</v>
      </c>
      <c r="J796" t="n">
        <v>1</v>
      </c>
      <c r="K796" t="inlineStr"/>
    </row>
    <row r="797">
      <c r="A797" t="inlineStr">
        <is>
          <t>MARMIKI53T14</t>
        </is>
      </c>
      <c r="B797" t="inlineStr">
        <is>
          <t>MAR ORIGINAL KIDS</t>
        </is>
      </c>
      <c r="C797" t="inlineStr">
        <is>
          <t>Manufactura / Kids / P. Superiores</t>
        </is>
      </c>
      <c r="D797" t="n">
        <v>31</v>
      </c>
      <c r="E797" t="n">
        <v>1114.55769334</v>
      </c>
      <c r="F797" t="n">
        <v>0.9144345166296296</v>
      </c>
      <c r="G797" t="n">
        <v>42</v>
      </c>
      <c r="H797" t="n">
        <v>3.168013332</v>
      </c>
      <c r="I797" t="n">
        <v>3.1</v>
      </c>
      <c r="J797" t="n">
        <v>0</v>
      </c>
      <c r="K797" t="inlineStr"/>
    </row>
    <row r="798">
      <c r="A798" t="inlineStr">
        <is>
          <t>SHUNTCA43TM</t>
        </is>
      </c>
      <c r="B798" t="inlineStr">
        <is>
          <t>SHORT SPORT R1 CAB</t>
        </is>
      </c>
      <c r="C798" t="inlineStr">
        <is>
          <t>Manufactura / Caballero / P. Inferiores</t>
        </is>
      </c>
      <c r="D798" t="n">
        <v>31</v>
      </c>
      <c r="E798" t="n">
        <v>1112.04463073</v>
      </c>
      <c r="F798" t="n">
        <v>0.8052793931851852</v>
      </c>
      <c r="G798" t="n">
        <v>18</v>
      </c>
      <c r="H798" t="n">
        <v>9.119999999999999</v>
      </c>
      <c r="I798" t="n">
        <v>3.1</v>
      </c>
      <c r="J798" t="n">
        <v>0</v>
      </c>
      <c r="K798" t="inlineStr"/>
    </row>
    <row r="799">
      <c r="A799" t="inlineStr">
        <is>
          <t>CLAMIDA12TL</t>
        </is>
      </c>
      <c r="B799" t="inlineStr">
        <is>
          <t>CLASICA ORIGINAL DAMA</t>
        </is>
      </c>
      <c r="C799" t="inlineStr">
        <is>
          <t>Manufactura / Dama / P. Superiores</t>
        </is>
      </c>
      <c r="D799" t="n">
        <v>36</v>
      </c>
      <c r="E799" t="n">
        <v>1111.48881751</v>
      </c>
      <c r="F799" t="n">
        <v>0.8885603065266667</v>
      </c>
      <c r="G799" t="n">
        <v>19</v>
      </c>
      <c r="H799" t="n">
        <v>3.923227589</v>
      </c>
      <c r="I799" t="n">
        <v>3.6</v>
      </c>
      <c r="J799" t="n">
        <v>0</v>
      </c>
      <c r="K799" t="inlineStr"/>
    </row>
    <row r="800">
      <c r="A800" t="inlineStr">
        <is>
          <t>MARMIKI01T12</t>
        </is>
      </c>
      <c r="B800" t="inlineStr">
        <is>
          <t>MAR ORIGINAL KIDS</t>
        </is>
      </c>
      <c r="C800" t="inlineStr">
        <is>
          <t>Manufactura / Kids / P. Superiores</t>
        </is>
      </c>
      <c r="D800" t="n">
        <v>30</v>
      </c>
      <c r="E800" t="n">
        <v>1110.91196017</v>
      </c>
      <c r="F800" t="n">
        <v>0.9130672492321429</v>
      </c>
      <c r="G800" t="n">
        <v>56</v>
      </c>
      <c r="H800" t="n">
        <v>3.168013332</v>
      </c>
      <c r="I800" t="n">
        <v>3</v>
      </c>
      <c r="J800" t="n">
        <v>0</v>
      </c>
      <c r="K800" t="inlineStr"/>
    </row>
    <row r="801">
      <c r="A801" t="inlineStr">
        <is>
          <t>MARMIKI13T4</t>
        </is>
      </c>
      <c r="B801" t="inlineStr">
        <is>
          <t>MAR ORIGINAL KIDS</t>
        </is>
      </c>
      <c r="C801" t="inlineStr">
        <is>
          <t>Manufactura / Kids / P. Superiores</t>
        </is>
      </c>
      <c r="D801" t="n">
        <v>32</v>
      </c>
      <c r="E801" t="n">
        <v>1110.63501391</v>
      </c>
      <c r="F801" t="n">
        <v>0.9137961410933334</v>
      </c>
      <c r="G801" t="n">
        <v>15</v>
      </c>
      <c r="H801" t="n">
        <v>3.168013332</v>
      </c>
      <c r="I801" t="n">
        <v>3.2</v>
      </c>
      <c r="J801" t="n">
        <v>0</v>
      </c>
      <c r="K801" t="inlineStr"/>
    </row>
    <row r="802">
      <c r="A802" t="inlineStr">
        <is>
          <t>BAPCCDA184TL</t>
        </is>
      </c>
      <c r="B802" t="inlineStr">
        <is>
          <t>BASIC LINE PANT DAMA</t>
        </is>
      </c>
      <c r="C802" t="inlineStr">
        <is>
          <t>Manufactura / Dama / P. Inferiores</t>
        </is>
      </c>
      <c r="D802" t="n">
        <v>20</v>
      </c>
      <c r="E802" t="n">
        <v>1109.12972638</v>
      </c>
      <c r="F802" t="n">
        <v>0.84675794768</v>
      </c>
      <c r="G802" t="n">
        <v>9</v>
      </c>
      <c r="H802" t="n">
        <v>11.2</v>
      </c>
      <c r="I802" t="n">
        <v>2</v>
      </c>
      <c r="J802" t="n">
        <v>0</v>
      </c>
      <c r="K802" t="inlineStr"/>
    </row>
    <row r="803">
      <c r="A803" t="inlineStr">
        <is>
          <t>JACKI47T4</t>
        </is>
      </c>
      <c r="B803" t="inlineStr">
        <is>
          <t>JACKET KIDS</t>
        </is>
      </c>
      <c r="C803" t="inlineStr">
        <is>
          <t>Manufactura / Kids / P. Superiores</t>
        </is>
      </c>
      <c r="D803" t="n">
        <v>21</v>
      </c>
      <c r="E803" t="n">
        <v>1109.05126806</v>
      </c>
      <c r="F803" t="n">
        <v>0.7139903127363637</v>
      </c>
      <c r="G803" t="n">
        <v>8</v>
      </c>
      <c r="H803" t="n">
        <v>15.17</v>
      </c>
      <c r="I803" t="n">
        <v>2.1</v>
      </c>
      <c r="J803" t="n">
        <v>3</v>
      </c>
      <c r="K803" t="inlineStr"/>
    </row>
    <row r="804">
      <c r="A804" t="inlineStr">
        <is>
          <t>SHUNTDA43TS</t>
        </is>
      </c>
      <c r="B804" t="inlineStr">
        <is>
          <t>SHORT SPORT R1 DAMA</t>
        </is>
      </c>
      <c r="C804" t="inlineStr">
        <is>
          <t>Manufactura / Dama / P. Inferiores</t>
        </is>
      </c>
      <c r="D804" t="n">
        <v>27</v>
      </c>
      <c r="E804" t="n">
        <v>1108.48866644</v>
      </c>
      <c r="F804" t="n">
        <v>0.8156467595652174</v>
      </c>
      <c r="G804" t="n">
        <v>31</v>
      </c>
      <c r="H804" t="n">
        <v>8.33</v>
      </c>
      <c r="I804" t="n">
        <v>2.7</v>
      </c>
      <c r="J804" t="n">
        <v>1</v>
      </c>
      <c r="K804" t="inlineStr"/>
    </row>
    <row r="805">
      <c r="A805" t="inlineStr">
        <is>
          <t>MARMICA01TS</t>
        </is>
      </c>
      <c r="B805" t="inlineStr">
        <is>
          <t>MAR ORIGINAL CAB</t>
        </is>
      </c>
      <c r="C805" t="inlineStr">
        <is>
          <t>Manufactura / Caballero / P. Superiores</t>
        </is>
      </c>
      <c r="D805" t="n">
        <v>43</v>
      </c>
      <c r="E805" t="n">
        <v>1103.95045057</v>
      </c>
      <c r="F805" t="n">
        <v>0.8940933566545454</v>
      </c>
      <c r="G805" t="n">
        <v>52</v>
      </c>
      <c r="H805" t="n">
        <v>4.946357428</v>
      </c>
      <c r="I805" t="n">
        <v>4.3</v>
      </c>
      <c r="J805" t="n">
        <v>0</v>
      </c>
      <c r="K805" t="inlineStr"/>
    </row>
    <row r="806">
      <c r="A806" t="inlineStr">
        <is>
          <t>RIOMIKI50T14</t>
        </is>
      </c>
      <c r="B806" t="inlineStr">
        <is>
          <t>RIO ORIGINAL KIDS</t>
        </is>
      </c>
      <c r="C806" t="inlineStr">
        <is>
          <t>Manufactura / Kids / P. Superiores</t>
        </is>
      </c>
      <c r="D806" t="n">
        <v>24</v>
      </c>
      <c r="E806" t="n">
        <v>1103.30881119</v>
      </c>
      <c r="F806" t="n">
        <v>0.9173737275461539</v>
      </c>
      <c r="G806" t="n">
        <v>7</v>
      </c>
      <c r="H806" t="n">
        <v>3.617969464</v>
      </c>
      <c r="I806" t="n">
        <v>2.4</v>
      </c>
      <c r="J806" t="n">
        <v>0</v>
      </c>
      <c r="K806" t="inlineStr"/>
    </row>
    <row r="807">
      <c r="A807" t="inlineStr">
        <is>
          <t>MARMIKI50T6</t>
        </is>
      </c>
      <c r="B807" t="inlineStr">
        <is>
          <t>MAR ORIGINAL KIDS</t>
        </is>
      </c>
      <c r="C807" t="inlineStr">
        <is>
          <t>Manufactura / Kids / P. Superiores</t>
        </is>
      </c>
      <c r="D807" t="n">
        <v>33</v>
      </c>
      <c r="E807" t="n">
        <v>1103.30755841</v>
      </c>
      <c r="F807" t="n">
        <v>0.902940268283871</v>
      </c>
      <c r="G807" t="n">
        <v>12</v>
      </c>
      <c r="H807" t="n">
        <v>3.168013332</v>
      </c>
      <c r="I807" t="n">
        <v>3.3</v>
      </c>
      <c r="J807" t="n">
        <v>0</v>
      </c>
      <c r="K807" t="inlineStr"/>
    </row>
    <row r="808">
      <c r="A808" t="inlineStr">
        <is>
          <t>MIKFNDA10TS</t>
        </is>
      </c>
      <c r="B808" t="inlineStr">
        <is>
          <t>MIKA SPORT LITE DAMA</t>
        </is>
      </c>
      <c r="C808" t="inlineStr">
        <is>
          <t>Manufactura / Dama / P. Superiores</t>
        </is>
      </c>
      <c r="D808" t="n">
        <v>43</v>
      </c>
      <c r="E808" t="n">
        <v>1101.22565508</v>
      </c>
      <c r="F808" t="n">
        <v>0.836715514537931</v>
      </c>
      <c r="G808" t="n">
        <v>11</v>
      </c>
      <c r="H808" t="n">
        <v>5.484675344</v>
      </c>
      <c r="I808" t="n">
        <v>4.3</v>
      </c>
      <c r="J808" t="n">
        <v>0</v>
      </c>
      <c r="K808" t="inlineStr"/>
    </row>
    <row r="809">
      <c r="A809" t="inlineStr">
        <is>
          <t>RIOMIKI43T14</t>
        </is>
      </c>
      <c r="B809" t="inlineStr">
        <is>
          <t>RIO ORIGINAL KIDS</t>
        </is>
      </c>
      <c r="C809" t="inlineStr">
        <is>
          <t>Manufactura / Kids / P. Superiores</t>
        </is>
      </c>
      <c r="D809" t="n">
        <v>25</v>
      </c>
      <c r="E809" t="n">
        <v>1099.26152284</v>
      </c>
      <c r="F809" t="n">
        <v>0.9135756077</v>
      </c>
      <c r="G809" t="n">
        <v>7</v>
      </c>
      <c r="H809" t="n">
        <v>3.617969464</v>
      </c>
      <c r="I809" t="n">
        <v>2.5</v>
      </c>
      <c r="J809" t="n">
        <v>0</v>
      </c>
      <c r="K809" t="inlineStr"/>
    </row>
    <row r="810">
      <c r="A810" t="inlineStr">
        <is>
          <t>POLPLCA50TXL</t>
        </is>
      </c>
      <c r="B810" t="inlineStr">
        <is>
          <t>CLASSIC POLO</t>
        </is>
      </c>
      <c r="C810" t="inlineStr">
        <is>
          <t>Manufactura / Caballero / P. Superiores</t>
        </is>
      </c>
      <c r="D810" t="n">
        <v>24</v>
      </c>
      <c r="E810" t="n">
        <v>1098.18439113</v>
      </c>
      <c r="F810" t="n">
        <v>0.841766248096</v>
      </c>
      <c r="G810" t="n">
        <v>40</v>
      </c>
      <c r="H810" t="n">
        <v>7.34</v>
      </c>
      <c r="I810" t="n">
        <v>2.4</v>
      </c>
      <c r="J810" t="n">
        <v>1</v>
      </c>
      <c r="K810" t="inlineStr"/>
    </row>
    <row r="811">
      <c r="A811" t="inlineStr">
        <is>
          <t>SNA70EQ</t>
        </is>
      </c>
      <c r="B811" t="inlineStr">
        <is>
          <t>LLAVERO SNAP</t>
        </is>
      </c>
      <c r="C811" t="inlineStr">
        <is>
          <t>Equipamiento / Accesorios</t>
        </is>
      </c>
      <c r="D811" t="n">
        <v>188</v>
      </c>
      <c r="E811" t="n">
        <v>1094.07079686594</v>
      </c>
      <c r="F811" t="n">
        <v>0.8226070013874286</v>
      </c>
      <c r="G811" t="n">
        <v>351</v>
      </c>
      <c r="H811" t="n">
        <v>1</v>
      </c>
      <c r="I811" t="n">
        <v>18.8</v>
      </c>
      <c r="J811" t="n">
        <v>0</v>
      </c>
      <c r="K811" t="inlineStr"/>
    </row>
    <row r="812">
      <c r="A812" t="inlineStr">
        <is>
          <t>SHOSUKI153T10</t>
        </is>
      </c>
      <c r="B812" t="inlineStr">
        <is>
          <t>SHORT PLAYA ESTAMPADO KIDS</t>
        </is>
      </c>
      <c r="C812" t="inlineStr">
        <is>
          <t>Manufactura / Kids / P. Superiores</t>
        </is>
      </c>
      <c r="D812" t="n">
        <v>25</v>
      </c>
      <c r="E812" t="n">
        <v>1093.80906321</v>
      </c>
      <c r="F812" t="n">
        <v>0.8272393561520001</v>
      </c>
      <c r="G812" t="n">
        <v>9</v>
      </c>
      <c r="H812" t="n">
        <v>7.21</v>
      </c>
      <c r="I812" t="n">
        <v>2.5</v>
      </c>
      <c r="J812" t="n">
        <v>0</v>
      </c>
      <c r="K812" t="inlineStr"/>
    </row>
    <row r="813">
      <c r="A813" t="inlineStr">
        <is>
          <t>BAPCCDA43TXS</t>
        </is>
      </c>
      <c r="B813" t="inlineStr">
        <is>
          <t>BASIC LINE PANT DAMA</t>
        </is>
      </c>
      <c r="C813" t="inlineStr">
        <is>
          <t>Manufactura / Dama / P. Inferiores</t>
        </is>
      </c>
      <c r="D813" t="n">
        <v>28</v>
      </c>
      <c r="E813" t="n">
        <v>1089.82427676919</v>
      </c>
      <c r="F813" t="n">
        <v>0.8034024765055556</v>
      </c>
      <c r="G813" t="n">
        <v>41</v>
      </c>
      <c r="H813" t="n">
        <v>11.2</v>
      </c>
      <c r="I813" t="n">
        <v>2.8</v>
      </c>
      <c r="J813" t="n">
        <v>0</v>
      </c>
      <c r="K813" t="inlineStr"/>
    </row>
    <row r="814">
      <c r="A814" t="inlineStr">
        <is>
          <t>RIOMICA66TS</t>
        </is>
      </c>
      <c r="B814" t="inlineStr">
        <is>
          <t>RIO ORIGINAL CAB</t>
        </is>
      </c>
      <c r="C814" t="inlineStr">
        <is>
          <t>Manufactura / Caballero / P. Superiores</t>
        </is>
      </c>
      <c r="D814" t="n">
        <v>19</v>
      </c>
      <c r="E814" t="n">
        <v>1087.25296716</v>
      </c>
      <c r="F814" t="n">
        <v>0.8969470278526316</v>
      </c>
      <c r="G814" t="n">
        <v>18</v>
      </c>
      <c r="H814" t="n">
        <v>5.939350288</v>
      </c>
      <c r="I814" t="n">
        <v>1.9</v>
      </c>
      <c r="J814" t="n">
        <v>1</v>
      </c>
      <c r="K814" t="inlineStr"/>
    </row>
    <row r="815">
      <c r="A815" t="inlineStr">
        <is>
          <t>BAOCCCA43T2XL</t>
        </is>
      </c>
      <c r="B815" t="inlineStr">
        <is>
          <t>BASIC LINE OVERSIZED CAB</t>
        </is>
      </c>
      <c r="C815" t="inlineStr">
        <is>
          <t>Manufactura / Caballero / P. Superiores</t>
        </is>
      </c>
      <c r="D815" t="n">
        <v>17</v>
      </c>
      <c r="E815" t="n">
        <v>1086.37913908</v>
      </c>
      <c r="F815" t="n">
        <v>0.8582221252875</v>
      </c>
      <c r="G815" t="n">
        <v>46</v>
      </c>
      <c r="H815" t="n">
        <v>9.336740741</v>
      </c>
      <c r="I815" t="n">
        <v>1.7</v>
      </c>
      <c r="J815" t="n">
        <v>0</v>
      </c>
      <c r="K815" t="inlineStr"/>
    </row>
    <row r="816">
      <c r="A816" t="inlineStr">
        <is>
          <t>MARMIKI30T6</t>
        </is>
      </c>
      <c r="B816" t="inlineStr">
        <is>
          <t>MAR ORIGINAL KIDS</t>
        </is>
      </c>
      <c r="C816" t="inlineStr">
        <is>
          <t>Manufactura / Kids / P. Superiores</t>
        </is>
      </c>
      <c r="D816" t="n">
        <v>29</v>
      </c>
      <c r="E816" t="n">
        <v>1084.08937229</v>
      </c>
      <c r="F816" t="n">
        <v>0.9157680079222222</v>
      </c>
      <c r="G816" t="n">
        <v>6</v>
      </c>
      <c r="H816" t="n">
        <v>3.168013332</v>
      </c>
      <c r="I816" t="n">
        <v>2.9</v>
      </c>
      <c r="J816" t="n">
        <v>1</v>
      </c>
      <c r="K816" t="inlineStr"/>
    </row>
    <row r="817">
      <c r="A817" t="inlineStr">
        <is>
          <t>SHOSUKI155T6</t>
        </is>
      </c>
      <c r="B817" t="inlineStr">
        <is>
          <t>SHORT PLAYA ESTAMPADO KIDS</t>
        </is>
      </c>
      <c r="C817" t="inlineStr">
        <is>
          <t>Manufactura / Kids / P. Superiores</t>
        </is>
      </c>
      <c r="D817" t="n">
        <v>25</v>
      </c>
      <c r="E817" t="n">
        <v>1083.2322947</v>
      </c>
      <c r="F817" t="n">
        <v>0.826814191032</v>
      </c>
      <c r="G817" t="n">
        <v>11</v>
      </c>
      <c r="H817" t="n">
        <v>7.21</v>
      </c>
      <c r="I817" t="n">
        <v>2.5</v>
      </c>
      <c r="J817" t="n">
        <v>2</v>
      </c>
      <c r="K817" t="inlineStr"/>
    </row>
    <row r="818">
      <c r="A818" t="inlineStr">
        <is>
          <t>CAP15MC</t>
        </is>
      </c>
      <c r="B818" t="inlineStr">
        <is>
          <t>MESH CAP</t>
        </is>
      </c>
      <c r="C818" t="inlineStr">
        <is>
          <t>Equipamiento / Gorras</t>
        </is>
      </c>
      <c r="D818" t="n">
        <v>36</v>
      </c>
      <c r="E818" t="n">
        <v>1081.10010549</v>
      </c>
      <c r="F818" t="n">
        <v>0.8858438092617648</v>
      </c>
      <c r="G818" t="n">
        <v>0</v>
      </c>
      <c r="H818" t="n">
        <v>3.36</v>
      </c>
      <c r="I818" t="n">
        <v>3.6</v>
      </c>
      <c r="J818" t="n">
        <v>0</v>
      </c>
      <c r="K818" t="inlineStr">
        <is>
          <t>Sin stock</t>
        </is>
      </c>
    </row>
    <row r="819">
      <c r="A819" t="inlineStr">
        <is>
          <t>MARMICA01T2XL</t>
        </is>
      </c>
      <c r="B819" t="inlineStr">
        <is>
          <t>MAR ORIGINAL CAB</t>
        </is>
      </c>
      <c r="C819" t="inlineStr">
        <is>
          <t>Manufactura / Caballero / P. Superiores</t>
        </is>
      </c>
      <c r="D819" t="n">
        <v>22</v>
      </c>
      <c r="E819" t="n">
        <v>1080.77036606</v>
      </c>
      <c r="F819" t="n">
        <v>0.9017844906526316</v>
      </c>
      <c r="G819" t="n">
        <v>53</v>
      </c>
      <c r="H819" t="n">
        <v>4.946357428</v>
      </c>
      <c r="I819" t="n">
        <v>2.2</v>
      </c>
      <c r="J819" t="n">
        <v>0</v>
      </c>
      <c r="K819" t="inlineStr"/>
    </row>
    <row r="820">
      <c r="A820" t="inlineStr">
        <is>
          <t>MARMIDA34TXL</t>
        </is>
      </c>
      <c r="B820" t="inlineStr">
        <is>
          <t>MAR ORIGINAL DAMA</t>
        </is>
      </c>
      <c r="C820" t="inlineStr">
        <is>
          <t>Manufactura / Dama / P. Superiores</t>
        </is>
      </c>
      <c r="D820" t="n">
        <v>22</v>
      </c>
      <c r="E820" t="n">
        <v>1080.09190954</v>
      </c>
      <c r="F820" t="n">
        <v>0.9159653765869564</v>
      </c>
      <c r="G820" t="n">
        <v>38</v>
      </c>
      <c r="H820" t="n">
        <v>4.278324149</v>
      </c>
      <c r="I820" t="n">
        <v>2.2</v>
      </c>
      <c r="J820" t="n">
        <v>0</v>
      </c>
      <c r="K820" t="inlineStr"/>
    </row>
    <row r="821">
      <c r="A821" t="inlineStr">
        <is>
          <t>JACDA33TS</t>
        </is>
      </c>
      <c r="B821" t="inlineStr">
        <is>
          <t>JACKET DAMA</t>
        </is>
      </c>
      <c r="C821" t="inlineStr">
        <is>
          <t>Equipamiento / Ropa</t>
        </is>
      </c>
      <c r="D821" t="n">
        <v>18</v>
      </c>
      <c r="E821" t="n">
        <v>1078.87569894</v>
      </c>
      <c r="F821" t="n">
        <v>0.6790051229</v>
      </c>
      <c r="G821" t="n">
        <v>0</v>
      </c>
      <c r="H821" t="n">
        <v>20.25</v>
      </c>
      <c r="I821" t="n">
        <v>1.8</v>
      </c>
      <c r="J821" t="n">
        <v>0</v>
      </c>
      <c r="K821" t="inlineStr">
        <is>
          <t>Sin stock</t>
        </is>
      </c>
    </row>
    <row r="822">
      <c r="A822" t="inlineStr">
        <is>
          <t>SHOUNCA187TS</t>
        </is>
      </c>
      <c r="B822" t="inlineStr">
        <is>
          <t>SHORT PLAYA CAB</t>
        </is>
      </c>
      <c r="C822" t="inlineStr">
        <is>
          <t>Manufactura / Caballero / P. Inferiores</t>
        </is>
      </c>
      <c r="D822" t="n">
        <v>20</v>
      </c>
      <c r="E822" t="n">
        <v>1078.65163029</v>
      </c>
      <c r="F822" t="n">
        <v>0.8128080163565217</v>
      </c>
      <c r="G822" t="n">
        <v>37</v>
      </c>
      <c r="H822" t="n">
        <v>9.99</v>
      </c>
      <c r="I822" t="n">
        <v>2</v>
      </c>
      <c r="J822" t="n">
        <v>0</v>
      </c>
      <c r="K822" t="inlineStr"/>
    </row>
    <row r="823">
      <c r="A823" t="inlineStr">
        <is>
          <t>CAP43VS</t>
        </is>
      </c>
      <c r="B823" t="inlineStr">
        <is>
          <t>VISERA</t>
        </is>
      </c>
      <c r="C823" t="inlineStr">
        <is>
          <t>Equipamiento / Gorras</t>
        </is>
      </c>
      <c r="D823" t="n">
        <v>34</v>
      </c>
      <c r="E823" t="n">
        <v>1077.57286313</v>
      </c>
      <c r="F823" t="n">
        <v>0.5855926006529412</v>
      </c>
      <c r="G823" t="n">
        <v>0</v>
      </c>
      <c r="H823" t="n">
        <v>13.5</v>
      </c>
      <c r="I823" t="n">
        <v>3.4</v>
      </c>
      <c r="J823" t="n">
        <v>2</v>
      </c>
      <c r="K823" t="inlineStr">
        <is>
          <t>Sin stock</t>
        </is>
      </c>
    </row>
    <row r="824">
      <c r="A824" t="inlineStr">
        <is>
          <t>MARMIKI34T14</t>
        </is>
      </c>
      <c r="B824" t="inlineStr">
        <is>
          <t>MAR ORIGINAL KIDS</t>
        </is>
      </c>
      <c r="C824" t="inlineStr">
        <is>
          <t>Manufactura / Kids / P. Superiores</t>
        </is>
      </c>
      <c r="D824" t="n">
        <v>29</v>
      </c>
      <c r="E824" t="n">
        <v>1077.28165335</v>
      </c>
      <c r="F824" t="n">
        <v>0.9167950177892857</v>
      </c>
      <c r="G824" t="n">
        <v>27</v>
      </c>
      <c r="H824" t="n">
        <v>3.168013332</v>
      </c>
      <c r="I824" t="n">
        <v>2.9</v>
      </c>
      <c r="J824" t="n">
        <v>0</v>
      </c>
      <c r="K824" t="inlineStr"/>
    </row>
    <row r="825">
      <c r="A825" t="inlineStr">
        <is>
          <t>RIOMIKI01T2</t>
        </is>
      </c>
      <c r="B825" t="inlineStr">
        <is>
          <t>RIO ORIGINAL KIDS</t>
        </is>
      </c>
      <c r="C825" t="inlineStr">
        <is>
          <t>Manufactura / Kids / P. Superiores</t>
        </is>
      </c>
      <c r="D825" t="n">
        <v>26</v>
      </c>
      <c r="E825" t="n">
        <v>1074.18050788</v>
      </c>
      <c r="F825" t="n">
        <v>0.9141304185599999</v>
      </c>
      <c r="G825" t="n">
        <v>15</v>
      </c>
      <c r="H825" t="n">
        <v>3.617969464</v>
      </c>
      <c r="I825" t="n">
        <v>2.6</v>
      </c>
      <c r="J825" t="n">
        <v>0</v>
      </c>
      <c r="K825" t="inlineStr"/>
    </row>
    <row r="826">
      <c r="A826" t="inlineStr">
        <is>
          <t>JACCA12TS</t>
        </is>
      </c>
      <c r="B826" t="inlineStr">
        <is>
          <t>JACKET CAB</t>
        </is>
      </c>
      <c r="C826" t="inlineStr">
        <is>
          <t>Equipamiento / Ropa</t>
        </is>
      </c>
      <c r="D826" t="n">
        <v>18</v>
      </c>
      <c r="E826" t="n">
        <v>1072.3802217</v>
      </c>
      <c r="F826" t="n">
        <v>0.6928170145</v>
      </c>
      <c r="G826" t="n">
        <v>0</v>
      </c>
      <c r="H826" t="n">
        <v>20.25001933</v>
      </c>
      <c r="I826" t="n">
        <v>1.8</v>
      </c>
      <c r="J826" t="n">
        <v>4</v>
      </c>
      <c r="K826" t="inlineStr">
        <is>
          <t>Sin stock</t>
        </is>
      </c>
    </row>
    <row r="827">
      <c r="A827" t="inlineStr">
        <is>
          <t>RIOMICA13T2XL</t>
        </is>
      </c>
      <c r="B827" t="inlineStr">
        <is>
          <t>RIO ORIGINAL CAB</t>
        </is>
      </c>
      <c r="C827" t="inlineStr">
        <is>
          <t>Manufactura / Caballero / P. Superiores</t>
        </is>
      </c>
      <c r="D827" t="n">
        <v>20</v>
      </c>
      <c r="E827" t="n">
        <v>1071.88970851</v>
      </c>
      <c r="F827" t="n">
        <v>0.8941093132363637</v>
      </c>
      <c r="G827" t="n">
        <v>8</v>
      </c>
      <c r="H827" t="n">
        <v>5.939350287999999</v>
      </c>
      <c r="I827" t="n">
        <v>2</v>
      </c>
      <c r="J827" t="n">
        <v>1</v>
      </c>
      <c r="K827" t="inlineStr"/>
    </row>
    <row r="828">
      <c r="A828" t="inlineStr">
        <is>
          <t>MARMIDA04TXS</t>
        </is>
      </c>
      <c r="B828" t="inlineStr">
        <is>
          <t>MAR ORIGINAL DAMA</t>
        </is>
      </c>
      <c r="C828" t="inlineStr">
        <is>
          <t>Manufactura / Dama / P. Superiores</t>
        </is>
      </c>
      <c r="D828" t="n">
        <v>22</v>
      </c>
      <c r="E828" t="n">
        <v>1071.11403666</v>
      </c>
      <c r="F828" t="n">
        <v>0.9136009682736843</v>
      </c>
      <c r="G828" t="n">
        <v>48</v>
      </c>
      <c r="H828" t="n">
        <v>4.278324149</v>
      </c>
      <c r="I828" t="n">
        <v>2.2</v>
      </c>
      <c r="J828" t="n">
        <v>0</v>
      </c>
      <c r="K828" t="inlineStr"/>
    </row>
    <row r="829">
      <c r="A829" t="inlineStr">
        <is>
          <t>DAYCSTDA43TXS</t>
        </is>
      </c>
      <c r="B829" t="inlineStr">
        <is>
          <t>CLASICA DAILY 3.0 DAMA</t>
        </is>
      </c>
      <c r="C829" t="inlineStr">
        <is>
          <t>Manufactura / Dama / P. Superiores</t>
        </is>
      </c>
      <c r="D829" t="n">
        <v>27</v>
      </c>
      <c r="E829" t="n">
        <v>1071.10396796</v>
      </c>
      <c r="F829" t="n">
        <v>0.773132213848</v>
      </c>
      <c r="G829" t="n">
        <v>80</v>
      </c>
      <c r="H829" t="n">
        <v>10.28586481</v>
      </c>
      <c r="I829" t="n">
        <v>2.7</v>
      </c>
      <c r="J829" t="n">
        <v>0</v>
      </c>
      <c r="K829" t="inlineStr"/>
    </row>
    <row r="830">
      <c r="A830" t="inlineStr">
        <is>
          <t>MARMICA70TXL</t>
        </is>
      </c>
      <c r="B830" t="inlineStr">
        <is>
          <t>MAR ORIGINAL CAB</t>
        </is>
      </c>
      <c r="C830" t="inlineStr">
        <is>
          <t>Manufactura / Caballero / P. Superiores</t>
        </is>
      </c>
      <c r="D830" t="n">
        <v>22</v>
      </c>
      <c r="E830" t="n">
        <v>1066.81094838</v>
      </c>
      <c r="F830" t="n">
        <v>0.8979049367173914</v>
      </c>
      <c r="G830" t="n">
        <v>26</v>
      </c>
      <c r="H830" t="n">
        <v>4.946357428</v>
      </c>
      <c r="I830" t="n">
        <v>2.2</v>
      </c>
      <c r="J830" t="n">
        <v>1</v>
      </c>
      <c r="K830" t="inlineStr"/>
    </row>
    <row r="831">
      <c r="A831" t="inlineStr">
        <is>
          <t>SHONRKI43T14</t>
        </is>
      </c>
      <c r="B831" t="inlineStr">
        <is>
          <t>SHORT SPORT KIDS</t>
        </is>
      </c>
      <c r="C831" t="inlineStr">
        <is>
          <t>Manufactura / Kids / P. Inferiores</t>
        </is>
      </c>
      <c r="D831" t="n">
        <v>26</v>
      </c>
      <c r="E831" t="n">
        <v>1065.75134102</v>
      </c>
      <c r="F831" t="n">
        <v>0.842685874556</v>
      </c>
      <c r="G831" t="n">
        <v>11</v>
      </c>
      <c r="H831" t="n">
        <v>6.465724382</v>
      </c>
      <c r="I831" t="n">
        <v>2.6</v>
      </c>
      <c r="J831" t="n">
        <v>0</v>
      </c>
      <c r="K831" t="inlineStr"/>
    </row>
    <row r="832">
      <c r="A832" t="inlineStr">
        <is>
          <t>JAPKI43T10</t>
        </is>
      </c>
      <c r="B832" t="inlineStr">
        <is>
          <t>CUADRO JACKET 2.0 KIDS</t>
        </is>
      </c>
      <c r="C832" t="inlineStr">
        <is>
          <t>Equipamiento / Ropa</t>
        </is>
      </c>
      <c r="D832" t="n">
        <v>16</v>
      </c>
      <c r="E832" t="n">
        <v>1064.63023125</v>
      </c>
      <c r="F832" t="n">
        <v>0.76857585623125</v>
      </c>
      <c r="G832" t="n">
        <v>100</v>
      </c>
      <c r="H832" t="n">
        <v>15.17</v>
      </c>
      <c r="I832" t="n">
        <v>1.6</v>
      </c>
      <c r="J832" t="n">
        <v>0</v>
      </c>
      <c r="K832" t="inlineStr"/>
    </row>
    <row r="833">
      <c r="A833" t="inlineStr">
        <is>
          <t>RIOMICA01TM</t>
        </is>
      </c>
      <c r="B833" t="inlineStr">
        <is>
          <t>RIO ORIGINAL CAB</t>
        </is>
      </c>
      <c r="C833" t="inlineStr">
        <is>
          <t>Manufactura / Caballero / P. Superiores</t>
        </is>
      </c>
      <c r="D833" t="n">
        <v>20</v>
      </c>
      <c r="E833" t="n">
        <v>1063.76888203</v>
      </c>
      <c r="F833" t="n">
        <v>0.8871702570695652</v>
      </c>
      <c r="G833" t="n">
        <v>19</v>
      </c>
      <c r="H833" t="n">
        <v>5.939350287999999</v>
      </c>
      <c r="I833" t="n">
        <v>2</v>
      </c>
      <c r="J833" t="n">
        <v>0</v>
      </c>
      <c r="K833" t="inlineStr"/>
    </row>
    <row r="834">
      <c r="A834" t="inlineStr">
        <is>
          <t>SHUNTCA157TL</t>
        </is>
      </c>
      <c r="B834" t="inlineStr">
        <is>
          <t>SHORT SPORT R1 CAB</t>
        </is>
      </c>
      <c r="C834" t="inlineStr">
        <is>
          <t>Manufactura / Caballero / P. Inferiores</t>
        </is>
      </c>
      <c r="D834" t="n">
        <v>22</v>
      </c>
      <c r="E834" t="n">
        <v>1061.52224187</v>
      </c>
      <c r="F834" t="n">
        <v>0.8138607207869566</v>
      </c>
      <c r="G834" t="n">
        <v>1</v>
      </c>
      <c r="H834" t="n">
        <v>9.119999999999999</v>
      </c>
      <c r="I834" t="n">
        <v>2.2</v>
      </c>
      <c r="J834" t="n">
        <v>2</v>
      </c>
      <c r="K834" t="inlineStr"/>
    </row>
    <row r="835">
      <c r="A835" t="inlineStr">
        <is>
          <t>CLAMICA13TM</t>
        </is>
      </c>
      <c r="B835" t="inlineStr">
        <is>
          <t>CLASICA ORIGINAL CAB</t>
        </is>
      </c>
      <c r="C835" t="inlineStr">
        <is>
          <t>Manufactura / Caballero / P. Superiores</t>
        </is>
      </c>
      <c r="D835" t="n">
        <v>28</v>
      </c>
      <c r="E835" t="n">
        <v>1059.8999215</v>
      </c>
      <c r="F835" t="n">
        <v>0.88452436354</v>
      </c>
      <c r="G835" t="n">
        <v>9</v>
      </c>
      <c r="H835" t="n">
        <v>4.598442536</v>
      </c>
      <c r="I835" t="n">
        <v>2.8</v>
      </c>
      <c r="J835" t="n">
        <v>0</v>
      </c>
      <c r="K835" t="inlineStr"/>
    </row>
    <row r="836">
      <c r="A836" t="inlineStr">
        <is>
          <t>JACKI01T8</t>
        </is>
      </c>
      <c r="B836" t="inlineStr">
        <is>
          <t>JACKET KIDS</t>
        </is>
      </c>
      <c r="C836" t="inlineStr">
        <is>
          <t>Manufactura / Kids / P. Superiores</t>
        </is>
      </c>
      <c r="D836" t="n">
        <v>19</v>
      </c>
      <c r="E836" t="n">
        <v>1057.92093597</v>
      </c>
      <c r="F836" t="n">
        <v>0.72826707133125</v>
      </c>
      <c r="G836" t="n">
        <v>169</v>
      </c>
      <c r="H836" t="n">
        <v>15.17</v>
      </c>
      <c r="I836" t="n">
        <v>1.9</v>
      </c>
      <c r="J836" t="n">
        <v>0</v>
      </c>
      <c r="K836" t="inlineStr"/>
    </row>
    <row r="837">
      <c r="A837" t="inlineStr">
        <is>
          <t>RIOMICA01TXL</t>
        </is>
      </c>
      <c r="B837" t="inlineStr">
        <is>
          <t>RIO ORIGINAL CAB</t>
        </is>
      </c>
      <c r="C837" t="inlineStr">
        <is>
          <t>Manufactura / Caballero / P. Superiores</t>
        </is>
      </c>
      <c r="D837" t="n">
        <v>21</v>
      </c>
      <c r="E837" t="n">
        <v>1055.35726384</v>
      </c>
      <c r="F837" t="n">
        <v>0.8784321266304348</v>
      </c>
      <c r="G837" t="n">
        <v>32</v>
      </c>
      <c r="H837" t="n">
        <v>5.939350287999999</v>
      </c>
      <c r="I837" t="n">
        <v>2.1</v>
      </c>
      <c r="J837" t="n">
        <v>2</v>
      </c>
      <c r="K837" t="inlineStr"/>
    </row>
    <row r="838">
      <c r="A838" t="inlineStr">
        <is>
          <t>SHONRCA12T2XL</t>
        </is>
      </c>
      <c r="B838" t="inlineStr">
        <is>
          <t>SHORT SPORT CAB</t>
        </is>
      </c>
      <c r="C838" t="inlineStr">
        <is>
          <t>Manufactura / Caballero / P. Inferiores</t>
        </is>
      </c>
      <c r="D838" t="n">
        <v>22</v>
      </c>
      <c r="E838" t="n">
        <v>1053.24450812</v>
      </c>
      <c r="F838" t="n">
        <v>0.7705713837333333</v>
      </c>
      <c r="G838" t="n">
        <v>3</v>
      </c>
      <c r="H838" t="n">
        <v>10.6514486</v>
      </c>
      <c r="I838" t="n">
        <v>2.2</v>
      </c>
      <c r="J838" t="n">
        <v>1</v>
      </c>
      <c r="K838" t="inlineStr"/>
    </row>
    <row r="839">
      <c r="A839" t="inlineStr">
        <is>
          <t>RIOMIKI50T8</t>
        </is>
      </c>
      <c r="B839" t="inlineStr">
        <is>
          <t>RIO ORIGINAL KIDS</t>
        </is>
      </c>
      <c r="C839" t="inlineStr">
        <is>
          <t>Manufactura / Kids / P. Superiores</t>
        </is>
      </c>
      <c r="D839" t="n">
        <v>25</v>
      </c>
      <c r="E839" t="n">
        <v>1052.06905223</v>
      </c>
      <c r="F839" t="n">
        <v>0.9110200447666666</v>
      </c>
      <c r="G839" t="n">
        <v>57</v>
      </c>
      <c r="H839" t="n">
        <v>3.617969464</v>
      </c>
      <c r="I839" t="n">
        <v>2.5</v>
      </c>
      <c r="J839" t="n">
        <v>0</v>
      </c>
      <c r="K839" t="inlineStr"/>
    </row>
    <row r="840">
      <c r="A840" t="inlineStr">
        <is>
          <t>LPR34EQ</t>
        </is>
      </c>
      <c r="B840" t="inlineStr">
        <is>
          <t>LANYARD PRO</t>
        </is>
      </c>
      <c r="C840" t="inlineStr">
        <is>
          <t>Equipamiento / Accesorios</t>
        </is>
      </c>
      <c r="D840" t="n">
        <v>182</v>
      </c>
      <c r="E840" t="n">
        <v>1050.754482357</v>
      </c>
      <c r="F840" t="n">
        <v>0.7958663101653847</v>
      </c>
      <c r="G840" t="n">
        <v>404</v>
      </c>
      <c r="H840" t="n">
        <v>1.15</v>
      </c>
      <c r="I840" t="n">
        <v>18.2</v>
      </c>
      <c r="J840" t="n">
        <v>0</v>
      </c>
      <c r="K840" t="inlineStr"/>
    </row>
    <row r="841">
      <c r="A841" t="inlineStr">
        <is>
          <t>SHONRCA30T2XL</t>
        </is>
      </c>
      <c r="B841" t="inlineStr">
        <is>
          <t>SHORT SPORT CAB</t>
        </is>
      </c>
      <c r="C841" t="inlineStr">
        <is>
          <t>Manufactura / Caballero / P. Inferiores</t>
        </is>
      </c>
      <c r="D841" t="n">
        <v>24</v>
      </c>
      <c r="E841" t="n">
        <v>1047.619560755418</v>
      </c>
      <c r="F841" t="n">
        <v>0.757158139772</v>
      </c>
      <c r="G841" t="n">
        <v>3</v>
      </c>
      <c r="H841" t="n">
        <v>10.6514486</v>
      </c>
      <c r="I841" t="n">
        <v>2.4</v>
      </c>
      <c r="J841" t="n">
        <v>0</v>
      </c>
      <c r="K841" t="inlineStr"/>
    </row>
    <row r="842">
      <c r="A842" t="inlineStr">
        <is>
          <t>BAOCCCA43TXS</t>
        </is>
      </c>
      <c r="B842" t="inlineStr">
        <is>
          <t>BASIC LINE OVERSIZED CAB</t>
        </is>
      </c>
      <c r="C842" t="inlineStr">
        <is>
          <t>Manufactura / Caballero / P. Superiores</t>
        </is>
      </c>
      <c r="D842" t="n">
        <v>16</v>
      </c>
      <c r="E842" t="n">
        <v>1044.96529422</v>
      </c>
      <c r="F842" t="n">
        <v>0.84359304925</v>
      </c>
      <c r="G842" t="n">
        <v>26</v>
      </c>
      <c r="H842" t="n">
        <v>9.336740741</v>
      </c>
      <c r="I842" t="n">
        <v>1.6</v>
      </c>
      <c r="J842" t="n">
        <v>0</v>
      </c>
      <c r="K842" t="inlineStr"/>
    </row>
    <row r="843">
      <c r="A843" t="inlineStr">
        <is>
          <t>MARMIKI34T4</t>
        </is>
      </c>
      <c r="B843" t="inlineStr">
        <is>
          <t>MAR ORIGINAL KIDS</t>
        </is>
      </c>
      <c r="C843" t="inlineStr">
        <is>
          <t>Manufactura / Kids / P. Superiores</t>
        </is>
      </c>
      <c r="D843" t="n">
        <v>28</v>
      </c>
      <c r="E843" t="n">
        <v>1043.17904309</v>
      </c>
      <c r="F843" t="n">
        <v>0.9173344619733332</v>
      </c>
      <c r="G843" t="n">
        <v>26</v>
      </c>
      <c r="H843" t="n">
        <v>3.168013332</v>
      </c>
      <c r="I843" t="n">
        <v>2.8</v>
      </c>
      <c r="J843" t="n">
        <v>0</v>
      </c>
      <c r="K843" t="inlineStr"/>
    </row>
    <row r="844">
      <c r="A844" t="inlineStr">
        <is>
          <t>RIOMIKI48T6</t>
        </is>
      </c>
      <c r="B844" t="inlineStr">
        <is>
          <t>RIO ORIGINAL KIDS</t>
        </is>
      </c>
      <c r="C844" t="inlineStr">
        <is>
          <t>Manufactura / Kids / P. Superiores</t>
        </is>
      </c>
      <c r="D844" t="n">
        <v>25</v>
      </c>
      <c r="E844" t="n">
        <v>1042.87768001</v>
      </c>
      <c r="F844" t="n">
        <v>0.910362284908</v>
      </c>
      <c r="G844" t="n">
        <v>45</v>
      </c>
      <c r="H844" t="n">
        <v>3.617969464</v>
      </c>
      <c r="I844" t="n">
        <v>2.5</v>
      </c>
      <c r="J844" t="n">
        <v>0</v>
      </c>
      <c r="K844" t="inlineStr"/>
    </row>
    <row r="845">
      <c r="A845" t="inlineStr">
        <is>
          <t>JACKI66T8</t>
        </is>
      </c>
      <c r="B845" t="inlineStr">
        <is>
          <t>JACKET KIDS</t>
        </is>
      </c>
      <c r="C845" t="inlineStr">
        <is>
          <t>Manufactura / Kids / P. Superiores</t>
        </is>
      </c>
      <c r="D845" t="n">
        <v>19</v>
      </c>
      <c r="E845" t="n">
        <v>1042.79281449</v>
      </c>
      <c r="F845" t="n">
        <v>0.7197654585277777</v>
      </c>
      <c r="G845" t="n">
        <v>191</v>
      </c>
      <c r="H845" t="n">
        <v>15.17</v>
      </c>
      <c r="I845" t="n">
        <v>1.9</v>
      </c>
      <c r="J845" t="n">
        <v>0</v>
      </c>
      <c r="K845" t="inlineStr"/>
    </row>
    <row r="846">
      <c r="A846" t="inlineStr">
        <is>
          <t>CLAMICA70TM</t>
        </is>
      </c>
      <c r="B846" t="inlineStr">
        <is>
          <t>CLASICA ORIGINAL CAB</t>
        </is>
      </c>
      <c r="C846" t="inlineStr">
        <is>
          <t>Manufactura / Caballero / P. Superiores</t>
        </is>
      </c>
      <c r="D846" t="n">
        <v>57</v>
      </c>
      <c r="E846" t="n">
        <v>1041.61404771</v>
      </c>
      <c r="F846" t="n">
        <v>0.8876946735185185</v>
      </c>
      <c r="G846" t="n">
        <v>42</v>
      </c>
      <c r="H846" t="n">
        <v>4.598442536</v>
      </c>
      <c r="I846" t="n">
        <v>5.7</v>
      </c>
      <c r="J846" t="n">
        <v>0</v>
      </c>
      <c r="K846" t="inlineStr"/>
    </row>
    <row r="847">
      <c r="A847" t="inlineStr">
        <is>
          <t>CLAMIDA43TXS</t>
        </is>
      </c>
      <c r="B847" t="inlineStr">
        <is>
          <t>CLASICA ORIGINAL DAMA</t>
        </is>
      </c>
      <c r="C847" t="inlineStr">
        <is>
          <t>Manufactura / Dama / P. Superiores</t>
        </is>
      </c>
      <c r="D847" t="n">
        <v>53</v>
      </c>
      <c r="E847" t="n">
        <v>1039.81300733</v>
      </c>
      <c r="F847" t="n">
        <v>0.9014358453032258</v>
      </c>
      <c r="G847" t="n">
        <v>9</v>
      </c>
      <c r="H847" t="n">
        <v>3.923227589000001</v>
      </c>
      <c r="I847" t="n">
        <v>5.3</v>
      </c>
      <c r="J847" t="n">
        <v>0</v>
      </c>
      <c r="K847" t="inlineStr"/>
    </row>
    <row r="848">
      <c r="A848" t="inlineStr">
        <is>
          <t>CREKI43TU</t>
        </is>
      </c>
      <c r="B848" t="inlineStr">
        <is>
          <t>CREW SOCKS KIDS</t>
        </is>
      </c>
      <c r="C848" t="inlineStr">
        <is>
          <t>Equipamiento / Accesorios</t>
        </is>
      </c>
      <c r="D848" t="n">
        <v>72</v>
      </c>
      <c r="E848" t="n">
        <v>1036.711956754</v>
      </c>
      <c r="F848" t="n">
        <v>0.8251471313826924</v>
      </c>
      <c r="G848" t="n">
        <v>0</v>
      </c>
      <c r="H848" t="n">
        <v>2.83</v>
      </c>
      <c r="I848" t="n">
        <v>7.2</v>
      </c>
      <c r="J848" t="n">
        <v>3</v>
      </c>
      <c r="K848" t="inlineStr">
        <is>
          <t>Sin stock</t>
        </is>
      </c>
    </row>
    <row r="849">
      <c r="A849" t="inlineStr">
        <is>
          <t>MARMIKI04T12</t>
        </is>
      </c>
      <c r="B849" t="inlineStr">
        <is>
          <t>MAR ORIGINAL KIDS</t>
        </is>
      </c>
      <c r="C849" t="inlineStr">
        <is>
          <t>Manufactura / Kids / P. Superiores</t>
        </is>
      </c>
      <c r="D849" t="n">
        <v>27</v>
      </c>
      <c r="E849" t="n">
        <v>1035.60285012</v>
      </c>
      <c r="F849" t="n">
        <v>0.9161282486481481</v>
      </c>
      <c r="G849" t="n">
        <v>11</v>
      </c>
      <c r="H849" t="n">
        <v>3.168013332</v>
      </c>
      <c r="I849" t="n">
        <v>2.7</v>
      </c>
      <c r="J849" t="n">
        <v>0</v>
      </c>
      <c r="K849" t="inlineStr"/>
    </row>
    <row r="850">
      <c r="A850" t="inlineStr">
        <is>
          <t>MARMIKI34T12</t>
        </is>
      </c>
      <c r="B850" t="inlineStr">
        <is>
          <t>MAR ORIGINAL KIDS</t>
        </is>
      </c>
      <c r="C850" t="inlineStr">
        <is>
          <t>Manufactura / Kids / P. Superiores</t>
        </is>
      </c>
      <c r="D850" t="n">
        <v>27</v>
      </c>
      <c r="E850" t="n">
        <v>1035.56069054</v>
      </c>
      <c r="F850" t="n">
        <v>0.9153985059851851</v>
      </c>
      <c r="G850" t="n">
        <v>26</v>
      </c>
      <c r="H850" t="n">
        <v>3.168013332</v>
      </c>
      <c r="I850" t="n">
        <v>2.7</v>
      </c>
      <c r="J850" t="n">
        <v>0</v>
      </c>
      <c r="K850" t="inlineStr"/>
    </row>
    <row r="851">
      <c r="A851" t="inlineStr">
        <is>
          <t>TALGOTADA166TM</t>
        </is>
      </c>
      <c r="B851" t="inlineStr">
        <is>
          <t>URBAN COTTON TOP SUNSET DAMA</t>
        </is>
      </c>
      <c r="C851" t="inlineStr">
        <is>
          <t>Manufactura / Dama / P. Superiores</t>
        </is>
      </c>
      <c r="D851" t="n">
        <v>21</v>
      </c>
      <c r="E851" t="n">
        <v>1035.44397103</v>
      </c>
      <c r="F851" t="n">
        <v>0.8564193583533334</v>
      </c>
      <c r="G851" t="n">
        <v>23</v>
      </c>
      <c r="H851" t="n">
        <v>7.815168793999999</v>
      </c>
      <c r="I851" t="n">
        <v>2.1</v>
      </c>
      <c r="J851" t="n">
        <v>3</v>
      </c>
      <c r="K851" t="inlineStr"/>
    </row>
    <row r="852">
      <c r="A852" t="inlineStr">
        <is>
          <t>DAYCSTDA66TS</t>
        </is>
      </c>
      <c r="B852" t="inlineStr">
        <is>
          <t>CLASICA DAILY 3.0 DAMA</t>
        </is>
      </c>
      <c r="C852" t="inlineStr">
        <is>
          <t>Manufactura / Dama / P. Superiores</t>
        </is>
      </c>
      <c r="D852" t="n">
        <v>29</v>
      </c>
      <c r="E852" t="n">
        <v>1033.36782306</v>
      </c>
      <c r="F852" t="n">
        <v>0.7856640403761904</v>
      </c>
      <c r="G852" t="n">
        <v>24</v>
      </c>
      <c r="H852" t="n">
        <v>10.28586481</v>
      </c>
      <c r="I852" t="n">
        <v>2.9</v>
      </c>
      <c r="J852" t="n">
        <v>0</v>
      </c>
      <c r="K852" t="inlineStr"/>
    </row>
    <row r="853">
      <c r="A853" t="inlineStr">
        <is>
          <t>GEODOCACA168TL</t>
        </is>
      </c>
      <c r="B853" t="inlineStr">
        <is>
          <t>ADVANCE GEO DOMINIC CAB</t>
        </is>
      </c>
      <c r="C853" t="inlineStr">
        <is>
          <t>Manufactura / Caballero / P. Superiores</t>
        </is>
      </c>
      <c r="D853" t="n">
        <v>24</v>
      </c>
      <c r="E853" t="n">
        <v>1032.88893178</v>
      </c>
      <c r="F853" t="n">
        <v>0.8010519691315789</v>
      </c>
      <c r="G853" t="n">
        <v>11</v>
      </c>
      <c r="H853" t="n">
        <v>13.35</v>
      </c>
      <c r="I853" t="n">
        <v>2.4</v>
      </c>
      <c r="J853" t="n">
        <v>0</v>
      </c>
      <c r="K853" t="inlineStr"/>
    </row>
    <row r="854">
      <c r="A854" t="inlineStr">
        <is>
          <t>MARMIKI34T2</t>
        </is>
      </c>
      <c r="B854" t="inlineStr">
        <is>
          <t>MAR ORIGINAL KIDS</t>
        </is>
      </c>
      <c r="C854" t="inlineStr">
        <is>
          <t>Manufactura / Kids / P. Superiores</t>
        </is>
      </c>
      <c r="D854" t="n">
        <v>29</v>
      </c>
      <c r="E854" t="n">
        <v>1032.82445746</v>
      </c>
      <c r="F854" t="n">
        <v>0.9116301337357143</v>
      </c>
      <c r="G854" t="n">
        <v>17</v>
      </c>
      <c r="H854" t="n">
        <v>3.168013332</v>
      </c>
      <c r="I854" t="n">
        <v>2.9</v>
      </c>
      <c r="J854" t="n">
        <v>0</v>
      </c>
      <c r="K854" t="inlineStr"/>
    </row>
    <row r="855">
      <c r="A855" t="inlineStr">
        <is>
          <t>RIOMICA30TL</t>
        </is>
      </c>
      <c r="B855" t="inlineStr">
        <is>
          <t>RIO ORIGINAL CAB</t>
        </is>
      </c>
      <c r="C855" t="inlineStr">
        <is>
          <t>Manufactura / Caballero / P. Superiores</t>
        </is>
      </c>
      <c r="D855" t="n">
        <v>18</v>
      </c>
      <c r="E855" t="n">
        <v>1032.62092925</v>
      </c>
      <c r="F855" t="n">
        <v>0.8953142653052633</v>
      </c>
      <c r="G855" t="n">
        <v>25</v>
      </c>
      <c r="H855" t="n">
        <v>5.939350288</v>
      </c>
      <c r="I855" t="n">
        <v>1.8</v>
      </c>
      <c r="J855" t="n">
        <v>0</v>
      </c>
      <c r="K855" t="inlineStr"/>
    </row>
    <row r="856">
      <c r="A856" t="inlineStr">
        <is>
          <t>CLAMIDA30TM</t>
        </is>
      </c>
      <c r="B856" t="inlineStr">
        <is>
          <t>CLASICA ORIGINAL DAMA</t>
        </is>
      </c>
      <c r="C856" t="inlineStr">
        <is>
          <t>Manufactura / Dama / P. Superiores</t>
        </is>
      </c>
      <c r="D856" t="n">
        <v>29</v>
      </c>
      <c r="E856" t="n">
        <v>1032.5428448</v>
      </c>
      <c r="F856" t="n">
        <v>0.8988133493699999</v>
      </c>
      <c r="G856" t="n">
        <v>35</v>
      </c>
      <c r="H856" t="n">
        <v>3.923227589</v>
      </c>
      <c r="I856" t="n">
        <v>2.9</v>
      </c>
      <c r="J856" t="n">
        <v>1</v>
      </c>
      <c r="K856" t="inlineStr"/>
    </row>
    <row r="857">
      <c r="A857" t="inlineStr">
        <is>
          <t>MARMIKI48T6</t>
        </is>
      </c>
      <c r="B857" t="inlineStr">
        <is>
          <t>MAR ORIGINAL KIDS</t>
        </is>
      </c>
      <c r="C857" t="inlineStr">
        <is>
          <t>Manufactura / Kids / P. Superiores</t>
        </is>
      </c>
      <c r="D857" t="n">
        <v>26</v>
      </c>
      <c r="E857" t="n">
        <v>1031.7568913</v>
      </c>
      <c r="F857" t="n">
        <v>0.9187820156576922</v>
      </c>
      <c r="G857" t="n">
        <v>8</v>
      </c>
      <c r="H857" t="n">
        <v>3.168013332</v>
      </c>
      <c r="I857" t="n">
        <v>2.6</v>
      </c>
      <c r="J857" t="n">
        <v>0</v>
      </c>
      <c r="K857" t="inlineStr"/>
    </row>
    <row r="858">
      <c r="A858" t="inlineStr">
        <is>
          <t>SHOSUCA154TS</t>
        </is>
      </c>
      <c r="B858" t="inlineStr">
        <is>
          <t>SHORT PLAYA ESTAMPADO CAB</t>
        </is>
      </c>
      <c r="C858" t="inlineStr">
        <is>
          <t>Manufactura / Caballero / P. Inferiores</t>
        </is>
      </c>
      <c r="D858" t="n">
        <v>17</v>
      </c>
      <c r="E858" t="n">
        <v>1030.22903041</v>
      </c>
      <c r="F858" t="n">
        <v>0.7934171287428572</v>
      </c>
      <c r="G858" t="n">
        <v>46</v>
      </c>
      <c r="H858" t="n">
        <v>12.11</v>
      </c>
      <c r="I858" t="n">
        <v>1.7</v>
      </c>
      <c r="J858" t="n">
        <v>0</v>
      </c>
      <c r="K858" t="inlineStr"/>
    </row>
    <row r="859">
      <c r="A859" t="inlineStr">
        <is>
          <t>SHONRCA43T2XL</t>
        </is>
      </c>
      <c r="B859" t="inlineStr">
        <is>
          <t>SHORT SPORT CAB</t>
        </is>
      </c>
      <c r="C859" t="inlineStr">
        <is>
          <t>Manufactura / Caballero / P. Inferiores</t>
        </is>
      </c>
      <c r="D859" t="n">
        <v>21</v>
      </c>
      <c r="E859" t="n">
        <v>1029.396532485418</v>
      </c>
      <c r="F859" t="n">
        <v>0.7755330974919999</v>
      </c>
      <c r="G859" t="n">
        <v>6</v>
      </c>
      <c r="H859" t="n">
        <v>10.6514486</v>
      </c>
      <c r="I859" t="n">
        <v>2.1</v>
      </c>
      <c r="J859" t="n">
        <v>0</v>
      </c>
      <c r="K859" t="inlineStr"/>
    </row>
    <row r="860">
      <c r="A860" t="inlineStr">
        <is>
          <t>PANNTKI66T8</t>
        </is>
      </c>
      <c r="B860" t="inlineStr">
        <is>
          <t>EXPLORE PANTS KIDS</t>
        </is>
      </c>
      <c r="C860" t="inlineStr">
        <is>
          <t>Manufactura / Kids / P. Inferiores</t>
        </is>
      </c>
      <c r="D860" t="n">
        <v>21</v>
      </c>
      <c r="E860" t="n">
        <v>1027.77087628</v>
      </c>
      <c r="F860" t="n">
        <v>0.722688084655</v>
      </c>
      <c r="G860" t="n">
        <v>24</v>
      </c>
      <c r="H860" t="n">
        <v>13.98</v>
      </c>
      <c r="I860" t="n">
        <v>2.1</v>
      </c>
      <c r="J860" t="n">
        <v>2</v>
      </c>
      <c r="K860" t="inlineStr"/>
    </row>
    <row r="861">
      <c r="A861" t="inlineStr">
        <is>
          <t>SHUNTCA43T2XL</t>
        </is>
      </c>
      <c r="B861" t="inlineStr">
        <is>
          <t>SHORT SPORT R1 CAB</t>
        </is>
      </c>
      <c r="C861" t="inlineStr">
        <is>
          <t>Manufactura / Caballero / P. Inferiores</t>
        </is>
      </c>
      <c r="D861" t="n">
        <v>20</v>
      </c>
      <c r="E861" t="n">
        <v>1027.26031194</v>
      </c>
      <c r="F861" t="n">
        <v>0.8113112691777778</v>
      </c>
      <c r="G861" t="n">
        <v>21</v>
      </c>
      <c r="H861" t="n">
        <v>9.119999999999999</v>
      </c>
      <c r="I861" t="n">
        <v>2</v>
      </c>
      <c r="J861" t="n">
        <v>0</v>
      </c>
      <c r="K861" t="inlineStr"/>
    </row>
    <row r="862">
      <c r="A862" t="inlineStr">
        <is>
          <t>RIOMIDA48TL</t>
        </is>
      </c>
      <c r="B862" t="inlineStr">
        <is>
          <t>RIO ORIGINAL DAMA</t>
        </is>
      </c>
      <c r="C862" t="inlineStr">
        <is>
          <t>Manufactura / Dama / P. Superiores</t>
        </is>
      </c>
      <c r="D862" t="n">
        <v>18</v>
      </c>
      <c r="E862" t="n">
        <v>1026.86244307</v>
      </c>
      <c r="F862" t="n">
        <v>0.9014626323411764</v>
      </c>
      <c r="G862" t="n">
        <v>35</v>
      </c>
      <c r="H862" t="n">
        <v>5.538832275</v>
      </c>
      <c r="I862" t="n">
        <v>1.8</v>
      </c>
      <c r="J862" t="n">
        <v>1</v>
      </c>
      <c r="K862" t="inlineStr"/>
    </row>
    <row r="863">
      <c r="A863" t="inlineStr">
        <is>
          <t>DOMBFCA43TS</t>
        </is>
      </c>
      <c r="B863" t="inlineStr">
        <is>
          <t>DOMINIC BIO MOVE CAB</t>
        </is>
      </c>
      <c r="C863" t="inlineStr">
        <is>
          <t>Manufactura / Caballero / P. Superiores</t>
        </is>
      </c>
      <c r="D863" t="n">
        <v>22</v>
      </c>
      <c r="E863" t="n">
        <v>1023.4940409</v>
      </c>
      <c r="F863" t="n">
        <v>0.7786791426777778</v>
      </c>
      <c r="G863" t="n">
        <v>86</v>
      </c>
      <c r="H863" t="n">
        <v>13.86</v>
      </c>
      <c r="I863" t="n">
        <v>2.2</v>
      </c>
      <c r="J863" t="n">
        <v>0</v>
      </c>
      <c r="K863" t="inlineStr"/>
    </row>
    <row r="864">
      <c r="A864" t="inlineStr">
        <is>
          <t>BACCCDA158TXL</t>
        </is>
      </c>
      <c r="B864" t="inlineStr">
        <is>
          <t>BASIC LINE CROP TEE DAMA</t>
        </is>
      </c>
      <c r="C864" t="inlineStr">
        <is>
          <t>Manufactura / Dama / P. Superiores</t>
        </is>
      </c>
      <c r="D864" t="n">
        <v>19</v>
      </c>
      <c r="E864" t="n">
        <v>1022.49950584</v>
      </c>
      <c r="F864" t="n">
        <v>0.8928400176058824</v>
      </c>
      <c r="G864" t="n">
        <v>19</v>
      </c>
      <c r="H864" t="n">
        <v>6.196330833</v>
      </c>
      <c r="I864" t="n">
        <v>1.9</v>
      </c>
      <c r="J864" t="n">
        <v>2</v>
      </c>
      <c r="K864" t="inlineStr"/>
    </row>
    <row r="865">
      <c r="A865" t="inlineStr">
        <is>
          <t>SHUNTDA157TM</t>
        </is>
      </c>
      <c r="B865" t="inlineStr">
        <is>
          <t>SHORT SPORT R1 DAMA</t>
        </is>
      </c>
      <c r="C865" t="inlineStr">
        <is>
          <t>Manufactura / Dama / P. Inferiores</t>
        </is>
      </c>
      <c r="D865" t="n">
        <v>22</v>
      </c>
      <c r="E865" t="n">
        <v>1021.87514409</v>
      </c>
      <c r="F865" t="n">
        <v>0.8256875304250001</v>
      </c>
      <c r="G865" t="n">
        <v>41</v>
      </c>
      <c r="H865" t="n">
        <v>8.33</v>
      </c>
      <c r="I865" t="n">
        <v>2.2</v>
      </c>
      <c r="J865" t="n">
        <v>0</v>
      </c>
      <c r="K865" t="inlineStr"/>
    </row>
    <row r="866">
      <c r="A866" t="inlineStr">
        <is>
          <t>NAHFNCA16TM</t>
        </is>
      </c>
      <c r="B866" t="inlineStr">
        <is>
          <t>NOAH SPORT LITE CAB</t>
        </is>
      </c>
      <c r="C866" t="inlineStr">
        <is>
          <t>Manufactura / Caballero / P. Superiores</t>
        </is>
      </c>
      <c r="D866" t="n">
        <v>38</v>
      </c>
      <c r="E866" t="n">
        <v>1019.49807071</v>
      </c>
      <c r="F866" t="n">
        <v>0.5125446261931035</v>
      </c>
      <c r="G866" t="n">
        <v>0</v>
      </c>
      <c r="H866" t="n">
        <v>17.61141534</v>
      </c>
      <c r="I866" t="n">
        <v>3.8</v>
      </c>
      <c r="J866" t="n">
        <v>0</v>
      </c>
      <c r="K866" t="inlineStr">
        <is>
          <t>Sin stock</t>
        </is>
      </c>
    </row>
    <row r="867">
      <c r="A867" t="inlineStr">
        <is>
          <t>PANNTCA31TS</t>
        </is>
      </c>
      <c r="B867" t="inlineStr">
        <is>
          <t>EXPLORE PANTS CAB</t>
        </is>
      </c>
      <c r="C867" t="inlineStr">
        <is>
          <t>Manufactura / Caballero / P. Inferiores</t>
        </is>
      </c>
      <c r="D867" t="n">
        <v>14</v>
      </c>
      <c r="E867" t="n">
        <v>1019.10932876</v>
      </c>
      <c r="F867" t="n">
        <v>0.7931100247533334</v>
      </c>
      <c r="G867" t="n">
        <v>9</v>
      </c>
      <c r="H867" t="n">
        <v>15.68994502</v>
      </c>
      <c r="I867" t="n">
        <v>1.4</v>
      </c>
      <c r="J867" t="n">
        <v>0</v>
      </c>
      <c r="K867" t="inlineStr"/>
    </row>
    <row r="868">
      <c r="A868" t="inlineStr">
        <is>
          <t>JACKI01T6</t>
        </is>
      </c>
      <c r="B868" t="inlineStr">
        <is>
          <t>JACKET KIDS</t>
        </is>
      </c>
      <c r="C868" t="inlineStr">
        <is>
          <t>Manufactura / Kids / P. Superiores</t>
        </is>
      </c>
      <c r="D868" t="n">
        <v>19</v>
      </c>
      <c r="E868" t="n">
        <v>1019.06817015</v>
      </c>
      <c r="F868" t="n">
        <v>0.716881793</v>
      </c>
      <c r="G868" t="n">
        <v>111</v>
      </c>
      <c r="H868" t="n">
        <v>15.17</v>
      </c>
      <c r="I868" t="n">
        <v>1.9</v>
      </c>
      <c r="J868" t="n">
        <v>1</v>
      </c>
      <c r="K868" t="inlineStr"/>
    </row>
    <row r="869">
      <c r="A869" t="inlineStr">
        <is>
          <t>RIOMIKI43T4</t>
        </is>
      </c>
      <c r="B869" t="inlineStr">
        <is>
          <t>RIO ORIGINAL KIDS</t>
        </is>
      </c>
      <c r="C869" t="inlineStr">
        <is>
          <t>Manufactura / Kids / P. Superiores</t>
        </is>
      </c>
      <c r="D869" t="n">
        <v>23</v>
      </c>
      <c r="E869" t="n">
        <v>1018.88201339</v>
      </c>
      <c r="F869" t="n">
        <v>0.9173865070347825</v>
      </c>
      <c r="G869" t="n">
        <v>32</v>
      </c>
      <c r="H869" t="n">
        <v>3.617969464000001</v>
      </c>
      <c r="I869" t="n">
        <v>2.3</v>
      </c>
      <c r="J869" t="n">
        <v>0</v>
      </c>
      <c r="K869" t="inlineStr"/>
    </row>
    <row r="870">
      <c r="A870" t="inlineStr">
        <is>
          <t>MARMIKI48T14</t>
        </is>
      </c>
      <c r="B870" t="inlineStr">
        <is>
          <t>MAR ORIGINAL KIDS</t>
        </is>
      </c>
      <c r="C870" t="inlineStr">
        <is>
          <t>Manufactura / Kids / P. Superiores</t>
        </is>
      </c>
      <c r="D870" t="n">
        <v>27</v>
      </c>
      <c r="E870" t="n">
        <v>1017.32991987</v>
      </c>
      <c r="F870" t="n">
        <v>0.9131752564111111</v>
      </c>
      <c r="G870" t="n">
        <v>27</v>
      </c>
      <c r="H870" t="n">
        <v>3.168013332</v>
      </c>
      <c r="I870" t="n">
        <v>2.7</v>
      </c>
      <c r="J870" t="n">
        <v>0</v>
      </c>
      <c r="K870" t="inlineStr"/>
    </row>
    <row r="871">
      <c r="A871" t="inlineStr">
        <is>
          <t>BAN13EQ</t>
        </is>
      </c>
      <c r="B871" t="inlineStr">
        <is>
          <t>CUADRO BAND</t>
        </is>
      </c>
      <c r="C871" t="inlineStr">
        <is>
          <t>Equipamiento / Accesorios</t>
        </is>
      </c>
      <c r="D871" t="n">
        <v>1995</v>
      </c>
      <c r="E871" t="n">
        <v>1017.084407848453</v>
      </c>
      <c r="F871" t="n">
        <v>0.8536685347902913</v>
      </c>
      <c r="G871" t="n">
        <v>6798</v>
      </c>
      <c r="H871" t="n">
        <v>0.3159183673</v>
      </c>
      <c r="I871" t="n">
        <v>199.5</v>
      </c>
      <c r="J871" t="n">
        <v>0</v>
      </c>
      <c r="K871" t="inlineStr"/>
    </row>
    <row r="872">
      <c r="A872" t="inlineStr">
        <is>
          <t>JAPDA01TXL</t>
        </is>
      </c>
      <c r="B872" t="inlineStr">
        <is>
          <t>CUADRO JACKET 2.0 DAMA</t>
        </is>
      </c>
      <c r="C872" t="inlineStr">
        <is>
          <t>Equipamiento / Ropa</t>
        </is>
      </c>
      <c r="D872" t="n">
        <v>12</v>
      </c>
      <c r="E872" t="n">
        <v>1016.76660802</v>
      </c>
      <c r="F872" t="n">
        <v>0.75674026325</v>
      </c>
      <c r="G872" t="n">
        <v>124</v>
      </c>
      <c r="H872" t="n">
        <v>20.25</v>
      </c>
      <c r="I872" t="n">
        <v>1.2</v>
      </c>
      <c r="J872" t="n">
        <v>0</v>
      </c>
      <c r="K872" t="inlineStr"/>
    </row>
    <row r="873">
      <c r="A873" t="inlineStr">
        <is>
          <t>CLAMIDA43TL</t>
        </is>
      </c>
      <c r="B873" t="inlineStr">
        <is>
          <t>CLASICA ORIGINAL DAMA</t>
        </is>
      </c>
      <c r="C873" t="inlineStr">
        <is>
          <t>Manufactura / Dama / P. Superiores</t>
        </is>
      </c>
      <c r="D873" t="n">
        <v>54</v>
      </c>
      <c r="E873" t="n">
        <v>1015.25800048</v>
      </c>
      <c r="F873" t="n">
        <v>0.8983345675291666</v>
      </c>
      <c r="G873" t="n">
        <v>27</v>
      </c>
      <c r="H873" t="n">
        <v>3.923227589</v>
      </c>
      <c r="I873" t="n">
        <v>5.4</v>
      </c>
      <c r="J873" t="n">
        <v>0</v>
      </c>
      <c r="K873" t="inlineStr"/>
    </row>
    <row r="874">
      <c r="A874" t="inlineStr">
        <is>
          <t>SHOSUKI153T12</t>
        </is>
      </c>
      <c r="B874" t="inlineStr">
        <is>
          <t>SHORT PLAYA ESTAMPADO KIDS</t>
        </is>
      </c>
      <c r="C874" t="inlineStr">
        <is>
          <t>Manufactura / Kids / P. Superiores</t>
        </is>
      </c>
      <c r="D874" t="n">
        <v>23</v>
      </c>
      <c r="E874" t="n">
        <v>1012.74379391</v>
      </c>
      <c r="F874" t="n">
        <v>0.8355522382428572</v>
      </c>
      <c r="G874" t="n">
        <v>10</v>
      </c>
      <c r="H874" t="n">
        <v>7.21</v>
      </c>
      <c r="I874" t="n">
        <v>2.3</v>
      </c>
      <c r="J874" t="n">
        <v>0</v>
      </c>
      <c r="K874" t="inlineStr"/>
    </row>
    <row r="875">
      <c r="A875" t="inlineStr">
        <is>
          <t>MIKFNDA70TS</t>
        </is>
      </c>
      <c r="B875" t="inlineStr">
        <is>
          <t>MIKA SPORT LITE DAMA</t>
        </is>
      </c>
      <c r="C875" t="inlineStr">
        <is>
          <t>Manufactura / Dama / P. Superiores</t>
        </is>
      </c>
      <c r="D875" t="n">
        <v>29</v>
      </c>
      <c r="E875" t="n">
        <v>1012.27972192</v>
      </c>
      <c r="F875" t="n">
        <v>0.8511199024807692</v>
      </c>
      <c r="G875" t="n">
        <v>23</v>
      </c>
      <c r="H875" t="n">
        <v>5.484675344</v>
      </c>
      <c r="I875" t="n">
        <v>2.9</v>
      </c>
      <c r="J875" t="n">
        <v>0</v>
      </c>
      <c r="K875" t="inlineStr"/>
    </row>
    <row r="876">
      <c r="A876" t="inlineStr">
        <is>
          <t>SARSPKI16T6</t>
        </is>
      </c>
      <c r="B876" t="inlineStr">
        <is>
          <t>FALDA SARA KIDS</t>
        </is>
      </c>
      <c r="C876" t="inlineStr">
        <is>
          <t>Manufactura / Kids / P. Inferiores</t>
        </is>
      </c>
      <c r="D876" t="n">
        <v>23</v>
      </c>
      <c r="E876" t="n">
        <v>1011.84977529</v>
      </c>
      <c r="F876" t="n">
        <v>0.865579504024</v>
      </c>
      <c r="G876" t="n">
        <v>15</v>
      </c>
      <c r="H876" t="n">
        <v>5.753743316</v>
      </c>
      <c r="I876" t="n">
        <v>2.3</v>
      </c>
      <c r="J876" t="n">
        <v>0</v>
      </c>
      <c r="K876" t="inlineStr"/>
    </row>
    <row r="877">
      <c r="A877" t="inlineStr">
        <is>
          <t>MARMIKI66T14</t>
        </is>
      </c>
      <c r="B877" t="inlineStr">
        <is>
          <t>MAR ORIGINAL KIDS</t>
        </is>
      </c>
      <c r="C877" t="inlineStr">
        <is>
          <t>Manufactura / Kids / P. Superiores</t>
        </is>
      </c>
      <c r="D877" t="n">
        <v>26</v>
      </c>
      <c r="E877" t="n">
        <v>1011.61860934</v>
      </c>
      <c r="F877" t="n">
        <v>0.9208267046615385</v>
      </c>
      <c r="G877" t="n">
        <v>17</v>
      </c>
      <c r="H877" t="n">
        <v>3.168013332</v>
      </c>
      <c r="I877" t="n">
        <v>2.6</v>
      </c>
      <c r="J877" t="n">
        <v>0</v>
      </c>
      <c r="K877" t="inlineStr"/>
    </row>
    <row r="878">
      <c r="A878" t="inlineStr">
        <is>
          <t>RIOMIKI13T2</t>
        </is>
      </c>
      <c r="B878" t="inlineStr">
        <is>
          <t>RIO ORIGINAL KIDS</t>
        </is>
      </c>
      <c r="C878" t="inlineStr">
        <is>
          <t>Manufactura / Kids / P. Superiores</t>
        </is>
      </c>
      <c r="D878" t="n">
        <v>24</v>
      </c>
      <c r="E878" t="n">
        <v>1010.94188628</v>
      </c>
      <c r="F878" t="n">
        <v>0.9119552946826086</v>
      </c>
      <c r="G878" t="n">
        <v>38</v>
      </c>
      <c r="H878" t="n">
        <v>3.617969464000001</v>
      </c>
      <c r="I878" t="n">
        <v>2.4</v>
      </c>
      <c r="J878" t="n">
        <v>0</v>
      </c>
      <c r="K878" t="inlineStr"/>
    </row>
    <row r="879">
      <c r="A879" t="inlineStr">
        <is>
          <t>CAP07MC</t>
        </is>
      </c>
      <c r="B879" t="inlineStr">
        <is>
          <t>MESH CAP</t>
        </is>
      </c>
      <c r="C879" t="inlineStr">
        <is>
          <t>Equipamiento / Gorras</t>
        </is>
      </c>
      <c r="D879" t="n">
        <v>34</v>
      </c>
      <c r="E879" t="n">
        <v>1006.48671654</v>
      </c>
      <c r="F879" t="n">
        <v>0.8836628342030304</v>
      </c>
      <c r="G879" t="n">
        <v>0</v>
      </c>
      <c r="H879" t="n">
        <v>3.36</v>
      </c>
      <c r="I879" t="n">
        <v>3.4</v>
      </c>
      <c r="J879" t="n">
        <v>4</v>
      </c>
      <c r="K879" t="inlineStr">
        <is>
          <t>Sin stock</t>
        </is>
      </c>
    </row>
    <row r="880">
      <c r="A880" t="inlineStr">
        <is>
          <t>MARMIDA53TXS</t>
        </is>
      </c>
      <c r="B880" t="inlineStr">
        <is>
          <t>MAR ORIGINAL DAMA</t>
        </is>
      </c>
      <c r="C880" t="inlineStr">
        <is>
          <t>Manufactura / Dama / P. Superiores</t>
        </is>
      </c>
      <c r="D880" t="n">
        <v>18</v>
      </c>
      <c r="E880" t="n">
        <v>1006.26946413</v>
      </c>
      <c r="F880" t="n">
        <v>0.9235388088300001</v>
      </c>
      <c r="G880" t="n">
        <v>20</v>
      </c>
      <c r="H880" t="n">
        <v>4.278324149</v>
      </c>
      <c r="I880" t="n">
        <v>1.8</v>
      </c>
      <c r="J880" t="n">
        <v>0</v>
      </c>
      <c r="K880" t="inlineStr"/>
    </row>
    <row r="881">
      <c r="A881" t="inlineStr">
        <is>
          <t>SHOUNCA69TXL</t>
        </is>
      </c>
      <c r="B881" t="inlineStr">
        <is>
          <t>SHORT PLAYA CAB</t>
        </is>
      </c>
      <c r="C881" t="inlineStr">
        <is>
          <t>Manufactura / Caballero / P. Inferiores</t>
        </is>
      </c>
      <c r="D881" t="n">
        <v>20</v>
      </c>
      <c r="E881" t="n">
        <v>1005.84424658</v>
      </c>
      <c r="F881" t="n">
        <v>0.79901179484</v>
      </c>
      <c r="G881" t="n">
        <v>13</v>
      </c>
      <c r="H881" t="n">
        <v>9.99</v>
      </c>
      <c r="I881" t="n">
        <v>2</v>
      </c>
      <c r="J881" t="n">
        <v>0</v>
      </c>
      <c r="K881" t="inlineStr"/>
    </row>
    <row r="882">
      <c r="A882" t="inlineStr">
        <is>
          <t>SHOUNCA187TXL</t>
        </is>
      </c>
      <c r="B882" t="inlineStr">
        <is>
          <t>SHORT PLAYA CAB</t>
        </is>
      </c>
      <c r="C882" t="inlineStr">
        <is>
          <t>Manufactura / Caballero / P. Inferiores</t>
        </is>
      </c>
      <c r="D882" t="n">
        <v>20</v>
      </c>
      <c r="E882" t="n">
        <v>1001.28942059</v>
      </c>
      <c r="F882" t="n">
        <v>0.7964788553250001</v>
      </c>
      <c r="G882" t="n">
        <v>14</v>
      </c>
      <c r="H882" t="n">
        <v>9.99</v>
      </c>
      <c r="I882" t="n">
        <v>2</v>
      </c>
      <c r="J882" t="n">
        <v>0</v>
      </c>
      <c r="K882" t="inlineStr"/>
    </row>
    <row r="883">
      <c r="A883" t="inlineStr">
        <is>
          <t>LPR13EQ</t>
        </is>
      </c>
      <c r="B883" t="inlineStr">
        <is>
          <t>LANYARD PRO</t>
        </is>
      </c>
      <c r="C883" t="inlineStr">
        <is>
          <t>Equipamiento / Accesorios</t>
        </is>
      </c>
      <c r="D883" t="n">
        <v>171</v>
      </c>
      <c r="E883" t="n">
        <v>999.810703422</v>
      </c>
      <c r="F883" t="n">
        <v>0.7972399137748428</v>
      </c>
      <c r="G883" t="n">
        <v>557</v>
      </c>
      <c r="H883" t="n">
        <v>1.15</v>
      </c>
      <c r="I883" t="n">
        <v>17.1</v>
      </c>
      <c r="J883" t="n">
        <v>0</v>
      </c>
      <c r="K883" t="inlineStr"/>
    </row>
    <row r="884">
      <c r="A884" t="inlineStr">
        <is>
          <t>SARSPKI43T6</t>
        </is>
      </c>
      <c r="B884" t="inlineStr">
        <is>
          <t>FALDA SARA KIDS</t>
        </is>
      </c>
      <c r="C884" t="inlineStr">
        <is>
          <t>Manufactura / Kids / P. Inferiores</t>
        </is>
      </c>
      <c r="D884" t="n">
        <v>24</v>
      </c>
      <c r="E884" t="n">
        <v>996.63560986</v>
      </c>
      <c r="F884" t="n">
        <v>0.863426518837037</v>
      </c>
      <c r="G884" t="n">
        <v>18</v>
      </c>
      <c r="H884" t="n">
        <v>5.753743316</v>
      </c>
      <c r="I884" t="n">
        <v>2.4</v>
      </c>
      <c r="J884" t="n">
        <v>0</v>
      </c>
      <c r="K884" t="inlineStr"/>
    </row>
    <row r="885">
      <c r="A885" t="inlineStr">
        <is>
          <t>RIOMIKI16T6</t>
        </is>
      </c>
      <c r="B885" t="inlineStr">
        <is>
          <t>RIO ORIGINAL KIDS</t>
        </is>
      </c>
      <c r="C885" t="inlineStr">
        <is>
          <t>Manufactura / Kids / P. Superiores</t>
        </is>
      </c>
      <c r="D885" t="n">
        <v>26</v>
      </c>
      <c r="E885" t="n">
        <v>994.65038321</v>
      </c>
      <c r="F885" t="n">
        <v>0.9146772711434782</v>
      </c>
      <c r="G885" t="n">
        <v>10</v>
      </c>
      <c r="H885" t="n">
        <v>3.617969464</v>
      </c>
      <c r="I885" t="n">
        <v>2.6</v>
      </c>
      <c r="J885" t="n">
        <v>0</v>
      </c>
      <c r="K885" t="inlineStr"/>
    </row>
    <row r="886">
      <c r="A886" t="inlineStr">
        <is>
          <t>RIOMIKI66T12</t>
        </is>
      </c>
      <c r="B886" t="inlineStr">
        <is>
          <t>RIO ORIGINAL KIDS</t>
        </is>
      </c>
      <c r="C886" t="inlineStr">
        <is>
          <t>Manufactura / Kids / P. Superiores</t>
        </is>
      </c>
      <c r="D886" t="n">
        <v>24</v>
      </c>
      <c r="E886" t="n">
        <v>993.45797386</v>
      </c>
      <c r="F886" t="n">
        <v>0.9161853188703704</v>
      </c>
      <c r="G886" t="n">
        <v>22</v>
      </c>
      <c r="H886" t="n">
        <v>3.617969464</v>
      </c>
      <c r="I886" t="n">
        <v>2.4</v>
      </c>
      <c r="J886" t="n">
        <v>0</v>
      </c>
      <c r="K886" t="inlineStr"/>
    </row>
    <row r="887">
      <c r="A887" t="inlineStr">
        <is>
          <t>CLAMIDA16TXS</t>
        </is>
      </c>
      <c r="B887" t="inlineStr">
        <is>
          <t>CLASICA ORIGINAL DAMA</t>
        </is>
      </c>
      <c r="C887" t="inlineStr">
        <is>
          <t>Manufactura / Dama / P. Superiores</t>
        </is>
      </c>
      <c r="D887" t="n">
        <v>48</v>
      </c>
      <c r="E887" t="n">
        <v>991.9705481999999</v>
      </c>
      <c r="F887" t="n">
        <v>0.8970287589428571</v>
      </c>
      <c r="G887" t="n">
        <v>13</v>
      </c>
      <c r="H887" t="n">
        <v>3.923227589</v>
      </c>
      <c r="I887" t="n">
        <v>4.8</v>
      </c>
      <c r="J887" t="n">
        <v>0</v>
      </c>
      <c r="K887" t="inlineStr"/>
    </row>
    <row r="888">
      <c r="A888" t="inlineStr">
        <is>
          <t>CLMSUCA152TS</t>
        </is>
      </c>
      <c r="B888" t="inlineStr">
        <is>
          <t>CLASICA MOTION CAB</t>
        </is>
      </c>
      <c r="C888" t="inlineStr">
        <is>
          <t>Manufactura / Caballero / P. Superiores</t>
        </is>
      </c>
      <c r="D888" t="n">
        <v>24</v>
      </c>
      <c r="E888" t="n">
        <v>991.18611002</v>
      </c>
      <c r="F888" t="n">
        <v>0.6987709067956522</v>
      </c>
      <c r="G888" t="n">
        <v>1</v>
      </c>
      <c r="H888" t="n">
        <v>12.26</v>
      </c>
      <c r="I888" t="n">
        <v>2.4</v>
      </c>
      <c r="J888" t="n">
        <v>1</v>
      </c>
      <c r="K888" t="inlineStr"/>
    </row>
    <row r="889">
      <c r="A889" t="inlineStr">
        <is>
          <t>RIOMIKI50T2</t>
        </is>
      </c>
      <c r="B889" t="inlineStr">
        <is>
          <t>RIO ORIGINAL KIDS</t>
        </is>
      </c>
      <c r="C889" t="inlineStr">
        <is>
          <t>Manufactura / Kids / P. Superiores</t>
        </is>
      </c>
      <c r="D889" t="n">
        <v>24</v>
      </c>
      <c r="E889" t="n">
        <v>988.49754962</v>
      </c>
      <c r="F889" t="n">
        <v>0.9132202405727273</v>
      </c>
      <c r="G889" t="n">
        <v>43</v>
      </c>
      <c r="H889" t="n">
        <v>3.617969464000001</v>
      </c>
      <c r="I889" t="n">
        <v>2.4</v>
      </c>
      <c r="J889" t="n">
        <v>0</v>
      </c>
      <c r="K889" t="inlineStr"/>
    </row>
    <row r="890">
      <c r="A890" t="inlineStr">
        <is>
          <t>NAHFNCA70TL</t>
        </is>
      </c>
      <c r="B890" t="inlineStr">
        <is>
          <t>NOAH SPORT LITE CAB</t>
        </is>
      </c>
      <c r="C890" t="inlineStr">
        <is>
          <t>Manufactura / Caballero / P. Superiores</t>
        </is>
      </c>
      <c r="D890" t="n">
        <v>33</v>
      </c>
      <c r="E890" t="n">
        <v>988.15378835</v>
      </c>
      <c r="F890" t="n">
        <v>0.4719641800294243</v>
      </c>
      <c r="G890" t="n">
        <v>15</v>
      </c>
      <c r="H890" t="n">
        <v>17.61141534</v>
      </c>
      <c r="I890" t="n">
        <v>3.3</v>
      </c>
      <c r="J890" t="n">
        <v>0</v>
      </c>
      <c r="K890" t="inlineStr"/>
    </row>
    <row r="891">
      <c r="A891" t="inlineStr">
        <is>
          <t>SARSPDA12TXS</t>
        </is>
      </c>
      <c r="B891" t="inlineStr">
        <is>
          <t>FALDA SARA DAMA</t>
        </is>
      </c>
      <c r="C891" t="inlineStr">
        <is>
          <t>Manufactura / Dama / P. Inferiores</t>
        </is>
      </c>
      <c r="D891" t="n">
        <v>21</v>
      </c>
      <c r="E891" t="n">
        <v>987.92317329</v>
      </c>
      <c r="F891" t="n">
        <v>0.8315997991578947</v>
      </c>
      <c r="G891" t="n">
        <v>33</v>
      </c>
      <c r="H891" t="n">
        <v>9.500113852</v>
      </c>
      <c r="I891" t="n">
        <v>2.1</v>
      </c>
      <c r="J891" t="n">
        <v>2</v>
      </c>
      <c r="K891" t="inlineStr"/>
    </row>
    <row r="892">
      <c r="A892" t="inlineStr">
        <is>
          <t>DOMBFCA16TS</t>
        </is>
      </c>
      <c r="B892" t="inlineStr">
        <is>
          <t>DOMINIC BIO MOVE CAB</t>
        </is>
      </c>
      <c r="C892" t="inlineStr">
        <is>
          <t>Manufactura / Caballero / P. Superiores</t>
        </is>
      </c>
      <c r="D892" t="n">
        <v>22</v>
      </c>
      <c r="E892" t="n">
        <v>987.75583334</v>
      </c>
      <c r="F892" t="n">
        <v>0.77740171136</v>
      </c>
      <c r="G892" t="n">
        <v>55</v>
      </c>
      <c r="H892" t="n">
        <v>13.86</v>
      </c>
      <c r="I892" t="n">
        <v>2.2</v>
      </c>
      <c r="J892" t="n">
        <v>0</v>
      </c>
      <c r="K892" t="inlineStr"/>
    </row>
    <row r="893">
      <c r="A893" t="inlineStr">
        <is>
          <t>SHOUNCA186TL</t>
        </is>
      </c>
      <c r="B893" t="inlineStr">
        <is>
          <t>SHORT PLAYA CAB</t>
        </is>
      </c>
      <c r="C893" t="inlineStr">
        <is>
          <t>Manufactura / Caballero / P. Inferiores</t>
        </is>
      </c>
      <c r="D893" t="n">
        <v>21</v>
      </c>
      <c r="E893" t="n">
        <v>987.37684023</v>
      </c>
      <c r="F893" t="n">
        <v>0.7917265159772726</v>
      </c>
      <c r="G893" t="n">
        <v>32</v>
      </c>
      <c r="H893" t="n">
        <v>9.99</v>
      </c>
      <c r="I893" t="n">
        <v>2.1</v>
      </c>
      <c r="J893" t="n">
        <v>0</v>
      </c>
      <c r="K893" t="inlineStr"/>
    </row>
    <row r="894">
      <c r="A894" t="inlineStr">
        <is>
          <t>MARMIKI66T2</t>
        </is>
      </c>
      <c r="B894" t="inlineStr">
        <is>
          <t>MAR ORIGINAL KIDS</t>
        </is>
      </c>
      <c r="C894" t="inlineStr">
        <is>
          <t>Manufactura / Kids / P. Superiores</t>
        </is>
      </c>
      <c r="D894" t="n">
        <v>27</v>
      </c>
      <c r="E894" t="n">
        <v>983.8922330299999</v>
      </c>
      <c r="F894" t="n">
        <v>0.9092852899533334</v>
      </c>
      <c r="G894" t="n">
        <v>7</v>
      </c>
      <c r="H894" t="n">
        <v>3.168013332</v>
      </c>
      <c r="I894" t="n">
        <v>2.7</v>
      </c>
      <c r="J894" t="n">
        <v>0</v>
      </c>
      <c r="K894" t="inlineStr"/>
    </row>
    <row r="895">
      <c r="A895" t="inlineStr">
        <is>
          <t>DAYCSTCA43TXL</t>
        </is>
      </c>
      <c r="B895" t="inlineStr">
        <is>
          <t>CLASICA DAILY 3.0 CAB</t>
        </is>
      </c>
      <c r="C895" t="inlineStr">
        <is>
          <t>Manufactura / Caballero / P. Superiores</t>
        </is>
      </c>
      <c r="D895" t="n">
        <v>21</v>
      </c>
      <c r="E895" t="n">
        <v>982.79048808</v>
      </c>
      <c r="F895" t="n">
        <v>0.74400403376</v>
      </c>
      <c r="G895" t="n">
        <v>10</v>
      </c>
      <c r="H895" t="n">
        <v>11.76035097</v>
      </c>
      <c r="I895" t="n">
        <v>2.1</v>
      </c>
      <c r="J895" t="n">
        <v>0</v>
      </c>
      <c r="K895" t="inlineStr"/>
    </row>
    <row r="896">
      <c r="A896" t="inlineStr">
        <is>
          <t>TMOFIDA43TS</t>
        </is>
      </c>
      <c r="B896" t="inlineStr">
        <is>
          <t>TOP MOVA</t>
        </is>
      </c>
      <c r="C896" t="inlineStr">
        <is>
          <t>Manufactura / Dama / P. Superiores</t>
        </is>
      </c>
      <c r="D896" t="n">
        <v>28</v>
      </c>
      <c r="E896" t="n">
        <v>982.74737063</v>
      </c>
      <c r="F896" t="n">
        <v>0.8118265703999999</v>
      </c>
      <c r="G896" t="n">
        <v>22</v>
      </c>
      <c r="H896" t="n">
        <v>9.942967033</v>
      </c>
      <c r="I896" t="n">
        <v>2.8</v>
      </c>
      <c r="J896" t="n">
        <v>0</v>
      </c>
      <c r="K896" t="inlineStr"/>
    </row>
    <row r="897">
      <c r="A897" t="inlineStr">
        <is>
          <t>SARSPDA43TL</t>
        </is>
      </c>
      <c r="B897" t="inlineStr">
        <is>
          <t>FALDA SARA DAMA</t>
        </is>
      </c>
      <c r="C897" t="inlineStr">
        <is>
          <t>Manufactura / Dama / P. Inferiores</t>
        </is>
      </c>
      <c r="D897" t="n">
        <v>20</v>
      </c>
      <c r="E897" t="n">
        <v>982.69218749</v>
      </c>
      <c r="F897" t="n">
        <v>0.8071377413750001</v>
      </c>
      <c r="G897" t="n">
        <v>23</v>
      </c>
      <c r="H897" t="n">
        <v>9.500113852</v>
      </c>
      <c r="I897" t="n">
        <v>2</v>
      </c>
      <c r="J897" t="n">
        <v>0</v>
      </c>
      <c r="K897" t="inlineStr"/>
    </row>
    <row r="898">
      <c r="A898" t="inlineStr">
        <is>
          <t>PANNTKI66T10</t>
        </is>
      </c>
      <c r="B898" t="inlineStr">
        <is>
          <t>EXPLORE PANTS KIDS</t>
        </is>
      </c>
      <c r="C898" t="inlineStr">
        <is>
          <t>Manufactura / Kids / P. Inferiores</t>
        </is>
      </c>
      <c r="D898" t="n">
        <v>20</v>
      </c>
      <c r="E898" t="n">
        <v>979.61706498</v>
      </c>
      <c r="F898" t="n">
        <v>0.7073155723727272</v>
      </c>
      <c r="G898" t="n">
        <v>20</v>
      </c>
      <c r="H898" t="n">
        <v>13.98</v>
      </c>
      <c r="I898" t="n">
        <v>2</v>
      </c>
      <c r="J898" t="n">
        <v>0</v>
      </c>
      <c r="K898" t="inlineStr"/>
    </row>
    <row r="899">
      <c r="A899" t="inlineStr">
        <is>
          <t>SUC16EQ</t>
        </is>
      </c>
      <c r="B899" t="inlineStr">
        <is>
          <t>SUNNY CORD 2.0</t>
        </is>
      </c>
      <c r="C899" t="inlineStr">
        <is>
          <t>Equipamiento / Accesorios</t>
        </is>
      </c>
      <c r="D899" t="n">
        <v>154</v>
      </c>
      <c r="E899" t="n">
        <v>979.0851706460001</v>
      </c>
      <c r="F899" t="n">
        <v>0.8935839461190476</v>
      </c>
      <c r="G899" t="n">
        <v>167</v>
      </c>
      <c r="H899" t="n">
        <v>0.66</v>
      </c>
      <c r="I899" t="n">
        <v>15.4</v>
      </c>
      <c r="J899" t="n">
        <v>0</v>
      </c>
      <c r="K899" t="inlineStr"/>
    </row>
    <row r="900">
      <c r="A900" t="inlineStr">
        <is>
          <t>SHOSUKI153T8</t>
        </is>
      </c>
      <c r="B900" t="inlineStr">
        <is>
          <t>SHORT PLAYA ESTAMPADO KIDS</t>
        </is>
      </c>
      <c r="C900" t="inlineStr">
        <is>
          <t>Manufactura / Kids / P. Superiores</t>
        </is>
      </c>
      <c r="D900" t="n">
        <v>23</v>
      </c>
      <c r="E900" t="n">
        <v>976.84048779</v>
      </c>
      <c r="F900" t="n">
        <v>0.8306217142454546</v>
      </c>
      <c r="G900" t="n">
        <v>20</v>
      </c>
      <c r="H900" t="n">
        <v>7.210000000000001</v>
      </c>
      <c r="I900" t="n">
        <v>2.3</v>
      </c>
      <c r="J900" t="n">
        <v>0</v>
      </c>
      <c r="K900" t="inlineStr"/>
    </row>
    <row r="901">
      <c r="A901" t="inlineStr">
        <is>
          <t>SHOSUKI155T10</t>
        </is>
      </c>
      <c r="B901" t="inlineStr">
        <is>
          <t>SHORT PLAYA ESTAMPADO KIDS</t>
        </is>
      </c>
      <c r="C901" t="inlineStr">
        <is>
          <t>Manufactura / Kids / P. Superiores</t>
        </is>
      </c>
      <c r="D901" t="n">
        <v>23</v>
      </c>
      <c r="E901" t="n">
        <v>976.81632997</v>
      </c>
      <c r="F901" t="n">
        <v>0.8248123811375</v>
      </c>
      <c r="G901" t="n">
        <v>4</v>
      </c>
      <c r="H901" t="n">
        <v>7.21</v>
      </c>
      <c r="I901" t="n">
        <v>2.3</v>
      </c>
      <c r="J901" t="n">
        <v>0</v>
      </c>
      <c r="K901" t="inlineStr"/>
    </row>
    <row r="902">
      <c r="A902" t="inlineStr">
        <is>
          <t>RIOMIKI01T6</t>
        </is>
      </c>
      <c r="B902" t="inlineStr">
        <is>
          <t>RIO ORIGINAL KIDS</t>
        </is>
      </c>
      <c r="C902" t="inlineStr">
        <is>
          <t>Manufactura / Kids / P. Superiores</t>
        </is>
      </c>
      <c r="D902" t="n">
        <v>23</v>
      </c>
      <c r="E902" t="n">
        <v>976.62386356</v>
      </c>
      <c r="F902" t="n">
        <v>0.911363458</v>
      </c>
      <c r="G902" t="n">
        <v>32</v>
      </c>
      <c r="H902" t="n">
        <v>3.617969464000001</v>
      </c>
      <c r="I902" t="n">
        <v>2.3</v>
      </c>
      <c r="J902" t="n">
        <v>0</v>
      </c>
      <c r="K902" t="inlineStr"/>
    </row>
    <row r="903">
      <c r="A903" t="inlineStr">
        <is>
          <t>JAPDA66TXL</t>
        </is>
      </c>
      <c r="B903" t="inlineStr">
        <is>
          <t>CUADRO JACKET 2.0 DAMA</t>
        </is>
      </c>
      <c r="C903" t="inlineStr">
        <is>
          <t>Equipamiento / Ropa</t>
        </is>
      </c>
      <c r="D903" t="n">
        <v>12</v>
      </c>
      <c r="E903" t="n">
        <v>976.42128372</v>
      </c>
      <c r="F903" t="n">
        <v>0.7454334614583334</v>
      </c>
      <c r="G903" t="n">
        <v>175</v>
      </c>
      <c r="H903" t="n">
        <v>20.25</v>
      </c>
      <c r="I903" t="n">
        <v>1.2</v>
      </c>
      <c r="J903" t="n">
        <v>0</v>
      </c>
      <c r="K903" t="inlineStr"/>
    </row>
    <row r="904">
      <c r="A904" t="inlineStr">
        <is>
          <t>CLAMECA13TM</t>
        </is>
      </c>
      <c r="B904" t="inlineStr">
        <is>
          <t>CLASICA SPORT CAB</t>
        </is>
      </c>
      <c r="C904" t="inlineStr">
        <is>
          <t>Manufactura / Caballero / P. Superiores</t>
        </is>
      </c>
      <c r="D904" t="n">
        <v>23</v>
      </c>
      <c r="E904" t="n">
        <v>975.92468565</v>
      </c>
      <c r="F904" t="n">
        <v>0.745321171475</v>
      </c>
      <c r="G904" t="n">
        <v>0</v>
      </c>
      <c r="H904" t="n">
        <v>10.3013454</v>
      </c>
      <c r="I904" t="n">
        <v>2.3</v>
      </c>
      <c r="J904" t="n">
        <v>2</v>
      </c>
      <c r="K904" t="inlineStr">
        <is>
          <t>Sin stock</t>
        </is>
      </c>
    </row>
    <row r="905">
      <c r="A905" t="inlineStr">
        <is>
          <t>JACKI43T4</t>
        </is>
      </c>
      <c r="B905" t="inlineStr">
        <is>
          <t>JACKET KIDS</t>
        </is>
      </c>
      <c r="C905" t="inlineStr">
        <is>
          <t>Manufactura / Kids / P. Superiores</t>
        </is>
      </c>
      <c r="D905" t="n">
        <v>17</v>
      </c>
      <c r="E905" t="n">
        <v>974.16532806</v>
      </c>
      <c r="F905" t="n">
        <v>0.7275705617235294</v>
      </c>
      <c r="G905" t="n">
        <v>66</v>
      </c>
      <c r="H905" t="n">
        <v>15.17</v>
      </c>
      <c r="I905" t="n">
        <v>1.7</v>
      </c>
      <c r="J905" t="n">
        <v>0</v>
      </c>
      <c r="K905" t="inlineStr"/>
    </row>
    <row r="906">
      <c r="A906" t="inlineStr">
        <is>
          <t>BAN16EQ</t>
        </is>
      </c>
      <c r="B906" t="inlineStr">
        <is>
          <t>CUADRO BAND</t>
        </is>
      </c>
      <c r="C906" t="inlineStr">
        <is>
          <t>Equipamiento / Accesorios</t>
        </is>
      </c>
      <c r="D906" t="n">
        <v>714</v>
      </c>
      <c r="E906" t="n">
        <v>973.100951136</v>
      </c>
      <c r="F906" t="n">
        <v>0.8588862899008108</v>
      </c>
      <c r="G906" t="n">
        <v>5193</v>
      </c>
      <c r="H906" t="n">
        <v>0.3159183673</v>
      </c>
      <c r="I906" t="n">
        <v>71.40000000000001</v>
      </c>
      <c r="J906" t="n">
        <v>0</v>
      </c>
      <c r="K906" t="inlineStr"/>
    </row>
    <row r="907">
      <c r="A907" t="inlineStr">
        <is>
          <t>BACCCDA43TL</t>
        </is>
      </c>
      <c r="B907" t="inlineStr">
        <is>
          <t>BASIC LINE CROP TEE DAMA</t>
        </is>
      </c>
      <c r="C907" t="inlineStr">
        <is>
          <t>Manufactura / Dama / P. Superiores</t>
        </is>
      </c>
      <c r="D907" t="n">
        <v>23</v>
      </c>
      <c r="E907" t="n">
        <v>971.58244742</v>
      </c>
      <c r="F907" t="n">
        <v>0.87466690341</v>
      </c>
      <c r="G907" t="n">
        <v>43</v>
      </c>
      <c r="H907" t="n">
        <v>6.196330833</v>
      </c>
      <c r="I907" t="n">
        <v>2.3</v>
      </c>
      <c r="J907" t="n">
        <v>0</v>
      </c>
      <c r="K907" t="inlineStr"/>
    </row>
    <row r="908">
      <c r="A908" t="inlineStr">
        <is>
          <t>MARMIKI01T10</t>
        </is>
      </c>
      <c r="B908" t="inlineStr">
        <is>
          <t>MAR ORIGINAL KIDS</t>
        </is>
      </c>
      <c r="C908" t="inlineStr">
        <is>
          <t>Manufactura / Kids / P. Superiores</t>
        </is>
      </c>
      <c r="D908" t="n">
        <v>25</v>
      </c>
      <c r="E908" t="n">
        <v>970.59953406</v>
      </c>
      <c r="F908" t="n">
        <v>0.9161972824919999</v>
      </c>
      <c r="G908" t="n">
        <v>48</v>
      </c>
      <c r="H908" t="n">
        <v>3.168013332</v>
      </c>
      <c r="I908" t="n">
        <v>2.5</v>
      </c>
      <c r="J908" t="n">
        <v>0</v>
      </c>
      <c r="K908" t="inlineStr"/>
    </row>
    <row r="909">
      <c r="A909" t="inlineStr">
        <is>
          <t>RIOMIKI12T10</t>
        </is>
      </c>
      <c r="B909" t="inlineStr">
        <is>
          <t>RIO ORIGINAL KIDS</t>
        </is>
      </c>
      <c r="C909" t="inlineStr">
        <is>
          <t>Manufactura / Kids / P. Superiores</t>
        </is>
      </c>
      <c r="D909" t="n">
        <v>22</v>
      </c>
      <c r="E909" t="n">
        <v>970.54070387</v>
      </c>
      <c r="F909" t="n">
        <v>0.9161193566681818</v>
      </c>
      <c r="G909" t="n">
        <v>87</v>
      </c>
      <c r="H909" t="n">
        <v>3.617969464</v>
      </c>
      <c r="I909" t="n">
        <v>2.2</v>
      </c>
      <c r="J909" t="n">
        <v>1</v>
      </c>
      <c r="K909" t="inlineStr"/>
    </row>
    <row r="910">
      <c r="A910" t="inlineStr">
        <is>
          <t>BAN09EQ</t>
        </is>
      </c>
      <c r="B910" t="inlineStr">
        <is>
          <t>CUADRO BAND</t>
        </is>
      </c>
      <c r="C910" t="inlineStr">
        <is>
          <t>Equipamiento / Accesorios</t>
        </is>
      </c>
      <c r="D910" t="n">
        <v>615</v>
      </c>
      <c r="E910" t="n">
        <v>969.820599822</v>
      </c>
      <c r="F910" t="n">
        <v>0.8581202082585677</v>
      </c>
      <c r="G910" t="n">
        <v>2814</v>
      </c>
      <c r="H910" t="n">
        <v>0.3159183673</v>
      </c>
      <c r="I910" t="n">
        <v>61.5</v>
      </c>
      <c r="J910" t="n">
        <v>0</v>
      </c>
      <c r="K910" t="inlineStr"/>
    </row>
    <row r="911">
      <c r="A911" t="inlineStr">
        <is>
          <t>SHONRCA30TS</t>
        </is>
      </c>
      <c r="B911" t="inlineStr">
        <is>
          <t>SHORT SPORT CAB</t>
        </is>
      </c>
      <c r="C911" t="inlineStr">
        <is>
          <t>Manufactura / Caballero / P. Inferiores</t>
        </is>
      </c>
      <c r="D911" t="n">
        <v>26</v>
      </c>
      <c r="E911" t="n">
        <v>969.22879287</v>
      </c>
      <c r="F911" t="n">
        <v>0.744509249409091</v>
      </c>
      <c r="G911" t="n">
        <v>5</v>
      </c>
      <c r="H911" t="n">
        <v>10.6514486</v>
      </c>
      <c r="I911" t="n">
        <v>2.6</v>
      </c>
      <c r="J911" t="n">
        <v>0</v>
      </c>
      <c r="K911" t="inlineStr"/>
    </row>
    <row r="912">
      <c r="A912" t="inlineStr">
        <is>
          <t>RIOMICA43T3XL</t>
        </is>
      </c>
      <c r="B912" t="inlineStr">
        <is>
          <t>RIO ORIGINAL CAB</t>
        </is>
      </c>
      <c r="C912" t="inlineStr">
        <is>
          <t>Manufactura / Caballero / P. Superiores</t>
        </is>
      </c>
      <c r="D912" t="n">
        <v>17</v>
      </c>
      <c r="E912" t="n">
        <v>968.61147581</v>
      </c>
      <c r="F912" t="n">
        <v>0.8961171384</v>
      </c>
      <c r="G912" t="n">
        <v>2</v>
      </c>
      <c r="H912" t="n">
        <v>5.939350288</v>
      </c>
      <c r="I912" t="n">
        <v>1.7</v>
      </c>
      <c r="J912" t="n">
        <v>4</v>
      </c>
      <c r="K912" t="inlineStr"/>
    </row>
    <row r="913">
      <c r="A913" t="inlineStr">
        <is>
          <t>TMOFIDA43TM</t>
        </is>
      </c>
      <c r="B913" t="inlineStr">
        <is>
          <t>TOP MOVA</t>
        </is>
      </c>
      <c r="C913" t="inlineStr">
        <is>
          <t>Manufactura / Dama / P. Superiores</t>
        </is>
      </c>
      <c r="D913" t="n">
        <v>28</v>
      </c>
      <c r="E913" t="n">
        <v>966.13182234</v>
      </c>
      <c r="F913" t="n">
        <v>0.8233354988736842</v>
      </c>
      <c r="G913" t="n">
        <v>14</v>
      </c>
      <c r="H913" t="n">
        <v>9.942967033</v>
      </c>
      <c r="I913" t="n">
        <v>2.8</v>
      </c>
      <c r="J913" t="n">
        <v>0</v>
      </c>
      <c r="K913" t="inlineStr"/>
    </row>
    <row r="914">
      <c r="A914" t="inlineStr">
        <is>
          <t>MARMIKI11T8</t>
        </is>
      </c>
      <c r="B914" t="inlineStr">
        <is>
          <t>MAR ORIGINAL KIDS</t>
        </is>
      </c>
      <c r="C914" t="inlineStr">
        <is>
          <t>Manufactura / Kids / P. Superiores</t>
        </is>
      </c>
      <c r="D914" t="n">
        <v>29</v>
      </c>
      <c r="E914" t="n">
        <v>965.39961128</v>
      </c>
      <c r="F914" t="n">
        <v>0.9063858452740741</v>
      </c>
      <c r="G914" t="n">
        <v>31</v>
      </c>
      <c r="H914" t="n">
        <v>3.168013332</v>
      </c>
      <c r="I914" t="n">
        <v>2.9</v>
      </c>
      <c r="J914" t="n">
        <v>0</v>
      </c>
      <c r="K914" t="inlineStr"/>
    </row>
    <row r="915">
      <c r="A915" t="inlineStr">
        <is>
          <t>GEMBADA09TM</t>
        </is>
      </c>
      <c r="B915" t="inlineStr">
        <is>
          <t>VESTIDO GEMMA DAMA</t>
        </is>
      </c>
      <c r="C915" t="inlineStr">
        <is>
          <t>Manufactura / Dama / Conjuntos</t>
        </is>
      </c>
      <c r="D915" t="n">
        <v>19</v>
      </c>
      <c r="E915" t="n">
        <v>963.02640053</v>
      </c>
      <c r="F915" t="n">
        <v>0.5127570858684211</v>
      </c>
      <c r="G915" t="n">
        <v>40</v>
      </c>
      <c r="H915" t="n">
        <v>23.99</v>
      </c>
      <c r="I915" t="n">
        <v>1.9</v>
      </c>
      <c r="J915" t="n">
        <v>0</v>
      </c>
      <c r="K915" t="inlineStr"/>
    </row>
    <row r="916">
      <c r="A916" t="inlineStr">
        <is>
          <t>CAP31VS</t>
        </is>
      </c>
      <c r="B916" t="inlineStr">
        <is>
          <t>VISERA</t>
        </is>
      </c>
      <c r="C916" t="inlineStr">
        <is>
          <t>Equipamiento / Gorras</t>
        </is>
      </c>
      <c r="D916" t="n">
        <v>30</v>
      </c>
      <c r="E916" t="n">
        <v>962.72910272</v>
      </c>
      <c r="F916" t="n">
        <v>0.567673844675862</v>
      </c>
      <c r="G916" t="n">
        <v>2</v>
      </c>
      <c r="H916" t="n">
        <v>13.5</v>
      </c>
      <c r="I916" t="n">
        <v>3</v>
      </c>
      <c r="J916" t="n">
        <v>1</v>
      </c>
      <c r="K916" t="inlineStr"/>
    </row>
    <row r="917">
      <c r="A917" t="inlineStr">
        <is>
          <t>JAPKI43T6</t>
        </is>
      </c>
      <c r="B917" t="inlineStr">
        <is>
          <t>CUADRO JACKET 2.0 KIDS</t>
        </is>
      </c>
      <c r="C917" t="inlineStr">
        <is>
          <t>Equipamiento / Ropa</t>
        </is>
      </c>
      <c r="D917" t="n">
        <v>14</v>
      </c>
      <c r="E917" t="n">
        <v>959.1096429</v>
      </c>
      <c r="F917" t="n">
        <v>0.76781211209375</v>
      </c>
      <c r="G917" t="n">
        <v>28</v>
      </c>
      <c r="H917" t="n">
        <v>15.17</v>
      </c>
      <c r="I917" t="n">
        <v>1.4</v>
      </c>
      <c r="J917" t="n">
        <v>1</v>
      </c>
      <c r="K917" t="inlineStr"/>
    </row>
    <row r="918">
      <c r="A918" t="inlineStr">
        <is>
          <t>CAP44MC</t>
        </is>
      </c>
      <c r="B918" t="inlineStr">
        <is>
          <t>MESH CAP</t>
        </is>
      </c>
      <c r="C918" t="inlineStr">
        <is>
          <t>Equipamiento / Gorras</t>
        </is>
      </c>
      <c r="D918" t="n">
        <v>33</v>
      </c>
      <c r="E918" t="n">
        <v>956.12765336</v>
      </c>
      <c r="F918" t="n">
        <v>0.8816913461870968</v>
      </c>
      <c r="G918" t="n">
        <v>0</v>
      </c>
      <c r="H918" t="n">
        <v>3.36</v>
      </c>
      <c r="I918" t="n">
        <v>3.3</v>
      </c>
      <c r="J918" t="n">
        <v>2</v>
      </c>
      <c r="K918" t="inlineStr">
        <is>
          <t>Sin stock</t>
        </is>
      </c>
    </row>
    <row r="919">
      <c r="A919" t="inlineStr">
        <is>
          <t>RIOMIKI50T12</t>
        </is>
      </c>
      <c r="B919" t="inlineStr">
        <is>
          <t>RIO ORIGINAL KIDS</t>
        </is>
      </c>
      <c r="C919" t="inlineStr">
        <is>
          <t>Manufactura / Kids / P. Superiores</t>
        </is>
      </c>
      <c r="D919" t="n">
        <v>22</v>
      </c>
      <c r="E919" t="n">
        <v>953.41668715</v>
      </c>
      <c r="F919" t="n">
        <v>0.91573547235</v>
      </c>
      <c r="G919" t="n">
        <v>58</v>
      </c>
      <c r="H919" t="n">
        <v>3.617969464</v>
      </c>
      <c r="I919" t="n">
        <v>2.2</v>
      </c>
      <c r="J919" t="n">
        <v>0</v>
      </c>
      <c r="K919" t="inlineStr"/>
    </row>
    <row r="920">
      <c r="A920" t="inlineStr">
        <is>
          <t>SHOUNCA187T2XL</t>
        </is>
      </c>
      <c r="B920" t="inlineStr">
        <is>
          <t>SHORT PLAYA CAB</t>
        </is>
      </c>
      <c r="C920" t="inlineStr">
        <is>
          <t>Manufactura / Caballero / P. Inferiores</t>
        </is>
      </c>
      <c r="D920" t="n">
        <v>18</v>
      </c>
      <c r="E920" t="n">
        <v>952.90445699</v>
      </c>
      <c r="F920" t="n">
        <v>0.7993932729272728</v>
      </c>
      <c r="G920" t="n">
        <v>23</v>
      </c>
      <c r="H920" t="n">
        <v>9.99</v>
      </c>
      <c r="I920" t="n">
        <v>1.8</v>
      </c>
      <c r="J920" t="n">
        <v>0</v>
      </c>
      <c r="K920" t="inlineStr"/>
    </row>
    <row r="921">
      <c r="A921" t="inlineStr">
        <is>
          <t>RIOMIDA48TXS</t>
        </is>
      </c>
      <c r="B921" t="inlineStr">
        <is>
          <t>RIO ORIGINAL DAMA</t>
        </is>
      </c>
      <c r="C921" t="inlineStr">
        <is>
          <t>Manufactura / Dama / P. Superiores</t>
        </is>
      </c>
      <c r="D921" t="n">
        <v>18</v>
      </c>
      <c r="E921" t="n">
        <v>951.1432046800001</v>
      </c>
      <c r="F921" t="n">
        <v>0.8910235459411764</v>
      </c>
      <c r="G921" t="n">
        <v>17</v>
      </c>
      <c r="H921" t="n">
        <v>5.538832275</v>
      </c>
      <c r="I921" t="n">
        <v>1.8</v>
      </c>
      <c r="J921" t="n">
        <v>0</v>
      </c>
      <c r="K921" t="inlineStr"/>
    </row>
    <row r="922">
      <c r="A922" t="inlineStr">
        <is>
          <t>MIKFNDA10TXS</t>
        </is>
      </c>
      <c r="B922" t="inlineStr">
        <is>
          <t>MIKA SPORT LITE DAMA</t>
        </is>
      </c>
      <c r="C922" t="inlineStr">
        <is>
          <t>Manufactura / Dama / P. Superiores</t>
        </is>
      </c>
      <c r="D922" t="n">
        <v>28</v>
      </c>
      <c r="E922" t="n">
        <v>950.19648726</v>
      </c>
      <c r="F922" t="n">
        <v>0.8528017478000001</v>
      </c>
      <c r="G922" t="n">
        <v>21</v>
      </c>
      <c r="H922" t="n">
        <v>5.484675344</v>
      </c>
      <c r="I922" t="n">
        <v>2.8</v>
      </c>
      <c r="J922" t="n">
        <v>0</v>
      </c>
      <c r="K922" t="inlineStr"/>
    </row>
    <row r="923">
      <c r="A923" t="inlineStr">
        <is>
          <t>SHUNTDA43TXL</t>
        </is>
      </c>
      <c r="B923" t="inlineStr">
        <is>
          <t>SHORT SPORT R1 DAMA</t>
        </is>
      </c>
      <c r="C923" t="inlineStr">
        <is>
          <t>Manufactura / Dama / P. Inferiores</t>
        </is>
      </c>
      <c r="D923" t="n">
        <v>20</v>
      </c>
      <c r="E923" t="n">
        <v>949.37912351</v>
      </c>
      <c r="F923" t="n">
        <v>0.8297145280818181</v>
      </c>
      <c r="G923" t="n">
        <v>58</v>
      </c>
      <c r="H923" t="n">
        <v>8.33</v>
      </c>
      <c r="I923" t="n">
        <v>2</v>
      </c>
      <c r="J923" t="n">
        <v>0</v>
      </c>
      <c r="K923" t="inlineStr"/>
    </row>
    <row r="924">
      <c r="A924" t="inlineStr">
        <is>
          <t>SARSPDA12TL</t>
        </is>
      </c>
      <c r="B924" t="inlineStr">
        <is>
          <t>FALDA SARA DAMA</t>
        </is>
      </c>
      <c r="C924" t="inlineStr">
        <is>
          <t>Manufactura / Dama / P. Inferiores</t>
        </is>
      </c>
      <c r="D924" t="n">
        <v>19</v>
      </c>
      <c r="E924" t="n">
        <v>947.61318102</v>
      </c>
      <c r="F924" t="n">
        <v>0.8008602926894737</v>
      </c>
      <c r="G924" t="n">
        <v>6</v>
      </c>
      <c r="H924" t="n">
        <v>9.500113852</v>
      </c>
      <c r="I924" t="n">
        <v>1.9</v>
      </c>
      <c r="J924" t="n">
        <v>0</v>
      </c>
      <c r="K924" t="inlineStr"/>
    </row>
    <row r="925">
      <c r="A925" t="inlineStr">
        <is>
          <t>SARSPKI12T14</t>
        </is>
      </c>
      <c r="B925" t="inlineStr">
        <is>
          <t>FALDA SARA KIDS</t>
        </is>
      </c>
      <c r="C925" t="inlineStr">
        <is>
          <t>Manufactura / Kids / P. Inferiores</t>
        </is>
      </c>
      <c r="D925" t="n">
        <v>21</v>
      </c>
      <c r="E925" t="n">
        <v>946.4554156199999</v>
      </c>
      <c r="F925" t="n">
        <v>0.8663768125956521</v>
      </c>
      <c r="G925" t="n">
        <v>20</v>
      </c>
      <c r="H925" t="n">
        <v>5.753743316</v>
      </c>
      <c r="I925" t="n">
        <v>2.1</v>
      </c>
      <c r="J925" t="n">
        <v>0</v>
      </c>
      <c r="K925" t="inlineStr"/>
    </row>
    <row r="926">
      <c r="A926" t="inlineStr">
        <is>
          <t>MARMIDA53TL</t>
        </is>
      </c>
      <c r="B926" t="inlineStr">
        <is>
          <t>MAR ORIGINAL DAMA</t>
        </is>
      </c>
      <c r="C926" t="inlineStr">
        <is>
          <t>Manufactura / Dama / P. Superiores</t>
        </is>
      </c>
      <c r="D926" t="n">
        <v>19</v>
      </c>
      <c r="E926" t="n">
        <v>942.49567151</v>
      </c>
      <c r="F926" t="n">
        <v>0.911816859331579</v>
      </c>
      <c r="G926" t="n">
        <v>25</v>
      </c>
      <c r="H926" t="n">
        <v>4.278324149</v>
      </c>
      <c r="I926" t="n">
        <v>1.9</v>
      </c>
      <c r="J926" t="n">
        <v>0</v>
      </c>
      <c r="K926" t="inlineStr"/>
    </row>
    <row r="927">
      <c r="A927" t="inlineStr">
        <is>
          <t>DAYCSTCA16TXL</t>
        </is>
      </c>
      <c r="B927" t="inlineStr">
        <is>
          <t>CLASICA DAILY 3.0 CAB</t>
        </is>
      </c>
      <c r="C927" t="inlineStr">
        <is>
          <t>Manufactura / Caballero / P. Superiores</t>
        </is>
      </c>
      <c r="D927" t="n">
        <v>21</v>
      </c>
      <c r="E927" t="n">
        <v>940.88094858</v>
      </c>
      <c r="F927" t="n">
        <v>0.7557506012875</v>
      </c>
      <c r="G927" t="n">
        <v>20</v>
      </c>
      <c r="H927" t="n">
        <v>11.76035097</v>
      </c>
      <c r="I927" t="n">
        <v>2.1</v>
      </c>
      <c r="J927" t="n">
        <v>0</v>
      </c>
      <c r="K927" t="inlineStr"/>
    </row>
    <row r="928">
      <c r="A928" t="inlineStr">
        <is>
          <t>RIOMIDA50TL</t>
        </is>
      </c>
      <c r="B928" t="inlineStr">
        <is>
          <t>RIO ORIGINAL DAMA</t>
        </is>
      </c>
      <c r="C928" t="inlineStr">
        <is>
          <t>Manufactura / Dama / P. Superiores</t>
        </is>
      </c>
      <c r="D928" t="n">
        <v>17</v>
      </c>
      <c r="E928" t="n">
        <v>940.4652061</v>
      </c>
      <c r="F928" t="n">
        <v>0.8971450914176471</v>
      </c>
      <c r="G928" t="n">
        <v>38</v>
      </c>
      <c r="H928" t="n">
        <v>5.538832275</v>
      </c>
      <c r="I928" t="n">
        <v>1.7</v>
      </c>
      <c r="J928" t="n">
        <v>2</v>
      </c>
      <c r="K928" t="inlineStr"/>
    </row>
    <row r="929">
      <c r="A929" t="inlineStr">
        <is>
          <t>MTOT43UN</t>
        </is>
      </c>
      <c r="B929" t="inlineStr">
        <is>
          <t>MAXI TOTE</t>
        </is>
      </c>
      <c r="C929" t="inlineStr">
        <is>
          <t>Equipamiento / Bolsos</t>
        </is>
      </c>
      <c r="D929" t="n">
        <v>14</v>
      </c>
      <c r="E929" t="n">
        <v>939.35361886</v>
      </c>
      <c r="F929" t="n">
        <v>0.78207422376875</v>
      </c>
      <c r="G929" t="n">
        <v>450</v>
      </c>
      <c r="H929" t="n">
        <v>17.13</v>
      </c>
      <c r="I929" t="n">
        <v>1.4</v>
      </c>
      <c r="J929" t="n">
        <v>0</v>
      </c>
      <c r="K929" t="inlineStr"/>
    </row>
    <row r="930">
      <c r="A930" t="inlineStr">
        <is>
          <t>SUC103EQ</t>
        </is>
      </c>
      <c r="B930" t="inlineStr">
        <is>
          <t>SUNNY CORD 2.0</t>
        </is>
      </c>
      <c r="C930" t="inlineStr">
        <is>
          <t>Equipamiento / Accesorios</t>
        </is>
      </c>
      <c r="D930" t="n">
        <v>168</v>
      </c>
      <c r="E930" t="n">
        <v>937.814642102</v>
      </c>
      <c r="F930" t="n">
        <v>0.8781413631680723</v>
      </c>
      <c r="G930" t="n">
        <v>3</v>
      </c>
      <c r="H930" t="n">
        <v>0.66</v>
      </c>
      <c r="I930" t="n">
        <v>16.8</v>
      </c>
      <c r="J930" t="n">
        <v>0</v>
      </c>
      <c r="K930" t="inlineStr"/>
    </row>
    <row r="931">
      <c r="A931" t="inlineStr">
        <is>
          <t>CLAMIDA30TS</t>
        </is>
      </c>
      <c r="B931" t="inlineStr">
        <is>
          <t>CLASICA ORIGINAL DAMA</t>
        </is>
      </c>
      <c r="C931" t="inlineStr">
        <is>
          <t>Manufactura / Dama / P. Superiores</t>
        </is>
      </c>
      <c r="D931" t="n">
        <v>26</v>
      </c>
      <c r="E931" t="n">
        <v>934.10723537</v>
      </c>
      <c r="F931" t="n">
        <v>0.90280312023125</v>
      </c>
      <c r="G931" t="n">
        <v>38</v>
      </c>
      <c r="H931" t="n">
        <v>3.923227589000001</v>
      </c>
      <c r="I931" t="n">
        <v>2.6</v>
      </c>
      <c r="J931" t="n">
        <v>0</v>
      </c>
      <c r="K931" t="inlineStr"/>
    </row>
    <row r="932">
      <c r="A932" t="inlineStr">
        <is>
          <t>JACCA67TM</t>
        </is>
      </c>
      <c r="B932" t="inlineStr">
        <is>
          <t>JACKET CAB</t>
        </is>
      </c>
      <c r="C932" t="inlineStr">
        <is>
          <t>Equipamiento / Ropa</t>
        </is>
      </c>
      <c r="D932" t="n">
        <v>14</v>
      </c>
      <c r="E932" t="n">
        <v>933.4292698239121</v>
      </c>
      <c r="F932" t="n">
        <v>0.7098065455923077</v>
      </c>
      <c r="G932" t="n">
        <v>46</v>
      </c>
      <c r="H932" t="n">
        <v>20.25001933</v>
      </c>
      <c r="I932" t="n">
        <v>1.4</v>
      </c>
      <c r="J932" t="n">
        <v>0</v>
      </c>
      <c r="K932" t="inlineStr"/>
    </row>
    <row r="933">
      <c r="A933" t="inlineStr">
        <is>
          <t>BASCCDA38TL</t>
        </is>
      </c>
      <c r="B933" t="inlineStr">
        <is>
          <t>BASIC LINE SHORT DAMA</t>
        </is>
      </c>
      <c r="C933" t="inlineStr">
        <is>
          <t>Manufactura / Dama / P. Inferiores</t>
        </is>
      </c>
      <c r="D933" t="n">
        <v>21</v>
      </c>
      <c r="E933" t="n">
        <v>926.18871261</v>
      </c>
      <c r="F933" t="n">
        <v>0.8664545746227272</v>
      </c>
      <c r="G933" t="n">
        <v>30</v>
      </c>
      <c r="H933" t="n">
        <v>6.01</v>
      </c>
      <c r="I933" t="n">
        <v>2.1</v>
      </c>
      <c r="J933" t="n">
        <v>0</v>
      </c>
      <c r="K933" t="inlineStr"/>
    </row>
    <row r="934">
      <c r="A934" t="inlineStr">
        <is>
          <t>MARMICA11T2XL</t>
        </is>
      </c>
      <c r="B934" t="inlineStr">
        <is>
          <t>MAR ORIGINAL CAB</t>
        </is>
      </c>
      <c r="C934" t="inlineStr">
        <is>
          <t>Manufactura / Caballero / P. Superiores</t>
        </is>
      </c>
      <c r="D934" t="n">
        <v>18</v>
      </c>
      <c r="E934" t="n">
        <v>923.73569161</v>
      </c>
      <c r="F934" t="n">
        <v>0.90148940695</v>
      </c>
      <c r="G934" t="n">
        <v>24</v>
      </c>
      <c r="H934" t="n">
        <v>4.946357428</v>
      </c>
      <c r="I934" t="n">
        <v>1.8</v>
      </c>
      <c r="J934" t="n">
        <v>0</v>
      </c>
      <c r="K934" t="inlineStr"/>
    </row>
    <row r="935">
      <c r="A935" t="inlineStr">
        <is>
          <t>RIOMIDA66TM</t>
        </is>
      </c>
      <c r="B935" t="inlineStr">
        <is>
          <t>RIO ORIGINAL DAMA</t>
        </is>
      </c>
      <c r="C935" t="inlineStr">
        <is>
          <t>Manufactura / Dama / P. Superiores</t>
        </is>
      </c>
      <c r="D935" t="n">
        <v>17</v>
      </c>
      <c r="E935" t="n">
        <v>923.35969172</v>
      </c>
      <c r="F935" t="n">
        <v>0.8955214150099999</v>
      </c>
      <c r="G935" t="n">
        <v>22</v>
      </c>
      <c r="H935" t="n">
        <v>5.538832275</v>
      </c>
      <c r="I935" t="n">
        <v>1.7</v>
      </c>
      <c r="J935" t="n">
        <v>0</v>
      </c>
      <c r="K935" t="inlineStr"/>
    </row>
    <row r="936">
      <c r="A936" t="inlineStr">
        <is>
          <t>RIOMICA30TM</t>
        </is>
      </c>
      <c r="B936" t="inlineStr">
        <is>
          <t>RIO ORIGINAL CAB</t>
        </is>
      </c>
      <c r="C936" t="inlineStr">
        <is>
          <t>Manufactura / Caballero / P. Superiores</t>
        </is>
      </c>
      <c r="D936" t="n">
        <v>17</v>
      </c>
      <c r="E936" t="n">
        <v>921.37669092</v>
      </c>
      <c r="F936" t="n">
        <v>0.8934571012833332</v>
      </c>
      <c r="G936" t="n">
        <v>12</v>
      </c>
      <c r="H936" t="n">
        <v>5.939350288</v>
      </c>
      <c r="I936" t="n">
        <v>1.7</v>
      </c>
      <c r="J936" t="n">
        <v>0</v>
      </c>
      <c r="K936" t="inlineStr"/>
    </row>
    <row r="937">
      <c r="A937" t="inlineStr">
        <is>
          <t>MARMIKI11T12</t>
        </is>
      </c>
      <c r="B937" t="inlineStr">
        <is>
          <t>MAR ORIGINAL KIDS</t>
        </is>
      </c>
      <c r="C937" t="inlineStr">
        <is>
          <t>Manufactura / Kids / P. Superiores</t>
        </is>
      </c>
      <c r="D937" t="n">
        <v>27</v>
      </c>
      <c r="E937" t="n">
        <v>920.12933286</v>
      </c>
      <c r="F937" t="n">
        <v>0.9050609372653846</v>
      </c>
      <c r="G937" t="n">
        <v>15</v>
      </c>
      <c r="H937" t="n">
        <v>3.168013332</v>
      </c>
      <c r="I937" t="n">
        <v>2.7</v>
      </c>
      <c r="J937" t="n">
        <v>4</v>
      </c>
      <c r="K937" t="inlineStr"/>
    </row>
    <row r="938">
      <c r="A938" t="inlineStr">
        <is>
          <t>SHONRCA43TS</t>
        </is>
      </c>
      <c r="B938" t="inlineStr">
        <is>
          <t>SHORT SPORT CAB</t>
        </is>
      </c>
      <c r="C938" t="inlineStr">
        <is>
          <t>Manufactura / Caballero / P. Inferiores</t>
        </is>
      </c>
      <c r="D938" t="n">
        <v>28</v>
      </c>
      <c r="E938" t="n">
        <v>913.29353512</v>
      </c>
      <c r="F938" t="n">
        <v>0.7294089282666667</v>
      </c>
      <c r="G938" t="n">
        <v>2</v>
      </c>
      <c r="H938" t="n">
        <v>10.6514486</v>
      </c>
      <c r="I938" t="n">
        <v>2.8</v>
      </c>
      <c r="J938" t="n">
        <v>0</v>
      </c>
      <c r="K938" t="inlineStr"/>
    </row>
    <row r="939">
      <c r="A939" t="inlineStr">
        <is>
          <t>RIOMIDA66TL</t>
        </is>
      </c>
      <c r="B939" t="inlineStr">
        <is>
          <t>RIO ORIGINAL DAMA</t>
        </is>
      </c>
      <c r="C939" t="inlineStr">
        <is>
          <t>Manufactura / Dama / P. Superiores</t>
        </is>
      </c>
      <c r="D939" t="n">
        <v>17</v>
      </c>
      <c r="E939" t="n">
        <v>912.7864315100001</v>
      </c>
      <c r="F939" t="n">
        <v>0.8949398442941177</v>
      </c>
      <c r="G939" t="n">
        <v>30</v>
      </c>
      <c r="H939" t="n">
        <v>5.538832275</v>
      </c>
      <c r="I939" t="n">
        <v>1.7</v>
      </c>
      <c r="J939" t="n">
        <v>0</v>
      </c>
      <c r="K939" t="inlineStr"/>
    </row>
    <row r="940">
      <c r="A940" t="inlineStr">
        <is>
          <t>MIKFNDA16TL</t>
        </is>
      </c>
      <c r="B940" t="inlineStr">
        <is>
          <t>MIKA SPORT LITE DAMA</t>
        </is>
      </c>
      <c r="C940" t="inlineStr">
        <is>
          <t>Manufactura / Dama / P. Superiores</t>
        </is>
      </c>
      <c r="D940" t="n">
        <v>25</v>
      </c>
      <c r="E940" t="n">
        <v>912.55637057</v>
      </c>
      <c r="F940" t="n">
        <v>0.8392513980280001</v>
      </c>
      <c r="G940" t="n">
        <v>10</v>
      </c>
      <c r="H940" t="n">
        <v>5.484675343999999</v>
      </c>
      <c r="I940" t="n">
        <v>2.5</v>
      </c>
      <c r="J940" t="n">
        <v>2</v>
      </c>
      <c r="K940" t="inlineStr"/>
    </row>
    <row r="941">
      <c r="A941" t="inlineStr">
        <is>
          <t>RIOMICA43T2XL</t>
        </is>
      </c>
      <c r="B941" t="inlineStr">
        <is>
          <t>RIO ORIGINAL CAB</t>
        </is>
      </c>
      <c r="C941" t="inlineStr">
        <is>
          <t>Manufactura / Caballero / P. Superiores</t>
        </is>
      </c>
      <c r="D941" t="n">
        <v>17</v>
      </c>
      <c r="E941" t="n">
        <v>912.13278957</v>
      </c>
      <c r="F941" t="n">
        <v>0.88255024482</v>
      </c>
      <c r="G941" t="n">
        <v>2</v>
      </c>
      <c r="H941" t="n">
        <v>5.939350288</v>
      </c>
      <c r="I941" t="n">
        <v>1.7</v>
      </c>
      <c r="J941" t="n">
        <v>1</v>
      </c>
      <c r="K941" t="inlineStr"/>
    </row>
    <row r="942">
      <c r="A942" t="inlineStr">
        <is>
          <t>ANMSUDA151TXS</t>
        </is>
      </c>
      <c r="B942" t="inlineStr">
        <is>
          <t>ANDRE MOTION DAMA</t>
        </is>
      </c>
      <c r="C942" t="inlineStr">
        <is>
          <t>Manufactura / Dama / P. Superiores</t>
        </is>
      </c>
      <c r="D942" t="n">
        <v>20</v>
      </c>
      <c r="E942" t="n">
        <v>912.05360696</v>
      </c>
      <c r="F942" t="n">
        <v>0.7360423628909092</v>
      </c>
      <c r="G942" t="n">
        <v>3</v>
      </c>
      <c r="H942" t="n">
        <v>10.6</v>
      </c>
      <c r="I942" t="n">
        <v>2</v>
      </c>
      <c r="J942" t="n">
        <v>1</v>
      </c>
      <c r="K942" t="inlineStr"/>
    </row>
    <row r="943">
      <c r="A943" t="inlineStr">
        <is>
          <t>MARMICA04TXL</t>
        </is>
      </c>
      <c r="B943" t="inlineStr">
        <is>
          <t>MAR ORIGINAL CAB</t>
        </is>
      </c>
      <c r="C943" t="inlineStr">
        <is>
          <t>Manufactura / Caballero / P. Superiores</t>
        </is>
      </c>
      <c r="D943" t="n">
        <v>17</v>
      </c>
      <c r="E943" t="n">
        <v>910.96892117</v>
      </c>
      <c r="F943" t="n">
        <v>0.90546291874375</v>
      </c>
      <c r="G943" t="n">
        <v>13</v>
      </c>
      <c r="H943" t="n">
        <v>4.946357428</v>
      </c>
      <c r="I943" t="n">
        <v>1.7</v>
      </c>
      <c r="J943" t="n">
        <v>1</v>
      </c>
      <c r="K943" t="inlineStr"/>
    </row>
    <row r="944">
      <c r="A944" t="inlineStr">
        <is>
          <t>CLAMICA13TXL</t>
        </is>
      </c>
      <c r="B944" t="inlineStr">
        <is>
          <t>CLASICA ORIGINAL CAB</t>
        </is>
      </c>
      <c r="C944" t="inlineStr">
        <is>
          <t>Manufactura / Caballero / P. Superiores</t>
        </is>
      </c>
      <c r="D944" t="n">
        <v>24</v>
      </c>
      <c r="E944" t="n">
        <v>909.52932858</v>
      </c>
      <c r="F944" t="n">
        <v>0.8810133253222223</v>
      </c>
      <c r="G944" t="n">
        <v>29</v>
      </c>
      <c r="H944" t="n">
        <v>4.598442536</v>
      </c>
      <c r="I944" t="n">
        <v>2.4</v>
      </c>
      <c r="J944" t="n">
        <v>0</v>
      </c>
      <c r="K944" t="inlineStr"/>
    </row>
    <row r="945">
      <c r="A945" t="inlineStr">
        <is>
          <t>TALGOTADA166TS</t>
        </is>
      </c>
      <c r="B945" t="inlineStr">
        <is>
          <t>URBAN COTTON TOP SUNSET DAMA</t>
        </is>
      </c>
      <c r="C945" t="inlineStr">
        <is>
          <t>Manufactura / Dama / P. Superiores</t>
        </is>
      </c>
      <c r="D945" t="n">
        <v>19</v>
      </c>
      <c r="E945" t="n">
        <v>908.56305304</v>
      </c>
      <c r="F945" t="n">
        <v>0.8572527927176471</v>
      </c>
      <c r="G945" t="n">
        <v>28</v>
      </c>
      <c r="H945" t="n">
        <v>7.815168793999999</v>
      </c>
      <c r="I945" t="n">
        <v>1.9</v>
      </c>
      <c r="J945" t="n">
        <v>2</v>
      </c>
      <c r="K945" t="inlineStr"/>
    </row>
    <row r="946">
      <c r="A946" t="inlineStr">
        <is>
          <t>RIOMICA70TXL</t>
        </is>
      </c>
      <c r="B946" t="inlineStr">
        <is>
          <t>RIO ORIGINAL CAB</t>
        </is>
      </c>
      <c r="C946" t="inlineStr">
        <is>
          <t>Manufactura / Caballero / P. Superiores</t>
        </is>
      </c>
      <c r="D946" t="n">
        <v>17</v>
      </c>
      <c r="E946" t="n">
        <v>906.02863652</v>
      </c>
      <c r="F946" t="n">
        <v>0.8815618544421053</v>
      </c>
      <c r="G946" t="n">
        <v>37</v>
      </c>
      <c r="H946" t="n">
        <v>5.939350288</v>
      </c>
      <c r="I946" t="n">
        <v>1.7</v>
      </c>
      <c r="J946" t="n">
        <v>1</v>
      </c>
      <c r="K946" t="inlineStr"/>
    </row>
    <row r="947">
      <c r="A947" t="inlineStr">
        <is>
          <t>TOA65PL</t>
        </is>
      </c>
      <c r="B947" t="inlineStr">
        <is>
          <t>TOALLA PLAYA</t>
        </is>
      </c>
      <c r="C947" t="inlineStr">
        <is>
          <t>Equipamiento / Toallas</t>
        </is>
      </c>
      <c r="D947" t="n">
        <v>29</v>
      </c>
      <c r="E947" t="n">
        <v>905.53413255</v>
      </c>
      <c r="F947" t="n">
        <v>0.84000910117</v>
      </c>
      <c r="G947" t="n">
        <v>450</v>
      </c>
      <c r="H947" t="n">
        <v>4.83</v>
      </c>
      <c r="I947" t="n">
        <v>2.9</v>
      </c>
      <c r="J947" t="n">
        <v>1</v>
      </c>
      <c r="K947" t="inlineStr"/>
    </row>
    <row r="948">
      <c r="A948" t="inlineStr">
        <is>
          <t>GEODOCACA43TM</t>
        </is>
      </c>
      <c r="B948" t="inlineStr">
        <is>
          <t>ADVANCE GEO DOMINIC CAB</t>
        </is>
      </c>
      <c r="C948" t="inlineStr">
        <is>
          <t>Manufactura / Caballero / P. Superiores</t>
        </is>
      </c>
      <c r="D948" t="n">
        <v>25</v>
      </c>
      <c r="E948" t="n">
        <v>904.48509466</v>
      </c>
      <c r="F948" t="n">
        <v>0.80745979568</v>
      </c>
      <c r="G948" t="n">
        <v>14</v>
      </c>
      <c r="H948" t="n">
        <v>13.35</v>
      </c>
      <c r="I948" t="n">
        <v>2.5</v>
      </c>
      <c r="J948" t="n">
        <v>1</v>
      </c>
      <c r="K948" t="inlineStr"/>
    </row>
    <row r="949">
      <c r="A949" t="inlineStr">
        <is>
          <t>CUTAG80</t>
        </is>
      </c>
      <c r="B949" t="inlineStr">
        <is>
          <t>CUADRO TAG</t>
        </is>
      </c>
      <c r="C949" t="inlineStr">
        <is>
          <t>Equipamiento / Accesorios</t>
        </is>
      </c>
      <c r="D949" t="n">
        <v>91</v>
      </c>
      <c r="E949" t="n">
        <v>900.348972336</v>
      </c>
      <c r="F949" t="n">
        <v>0.9190656677722892</v>
      </c>
      <c r="G949" t="n">
        <v>240</v>
      </c>
      <c r="H949" t="n">
        <v>0.8100000000000001</v>
      </c>
      <c r="I949" t="n">
        <v>9.1</v>
      </c>
      <c r="J949" t="n">
        <v>0</v>
      </c>
      <c r="K949" t="inlineStr"/>
    </row>
    <row r="950">
      <c r="A950" t="inlineStr">
        <is>
          <t>MARMIKI50T4</t>
        </is>
      </c>
      <c r="B950" t="inlineStr">
        <is>
          <t>MAR ORIGINAL KIDS</t>
        </is>
      </c>
      <c r="C950" t="inlineStr">
        <is>
          <t>Manufactura / Kids / P. Superiores</t>
        </is>
      </c>
      <c r="D950" t="n">
        <v>23</v>
      </c>
      <c r="E950" t="n">
        <v>900.10772265</v>
      </c>
      <c r="F950" t="n">
        <v>0.9178574089760001</v>
      </c>
      <c r="G950" t="n">
        <v>11</v>
      </c>
      <c r="H950" t="n">
        <v>3.168013332</v>
      </c>
      <c r="I950" t="n">
        <v>2.3</v>
      </c>
      <c r="J950" t="n">
        <v>0</v>
      </c>
      <c r="K950" t="inlineStr"/>
    </row>
    <row r="951">
      <c r="A951" t="inlineStr">
        <is>
          <t>SARSPDA43TS</t>
        </is>
      </c>
      <c r="B951" t="inlineStr">
        <is>
          <t>FALDA SARA DAMA</t>
        </is>
      </c>
      <c r="C951" t="inlineStr">
        <is>
          <t>Manufactura / Dama / P. Inferiores</t>
        </is>
      </c>
      <c r="D951" t="n">
        <v>21</v>
      </c>
      <c r="E951" t="n">
        <v>899.13347329</v>
      </c>
      <c r="F951" t="n">
        <v>0.7784276434199999</v>
      </c>
      <c r="G951" t="n">
        <v>35</v>
      </c>
      <c r="H951" t="n">
        <v>9.500113852</v>
      </c>
      <c r="I951" t="n">
        <v>2.1</v>
      </c>
      <c r="J951" t="n">
        <v>0</v>
      </c>
      <c r="K951" t="inlineStr"/>
    </row>
    <row r="952">
      <c r="A952" t="inlineStr">
        <is>
          <t>RIOMIKI53T2</t>
        </is>
      </c>
      <c r="B952" t="inlineStr">
        <is>
          <t>RIO ORIGINAL KIDS</t>
        </is>
      </c>
      <c r="C952" t="inlineStr">
        <is>
          <t>Manufactura / Kids / P. Superiores</t>
        </is>
      </c>
      <c r="D952" t="n">
        <v>22</v>
      </c>
      <c r="E952" t="n">
        <v>899.09630309</v>
      </c>
      <c r="F952" t="n">
        <v>0.918533655965</v>
      </c>
      <c r="G952" t="n">
        <v>27</v>
      </c>
      <c r="H952" t="n">
        <v>3.617969464</v>
      </c>
      <c r="I952" t="n">
        <v>2.2</v>
      </c>
      <c r="J952" t="n">
        <v>0</v>
      </c>
      <c r="K952" t="inlineStr"/>
    </row>
    <row r="953">
      <c r="A953" t="inlineStr">
        <is>
          <t>SHUNTDA43TL</t>
        </is>
      </c>
      <c r="B953" t="inlineStr">
        <is>
          <t>SHORT SPORT R1 DAMA</t>
        </is>
      </c>
      <c r="C953" t="inlineStr">
        <is>
          <t>Manufactura / Dama / P. Inferiores</t>
        </is>
      </c>
      <c r="D953" t="n">
        <v>24</v>
      </c>
      <c r="E953" t="n">
        <v>897.794038</v>
      </c>
      <c r="F953" t="n">
        <v>0.8175743283714286</v>
      </c>
      <c r="G953" t="n">
        <v>52</v>
      </c>
      <c r="H953" t="n">
        <v>8.33</v>
      </c>
      <c r="I953" t="n">
        <v>2.4</v>
      </c>
      <c r="J953" t="n">
        <v>0</v>
      </c>
      <c r="K953" t="inlineStr"/>
    </row>
    <row r="954">
      <c r="A954" t="inlineStr">
        <is>
          <t>SHUNTCA43TL</t>
        </is>
      </c>
      <c r="B954" t="inlineStr">
        <is>
          <t>SHORT SPORT R1 CAB</t>
        </is>
      </c>
      <c r="C954" t="inlineStr">
        <is>
          <t>Manufactura / Caballero / P. Inferiores</t>
        </is>
      </c>
      <c r="D954" t="n">
        <v>23</v>
      </c>
      <c r="E954" t="n">
        <v>897.15529855</v>
      </c>
      <c r="F954" t="n">
        <v>0.7971667419555556</v>
      </c>
      <c r="G954" t="n">
        <v>4</v>
      </c>
      <c r="H954" t="n">
        <v>9.119999999999999</v>
      </c>
      <c r="I954" t="n">
        <v>2.3</v>
      </c>
      <c r="J954" t="n">
        <v>0</v>
      </c>
      <c r="K954" t="inlineStr"/>
    </row>
    <row r="955">
      <c r="A955" t="inlineStr">
        <is>
          <t>MAFMIDA34TXL</t>
        </is>
      </c>
      <c r="B955" t="inlineStr">
        <is>
          <t>MAFE ORIGINAL DAMA</t>
        </is>
      </c>
      <c r="C955" t="inlineStr">
        <is>
          <t>Manufactura / Dama / P. Superiores</t>
        </is>
      </c>
      <c r="D955" t="n">
        <v>60</v>
      </c>
      <c r="E955" t="n">
        <v>894.5491379</v>
      </c>
      <c r="F955" t="n">
        <v>0.6949406232000001</v>
      </c>
      <c r="G955" t="n">
        <v>0</v>
      </c>
      <c r="H955" t="n">
        <v>4.54817671</v>
      </c>
      <c r="I955" t="n">
        <v>6</v>
      </c>
      <c r="J955" t="n">
        <v>4</v>
      </c>
      <c r="K955" t="inlineStr">
        <is>
          <t>Sin stock</t>
        </is>
      </c>
    </row>
    <row r="956">
      <c r="A956" t="inlineStr">
        <is>
          <t>SARSPDA16TS</t>
        </is>
      </c>
      <c r="B956" t="inlineStr">
        <is>
          <t>FALDA SARA DAMA</t>
        </is>
      </c>
      <c r="C956" t="inlineStr">
        <is>
          <t>Manufactura / Dama / P. Inferiores</t>
        </is>
      </c>
      <c r="D956" t="n">
        <v>20</v>
      </c>
      <c r="E956" t="n">
        <v>894.37372778</v>
      </c>
      <c r="F956" t="n">
        <v>0.7918724600789474</v>
      </c>
      <c r="G956" t="n">
        <v>37</v>
      </c>
      <c r="H956" t="n">
        <v>9.500113852</v>
      </c>
      <c r="I956" t="n">
        <v>2</v>
      </c>
      <c r="J956" t="n">
        <v>0</v>
      </c>
      <c r="K956" t="inlineStr"/>
    </row>
    <row r="957">
      <c r="A957" t="inlineStr">
        <is>
          <t>SHPEUNCA211TXL</t>
        </is>
      </c>
      <c r="B957" t="inlineStr">
        <is>
          <t>SHORT PLAYA ESTAMPADO CAB</t>
        </is>
      </c>
      <c r="C957" t="inlineStr">
        <is>
          <t>Manufactura / Caballero / P. Inferiores</t>
        </is>
      </c>
      <c r="D957" t="n">
        <v>22</v>
      </c>
      <c r="E957" t="n">
        <v>893.4255598</v>
      </c>
      <c r="F957" t="n">
        <v>0.7017994425</v>
      </c>
      <c r="G957" t="n">
        <v>0</v>
      </c>
      <c r="H957" t="n">
        <v>12.11</v>
      </c>
      <c r="I957" t="n">
        <v>2.2</v>
      </c>
      <c r="J957" t="n">
        <v>4</v>
      </c>
      <c r="K957" t="inlineStr">
        <is>
          <t>Sin stock</t>
        </is>
      </c>
    </row>
    <row r="958">
      <c r="A958" t="inlineStr">
        <is>
          <t>SARSPKI16T12</t>
        </is>
      </c>
      <c r="B958" t="inlineStr">
        <is>
          <t>FALDA SARA KIDS</t>
        </is>
      </c>
      <c r="C958" t="inlineStr">
        <is>
          <t>Manufactura / Kids / P. Inferiores</t>
        </is>
      </c>
      <c r="D958" t="n">
        <v>24</v>
      </c>
      <c r="E958" t="n">
        <v>892.88703114</v>
      </c>
      <c r="F958" t="n">
        <v>0.836533517224</v>
      </c>
      <c r="G958" t="n">
        <v>19</v>
      </c>
      <c r="H958" t="n">
        <v>5.753743316</v>
      </c>
      <c r="I958" t="n">
        <v>2.4</v>
      </c>
      <c r="J958" t="n">
        <v>0</v>
      </c>
      <c r="K958" t="inlineStr"/>
    </row>
    <row r="959">
      <c r="A959" t="inlineStr">
        <is>
          <t>BACCCDA38TS</t>
        </is>
      </c>
      <c r="B959" t="inlineStr">
        <is>
          <t>BASIC LINE CROP TEE DAMA</t>
        </is>
      </c>
      <c r="C959" t="inlineStr">
        <is>
          <t>Manufactura / Dama / P. Superiores</t>
        </is>
      </c>
      <c r="D959" t="n">
        <v>21</v>
      </c>
      <c r="E959" t="n">
        <v>892.07541295</v>
      </c>
      <c r="F959" t="n">
        <v>0.88594403029375</v>
      </c>
      <c r="G959" t="n">
        <v>21</v>
      </c>
      <c r="H959" t="n">
        <v>6.196330833</v>
      </c>
      <c r="I959" t="n">
        <v>2.1</v>
      </c>
      <c r="J959" t="n">
        <v>0</v>
      </c>
      <c r="K959" t="inlineStr"/>
    </row>
    <row r="960">
      <c r="A960" t="inlineStr">
        <is>
          <t>JACDA67TS</t>
        </is>
      </c>
      <c r="B960" t="inlineStr">
        <is>
          <t>JACKET DAMA</t>
        </is>
      </c>
      <c r="C960" t="inlineStr">
        <is>
          <t>Equipamiento / Ropa</t>
        </is>
      </c>
      <c r="D960" t="n">
        <v>13</v>
      </c>
      <c r="E960" t="n">
        <v>890.4356605099999</v>
      </c>
      <c r="F960" t="n">
        <v>0.6973398708307692</v>
      </c>
      <c r="G960" t="n">
        <v>30</v>
      </c>
      <c r="H960" t="n">
        <v>20.25</v>
      </c>
      <c r="I960" t="n">
        <v>1.3</v>
      </c>
      <c r="J960" t="n">
        <v>0</v>
      </c>
      <c r="K960" t="inlineStr"/>
    </row>
    <row r="961">
      <c r="A961" t="inlineStr">
        <is>
          <t>DOMBFCA43TL</t>
        </is>
      </c>
      <c r="B961" t="inlineStr">
        <is>
          <t>DOMINIC BIO MOVE CAB</t>
        </is>
      </c>
      <c r="C961" t="inlineStr">
        <is>
          <t>Manufactura / Caballero / P. Superiores</t>
        </is>
      </c>
      <c r="D961" t="n">
        <v>17</v>
      </c>
      <c r="E961" t="n">
        <v>890.11089162</v>
      </c>
      <c r="F961" t="n">
        <v>0.7902589199866666</v>
      </c>
      <c r="G961" t="n">
        <v>30</v>
      </c>
      <c r="H961" t="n">
        <v>13.86</v>
      </c>
      <c r="I961" t="n">
        <v>1.7</v>
      </c>
      <c r="J961" t="n">
        <v>0</v>
      </c>
      <c r="K961" t="inlineStr"/>
    </row>
    <row r="962">
      <c r="A962" t="inlineStr">
        <is>
          <t>ZOEMIDA34TM</t>
        </is>
      </c>
      <c r="B962" t="inlineStr">
        <is>
          <t>ZOE ORIGINAL DAMA</t>
        </is>
      </c>
      <c r="C962" t="inlineStr">
        <is>
          <t>Manufactura / Dama / P. Superiores</t>
        </is>
      </c>
      <c r="D962" t="n">
        <v>27</v>
      </c>
      <c r="E962" t="n">
        <v>884.48177809</v>
      </c>
      <c r="F962" t="n">
        <v>0.889792182475</v>
      </c>
      <c r="G962" t="n">
        <v>10</v>
      </c>
      <c r="H962" t="n">
        <v>4.116585696</v>
      </c>
      <c r="I962" t="n">
        <v>2.7</v>
      </c>
      <c r="J962" t="n">
        <v>0</v>
      </c>
      <c r="K962" t="inlineStr"/>
    </row>
    <row r="963">
      <c r="A963" t="inlineStr">
        <is>
          <t>POLPLCA12T2XL</t>
        </is>
      </c>
      <c r="B963" t="inlineStr">
        <is>
          <t>CLASSIC POLO</t>
        </is>
      </c>
      <c r="C963" t="inlineStr">
        <is>
          <t>Manufactura / Caballero / P. Superiores</t>
        </is>
      </c>
      <c r="D963" t="n">
        <v>23</v>
      </c>
      <c r="E963" t="n">
        <v>880.02642713</v>
      </c>
      <c r="F963" t="n">
        <v>0.8135003550954546</v>
      </c>
      <c r="G963" t="n">
        <v>0</v>
      </c>
      <c r="H963" t="n">
        <v>7.34</v>
      </c>
      <c r="I963" t="n">
        <v>2.3</v>
      </c>
      <c r="J963" t="n">
        <v>7</v>
      </c>
      <c r="K963" t="inlineStr">
        <is>
          <t>Sin stock</t>
        </is>
      </c>
    </row>
    <row r="964">
      <c r="A964" t="inlineStr">
        <is>
          <t>MARMIKI66T4</t>
        </is>
      </c>
      <c r="B964" t="inlineStr">
        <is>
          <t>MAR ORIGINAL KIDS</t>
        </is>
      </c>
      <c r="C964" t="inlineStr">
        <is>
          <t>Manufactura / Kids / P. Superiores</t>
        </is>
      </c>
      <c r="D964" t="n">
        <v>25</v>
      </c>
      <c r="E964" t="n">
        <v>879.29691422</v>
      </c>
      <c r="F964" t="n">
        <v>0.9072266231068965</v>
      </c>
      <c r="G964" t="n">
        <v>12</v>
      </c>
      <c r="H964" t="n">
        <v>3.168013332</v>
      </c>
      <c r="I964" t="n">
        <v>2.5</v>
      </c>
      <c r="J964" t="n">
        <v>0</v>
      </c>
      <c r="K964" t="inlineStr"/>
    </row>
    <row r="965">
      <c r="A965" t="inlineStr">
        <is>
          <t>SHOSUKI156T14</t>
        </is>
      </c>
      <c r="B965" t="inlineStr">
        <is>
          <t>SHORT PLAYA ESTAMPADO KIDS</t>
        </is>
      </c>
      <c r="C965" t="inlineStr">
        <is>
          <t>Manufactura / Kids / P. Superiores</t>
        </is>
      </c>
      <c r="D965" t="n">
        <v>20</v>
      </c>
      <c r="E965" t="n">
        <v>878.41497178</v>
      </c>
      <c r="F965" t="n">
        <v>0.834497302640909</v>
      </c>
      <c r="G965" t="n">
        <v>30</v>
      </c>
      <c r="H965" t="n">
        <v>7.21</v>
      </c>
      <c r="I965" t="n">
        <v>2</v>
      </c>
      <c r="J965" t="n">
        <v>0</v>
      </c>
      <c r="K965" t="inlineStr"/>
    </row>
    <row r="966">
      <c r="A966" t="inlineStr">
        <is>
          <t>GEMBADA43TM</t>
        </is>
      </c>
      <c r="B966" t="inlineStr">
        <is>
          <t>VESTIDO GEMMA DAMA</t>
        </is>
      </c>
      <c r="C966" t="inlineStr">
        <is>
          <t>Manufactura / Dama / Conjuntos</t>
        </is>
      </c>
      <c r="D966" t="n">
        <v>16</v>
      </c>
      <c r="E966" t="n">
        <v>877.90437676</v>
      </c>
      <c r="F966" t="n">
        <v>0.5570409310944444</v>
      </c>
      <c r="G966" t="n">
        <v>14</v>
      </c>
      <c r="H966" t="n">
        <v>23.99</v>
      </c>
      <c r="I966" t="n">
        <v>1.6</v>
      </c>
      <c r="J966" t="n">
        <v>0</v>
      </c>
      <c r="K966" t="inlineStr"/>
    </row>
    <row r="967">
      <c r="A967" t="inlineStr">
        <is>
          <t>LMOFIDA43TL</t>
        </is>
      </c>
      <c r="B967" t="inlineStr">
        <is>
          <t>LEGGING MOVA</t>
        </is>
      </c>
      <c r="C967" t="inlineStr">
        <is>
          <t>Manufactura / Dama / P. Inferiores</t>
        </is>
      </c>
      <c r="D967" t="n">
        <v>14</v>
      </c>
      <c r="E967" t="n">
        <v>877.55551717</v>
      </c>
      <c r="F967" t="n">
        <v>0.7747126297307693</v>
      </c>
      <c r="G967" t="n">
        <v>4</v>
      </c>
      <c r="H967" t="n">
        <v>17.7</v>
      </c>
      <c r="I967" t="n">
        <v>1.4</v>
      </c>
      <c r="J967" t="n">
        <v>0</v>
      </c>
      <c r="K967" t="inlineStr"/>
    </row>
    <row r="968">
      <c r="A968" t="inlineStr">
        <is>
          <t>TALGTACA12TM</t>
        </is>
      </c>
      <c r="B968" t="inlineStr">
        <is>
          <t>URBAN COTTON OVERSIZED OUTSIDE CAB</t>
        </is>
      </c>
      <c r="C968" t="inlineStr">
        <is>
          <t>Manufactura / Caballero / P. Superiores</t>
        </is>
      </c>
      <c r="D968" t="n">
        <v>20</v>
      </c>
      <c r="E968" t="n">
        <v>876.06248748</v>
      </c>
      <c r="F968" t="n">
        <v>0.7576391437434783</v>
      </c>
      <c r="G968" t="n">
        <v>7</v>
      </c>
      <c r="H968" t="n">
        <v>12.16758159</v>
      </c>
      <c r="I968" t="n">
        <v>2</v>
      </c>
      <c r="J968" t="n">
        <v>2</v>
      </c>
      <c r="K968" t="inlineStr"/>
    </row>
    <row r="969">
      <c r="A969" t="inlineStr">
        <is>
          <t>SHOSUKI156T8</t>
        </is>
      </c>
      <c r="B969" t="inlineStr">
        <is>
          <t>SHORT PLAYA ESTAMPADO KIDS</t>
        </is>
      </c>
      <c r="C969" t="inlineStr">
        <is>
          <t>Manufactura / Kids / P. Superiores</t>
        </is>
      </c>
      <c r="D969" t="n">
        <v>20</v>
      </c>
      <c r="E969" t="n">
        <v>875.96417022</v>
      </c>
      <c r="F969" t="n">
        <v>0.8322635888</v>
      </c>
      <c r="G969" t="n">
        <v>27</v>
      </c>
      <c r="H969" t="n">
        <v>7.210000000000001</v>
      </c>
      <c r="I969" t="n">
        <v>2</v>
      </c>
      <c r="J969" t="n">
        <v>0</v>
      </c>
      <c r="K969" t="inlineStr"/>
    </row>
    <row r="970">
      <c r="A970" t="inlineStr">
        <is>
          <t>MARMIKI66T12</t>
        </is>
      </c>
      <c r="B970" t="inlineStr">
        <is>
          <t>MAR ORIGINAL KIDS</t>
        </is>
      </c>
      <c r="C970" t="inlineStr">
        <is>
          <t>Manufactura / Kids / P. Superiores</t>
        </is>
      </c>
      <c r="D970" t="n">
        <v>24</v>
      </c>
      <c r="E970" t="n">
        <v>875.90568717</v>
      </c>
      <c r="F970" t="n">
        <v>0.9148547312959999</v>
      </c>
      <c r="G970" t="n">
        <v>46</v>
      </c>
      <c r="H970" t="n">
        <v>3.168013332</v>
      </c>
      <c r="I970" t="n">
        <v>2.4</v>
      </c>
      <c r="J970" t="n">
        <v>0</v>
      </c>
      <c r="K970" t="inlineStr"/>
    </row>
    <row r="971">
      <c r="A971" t="inlineStr">
        <is>
          <t>BASCCDA38TM</t>
        </is>
      </c>
      <c r="B971" t="inlineStr">
        <is>
          <t>BASIC LINE SHORT DAMA</t>
        </is>
      </c>
      <c r="C971" t="inlineStr">
        <is>
          <t>Manufactura / Dama / P. Inferiores</t>
        </is>
      </c>
      <c r="D971" t="n">
        <v>22</v>
      </c>
      <c r="E971" t="n">
        <v>874.86359269</v>
      </c>
      <c r="F971" t="n">
        <v>0.874409528275</v>
      </c>
      <c r="G971" t="n">
        <v>49</v>
      </c>
      <c r="H971" t="n">
        <v>6.010000000000001</v>
      </c>
      <c r="I971" t="n">
        <v>2.2</v>
      </c>
      <c r="J971" t="n">
        <v>1</v>
      </c>
      <c r="K971" t="inlineStr"/>
    </row>
    <row r="972">
      <c r="A972" t="inlineStr">
        <is>
          <t>SHUNTDA43TXS</t>
        </is>
      </c>
      <c r="B972" t="inlineStr">
        <is>
          <t>SHORT SPORT R1 DAMA</t>
        </is>
      </c>
      <c r="C972" t="inlineStr">
        <is>
          <t>Manufactura / Dama / P. Inferiores</t>
        </is>
      </c>
      <c r="D972" t="n">
        <v>22</v>
      </c>
      <c r="E972" t="n">
        <v>873.63605727</v>
      </c>
      <c r="F972" t="n">
        <v>0.8323275669555555</v>
      </c>
      <c r="G972" t="n">
        <v>46</v>
      </c>
      <c r="H972" t="n">
        <v>8.33</v>
      </c>
      <c r="I972" t="n">
        <v>2.2</v>
      </c>
      <c r="J972" t="n">
        <v>0</v>
      </c>
      <c r="K972" t="inlineStr"/>
    </row>
    <row r="973">
      <c r="A973" t="inlineStr">
        <is>
          <t>SHONTCA43TM</t>
        </is>
      </c>
      <c r="B973" t="inlineStr">
        <is>
          <t>EXPLORE SHORT CAB</t>
        </is>
      </c>
      <c r="C973" t="inlineStr">
        <is>
          <t>Manufactura / Caballero / P. Inferiores</t>
        </is>
      </c>
      <c r="D973" t="n">
        <v>20</v>
      </c>
      <c r="E973" t="n">
        <v>871.09440866</v>
      </c>
      <c r="F973" t="n">
        <v>0.7635709774789474</v>
      </c>
      <c r="G973" t="n">
        <v>2</v>
      </c>
      <c r="H973" t="n">
        <v>11.17</v>
      </c>
      <c r="I973" t="n">
        <v>2</v>
      </c>
      <c r="J973" t="n">
        <v>0</v>
      </c>
      <c r="K973" t="inlineStr"/>
    </row>
    <row r="974">
      <c r="A974" t="inlineStr">
        <is>
          <t>DAYCSTDA16TXS</t>
        </is>
      </c>
      <c r="B974" t="inlineStr">
        <is>
          <t>CLASICA DAILY 3.0 DAMA</t>
        </is>
      </c>
      <c r="C974" t="inlineStr">
        <is>
          <t>Manufactura / Dama / P. Superiores</t>
        </is>
      </c>
      <c r="D974" t="n">
        <v>26</v>
      </c>
      <c r="E974" t="n">
        <v>870.6134758000001</v>
      </c>
      <c r="F974" t="n">
        <v>0.7745400732100001</v>
      </c>
      <c r="G974" t="n">
        <v>40</v>
      </c>
      <c r="H974" t="n">
        <v>10.28586481</v>
      </c>
      <c r="I974" t="n">
        <v>2.6</v>
      </c>
      <c r="J974" t="n">
        <v>0</v>
      </c>
      <c r="K974" t="inlineStr"/>
    </row>
    <row r="975">
      <c r="A975" t="inlineStr">
        <is>
          <t>MARMIKI13T2</t>
        </is>
      </c>
      <c r="B975" t="inlineStr">
        <is>
          <t>MAR ORIGINAL KIDS</t>
        </is>
      </c>
      <c r="C975" t="inlineStr">
        <is>
          <t>Manufactura / Kids / P. Superiores</t>
        </is>
      </c>
      <c r="D975" t="n">
        <v>24</v>
      </c>
      <c r="E975" t="n">
        <v>869.2875378799999</v>
      </c>
      <c r="F975" t="n">
        <v>0.9085637819826087</v>
      </c>
      <c r="G975" t="n">
        <v>29</v>
      </c>
      <c r="H975" t="n">
        <v>3.168013332000001</v>
      </c>
      <c r="I975" t="n">
        <v>2.4</v>
      </c>
      <c r="J975" t="n">
        <v>0</v>
      </c>
      <c r="K975" t="inlineStr"/>
    </row>
    <row r="976">
      <c r="A976" t="inlineStr">
        <is>
          <t>MIKFNDA13TS</t>
        </is>
      </c>
      <c r="B976" t="inlineStr">
        <is>
          <t>MIKA SPORT LITE DAMA</t>
        </is>
      </c>
      <c r="C976" t="inlineStr">
        <is>
          <t>Manufactura / Dama / P. Superiores</t>
        </is>
      </c>
      <c r="D976" t="n">
        <v>27</v>
      </c>
      <c r="E976" t="n">
        <v>867.5099994</v>
      </c>
      <c r="F976" t="n">
        <v>0.8565090842347827</v>
      </c>
      <c r="G976" t="n">
        <v>28</v>
      </c>
      <c r="H976" t="n">
        <v>5.484675344</v>
      </c>
      <c r="I976" t="n">
        <v>2.7</v>
      </c>
      <c r="J976" t="n">
        <v>1</v>
      </c>
      <c r="K976" t="inlineStr"/>
    </row>
    <row r="977">
      <c r="A977" t="inlineStr">
        <is>
          <t>CAP01MC</t>
        </is>
      </c>
      <c r="B977" t="inlineStr">
        <is>
          <t>MESH CAP</t>
        </is>
      </c>
      <c r="C977" t="inlineStr">
        <is>
          <t>Equipamiento / Gorras</t>
        </is>
      </c>
      <c r="D977" t="n">
        <v>31</v>
      </c>
      <c r="E977" t="n">
        <v>866.93427668</v>
      </c>
      <c r="F977" t="n">
        <v>0.8807728552575758</v>
      </c>
      <c r="G977" t="n">
        <v>0</v>
      </c>
      <c r="H977" t="n">
        <v>3.36</v>
      </c>
      <c r="I977" t="n">
        <v>3.1</v>
      </c>
      <c r="J977" t="n">
        <v>1</v>
      </c>
      <c r="K977" t="inlineStr">
        <is>
          <t>Sin stock</t>
        </is>
      </c>
    </row>
    <row r="978">
      <c r="A978" t="inlineStr">
        <is>
          <t>SARSPDA16TL</t>
        </is>
      </c>
      <c r="B978" t="inlineStr">
        <is>
          <t>FALDA SARA DAMA</t>
        </is>
      </c>
      <c r="C978" t="inlineStr">
        <is>
          <t>Manufactura / Dama / P. Inferiores</t>
        </is>
      </c>
      <c r="D978" t="n">
        <v>21</v>
      </c>
      <c r="E978" t="n">
        <v>866.36245869</v>
      </c>
      <c r="F978" t="n">
        <v>0.7738838312249999</v>
      </c>
      <c r="G978" t="n">
        <v>31</v>
      </c>
      <c r="H978" t="n">
        <v>9.500113852</v>
      </c>
      <c r="I978" t="n">
        <v>2.1</v>
      </c>
      <c r="J978" t="n">
        <v>1</v>
      </c>
      <c r="K978" t="inlineStr"/>
    </row>
    <row r="979">
      <c r="A979" t="inlineStr">
        <is>
          <t>BAOCCCA38TXS</t>
        </is>
      </c>
      <c r="B979" t="inlineStr">
        <is>
          <t>BASIC LINE OVERSIZED CAB</t>
        </is>
      </c>
      <c r="C979" t="inlineStr">
        <is>
          <t>Manufactura / Caballero / P. Superiores</t>
        </is>
      </c>
      <c r="D979" t="n">
        <v>13</v>
      </c>
      <c r="E979" t="n">
        <v>863.52597759</v>
      </c>
      <c r="F979" t="n">
        <v>0.868583765025</v>
      </c>
      <c r="G979" t="n">
        <v>33</v>
      </c>
      <c r="H979" t="n">
        <v>9.336740741</v>
      </c>
      <c r="I979" t="n">
        <v>1.3</v>
      </c>
      <c r="J979" t="n">
        <v>1</v>
      </c>
      <c r="K979" t="inlineStr"/>
    </row>
    <row r="980">
      <c r="A980" t="inlineStr">
        <is>
          <t>NAHFNCA16TS</t>
        </is>
      </c>
      <c r="B980" t="inlineStr">
        <is>
          <t>NOAH SPORT LITE CAB</t>
        </is>
      </c>
      <c r="C980" t="inlineStr">
        <is>
          <t>Manufactura / Caballero / P. Superiores</t>
        </is>
      </c>
      <c r="D980" t="n">
        <v>29</v>
      </c>
      <c r="E980" t="n">
        <v>863.0200224</v>
      </c>
      <c r="F980" t="n">
        <v>0.4880763382304348</v>
      </c>
      <c r="G980" t="n">
        <v>10</v>
      </c>
      <c r="H980" t="n">
        <v>17.61141534</v>
      </c>
      <c r="I980" t="n">
        <v>2.9</v>
      </c>
      <c r="J980" t="n">
        <v>1</v>
      </c>
      <c r="K980" t="inlineStr"/>
    </row>
    <row r="981">
      <c r="A981" t="inlineStr">
        <is>
          <t>HELBFDA43TS</t>
        </is>
      </c>
      <c r="B981" t="inlineStr">
        <is>
          <t>HELEN BIO MOVE DAMA</t>
        </is>
      </c>
      <c r="C981" t="inlineStr">
        <is>
          <t>Manufactura / Dama / P. Superiores</t>
        </is>
      </c>
      <c r="D981" t="n">
        <v>14</v>
      </c>
      <c r="E981" t="n">
        <v>859.4741984</v>
      </c>
      <c r="F981" t="n">
        <v>0.8845842733307693</v>
      </c>
      <c r="G981" t="n">
        <v>9</v>
      </c>
      <c r="H981" t="n">
        <v>7.340817460000001</v>
      </c>
      <c r="I981" t="n">
        <v>1.4</v>
      </c>
      <c r="J981" t="n">
        <v>0</v>
      </c>
      <c r="K981" t="inlineStr"/>
    </row>
    <row r="982">
      <c r="A982" t="inlineStr">
        <is>
          <t>RIOMIKI34T14</t>
        </is>
      </c>
      <c r="B982" t="inlineStr">
        <is>
          <t>RIO ORIGINAL KIDS</t>
        </is>
      </c>
      <c r="C982" t="inlineStr">
        <is>
          <t>Manufactura / Kids / P. Superiores</t>
        </is>
      </c>
      <c r="D982" t="n">
        <v>21</v>
      </c>
      <c r="E982" t="n">
        <v>859.36992078</v>
      </c>
      <c r="F982" t="n">
        <v>0.906865057505</v>
      </c>
      <c r="G982" t="n">
        <v>38</v>
      </c>
      <c r="H982" t="n">
        <v>3.617969464</v>
      </c>
      <c r="I982" t="n">
        <v>2.1</v>
      </c>
      <c r="J982" t="n">
        <v>2</v>
      </c>
      <c r="K982" t="inlineStr"/>
    </row>
    <row r="983">
      <c r="A983" t="inlineStr">
        <is>
          <t>JAPKI35T2</t>
        </is>
      </c>
      <c r="B983" t="inlineStr">
        <is>
          <t>CUADRO JACKET 2.0 KIDS</t>
        </is>
      </c>
      <c r="C983" t="inlineStr">
        <is>
          <t>Equipamiento / Ropa</t>
        </is>
      </c>
      <c r="D983" t="n">
        <v>15</v>
      </c>
      <c r="E983" t="n">
        <v>857.88399434</v>
      </c>
      <c r="F983" t="n">
        <v>0.7623076854769231</v>
      </c>
      <c r="G983" t="n">
        <v>26</v>
      </c>
      <c r="H983" t="n">
        <v>15.17</v>
      </c>
      <c r="I983" t="n">
        <v>1.5</v>
      </c>
      <c r="J983" t="n">
        <v>0</v>
      </c>
      <c r="K983" t="inlineStr"/>
    </row>
    <row r="984">
      <c r="A984" t="inlineStr">
        <is>
          <t>RIOMIKI34T6</t>
        </is>
      </c>
      <c r="B984" t="inlineStr">
        <is>
          <t>RIO ORIGINAL KIDS</t>
        </is>
      </c>
      <c r="C984" t="inlineStr">
        <is>
          <t>Manufactura / Kids / P. Superiores</t>
        </is>
      </c>
      <c r="D984" t="n">
        <v>21</v>
      </c>
      <c r="E984" t="n">
        <v>857.46911133</v>
      </c>
      <c r="F984" t="n">
        <v>0.9135638748850001</v>
      </c>
      <c r="G984" t="n">
        <v>19</v>
      </c>
      <c r="H984" t="n">
        <v>3.617969464</v>
      </c>
      <c r="I984" t="n">
        <v>2.1</v>
      </c>
      <c r="J984" t="n">
        <v>0</v>
      </c>
      <c r="K984" t="inlineStr"/>
    </row>
    <row r="985">
      <c r="A985" t="inlineStr">
        <is>
          <t>RIOMIDA48TM</t>
        </is>
      </c>
      <c r="B985" t="inlineStr">
        <is>
          <t>RIO ORIGINAL DAMA</t>
        </is>
      </c>
      <c r="C985" t="inlineStr">
        <is>
          <t>Manufactura / Dama / P. Superiores</t>
        </is>
      </c>
      <c r="D985" t="n">
        <v>16</v>
      </c>
      <c r="E985" t="n">
        <v>857.15200769</v>
      </c>
      <c r="F985" t="n">
        <v>0.89470692296875</v>
      </c>
      <c r="G985" t="n">
        <v>33</v>
      </c>
      <c r="H985" t="n">
        <v>5.538832275</v>
      </c>
      <c r="I985" t="n">
        <v>1.6</v>
      </c>
      <c r="J985" t="n">
        <v>0</v>
      </c>
      <c r="K985" t="inlineStr"/>
    </row>
    <row r="986">
      <c r="A986" t="inlineStr">
        <is>
          <t>PANNTKI43T12</t>
        </is>
      </c>
      <c r="B986" t="inlineStr">
        <is>
          <t>EXPLORE PANTS KIDS</t>
        </is>
      </c>
      <c r="C986" t="inlineStr">
        <is>
          <t>Manufactura / Kids / P. Inferiores</t>
        </is>
      </c>
      <c r="D986" t="n">
        <v>17</v>
      </c>
      <c r="E986" t="n">
        <v>856.4046153099999</v>
      </c>
      <c r="F986" t="n">
        <v>0.7287787507833333</v>
      </c>
      <c r="G986" t="n">
        <v>10</v>
      </c>
      <c r="H986" t="n">
        <v>13.98</v>
      </c>
      <c r="I986" t="n">
        <v>1.7</v>
      </c>
      <c r="J986" t="n">
        <v>0</v>
      </c>
      <c r="K986" t="inlineStr"/>
    </row>
    <row r="987">
      <c r="A987" t="inlineStr">
        <is>
          <t>NAHFNCA13TL</t>
        </is>
      </c>
      <c r="B987" t="inlineStr">
        <is>
          <t>NOAH SPORT LITE CAB</t>
        </is>
      </c>
      <c r="C987" t="inlineStr">
        <is>
          <t>Manufactura / Caballero / P. Superiores</t>
        </is>
      </c>
      <c r="D987" t="n">
        <v>31</v>
      </c>
      <c r="E987" t="n">
        <v>853.73144618</v>
      </c>
      <c r="F987" t="n">
        <v>0.5237527269461538</v>
      </c>
      <c r="G987" t="n">
        <v>3</v>
      </c>
      <c r="H987" t="n">
        <v>17.61141534</v>
      </c>
      <c r="I987" t="n">
        <v>3.1</v>
      </c>
      <c r="J987" t="n">
        <v>0</v>
      </c>
      <c r="K987" t="inlineStr"/>
    </row>
    <row r="988">
      <c r="A988" t="inlineStr">
        <is>
          <t>SARSPKI43T12</t>
        </is>
      </c>
      <c r="B988" t="inlineStr">
        <is>
          <t>FALDA SARA KIDS</t>
        </is>
      </c>
      <c r="C988" t="inlineStr">
        <is>
          <t>Manufactura / Kids / P. Inferiores</t>
        </is>
      </c>
      <c r="D988" t="n">
        <v>20</v>
      </c>
      <c r="E988" t="n">
        <v>850.85432108</v>
      </c>
      <c r="F988" t="n">
        <v>0.84523916503</v>
      </c>
      <c r="G988" t="n">
        <v>13</v>
      </c>
      <c r="H988" t="n">
        <v>5.753743316</v>
      </c>
      <c r="I988" t="n">
        <v>2</v>
      </c>
      <c r="J988" t="n">
        <v>1</v>
      </c>
      <c r="K988" t="inlineStr"/>
    </row>
    <row r="989">
      <c r="A989" t="inlineStr">
        <is>
          <t>BAPCCDA184TXL</t>
        </is>
      </c>
      <c r="B989" t="inlineStr">
        <is>
          <t>BASIC LINE PANT DAMA</t>
        </is>
      </c>
      <c r="C989" t="inlineStr">
        <is>
          <t>Manufactura / Dama / P. Inferiores</t>
        </is>
      </c>
      <c r="D989" t="n">
        <v>12</v>
      </c>
      <c r="E989" t="n">
        <v>850.44996081</v>
      </c>
      <c r="F989" t="n">
        <v>0.8397813903000001</v>
      </c>
      <c r="G989" t="n">
        <v>18</v>
      </c>
      <c r="H989" t="n">
        <v>11.2</v>
      </c>
      <c r="I989" t="n">
        <v>1.2</v>
      </c>
      <c r="J989" t="n">
        <v>0</v>
      </c>
      <c r="K989" t="inlineStr"/>
    </row>
    <row r="990">
      <c r="A990" t="inlineStr">
        <is>
          <t>TMOFIDA12TM</t>
        </is>
      </c>
      <c r="B990" t="inlineStr">
        <is>
          <t>TOP MOVA</t>
        </is>
      </c>
      <c r="C990" t="inlineStr">
        <is>
          <t>Manufactura / Dama / P. Superiores</t>
        </is>
      </c>
      <c r="D990" t="n">
        <v>22</v>
      </c>
      <c r="E990" t="n">
        <v>850.2479746399999</v>
      </c>
      <c r="F990" t="n">
        <v>0.8089392664</v>
      </c>
      <c r="G990" t="n">
        <v>10</v>
      </c>
      <c r="H990" t="n">
        <v>9.942967033</v>
      </c>
      <c r="I990" t="n">
        <v>2.2</v>
      </c>
      <c r="J990" t="n">
        <v>0</v>
      </c>
      <c r="K990" t="inlineStr"/>
    </row>
    <row r="991">
      <c r="A991" t="inlineStr">
        <is>
          <t>MARMIKI70T2</t>
        </is>
      </c>
      <c r="B991" t="inlineStr">
        <is>
          <t>MAR ORIGINAL KIDS</t>
        </is>
      </c>
      <c r="C991" t="inlineStr">
        <is>
          <t>Manufactura / Kids / P. Superiores</t>
        </is>
      </c>
      <c r="D991" t="n">
        <v>22</v>
      </c>
      <c r="E991" t="n">
        <v>849.9628751400001</v>
      </c>
      <c r="F991" t="n">
        <v>0.9162025304304349</v>
      </c>
      <c r="G991" t="n">
        <v>11</v>
      </c>
      <c r="H991" t="n">
        <v>3.168013332000001</v>
      </c>
      <c r="I991" t="n">
        <v>2.2</v>
      </c>
      <c r="J991" t="n">
        <v>0</v>
      </c>
      <c r="K991" t="inlineStr"/>
    </row>
    <row r="992">
      <c r="A992" t="inlineStr">
        <is>
          <t>SHOUNCA57TM</t>
        </is>
      </c>
      <c r="B992" t="inlineStr">
        <is>
          <t>SHORT PLAYA CAB</t>
        </is>
      </c>
      <c r="C992" t="inlineStr">
        <is>
          <t>Manufactura / Caballero / P. Inferiores</t>
        </is>
      </c>
      <c r="D992" t="n">
        <v>19</v>
      </c>
      <c r="E992" t="n">
        <v>849.66890495</v>
      </c>
      <c r="F992" t="n">
        <v>0.7729759174190476</v>
      </c>
      <c r="G992" t="n">
        <v>0</v>
      </c>
      <c r="H992" t="n">
        <v>9.99</v>
      </c>
      <c r="I992" t="n">
        <v>1.9</v>
      </c>
      <c r="J992" t="n">
        <v>4</v>
      </c>
      <c r="K992" t="inlineStr">
        <is>
          <t>Sin stock</t>
        </is>
      </c>
    </row>
    <row r="993">
      <c r="A993" t="inlineStr">
        <is>
          <t>MAFMIDA16TXS</t>
        </is>
      </c>
      <c r="B993" t="inlineStr">
        <is>
          <t>MAFE ORIGINAL DAMA</t>
        </is>
      </c>
      <c r="C993" t="inlineStr">
        <is>
          <t>Manufactura / Dama / P. Superiores</t>
        </is>
      </c>
      <c r="D993" t="n">
        <v>33</v>
      </c>
      <c r="E993" t="n">
        <v>849.19706377</v>
      </c>
      <c r="F993" t="n">
        <v>0.8343036332214285</v>
      </c>
      <c r="G993" t="n">
        <v>51</v>
      </c>
      <c r="H993" t="n">
        <v>4.548176709999999</v>
      </c>
      <c r="I993" t="n">
        <v>3.3</v>
      </c>
      <c r="J993" t="n">
        <v>2</v>
      </c>
      <c r="K993" t="inlineStr"/>
    </row>
    <row r="994">
      <c r="A994" t="inlineStr">
        <is>
          <t>MAFMIDA43TL</t>
        </is>
      </c>
      <c r="B994" t="inlineStr">
        <is>
          <t>MAFE ORIGINAL DAMA</t>
        </is>
      </c>
      <c r="C994" t="inlineStr">
        <is>
          <t>Manufactura / Dama / P. Superiores</t>
        </is>
      </c>
      <c r="D994" t="n">
        <v>27</v>
      </c>
      <c r="E994" t="n">
        <v>843.65140468</v>
      </c>
      <c r="F994" t="n">
        <v>0.8512530435185185</v>
      </c>
      <c r="G994" t="n">
        <v>36</v>
      </c>
      <c r="H994" t="n">
        <v>4.54817671</v>
      </c>
      <c r="I994" t="n">
        <v>2.7</v>
      </c>
      <c r="J994" t="n">
        <v>0</v>
      </c>
      <c r="K994" t="inlineStr"/>
    </row>
    <row r="995">
      <c r="A995" t="inlineStr">
        <is>
          <t>JAPKI01T8</t>
        </is>
      </c>
      <c r="B995" t="inlineStr">
        <is>
          <t>CUADRO JACKET 2.0 KIDS</t>
        </is>
      </c>
      <c r="C995" t="inlineStr">
        <is>
          <t>Equipamiento / Ropa</t>
        </is>
      </c>
      <c r="D995" t="n">
        <v>15</v>
      </c>
      <c r="E995" t="n">
        <v>841.6650899699999</v>
      </c>
      <c r="F995" t="n">
        <v>0.7594068483846155</v>
      </c>
      <c r="G995" t="n">
        <v>85</v>
      </c>
      <c r="H995" t="n">
        <v>15.17</v>
      </c>
      <c r="I995" t="n">
        <v>1.5</v>
      </c>
      <c r="J995" t="n">
        <v>0</v>
      </c>
      <c r="K995" t="inlineStr"/>
    </row>
    <row r="996">
      <c r="A996" t="inlineStr">
        <is>
          <t>CUTAG86</t>
        </is>
      </c>
      <c r="B996" t="inlineStr">
        <is>
          <t>CUADRO TAG</t>
        </is>
      </c>
      <c r="C996" t="inlineStr">
        <is>
          <t>Equipamiento / Accesorios</t>
        </is>
      </c>
      <c r="D996" t="n">
        <v>128</v>
      </c>
      <c r="E996" t="n">
        <v>840.742878098</v>
      </c>
      <c r="F996" t="n">
        <v>0.9173983593609756</v>
      </c>
      <c r="G996" t="n">
        <v>205</v>
      </c>
      <c r="H996" t="n">
        <v>0.8100000000000001</v>
      </c>
      <c r="I996" t="n">
        <v>12.8</v>
      </c>
      <c r="J996" t="n">
        <v>0</v>
      </c>
      <c r="K996" t="inlineStr"/>
    </row>
    <row r="997">
      <c r="A997" t="inlineStr">
        <is>
          <t>JACKI47T2</t>
        </is>
      </c>
      <c r="B997" t="inlineStr">
        <is>
          <t>JACKET KIDS</t>
        </is>
      </c>
      <c r="C997" t="inlineStr">
        <is>
          <t>Manufactura / Kids / P. Superiores</t>
        </is>
      </c>
      <c r="D997" t="n">
        <v>17</v>
      </c>
      <c r="E997" t="n">
        <v>835.0316980600001</v>
      </c>
      <c r="F997" t="n">
        <v>0.7074332261777777</v>
      </c>
      <c r="G997" t="n">
        <v>28</v>
      </c>
      <c r="H997" t="n">
        <v>15.17</v>
      </c>
      <c r="I997" t="n">
        <v>1.7</v>
      </c>
      <c r="J997" t="n">
        <v>0</v>
      </c>
      <c r="K997" t="inlineStr"/>
    </row>
    <row r="998">
      <c r="A998" t="inlineStr">
        <is>
          <t>SHUNTCA157T2XL</t>
        </is>
      </c>
      <c r="B998" t="inlineStr">
        <is>
          <t>SHORT SPORT R1 CAB</t>
        </is>
      </c>
      <c r="C998" t="inlineStr">
        <is>
          <t>Manufactura / Caballero / P. Inferiores</t>
        </is>
      </c>
      <c r="D998" t="n">
        <v>17</v>
      </c>
      <c r="E998" t="n">
        <v>831.47673588</v>
      </c>
      <c r="F998" t="n">
        <v>0.8091740116235294</v>
      </c>
      <c r="G998" t="n">
        <v>13</v>
      </c>
      <c r="H998" t="n">
        <v>9.119999999999999</v>
      </c>
      <c r="I998" t="n">
        <v>1.7</v>
      </c>
      <c r="J998" t="n">
        <v>0</v>
      </c>
      <c r="K998" t="inlineStr"/>
    </row>
    <row r="999">
      <c r="A999" t="inlineStr">
        <is>
          <t>JACKI01T4</t>
        </is>
      </c>
      <c r="B999" t="inlineStr">
        <is>
          <t>JACKET KIDS</t>
        </is>
      </c>
      <c r="C999" t="inlineStr">
        <is>
          <t>Manufactura / Kids / P. Superiores</t>
        </is>
      </c>
      <c r="D999" t="n">
        <v>17</v>
      </c>
      <c r="E999" t="n">
        <v>830.5215965699999</v>
      </c>
      <c r="F999" t="n">
        <v>0.7084080800411765</v>
      </c>
      <c r="G999" t="n">
        <v>59</v>
      </c>
      <c r="H999" t="n">
        <v>15.17</v>
      </c>
      <c r="I999" t="n">
        <v>1.7</v>
      </c>
      <c r="J999" t="n">
        <v>0</v>
      </c>
      <c r="K999" t="inlineStr"/>
    </row>
    <row r="1000">
      <c r="A1000" t="inlineStr">
        <is>
          <t>ZOEMIDA43TS</t>
        </is>
      </c>
      <c r="B1000" t="inlineStr">
        <is>
          <t>ZOE ORIGINAL DAMA</t>
        </is>
      </c>
      <c r="C1000" t="inlineStr">
        <is>
          <t>Manufactura / Dama / P. Superiores</t>
        </is>
      </c>
      <c r="D1000" t="n">
        <v>36</v>
      </c>
      <c r="E1000" t="n">
        <v>830.42979398</v>
      </c>
      <c r="F1000" t="n">
        <v>0.8917175185136365</v>
      </c>
      <c r="G1000" t="n">
        <v>9</v>
      </c>
      <c r="H1000" t="n">
        <v>4.116585696</v>
      </c>
      <c r="I1000" t="n">
        <v>3.6</v>
      </c>
      <c r="J1000" t="n">
        <v>0</v>
      </c>
      <c r="K1000" t="inlineStr"/>
    </row>
    <row r="1001">
      <c r="A1001" t="inlineStr">
        <is>
          <t>CLAMEDA30TS</t>
        </is>
      </c>
      <c r="B1001" t="inlineStr">
        <is>
          <t>CLÁSICA SPORT DAMA</t>
        </is>
      </c>
      <c r="C1001" t="inlineStr">
        <is>
          <t>Manufactura / Dama / P. Superiores</t>
        </is>
      </c>
      <c r="D1001" t="n">
        <v>19</v>
      </c>
      <c r="E1001" t="n">
        <v>829.98083622</v>
      </c>
      <c r="F1001" t="n">
        <v>0.87007602095625</v>
      </c>
      <c r="G1001" t="n">
        <v>8</v>
      </c>
      <c r="H1001" t="n">
        <v>6.536105769000001</v>
      </c>
      <c r="I1001" t="n">
        <v>1.9</v>
      </c>
      <c r="J1001" t="n">
        <v>0</v>
      </c>
      <c r="K1001" t="inlineStr"/>
    </row>
    <row r="1002">
      <c r="A1002" t="inlineStr">
        <is>
          <t>GEMBADA39TXS</t>
        </is>
      </c>
      <c r="B1002" t="inlineStr">
        <is>
          <t>VESTIDO GEMMA DAMA</t>
        </is>
      </c>
      <c r="C1002" t="inlineStr">
        <is>
          <t>Manufactura / Dama / Conjuntos</t>
        </is>
      </c>
      <c r="D1002" t="n">
        <v>17</v>
      </c>
      <c r="E1002" t="n">
        <v>829.96578297</v>
      </c>
      <c r="F1002" t="n">
        <v>0.5171207232555556</v>
      </c>
      <c r="G1002" t="n">
        <v>8</v>
      </c>
      <c r="H1002" t="n">
        <v>23.99</v>
      </c>
      <c r="I1002" t="n">
        <v>1.7</v>
      </c>
      <c r="J1002" t="n">
        <v>0</v>
      </c>
      <c r="K1002" t="inlineStr"/>
    </row>
    <row r="1003">
      <c r="A1003" t="inlineStr">
        <is>
          <t>GEODOCACA43TXL</t>
        </is>
      </c>
      <c r="B1003" t="inlineStr">
        <is>
          <t>ADVANCE GEO DOMINIC CAB</t>
        </is>
      </c>
      <c r="C1003" t="inlineStr">
        <is>
          <t>Manufactura / Caballero / P. Superiores</t>
        </is>
      </c>
      <c r="D1003" t="n">
        <v>14</v>
      </c>
      <c r="E1003" t="n">
        <v>829.45824793</v>
      </c>
      <c r="F1003" t="n">
        <v>0.80399117455</v>
      </c>
      <c r="G1003" t="n">
        <v>20</v>
      </c>
      <c r="H1003" t="n">
        <v>13.35</v>
      </c>
      <c r="I1003" t="n">
        <v>1.4</v>
      </c>
      <c r="J1003" t="n">
        <v>0</v>
      </c>
      <c r="K1003" t="inlineStr"/>
    </row>
    <row r="1004">
      <c r="A1004" t="inlineStr">
        <is>
          <t>RIOMIDA30TXL</t>
        </is>
      </c>
      <c r="B1004" t="inlineStr">
        <is>
          <t>RIO ORIGINAL DAMA</t>
        </is>
      </c>
      <c r="C1004" t="inlineStr">
        <is>
          <t>Manufactura / Dama / P. Superiores</t>
        </is>
      </c>
      <c r="D1004" t="n">
        <v>14</v>
      </c>
      <c r="E1004" t="n">
        <v>825.68927275</v>
      </c>
      <c r="F1004" t="n">
        <v>0.9020619392384616</v>
      </c>
      <c r="G1004" t="n">
        <v>5</v>
      </c>
      <c r="H1004" t="n">
        <v>5.538832275</v>
      </c>
      <c r="I1004" t="n">
        <v>1.4</v>
      </c>
      <c r="J1004" t="n">
        <v>2</v>
      </c>
      <c r="K1004" t="inlineStr"/>
    </row>
    <row r="1005">
      <c r="A1005" t="inlineStr">
        <is>
          <t>MIKFNDA10TL</t>
        </is>
      </c>
      <c r="B1005" t="inlineStr">
        <is>
          <t>MIKA SPORT LITE DAMA</t>
        </is>
      </c>
      <c r="C1005" t="inlineStr">
        <is>
          <t>Manufactura / Dama / P. Superiores</t>
        </is>
      </c>
      <c r="D1005" t="n">
        <v>24</v>
      </c>
      <c r="E1005" t="n">
        <v>824.75775917</v>
      </c>
      <c r="F1005" t="n">
        <v>0.8362169324818182</v>
      </c>
      <c r="G1005" t="n">
        <v>2</v>
      </c>
      <c r="H1005" t="n">
        <v>5.484675344</v>
      </c>
      <c r="I1005" t="n">
        <v>2.4</v>
      </c>
      <c r="J1005" t="n">
        <v>0</v>
      </c>
      <c r="K1005" t="inlineStr"/>
    </row>
    <row r="1006">
      <c r="A1006" t="inlineStr">
        <is>
          <t>JACKI43T6</t>
        </is>
      </c>
      <c r="B1006" t="inlineStr">
        <is>
          <t>JACKET KIDS</t>
        </is>
      </c>
      <c r="C1006" t="inlineStr">
        <is>
          <t>Manufactura / Kids / P. Superiores</t>
        </is>
      </c>
      <c r="D1006" t="n">
        <v>15</v>
      </c>
      <c r="E1006" t="n">
        <v>824.45601562</v>
      </c>
      <c r="F1006" t="n">
        <v>0.7227943924588236</v>
      </c>
      <c r="G1006" t="n">
        <v>149</v>
      </c>
      <c r="H1006" t="n">
        <v>15.17</v>
      </c>
      <c r="I1006" t="n">
        <v>1.5</v>
      </c>
      <c r="J1006" t="n">
        <v>1</v>
      </c>
      <c r="K1006" t="inlineStr"/>
    </row>
    <row r="1007">
      <c r="A1007" t="inlineStr">
        <is>
          <t>MARMIDA53TXL</t>
        </is>
      </c>
      <c r="B1007" t="inlineStr">
        <is>
          <t>MAR ORIGINAL DAMA</t>
        </is>
      </c>
      <c r="C1007" t="inlineStr">
        <is>
          <t>Manufactura / Dama / P. Superiores</t>
        </is>
      </c>
      <c r="D1007" t="n">
        <v>18</v>
      </c>
      <c r="E1007" t="n">
        <v>824.15031895</v>
      </c>
      <c r="F1007" t="n">
        <v>0.8980761121833333</v>
      </c>
      <c r="G1007" t="n">
        <v>39</v>
      </c>
      <c r="H1007" t="n">
        <v>4.278324149</v>
      </c>
      <c r="I1007" t="n">
        <v>1.8</v>
      </c>
      <c r="J1007" t="n">
        <v>2</v>
      </c>
      <c r="K1007" t="inlineStr"/>
    </row>
    <row r="1008">
      <c r="A1008" t="inlineStr">
        <is>
          <t>SHUNTCA43TXL</t>
        </is>
      </c>
      <c r="B1008" t="inlineStr">
        <is>
          <t>SHORT SPORT R1 CAB</t>
        </is>
      </c>
      <c r="C1008" t="inlineStr">
        <is>
          <t>Manufactura / Caballero / P. Inferiores</t>
        </is>
      </c>
      <c r="D1008" t="n">
        <v>16</v>
      </c>
      <c r="E1008" t="n">
        <v>823.79340357</v>
      </c>
      <c r="F1008" t="n">
        <v>0.8129345766619047</v>
      </c>
      <c r="G1008" t="n">
        <v>14</v>
      </c>
      <c r="H1008" t="n">
        <v>9.119999999999999</v>
      </c>
      <c r="I1008" t="n">
        <v>1.6</v>
      </c>
      <c r="J1008" t="n">
        <v>0</v>
      </c>
      <c r="K1008" t="inlineStr"/>
    </row>
    <row r="1009">
      <c r="A1009" t="inlineStr">
        <is>
          <t>JAPKI01T10</t>
        </is>
      </c>
      <c r="B1009" t="inlineStr">
        <is>
          <t>CUADRO JACKET 2.0 KIDS</t>
        </is>
      </c>
      <c r="C1009" t="inlineStr">
        <is>
          <t>Equipamiento / Ropa</t>
        </is>
      </c>
      <c r="D1009" t="n">
        <v>15</v>
      </c>
      <c r="E1009" t="n">
        <v>821.75631264</v>
      </c>
      <c r="F1009" t="n">
        <v>0.7464419972538461</v>
      </c>
      <c r="G1009" t="n">
        <v>45</v>
      </c>
      <c r="H1009" t="n">
        <v>15.17</v>
      </c>
      <c r="I1009" t="n">
        <v>1.5</v>
      </c>
      <c r="J1009" t="n">
        <v>0</v>
      </c>
      <c r="K1009" t="inlineStr"/>
    </row>
    <row r="1010">
      <c r="A1010" t="inlineStr">
        <is>
          <t>SARSPDA16TXS</t>
        </is>
      </c>
      <c r="B1010" t="inlineStr">
        <is>
          <t>FALDA SARA DAMA</t>
        </is>
      </c>
      <c r="C1010" t="inlineStr">
        <is>
          <t>Manufactura / Dama / P. Inferiores</t>
        </is>
      </c>
      <c r="D1010" t="n">
        <v>21</v>
      </c>
      <c r="E1010" t="n">
        <v>821.02386624</v>
      </c>
      <c r="F1010" t="n">
        <v>0.7983797437</v>
      </c>
      <c r="G1010" t="n">
        <v>24</v>
      </c>
      <c r="H1010" t="n">
        <v>9.500113852</v>
      </c>
      <c r="I1010" t="n">
        <v>2.1</v>
      </c>
      <c r="J1010" t="n">
        <v>0</v>
      </c>
      <c r="K1010" t="inlineStr"/>
    </row>
    <row r="1011">
      <c r="A1011" t="inlineStr">
        <is>
          <t>POLPLCA50TL</t>
        </is>
      </c>
      <c r="B1011" t="inlineStr">
        <is>
          <t>CLASSIC POLO</t>
        </is>
      </c>
      <c r="C1011" t="inlineStr">
        <is>
          <t>Manufactura / Caballero / P. Superiores</t>
        </is>
      </c>
      <c r="D1011" t="n">
        <v>19</v>
      </c>
      <c r="E1011" t="n">
        <v>820.70092554</v>
      </c>
      <c r="F1011" t="n">
        <v>0.8223994441388889</v>
      </c>
      <c r="G1011" t="n">
        <v>63</v>
      </c>
      <c r="H1011" t="n">
        <v>7.34</v>
      </c>
      <c r="I1011" t="n">
        <v>1.9</v>
      </c>
      <c r="J1011" t="n">
        <v>0</v>
      </c>
      <c r="K1011" t="inlineStr"/>
    </row>
    <row r="1012">
      <c r="A1012" t="inlineStr">
        <is>
          <t>RIOMIDA34TL</t>
        </is>
      </c>
      <c r="B1012" t="inlineStr">
        <is>
          <t>RIO ORIGINAL DAMA</t>
        </is>
      </c>
      <c r="C1012" t="inlineStr">
        <is>
          <t>Manufactura / Dama / P. Superiores</t>
        </is>
      </c>
      <c r="D1012" t="n">
        <v>16</v>
      </c>
      <c r="E1012" t="n">
        <v>820.61965682</v>
      </c>
      <c r="F1012" t="n">
        <v>0.8893912595882353</v>
      </c>
      <c r="G1012" t="n">
        <v>33</v>
      </c>
      <c r="H1012" t="n">
        <v>5.538832275</v>
      </c>
      <c r="I1012" t="n">
        <v>1.6</v>
      </c>
      <c r="J1012" t="n">
        <v>1</v>
      </c>
      <c r="K1012" t="inlineStr"/>
    </row>
    <row r="1013">
      <c r="A1013" t="inlineStr">
        <is>
          <t>POLPLCA50T2XL</t>
        </is>
      </c>
      <c r="B1013" t="inlineStr">
        <is>
          <t>CLASSIC POLO</t>
        </is>
      </c>
      <c r="C1013" t="inlineStr">
        <is>
          <t>Manufactura / Caballero / P. Superiores</t>
        </is>
      </c>
      <c r="D1013" t="n">
        <v>17</v>
      </c>
      <c r="E1013" t="n">
        <v>820.38856464</v>
      </c>
      <c r="F1013" t="n">
        <v>0.8459700487263158</v>
      </c>
      <c r="G1013" t="n">
        <v>16</v>
      </c>
      <c r="H1013" t="n">
        <v>7.340000000000001</v>
      </c>
      <c r="I1013" t="n">
        <v>1.7</v>
      </c>
      <c r="J1013" t="n">
        <v>0</v>
      </c>
      <c r="K1013" t="inlineStr"/>
    </row>
    <row r="1014">
      <c r="A1014" t="inlineStr">
        <is>
          <t>TALGTACA167TL</t>
        </is>
      </c>
      <c r="B1014" t="inlineStr">
        <is>
          <t>URBAN COTTON OVERSIZED COLOR BLOCK CAB</t>
        </is>
      </c>
      <c r="C1014" t="inlineStr">
        <is>
          <t>Manufactura / Caballero / P. Superiores</t>
        </is>
      </c>
      <c r="D1014" t="n">
        <v>18</v>
      </c>
      <c r="E1014" t="n">
        <v>819.99945809</v>
      </c>
      <c r="F1014" t="n">
        <v>0.7729111701588236</v>
      </c>
      <c r="G1014" t="n">
        <v>15</v>
      </c>
      <c r="H1014" t="n">
        <v>12.16641162</v>
      </c>
      <c r="I1014" t="n">
        <v>1.8</v>
      </c>
      <c r="J1014" t="n">
        <v>2</v>
      </c>
      <c r="K1014" t="inlineStr"/>
    </row>
    <row r="1015">
      <c r="A1015" t="inlineStr">
        <is>
          <t>SHUNTCA157TM</t>
        </is>
      </c>
      <c r="B1015" t="inlineStr">
        <is>
          <t>SHORT SPORT R1 CAB</t>
        </is>
      </c>
      <c r="C1015" t="inlineStr">
        <is>
          <t>Manufactura / Caballero / P. Inferiores</t>
        </is>
      </c>
      <c r="D1015" t="n">
        <v>25</v>
      </c>
      <c r="E1015" t="n">
        <v>817.0279257</v>
      </c>
      <c r="F1015" t="n">
        <v>0.7922989689111112</v>
      </c>
      <c r="G1015" t="n">
        <v>0</v>
      </c>
      <c r="H1015" t="n">
        <v>9.119999999999999</v>
      </c>
      <c r="I1015" t="n">
        <v>2.5</v>
      </c>
      <c r="J1015" t="n">
        <v>2</v>
      </c>
      <c r="K1015" t="inlineStr">
        <is>
          <t>Sin stock</t>
        </is>
      </c>
    </row>
    <row r="1016">
      <c r="A1016" t="inlineStr">
        <is>
          <t>MARMICA12T3XL</t>
        </is>
      </c>
      <c r="B1016" t="inlineStr">
        <is>
          <t>MAR ORIGINAL CAB</t>
        </is>
      </c>
      <c r="C1016" t="inlineStr">
        <is>
          <t>Manufactura / Caballero / P. Superiores</t>
        </is>
      </c>
      <c r="D1016" t="n">
        <v>17</v>
      </c>
      <c r="E1016" t="n">
        <v>816.76330247</v>
      </c>
      <c r="F1016" t="n">
        <v>0.8937769128888888</v>
      </c>
      <c r="G1016" t="n">
        <v>1</v>
      </c>
      <c r="H1016" t="n">
        <v>4.946357428</v>
      </c>
      <c r="I1016" t="n">
        <v>1.7</v>
      </c>
      <c r="J1016" t="n">
        <v>1</v>
      </c>
      <c r="K1016" t="inlineStr"/>
    </row>
    <row r="1017">
      <c r="A1017" t="inlineStr">
        <is>
          <t>MAFMIDA48TS</t>
        </is>
      </c>
      <c r="B1017" t="inlineStr">
        <is>
          <t>MAFE ORIGINAL DAMA</t>
        </is>
      </c>
      <c r="C1017" t="inlineStr">
        <is>
          <t>Manufactura / Dama / P. Superiores</t>
        </is>
      </c>
      <c r="D1017" t="n">
        <v>27</v>
      </c>
      <c r="E1017" t="n">
        <v>815.5930980099999</v>
      </c>
      <c r="F1017" t="n">
        <v>0.8481536566935484</v>
      </c>
      <c r="G1017" t="n">
        <v>22</v>
      </c>
      <c r="H1017" t="n">
        <v>4.54817671</v>
      </c>
      <c r="I1017" t="n">
        <v>2.7</v>
      </c>
      <c r="J1017" t="n">
        <v>0</v>
      </c>
      <c r="K1017" t="inlineStr"/>
    </row>
    <row r="1018">
      <c r="A1018" t="inlineStr">
        <is>
          <t>HEA149EQ</t>
        </is>
      </c>
      <c r="B1018" t="inlineStr">
        <is>
          <t>HEADBAND</t>
        </is>
      </c>
      <c r="C1018" t="inlineStr">
        <is>
          <t>Equipamiento / Accesorios</t>
        </is>
      </c>
      <c r="D1018" t="n">
        <v>56</v>
      </c>
      <c r="E1018" t="n">
        <v>814.865718927</v>
      </c>
      <c r="F1018" t="n">
        <v>0.6971434866140351</v>
      </c>
      <c r="G1018" t="n">
        <v>346</v>
      </c>
      <c r="H1018" t="n">
        <v>4.26</v>
      </c>
      <c r="I1018" t="n">
        <v>5.6</v>
      </c>
      <c r="J1018" t="n">
        <v>0</v>
      </c>
      <c r="K1018" t="inlineStr"/>
    </row>
    <row r="1019">
      <c r="A1019" t="inlineStr">
        <is>
          <t>ADUMMCA16TM</t>
        </is>
      </c>
      <c r="B1019" t="inlineStr">
        <is>
          <t>ACTIVE DUO CAB</t>
        </is>
      </c>
      <c r="C1019" t="inlineStr">
        <is>
          <t>Manufactura / Caballero / P. Superiores</t>
        </is>
      </c>
      <c r="D1019" t="n">
        <v>28</v>
      </c>
      <c r="E1019" t="n">
        <v>814.72074515</v>
      </c>
      <c r="F1019" t="n">
        <v>0.8896081446941176</v>
      </c>
      <c r="G1019" t="n">
        <v>8</v>
      </c>
      <c r="H1019" t="n">
        <v>5.09</v>
      </c>
      <c r="I1019" t="n">
        <v>2.8</v>
      </c>
      <c r="J1019" t="n">
        <v>0</v>
      </c>
      <c r="K1019" t="inlineStr"/>
    </row>
    <row r="1020">
      <c r="A1020" t="inlineStr">
        <is>
          <t>CLAMECA16TM</t>
        </is>
      </c>
      <c r="B1020" t="inlineStr">
        <is>
          <t>CLASICA SPORT CAB</t>
        </is>
      </c>
      <c r="C1020" t="inlineStr">
        <is>
          <t>Manufactura / Caballero / P. Superiores</t>
        </is>
      </c>
      <c r="D1020" t="n">
        <v>28</v>
      </c>
      <c r="E1020" t="n">
        <v>813.81737099</v>
      </c>
      <c r="F1020" t="n">
        <v>0.7518885636333333</v>
      </c>
      <c r="G1020" t="n">
        <v>1</v>
      </c>
      <c r="H1020" t="n">
        <v>10.3013454</v>
      </c>
      <c r="I1020" t="n">
        <v>2.8</v>
      </c>
      <c r="J1020" t="n">
        <v>3</v>
      </c>
      <c r="K1020" t="inlineStr"/>
    </row>
    <row r="1021">
      <c r="A1021" t="inlineStr">
        <is>
          <t>JACDA67TM</t>
        </is>
      </c>
      <c r="B1021" t="inlineStr">
        <is>
          <t>JACKET DAMA</t>
        </is>
      </c>
      <c r="C1021" t="inlineStr">
        <is>
          <t>Equipamiento / Ropa</t>
        </is>
      </c>
      <c r="D1021" t="n">
        <v>12</v>
      </c>
      <c r="E1021" t="n">
        <v>812.72723831</v>
      </c>
      <c r="F1021" t="n">
        <v>0.6930268661857143</v>
      </c>
      <c r="G1021" t="n">
        <v>37</v>
      </c>
      <c r="H1021" t="n">
        <v>20.25</v>
      </c>
      <c r="I1021" t="n">
        <v>1.2</v>
      </c>
      <c r="J1021" t="n">
        <v>0</v>
      </c>
      <c r="K1021" t="inlineStr"/>
    </row>
    <row r="1022">
      <c r="A1022" t="inlineStr">
        <is>
          <t>SHOSUKI155T8</t>
        </is>
      </c>
      <c r="B1022" t="inlineStr">
        <is>
          <t>SHORT PLAYA ESTAMPADO KIDS</t>
        </is>
      </c>
      <c r="C1022" t="inlineStr">
        <is>
          <t>Manufactura / Kids / P. Superiores</t>
        </is>
      </c>
      <c r="D1022" t="n">
        <v>18</v>
      </c>
      <c r="E1022" t="n">
        <v>811.70919767</v>
      </c>
      <c r="F1022" t="n">
        <v>0.83096053735</v>
      </c>
      <c r="G1022" t="n">
        <v>5</v>
      </c>
      <c r="H1022" t="n">
        <v>7.21</v>
      </c>
      <c r="I1022" t="n">
        <v>1.8</v>
      </c>
      <c r="J1022" t="n">
        <v>1</v>
      </c>
      <c r="K1022" t="inlineStr"/>
    </row>
    <row r="1023">
      <c r="A1023" t="inlineStr">
        <is>
          <t>DAYCSTDA66TM</t>
        </is>
      </c>
      <c r="B1023" t="inlineStr">
        <is>
          <t>CLASICA DAILY 3.0 DAMA</t>
        </is>
      </c>
      <c r="C1023" t="inlineStr">
        <is>
          <t>Manufactura / Dama / P. Superiores</t>
        </is>
      </c>
      <c r="D1023" t="n">
        <v>18</v>
      </c>
      <c r="E1023" t="n">
        <v>808.9381446899999</v>
      </c>
      <c r="F1023" t="n">
        <v>0.7811362880666667</v>
      </c>
      <c r="G1023" t="n">
        <v>21</v>
      </c>
      <c r="H1023" t="n">
        <v>10.28586481</v>
      </c>
      <c r="I1023" t="n">
        <v>1.8</v>
      </c>
      <c r="J1023" t="n">
        <v>0</v>
      </c>
      <c r="K1023" t="inlineStr"/>
    </row>
    <row r="1024">
      <c r="A1024" t="inlineStr">
        <is>
          <t>RIOMIKI66T2</t>
        </is>
      </c>
      <c r="B1024" t="inlineStr">
        <is>
          <t>RIO ORIGINAL KIDS</t>
        </is>
      </c>
      <c r="C1024" t="inlineStr">
        <is>
          <t>Manufactura / Kids / P. Superiores</t>
        </is>
      </c>
      <c r="D1024" t="n">
        <v>20</v>
      </c>
      <c r="E1024" t="n">
        <v>808.7100424400001</v>
      </c>
      <c r="F1024" t="n">
        <v>0.9131940238052632</v>
      </c>
      <c r="G1024" t="n">
        <v>19</v>
      </c>
      <c r="H1024" t="n">
        <v>3.617969464</v>
      </c>
      <c r="I1024" t="n">
        <v>2</v>
      </c>
      <c r="J1024" t="n">
        <v>0</v>
      </c>
      <c r="K1024" t="inlineStr"/>
    </row>
    <row r="1025">
      <c r="A1025" t="inlineStr">
        <is>
          <t>RIOMIKI50T10</t>
        </is>
      </c>
      <c r="B1025" t="inlineStr">
        <is>
          <t>RIO ORIGINAL KIDS</t>
        </is>
      </c>
      <c r="C1025" t="inlineStr">
        <is>
          <t>Manufactura / Kids / P. Superiores</t>
        </is>
      </c>
      <c r="D1025" t="n">
        <v>19</v>
      </c>
      <c r="E1025" t="n">
        <v>806.81704741</v>
      </c>
      <c r="F1025" t="n">
        <v>0.9117321317714286</v>
      </c>
      <c r="G1025" t="n">
        <v>85</v>
      </c>
      <c r="H1025" t="n">
        <v>3.617969464</v>
      </c>
      <c r="I1025" t="n">
        <v>1.9</v>
      </c>
      <c r="J1025" t="n">
        <v>1</v>
      </c>
      <c r="K1025" t="inlineStr"/>
    </row>
    <row r="1026">
      <c r="A1026" t="inlineStr">
        <is>
          <t>ADUMMCA16TS</t>
        </is>
      </c>
      <c r="B1026" t="inlineStr">
        <is>
          <t>ACTIVE DUO CAB</t>
        </is>
      </c>
      <c r="C1026" t="inlineStr">
        <is>
          <t>Manufactura / Caballero / P. Superiores</t>
        </is>
      </c>
      <c r="D1026" t="n">
        <v>22</v>
      </c>
      <c r="E1026" t="n">
        <v>806.47529253</v>
      </c>
      <c r="F1026" t="n">
        <v>0.8983716319866667</v>
      </c>
      <c r="G1026" t="n">
        <v>14</v>
      </c>
      <c r="H1026" t="n">
        <v>5.09</v>
      </c>
      <c r="I1026" t="n">
        <v>2.2</v>
      </c>
      <c r="J1026" t="n">
        <v>0</v>
      </c>
      <c r="K1026" t="inlineStr"/>
    </row>
    <row r="1027">
      <c r="A1027" t="inlineStr">
        <is>
          <t>RIOMIDA66TXL</t>
        </is>
      </c>
      <c r="B1027" t="inlineStr">
        <is>
          <t>RIO ORIGINAL DAMA</t>
        </is>
      </c>
      <c r="C1027" t="inlineStr">
        <is>
          <t>Manufactura / Dama / P. Superiores</t>
        </is>
      </c>
      <c r="D1027" t="n">
        <v>16</v>
      </c>
      <c r="E1027" t="n">
        <v>804.92995232</v>
      </c>
      <c r="F1027" t="n">
        <v>0.89267472602</v>
      </c>
      <c r="G1027" t="n">
        <v>24</v>
      </c>
      <c r="H1027" t="n">
        <v>5.538832275</v>
      </c>
      <c r="I1027" t="n">
        <v>1.6</v>
      </c>
      <c r="J1027" t="n">
        <v>0</v>
      </c>
      <c r="K1027" t="inlineStr"/>
    </row>
    <row r="1028">
      <c r="A1028" t="inlineStr">
        <is>
          <t>NAHFNCA13TM</t>
        </is>
      </c>
      <c r="B1028" t="inlineStr">
        <is>
          <t>NOAH SPORT LITE CAB</t>
        </is>
      </c>
      <c r="C1028" t="inlineStr">
        <is>
          <t>Manufactura / Caballero / P. Superiores</t>
        </is>
      </c>
      <c r="D1028" t="n">
        <v>28</v>
      </c>
      <c r="E1028" t="n">
        <v>804.41974478</v>
      </c>
      <c r="F1028" t="n">
        <v>0.4577952583185185</v>
      </c>
      <c r="G1028" t="n">
        <v>4</v>
      </c>
      <c r="H1028" t="n">
        <v>17.61141534</v>
      </c>
      <c r="I1028" t="n">
        <v>2.8</v>
      </c>
      <c r="J1028" t="n">
        <v>0</v>
      </c>
      <c r="K1028" t="inlineStr"/>
    </row>
    <row r="1029">
      <c r="A1029" t="inlineStr">
        <is>
          <t>CLAMICA12T2XL</t>
        </is>
      </c>
      <c r="B1029" t="inlineStr">
        <is>
          <t>CLASICA ORIGINAL CAB</t>
        </is>
      </c>
      <c r="C1029" t="inlineStr">
        <is>
          <t>Manufactura / Caballero / P. Superiores</t>
        </is>
      </c>
      <c r="D1029" t="n">
        <v>21</v>
      </c>
      <c r="E1029" t="n">
        <v>804.3226876799999</v>
      </c>
      <c r="F1029" t="n">
        <v>0.8812332401409091</v>
      </c>
      <c r="G1029" t="n">
        <v>20</v>
      </c>
      <c r="H1029" t="n">
        <v>4.598442536</v>
      </c>
      <c r="I1029" t="n">
        <v>2.1</v>
      </c>
      <c r="J1029" t="n">
        <v>1</v>
      </c>
      <c r="K1029" t="inlineStr"/>
    </row>
    <row r="1030">
      <c r="A1030" t="inlineStr">
        <is>
          <t>MARMIKI13T6</t>
        </is>
      </c>
      <c r="B1030" t="inlineStr">
        <is>
          <t>MAR ORIGINAL KIDS</t>
        </is>
      </c>
      <c r="C1030" t="inlineStr">
        <is>
          <t>Manufactura / Kids / P. Superiores</t>
        </is>
      </c>
      <c r="D1030" t="n">
        <v>21</v>
      </c>
      <c r="E1030" t="n">
        <v>803.62876435</v>
      </c>
      <c r="F1030" t="n">
        <v>0.9163964301857144</v>
      </c>
      <c r="G1030" t="n">
        <v>8</v>
      </c>
      <c r="H1030" t="n">
        <v>3.168013332</v>
      </c>
      <c r="I1030" t="n">
        <v>2.1</v>
      </c>
      <c r="J1030" t="n">
        <v>0</v>
      </c>
      <c r="K1030" t="inlineStr"/>
    </row>
    <row r="1031">
      <c r="A1031" t="inlineStr">
        <is>
          <t>SARSPKI16T14</t>
        </is>
      </c>
      <c r="B1031" t="inlineStr">
        <is>
          <t>FALDA SARA KIDS</t>
        </is>
      </c>
      <c r="C1031" t="inlineStr">
        <is>
          <t>Manufactura / Kids / P. Inferiores</t>
        </is>
      </c>
      <c r="D1031" t="n">
        <v>20</v>
      </c>
      <c r="E1031" t="n">
        <v>802.44571537</v>
      </c>
      <c r="F1031" t="n">
        <v>0.85190996231</v>
      </c>
      <c r="G1031" t="n">
        <v>25</v>
      </c>
      <c r="H1031" t="n">
        <v>5.753743316</v>
      </c>
      <c r="I1031" t="n">
        <v>2</v>
      </c>
      <c r="J1031" t="n">
        <v>0</v>
      </c>
      <c r="K1031" t="inlineStr"/>
    </row>
    <row r="1032">
      <c r="A1032" t="inlineStr">
        <is>
          <t>CUTAG85</t>
        </is>
      </c>
      <c r="B1032" t="inlineStr">
        <is>
          <t>CUADRO TAG</t>
        </is>
      </c>
      <c r="C1032" t="inlineStr">
        <is>
          <t>Equipamiento / Accesorios</t>
        </is>
      </c>
      <c r="D1032" t="n">
        <v>83</v>
      </c>
      <c r="E1032" t="n">
        <v>801.681744227</v>
      </c>
      <c r="F1032" t="n">
        <v>0.9207276283705882</v>
      </c>
      <c r="G1032" t="n">
        <v>168</v>
      </c>
      <c r="H1032" t="n">
        <v>0.8100000000000001</v>
      </c>
      <c r="I1032" t="n">
        <v>8.300000000000001</v>
      </c>
      <c r="J1032" t="n">
        <v>0</v>
      </c>
      <c r="K1032" t="inlineStr"/>
    </row>
    <row r="1033">
      <c r="A1033" t="inlineStr">
        <is>
          <t>SNA35EQ</t>
        </is>
      </c>
      <c r="B1033" t="inlineStr">
        <is>
          <t>LLAVERO SNAP</t>
        </is>
      </c>
      <c r="C1033" t="inlineStr">
        <is>
          <t>Equipamiento / Accesorios</t>
        </is>
      </c>
      <c r="D1033" t="n">
        <v>202</v>
      </c>
      <c r="E1033" t="n">
        <v>799.970448979</v>
      </c>
      <c r="F1033" t="n">
        <v>0.8200565910817519</v>
      </c>
      <c r="G1033" t="n">
        <v>854</v>
      </c>
      <c r="H1033" t="n">
        <v>1</v>
      </c>
      <c r="I1033" t="n">
        <v>20.2</v>
      </c>
      <c r="J1033" t="n">
        <v>0</v>
      </c>
      <c r="K1033" t="inlineStr"/>
    </row>
    <row r="1034">
      <c r="A1034" t="inlineStr">
        <is>
          <t>CLAMICA30TS</t>
        </is>
      </c>
      <c r="B1034" t="inlineStr">
        <is>
          <t>CLASICA ORIGINAL CAB</t>
        </is>
      </c>
      <c r="C1034" t="inlineStr">
        <is>
          <t>Manufactura / Caballero / P. Superiores</t>
        </is>
      </c>
      <c r="D1034" t="n">
        <v>22</v>
      </c>
      <c r="E1034" t="n">
        <v>799.6805615999999</v>
      </c>
      <c r="F1034" t="n">
        <v>0.8822878429666666</v>
      </c>
      <c r="G1034" t="n">
        <v>32</v>
      </c>
      <c r="H1034" t="n">
        <v>4.598442536</v>
      </c>
      <c r="I1034" t="n">
        <v>2.2</v>
      </c>
      <c r="J1034" t="n">
        <v>0</v>
      </c>
      <c r="K1034" t="inlineStr"/>
    </row>
    <row r="1035">
      <c r="A1035" t="inlineStr">
        <is>
          <t>RIOMIKI48T12</t>
        </is>
      </c>
      <c r="B1035" t="inlineStr">
        <is>
          <t>RIO ORIGINAL KIDS</t>
        </is>
      </c>
      <c r="C1035" t="inlineStr">
        <is>
          <t>Manufactura / Kids / P. Superiores</t>
        </is>
      </c>
      <c r="D1035" t="n">
        <v>17</v>
      </c>
      <c r="E1035" t="n">
        <v>799.51979032</v>
      </c>
      <c r="F1035" t="n">
        <v>0.9217418578882353</v>
      </c>
      <c r="G1035" t="n">
        <v>9</v>
      </c>
      <c r="H1035" t="n">
        <v>3.617969464</v>
      </c>
      <c r="I1035" t="n">
        <v>1.7</v>
      </c>
      <c r="J1035" t="n">
        <v>1</v>
      </c>
      <c r="K1035" t="inlineStr"/>
    </row>
    <row r="1036">
      <c r="A1036" t="inlineStr">
        <is>
          <t>RIOMIKI16T14</t>
        </is>
      </c>
      <c r="B1036" t="inlineStr">
        <is>
          <t>RIO ORIGINAL KIDS</t>
        </is>
      </c>
      <c r="C1036" t="inlineStr">
        <is>
          <t>Manufactura / Kids / P. Superiores</t>
        </is>
      </c>
      <c r="D1036" t="n">
        <v>17</v>
      </c>
      <c r="E1036" t="n">
        <v>795.90710987</v>
      </c>
      <c r="F1036" t="n">
        <v>0.9210565535470588</v>
      </c>
      <c r="G1036" t="n">
        <v>14</v>
      </c>
      <c r="H1036" t="n">
        <v>3.617969464</v>
      </c>
      <c r="I1036" t="n">
        <v>1.7</v>
      </c>
      <c r="J1036" t="n">
        <v>2</v>
      </c>
      <c r="K1036" t="inlineStr"/>
    </row>
    <row r="1037">
      <c r="A1037" t="inlineStr">
        <is>
          <t>SHONRKI12T14</t>
        </is>
      </c>
      <c r="B1037" t="inlineStr">
        <is>
          <t>SHORT SPORT KIDS</t>
        </is>
      </c>
      <c r="C1037" t="inlineStr">
        <is>
          <t>Manufactura / Kids / P. Inferiores</t>
        </is>
      </c>
      <c r="D1037" t="n">
        <v>20</v>
      </c>
      <c r="E1037" t="n">
        <v>795.57609384</v>
      </c>
      <c r="F1037" t="n">
        <v>0.8289579875333333</v>
      </c>
      <c r="G1037" t="n">
        <v>50</v>
      </c>
      <c r="H1037" t="n">
        <v>6.465724382</v>
      </c>
      <c r="I1037" t="n">
        <v>2</v>
      </c>
      <c r="J1037" t="n">
        <v>0</v>
      </c>
      <c r="K1037" t="inlineStr"/>
    </row>
    <row r="1038">
      <c r="A1038" t="inlineStr">
        <is>
          <t>REFROJTOEQ50EQ</t>
        </is>
      </c>
      <c r="B1038" t="inlineStr">
        <is>
          <t>REFRESH ROJO</t>
        </is>
      </c>
      <c r="C1038" t="inlineStr">
        <is>
          <t>Manufactura / Refresh</t>
        </is>
      </c>
      <c r="D1038" t="n">
        <v>33</v>
      </c>
      <c r="E1038" t="n">
        <v>793.12379192</v>
      </c>
      <c r="F1038" t="n">
        <v>0.6307651779037037</v>
      </c>
      <c r="G1038" t="n">
        <v>60</v>
      </c>
      <c r="H1038" t="n">
        <v>10.75</v>
      </c>
      <c r="I1038" t="n">
        <v>3.3</v>
      </c>
      <c r="J1038" t="n">
        <v>1</v>
      </c>
      <c r="K1038" t="inlineStr"/>
    </row>
    <row r="1039">
      <c r="A1039" t="inlineStr">
        <is>
          <t>BUC33EQ</t>
        </is>
      </c>
      <c r="B1039" t="inlineStr">
        <is>
          <t>BUCKET HAT</t>
        </is>
      </c>
      <c r="C1039" t="inlineStr">
        <is>
          <t>Equipamiento / Sombreros</t>
        </is>
      </c>
      <c r="D1039" t="n">
        <v>30</v>
      </c>
      <c r="E1039" t="n">
        <v>790.07568102</v>
      </c>
      <c r="F1039" t="n">
        <v>0.8075064290142857</v>
      </c>
      <c r="G1039" t="n">
        <v>0</v>
      </c>
      <c r="H1039" t="n">
        <v>4.98</v>
      </c>
      <c r="I1039" t="n">
        <v>3</v>
      </c>
      <c r="J1039" t="n">
        <v>6</v>
      </c>
      <c r="K1039" t="inlineStr">
        <is>
          <t>Sin stock</t>
        </is>
      </c>
    </row>
    <row r="1040">
      <c r="A1040" t="inlineStr">
        <is>
          <t>HELBFDA43TXS</t>
        </is>
      </c>
      <c r="B1040" t="inlineStr">
        <is>
          <t>HELEN BIO MOVE DAMA</t>
        </is>
      </c>
      <c r="C1040" t="inlineStr">
        <is>
          <t>Manufactura / Dama / P. Superiores</t>
        </is>
      </c>
      <c r="D1040" t="n">
        <v>15</v>
      </c>
      <c r="E1040" t="n">
        <v>789.5900971699999</v>
      </c>
      <c r="F1040" t="n">
        <v>0.8755179195384616</v>
      </c>
      <c r="G1040" t="n">
        <v>150</v>
      </c>
      <c r="H1040" t="n">
        <v>7.34081746</v>
      </c>
      <c r="I1040" t="n">
        <v>1.5</v>
      </c>
      <c r="J1040" t="n">
        <v>0</v>
      </c>
      <c r="K1040" t="inlineStr"/>
    </row>
    <row r="1041">
      <c r="A1041" t="inlineStr">
        <is>
          <t>SHOUNCA170TXL</t>
        </is>
      </c>
      <c r="B1041" t="inlineStr">
        <is>
          <t>SHORT PLAYA CAB</t>
        </is>
      </c>
      <c r="C1041" t="inlineStr">
        <is>
          <t>Manufactura / Caballero / P. Inferiores</t>
        </is>
      </c>
      <c r="D1041" t="n">
        <v>16</v>
      </c>
      <c r="E1041" t="n">
        <v>789.15863079</v>
      </c>
      <c r="F1041" t="n">
        <v>0.8103419930285715</v>
      </c>
      <c r="G1041" t="n">
        <v>15</v>
      </c>
      <c r="H1041" t="n">
        <v>9.99</v>
      </c>
      <c r="I1041" t="n">
        <v>1.6</v>
      </c>
      <c r="J1041" t="n">
        <v>0</v>
      </c>
      <c r="K1041" t="inlineStr"/>
    </row>
    <row r="1042">
      <c r="A1042" t="inlineStr">
        <is>
          <t>SHONRKI30T12</t>
        </is>
      </c>
      <c r="B1042" t="inlineStr">
        <is>
          <t>SHORT SPORT KIDS</t>
        </is>
      </c>
      <c r="C1042" t="inlineStr">
        <is>
          <t>Manufactura / Kids / P. Inferiores</t>
        </is>
      </c>
      <c r="D1042" t="n">
        <v>20</v>
      </c>
      <c r="E1042" t="n">
        <v>787.2929721194974</v>
      </c>
      <c r="F1042" t="n">
        <v>0.8369044021315789</v>
      </c>
      <c r="G1042" t="n">
        <v>34</v>
      </c>
      <c r="H1042" t="n">
        <v>6.465724382</v>
      </c>
      <c r="I1042" t="n">
        <v>2</v>
      </c>
      <c r="J1042" t="n">
        <v>0</v>
      </c>
      <c r="K1042" t="inlineStr"/>
    </row>
    <row r="1043">
      <c r="A1043" t="inlineStr">
        <is>
          <t>BASCCDA43TL</t>
        </is>
      </c>
      <c r="B1043" t="inlineStr">
        <is>
          <t>BASIC LINE SHORT DAMA</t>
        </is>
      </c>
      <c r="C1043" t="inlineStr">
        <is>
          <t>Manufactura / Dama / P. Inferiores</t>
        </is>
      </c>
      <c r="D1043" t="n">
        <v>20</v>
      </c>
      <c r="E1043" t="n">
        <v>785.98647257</v>
      </c>
      <c r="F1043" t="n">
        <v>0.87500385938125</v>
      </c>
      <c r="G1043" t="n">
        <v>52</v>
      </c>
      <c r="H1043" t="n">
        <v>6.01</v>
      </c>
      <c r="I1043" t="n">
        <v>2</v>
      </c>
      <c r="J1043" t="n">
        <v>0</v>
      </c>
      <c r="K1043" t="inlineStr"/>
    </row>
    <row r="1044">
      <c r="A1044" t="inlineStr">
        <is>
          <t>SHOSUKI156T12</t>
        </is>
      </c>
      <c r="B1044" t="inlineStr">
        <is>
          <t>SHORT PLAYA ESTAMPADO KIDS</t>
        </is>
      </c>
      <c r="C1044" t="inlineStr">
        <is>
          <t>Manufactura / Kids / P. Superiores</t>
        </is>
      </c>
      <c r="D1044" t="n">
        <v>19</v>
      </c>
      <c r="E1044" t="n">
        <v>785.0368313</v>
      </c>
      <c r="F1044" t="n">
        <v>0.8189682398636364</v>
      </c>
      <c r="G1044" t="n">
        <v>32</v>
      </c>
      <c r="H1044" t="n">
        <v>7.21</v>
      </c>
      <c r="I1044" t="n">
        <v>1.9</v>
      </c>
      <c r="J1044" t="n">
        <v>0</v>
      </c>
      <c r="K1044" t="inlineStr"/>
    </row>
    <row r="1045">
      <c r="A1045" t="inlineStr">
        <is>
          <t>RIOMIKI13T14</t>
        </is>
      </c>
      <c r="B1045" t="inlineStr">
        <is>
          <t>RIO ORIGINAL KIDS</t>
        </is>
      </c>
      <c r="C1045" t="inlineStr">
        <is>
          <t>Manufactura / Kids / P. Superiores</t>
        </is>
      </c>
      <c r="D1045" t="n">
        <v>19</v>
      </c>
      <c r="E1045" t="n">
        <v>784.65286722</v>
      </c>
      <c r="F1045" t="n">
        <v>0.9157417567136363</v>
      </c>
      <c r="G1045" t="n">
        <v>6</v>
      </c>
      <c r="H1045" t="n">
        <v>3.617969464000001</v>
      </c>
      <c r="I1045" t="n">
        <v>1.9</v>
      </c>
      <c r="J1045" t="n">
        <v>0</v>
      </c>
      <c r="K1045" t="inlineStr"/>
    </row>
    <row r="1046">
      <c r="A1046" t="inlineStr">
        <is>
          <t>GEODOCACA168TS</t>
        </is>
      </c>
      <c r="B1046" t="inlineStr">
        <is>
          <t>ADVANCE GEO DOMINIC CAB</t>
        </is>
      </c>
      <c r="C1046" t="inlineStr">
        <is>
          <t>Manufactura / Caballero / P. Superiores</t>
        </is>
      </c>
      <c r="D1046" t="n">
        <v>15</v>
      </c>
      <c r="E1046" t="n">
        <v>781.58573735</v>
      </c>
      <c r="F1046" t="n">
        <v>0.8081220396545454</v>
      </c>
      <c r="G1046" t="n">
        <v>20</v>
      </c>
      <c r="H1046" t="n">
        <v>13.35</v>
      </c>
      <c r="I1046" t="n">
        <v>1.5</v>
      </c>
      <c r="J1046" t="n">
        <v>0</v>
      </c>
      <c r="K1046" t="inlineStr"/>
    </row>
    <row r="1047">
      <c r="A1047" t="inlineStr">
        <is>
          <t>MAFMIDA16TL</t>
        </is>
      </c>
      <c r="B1047" t="inlineStr">
        <is>
          <t>MAFE ORIGINAL DAMA</t>
        </is>
      </c>
      <c r="C1047" t="inlineStr">
        <is>
          <t>Manufactura / Dama / P. Superiores</t>
        </is>
      </c>
      <c r="D1047" t="n">
        <v>29</v>
      </c>
      <c r="E1047" t="n">
        <v>781.08739737</v>
      </c>
      <c r="F1047" t="n">
        <v>0.8349635956555554</v>
      </c>
      <c r="G1047" t="n">
        <v>9</v>
      </c>
      <c r="H1047" t="n">
        <v>4.54817671</v>
      </c>
      <c r="I1047" t="n">
        <v>2.9</v>
      </c>
      <c r="J1047" t="n">
        <v>1</v>
      </c>
      <c r="K1047" t="inlineStr"/>
    </row>
    <row r="1048">
      <c r="A1048" t="inlineStr">
        <is>
          <t>MIKFNDA13TL</t>
        </is>
      </c>
      <c r="B1048" t="inlineStr">
        <is>
          <t>MIKA SPORT LITE DAMA</t>
        </is>
      </c>
      <c r="C1048" t="inlineStr">
        <is>
          <t>Manufactura / Dama / P. Superiores</t>
        </is>
      </c>
      <c r="D1048" t="n">
        <v>19</v>
      </c>
      <c r="E1048" t="n">
        <v>779.0974561099999</v>
      </c>
      <c r="F1048" t="n">
        <v>0.8578748581736843</v>
      </c>
      <c r="G1048" t="n">
        <v>19</v>
      </c>
      <c r="H1048" t="n">
        <v>5.484675344</v>
      </c>
      <c r="I1048" t="n">
        <v>1.9</v>
      </c>
      <c r="J1048" t="n">
        <v>0</v>
      </c>
      <c r="K1048" t="inlineStr"/>
    </row>
    <row r="1049">
      <c r="A1049" t="inlineStr">
        <is>
          <t>SHONTDA43TXL</t>
        </is>
      </c>
      <c r="B1049" t="inlineStr">
        <is>
          <t>EXPLORE SHORT DAMA</t>
        </is>
      </c>
      <c r="C1049" t="inlineStr">
        <is>
          <t>Manufactura / Dama / P. Inferiores</t>
        </is>
      </c>
      <c r="D1049" t="n">
        <v>14</v>
      </c>
      <c r="E1049" t="n">
        <v>777.79821263</v>
      </c>
      <c r="F1049" t="n">
        <v>0.8069503348266667</v>
      </c>
      <c r="G1049" t="n">
        <v>27</v>
      </c>
      <c r="H1049" t="n">
        <v>10.22113744</v>
      </c>
      <c r="I1049" t="n">
        <v>1.4</v>
      </c>
      <c r="J1049" t="n">
        <v>0</v>
      </c>
      <c r="K1049" t="inlineStr"/>
    </row>
    <row r="1050">
      <c r="A1050" t="inlineStr">
        <is>
          <t>SARSPKI43T8</t>
        </is>
      </c>
      <c r="B1050" t="inlineStr">
        <is>
          <t>FALDA SARA KIDS</t>
        </is>
      </c>
      <c r="C1050" t="inlineStr">
        <is>
          <t>Manufactura / Kids / P. Inferiores</t>
        </is>
      </c>
      <c r="D1050" t="n">
        <v>19</v>
      </c>
      <c r="E1050" t="n">
        <v>777.4973565</v>
      </c>
      <c r="F1050" t="n">
        <v>0.8474032867095238</v>
      </c>
      <c r="G1050" t="n">
        <v>9</v>
      </c>
      <c r="H1050" t="n">
        <v>5.753743316</v>
      </c>
      <c r="I1050" t="n">
        <v>1.9</v>
      </c>
      <c r="J1050" t="n">
        <v>1</v>
      </c>
      <c r="K1050" t="inlineStr"/>
    </row>
    <row r="1051">
      <c r="A1051" t="inlineStr">
        <is>
          <t>RIOMIKI04T10</t>
        </is>
      </c>
      <c r="B1051" t="inlineStr">
        <is>
          <t>RIO ORIGINAL KIDS</t>
        </is>
      </c>
      <c r="C1051" t="inlineStr">
        <is>
          <t>Manufactura / Kids / P. Superiores</t>
        </is>
      </c>
      <c r="D1051" t="n">
        <v>18</v>
      </c>
      <c r="E1051" t="n">
        <v>776.46877733</v>
      </c>
      <c r="F1051" t="n">
        <v>0.9151619632588236</v>
      </c>
      <c r="G1051" t="n">
        <v>8</v>
      </c>
      <c r="H1051" t="n">
        <v>3.617969464</v>
      </c>
      <c r="I1051" t="n">
        <v>1.8</v>
      </c>
      <c r="J1051" t="n">
        <v>0</v>
      </c>
      <c r="K1051" t="inlineStr"/>
    </row>
    <row r="1052">
      <c r="A1052" t="inlineStr">
        <is>
          <t>SARSPKI43T10</t>
        </is>
      </c>
      <c r="B1052" t="inlineStr">
        <is>
          <t>FALDA SARA KIDS</t>
        </is>
      </c>
      <c r="C1052" t="inlineStr">
        <is>
          <t>Manufactura / Kids / P. Inferiores</t>
        </is>
      </c>
      <c r="D1052" t="n">
        <v>18</v>
      </c>
      <c r="E1052" t="n">
        <v>774.3459802799999</v>
      </c>
      <c r="F1052" t="n">
        <v>0.8599588636333334</v>
      </c>
      <c r="G1052" t="n">
        <v>10</v>
      </c>
      <c r="H1052" t="n">
        <v>5.753743316</v>
      </c>
      <c r="I1052" t="n">
        <v>1.8</v>
      </c>
      <c r="J1052" t="n">
        <v>0</v>
      </c>
      <c r="K1052" t="inlineStr"/>
    </row>
    <row r="1053">
      <c r="A1053" t="inlineStr">
        <is>
          <t>CAP67FC</t>
        </is>
      </c>
      <c r="B1053" t="inlineStr">
        <is>
          <t>FIT CAP</t>
        </is>
      </c>
      <c r="C1053" t="inlineStr">
        <is>
          <t>Equipamiento / Gorras</t>
        </is>
      </c>
      <c r="D1053" t="n">
        <v>32</v>
      </c>
      <c r="E1053" t="n">
        <v>772.86773625</v>
      </c>
      <c r="F1053" t="n">
        <v>0.8749402373391304</v>
      </c>
      <c r="G1053" t="n">
        <v>480</v>
      </c>
      <c r="H1053" t="n">
        <v>4.11</v>
      </c>
      <c r="I1053" t="n">
        <v>3.2</v>
      </c>
      <c r="J1053" t="n">
        <v>0</v>
      </c>
      <c r="K1053" t="inlineStr"/>
    </row>
    <row r="1054">
      <c r="A1054" t="inlineStr">
        <is>
          <t>GEMBADA39TS</t>
        </is>
      </c>
      <c r="B1054" t="inlineStr">
        <is>
          <t>VESTIDO GEMMA DAMA</t>
        </is>
      </c>
      <c r="C1054" t="inlineStr">
        <is>
          <t>Manufactura / Dama / Conjuntos</t>
        </is>
      </c>
      <c r="D1054" t="n">
        <v>17</v>
      </c>
      <c r="E1054" t="n">
        <v>772.7641412099999</v>
      </c>
      <c r="F1054" t="n">
        <v>0.5108890448352942</v>
      </c>
      <c r="G1054" t="n">
        <v>5</v>
      </c>
      <c r="H1054" t="n">
        <v>23.99</v>
      </c>
      <c r="I1054" t="n">
        <v>1.7</v>
      </c>
      <c r="J1054" t="n">
        <v>0</v>
      </c>
      <c r="K1054" t="inlineStr"/>
    </row>
    <row r="1055">
      <c r="A1055" t="inlineStr">
        <is>
          <t>DAYCSTDA43TXL</t>
        </is>
      </c>
      <c r="B1055" t="inlineStr">
        <is>
          <t>CLASICA DAILY 3.0 DAMA</t>
        </is>
      </c>
      <c r="C1055" t="inlineStr">
        <is>
          <t>Manufactura / Dama / P. Superiores</t>
        </is>
      </c>
      <c r="D1055" t="n">
        <v>16</v>
      </c>
      <c r="E1055" t="n">
        <v>772.40304052</v>
      </c>
      <c r="F1055" t="n">
        <v>0.7779735939625</v>
      </c>
      <c r="G1055" t="n">
        <v>19</v>
      </c>
      <c r="H1055" t="n">
        <v>10.28586481</v>
      </c>
      <c r="I1055" t="n">
        <v>1.6</v>
      </c>
      <c r="J1055" t="n">
        <v>0</v>
      </c>
      <c r="K1055" t="inlineStr"/>
    </row>
    <row r="1056">
      <c r="A1056" t="inlineStr">
        <is>
          <t>RIOMIKI53T4</t>
        </is>
      </c>
      <c r="B1056" t="inlineStr">
        <is>
          <t>RIO ORIGINAL KIDS</t>
        </is>
      </c>
      <c r="C1056" t="inlineStr">
        <is>
          <t>Manufactura / Kids / P. Superiores</t>
        </is>
      </c>
      <c r="D1056" t="n">
        <v>17</v>
      </c>
      <c r="E1056" t="n">
        <v>770.96269216</v>
      </c>
      <c r="F1056" t="n">
        <v>0.9175138085882353</v>
      </c>
      <c r="G1056" t="n">
        <v>23</v>
      </c>
      <c r="H1056" t="n">
        <v>3.617969464</v>
      </c>
      <c r="I1056" t="n">
        <v>1.7</v>
      </c>
      <c r="J1056" t="n">
        <v>2</v>
      </c>
      <c r="K1056" t="inlineStr"/>
    </row>
    <row r="1057">
      <c r="A1057" t="inlineStr">
        <is>
          <t>SHOUNKI01T12</t>
        </is>
      </c>
      <c r="B1057" t="inlineStr">
        <is>
          <t>SHORT PLAYA KIDS</t>
        </is>
      </c>
      <c r="C1057" t="inlineStr">
        <is>
          <t>Manufactura / Kids / P. Inferiores</t>
        </is>
      </c>
      <c r="D1057" t="n">
        <v>18</v>
      </c>
      <c r="E1057" t="n">
        <v>769.70293551</v>
      </c>
      <c r="F1057" t="n">
        <v>0.8541122637318181</v>
      </c>
      <c r="G1057" t="n">
        <v>2</v>
      </c>
      <c r="H1057" t="n">
        <v>6.09</v>
      </c>
      <c r="I1057" t="n">
        <v>1.8</v>
      </c>
      <c r="J1057" t="n">
        <v>1</v>
      </c>
      <c r="K1057" t="inlineStr"/>
    </row>
    <row r="1058">
      <c r="A1058" t="inlineStr">
        <is>
          <t>PANNTDA12TXS</t>
        </is>
      </c>
      <c r="B1058" t="inlineStr">
        <is>
          <t>EXPLORE PANTS DAMA</t>
        </is>
      </c>
      <c r="C1058" t="inlineStr">
        <is>
          <t>Manufactura / Dama / P. Inferiores</t>
        </is>
      </c>
      <c r="D1058" t="n">
        <v>12</v>
      </c>
      <c r="E1058" t="n">
        <v>767.39524749</v>
      </c>
      <c r="F1058" t="n">
        <v>0.7465034587538462</v>
      </c>
      <c r="G1058" t="n">
        <v>85</v>
      </c>
      <c r="H1058" t="n">
        <v>15.3928899</v>
      </c>
      <c r="I1058" t="n">
        <v>1.2</v>
      </c>
      <c r="J1058" t="n">
        <v>1</v>
      </c>
      <c r="K1058" t="inlineStr"/>
    </row>
    <row r="1059">
      <c r="A1059" t="inlineStr">
        <is>
          <t>CLAMICA70TL</t>
        </is>
      </c>
      <c r="B1059" t="inlineStr">
        <is>
          <t>CLASICA ORIGINAL CAB</t>
        </is>
      </c>
      <c r="C1059" t="inlineStr">
        <is>
          <t>Manufactura / Caballero / P. Superiores</t>
        </is>
      </c>
      <c r="D1059" t="n">
        <v>22</v>
      </c>
      <c r="E1059" t="n">
        <v>766.45448126</v>
      </c>
      <c r="F1059" t="n">
        <v>0.8775727131315789</v>
      </c>
      <c r="G1059" t="n">
        <v>27</v>
      </c>
      <c r="H1059" t="n">
        <v>4.598442536</v>
      </c>
      <c r="I1059" t="n">
        <v>2.2</v>
      </c>
      <c r="J1059" t="n">
        <v>0</v>
      </c>
      <c r="K1059" t="inlineStr"/>
    </row>
    <row r="1060">
      <c r="A1060" t="inlineStr">
        <is>
          <t>SHOUNCA186TXL</t>
        </is>
      </c>
      <c r="B1060" t="inlineStr">
        <is>
          <t>SHORT PLAYA CAB</t>
        </is>
      </c>
      <c r="C1060" t="inlineStr">
        <is>
          <t>Manufactura / Caballero / P. Inferiores</t>
        </is>
      </c>
      <c r="D1060" t="n">
        <v>15</v>
      </c>
      <c r="E1060" t="n">
        <v>763.06052497</v>
      </c>
      <c r="F1060" t="n">
        <v>0.8017074736133334</v>
      </c>
      <c r="G1060" t="n">
        <v>23</v>
      </c>
      <c r="H1060" t="n">
        <v>9.99</v>
      </c>
      <c r="I1060" t="n">
        <v>1.5</v>
      </c>
      <c r="J1060" t="n">
        <v>0</v>
      </c>
      <c r="K1060" t="inlineStr"/>
    </row>
    <row r="1061">
      <c r="A1061" t="inlineStr">
        <is>
          <t>MARMIKI53T6</t>
        </is>
      </c>
      <c r="B1061" t="inlineStr">
        <is>
          <t>MAR ORIGINAL KIDS</t>
        </is>
      </c>
      <c r="C1061" t="inlineStr">
        <is>
          <t>Manufactura / Kids / P. Superiores</t>
        </is>
      </c>
      <c r="D1061" t="n">
        <v>21</v>
      </c>
      <c r="E1061" t="n">
        <v>762.54808544</v>
      </c>
      <c r="F1061" t="n">
        <v>0.9162244347538462</v>
      </c>
      <c r="G1061" t="n">
        <v>36</v>
      </c>
      <c r="H1061" t="n">
        <v>3.168013332</v>
      </c>
      <c r="I1061" t="n">
        <v>2.1</v>
      </c>
      <c r="J1061" t="n">
        <v>0</v>
      </c>
      <c r="K1061" t="inlineStr"/>
    </row>
    <row r="1062">
      <c r="A1062" t="inlineStr">
        <is>
          <t>CLAMICA66TXL</t>
        </is>
      </c>
      <c r="B1062" t="inlineStr">
        <is>
          <t>CLASICA ORIGINAL CAB</t>
        </is>
      </c>
      <c r="C1062" t="inlineStr">
        <is>
          <t>Manufactura / Caballero / P. Superiores</t>
        </is>
      </c>
      <c r="D1062" t="n">
        <v>22</v>
      </c>
      <c r="E1062" t="n">
        <v>760.65709248</v>
      </c>
      <c r="F1062" t="n">
        <v>0.882397563725</v>
      </c>
      <c r="G1062" t="n">
        <v>18</v>
      </c>
      <c r="H1062" t="n">
        <v>4.598442536</v>
      </c>
      <c r="I1062" t="n">
        <v>2.2</v>
      </c>
      <c r="J1062" t="n">
        <v>0</v>
      </c>
      <c r="K1062" t="inlineStr"/>
    </row>
    <row r="1063">
      <c r="A1063" t="inlineStr">
        <is>
          <t>RIOMIDA48TXL</t>
        </is>
      </c>
      <c r="B1063" t="inlineStr">
        <is>
          <t>RIO ORIGINAL DAMA</t>
        </is>
      </c>
      <c r="C1063" t="inlineStr">
        <is>
          <t>Manufactura / Dama / P. Superiores</t>
        </is>
      </c>
      <c r="D1063" t="n">
        <v>14</v>
      </c>
      <c r="E1063" t="n">
        <v>760.48753949</v>
      </c>
      <c r="F1063" t="n">
        <v>0.9032751636307693</v>
      </c>
      <c r="G1063" t="n">
        <v>23</v>
      </c>
      <c r="H1063" t="n">
        <v>5.538832275</v>
      </c>
      <c r="I1063" t="n">
        <v>1.4</v>
      </c>
      <c r="J1063" t="n">
        <v>0</v>
      </c>
      <c r="K1063" t="inlineStr"/>
    </row>
    <row r="1064">
      <c r="A1064" t="inlineStr">
        <is>
          <t>GEMBADA12TS</t>
        </is>
      </c>
      <c r="B1064" t="inlineStr">
        <is>
          <t>VESTIDO GEMMA DAMA</t>
        </is>
      </c>
      <c r="C1064" t="inlineStr">
        <is>
          <t>Manufactura / Dama / Conjuntos</t>
        </is>
      </c>
      <c r="D1064" t="n">
        <v>15</v>
      </c>
      <c r="E1064" t="n">
        <v>760.4704534599999</v>
      </c>
      <c r="F1064" t="n">
        <v>0.4986463837705882</v>
      </c>
      <c r="G1064" t="n">
        <v>38</v>
      </c>
      <c r="H1064" t="n">
        <v>23.99</v>
      </c>
      <c r="I1064" t="n">
        <v>1.5</v>
      </c>
      <c r="J1064" t="n">
        <v>3</v>
      </c>
      <c r="K1064" t="inlineStr"/>
    </row>
    <row r="1065">
      <c r="A1065" t="inlineStr">
        <is>
          <t>POLPLCA16T2XL</t>
        </is>
      </c>
      <c r="B1065" t="inlineStr">
        <is>
          <t>CLASSIC POLO</t>
        </is>
      </c>
      <c r="C1065" t="inlineStr">
        <is>
          <t>Manufactura / Caballero / P. Superiores</t>
        </is>
      </c>
      <c r="D1065" t="n">
        <v>18</v>
      </c>
      <c r="E1065" t="n">
        <v>756.96897268</v>
      </c>
      <c r="F1065" t="n">
        <v>0.8296589412550001</v>
      </c>
      <c r="G1065" t="n">
        <v>0</v>
      </c>
      <c r="H1065" t="n">
        <v>7.340000000000001</v>
      </c>
      <c r="I1065" t="n">
        <v>1.8</v>
      </c>
      <c r="J1065" t="n">
        <v>1</v>
      </c>
      <c r="K1065" t="inlineStr">
        <is>
          <t>Sin stock</t>
        </is>
      </c>
    </row>
    <row r="1066">
      <c r="A1066" t="inlineStr">
        <is>
          <t>MARMIDA04TL</t>
        </is>
      </c>
      <c r="B1066" t="inlineStr">
        <is>
          <t>MAR ORIGINAL DAMA</t>
        </is>
      </c>
      <c r="C1066" t="inlineStr">
        <is>
          <t>Manufactura / Dama / P. Superiores</t>
        </is>
      </c>
      <c r="D1066" t="n">
        <v>14</v>
      </c>
      <c r="E1066" t="n">
        <v>756.94780025</v>
      </c>
      <c r="F1066" t="n">
        <v>0.9169137650214285</v>
      </c>
      <c r="G1066" t="n">
        <v>47</v>
      </c>
      <c r="H1066" t="n">
        <v>4.278324149</v>
      </c>
      <c r="I1066" t="n">
        <v>1.4</v>
      </c>
      <c r="J1066" t="n">
        <v>0</v>
      </c>
      <c r="K1066" t="inlineStr"/>
    </row>
    <row r="1067">
      <c r="A1067" t="inlineStr">
        <is>
          <t>SARSPKI12T8</t>
        </is>
      </c>
      <c r="B1067" t="inlineStr">
        <is>
          <t>FALDA SARA KIDS</t>
        </is>
      </c>
      <c r="C1067" t="inlineStr">
        <is>
          <t>Manufactura / Kids / P. Inferiores</t>
        </is>
      </c>
      <c r="D1067" t="n">
        <v>18</v>
      </c>
      <c r="E1067" t="n">
        <v>755.28260568</v>
      </c>
      <c r="F1067" t="n">
        <v>0.8637252869941177</v>
      </c>
      <c r="G1067" t="n">
        <v>16</v>
      </c>
      <c r="H1067" t="n">
        <v>5.753743316</v>
      </c>
      <c r="I1067" t="n">
        <v>1.8</v>
      </c>
      <c r="J1067" t="n">
        <v>0</v>
      </c>
      <c r="K1067" t="inlineStr"/>
    </row>
    <row r="1068">
      <c r="A1068" t="inlineStr">
        <is>
          <t>DOMBFCA16TM</t>
        </is>
      </c>
      <c r="B1068" t="inlineStr">
        <is>
          <t>DOMINIC BIO MOVE CAB</t>
        </is>
      </c>
      <c r="C1068" t="inlineStr">
        <is>
          <t>Manufactura / Caballero / P. Superiores</t>
        </is>
      </c>
      <c r="D1068" t="n">
        <v>15</v>
      </c>
      <c r="E1068" t="n">
        <v>752.16968759</v>
      </c>
      <c r="F1068" t="n">
        <v>0.7739064980083333</v>
      </c>
      <c r="G1068" t="n">
        <v>30</v>
      </c>
      <c r="H1068" t="n">
        <v>13.86</v>
      </c>
      <c r="I1068" t="n">
        <v>1.5</v>
      </c>
      <c r="J1068" t="n">
        <v>3</v>
      </c>
      <c r="K1068" t="inlineStr"/>
    </row>
    <row r="1069">
      <c r="A1069" t="inlineStr">
        <is>
          <t>HELBFDA16TS</t>
        </is>
      </c>
      <c r="B1069" t="inlineStr">
        <is>
          <t>HELEN BIO MOVE DAMA</t>
        </is>
      </c>
      <c r="C1069" t="inlineStr">
        <is>
          <t>Manufactura / Dama / P. Superiores</t>
        </is>
      </c>
      <c r="D1069" t="n">
        <v>14</v>
      </c>
      <c r="E1069" t="n">
        <v>752.06956165</v>
      </c>
      <c r="F1069" t="n">
        <v>0.8903454892727273</v>
      </c>
      <c r="G1069" t="n">
        <v>21</v>
      </c>
      <c r="H1069" t="n">
        <v>7.340817460000001</v>
      </c>
      <c r="I1069" t="n">
        <v>1.4</v>
      </c>
      <c r="J1069" t="n">
        <v>0</v>
      </c>
      <c r="K1069" t="inlineStr"/>
    </row>
    <row r="1070">
      <c r="A1070" t="inlineStr">
        <is>
          <t>MAFMIDA70TS</t>
        </is>
      </c>
      <c r="B1070" t="inlineStr">
        <is>
          <t>MAFE ORIGINAL DAMA</t>
        </is>
      </c>
      <c r="C1070" t="inlineStr">
        <is>
          <t>Manufactura / Dama / P. Superiores</t>
        </is>
      </c>
      <c r="D1070" t="n">
        <v>34</v>
      </c>
      <c r="E1070" t="n">
        <v>749.82249711</v>
      </c>
      <c r="F1070" t="n">
        <v>0.8494047522</v>
      </c>
      <c r="G1070" t="n">
        <v>9</v>
      </c>
      <c r="H1070" t="n">
        <v>4.54817671</v>
      </c>
      <c r="I1070" t="n">
        <v>3.4</v>
      </c>
      <c r="J1070" t="n">
        <v>0</v>
      </c>
      <c r="K1070" t="inlineStr"/>
    </row>
    <row r="1071">
      <c r="A1071" t="inlineStr">
        <is>
          <t>GEMBADA12TM</t>
        </is>
      </c>
      <c r="B1071" t="inlineStr">
        <is>
          <t>VESTIDO GEMMA DAMA</t>
        </is>
      </c>
      <c r="C1071" t="inlineStr">
        <is>
          <t>Manufactura / Dama / Conjuntos</t>
        </is>
      </c>
      <c r="D1071" t="n">
        <v>16</v>
      </c>
      <c r="E1071" t="n">
        <v>749.48137731</v>
      </c>
      <c r="F1071" t="n">
        <v>0.4852997711521739</v>
      </c>
      <c r="G1071" t="n">
        <v>35</v>
      </c>
      <c r="H1071" t="n">
        <v>23.99</v>
      </c>
      <c r="I1071" t="n">
        <v>1.6</v>
      </c>
      <c r="J1071" t="n">
        <v>0</v>
      </c>
      <c r="K1071" t="inlineStr"/>
    </row>
    <row r="1072">
      <c r="A1072" t="inlineStr">
        <is>
          <t>RIOMIKI34T2</t>
        </is>
      </c>
      <c r="B1072" t="inlineStr">
        <is>
          <t>RIO ORIGINAL KIDS</t>
        </is>
      </c>
      <c r="C1072" t="inlineStr">
        <is>
          <t>Manufactura / Kids / P. Superiores</t>
        </is>
      </c>
      <c r="D1072" t="n">
        <v>19</v>
      </c>
      <c r="E1072" t="n">
        <v>748.32070816</v>
      </c>
      <c r="F1072" t="n">
        <v>0.9136147175705882</v>
      </c>
      <c r="G1072" t="n">
        <v>15</v>
      </c>
      <c r="H1072" t="n">
        <v>3.617969464</v>
      </c>
      <c r="I1072" t="n">
        <v>1.9</v>
      </c>
      <c r="J1072" t="n">
        <v>1</v>
      </c>
      <c r="K1072" t="inlineStr"/>
    </row>
    <row r="1073">
      <c r="A1073" t="inlineStr">
        <is>
          <t>PANNTKI30T8</t>
        </is>
      </c>
      <c r="B1073" t="inlineStr">
        <is>
          <t>EXPLORE PANTS KIDS</t>
        </is>
      </c>
      <c r="C1073" t="inlineStr">
        <is>
          <t>Manufactura / Kids / P. Inferiores</t>
        </is>
      </c>
      <c r="D1073" t="n">
        <v>15</v>
      </c>
      <c r="E1073" t="n">
        <v>747.07272802</v>
      </c>
      <c r="F1073" t="n">
        <v>0.7343098920714286</v>
      </c>
      <c r="G1073" t="n">
        <v>3</v>
      </c>
      <c r="H1073" t="n">
        <v>13.98</v>
      </c>
      <c r="I1073" t="n">
        <v>1.5</v>
      </c>
      <c r="J1073" t="n">
        <v>0</v>
      </c>
      <c r="K1073" t="inlineStr"/>
    </row>
    <row r="1074">
      <c r="A1074" t="inlineStr">
        <is>
          <t>CLAMECA16T2XL</t>
        </is>
      </c>
      <c r="B1074" t="inlineStr">
        <is>
          <t>CLASICA SPORT CAB</t>
        </is>
      </c>
      <c r="C1074" t="inlineStr">
        <is>
          <t>Manufactura / Caballero / P. Superiores</t>
        </is>
      </c>
      <c r="D1074" t="n">
        <v>17</v>
      </c>
      <c r="E1074" t="n">
        <v>746.7528883700001</v>
      </c>
      <c r="F1074" t="n">
        <v>0.7851544270266667</v>
      </c>
      <c r="G1074" t="n">
        <v>5</v>
      </c>
      <c r="H1074" t="n">
        <v>10.3013454</v>
      </c>
      <c r="I1074" t="n">
        <v>1.7</v>
      </c>
      <c r="J1074" t="n">
        <v>1</v>
      </c>
      <c r="K1074" t="inlineStr"/>
    </row>
    <row r="1075">
      <c r="A1075" t="inlineStr">
        <is>
          <t>LMOFIDA43TXL</t>
        </is>
      </c>
      <c r="B1075" t="inlineStr">
        <is>
          <t>LEGGING MOVA</t>
        </is>
      </c>
      <c r="C1075" t="inlineStr">
        <is>
          <t>Manufactura / Dama / P. Inferiores</t>
        </is>
      </c>
      <c r="D1075" t="n">
        <v>11</v>
      </c>
      <c r="E1075" t="n">
        <v>742.60795682</v>
      </c>
      <c r="F1075" t="n">
        <v>0.7808181216818183</v>
      </c>
      <c r="G1075" t="n">
        <v>9</v>
      </c>
      <c r="H1075" t="n">
        <v>17.7</v>
      </c>
      <c r="I1075" t="n">
        <v>1.1</v>
      </c>
      <c r="J1075" t="n">
        <v>0</v>
      </c>
      <c r="K1075" t="inlineStr"/>
    </row>
    <row r="1076">
      <c r="A1076" t="inlineStr">
        <is>
          <t>SARSPDA16TM</t>
        </is>
      </c>
      <c r="B1076" t="inlineStr">
        <is>
          <t>FALDA SARA DAMA</t>
        </is>
      </c>
      <c r="C1076" t="inlineStr">
        <is>
          <t>Manufactura / Dama / P. Inferiores</t>
        </is>
      </c>
      <c r="D1076" t="n">
        <v>18</v>
      </c>
      <c r="E1076" t="n">
        <v>740.94837436</v>
      </c>
      <c r="F1076" t="n">
        <v>0.78240484188</v>
      </c>
      <c r="G1076" t="n">
        <v>33</v>
      </c>
      <c r="H1076" t="n">
        <v>9.500113852</v>
      </c>
      <c r="I1076" t="n">
        <v>1.8</v>
      </c>
      <c r="J1076" t="n">
        <v>0</v>
      </c>
      <c r="K1076" t="inlineStr"/>
    </row>
    <row r="1077">
      <c r="A1077" t="inlineStr">
        <is>
          <t>SARSPDA30TXS</t>
        </is>
      </c>
      <c r="B1077" t="inlineStr">
        <is>
          <t>FALDA SARA DAMA</t>
        </is>
      </c>
      <c r="C1077" t="inlineStr">
        <is>
          <t>Manufactura / Dama / P. Inferiores</t>
        </is>
      </c>
      <c r="D1077" t="n">
        <v>19</v>
      </c>
      <c r="E1077" t="n">
        <v>739.44795005</v>
      </c>
      <c r="F1077" t="n">
        <v>0.79786702872</v>
      </c>
      <c r="G1077" t="n">
        <v>3</v>
      </c>
      <c r="H1077" t="n">
        <v>9.500113852</v>
      </c>
      <c r="I1077" t="n">
        <v>1.9</v>
      </c>
      <c r="J1077" t="n">
        <v>1</v>
      </c>
      <c r="K1077" t="inlineStr"/>
    </row>
    <row r="1078">
      <c r="A1078" t="inlineStr">
        <is>
          <t>LPR66EQ</t>
        </is>
      </c>
      <c r="B1078" t="inlineStr">
        <is>
          <t>LANYARD PRO</t>
        </is>
      </c>
      <c r="C1078" t="inlineStr">
        <is>
          <t>Equipamiento / Accesorios</t>
        </is>
      </c>
      <c r="D1078" t="n">
        <v>124</v>
      </c>
      <c r="E1078" t="n">
        <v>737.363512866</v>
      </c>
      <c r="F1078" t="n">
        <v>0.8026013018111111</v>
      </c>
      <c r="G1078" t="n">
        <v>547</v>
      </c>
      <c r="H1078" t="n">
        <v>1.15</v>
      </c>
      <c r="I1078" t="n">
        <v>12.4</v>
      </c>
      <c r="J1078" t="n">
        <v>0</v>
      </c>
      <c r="K1078" t="inlineStr"/>
    </row>
    <row r="1079">
      <c r="A1079" t="inlineStr">
        <is>
          <t>DOMBFCA16TL</t>
        </is>
      </c>
      <c r="B1079" t="inlineStr">
        <is>
          <t>DOMINIC BIO MOVE CAB</t>
        </is>
      </c>
      <c r="C1079" t="inlineStr">
        <is>
          <t>Manufactura / Caballero / P. Superiores</t>
        </is>
      </c>
      <c r="D1079" t="n">
        <v>15</v>
      </c>
      <c r="E1079" t="n">
        <v>735.20528095</v>
      </c>
      <c r="F1079" t="n">
        <v>0.7934329538769231</v>
      </c>
      <c r="G1079" t="n">
        <v>31</v>
      </c>
      <c r="H1079" t="n">
        <v>13.86</v>
      </c>
      <c r="I1079" t="n">
        <v>1.5</v>
      </c>
      <c r="J1079" t="n">
        <v>0</v>
      </c>
      <c r="K1079" t="inlineStr"/>
    </row>
    <row r="1080">
      <c r="A1080" t="inlineStr">
        <is>
          <t>HEA161EQ</t>
        </is>
      </c>
      <c r="B1080" t="inlineStr">
        <is>
          <t>HEADBAND</t>
        </is>
      </c>
      <c r="C1080" t="inlineStr">
        <is>
          <t>Equipamiento / Accesorios</t>
        </is>
      </c>
      <c r="D1080" t="n">
        <v>54</v>
      </c>
      <c r="E1080" t="n">
        <v>733.94294292</v>
      </c>
      <c r="F1080" t="n">
        <v>0.690406545506</v>
      </c>
      <c r="G1080" t="n">
        <v>733</v>
      </c>
      <c r="H1080" t="n">
        <v>4.26</v>
      </c>
      <c r="I1080" t="n">
        <v>5.4</v>
      </c>
      <c r="J1080" t="n">
        <v>0</v>
      </c>
      <c r="K1080" t="inlineStr"/>
    </row>
    <row r="1081">
      <c r="A1081" t="inlineStr">
        <is>
          <t>MARMIKI43T2</t>
        </is>
      </c>
      <c r="B1081" t="inlineStr">
        <is>
          <t>MAR ORIGINAL KIDS</t>
        </is>
      </c>
      <c r="C1081" t="inlineStr">
        <is>
          <t>Manufactura / Kids / P. Superiores</t>
        </is>
      </c>
      <c r="D1081" t="n">
        <v>19</v>
      </c>
      <c r="E1081" t="n">
        <v>733.20447195</v>
      </c>
      <c r="F1081" t="n">
        <v>0.9205203340888889</v>
      </c>
      <c r="G1081" t="n">
        <v>34</v>
      </c>
      <c r="H1081" t="n">
        <v>3.168013332</v>
      </c>
      <c r="I1081" t="n">
        <v>1.9</v>
      </c>
      <c r="J1081" t="n">
        <v>0</v>
      </c>
      <c r="K1081" t="inlineStr"/>
    </row>
    <row r="1082">
      <c r="A1082" t="inlineStr">
        <is>
          <t>CLAMIKI43T12</t>
        </is>
      </c>
      <c r="B1082" t="inlineStr">
        <is>
          <t>CLASICA ORIGINAL KIDS</t>
        </is>
      </c>
      <c r="C1082" t="inlineStr">
        <is>
          <t>Manufactura / Kids / P. Superiores</t>
        </is>
      </c>
      <c r="D1082" t="n">
        <v>26</v>
      </c>
      <c r="E1082" t="n">
        <v>732.45087394</v>
      </c>
      <c r="F1082" t="n">
        <v>0.9377468628956522</v>
      </c>
      <c r="G1082" t="n">
        <v>28</v>
      </c>
      <c r="H1082" t="n">
        <v>2.053774806</v>
      </c>
      <c r="I1082" t="n">
        <v>2.6</v>
      </c>
      <c r="J1082" t="n">
        <v>0</v>
      </c>
      <c r="K1082" t="inlineStr"/>
    </row>
    <row r="1083">
      <c r="A1083" t="inlineStr">
        <is>
          <t>ZOEMIDA43TM</t>
        </is>
      </c>
      <c r="B1083" t="inlineStr">
        <is>
          <t>ZOE ORIGINAL DAMA</t>
        </is>
      </c>
      <c r="C1083" t="inlineStr">
        <is>
          <t>Manufactura / Dama / P. Superiores</t>
        </is>
      </c>
      <c r="D1083" t="n">
        <v>22</v>
      </c>
      <c r="E1083" t="n">
        <v>731.73435425</v>
      </c>
      <c r="F1083" t="n">
        <v>0.9036726910823529</v>
      </c>
      <c r="G1083" t="n">
        <v>1</v>
      </c>
      <c r="H1083" t="n">
        <v>4.116585696</v>
      </c>
      <c r="I1083" t="n">
        <v>2.2</v>
      </c>
      <c r="J1083" t="n">
        <v>0</v>
      </c>
      <c r="K1083" t="inlineStr"/>
    </row>
    <row r="1084">
      <c r="A1084" t="inlineStr">
        <is>
          <t>RIOMIKI16T12</t>
        </is>
      </c>
      <c r="B1084" t="inlineStr">
        <is>
          <t>RIO ORIGINAL KIDS</t>
        </is>
      </c>
      <c r="C1084" t="inlineStr">
        <is>
          <t>Manufactura / Kids / P. Superiores</t>
        </is>
      </c>
      <c r="D1084" t="n">
        <v>17</v>
      </c>
      <c r="E1084" t="n">
        <v>730.90844912</v>
      </c>
      <c r="F1084" t="n">
        <v>0.9154659273555557</v>
      </c>
      <c r="G1084" t="n">
        <v>10</v>
      </c>
      <c r="H1084" t="n">
        <v>3.617969464</v>
      </c>
      <c r="I1084" t="n">
        <v>1.7</v>
      </c>
      <c r="J1084" t="n">
        <v>0</v>
      </c>
      <c r="K1084" t="inlineStr"/>
    </row>
    <row r="1085">
      <c r="A1085" t="inlineStr">
        <is>
          <t>RIOMICA01TS</t>
        </is>
      </c>
      <c r="B1085" t="inlineStr">
        <is>
          <t>RIO ORIGINAL CAB</t>
        </is>
      </c>
      <c r="C1085" t="inlineStr">
        <is>
          <t>Manufactura / Caballero / P. Superiores</t>
        </is>
      </c>
      <c r="D1085" t="n">
        <v>14</v>
      </c>
      <c r="E1085" t="n">
        <v>728.89231847</v>
      </c>
      <c r="F1085" t="n">
        <v>0.8869589561083333</v>
      </c>
      <c r="G1085" t="n">
        <v>18</v>
      </c>
      <c r="H1085" t="n">
        <v>5.939350288</v>
      </c>
      <c r="I1085" t="n">
        <v>1.4</v>
      </c>
      <c r="J1085" t="n">
        <v>0</v>
      </c>
      <c r="K1085" t="inlineStr"/>
    </row>
    <row r="1086">
      <c r="A1086" t="inlineStr">
        <is>
          <t>MARMIKI01T4</t>
        </is>
      </c>
      <c r="B1086" t="inlineStr">
        <is>
          <t>MAR ORIGINAL KIDS</t>
        </is>
      </c>
      <c r="C1086" t="inlineStr">
        <is>
          <t>Manufactura / Kids / P. Superiores</t>
        </is>
      </c>
      <c r="D1086" t="n">
        <v>19</v>
      </c>
      <c r="E1086" t="n">
        <v>727.62428928</v>
      </c>
      <c r="F1086" t="n">
        <v>0.9159975048</v>
      </c>
      <c r="G1086" t="n">
        <v>26</v>
      </c>
      <c r="H1086" t="n">
        <v>3.168013332</v>
      </c>
      <c r="I1086" t="n">
        <v>1.9</v>
      </c>
      <c r="J1086" t="n">
        <v>0</v>
      </c>
      <c r="K1086" t="inlineStr"/>
    </row>
    <row r="1087">
      <c r="A1087" t="inlineStr">
        <is>
          <t>MARMIKI13T8</t>
        </is>
      </c>
      <c r="B1087" t="inlineStr">
        <is>
          <t>MAR ORIGINAL KIDS</t>
        </is>
      </c>
      <c r="C1087" t="inlineStr">
        <is>
          <t>Manufactura / Kids / P. Superiores</t>
        </is>
      </c>
      <c r="D1087" t="n">
        <v>19</v>
      </c>
      <c r="E1087" t="n">
        <v>726.35257268</v>
      </c>
      <c r="F1087" t="n">
        <v>0.9164612165263158</v>
      </c>
      <c r="G1087" t="n">
        <v>26</v>
      </c>
      <c r="H1087" t="n">
        <v>3.168013332</v>
      </c>
      <c r="I1087" t="n">
        <v>1.9</v>
      </c>
      <c r="J1087" t="n">
        <v>0</v>
      </c>
      <c r="K1087" t="inlineStr"/>
    </row>
    <row r="1088">
      <c r="A1088" t="inlineStr">
        <is>
          <t>GEMBADA66TM</t>
        </is>
      </c>
      <c r="B1088" t="inlineStr">
        <is>
          <t>VESTIDO GEMMA DAMA</t>
        </is>
      </c>
      <c r="C1088" t="inlineStr">
        <is>
          <t>Manufactura / Dama / Conjuntos</t>
        </is>
      </c>
      <c r="D1088" t="n">
        <v>16</v>
      </c>
      <c r="E1088" t="n">
        <v>725.68287428</v>
      </c>
      <c r="F1088" t="n">
        <v>0.4778945539941176</v>
      </c>
      <c r="G1088" t="n">
        <v>42</v>
      </c>
      <c r="H1088" t="n">
        <v>23.99</v>
      </c>
      <c r="I1088" t="n">
        <v>1.6</v>
      </c>
      <c r="J1088" t="n">
        <v>1</v>
      </c>
      <c r="K1088" t="inlineStr"/>
    </row>
    <row r="1089">
      <c r="A1089" t="inlineStr">
        <is>
          <t>SHONRCA66TM</t>
        </is>
      </c>
      <c r="B1089" t="inlineStr">
        <is>
          <t>SHORT SPORT CAB</t>
        </is>
      </c>
      <c r="C1089" t="inlineStr">
        <is>
          <t>Manufactura / Caballero / P. Inferiores</t>
        </is>
      </c>
      <c r="D1089" t="n">
        <v>23</v>
      </c>
      <c r="E1089" t="n">
        <v>724.89290906</v>
      </c>
      <c r="F1089" t="n">
        <v>0.7653034439285714</v>
      </c>
      <c r="G1089" t="n">
        <v>2</v>
      </c>
      <c r="H1089" t="n">
        <v>10.6514486</v>
      </c>
      <c r="I1089" t="n">
        <v>2.3</v>
      </c>
      <c r="J1089" t="n">
        <v>0</v>
      </c>
      <c r="K1089" t="inlineStr"/>
    </row>
    <row r="1090">
      <c r="A1090" t="inlineStr">
        <is>
          <t>JACKI43T2</t>
        </is>
      </c>
      <c r="B1090" t="inlineStr">
        <is>
          <t>JACKET KIDS</t>
        </is>
      </c>
      <c r="C1090" t="inlineStr">
        <is>
          <t>Manufactura / Kids / P. Superiores</t>
        </is>
      </c>
      <c r="D1090" t="n">
        <v>15</v>
      </c>
      <c r="E1090" t="n">
        <v>724.61355518</v>
      </c>
      <c r="F1090" t="n">
        <v>0.7198513838615385</v>
      </c>
      <c r="G1090" t="n">
        <v>105</v>
      </c>
      <c r="H1090" t="n">
        <v>15.17</v>
      </c>
      <c r="I1090" t="n">
        <v>1.5</v>
      </c>
      <c r="J1090" t="n">
        <v>0</v>
      </c>
      <c r="K1090" t="inlineStr"/>
    </row>
    <row r="1091">
      <c r="A1091" t="inlineStr">
        <is>
          <t>JAPCA01T2XL</t>
        </is>
      </c>
      <c r="B1091" t="inlineStr">
        <is>
          <t>CUADRO JACKET 2.0 CAB</t>
        </is>
      </c>
      <c r="C1091" t="inlineStr">
        <is>
          <t>Equipamiento / Ropa</t>
        </is>
      </c>
      <c r="D1091" t="n">
        <v>10</v>
      </c>
      <c r="E1091" t="n">
        <v>723.95013563</v>
      </c>
      <c r="F1091" t="n">
        <v>0.71639831308</v>
      </c>
      <c r="G1091" t="n">
        <v>288</v>
      </c>
      <c r="H1091" t="n">
        <v>20.25000225</v>
      </c>
      <c r="I1091" t="n">
        <v>1</v>
      </c>
      <c r="J1091" t="n">
        <v>1</v>
      </c>
      <c r="K1091" t="inlineStr"/>
    </row>
    <row r="1092">
      <c r="A1092" t="inlineStr">
        <is>
          <t>CLAMIKI16T10</t>
        </is>
      </c>
      <c r="B1092" t="inlineStr">
        <is>
          <t>CLASICA ORIGINAL KIDS</t>
        </is>
      </c>
      <c r="C1092" t="inlineStr">
        <is>
          <t>Manufactura / Kids / P. Superiores</t>
        </is>
      </c>
      <c r="D1092" t="n">
        <v>23</v>
      </c>
      <c r="E1092" t="n">
        <v>723.44739535</v>
      </c>
      <c r="F1092" t="n">
        <v>0.93471871108</v>
      </c>
      <c r="G1092" t="n">
        <v>31</v>
      </c>
      <c r="H1092" t="n">
        <v>2.053774806</v>
      </c>
      <c r="I1092" t="n">
        <v>2.3</v>
      </c>
      <c r="J1092" t="n">
        <v>0</v>
      </c>
      <c r="K1092" t="inlineStr"/>
    </row>
    <row r="1093">
      <c r="A1093" t="inlineStr">
        <is>
          <t>DOMBFCA43TXL</t>
        </is>
      </c>
      <c r="B1093" t="inlineStr">
        <is>
          <t>DOMINIC BIO MOVE CAB</t>
        </is>
      </c>
      <c r="C1093" t="inlineStr">
        <is>
          <t>Manufactura / Caballero / P. Superiores</t>
        </is>
      </c>
      <c r="D1093" t="n">
        <v>17</v>
      </c>
      <c r="E1093" t="n">
        <v>722.53926158</v>
      </c>
      <c r="F1093" t="n">
        <v>0.7847134202</v>
      </c>
      <c r="G1093" t="n">
        <v>15</v>
      </c>
      <c r="H1093" t="n">
        <v>13.86</v>
      </c>
      <c r="I1093" t="n">
        <v>1.7</v>
      </c>
      <c r="J1093" t="n">
        <v>0</v>
      </c>
      <c r="K1093" t="inlineStr"/>
    </row>
    <row r="1094">
      <c r="A1094" t="inlineStr">
        <is>
          <t>SHOUNKI01T8</t>
        </is>
      </c>
      <c r="B1094" t="inlineStr">
        <is>
          <t>SHORT PLAYA KIDS</t>
        </is>
      </c>
      <c r="C1094" t="inlineStr">
        <is>
          <t>Manufactura / Kids / P. Inferiores</t>
        </is>
      </c>
      <c r="D1094" t="n">
        <v>17</v>
      </c>
      <c r="E1094" t="n">
        <v>720.79781329</v>
      </c>
      <c r="F1094" t="n">
        <v>0.8486777232588235</v>
      </c>
      <c r="G1094" t="n">
        <v>21</v>
      </c>
      <c r="H1094" t="n">
        <v>6.09</v>
      </c>
      <c r="I1094" t="n">
        <v>1.7</v>
      </c>
      <c r="J1094" t="n">
        <v>2</v>
      </c>
      <c r="K1094" t="inlineStr"/>
    </row>
    <row r="1095">
      <c r="A1095" t="inlineStr">
        <is>
          <t>RIOMICA12T2XL</t>
        </is>
      </c>
      <c r="B1095" t="inlineStr">
        <is>
          <t>RIO ORIGINAL CAB</t>
        </is>
      </c>
      <c r="C1095" t="inlineStr">
        <is>
          <t>Manufactura / Caballero / P. Superiores</t>
        </is>
      </c>
      <c r="D1095" t="n">
        <v>14</v>
      </c>
      <c r="E1095" t="n">
        <v>720.73827885</v>
      </c>
      <c r="F1095" t="n">
        <v>0.8840848682642858</v>
      </c>
      <c r="G1095" t="n">
        <v>0</v>
      </c>
      <c r="H1095" t="n">
        <v>5.939350288</v>
      </c>
      <c r="I1095" t="n">
        <v>1.4</v>
      </c>
      <c r="J1095" t="n">
        <v>3</v>
      </c>
      <c r="K1095" t="inlineStr">
        <is>
          <t>Sin stock</t>
        </is>
      </c>
    </row>
    <row r="1096">
      <c r="A1096" t="inlineStr">
        <is>
          <t>CLAMIKI66T2</t>
        </is>
      </c>
      <c r="B1096" t="inlineStr">
        <is>
          <t>CLASICA ORIGINAL KIDS</t>
        </is>
      </c>
      <c r="C1096" t="inlineStr">
        <is>
          <t>Manufactura / Kids / P. Superiores</t>
        </is>
      </c>
      <c r="D1096" t="n">
        <v>17</v>
      </c>
      <c r="E1096" t="n">
        <v>720.6880357699999</v>
      </c>
      <c r="F1096" t="n">
        <v>0.9423560575250001</v>
      </c>
      <c r="G1096" t="n">
        <v>43</v>
      </c>
      <c r="H1096" t="n">
        <v>2.053774806</v>
      </c>
      <c r="I1096" t="n">
        <v>1.7</v>
      </c>
      <c r="J1096" t="n">
        <v>1</v>
      </c>
      <c r="K1096" t="inlineStr"/>
    </row>
    <row r="1097">
      <c r="A1097" t="inlineStr">
        <is>
          <t>CLAMICA30TL</t>
        </is>
      </c>
      <c r="B1097" t="inlineStr">
        <is>
          <t>CLASICA ORIGINAL CAB</t>
        </is>
      </c>
      <c r="C1097" t="inlineStr">
        <is>
          <t>Manufactura / Caballero / P. Superiores</t>
        </is>
      </c>
      <c r="D1097" t="n">
        <v>29</v>
      </c>
      <c r="E1097" t="n">
        <v>720.66779708</v>
      </c>
      <c r="F1097" t="n">
        <v>0.8755668978200001</v>
      </c>
      <c r="G1097" t="n">
        <v>0</v>
      </c>
      <c r="H1097" t="n">
        <v>4.598442536</v>
      </c>
      <c r="I1097" t="n">
        <v>2.9</v>
      </c>
      <c r="J1097" t="n">
        <v>1</v>
      </c>
      <c r="K1097" t="inlineStr">
        <is>
          <t>Sin stock</t>
        </is>
      </c>
    </row>
    <row r="1098">
      <c r="A1098" t="inlineStr">
        <is>
          <t>SHOUNKI29T12</t>
        </is>
      </c>
      <c r="B1098" t="inlineStr">
        <is>
          <t>SHORT PLAYA KIDS</t>
        </is>
      </c>
      <c r="C1098" t="inlineStr">
        <is>
          <t>Manufactura / Kids / P. Inferiores</t>
        </is>
      </c>
      <c r="D1098" t="n">
        <v>18</v>
      </c>
      <c r="E1098" t="n">
        <v>719.61039723</v>
      </c>
      <c r="F1098" t="n">
        <v>0.842447195811111</v>
      </c>
      <c r="G1098" t="n">
        <v>1</v>
      </c>
      <c r="H1098" t="n">
        <v>6.09</v>
      </c>
      <c r="I1098" t="n">
        <v>1.8</v>
      </c>
      <c r="J1098" t="n">
        <v>0</v>
      </c>
      <c r="K1098" t="inlineStr"/>
    </row>
    <row r="1099">
      <c r="A1099" t="inlineStr">
        <is>
          <t>SHOSUKI156T6</t>
        </is>
      </c>
      <c r="B1099" t="inlineStr">
        <is>
          <t>SHORT PLAYA ESTAMPADO KIDS</t>
        </is>
      </c>
      <c r="C1099" t="inlineStr">
        <is>
          <t>Manufactura / Kids / P. Superiores</t>
        </is>
      </c>
      <c r="D1099" t="n">
        <v>16</v>
      </c>
      <c r="E1099" t="n">
        <v>717.91563164</v>
      </c>
      <c r="F1099" t="n">
        <v>0.8368113672888888</v>
      </c>
      <c r="G1099" t="n">
        <v>29</v>
      </c>
      <c r="H1099" t="n">
        <v>7.21</v>
      </c>
      <c r="I1099" t="n">
        <v>1.6</v>
      </c>
      <c r="J1099" t="n">
        <v>0</v>
      </c>
      <c r="K1099" t="inlineStr"/>
    </row>
    <row r="1100">
      <c r="A1100" t="inlineStr">
        <is>
          <t>HELBFDA16TXS</t>
        </is>
      </c>
      <c r="B1100" t="inlineStr">
        <is>
          <t>HELEN BIO MOVE DAMA</t>
        </is>
      </c>
      <c r="C1100" t="inlineStr">
        <is>
          <t>Manufactura / Dama / P. Superiores</t>
        </is>
      </c>
      <c r="D1100" t="n">
        <v>13</v>
      </c>
      <c r="E1100" t="n">
        <v>716.12980741</v>
      </c>
      <c r="F1100" t="n">
        <v>0.8869859589416667</v>
      </c>
      <c r="G1100" t="n">
        <v>102</v>
      </c>
      <c r="H1100" t="n">
        <v>7.340817460000001</v>
      </c>
      <c r="I1100" t="n">
        <v>1.3</v>
      </c>
      <c r="J1100" t="n">
        <v>1</v>
      </c>
      <c r="K1100" t="inlineStr"/>
    </row>
    <row r="1101">
      <c r="A1101" t="inlineStr">
        <is>
          <t>CLAMICA04TL</t>
        </is>
      </c>
      <c r="B1101" t="inlineStr">
        <is>
          <t>CLASICA ORIGINAL CAB</t>
        </is>
      </c>
      <c r="C1101" t="inlineStr">
        <is>
          <t>Manufactura / Caballero / P. Superiores</t>
        </is>
      </c>
      <c r="D1101" t="n">
        <v>20</v>
      </c>
      <c r="E1101" t="n">
        <v>715.99447608</v>
      </c>
      <c r="F1101" t="n">
        <v>0.8883703382470588</v>
      </c>
      <c r="G1101" t="n">
        <v>23</v>
      </c>
      <c r="H1101" t="n">
        <v>4.598442536</v>
      </c>
      <c r="I1101" t="n">
        <v>2</v>
      </c>
      <c r="J1101" t="n">
        <v>0</v>
      </c>
      <c r="K1101" t="inlineStr"/>
    </row>
    <row r="1102">
      <c r="A1102" t="inlineStr">
        <is>
          <t>ZOEMIDA43TL</t>
        </is>
      </c>
      <c r="B1102" t="inlineStr">
        <is>
          <t>ZOE ORIGINAL DAMA</t>
        </is>
      </c>
      <c r="C1102" t="inlineStr">
        <is>
          <t>Manufactura / Dama / P. Superiores</t>
        </is>
      </c>
      <c r="D1102" t="n">
        <v>19</v>
      </c>
      <c r="E1102" t="n">
        <v>714.97515358</v>
      </c>
      <c r="F1102" t="n">
        <v>0.8968359110882353</v>
      </c>
      <c r="G1102" t="n">
        <v>4</v>
      </c>
      <c r="H1102" t="n">
        <v>4.116585696</v>
      </c>
      <c r="I1102" t="n">
        <v>1.9</v>
      </c>
      <c r="J1102" t="n">
        <v>0</v>
      </c>
      <c r="K1102" t="inlineStr"/>
    </row>
    <row r="1103">
      <c r="A1103" t="inlineStr">
        <is>
          <t>SARSPKI12T12</t>
        </is>
      </c>
      <c r="B1103" t="inlineStr">
        <is>
          <t>FALDA SARA KIDS</t>
        </is>
      </c>
      <c r="C1103" t="inlineStr">
        <is>
          <t>Manufactura / Kids / P. Inferiores</t>
        </is>
      </c>
      <c r="D1103" t="n">
        <v>16</v>
      </c>
      <c r="E1103" t="n">
        <v>714.21235088</v>
      </c>
      <c r="F1103" t="n">
        <v>0.86354408393125</v>
      </c>
      <c r="G1103" t="n">
        <v>17</v>
      </c>
      <c r="H1103" t="n">
        <v>5.753743316</v>
      </c>
      <c r="I1103" t="n">
        <v>1.6</v>
      </c>
      <c r="J1103" t="n">
        <v>0</v>
      </c>
      <c r="K1103" t="inlineStr"/>
    </row>
    <row r="1104">
      <c r="A1104" t="inlineStr">
        <is>
          <t>SHOSUKI153T2</t>
        </is>
      </c>
      <c r="B1104" t="inlineStr">
        <is>
          <t>SHORT PLAYA ESTAMPADO KIDS</t>
        </is>
      </c>
      <c r="C1104" t="inlineStr">
        <is>
          <t>Manufactura / Kids / P. Superiores</t>
        </is>
      </c>
      <c r="D1104" t="n">
        <v>17</v>
      </c>
      <c r="E1104" t="n">
        <v>713.8919952</v>
      </c>
      <c r="F1104" t="n">
        <v>0.830974270075</v>
      </c>
      <c r="G1104" t="n">
        <v>6</v>
      </c>
      <c r="H1104" t="n">
        <v>7.210000000000001</v>
      </c>
      <c r="I1104" t="n">
        <v>1.7</v>
      </c>
      <c r="J1104" t="n">
        <v>2</v>
      </c>
      <c r="K1104" t="inlineStr"/>
    </row>
    <row r="1105">
      <c r="A1105" t="inlineStr">
        <is>
          <t>JACDA33TM</t>
        </is>
      </c>
      <c r="B1105" t="inlineStr">
        <is>
          <t>JACKET DAMA</t>
        </is>
      </c>
      <c r="C1105" t="inlineStr">
        <is>
          <t>Equipamiento / Ropa</t>
        </is>
      </c>
      <c r="D1105" t="n">
        <v>11</v>
      </c>
      <c r="E1105" t="n">
        <v>712.64414484</v>
      </c>
      <c r="F1105" t="n">
        <v>0.6857790089636363</v>
      </c>
      <c r="G1105" t="n">
        <v>0</v>
      </c>
      <c r="H1105" t="n">
        <v>20.25</v>
      </c>
      <c r="I1105" t="n">
        <v>1.1</v>
      </c>
      <c r="J1105" t="n">
        <v>7</v>
      </c>
      <c r="K1105" t="inlineStr">
        <is>
          <t>Sin stock</t>
        </is>
      </c>
    </row>
    <row r="1106">
      <c r="A1106" t="inlineStr">
        <is>
          <t>ZOEMIDA43TXS</t>
        </is>
      </c>
      <c r="B1106" t="inlineStr">
        <is>
          <t>ZOE ORIGINAL DAMA</t>
        </is>
      </c>
      <c r="C1106" t="inlineStr">
        <is>
          <t>Manufactura / Dama / P. Superiores</t>
        </is>
      </c>
      <c r="D1106" t="n">
        <v>28</v>
      </c>
      <c r="E1106" t="n">
        <v>712.0074505499999</v>
      </c>
      <c r="F1106" t="n">
        <v>0.8948742671647059</v>
      </c>
      <c r="G1106" t="n">
        <v>15</v>
      </c>
      <c r="H1106" t="n">
        <v>4.116585696</v>
      </c>
      <c r="I1106" t="n">
        <v>2.8</v>
      </c>
      <c r="J1106" t="n">
        <v>0</v>
      </c>
      <c r="K1106" t="inlineStr"/>
    </row>
    <row r="1107">
      <c r="A1107" t="inlineStr">
        <is>
          <t>ADUMMCA30TL</t>
        </is>
      </c>
      <c r="B1107" t="inlineStr">
        <is>
          <t>ACTIVE DUO CAB</t>
        </is>
      </c>
      <c r="C1107" t="inlineStr">
        <is>
          <t>Manufactura / Caballero / P. Superiores</t>
        </is>
      </c>
      <c r="D1107" t="n">
        <v>23</v>
      </c>
      <c r="E1107" t="n">
        <v>711.63233645</v>
      </c>
      <c r="F1107" t="n">
        <v>0.8818235215125</v>
      </c>
      <c r="G1107" t="n">
        <v>3</v>
      </c>
      <c r="H1107" t="n">
        <v>5.09</v>
      </c>
      <c r="I1107" t="n">
        <v>2.3</v>
      </c>
      <c r="J1107" t="n">
        <v>0</v>
      </c>
      <c r="K1107" t="inlineStr"/>
    </row>
    <row r="1108">
      <c r="A1108" t="inlineStr">
        <is>
          <t>BASCCDA43TXL</t>
        </is>
      </c>
      <c r="B1108" t="inlineStr">
        <is>
          <t>BASIC LINE SHORT DAMA</t>
        </is>
      </c>
      <c r="C1108" t="inlineStr">
        <is>
          <t>Manufactura / Dama / P. Inferiores</t>
        </is>
      </c>
      <c r="D1108" t="n">
        <v>15</v>
      </c>
      <c r="E1108" t="n">
        <v>711.51716786</v>
      </c>
      <c r="F1108" t="n">
        <v>0.8717254999333334</v>
      </c>
      <c r="G1108" t="n">
        <v>56</v>
      </c>
      <c r="H1108" t="n">
        <v>6.01</v>
      </c>
      <c r="I1108" t="n">
        <v>1.5</v>
      </c>
      <c r="J1108" t="n">
        <v>0</v>
      </c>
      <c r="K1108" t="inlineStr"/>
    </row>
    <row r="1109">
      <c r="A1109" t="inlineStr">
        <is>
          <t>ADUMMCA30TM</t>
        </is>
      </c>
      <c r="B1109" t="inlineStr">
        <is>
          <t>ACTIVE DUO CAB</t>
        </is>
      </c>
      <c r="C1109" t="inlineStr">
        <is>
          <t>Manufactura / Caballero / P. Superiores</t>
        </is>
      </c>
      <c r="D1109" t="n">
        <v>20</v>
      </c>
      <c r="E1109" t="n">
        <v>710.4301030199999</v>
      </c>
      <c r="F1109" t="n">
        <v>0.8840159760666667</v>
      </c>
      <c r="G1109" t="n">
        <v>1</v>
      </c>
      <c r="H1109" t="n">
        <v>5.09</v>
      </c>
      <c r="I1109" t="n">
        <v>2</v>
      </c>
      <c r="J1109" t="n">
        <v>0</v>
      </c>
      <c r="K1109" t="inlineStr"/>
    </row>
    <row r="1110">
      <c r="A1110" t="inlineStr">
        <is>
          <t>MIKFNDA13TM</t>
        </is>
      </c>
      <c r="B1110" t="inlineStr">
        <is>
          <t>MIKA SPORT LITE DAMA</t>
        </is>
      </c>
      <c r="C1110" t="inlineStr">
        <is>
          <t>Manufactura / Dama / P. Superiores</t>
        </is>
      </c>
      <c r="D1110" t="n">
        <v>22</v>
      </c>
      <c r="E1110" t="n">
        <v>710.15450335</v>
      </c>
      <c r="F1110" t="n">
        <v>0.8250219884</v>
      </c>
      <c r="G1110" t="n">
        <v>32</v>
      </c>
      <c r="H1110" t="n">
        <v>5.484675344</v>
      </c>
      <c r="I1110" t="n">
        <v>2.2</v>
      </c>
      <c r="J1110" t="n">
        <v>1</v>
      </c>
      <c r="K1110" t="inlineStr"/>
    </row>
    <row r="1111">
      <c r="A1111" t="inlineStr">
        <is>
          <t>RIOMIKI66T8</t>
        </is>
      </c>
      <c r="B1111" t="inlineStr">
        <is>
          <t>RIO ORIGINAL KIDS</t>
        </is>
      </c>
      <c r="C1111" t="inlineStr">
        <is>
          <t>Manufactura / Kids / P. Superiores</t>
        </is>
      </c>
      <c r="D1111" t="n">
        <v>16</v>
      </c>
      <c r="E1111" t="n">
        <v>708.09360521</v>
      </c>
      <c r="F1111" t="n">
        <v>0.9163125398666667</v>
      </c>
      <c r="G1111" t="n">
        <v>20</v>
      </c>
      <c r="H1111" t="n">
        <v>3.617969464</v>
      </c>
      <c r="I1111" t="n">
        <v>1.6</v>
      </c>
      <c r="J1111" t="n">
        <v>0</v>
      </c>
      <c r="K1111" t="inlineStr"/>
    </row>
    <row r="1112">
      <c r="A1112" t="inlineStr">
        <is>
          <t>ZOEMIDA12TS</t>
        </is>
      </c>
      <c r="B1112" t="inlineStr">
        <is>
          <t>ZOE ORIGINAL DAMA</t>
        </is>
      </c>
      <c r="C1112" t="inlineStr">
        <is>
          <t>Manufactura / Dama / P. Superiores</t>
        </is>
      </c>
      <c r="D1112" t="n">
        <v>18</v>
      </c>
      <c r="E1112" t="n">
        <v>707.75966479</v>
      </c>
      <c r="F1112" t="n">
        <v>0.8946553597375</v>
      </c>
      <c r="G1112" t="n">
        <v>1</v>
      </c>
      <c r="H1112" t="n">
        <v>4.116585696</v>
      </c>
      <c r="I1112" t="n">
        <v>1.8</v>
      </c>
      <c r="J1112" t="n">
        <v>2</v>
      </c>
      <c r="K1112" t="inlineStr"/>
    </row>
    <row r="1113">
      <c r="A1113" t="inlineStr">
        <is>
          <t>PANNTKI43T4</t>
        </is>
      </c>
      <c r="B1113" t="inlineStr">
        <is>
          <t>EXPLORE PANTS KIDS</t>
        </is>
      </c>
      <c r="C1113" t="inlineStr">
        <is>
          <t>Manufactura / Kids / P. Inferiores</t>
        </is>
      </c>
      <c r="D1113" t="n">
        <v>14</v>
      </c>
      <c r="E1113" t="n">
        <v>706.25453942</v>
      </c>
      <c r="F1113" t="n">
        <v>0.7167642855428572</v>
      </c>
      <c r="G1113" t="n">
        <v>14</v>
      </c>
      <c r="H1113" t="n">
        <v>13.98</v>
      </c>
      <c r="I1113" t="n">
        <v>1.4</v>
      </c>
      <c r="J1113" t="n">
        <v>1</v>
      </c>
      <c r="K1113" t="inlineStr"/>
    </row>
    <row r="1114">
      <c r="A1114" t="inlineStr">
        <is>
          <t>LMOFIDA12TL</t>
        </is>
      </c>
      <c r="B1114" t="inlineStr">
        <is>
          <t>LEGGING MOVA</t>
        </is>
      </c>
      <c r="C1114" t="inlineStr">
        <is>
          <t>Manufactura / Dama / P. Inferiores</t>
        </is>
      </c>
      <c r="D1114" t="n">
        <v>12</v>
      </c>
      <c r="E1114" t="n">
        <v>705.73306522</v>
      </c>
      <c r="F1114" t="n">
        <v>0.7631768178909091</v>
      </c>
      <c r="G1114" t="n">
        <v>4</v>
      </c>
      <c r="H1114" t="n">
        <v>17.7</v>
      </c>
      <c r="I1114" t="n">
        <v>1.2</v>
      </c>
      <c r="J1114" t="n">
        <v>1</v>
      </c>
      <c r="K1114" t="inlineStr"/>
    </row>
    <row r="1115">
      <c r="A1115" t="inlineStr">
        <is>
          <t>MAFMIDA48TM</t>
        </is>
      </c>
      <c r="B1115" t="inlineStr">
        <is>
          <t>MAFE ORIGINAL DAMA</t>
        </is>
      </c>
      <c r="C1115" t="inlineStr">
        <is>
          <t>Manufactura / Dama / P. Superiores</t>
        </is>
      </c>
      <c r="D1115" t="n">
        <v>22</v>
      </c>
      <c r="E1115" t="n">
        <v>705.6467692799999</v>
      </c>
      <c r="F1115" t="n">
        <v>0.8537996203045455</v>
      </c>
      <c r="G1115" t="n">
        <v>28</v>
      </c>
      <c r="H1115" t="n">
        <v>4.54817671</v>
      </c>
      <c r="I1115" t="n">
        <v>2.2</v>
      </c>
      <c r="J1115" t="n">
        <v>0</v>
      </c>
      <c r="K1115" t="inlineStr"/>
    </row>
    <row r="1116">
      <c r="A1116" t="inlineStr">
        <is>
          <t>MARMIDA13TXL</t>
        </is>
      </c>
      <c r="B1116" t="inlineStr">
        <is>
          <t>MAR ORIGINAL DAMA</t>
        </is>
      </c>
      <c r="C1116" t="inlineStr">
        <is>
          <t>Manufactura / Dama / P. Superiores</t>
        </is>
      </c>
      <c r="D1116" t="n">
        <v>17</v>
      </c>
      <c r="E1116" t="n">
        <v>704.8227989100001</v>
      </c>
      <c r="F1116" t="n">
        <v>0.9079532683</v>
      </c>
      <c r="G1116" t="n">
        <v>45</v>
      </c>
      <c r="H1116" t="n">
        <v>4.278324149</v>
      </c>
      <c r="I1116" t="n">
        <v>1.7</v>
      </c>
      <c r="J1116" t="n">
        <v>1</v>
      </c>
      <c r="K1116" t="inlineStr"/>
    </row>
    <row r="1117">
      <c r="A1117" t="inlineStr">
        <is>
          <t>CLAMIKI16T12</t>
        </is>
      </c>
      <c r="B1117" t="inlineStr">
        <is>
          <t>CLASICA ORIGINAL KIDS</t>
        </is>
      </c>
      <c r="C1117" t="inlineStr">
        <is>
          <t>Manufactura / Kids / P. Superiores</t>
        </is>
      </c>
      <c r="D1117" t="n">
        <v>23</v>
      </c>
      <c r="E1117" t="n">
        <v>704.2212629110051</v>
      </c>
      <c r="F1117" t="n">
        <v>0.93234649795</v>
      </c>
      <c r="G1117" t="n">
        <v>43</v>
      </c>
      <c r="H1117" t="n">
        <v>2.053774806</v>
      </c>
      <c r="I1117" t="n">
        <v>2.3</v>
      </c>
      <c r="J1117" t="n">
        <v>0</v>
      </c>
      <c r="K1117" t="inlineStr"/>
    </row>
    <row r="1118">
      <c r="A1118" t="inlineStr">
        <is>
          <t>JAPKI01T4</t>
        </is>
      </c>
      <c r="B1118" t="inlineStr">
        <is>
          <t>CUADRO JACKET 2.0 KIDS</t>
        </is>
      </c>
      <c r="C1118" t="inlineStr">
        <is>
          <t>Equipamiento / Ropa</t>
        </is>
      </c>
      <c r="D1118" t="n">
        <v>12</v>
      </c>
      <c r="E1118" t="n">
        <v>704.00890743</v>
      </c>
      <c r="F1118" t="n">
        <v>0.7621049127615384</v>
      </c>
      <c r="G1118" t="n">
        <v>31</v>
      </c>
      <c r="H1118" t="n">
        <v>15.17</v>
      </c>
      <c r="I1118" t="n">
        <v>1.2</v>
      </c>
      <c r="J1118" t="n">
        <v>0</v>
      </c>
      <c r="K1118" t="inlineStr"/>
    </row>
    <row r="1119">
      <c r="A1119" t="inlineStr">
        <is>
          <t>RIOMIKI66T14</t>
        </is>
      </c>
      <c r="B1119" t="inlineStr">
        <is>
          <t>RIO ORIGINAL KIDS</t>
        </is>
      </c>
      <c r="C1119" t="inlineStr">
        <is>
          <t>Manufactura / Kids / P. Superiores</t>
        </is>
      </c>
      <c r="D1119" t="n">
        <v>18</v>
      </c>
      <c r="E1119" t="n">
        <v>703.91512693</v>
      </c>
      <c r="F1119" t="n">
        <v>0.916127691</v>
      </c>
      <c r="G1119" t="n">
        <v>37</v>
      </c>
      <c r="H1119" t="n">
        <v>3.617969464</v>
      </c>
      <c r="I1119" t="n">
        <v>1.8</v>
      </c>
      <c r="J1119" t="n">
        <v>0</v>
      </c>
      <c r="K1119" t="inlineStr"/>
    </row>
    <row r="1120">
      <c r="A1120" t="inlineStr">
        <is>
          <t>RIOMIDA13TXS</t>
        </is>
      </c>
      <c r="B1120" t="inlineStr">
        <is>
          <t>RIO ORIGINAL DAMA</t>
        </is>
      </c>
      <c r="C1120" t="inlineStr">
        <is>
          <t>Manufactura / Dama / P. Superiores</t>
        </is>
      </c>
      <c r="D1120" t="n">
        <v>13</v>
      </c>
      <c r="E1120" t="n">
        <v>702.89854347</v>
      </c>
      <c r="F1120" t="n">
        <v>0.9040817676166667</v>
      </c>
      <c r="G1120" t="n">
        <v>2</v>
      </c>
      <c r="H1120" t="n">
        <v>5.538832275</v>
      </c>
      <c r="I1120" t="n">
        <v>1.3</v>
      </c>
      <c r="J1120" t="n">
        <v>3</v>
      </c>
      <c r="K1120" t="inlineStr"/>
    </row>
    <row r="1121">
      <c r="A1121" t="inlineStr">
        <is>
          <t>CLAMEDA30TL</t>
        </is>
      </c>
      <c r="B1121" t="inlineStr">
        <is>
          <t>CLÁSICA SPORT DAMA</t>
        </is>
      </c>
      <c r="C1121" t="inlineStr">
        <is>
          <t>Manufactura / Dama / P. Superiores</t>
        </is>
      </c>
      <c r="D1121" t="n">
        <v>16</v>
      </c>
      <c r="E1121" t="n">
        <v>702.12196589</v>
      </c>
      <c r="F1121" t="n">
        <v>0.8670774650437501</v>
      </c>
      <c r="G1121" t="n">
        <v>2</v>
      </c>
      <c r="H1121" t="n">
        <v>6.536105769</v>
      </c>
      <c r="I1121" t="n">
        <v>1.6</v>
      </c>
      <c r="J1121" t="n">
        <v>0</v>
      </c>
      <c r="K1121" t="inlineStr"/>
    </row>
    <row r="1122">
      <c r="A1122" t="inlineStr">
        <is>
          <t>PANNTKI43T8</t>
        </is>
      </c>
      <c r="B1122" t="inlineStr">
        <is>
          <t>EXPLORE PANTS KIDS</t>
        </is>
      </c>
      <c r="C1122" t="inlineStr">
        <is>
          <t>Manufactura / Kids / P. Inferiores</t>
        </is>
      </c>
      <c r="D1122" t="n">
        <v>14</v>
      </c>
      <c r="E1122" t="n">
        <v>697.18947553</v>
      </c>
      <c r="F1122" t="n">
        <v>0.71610419605</v>
      </c>
      <c r="G1122" t="n">
        <v>25</v>
      </c>
      <c r="H1122" t="n">
        <v>13.98</v>
      </c>
      <c r="I1122" t="n">
        <v>1.4</v>
      </c>
      <c r="J1122" t="n">
        <v>0</v>
      </c>
      <c r="K1122" t="inlineStr"/>
    </row>
    <row r="1123">
      <c r="A1123" t="inlineStr">
        <is>
          <t>MAFMIDA70TM</t>
        </is>
      </c>
      <c r="B1123" t="inlineStr">
        <is>
          <t>MAFE ORIGINAL DAMA</t>
        </is>
      </c>
      <c r="C1123" t="inlineStr">
        <is>
          <t>Manufactura / Dama / P. Superiores</t>
        </is>
      </c>
      <c r="D1123" t="n">
        <v>22</v>
      </c>
      <c r="E1123" t="n">
        <v>695.9660626799999</v>
      </c>
      <c r="F1123" t="n">
        <v>0.8510261246636364</v>
      </c>
      <c r="G1123" t="n">
        <v>9</v>
      </c>
      <c r="H1123" t="n">
        <v>4.54817671</v>
      </c>
      <c r="I1123" t="n">
        <v>2.2</v>
      </c>
      <c r="J1123" t="n">
        <v>0</v>
      </c>
      <c r="K1123" t="inlineStr"/>
    </row>
    <row r="1124">
      <c r="A1124" t="inlineStr">
        <is>
          <t>RIOMIKI01T8</t>
        </is>
      </c>
      <c r="B1124" t="inlineStr">
        <is>
          <t>RIO ORIGINAL KIDS</t>
        </is>
      </c>
      <c r="C1124" t="inlineStr">
        <is>
          <t>Manufactura / Kids / P. Superiores</t>
        </is>
      </c>
      <c r="D1124" t="n">
        <v>17</v>
      </c>
      <c r="E1124" t="n">
        <v>693.77771682</v>
      </c>
      <c r="F1124" t="n">
        <v>0.9077750860882352</v>
      </c>
      <c r="G1124" t="n">
        <v>27</v>
      </c>
      <c r="H1124" t="n">
        <v>3.617969464</v>
      </c>
      <c r="I1124" t="n">
        <v>1.7</v>
      </c>
      <c r="J1124" t="n">
        <v>1</v>
      </c>
      <c r="K1124" t="inlineStr"/>
    </row>
    <row r="1125">
      <c r="A1125" t="inlineStr">
        <is>
          <t>SHOUNKI13T8</t>
        </is>
      </c>
      <c r="B1125" t="inlineStr">
        <is>
          <t>SHORT PLAYA KIDS</t>
        </is>
      </c>
      <c r="C1125" t="inlineStr">
        <is>
          <t>Manufactura / Kids / P. Inferiores</t>
        </is>
      </c>
      <c r="D1125" t="n">
        <v>17</v>
      </c>
      <c r="E1125" t="n">
        <v>692.79221718</v>
      </c>
      <c r="F1125" t="n">
        <v>0.8470210044294118</v>
      </c>
      <c r="G1125" t="n">
        <v>11</v>
      </c>
      <c r="H1125" t="n">
        <v>6.09</v>
      </c>
      <c r="I1125" t="n">
        <v>1.7</v>
      </c>
      <c r="J1125" t="n">
        <v>0</v>
      </c>
      <c r="K1125" t="inlineStr"/>
    </row>
    <row r="1126">
      <c r="A1126" t="inlineStr">
        <is>
          <t>PANNTKI43T10</t>
        </is>
      </c>
      <c r="B1126" t="inlineStr">
        <is>
          <t>EXPLORE PANTS KIDS</t>
        </is>
      </c>
      <c r="C1126" t="inlineStr">
        <is>
          <t>Manufactura / Kids / P. Inferiores</t>
        </is>
      </c>
      <c r="D1126" t="n">
        <v>15</v>
      </c>
      <c r="E1126" t="n">
        <v>691.3351438899999</v>
      </c>
      <c r="F1126" t="n">
        <v>0.7140163795461538</v>
      </c>
      <c r="G1126" t="n">
        <v>12</v>
      </c>
      <c r="H1126" t="n">
        <v>13.98</v>
      </c>
      <c r="I1126" t="n">
        <v>1.5</v>
      </c>
      <c r="J1126" t="n">
        <v>0</v>
      </c>
      <c r="K1126" t="inlineStr"/>
    </row>
    <row r="1127">
      <c r="A1127" t="inlineStr">
        <is>
          <t>MAFMIDA43TXL</t>
        </is>
      </c>
      <c r="B1127" t="inlineStr">
        <is>
          <t>MAFE ORIGINAL DAMA</t>
        </is>
      </c>
      <c r="C1127" t="inlineStr">
        <is>
          <t>Manufactura / Dama / P. Superiores</t>
        </is>
      </c>
      <c r="D1127" t="n">
        <v>23</v>
      </c>
      <c r="E1127" t="n">
        <v>691.0830124300001</v>
      </c>
      <c r="F1127" t="n">
        <v>0.8525563010833334</v>
      </c>
      <c r="G1127" t="n">
        <v>25</v>
      </c>
      <c r="H1127" t="n">
        <v>4.54817671</v>
      </c>
      <c r="I1127" t="n">
        <v>2.3</v>
      </c>
      <c r="J1127" t="n">
        <v>0</v>
      </c>
      <c r="K1127" t="inlineStr"/>
    </row>
    <row r="1128">
      <c r="A1128" t="inlineStr">
        <is>
          <t>MARMIKI11T10</t>
        </is>
      </c>
      <c r="B1128" t="inlineStr">
        <is>
          <t>MAR ORIGINAL KIDS</t>
        </is>
      </c>
      <c r="C1128" t="inlineStr">
        <is>
          <t>Manufactura / Kids / P. Superiores</t>
        </is>
      </c>
      <c r="D1128" t="n">
        <v>18</v>
      </c>
      <c r="E1128" t="n">
        <v>689.6635255800001</v>
      </c>
      <c r="F1128" t="n">
        <v>0.9157146196299999</v>
      </c>
      <c r="G1128" t="n">
        <v>0</v>
      </c>
      <c r="H1128" t="n">
        <v>3.168013332</v>
      </c>
      <c r="I1128" t="n">
        <v>1.8</v>
      </c>
      <c r="J1128" t="n">
        <v>3</v>
      </c>
      <c r="K1128" t="inlineStr">
        <is>
          <t>Sin stock</t>
        </is>
      </c>
    </row>
    <row r="1129">
      <c r="A1129" t="inlineStr">
        <is>
          <t>SHOUNKI01T10</t>
        </is>
      </c>
      <c r="B1129" t="inlineStr">
        <is>
          <t>SHORT PLAYA KIDS</t>
        </is>
      </c>
      <c r="C1129" t="inlineStr">
        <is>
          <t>Manufactura / Kids / P. Inferiores</t>
        </is>
      </c>
      <c r="D1129" t="n">
        <v>17</v>
      </c>
      <c r="E1129" t="n">
        <v>689.2432879</v>
      </c>
      <c r="F1129" t="n">
        <v>0.8502114602937501</v>
      </c>
      <c r="G1129" t="n">
        <v>7</v>
      </c>
      <c r="H1129" t="n">
        <v>6.09</v>
      </c>
      <c r="I1129" t="n">
        <v>1.7</v>
      </c>
      <c r="J1129" t="n">
        <v>0</v>
      </c>
      <c r="K1129" t="inlineStr"/>
    </row>
    <row r="1130">
      <c r="A1130" t="inlineStr">
        <is>
          <t>RIOMICA30TS</t>
        </is>
      </c>
      <c r="B1130" t="inlineStr">
        <is>
          <t>RIO ORIGINAL CAB</t>
        </is>
      </c>
      <c r="C1130" t="inlineStr">
        <is>
          <t>Manufactura / Caballero / P. Superiores</t>
        </is>
      </c>
      <c r="D1130" t="n">
        <v>12</v>
      </c>
      <c r="E1130" t="n">
        <v>688.64429912</v>
      </c>
      <c r="F1130" t="n">
        <v>0.8951938264833333</v>
      </c>
      <c r="G1130" t="n">
        <v>30</v>
      </c>
      <c r="H1130" t="n">
        <v>5.939350288</v>
      </c>
      <c r="I1130" t="n">
        <v>1.2</v>
      </c>
      <c r="J1130" t="n">
        <v>0</v>
      </c>
      <c r="K1130" t="inlineStr"/>
    </row>
    <row r="1131">
      <c r="A1131" t="inlineStr">
        <is>
          <t>MARMIKI53T2</t>
        </is>
      </c>
      <c r="B1131" t="inlineStr">
        <is>
          <t>MAR ORIGINAL KIDS</t>
        </is>
      </c>
      <c r="C1131" t="inlineStr">
        <is>
          <t>Manufactura / Kids / P. Superiores</t>
        </is>
      </c>
      <c r="D1131" t="n">
        <v>18</v>
      </c>
      <c r="E1131" t="n">
        <v>688.47091491</v>
      </c>
      <c r="F1131" t="n">
        <v>0.9173122088882353</v>
      </c>
      <c r="G1131" t="n">
        <v>15</v>
      </c>
      <c r="H1131" t="n">
        <v>3.168013332</v>
      </c>
      <c r="I1131" t="n">
        <v>1.8</v>
      </c>
      <c r="J1131" t="n">
        <v>0</v>
      </c>
      <c r="K1131" t="inlineStr"/>
    </row>
    <row r="1132">
      <c r="A1132" t="inlineStr">
        <is>
          <t>BASCCDA38TS</t>
        </is>
      </c>
      <c r="B1132" t="inlineStr">
        <is>
          <t>BASIC LINE SHORT DAMA</t>
        </is>
      </c>
      <c r="C1132" t="inlineStr">
        <is>
          <t>Manufactura / Dama / P. Inferiores</t>
        </is>
      </c>
      <c r="D1132" t="n">
        <v>18</v>
      </c>
      <c r="E1132" t="n">
        <v>687.98265741</v>
      </c>
      <c r="F1132" t="n">
        <v>0.87042316455</v>
      </c>
      <c r="G1132" t="n">
        <v>40</v>
      </c>
      <c r="H1132" t="n">
        <v>6.01</v>
      </c>
      <c r="I1132" t="n">
        <v>1.8</v>
      </c>
      <c r="J1132" t="n">
        <v>1</v>
      </c>
      <c r="K1132" t="inlineStr"/>
    </row>
    <row r="1133">
      <c r="A1133" t="inlineStr">
        <is>
          <t>SHOSUKI156T10</t>
        </is>
      </c>
      <c r="B1133" t="inlineStr">
        <is>
          <t>SHORT PLAYA ESTAMPADO KIDS</t>
        </is>
      </c>
      <c r="C1133" t="inlineStr">
        <is>
          <t>Manufactura / Kids / P. Superiores</t>
        </is>
      </c>
      <c r="D1133" t="n">
        <v>17</v>
      </c>
      <c r="E1133" t="n">
        <v>686.41177472</v>
      </c>
      <c r="F1133" t="n">
        <v>0.8186817807526316</v>
      </c>
      <c r="G1133" t="n">
        <v>28</v>
      </c>
      <c r="H1133" t="n">
        <v>7.210000000000001</v>
      </c>
      <c r="I1133" t="n">
        <v>1.7</v>
      </c>
      <c r="J1133" t="n">
        <v>0</v>
      </c>
      <c r="K1133" t="inlineStr"/>
    </row>
    <row r="1134">
      <c r="A1134" t="inlineStr">
        <is>
          <t>NAHFNCA16TL</t>
        </is>
      </c>
      <c r="B1134" t="inlineStr">
        <is>
          <t>NOAH SPORT LITE CAB</t>
        </is>
      </c>
      <c r="C1134" t="inlineStr">
        <is>
          <t>Manufactura / Caballero / P. Superiores</t>
        </is>
      </c>
      <c r="D1134" t="n">
        <v>35</v>
      </c>
      <c r="E1134" t="n">
        <v>685.3500681300001</v>
      </c>
      <c r="F1134" t="n">
        <v>0.4861283754190476</v>
      </c>
      <c r="G1134" t="n">
        <v>8</v>
      </c>
      <c r="H1134" t="n">
        <v>17.61141534</v>
      </c>
      <c r="I1134" t="n">
        <v>3.5</v>
      </c>
      <c r="J1134" t="n">
        <v>0</v>
      </c>
      <c r="K1134" t="inlineStr"/>
    </row>
    <row r="1135">
      <c r="A1135" t="inlineStr">
        <is>
          <t>MIKFNDA70TM</t>
        </is>
      </c>
      <c r="B1135" t="inlineStr">
        <is>
          <t>MIKA SPORT LITE DAMA</t>
        </is>
      </c>
      <c r="C1135" t="inlineStr">
        <is>
          <t>Manufactura / Dama / P. Superiores</t>
        </is>
      </c>
      <c r="D1135" t="n">
        <v>22</v>
      </c>
      <c r="E1135" t="n">
        <v>684.24951515</v>
      </c>
      <c r="F1135" t="n">
        <v>0.8517422340950001</v>
      </c>
      <c r="G1135" t="n">
        <v>34</v>
      </c>
      <c r="H1135" t="n">
        <v>5.484675344</v>
      </c>
      <c r="I1135" t="n">
        <v>2.2</v>
      </c>
      <c r="J1135" t="n">
        <v>1</v>
      </c>
      <c r="K1135" t="inlineStr"/>
    </row>
    <row r="1136">
      <c r="A1136" t="inlineStr">
        <is>
          <t>SHUNTCA31TS</t>
        </is>
      </c>
      <c r="B1136" t="inlineStr">
        <is>
          <t>SHORT SPORT R1 CAB</t>
        </is>
      </c>
      <c r="C1136" t="inlineStr">
        <is>
          <t>Manufactura / Caballero / P. Inferiores</t>
        </is>
      </c>
      <c r="D1136" t="n">
        <v>15</v>
      </c>
      <c r="E1136" t="n">
        <v>682.4561978300001</v>
      </c>
      <c r="F1136" t="n">
        <v>0.82152397685</v>
      </c>
      <c r="G1136" t="n">
        <v>17</v>
      </c>
      <c r="H1136" t="n">
        <v>9.119999999999999</v>
      </c>
      <c r="I1136" t="n">
        <v>1.5</v>
      </c>
      <c r="J1136" t="n">
        <v>0</v>
      </c>
      <c r="K1136" t="inlineStr"/>
    </row>
    <row r="1137">
      <c r="A1137" t="inlineStr">
        <is>
          <t>RIOMICA11T2XL</t>
        </is>
      </c>
      <c r="B1137" t="inlineStr">
        <is>
          <t>RIO ORIGINAL CAB</t>
        </is>
      </c>
      <c r="C1137" t="inlineStr">
        <is>
          <t>Manufactura / Caballero / P. Superiores</t>
        </is>
      </c>
      <c r="D1137" t="n">
        <v>13</v>
      </c>
      <c r="E1137" t="n">
        <v>682.39447827</v>
      </c>
      <c r="F1137" t="n">
        <v>0.8850212064538461</v>
      </c>
      <c r="G1137" t="n">
        <v>16</v>
      </c>
      <c r="H1137" t="n">
        <v>5.939350288</v>
      </c>
      <c r="I1137" t="n">
        <v>1.3</v>
      </c>
      <c r="J1137" t="n">
        <v>0</v>
      </c>
      <c r="K1137" t="inlineStr"/>
    </row>
    <row r="1138">
      <c r="A1138" t="inlineStr">
        <is>
          <t>DAYCSTCA16T2XL</t>
        </is>
      </c>
      <c r="B1138" t="inlineStr">
        <is>
          <t>CLASICA DAILY 3.0 CAB</t>
        </is>
      </c>
      <c r="C1138" t="inlineStr">
        <is>
          <t>Manufactura / Caballero / P. Superiores</t>
        </is>
      </c>
      <c r="D1138" t="n">
        <v>13</v>
      </c>
      <c r="E1138" t="n">
        <v>682.01150604</v>
      </c>
      <c r="F1138" t="n">
        <v>0.7736535543352941</v>
      </c>
      <c r="G1138" t="n">
        <v>23</v>
      </c>
      <c r="H1138" t="n">
        <v>11.76035097</v>
      </c>
      <c r="I1138" t="n">
        <v>1.3</v>
      </c>
      <c r="J1138" t="n">
        <v>1</v>
      </c>
      <c r="K1138" t="inlineStr"/>
    </row>
    <row r="1139">
      <c r="A1139" t="inlineStr">
        <is>
          <t>RIOMIKI66T10</t>
        </is>
      </c>
      <c r="B1139" t="inlineStr">
        <is>
          <t>RIO ORIGINAL KIDS</t>
        </is>
      </c>
      <c r="C1139" t="inlineStr">
        <is>
          <t>Manufactura / Kids / P. Superiores</t>
        </is>
      </c>
      <c r="D1139" t="n">
        <v>16</v>
      </c>
      <c r="E1139" t="n">
        <v>681.9227707</v>
      </c>
      <c r="F1139" t="n">
        <v>0.9110092949894737</v>
      </c>
      <c r="G1139" t="n">
        <v>30</v>
      </c>
      <c r="H1139" t="n">
        <v>3.617969464</v>
      </c>
      <c r="I1139" t="n">
        <v>1.6</v>
      </c>
      <c r="J1139" t="n">
        <v>1</v>
      </c>
      <c r="K1139" t="inlineStr"/>
    </row>
    <row r="1140">
      <c r="A1140" t="inlineStr">
        <is>
          <t>CLAMECA30T2XL</t>
        </is>
      </c>
      <c r="B1140" t="inlineStr">
        <is>
          <t>CLASICA SPORT CAB</t>
        </is>
      </c>
      <c r="C1140" t="inlineStr">
        <is>
          <t>Manufactura / Caballero / P. Superiores</t>
        </is>
      </c>
      <c r="D1140" t="n">
        <v>15</v>
      </c>
      <c r="E1140" t="n">
        <v>678.95503109</v>
      </c>
      <c r="F1140" t="n">
        <v>0.78021110359375</v>
      </c>
      <c r="G1140" t="n">
        <v>39</v>
      </c>
      <c r="H1140" t="n">
        <v>10.3013454</v>
      </c>
      <c r="I1140" t="n">
        <v>1.5</v>
      </c>
      <c r="J1140" t="n">
        <v>2</v>
      </c>
      <c r="K1140" t="inlineStr"/>
    </row>
    <row r="1141">
      <c r="A1141" t="inlineStr">
        <is>
          <t>JAPKI43T4</t>
        </is>
      </c>
      <c r="B1141" t="inlineStr">
        <is>
          <t>CUADRO JACKET 2.0 KIDS</t>
        </is>
      </c>
      <c r="C1141" t="inlineStr">
        <is>
          <t>Equipamiento / Ropa</t>
        </is>
      </c>
      <c r="D1141" t="n">
        <v>11</v>
      </c>
      <c r="E1141" t="n">
        <v>678.8258527200001</v>
      </c>
      <c r="F1141" t="n">
        <v>0.7507945555545454</v>
      </c>
      <c r="G1141" t="n">
        <v>32</v>
      </c>
      <c r="H1141" t="n">
        <v>15.17</v>
      </c>
      <c r="I1141" t="n">
        <v>1.1</v>
      </c>
      <c r="J1141" t="n">
        <v>0</v>
      </c>
      <c r="K1141" t="inlineStr"/>
    </row>
    <row r="1142">
      <c r="A1142" t="inlineStr">
        <is>
          <t>MIKFNDA13TXS</t>
        </is>
      </c>
      <c r="B1142" t="inlineStr">
        <is>
          <t>MIKA SPORT LITE DAMA</t>
        </is>
      </c>
      <c r="C1142" t="inlineStr">
        <is>
          <t>Manufactura / Dama / P. Superiores</t>
        </is>
      </c>
      <c r="D1142" t="n">
        <v>20</v>
      </c>
      <c r="E1142" t="n">
        <v>677.1358766</v>
      </c>
      <c r="F1142" t="n">
        <v>0.856150119782353</v>
      </c>
      <c r="G1142" t="n">
        <v>45</v>
      </c>
      <c r="H1142" t="n">
        <v>5.484675344</v>
      </c>
      <c r="I1142" t="n">
        <v>2</v>
      </c>
      <c r="J1142" t="n">
        <v>0</v>
      </c>
      <c r="K1142" t="inlineStr"/>
    </row>
    <row r="1143">
      <c r="A1143" t="inlineStr">
        <is>
          <t>ANDMIDA43TS</t>
        </is>
      </c>
      <c r="B1143" t="inlineStr">
        <is>
          <t>ANDRE ORIGINAL DAMA</t>
        </is>
      </c>
      <c r="C1143" t="inlineStr">
        <is>
          <t>Manufactura / Dama / P. Superiores</t>
        </is>
      </c>
      <c r="D1143" t="n">
        <v>18</v>
      </c>
      <c r="E1143" t="n">
        <v>674.90893076</v>
      </c>
      <c r="F1143" t="n">
        <v>0.908931123335294</v>
      </c>
      <c r="G1143" t="n">
        <v>53</v>
      </c>
      <c r="H1143" t="n">
        <v>3.274295302</v>
      </c>
      <c r="I1143" t="n">
        <v>1.8</v>
      </c>
      <c r="J1143" t="n">
        <v>1</v>
      </c>
      <c r="K1143" t="inlineStr"/>
    </row>
    <row r="1144">
      <c r="A1144" t="inlineStr">
        <is>
          <t>CLAMICA16T2XL</t>
        </is>
      </c>
      <c r="B1144" t="inlineStr">
        <is>
          <t>CLASICA ORIGINAL CAB</t>
        </is>
      </c>
      <c r="C1144" t="inlineStr">
        <is>
          <t>Manufactura / Caballero / P. Superiores</t>
        </is>
      </c>
      <c r="D1144" t="n">
        <v>18</v>
      </c>
      <c r="E1144" t="n">
        <v>674.8089739</v>
      </c>
      <c r="F1144" t="n">
        <v>0.8788622191571429</v>
      </c>
      <c r="G1144" t="n">
        <v>50</v>
      </c>
      <c r="H1144" t="n">
        <v>4.598442536</v>
      </c>
      <c r="I1144" t="n">
        <v>1.8</v>
      </c>
      <c r="J1144" t="n">
        <v>0</v>
      </c>
      <c r="K1144" t="inlineStr"/>
    </row>
    <row r="1145">
      <c r="A1145" t="inlineStr">
        <is>
          <t>BAN53EQ</t>
        </is>
      </c>
      <c r="B1145" t="inlineStr">
        <is>
          <t>CUADRO BAND</t>
        </is>
      </c>
      <c r="C1145" t="inlineStr">
        <is>
          <t>Equipamiento / Accesorios</t>
        </is>
      </c>
      <c r="D1145" t="n">
        <v>293</v>
      </c>
      <c r="E1145" t="n">
        <v>674.224283711</v>
      </c>
      <c r="F1145" t="n">
        <v>0.8565176115279153</v>
      </c>
      <c r="G1145" t="n">
        <v>3375</v>
      </c>
      <c r="H1145" t="n">
        <v>0.3159183673</v>
      </c>
      <c r="I1145" t="n">
        <v>29.3</v>
      </c>
      <c r="J1145" t="n">
        <v>0</v>
      </c>
      <c r="K1145" t="inlineStr"/>
    </row>
    <row r="1146">
      <c r="A1146" t="inlineStr">
        <is>
          <t>POLPLCA33TS</t>
        </is>
      </c>
      <c r="B1146" t="inlineStr">
        <is>
          <t>CLASSIC POLO</t>
        </is>
      </c>
      <c r="C1146" t="inlineStr">
        <is>
          <t>Manufactura / Caballero / P. Superiores</t>
        </is>
      </c>
      <c r="D1146" t="n">
        <v>15</v>
      </c>
      <c r="E1146" t="n">
        <v>673.68443096</v>
      </c>
      <c r="F1146" t="n">
        <v>0.8455811908666667</v>
      </c>
      <c r="G1146" t="n">
        <v>74</v>
      </c>
      <c r="H1146" t="n">
        <v>7.34</v>
      </c>
      <c r="I1146" t="n">
        <v>1.5</v>
      </c>
      <c r="J1146" t="n">
        <v>1</v>
      </c>
      <c r="K1146" t="inlineStr"/>
    </row>
    <row r="1147">
      <c r="A1147" t="inlineStr">
        <is>
          <t>PANNTKI12T4</t>
        </is>
      </c>
      <c r="B1147" t="inlineStr">
        <is>
          <t>EXPLORE PANTS KIDS</t>
        </is>
      </c>
      <c r="C1147" t="inlineStr">
        <is>
          <t>Manufactura / Kids / P. Inferiores</t>
        </is>
      </c>
      <c r="D1147" t="n">
        <v>14</v>
      </c>
      <c r="E1147" t="n">
        <v>672.62127089</v>
      </c>
      <c r="F1147" t="n">
        <v>0.7373362487583334</v>
      </c>
      <c r="G1147" t="n">
        <v>20</v>
      </c>
      <c r="H1147" t="n">
        <v>13.98</v>
      </c>
      <c r="I1147" t="n">
        <v>1.4</v>
      </c>
      <c r="J1147" t="n">
        <v>0</v>
      </c>
      <c r="K1147" t="inlineStr"/>
    </row>
    <row r="1148">
      <c r="A1148" t="inlineStr">
        <is>
          <t>MARMIKI53T4</t>
        </is>
      </c>
      <c r="B1148" t="inlineStr">
        <is>
          <t>MAR ORIGINAL KIDS</t>
        </is>
      </c>
      <c r="C1148" t="inlineStr">
        <is>
          <t>Manufactura / Kids / P. Superiores</t>
        </is>
      </c>
      <c r="D1148" t="n">
        <v>19</v>
      </c>
      <c r="E1148" t="n">
        <v>672.43315532</v>
      </c>
      <c r="F1148" t="n">
        <v>0.9147068536136364</v>
      </c>
      <c r="G1148" t="n">
        <v>18</v>
      </c>
      <c r="H1148" t="n">
        <v>3.168013332</v>
      </c>
      <c r="I1148" t="n">
        <v>1.9</v>
      </c>
      <c r="J1148" t="n">
        <v>0</v>
      </c>
      <c r="K1148" t="inlineStr"/>
    </row>
    <row r="1149">
      <c r="A1149" t="inlineStr">
        <is>
          <t>SHOUNKI01T14</t>
        </is>
      </c>
      <c r="B1149" t="inlineStr">
        <is>
          <t>SHORT PLAYA KIDS</t>
        </is>
      </c>
      <c r="C1149" t="inlineStr">
        <is>
          <t>Manufactura / Kids / P. Inferiores</t>
        </is>
      </c>
      <c r="D1149" t="n">
        <v>18</v>
      </c>
      <c r="E1149" t="n">
        <v>671.78743351</v>
      </c>
      <c r="F1149" t="n">
        <v>0.8231815562190476</v>
      </c>
      <c r="G1149" t="n">
        <v>1</v>
      </c>
      <c r="H1149" t="n">
        <v>6.09</v>
      </c>
      <c r="I1149" t="n">
        <v>1.8</v>
      </c>
      <c r="J1149" t="n">
        <v>0</v>
      </c>
      <c r="K1149" t="inlineStr"/>
    </row>
    <row r="1150">
      <c r="A1150" t="inlineStr">
        <is>
          <t>MARMIKI70T4</t>
        </is>
      </c>
      <c r="B1150" t="inlineStr">
        <is>
          <t>MAR ORIGINAL KIDS</t>
        </is>
      </c>
      <c r="C1150" t="inlineStr">
        <is>
          <t>Manufactura / Kids / P. Superiores</t>
        </is>
      </c>
      <c r="D1150" t="n">
        <v>19</v>
      </c>
      <c r="E1150" t="n">
        <v>671.61623402</v>
      </c>
      <c r="F1150" t="n">
        <v>0.9084977156857144</v>
      </c>
      <c r="G1150" t="n">
        <v>9</v>
      </c>
      <c r="H1150" t="n">
        <v>3.168013332</v>
      </c>
      <c r="I1150" t="n">
        <v>1.9</v>
      </c>
      <c r="J1150" t="n">
        <v>0</v>
      </c>
      <c r="K1150" t="inlineStr"/>
    </row>
    <row r="1151">
      <c r="A1151" t="inlineStr">
        <is>
          <t>RIOMIDA53TXL</t>
        </is>
      </c>
      <c r="B1151" t="inlineStr">
        <is>
          <t>RIO ORIGINAL DAMA</t>
        </is>
      </c>
      <c r="C1151" t="inlineStr">
        <is>
          <t>Manufactura / Dama / P. Superiores</t>
        </is>
      </c>
      <c r="D1151" t="n">
        <v>11</v>
      </c>
      <c r="E1151" t="n">
        <v>670.6963220499999</v>
      </c>
      <c r="F1151" t="n">
        <v>0.9069625797272728</v>
      </c>
      <c r="G1151" t="n">
        <v>20</v>
      </c>
      <c r="H1151" t="n">
        <v>5.538832275</v>
      </c>
      <c r="I1151" t="n">
        <v>1.1</v>
      </c>
      <c r="J1151" t="n">
        <v>2</v>
      </c>
      <c r="K1151" t="inlineStr"/>
    </row>
    <row r="1152">
      <c r="A1152" t="inlineStr">
        <is>
          <t>MAFMIDA43TXS</t>
        </is>
      </c>
      <c r="B1152" t="inlineStr">
        <is>
          <t>MAFE ORIGINAL DAMA</t>
        </is>
      </c>
      <c r="C1152" t="inlineStr">
        <is>
          <t>Manufactura / Dama / P. Superiores</t>
        </is>
      </c>
      <c r="D1152" t="n">
        <v>21</v>
      </c>
      <c r="E1152" t="n">
        <v>669.32682181</v>
      </c>
      <c r="F1152" t="n">
        <v>0.8608826088857142</v>
      </c>
      <c r="G1152" t="n">
        <v>88</v>
      </c>
      <c r="H1152" t="n">
        <v>4.54817671</v>
      </c>
      <c r="I1152" t="n">
        <v>2.1</v>
      </c>
      <c r="J1152" t="n">
        <v>0</v>
      </c>
      <c r="K1152" t="inlineStr"/>
    </row>
    <row r="1153">
      <c r="A1153" t="inlineStr">
        <is>
          <t>CUTAG82</t>
        </is>
      </c>
      <c r="B1153" t="inlineStr">
        <is>
          <t>CUADRO TAG</t>
        </is>
      </c>
      <c r="C1153" t="inlineStr">
        <is>
          <t>Equipamiento / Accesorios</t>
        </is>
      </c>
      <c r="D1153" t="n">
        <v>100</v>
      </c>
      <c r="E1153" t="n">
        <v>668.773289302</v>
      </c>
      <c r="F1153" t="n">
        <v>0.9183906772031747</v>
      </c>
      <c r="G1153" t="n">
        <v>239</v>
      </c>
      <c r="H1153" t="n">
        <v>0.8100000000000001</v>
      </c>
      <c r="I1153" t="n">
        <v>10</v>
      </c>
      <c r="J1153" t="n">
        <v>0</v>
      </c>
      <c r="K1153" t="inlineStr"/>
    </row>
    <row r="1154">
      <c r="A1154" t="inlineStr">
        <is>
          <t>RIOMIKI53T14</t>
        </is>
      </c>
      <c r="B1154" t="inlineStr">
        <is>
          <t>RIO ORIGINAL KIDS</t>
        </is>
      </c>
      <c r="C1154" t="inlineStr">
        <is>
          <t>Manufactura / Kids / P. Superiores</t>
        </is>
      </c>
      <c r="D1154" t="n">
        <v>15</v>
      </c>
      <c r="E1154" t="n">
        <v>668.66423876</v>
      </c>
      <c r="F1154" t="n">
        <v>0.9179354743058824</v>
      </c>
      <c r="G1154" t="n">
        <v>45</v>
      </c>
      <c r="H1154" t="n">
        <v>3.617969464</v>
      </c>
      <c r="I1154" t="n">
        <v>1.5</v>
      </c>
      <c r="J1154" t="n">
        <v>0</v>
      </c>
      <c r="K1154" t="inlineStr"/>
    </row>
    <row r="1155">
      <c r="A1155" t="inlineStr">
        <is>
          <t>ANMSUDA152TS</t>
        </is>
      </c>
      <c r="B1155" t="inlineStr">
        <is>
          <t>ANDRE MOTION DAMA</t>
        </is>
      </c>
      <c r="C1155" t="inlineStr">
        <is>
          <t>Manufactura / Dama / P. Superiores</t>
        </is>
      </c>
      <c r="D1155" t="n">
        <v>16</v>
      </c>
      <c r="E1155" t="n">
        <v>668.10290979</v>
      </c>
      <c r="F1155" t="n">
        <v>0.7576278504266667</v>
      </c>
      <c r="G1155" t="n">
        <v>8</v>
      </c>
      <c r="H1155" t="n">
        <v>10.6</v>
      </c>
      <c r="I1155" t="n">
        <v>1.6</v>
      </c>
      <c r="J1155" t="n">
        <v>0</v>
      </c>
      <c r="K1155" t="inlineStr"/>
    </row>
    <row r="1156">
      <c r="A1156" t="inlineStr">
        <is>
          <t>RIOMIDA50TXL</t>
        </is>
      </c>
      <c r="B1156" t="inlineStr">
        <is>
          <t>RIO ORIGINAL DAMA</t>
        </is>
      </c>
      <c r="C1156" t="inlineStr">
        <is>
          <t>Manufactura / Dama / P. Superiores</t>
        </is>
      </c>
      <c r="D1156" t="n">
        <v>12</v>
      </c>
      <c r="E1156" t="n">
        <v>664.81421904</v>
      </c>
      <c r="F1156" t="n">
        <v>0.8985468981166665</v>
      </c>
      <c r="G1156" t="n">
        <v>35</v>
      </c>
      <c r="H1156" t="n">
        <v>5.538832275</v>
      </c>
      <c r="I1156" t="n">
        <v>1.2</v>
      </c>
      <c r="J1156" t="n">
        <v>1</v>
      </c>
      <c r="K1156" t="inlineStr"/>
    </row>
    <row r="1157">
      <c r="A1157" t="inlineStr">
        <is>
          <t>ADUMMDA16TM</t>
        </is>
      </c>
      <c r="B1157" t="inlineStr">
        <is>
          <t>ACTIVE DUO DAMA</t>
        </is>
      </c>
      <c r="C1157" t="inlineStr">
        <is>
          <t>Manufactura / Caballero / P. Superiores</t>
        </is>
      </c>
      <c r="D1157" t="n">
        <v>18</v>
      </c>
      <c r="E1157" t="n">
        <v>664.67698812</v>
      </c>
      <c r="F1157" t="n">
        <v>0.92431118652</v>
      </c>
      <c r="G1157" t="n">
        <v>17</v>
      </c>
      <c r="H1157" t="n">
        <v>3.19128</v>
      </c>
      <c r="I1157" t="n">
        <v>1.8</v>
      </c>
      <c r="J1157" t="n">
        <v>1</v>
      </c>
      <c r="K1157" t="inlineStr"/>
    </row>
    <row r="1158">
      <c r="A1158" t="inlineStr">
        <is>
          <t>RIOMIKI48T10</t>
        </is>
      </c>
      <c r="B1158" t="inlineStr">
        <is>
          <t>RIO ORIGINAL KIDS</t>
        </is>
      </c>
      <c r="C1158" t="inlineStr">
        <is>
          <t>Manufactura / Kids / P. Superiores</t>
        </is>
      </c>
      <c r="D1158" t="n">
        <v>14</v>
      </c>
      <c r="E1158" t="n">
        <v>663.26126735</v>
      </c>
      <c r="F1158" t="n">
        <v>0.92073296893125</v>
      </c>
      <c r="G1158" t="n">
        <v>8</v>
      </c>
      <c r="H1158" t="n">
        <v>3.617969464</v>
      </c>
      <c r="I1158" t="n">
        <v>1.4</v>
      </c>
      <c r="J1158" t="n">
        <v>2</v>
      </c>
      <c r="K1158" t="inlineStr"/>
    </row>
    <row r="1159">
      <c r="A1159" t="inlineStr">
        <is>
          <t>JAPKI162T2</t>
        </is>
      </c>
      <c r="B1159" t="inlineStr">
        <is>
          <t>CUADRO JACKET 2.0 KIDS</t>
        </is>
      </c>
      <c r="C1159" t="inlineStr">
        <is>
          <t>Equipamiento / Ropa</t>
        </is>
      </c>
      <c r="D1159" t="n">
        <v>12</v>
      </c>
      <c r="E1159" t="n">
        <v>661.8087514599999</v>
      </c>
      <c r="F1159" t="n">
        <v>0.7460494164384616</v>
      </c>
      <c r="G1159" t="n">
        <v>26</v>
      </c>
      <c r="H1159" t="n">
        <v>15.17</v>
      </c>
      <c r="I1159" t="n">
        <v>1.2</v>
      </c>
      <c r="J1159" t="n">
        <v>1</v>
      </c>
      <c r="K1159" t="inlineStr"/>
    </row>
    <row r="1160">
      <c r="A1160" t="inlineStr">
        <is>
          <t>DAYCSTCA66T2XL</t>
        </is>
      </c>
      <c r="B1160" t="inlineStr">
        <is>
          <t>CLASICA DAILY 3.0 CAB</t>
        </is>
      </c>
      <c r="C1160" t="inlineStr">
        <is>
          <t>Manufactura / Caballero / P. Superiores</t>
        </is>
      </c>
      <c r="D1160" t="n">
        <v>15</v>
      </c>
      <c r="E1160" t="n">
        <v>661.80658815</v>
      </c>
      <c r="F1160" t="n">
        <v>0.7236507019764706</v>
      </c>
      <c r="G1160" t="n">
        <v>0</v>
      </c>
      <c r="H1160" t="n">
        <v>11.76035097</v>
      </c>
      <c r="I1160" t="n">
        <v>1.5</v>
      </c>
      <c r="J1160" t="n">
        <v>1</v>
      </c>
      <c r="K1160" t="inlineStr">
        <is>
          <t>Sin stock</t>
        </is>
      </c>
    </row>
    <row r="1161">
      <c r="A1161" t="inlineStr">
        <is>
          <t>ANDMIDA53TM</t>
        </is>
      </c>
      <c r="B1161" t="inlineStr">
        <is>
          <t>ANDRE ORIGINAL DAMA</t>
        </is>
      </c>
      <c r="C1161" t="inlineStr">
        <is>
          <t>Manufactura / Dama / P. Superiores</t>
        </is>
      </c>
      <c r="D1161" t="n">
        <v>20</v>
      </c>
      <c r="E1161" t="n">
        <v>660.15944871</v>
      </c>
      <c r="F1161" t="n">
        <v>0.9013728292842105</v>
      </c>
      <c r="G1161" t="n">
        <v>4</v>
      </c>
      <c r="H1161" t="n">
        <v>3.274295302</v>
      </c>
      <c r="I1161" t="n">
        <v>2</v>
      </c>
      <c r="J1161" t="n">
        <v>1</v>
      </c>
      <c r="K1161" t="inlineStr"/>
    </row>
    <row r="1162">
      <c r="A1162" t="inlineStr">
        <is>
          <t>ZOEMIDA12TM</t>
        </is>
      </c>
      <c r="B1162" t="inlineStr">
        <is>
          <t>ZOE ORIGINAL DAMA</t>
        </is>
      </c>
      <c r="C1162" t="inlineStr">
        <is>
          <t>Manufactura / Dama / P. Superiores</t>
        </is>
      </c>
      <c r="D1162" t="n">
        <v>18</v>
      </c>
      <c r="E1162" t="n">
        <v>659.91783312</v>
      </c>
      <c r="F1162" t="n">
        <v>0.8946544272285715</v>
      </c>
      <c r="G1162" t="n">
        <v>0</v>
      </c>
      <c r="H1162" t="n">
        <v>4.116585696</v>
      </c>
      <c r="I1162" t="n">
        <v>1.8</v>
      </c>
      <c r="J1162" t="n">
        <v>3</v>
      </c>
      <c r="K1162" t="inlineStr">
        <is>
          <t>Sin stock</t>
        </is>
      </c>
    </row>
    <row r="1163">
      <c r="A1163" t="inlineStr">
        <is>
          <t>ADUMMDA16TS</t>
        </is>
      </c>
      <c r="B1163" t="inlineStr">
        <is>
          <t>ACTIVE DUO DAMA</t>
        </is>
      </c>
      <c r="C1163" t="inlineStr">
        <is>
          <t>Manufactura / Caballero / P. Superiores</t>
        </is>
      </c>
      <c r="D1163" t="n">
        <v>20</v>
      </c>
      <c r="E1163" t="n">
        <v>659.7295639399999</v>
      </c>
      <c r="F1163" t="n">
        <v>0.9292715231999999</v>
      </c>
      <c r="G1163" t="n">
        <v>16</v>
      </c>
      <c r="H1163" t="n">
        <v>3.19128</v>
      </c>
      <c r="I1163" t="n">
        <v>2</v>
      </c>
      <c r="J1163" t="n">
        <v>1</v>
      </c>
      <c r="K1163" t="inlineStr"/>
    </row>
    <row r="1164">
      <c r="A1164" t="inlineStr">
        <is>
          <t>DAYCSTCA43T2XL</t>
        </is>
      </c>
      <c r="B1164" t="inlineStr">
        <is>
          <t>CLASICA DAILY 3.0 CAB</t>
        </is>
      </c>
      <c r="C1164" t="inlineStr">
        <is>
          <t>Manufactura / Caballero / P. Superiores</t>
        </is>
      </c>
      <c r="D1164" t="n">
        <v>15</v>
      </c>
      <c r="E1164" t="n">
        <v>658.66744562</v>
      </c>
      <c r="F1164" t="n">
        <v>0.7471626397</v>
      </c>
      <c r="G1164" t="n">
        <v>2</v>
      </c>
      <c r="H1164" t="n">
        <v>11.76035097</v>
      </c>
      <c r="I1164" t="n">
        <v>1.5</v>
      </c>
      <c r="J1164" t="n">
        <v>3</v>
      </c>
      <c r="K1164" t="inlineStr"/>
    </row>
    <row r="1165">
      <c r="A1165" t="inlineStr">
        <is>
          <t>SARSPKI16T10</t>
        </is>
      </c>
      <c r="B1165" t="inlineStr">
        <is>
          <t>FALDA SARA KIDS</t>
        </is>
      </c>
      <c r="C1165" t="inlineStr">
        <is>
          <t>Manufactura / Kids / P. Inferiores</t>
        </is>
      </c>
      <c r="D1165" t="n">
        <v>16</v>
      </c>
      <c r="E1165" t="n">
        <v>656.36956506</v>
      </c>
      <c r="F1165" t="n">
        <v>0.8385088211954546</v>
      </c>
      <c r="G1165" t="n">
        <v>16</v>
      </c>
      <c r="H1165" t="n">
        <v>5.753743316</v>
      </c>
      <c r="I1165" t="n">
        <v>1.6</v>
      </c>
      <c r="J1165" t="n">
        <v>0</v>
      </c>
      <c r="K1165" t="inlineStr"/>
    </row>
    <row r="1166">
      <c r="A1166" t="inlineStr">
        <is>
          <t>SHONTCA12TM</t>
        </is>
      </c>
      <c r="B1166" t="inlineStr">
        <is>
          <t>EXPLORE SHORT CAB</t>
        </is>
      </c>
      <c r="C1166" t="inlineStr">
        <is>
          <t>Manufactura / Caballero / P. Inferiores</t>
        </is>
      </c>
      <c r="D1166" t="n">
        <v>12</v>
      </c>
      <c r="E1166" t="n">
        <v>655.80962828</v>
      </c>
      <c r="F1166" t="n">
        <v>0.784389830475</v>
      </c>
      <c r="G1166" t="n">
        <v>1</v>
      </c>
      <c r="H1166" t="n">
        <v>11.17</v>
      </c>
      <c r="I1166" t="n">
        <v>1.2</v>
      </c>
      <c r="J1166" t="n">
        <v>0</v>
      </c>
      <c r="K1166" t="inlineStr"/>
    </row>
    <row r="1167">
      <c r="A1167" t="inlineStr">
        <is>
          <t>DOMBFCA206TM</t>
        </is>
      </c>
      <c r="B1167" t="inlineStr">
        <is>
          <t>DOMINIC BIO MOVE CAB</t>
        </is>
      </c>
      <c r="C1167" t="inlineStr">
        <is>
          <t>Manufactura / Caballero / P. Superiores</t>
        </is>
      </c>
      <c r="D1167" t="n">
        <v>13</v>
      </c>
      <c r="E1167" t="n">
        <v>655.6101953800001</v>
      </c>
      <c r="F1167" t="n">
        <v>0.8117062634363635</v>
      </c>
      <c r="G1167" t="n">
        <v>27</v>
      </c>
      <c r="H1167" t="n">
        <v>13.86</v>
      </c>
      <c r="I1167" t="n">
        <v>1.3</v>
      </c>
      <c r="J1167" t="n">
        <v>0</v>
      </c>
      <c r="K1167" t="inlineStr"/>
    </row>
    <row r="1168">
      <c r="A1168" t="inlineStr">
        <is>
          <t>SABMEDA16TM</t>
        </is>
      </c>
      <c r="B1168" t="inlineStr">
        <is>
          <t>SABRI SPORT DAMA</t>
        </is>
      </c>
      <c r="C1168" t="inlineStr">
        <is>
          <t>Manufactura / Dama / P. Superiores</t>
        </is>
      </c>
      <c r="D1168" t="n">
        <v>19</v>
      </c>
      <c r="E1168" t="n">
        <v>654.95748617</v>
      </c>
      <c r="F1168" t="n">
        <v>0.8707610692238096</v>
      </c>
      <c r="G1168" t="n">
        <v>4</v>
      </c>
      <c r="H1168" t="n">
        <v>4.51</v>
      </c>
      <c r="I1168" t="n">
        <v>1.9</v>
      </c>
      <c r="J1168" t="n">
        <v>0</v>
      </c>
      <c r="K1168" t="inlineStr"/>
    </row>
    <row r="1169">
      <c r="A1169" t="inlineStr">
        <is>
          <t>LAN39EQ</t>
        </is>
      </c>
      <c r="B1169" t="inlineStr">
        <is>
          <t>LANYARD</t>
        </is>
      </c>
      <c r="C1169" t="inlineStr">
        <is>
          <t>Equipamiento / Accesorios</t>
        </is>
      </c>
      <c r="D1169" t="n">
        <v>199</v>
      </c>
      <c r="E1169" t="n">
        <v>654.8510700959999</v>
      </c>
      <c r="F1169" t="n">
        <v>0.858858252236646</v>
      </c>
      <c r="G1169" t="n">
        <v>627</v>
      </c>
      <c r="H1169" t="n">
        <v>0.51</v>
      </c>
      <c r="I1169" t="n">
        <v>19.9</v>
      </c>
      <c r="J1169" t="n">
        <v>0</v>
      </c>
      <c r="K1169" t="inlineStr"/>
    </row>
    <row r="1170">
      <c r="A1170" t="inlineStr">
        <is>
          <t>MARMIKI30T4</t>
        </is>
      </c>
      <c r="B1170" t="inlineStr">
        <is>
          <t>MAR ORIGINAL KIDS</t>
        </is>
      </c>
      <c r="C1170" t="inlineStr">
        <is>
          <t>Manufactura / Kids / P. Superiores</t>
        </is>
      </c>
      <c r="D1170" t="n">
        <v>17</v>
      </c>
      <c r="E1170" t="n">
        <v>652.79161343</v>
      </c>
      <c r="F1170" t="n">
        <v>0.9168381005866666</v>
      </c>
      <c r="G1170" t="n">
        <v>7</v>
      </c>
      <c r="H1170" t="n">
        <v>3.168013332</v>
      </c>
      <c r="I1170" t="n">
        <v>1.7</v>
      </c>
      <c r="J1170" t="n">
        <v>0</v>
      </c>
      <c r="K1170" t="inlineStr"/>
    </row>
    <row r="1171">
      <c r="A1171" t="inlineStr">
        <is>
          <t>CLAMECA43T2XL</t>
        </is>
      </c>
      <c r="B1171" t="inlineStr">
        <is>
          <t>CLASICA SPORT CAB</t>
        </is>
      </c>
      <c r="C1171" t="inlineStr">
        <is>
          <t>Manufactura / Caballero / P. Superiores</t>
        </is>
      </c>
      <c r="D1171" t="n">
        <v>16</v>
      </c>
      <c r="E1171" t="n">
        <v>649.65078176</v>
      </c>
      <c r="F1171" t="n">
        <v>0.7579931515999999</v>
      </c>
      <c r="G1171" t="n">
        <v>17</v>
      </c>
      <c r="H1171" t="n">
        <v>10.3013454</v>
      </c>
      <c r="I1171" t="n">
        <v>1.6</v>
      </c>
      <c r="J1171" t="n">
        <v>0</v>
      </c>
      <c r="K1171" t="inlineStr"/>
    </row>
    <row r="1172">
      <c r="A1172" t="inlineStr">
        <is>
          <t>ADUMMCA11TM</t>
        </is>
      </c>
      <c r="B1172" t="inlineStr">
        <is>
          <t>ACTIVE DUO CAB</t>
        </is>
      </c>
      <c r="C1172" t="inlineStr">
        <is>
          <t>Manufactura / Caballero / P. Superiores</t>
        </is>
      </c>
      <c r="D1172" t="n">
        <v>19</v>
      </c>
      <c r="E1172" t="n">
        <v>649.29684044</v>
      </c>
      <c r="F1172" t="n">
        <v>0.88962100968</v>
      </c>
      <c r="G1172" t="n">
        <v>16</v>
      </c>
      <c r="H1172" t="n">
        <v>5.09</v>
      </c>
      <c r="I1172" t="n">
        <v>1.9</v>
      </c>
      <c r="J1172" t="n">
        <v>0</v>
      </c>
      <c r="K1172" t="inlineStr"/>
    </row>
    <row r="1173">
      <c r="A1173" t="inlineStr">
        <is>
          <t>SARSPKI43T14</t>
        </is>
      </c>
      <c r="B1173" t="inlineStr">
        <is>
          <t>FALDA SARA KIDS</t>
        </is>
      </c>
      <c r="C1173" t="inlineStr">
        <is>
          <t>Manufactura / Kids / P. Inferiores</t>
        </is>
      </c>
      <c r="D1173" t="n">
        <v>16</v>
      </c>
      <c r="E1173" t="n">
        <v>648.93135417</v>
      </c>
      <c r="F1173" t="n">
        <v>0.85235616676875</v>
      </c>
      <c r="G1173" t="n">
        <v>15</v>
      </c>
      <c r="H1173" t="n">
        <v>5.753743316</v>
      </c>
      <c r="I1173" t="n">
        <v>1.6</v>
      </c>
      <c r="J1173" t="n">
        <v>1</v>
      </c>
      <c r="K1173" t="inlineStr"/>
    </row>
    <row r="1174">
      <c r="A1174" t="inlineStr">
        <is>
          <t>MARMIKI48T2</t>
        </is>
      </c>
      <c r="B1174" t="inlineStr">
        <is>
          <t>MAR ORIGINAL KIDS</t>
        </is>
      </c>
      <c r="C1174" t="inlineStr">
        <is>
          <t>Manufactura / Kids / P. Superiores</t>
        </is>
      </c>
      <c r="D1174" t="n">
        <v>17</v>
      </c>
      <c r="E1174" t="n">
        <v>647.48473244</v>
      </c>
      <c r="F1174" t="n">
        <v>0.9130746359</v>
      </c>
      <c r="G1174" t="n">
        <v>12</v>
      </c>
      <c r="H1174" t="n">
        <v>3.168013332</v>
      </c>
      <c r="I1174" t="n">
        <v>1.7</v>
      </c>
      <c r="J1174" t="n">
        <v>0</v>
      </c>
      <c r="K1174" t="inlineStr"/>
    </row>
    <row r="1175">
      <c r="A1175" t="inlineStr">
        <is>
          <t>SHOSUKI154T12</t>
        </is>
      </c>
      <c r="B1175" t="inlineStr">
        <is>
          <t>SHORT PLAYA ESTAMPADO KIDS</t>
        </is>
      </c>
      <c r="C1175" t="inlineStr">
        <is>
          <t>Manufactura / Kids / P. Superiores</t>
        </is>
      </c>
      <c r="D1175" t="n">
        <v>13</v>
      </c>
      <c r="E1175" t="n">
        <v>647.1087151199999</v>
      </c>
      <c r="F1175" t="n">
        <v>0.84269610884</v>
      </c>
      <c r="G1175" t="n">
        <v>33</v>
      </c>
      <c r="H1175" t="n">
        <v>7.21</v>
      </c>
      <c r="I1175" t="n">
        <v>1.3</v>
      </c>
      <c r="J1175" t="n">
        <v>0</v>
      </c>
      <c r="K1175" t="inlineStr"/>
    </row>
    <row r="1176">
      <c r="A1176" t="inlineStr">
        <is>
          <t>RIOMIDA13TS</t>
        </is>
      </c>
      <c r="B1176" t="inlineStr">
        <is>
          <t>RIO ORIGINAL DAMA</t>
        </is>
      </c>
      <c r="C1176" t="inlineStr">
        <is>
          <t>Manufactura / Dama / P. Superiores</t>
        </is>
      </c>
      <c r="D1176" t="n">
        <v>14</v>
      </c>
      <c r="E1176" t="n">
        <v>646.19191014</v>
      </c>
      <c r="F1176" t="n">
        <v>0.8894318817357142</v>
      </c>
      <c r="G1176" t="n">
        <v>0</v>
      </c>
      <c r="H1176" t="n">
        <v>5.538832275</v>
      </c>
      <c r="I1176" t="n">
        <v>1.4</v>
      </c>
      <c r="J1176" t="n">
        <v>1</v>
      </c>
      <c r="K1176" t="inlineStr">
        <is>
          <t>Sin stock</t>
        </is>
      </c>
    </row>
    <row r="1177">
      <c r="A1177" t="inlineStr">
        <is>
          <t>BASCCDA38TXL</t>
        </is>
      </c>
      <c r="B1177" t="inlineStr">
        <is>
          <t>BASIC LINE SHORT DAMA</t>
        </is>
      </c>
      <c r="C1177" t="inlineStr">
        <is>
          <t>Manufactura / Dama / P. Inferiores</t>
        </is>
      </c>
      <c r="D1177" t="n">
        <v>15</v>
      </c>
      <c r="E1177" t="n">
        <v>644.63243415</v>
      </c>
      <c r="F1177" t="n">
        <v>0.8674069647071428</v>
      </c>
      <c r="G1177" t="n">
        <v>28</v>
      </c>
      <c r="H1177" t="n">
        <v>6.01</v>
      </c>
      <c r="I1177" t="n">
        <v>1.5</v>
      </c>
      <c r="J1177" t="n">
        <v>0</v>
      </c>
      <c r="K1177" t="inlineStr"/>
    </row>
    <row r="1178">
      <c r="A1178" t="inlineStr">
        <is>
          <t>GEMBADA12TXS</t>
        </is>
      </c>
      <c r="B1178" t="inlineStr">
        <is>
          <t>VESTIDO GEMMA DAMA</t>
        </is>
      </c>
      <c r="C1178" t="inlineStr">
        <is>
          <t>Manufactura / Dama / Conjuntos</t>
        </is>
      </c>
      <c r="D1178" t="n">
        <v>17</v>
      </c>
      <c r="E1178" t="n">
        <v>644.3011709800001</v>
      </c>
      <c r="F1178" t="n">
        <v>0.4559543096944444</v>
      </c>
      <c r="G1178" t="n">
        <v>21</v>
      </c>
      <c r="H1178" t="n">
        <v>23.99</v>
      </c>
      <c r="I1178" t="n">
        <v>1.7</v>
      </c>
      <c r="J1178" t="n">
        <v>2</v>
      </c>
      <c r="K1178" t="inlineStr"/>
    </row>
    <row r="1179">
      <c r="A1179" t="inlineStr">
        <is>
          <t>CLAMIDA70TS</t>
        </is>
      </c>
      <c r="B1179" t="inlineStr">
        <is>
          <t>CLASICA ORIGINAL DAMA</t>
        </is>
      </c>
      <c r="C1179" t="inlineStr">
        <is>
          <t>Manufactura / Dama / P. Superiores</t>
        </is>
      </c>
      <c r="D1179" t="n">
        <v>16</v>
      </c>
      <c r="E1179" t="n">
        <v>644.00840623</v>
      </c>
      <c r="F1179" t="n">
        <v>0.8997384980266666</v>
      </c>
      <c r="G1179" t="n">
        <v>21</v>
      </c>
      <c r="H1179" t="n">
        <v>3.923227589</v>
      </c>
      <c r="I1179" t="n">
        <v>1.6</v>
      </c>
      <c r="J1179" t="n">
        <v>0</v>
      </c>
      <c r="K1179" t="inlineStr"/>
    </row>
    <row r="1180">
      <c r="A1180" t="inlineStr">
        <is>
          <t>SARSPDA30TS</t>
        </is>
      </c>
      <c r="B1180" t="inlineStr">
        <is>
          <t>FALDA SARA DAMA</t>
        </is>
      </c>
      <c r="C1180" t="inlineStr">
        <is>
          <t>Manufactura / Dama / P. Inferiores</t>
        </is>
      </c>
      <c r="D1180" t="n">
        <v>13</v>
      </c>
      <c r="E1180" t="n">
        <v>641.8851486900001</v>
      </c>
      <c r="F1180" t="n">
        <v>0.8010882</v>
      </c>
      <c r="G1180" t="n">
        <v>2</v>
      </c>
      <c r="H1180" t="n">
        <v>9.500113852</v>
      </c>
      <c r="I1180" t="n">
        <v>1.3</v>
      </c>
      <c r="J1180" t="n">
        <v>1</v>
      </c>
      <c r="K1180" t="inlineStr"/>
    </row>
    <row r="1181">
      <c r="A1181" t="inlineStr">
        <is>
          <t>SARSPKI16T8</t>
        </is>
      </c>
      <c r="B1181" t="inlineStr">
        <is>
          <t>FALDA SARA KIDS</t>
        </is>
      </c>
      <c r="C1181" t="inlineStr">
        <is>
          <t>Manufactura / Kids / P. Inferiores</t>
        </is>
      </c>
      <c r="D1181" t="n">
        <v>17</v>
      </c>
      <c r="E1181" t="n">
        <v>641.5977346</v>
      </c>
      <c r="F1181" t="n">
        <v>0.8541762222294117</v>
      </c>
      <c r="G1181" t="n">
        <v>18</v>
      </c>
      <c r="H1181" t="n">
        <v>5.753743316</v>
      </c>
      <c r="I1181" t="n">
        <v>1.7</v>
      </c>
      <c r="J1181" t="n">
        <v>0</v>
      </c>
      <c r="K1181" t="inlineStr"/>
    </row>
    <row r="1182">
      <c r="A1182" t="inlineStr">
        <is>
          <t>SHOUNCA38TXL</t>
        </is>
      </c>
      <c r="B1182" t="inlineStr">
        <is>
          <t>SHORT PLAYA CAB</t>
        </is>
      </c>
      <c r="C1182" t="inlineStr">
        <is>
          <t>Manufactura / Caballero / P. Inferiores</t>
        </is>
      </c>
      <c r="D1182" t="n">
        <v>12</v>
      </c>
      <c r="E1182" t="n">
        <v>641.53494974</v>
      </c>
      <c r="F1182" t="n">
        <v>0.8002972012642857</v>
      </c>
      <c r="G1182" t="n">
        <v>24</v>
      </c>
      <c r="H1182" t="n">
        <v>9.99</v>
      </c>
      <c r="I1182" t="n">
        <v>1.2</v>
      </c>
      <c r="J1182" t="n">
        <v>0</v>
      </c>
      <c r="K1182" t="inlineStr"/>
    </row>
    <row r="1183">
      <c r="A1183" t="inlineStr">
        <is>
          <t>RIOMIKI48T2</t>
        </is>
      </c>
      <c r="B1183" t="inlineStr">
        <is>
          <t>RIO ORIGINAL KIDS</t>
        </is>
      </c>
      <c r="C1183" t="inlineStr">
        <is>
          <t>Manufactura / Kids / P. Superiores</t>
        </is>
      </c>
      <c r="D1183" t="n">
        <v>16</v>
      </c>
      <c r="E1183" t="n">
        <v>638.8967062299999</v>
      </c>
      <c r="F1183" t="n">
        <v>0.9140498530823529</v>
      </c>
      <c r="G1183" t="n">
        <v>43</v>
      </c>
      <c r="H1183" t="n">
        <v>3.617969464</v>
      </c>
      <c r="I1183" t="n">
        <v>1.6</v>
      </c>
      <c r="J1183" t="n">
        <v>0</v>
      </c>
      <c r="K1183" t="inlineStr"/>
    </row>
    <row r="1184">
      <c r="A1184" t="inlineStr">
        <is>
          <t>GEMBADA43TXS</t>
        </is>
      </c>
      <c r="B1184" t="inlineStr">
        <is>
          <t>VESTIDO GEMMA DAMA</t>
        </is>
      </c>
      <c r="C1184" t="inlineStr">
        <is>
          <t>Manufactura / Dama / Conjuntos</t>
        </is>
      </c>
      <c r="D1184" t="n">
        <v>13</v>
      </c>
      <c r="E1184" t="n">
        <v>635.7230642100001</v>
      </c>
      <c r="F1184" t="n">
        <v>0.5016258881615384</v>
      </c>
      <c r="G1184" t="n">
        <v>16</v>
      </c>
      <c r="H1184" t="n">
        <v>23.99</v>
      </c>
      <c r="I1184" t="n">
        <v>1.3</v>
      </c>
      <c r="J1184" t="n">
        <v>2</v>
      </c>
      <c r="K1184" t="inlineStr"/>
    </row>
    <row r="1185">
      <c r="A1185" t="inlineStr">
        <is>
          <t>TALGOTACA166TS</t>
        </is>
      </c>
      <c r="B1185" t="inlineStr">
        <is>
          <t>URBAN COTTON OVERSIZED HORIZONTE CAB</t>
        </is>
      </c>
      <c r="C1185" t="inlineStr">
        <is>
          <t>Manufactura / Caballero / P. Superiores</t>
        </is>
      </c>
      <c r="D1185" t="n">
        <v>15</v>
      </c>
      <c r="E1185" t="n">
        <v>634.7120043</v>
      </c>
      <c r="F1185" t="n">
        <v>0.82327749645</v>
      </c>
      <c r="G1185" t="n">
        <v>11</v>
      </c>
      <c r="H1185" t="n">
        <v>11.06389452</v>
      </c>
      <c r="I1185" t="n">
        <v>1.5</v>
      </c>
      <c r="J1185" t="n">
        <v>3</v>
      </c>
      <c r="K1185" t="inlineStr"/>
    </row>
    <row r="1186">
      <c r="A1186" t="inlineStr">
        <is>
          <t>ANMSUDA43TXS</t>
        </is>
      </c>
      <c r="B1186" t="inlineStr">
        <is>
          <t>ANDRE MOTION DAMA</t>
        </is>
      </c>
      <c r="C1186" t="inlineStr">
        <is>
          <t>Manufactura / Dama / P. Superiores</t>
        </is>
      </c>
      <c r="D1186" t="n">
        <v>14</v>
      </c>
      <c r="E1186" t="n">
        <v>634.33005458</v>
      </c>
      <c r="F1186" t="n">
        <v>0.7600194962357143</v>
      </c>
      <c r="G1186" t="n">
        <v>21</v>
      </c>
      <c r="H1186" t="n">
        <v>10.6</v>
      </c>
      <c r="I1186" t="n">
        <v>1.4</v>
      </c>
      <c r="J1186" t="n">
        <v>0</v>
      </c>
      <c r="K1186" t="inlineStr"/>
    </row>
    <row r="1187">
      <c r="A1187" t="inlineStr">
        <is>
          <t>SNA34EQ</t>
        </is>
      </c>
      <c r="B1187" t="inlineStr">
        <is>
          <t>LLAVERO SNAP</t>
        </is>
      </c>
      <c r="C1187" t="inlineStr">
        <is>
          <t>Equipamiento / Accesorios</t>
        </is>
      </c>
      <c r="D1187" t="n">
        <v>169</v>
      </c>
      <c r="E1187" t="n">
        <v>633.6796192911348</v>
      </c>
      <c r="F1187" t="n">
        <v>0.8169874795603773</v>
      </c>
      <c r="G1187" t="n">
        <v>392</v>
      </c>
      <c r="H1187" t="n">
        <v>1</v>
      </c>
      <c r="I1187" t="n">
        <v>16.9</v>
      </c>
      <c r="J1187" t="n">
        <v>0</v>
      </c>
      <c r="K1187" t="inlineStr"/>
    </row>
    <row r="1188">
      <c r="A1188" t="inlineStr">
        <is>
          <t>JACKI01T2</t>
        </is>
      </c>
      <c r="B1188" t="inlineStr">
        <is>
          <t>JACKET KIDS</t>
        </is>
      </c>
      <c r="C1188" t="inlineStr">
        <is>
          <t>Manufactura / Kids / P. Superiores</t>
        </is>
      </c>
      <c r="D1188" t="n">
        <v>12</v>
      </c>
      <c r="E1188" t="n">
        <v>631.03942133</v>
      </c>
      <c r="F1188" t="n">
        <v>0.7047701866</v>
      </c>
      <c r="G1188" t="n">
        <v>80</v>
      </c>
      <c r="H1188" t="n">
        <v>15.17</v>
      </c>
      <c r="I1188" t="n">
        <v>1.2</v>
      </c>
      <c r="J1188" t="n">
        <v>0</v>
      </c>
      <c r="K1188" t="inlineStr"/>
    </row>
    <row r="1189">
      <c r="A1189" t="inlineStr">
        <is>
          <t>PANNTKI66T6</t>
        </is>
      </c>
      <c r="B1189" t="inlineStr">
        <is>
          <t>EXPLORE PANTS KIDS</t>
        </is>
      </c>
      <c r="C1189" t="inlineStr">
        <is>
          <t>Manufactura / Kids / P. Inferiores</t>
        </is>
      </c>
      <c r="D1189" t="n">
        <v>14</v>
      </c>
      <c r="E1189" t="n">
        <v>630.99031293</v>
      </c>
      <c r="F1189" t="n">
        <v>0.7276884723166667</v>
      </c>
      <c r="G1189" t="n">
        <v>12</v>
      </c>
      <c r="H1189" t="n">
        <v>13.98</v>
      </c>
      <c r="I1189" t="n">
        <v>1.4</v>
      </c>
      <c r="J1189" t="n">
        <v>0</v>
      </c>
      <c r="K1189" t="inlineStr"/>
    </row>
    <row r="1190">
      <c r="A1190" t="inlineStr">
        <is>
          <t>TALGTACA167TM</t>
        </is>
      </c>
      <c r="B1190" t="inlineStr">
        <is>
          <t>URBAN COTTON OVERSIZED COLOR BLOCK CAB</t>
        </is>
      </c>
      <c r="C1190" t="inlineStr">
        <is>
          <t>Manufactura / Caballero / P. Superiores</t>
        </is>
      </c>
      <c r="D1190" t="n">
        <v>16</v>
      </c>
      <c r="E1190" t="n">
        <v>630.28460742</v>
      </c>
      <c r="F1190" t="n">
        <v>0.7779618031272727</v>
      </c>
      <c r="G1190" t="n">
        <v>3</v>
      </c>
      <c r="H1190" t="n">
        <v>12.16641162</v>
      </c>
      <c r="I1190" t="n">
        <v>1.6</v>
      </c>
      <c r="J1190" t="n">
        <v>2</v>
      </c>
      <c r="K1190" t="inlineStr"/>
    </row>
    <row r="1191">
      <c r="A1191" t="inlineStr">
        <is>
          <t>SHOSUKI154T8</t>
        </is>
      </c>
      <c r="B1191" t="inlineStr">
        <is>
          <t>SHORT PLAYA ESTAMPADO KIDS</t>
        </is>
      </c>
      <c r="C1191" t="inlineStr">
        <is>
          <t>Manufactura / Kids / P. Superiores</t>
        </is>
      </c>
      <c r="D1191" t="n">
        <v>14</v>
      </c>
      <c r="E1191" t="n">
        <v>629.99443558</v>
      </c>
      <c r="F1191" t="n">
        <v>0.8359995434428571</v>
      </c>
      <c r="G1191" t="n">
        <v>29</v>
      </c>
      <c r="H1191" t="n">
        <v>7.21</v>
      </c>
      <c r="I1191" t="n">
        <v>1.4</v>
      </c>
      <c r="J1191" t="n">
        <v>0</v>
      </c>
      <c r="K1191" t="inlineStr"/>
    </row>
    <row r="1192">
      <c r="A1192" t="inlineStr">
        <is>
          <t>LAN14EQ</t>
        </is>
      </c>
      <c r="B1192" t="inlineStr">
        <is>
          <t>LANYARD</t>
        </is>
      </c>
      <c r="C1192" t="inlineStr">
        <is>
          <t>Equipamiento / Accesorios</t>
        </is>
      </c>
      <c r="D1192" t="n">
        <v>186</v>
      </c>
      <c r="E1192" t="n">
        <v>629.4757026779999</v>
      </c>
      <c r="F1192" t="n">
        <v>0.8577286265049382</v>
      </c>
      <c r="G1192" t="n">
        <v>483</v>
      </c>
      <c r="H1192" t="n">
        <v>0.51</v>
      </c>
      <c r="I1192" t="n">
        <v>18.6</v>
      </c>
      <c r="J1192" t="n">
        <v>0</v>
      </c>
      <c r="K1192" t="inlineStr"/>
    </row>
    <row r="1193">
      <c r="A1193" t="inlineStr">
        <is>
          <t>CLAMICA30TXL</t>
        </is>
      </c>
      <c r="B1193" t="inlineStr">
        <is>
          <t>CLASICA ORIGINAL CAB</t>
        </is>
      </c>
      <c r="C1193" t="inlineStr">
        <is>
          <t>Manufactura / Caballero / P. Superiores</t>
        </is>
      </c>
      <c r="D1193" t="n">
        <v>15</v>
      </c>
      <c r="E1193" t="n">
        <v>629.37659395</v>
      </c>
      <c r="F1193" t="n">
        <v>0.8823663785166667</v>
      </c>
      <c r="G1193" t="n">
        <v>1</v>
      </c>
      <c r="H1193" t="n">
        <v>4.598442536</v>
      </c>
      <c r="I1193" t="n">
        <v>1.5</v>
      </c>
      <c r="J1193" t="n">
        <v>1</v>
      </c>
      <c r="K1193" t="inlineStr"/>
    </row>
    <row r="1194">
      <c r="A1194" t="inlineStr">
        <is>
          <t>SHOUNCA38TS</t>
        </is>
      </c>
      <c r="B1194" t="inlineStr">
        <is>
          <t>SHORT PLAYA CAB</t>
        </is>
      </c>
      <c r="C1194" t="inlineStr">
        <is>
          <t>Manufactura / Caballero / P. Inferiores</t>
        </is>
      </c>
      <c r="D1194" t="n">
        <v>13</v>
      </c>
      <c r="E1194" t="n">
        <v>629.14872644</v>
      </c>
      <c r="F1194" t="n">
        <v>0.7892493486923077</v>
      </c>
      <c r="G1194" t="n">
        <v>45</v>
      </c>
      <c r="H1194" t="n">
        <v>9.99</v>
      </c>
      <c r="I1194" t="n">
        <v>1.3</v>
      </c>
      <c r="J1194" t="n">
        <v>0</v>
      </c>
      <c r="K1194" t="inlineStr"/>
    </row>
    <row r="1195">
      <c r="A1195" t="inlineStr">
        <is>
          <t>RIOMIKI53T12</t>
        </is>
      </c>
      <c r="B1195" t="inlineStr">
        <is>
          <t>RIO ORIGINAL KIDS</t>
        </is>
      </c>
      <c r="C1195" t="inlineStr">
        <is>
          <t>Manufactura / Kids / P. Superiores</t>
        </is>
      </c>
      <c r="D1195" t="n">
        <v>15</v>
      </c>
      <c r="E1195" t="n">
        <v>628.53713639</v>
      </c>
      <c r="F1195" t="n">
        <v>0.90986255422</v>
      </c>
      <c r="G1195" t="n">
        <v>9</v>
      </c>
      <c r="H1195" t="n">
        <v>3.617969464</v>
      </c>
      <c r="I1195" t="n">
        <v>1.5</v>
      </c>
      <c r="J1195" t="n">
        <v>0</v>
      </c>
      <c r="K1195" t="inlineStr"/>
    </row>
    <row r="1196">
      <c r="A1196" t="inlineStr">
        <is>
          <t>CLMSUCA43TM</t>
        </is>
      </c>
      <c r="B1196" t="inlineStr">
        <is>
          <t>CLASICA MOTION CAB</t>
        </is>
      </c>
      <c r="C1196" t="inlineStr">
        <is>
          <t>Manufactura / Caballero / P. Superiores</t>
        </is>
      </c>
      <c r="D1196" t="n">
        <v>15</v>
      </c>
      <c r="E1196" t="n">
        <v>627.92668793</v>
      </c>
      <c r="F1196" t="n">
        <v>0.71898981340625</v>
      </c>
      <c r="G1196" t="n">
        <v>0</v>
      </c>
      <c r="H1196" t="n">
        <v>12.26</v>
      </c>
      <c r="I1196" t="n">
        <v>1.5</v>
      </c>
      <c r="J1196" t="n">
        <v>2</v>
      </c>
      <c r="K1196" t="inlineStr">
        <is>
          <t>Sin stock</t>
        </is>
      </c>
    </row>
    <row r="1197">
      <c r="A1197" t="inlineStr">
        <is>
          <t>RIOMIKI04T8</t>
        </is>
      </c>
      <c r="B1197" t="inlineStr">
        <is>
          <t>RIO ORIGINAL KIDS</t>
        </is>
      </c>
      <c r="C1197" t="inlineStr">
        <is>
          <t>Manufactura / Kids / P. Superiores</t>
        </is>
      </c>
      <c r="D1197" t="n">
        <v>14</v>
      </c>
      <c r="E1197" t="n">
        <v>626.68696272</v>
      </c>
      <c r="F1197" t="n">
        <v>0.915405944425</v>
      </c>
      <c r="G1197" t="n">
        <v>6</v>
      </c>
      <c r="H1197" t="n">
        <v>3.617969464</v>
      </c>
      <c r="I1197" t="n">
        <v>1.4</v>
      </c>
      <c r="J1197" t="n">
        <v>2</v>
      </c>
      <c r="K1197" t="inlineStr"/>
    </row>
    <row r="1198">
      <c r="A1198" t="inlineStr">
        <is>
          <t>SHOSUKI156T2</t>
        </is>
      </c>
      <c r="B1198" t="inlineStr">
        <is>
          <t>SHORT PLAYA ESTAMPADO KIDS</t>
        </is>
      </c>
      <c r="C1198" t="inlineStr">
        <is>
          <t>Manufactura / Kids / P. Superiores</t>
        </is>
      </c>
      <c r="D1198" t="n">
        <v>14</v>
      </c>
      <c r="E1198" t="n">
        <v>625.6815082099999</v>
      </c>
      <c r="F1198" t="n">
        <v>0.8311968970285715</v>
      </c>
      <c r="G1198" t="n">
        <v>16</v>
      </c>
      <c r="H1198" t="n">
        <v>7.21</v>
      </c>
      <c r="I1198" t="n">
        <v>1.4</v>
      </c>
      <c r="J1198" t="n">
        <v>0</v>
      </c>
      <c r="K1198" t="inlineStr"/>
    </row>
    <row r="1199">
      <c r="A1199" t="inlineStr">
        <is>
          <t>SHONRKI30T14</t>
        </is>
      </c>
      <c r="B1199" t="inlineStr">
        <is>
          <t>SHORT SPORT KIDS</t>
        </is>
      </c>
      <c r="C1199" t="inlineStr">
        <is>
          <t>Manufactura / Kids / P. Inferiores</t>
        </is>
      </c>
      <c r="D1199" t="n">
        <v>16</v>
      </c>
      <c r="E1199" t="n">
        <v>625.2414142499999</v>
      </c>
      <c r="F1199" t="n">
        <v>0.8441799873411765</v>
      </c>
      <c r="G1199" t="n">
        <v>29</v>
      </c>
      <c r="H1199" t="n">
        <v>6.465724382</v>
      </c>
      <c r="I1199" t="n">
        <v>1.6</v>
      </c>
      <c r="J1199" t="n">
        <v>0</v>
      </c>
      <c r="K1199" t="inlineStr"/>
    </row>
    <row r="1200">
      <c r="A1200" t="inlineStr">
        <is>
          <t>RIOMIDA04TS</t>
        </is>
      </c>
      <c r="B1200" t="inlineStr">
        <is>
          <t>RIO ORIGINAL DAMA</t>
        </is>
      </c>
      <c r="C1200" t="inlineStr">
        <is>
          <t>Manufactura / Dama / P. Superiores</t>
        </is>
      </c>
      <c r="D1200" t="n">
        <v>11</v>
      </c>
      <c r="E1200" t="n">
        <v>624.84459039</v>
      </c>
      <c r="F1200" t="n">
        <v>0.9014295835999999</v>
      </c>
      <c r="G1200" t="n">
        <v>5</v>
      </c>
      <c r="H1200" t="n">
        <v>5.538832275</v>
      </c>
      <c r="I1200" t="n">
        <v>1.1</v>
      </c>
      <c r="J1200" t="n">
        <v>1</v>
      </c>
      <c r="K1200" t="inlineStr"/>
    </row>
    <row r="1201">
      <c r="A1201" t="inlineStr">
        <is>
          <t>GEODOCACA43TS</t>
        </is>
      </c>
      <c r="B1201" t="inlineStr">
        <is>
          <t>ADVANCE GEO DOMINIC CAB</t>
        </is>
      </c>
      <c r="C1201" t="inlineStr">
        <is>
          <t>Manufactura / Caballero / P. Superiores</t>
        </is>
      </c>
      <c r="D1201" t="n">
        <v>14</v>
      </c>
      <c r="E1201" t="n">
        <v>624.12409388</v>
      </c>
      <c r="F1201" t="n">
        <v>0.8015661753444445</v>
      </c>
      <c r="G1201" t="n">
        <v>22</v>
      </c>
      <c r="H1201" t="n">
        <v>13.35</v>
      </c>
      <c r="I1201" t="n">
        <v>1.4</v>
      </c>
      <c r="J1201" t="n">
        <v>0</v>
      </c>
      <c r="K1201" t="inlineStr"/>
    </row>
    <row r="1202">
      <c r="A1202" t="inlineStr">
        <is>
          <t>CUTAG87</t>
        </is>
      </c>
      <c r="B1202" t="inlineStr">
        <is>
          <t>CUADRO TAG</t>
        </is>
      </c>
      <c r="C1202" t="inlineStr">
        <is>
          <t>Equipamiento / Accesorios</t>
        </is>
      </c>
      <c r="D1202" t="n">
        <v>75</v>
      </c>
      <c r="E1202" t="n">
        <v>623.9689758230001</v>
      </c>
      <c r="F1202" t="n">
        <v>0.9218403602037036</v>
      </c>
      <c r="G1202" t="n">
        <v>155</v>
      </c>
      <c r="H1202" t="n">
        <v>0.8100000000000001</v>
      </c>
      <c r="I1202" t="n">
        <v>7.5</v>
      </c>
      <c r="J1202" t="n">
        <v>0</v>
      </c>
      <c r="K1202" t="inlineStr"/>
    </row>
    <row r="1203">
      <c r="A1203" t="inlineStr">
        <is>
          <t>SHOUNCA186T2XL</t>
        </is>
      </c>
      <c r="B1203" t="inlineStr">
        <is>
          <t>SHORT PLAYA CAB</t>
        </is>
      </c>
      <c r="C1203" t="inlineStr">
        <is>
          <t>Manufactura / Caballero / P. Inferiores</t>
        </is>
      </c>
      <c r="D1203" t="n">
        <v>13</v>
      </c>
      <c r="E1203" t="n">
        <v>623.53461218</v>
      </c>
      <c r="F1203" t="n">
        <v>0.7872422417466667</v>
      </c>
      <c r="G1203" t="n">
        <v>20</v>
      </c>
      <c r="H1203" t="n">
        <v>9.99</v>
      </c>
      <c r="I1203" t="n">
        <v>1.3</v>
      </c>
      <c r="J1203" t="n">
        <v>0</v>
      </c>
      <c r="K1203" t="inlineStr"/>
    </row>
    <row r="1204">
      <c r="A1204" t="inlineStr">
        <is>
          <t>MARMIKI66T10</t>
        </is>
      </c>
      <c r="B1204" t="inlineStr">
        <is>
          <t>MAR ORIGINAL KIDS</t>
        </is>
      </c>
      <c r="C1204" t="inlineStr">
        <is>
          <t>Manufactura / Kids / P. Superiores</t>
        </is>
      </c>
      <c r="D1204" t="n">
        <v>16</v>
      </c>
      <c r="E1204" t="n">
        <v>622.88348335</v>
      </c>
      <c r="F1204" t="n">
        <v>0.9182645270222223</v>
      </c>
      <c r="G1204" t="n">
        <v>45</v>
      </c>
      <c r="H1204" t="n">
        <v>3.168013332</v>
      </c>
      <c r="I1204" t="n">
        <v>1.6</v>
      </c>
      <c r="J1204" t="n">
        <v>1</v>
      </c>
      <c r="K1204" t="inlineStr"/>
    </row>
    <row r="1205">
      <c r="A1205" t="inlineStr">
        <is>
          <t>SHOUNCA170TS</t>
        </is>
      </c>
      <c r="B1205" t="inlineStr">
        <is>
          <t>SHORT PLAYA CAB</t>
        </is>
      </c>
      <c r="C1205" t="inlineStr">
        <is>
          <t>Manufactura / Caballero / P. Inferiores</t>
        </is>
      </c>
      <c r="D1205" t="n">
        <v>12</v>
      </c>
      <c r="E1205" t="n">
        <v>622.77742601</v>
      </c>
      <c r="F1205" t="n">
        <v>0.8040301752071429</v>
      </c>
      <c r="G1205" t="n">
        <v>44</v>
      </c>
      <c r="H1205" t="n">
        <v>9.99</v>
      </c>
      <c r="I1205" t="n">
        <v>1.2</v>
      </c>
      <c r="J1205" t="n">
        <v>0</v>
      </c>
      <c r="K1205" t="inlineStr"/>
    </row>
    <row r="1206">
      <c r="A1206" t="inlineStr">
        <is>
          <t>SHONTDA66TM</t>
        </is>
      </c>
      <c r="B1206" t="inlineStr">
        <is>
          <t>EXPLORE SHORT DAMA</t>
        </is>
      </c>
      <c r="C1206" t="inlineStr">
        <is>
          <t>Manufactura / Dama / P. Inferiores</t>
        </is>
      </c>
      <c r="D1206" t="n">
        <v>13</v>
      </c>
      <c r="E1206" t="n">
        <v>622.20115879</v>
      </c>
      <c r="F1206" t="n">
        <v>0.8118561071909092</v>
      </c>
      <c r="G1206" t="n">
        <v>39</v>
      </c>
      <c r="H1206" t="n">
        <v>10.22113744</v>
      </c>
      <c r="I1206" t="n">
        <v>1.3</v>
      </c>
      <c r="J1206" t="n">
        <v>1</v>
      </c>
      <c r="K1206" t="inlineStr"/>
    </row>
    <row r="1207">
      <c r="A1207" t="inlineStr">
        <is>
          <t>CLAMECA13TS</t>
        </is>
      </c>
      <c r="B1207" t="inlineStr">
        <is>
          <t>CLASICA SPORT CAB</t>
        </is>
      </c>
      <c r="C1207" t="inlineStr">
        <is>
          <t>Manufactura / Caballero / P. Superiores</t>
        </is>
      </c>
      <c r="D1207" t="n">
        <v>11</v>
      </c>
      <c r="E1207" t="n">
        <v>622.14161066</v>
      </c>
      <c r="F1207" t="n">
        <v>0.8063452139545454</v>
      </c>
      <c r="G1207" t="n">
        <v>1</v>
      </c>
      <c r="H1207" t="n">
        <v>10.3013454</v>
      </c>
      <c r="I1207" t="n">
        <v>1.1</v>
      </c>
      <c r="J1207" t="n">
        <v>1</v>
      </c>
      <c r="K1207" t="inlineStr"/>
    </row>
    <row r="1208">
      <c r="A1208" t="inlineStr">
        <is>
          <t>CLAMIKI12T12</t>
        </is>
      </c>
      <c r="B1208" t="inlineStr">
        <is>
          <t>CLASICA ORIGINAL KIDS</t>
        </is>
      </c>
      <c r="C1208" t="inlineStr">
        <is>
          <t>Manufactura / Kids / P. Superiores</t>
        </is>
      </c>
      <c r="D1208" t="n">
        <v>19</v>
      </c>
      <c r="E1208" t="n">
        <v>622.1381441310051</v>
      </c>
      <c r="F1208" t="n">
        <v>0.9339332516952381</v>
      </c>
      <c r="G1208" t="n">
        <v>30</v>
      </c>
      <c r="H1208" t="n">
        <v>2.053774806</v>
      </c>
      <c r="I1208" t="n">
        <v>1.9</v>
      </c>
      <c r="J1208" t="n">
        <v>0</v>
      </c>
      <c r="K1208" t="inlineStr"/>
    </row>
    <row r="1209">
      <c r="A1209" t="inlineStr">
        <is>
          <t>LAN28EQ</t>
        </is>
      </c>
      <c r="B1209" t="inlineStr">
        <is>
          <t>LANYARD</t>
        </is>
      </c>
      <c r="C1209" t="inlineStr">
        <is>
          <t>Equipamiento / Accesorios</t>
        </is>
      </c>
      <c r="D1209" t="n">
        <v>212</v>
      </c>
      <c r="E1209" t="n">
        <v>620.9657433822878</v>
      </c>
      <c r="F1209" t="n">
        <v>0.8499407477909638</v>
      </c>
      <c r="G1209" t="n">
        <v>638</v>
      </c>
      <c r="H1209" t="n">
        <v>0.51</v>
      </c>
      <c r="I1209" t="n">
        <v>21.2</v>
      </c>
      <c r="J1209" t="n">
        <v>0</v>
      </c>
      <c r="K1209" t="inlineStr"/>
    </row>
    <row r="1210">
      <c r="A1210" t="inlineStr">
        <is>
          <t>TALGTADA12TXS</t>
        </is>
      </c>
      <c r="B1210" t="inlineStr">
        <is>
          <t>URBAN COTTON TOP SAY YES DAMA</t>
        </is>
      </c>
      <c r="C1210" t="inlineStr">
        <is>
          <t>Manufactura / Dama / P. Superiores</t>
        </is>
      </c>
      <c r="D1210" t="n">
        <v>13</v>
      </c>
      <c r="E1210" t="n">
        <v>619.81063579</v>
      </c>
      <c r="F1210" t="n">
        <v>0.8682173569833332</v>
      </c>
      <c r="G1210" t="n">
        <v>41</v>
      </c>
      <c r="H1210" t="n">
        <v>6.639983317</v>
      </c>
      <c r="I1210" t="n">
        <v>1.3</v>
      </c>
      <c r="J1210" t="n">
        <v>2</v>
      </c>
      <c r="K1210" t="inlineStr"/>
    </row>
    <row r="1211">
      <c r="A1211" t="inlineStr">
        <is>
          <t>SHOUNKI50T8</t>
        </is>
      </c>
      <c r="B1211" t="inlineStr">
        <is>
          <t>SHORT PLAYA KIDS</t>
        </is>
      </c>
      <c r="C1211" t="inlineStr">
        <is>
          <t>Manufactura / Kids / P. Inferiores</t>
        </is>
      </c>
      <c r="D1211" t="n">
        <v>16</v>
      </c>
      <c r="E1211" t="n">
        <v>619.47303564</v>
      </c>
      <c r="F1211" t="n">
        <v>0.83629904465</v>
      </c>
      <c r="G1211" t="n">
        <v>24</v>
      </c>
      <c r="H1211" t="n">
        <v>6.09</v>
      </c>
      <c r="I1211" t="n">
        <v>1.6</v>
      </c>
      <c r="J1211" t="n">
        <v>0</v>
      </c>
      <c r="K1211" t="inlineStr"/>
    </row>
    <row r="1212">
      <c r="A1212" t="inlineStr">
        <is>
          <t>MARMICA70T2XL</t>
        </is>
      </c>
      <c r="B1212" t="inlineStr">
        <is>
          <t>MAR ORIGINAL CAB</t>
        </is>
      </c>
      <c r="C1212" t="inlineStr">
        <is>
          <t>Manufactura / Caballero / P. Superiores</t>
        </is>
      </c>
      <c r="D1212" t="n">
        <v>12</v>
      </c>
      <c r="E1212" t="n">
        <v>619.44698282</v>
      </c>
      <c r="F1212" t="n">
        <v>0.9016616370083333</v>
      </c>
      <c r="G1212" t="n">
        <v>24</v>
      </c>
      <c r="H1212" t="n">
        <v>4.946357428</v>
      </c>
      <c r="I1212" t="n">
        <v>1.2</v>
      </c>
      <c r="J1212" t="n">
        <v>0</v>
      </c>
      <c r="K1212" t="inlineStr"/>
    </row>
    <row r="1213">
      <c r="A1213" t="inlineStr">
        <is>
          <t>GEMBADA66TXS</t>
        </is>
      </c>
      <c r="B1213" t="inlineStr">
        <is>
          <t>VESTIDO GEMMA DAMA</t>
        </is>
      </c>
      <c r="C1213" t="inlineStr">
        <is>
          <t>Manufactura / Dama / Conjuntos</t>
        </is>
      </c>
      <c r="D1213" t="n">
        <v>13</v>
      </c>
      <c r="E1213" t="n">
        <v>619.06811951</v>
      </c>
      <c r="F1213" t="n">
        <v>0.50518078270625</v>
      </c>
      <c r="G1213" t="n">
        <v>30</v>
      </c>
      <c r="H1213" t="n">
        <v>23.99</v>
      </c>
      <c r="I1213" t="n">
        <v>1.3</v>
      </c>
      <c r="J1213" t="n">
        <v>0</v>
      </c>
      <c r="K1213" t="inlineStr"/>
    </row>
    <row r="1214">
      <c r="A1214" t="inlineStr">
        <is>
          <t>ANMSUDA43TS</t>
        </is>
      </c>
      <c r="B1214" t="inlineStr">
        <is>
          <t>ANDRE MOTION DAMA</t>
        </is>
      </c>
      <c r="C1214" t="inlineStr">
        <is>
          <t>Manufactura / Dama / P. Superiores</t>
        </is>
      </c>
      <c r="D1214" t="n">
        <v>14</v>
      </c>
      <c r="E1214" t="n">
        <v>618.74684138</v>
      </c>
      <c r="F1214" t="n">
        <v>0.7534433339357143</v>
      </c>
      <c r="G1214" t="n">
        <v>14</v>
      </c>
      <c r="H1214" t="n">
        <v>10.6</v>
      </c>
      <c r="I1214" t="n">
        <v>1.4</v>
      </c>
      <c r="J1214" t="n">
        <v>0</v>
      </c>
      <c r="K1214" t="inlineStr"/>
    </row>
    <row r="1215">
      <c r="A1215" t="inlineStr">
        <is>
          <t>SMCBNECA16TM</t>
        </is>
      </c>
      <c r="B1215" t="inlineStr">
        <is>
          <t>SPOTS MANGA CORTA CAB</t>
        </is>
      </c>
      <c r="C1215" t="inlineStr">
        <is>
          <t>Manufactura / Caballero / P. Superiores</t>
        </is>
      </c>
      <c r="D1215" t="n">
        <v>17</v>
      </c>
      <c r="E1215" t="n">
        <v>618.6999999999999</v>
      </c>
      <c r="F1215" t="n">
        <v>0.7597293140882353</v>
      </c>
      <c r="G1215" t="n">
        <v>6</v>
      </c>
      <c r="H1215" t="n">
        <v>8.5</v>
      </c>
      <c r="I1215" t="n">
        <v>1.7</v>
      </c>
      <c r="J1215" t="n">
        <v>0</v>
      </c>
      <c r="K1215" t="inlineStr"/>
    </row>
    <row r="1216">
      <c r="A1216" t="inlineStr">
        <is>
          <t>PANNTKI66T4</t>
        </is>
      </c>
      <c r="B1216" t="inlineStr">
        <is>
          <t>EXPLORE PANTS KIDS</t>
        </is>
      </c>
      <c r="C1216" t="inlineStr">
        <is>
          <t>Manufactura / Kids / P. Inferiores</t>
        </is>
      </c>
      <c r="D1216" t="n">
        <v>12</v>
      </c>
      <c r="E1216" t="n">
        <v>618.58126927</v>
      </c>
      <c r="F1216" t="n">
        <v>0.71546286495</v>
      </c>
      <c r="G1216" t="n">
        <v>15</v>
      </c>
      <c r="H1216" t="n">
        <v>13.98</v>
      </c>
      <c r="I1216" t="n">
        <v>1.2</v>
      </c>
      <c r="J1216" t="n">
        <v>0</v>
      </c>
      <c r="K1216" t="inlineStr"/>
    </row>
    <row r="1217">
      <c r="A1217" t="inlineStr">
        <is>
          <t>BASCCDA43TM</t>
        </is>
      </c>
      <c r="B1217" t="inlineStr">
        <is>
          <t>BASIC LINE SHORT DAMA</t>
        </is>
      </c>
      <c r="C1217" t="inlineStr">
        <is>
          <t>Manufactura / Dama / P. Inferiores</t>
        </is>
      </c>
      <c r="D1217" t="n">
        <v>16</v>
      </c>
      <c r="E1217" t="n">
        <v>618.36317904</v>
      </c>
      <c r="F1217" t="n">
        <v>0.8695816829588235</v>
      </c>
      <c r="G1217" t="n">
        <v>64</v>
      </c>
      <c r="H1217" t="n">
        <v>6.01</v>
      </c>
      <c r="I1217" t="n">
        <v>1.6</v>
      </c>
      <c r="J1217" t="n">
        <v>3</v>
      </c>
      <c r="K1217" t="inlineStr"/>
    </row>
    <row r="1218">
      <c r="A1218" t="inlineStr">
        <is>
          <t>POLPLCA50TM</t>
        </is>
      </c>
      <c r="B1218" t="inlineStr">
        <is>
          <t>CLASSIC POLO</t>
        </is>
      </c>
      <c r="C1218" t="inlineStr">
        <is>
          <t>Manufactura / Caballero / P. Superiores</t>
        </is>
      </c>
      <c r="D1218" t="n">
        <v>15</v>
      </c>
      <c r="E1218" t="n">
        <v>618.13550218</v>
      </c>
      <c r="F1218" t="n">
        <v>0.8303937111357144</v>
      </c>
      <c r="G1218" t="n">
        <v>112</v>
      </c>
      <c r="H1218" t="n">
        <v>7.34</v>
      </c>
      <c r="I1218" t="n">
        <v>1.5</v>
      </c>
      <c r="J1218" t="n">
        <v>0</v>
      </c>
      <c r="K1218" t="inlineStr"/>
    </row>
    <row r="1219">
      <c r="A1219" t="inlineStr">
        <is>
          <t>CLAMEDA30TM</t>
        </is>
      </c>
      <c r="B1219" t="inlineStr">
        <is>
          <t>CLÁSICA SPORT DAMA</t>
        </is>
      </c>
      <c r="C1219" t="inlineStr">
        <is>
          <t>Manufactura / Dama / P. Superiores</t>
        </is>
      </c>
      <c r="D1219" t="n">
        <v>14</v>
      </c>
      <c r="E1219" t="n">
        <v>615.98615191</v>
      </c>
      <c r="F1219" t="n">
        <v>0.84868118814375</v>
      </c>
      <c r="G1219" t="n">
        <v>5</v>
      </c>
      <c r="H1219" t="n">
        <v>6.536105769</v>
      </c>
      <c r="I1219" t="n">
        <v>1.4</v>
      </c>
      <c r="J1219" t="n">
        <v>1</v>
      </c>
      <c r="K1219" t="inlineStr"/>
    </row>
    <row r="1220">
      <c r="A1220" t="inlineStr">
        <is>
          <t>ADUMMDA11TM</t>
        </is>
      </c>
      <c r="B1220" t="inlineStr">
        <is>
          <t>ACTIVE DUO DAMA</t>
        </is>
      </c>
      <c r="C1220" t="inlineStr">
        <is>
          <t>Manufactura / Caballero / P. Superiores</t>
        </is>
      </c>
      <c r="D1220" t="n">
        <v>12</v>
      </c>
      <c r="E1220" t="n">
        <v>615.9167067</v>
      </c>
      <c r="F1220" t="n">
        <v>0.9360065880833334</v>
      </c>
      <c r="G1220" t="n">
        <v>20</v>
      </c>
      <c r="H1220" t="n">
        <v>3.19128</v>
      </c>
      <c r="I1220" t="n">
        <v>1.2</v>
      </c>
      <c r="J1220" t="n">
        <v>0</v>
      </c>
      <c r="K1220" t="inlineStr"/>
    </row>
    <row r="1221">
      <c r="A1221" t="inlineStr">
        <is>
          <t>SHOUNCA57T2XL</t>
        </is>
      </c>
      <c r="B1221" t="inlineStr">
        <is>
          <t>SHORT PLAYA CAB</t>
        </is>
      </c>
      <c r="C1221" t="inlineStr">
        <is>
          <t>Manufactura / Caballero / P. Inferiores</t>
        </is>
      </c>
      <c r="D1221" t="n">
        <v>13</v>
      </c>
      <c r="E1221" t="n">
        <v>614.65713006</v>
      </c>
      <c r="F1221" t="n">
        <v>0.788186547975</v>
      </c>
      <c r="G1221" t="n">
        <v>0</v>
      </c>
      <c r="H1221" t="n">
        <v>9.99</v>
      </c>
      <c r="I1221" t="n">
        <v>1.3</v>
      </c>
      <c r="J1221" t="n">
        <v>5</v>
      </c>
      <c r="K1221" t="inlineStr">
        <is>
          <t>Sin stock</t>
        </is>
      </c>
    </row>
    <row r="1222">
      <c r="A1222" t="inlineStr">
        <is>
          <t>SHOUNKI68T14</t>
        </is>
      </c>
      <c r="B1222" t="inlineStr">
        <is>
          <t>SHORT PLAYA KIDS</t>
        </is>
      </c>
      <c r="C1222" t="inlineStr">
        <is>
          <t>Manufactura / Kids / P. Inferiores</t>
        </is>
      </c>
      <c r="D1222" t="n">
        <v>15</v>
      </c>
      <c r="E1222" t="n">
        <v>614.22013151</v>
      </c>
      <c r="F1222" t="n">
        <v>0.8492865099133333</v>
      </c>
      <c r="G1222" t="n">
        <v>11</v>
      </c>
      <c r="H1222" t="n">
        <v>6.09</v>
      </c>
      <c r="I1222" t="n">
        <v>1.5</v>
      </c>
      <c r="J1222" t="n">
        <v>2</v>
      </c>
      <c r="K1222" t="inlineStr"/>
    </row>
    <row r="1223">
      <c r="A1223" t="inlineStr">
        <is>
          <t>RIOMICA50T2XL</t>
        </is>
      </c>
      <c r="B1223" t="inlineStr">
        <is>
          <t>RIO ORIGINAL CAB</t>
        </is>
      </c>
      <c r="C1223" t="inlineStr">
        <is>
          <t>Manufactura / Caballero / P. Superiores</t>
        </is>
      </c>
      <c r="D1223" t="n">
        <v>11</v>
      </c>
      <c r="E1223" t="n">
        <v>613.69471083</v>
      </c>
      <c r="F1223" t="n">
        <v>0.8902515594363636</v>
      </c>
      <c r="G1223" t="n">
        <v>11</v>
      </c>
      <c r="H1223" t="n">
        <v>5.939350288</v>
      </c>
      <c r="I1223" t="n">
        <v>1.1</v>
      </c>
      <c r="J1223" t="n">
        <v>2</v>
      </c>
      <c r="K1223" t="inlineStr"/>
    </row>
    <row r="1224">
      <c r="A1224" t="inlineStr">
        <is>
          <t>HELBFDA16TL</t>
        </is>
      </c>
      <c r="B1224" t="inlineStr">
        <is>
          <t>HELEN BIO MOVE DAMA</t>
        </is>
      </c>
      <c r="C1224" t="inlineStr">
        <is>
          <t>Manufactura / Dama / P. Superiores</t>
        </is>
      </c>
      <c r="D1224" t="n">
        <v>11</v>
      </c>
      <c r="E1224" t="n">
        <v>612.77620074</v>
      </c>
      <c r="F1224" t="n">
        <v>0.87325879858</v>
      </c>
      <c r="G1224" t="n">
        <v>89</v>
      </c>
      <c r="H1224" t="n">
        <v>7.34081746</v>
      </c>
      <c r="I1224" t="n">
        <v>1.1</v>
      </c>
      <c r="J1224" t="n">
        <v>2</v>
      </c>
      <c r="K1224" t="inlineStr"/>
    </row>
    <row r="1225">
      <c r="A1225" t="inlineStr">
        <is>
          <t>TALGOTADA166TXS</t>
        </is>
      </c>
      <c r="B1225" t="inlineStr">
        <is>
          <t>URBAN COTTON TOP SUNSET DAMA</t>
        </is>
      </c>
      <c r="C1225" t="inlineStr">
        <is>
          <t>Manufactura / Dama / P. Superiores</t>
        </is>
      </c>
      <c r="D1225" t="n">
        <v>12</v>
      </c>
      <c r="E1225" t="n">
        <v>612.28257606</v>
      </c>
      <c r="F1225" t="n">
        <v>0.8569635517083333</v>
      </c>
      <c r="G1225" t="n">
        <v>36</v>
      </c>
      <c r="H1225" t="n">
        <v>7.815168794</v>
      </c>
      <c r="I1225" t="n">
        <v>1.2</v>
      </c>
      <c r="J1225" t="n">
        <v>2</v>
      </c>
      <c r="K1225" t="inlineStr"/>
    </row>
    <row r="1226">
      <c r="A1226" t="inlineStr">
        <is>
          <t>CLAMEDA66TS</t>
        </is>
      </c>
      <c r="B1226" t="inlineStr">
        <is>
          <t>CLÁSICA SPORT DAMA</t>
        </is>
      </c>
      <c r="C1226" t="inlineStr">
        <is>
          <t>Manufactura / Dama / P. Superiores</t>
        </is>
      </c>
      <c r="D1226" t="n">
        <v>12</v>
      </c>
      <c r="E1226" t="n">
        <v>611.50652873</v>
      </c>
      <c r="F1226" t="n">
        <v>0.858933741225</v>
      </c>
      <c r="G1226" t="n">
        <v>13</v>
      </c>
      <c r="H1226" t="n">
        <v>6.536105769</v>
      </c>
      <c r="I1226" t="n">
        <v>1.2</v>
      </c>
      <c r="J1226" t="n">
        <v>0</v>
      </c>
      <c r="K1226" t="inlineStr"/>
    </row>
    <row r="1227">
      <c r="A1227" t="inlineStr">
        <is>
          <t>SHONRCA66TL</t>
        </is>
      </c>
      <c r="B1227" t="inlineStr">
        <is>
          <t>SHORT SPORT CAB</t>
        </is>
      </c>
      <c r="C1227" t="inlineStr">
        <is>
          <t>Manufactura / Caballero / P. Inferiores</t>
        </is>
      </c>
      <c r="D1227" t="n">
        <v>23</v>
      </c>
      <c r="E1227" t="n">
        <v>610.8166341</v>
      </c>
      <c r="F1227" t="n">
        <v>0.7784378718</v>
      </c>
      <c r="G1227" t="n">
        <v>1</v>
      </c>
      <c r="H1227" t="n">
        <v>10.6514486</v>
      </c>
      <c r="I1227" t="n">
        <v>2.3</v>
      </c>
      <c r="J1227" t="n">
        <v>0</v>
      </c>
      <c r="K1227" t="inlineStr"/>
    </row>
    <row r="1228">
      <c r="A1228" t="inlineStr">
        <is>
          <t>SARSPKI12T10</t>
        </is>
      </c>
      <c r="B1228" t="inlineStr">
        <is>
          <t>FALDA SARA KIDS</t>
        </is>
      </c>
      <c r="C1228" t="inlineStr">
        <is>
          <t>Manufactura / Kids / P. Inferiores</t>
        </is>
      </c>
      <c r="D1228" t="n">
        <v>16</v>
      </c>
      <c r="E1228" t="n">
        <v>608.79745995</v>
      </c>
      <c r="F1228" t="n">
        <v>0.8467707425466667</v>
      </c>
      <c r="G1228" t="n">
        <v>17</v>
      </c>
      <c r="H1228" t="n">
        <v>5.753743316</v>
      </c>
      <c r="I1228" t="n">
        <v>1.6</v>
      </c>
      <c r="J1228" t="n">
        <v>0</v>
      </c>
      <c r="K1228" t="inlineStr"/>
    </row>
    <row r="1229">
      <c r="A1229" t="inlineStr">
        <is>
          <t>MARMIKI50T14</t>
        </is>
      </c>
      <c r="B1229" t="inlineStr">
        <is>
          <t>MAR ORIGINAL KIDS</t>
        </is>
      </c>
      <c r="C1229" t="inlineStr">
        <is>
          <t>Manufactura / Kids / P. Superiores</t>
        </is>
      </c>
      <c r="D1229" t="n">
        <v>15</v>
      </c>
      <c r="E1229" t="n">
        <v>608.45647576</v>
      </c>
      <c r="F1229" t="n">
        <v>0.92258980363125</v>
      </c>
      <c r="G1229" t="n">
        <v>57</v>
      </c>
      <c r="H1229" t="n">
        <v>3.168013332</v>
      </c>
      <c r="I1229" t="n">
        <v>1.5</v>
      </c>
      <c r="J1229" t="n">
        <v>0</v>
      </c>
      <c r="K1229" t="inlineStr"/>
    </row>
    <row r="1230">
      <c r="A1230" t="inlineStr">
        <is>
          <t>DOMBFCA30TM</t>
        </is>
      </c>
      <c r="B1230" t="inlineStr">
        <is>
          <t>DOMINIC BIO MOVE CAB</t>
        </is>
      </c>
      <c r="C1230" t="inlineStr">
        <is>
          <t>Manufactura / Caballero / P. Superiores</t>
        </is>
      </c>
      <c r="D1230" t="n">
        <v>11</v>
      </c>
      <c r="E1230" t="n">
        <v>607.41960592</v>
      </c>
      <c r="F1230" t="n">
        <v>0.7796192611461539</v>
      </c>
      <c r="G1230" t="n">
        <v>24</v>
      </c>
      <c r="H1230" t="n">
        <v>13.86</v>
      </c>
      <c r="I1230" t="n">
        <v>1.1</v>
      </c>
      <c r="J1230" t="n">
        <v>0</v>
      </c>
      <c r="K1230" t="inlineStr"/>
    </row>
    <row r="1231">
      <c r="A1231" t="inlineStr">
        <is>
          <t>MARMIKI48T8</t>
        </is>
      </c>
      <c r="B1231" t="inlineStr">
        <is>
          <t>MAR ORIGINAL KIDS</t>
        </is>
      </c>
      <c r="C1231" t="inlineStr">
        <is>
          <t>Manufactura / Kids / P. Superiores</t>
        </is>
      </c>
      <c r="D1231" t="n">
        <v>16</v>
      </c>
      <c r="E1231" t="n">
        <v>606.63834302</v>
      </c>
      <c r="F1231" t="n">
        <v>0.9132131428833333</v>
      </c>
      <c r="G1231" t="n">
        <v>9</v>
      </c>
      <c r="H1231" t="n">
        <v>3.168013332</v>
      </c>
      <c r="I1231" t="n">
        <v>1.6</v>
      </c>
      <c r="J1231" t="n">
        <v>0</v>
      </c>
      <c r="K1231" t="inlineStr"/>
    </row>
    <row r="1232">
      <c r="A1232" t="inlineStr">
        <is>
          <t>SHONRKI43T10</t>
        </is>
      </c>
      <c r="B1232" t="inlineStr">
        <is>
          <t>SHORT SPORT KIDS</t>
        </is>
      </c>
      <c r="C1232" t="inlineStr">
        <is>
          <t>Manufactura / Kids / P. Inferiores</t>
        </is>
      </c>
      <c r="D1232" t="n">
        <v>16</v>
      </c>
      <c r="E1232" t="n">
        <v>605.89732188</v>
      </c>
      <c r="F1232" t="n">
        <v>0.8357801469733332</v>
      </c>
      <c r="G1232" t="n">
        <v>18</v>
      </c>
      <c r="H1232" t="n">
        <v>6.465724382</v>
      </c>
      <c r="I1232" t="n">
        <v>1.6</v>
      </c>
      <c r="J1232" t="n">
        <v>0</v>
      </c>
      <c r="K1232" t="inlineStr"/>
    </row>
    <row r="1233">
      <c r="A1233" t="inlineStr">
        <is>
          <t>MIKFNDA70TXS</t>
        </is>
      </c>
      <c r="B1233" t="inlineStr">
        <is>
          <t>MIKA SPORT LITE DAMA</t>
        </is>
      </c>
      <c r="C1233" t="inlineStr">
        <is>
          <t>Manufactura / Dama / P. Superiores</t>
        </is>
      </c>
      <c r="D1233" t="n">
        <v>15</v>
      </c>
      <c r="E1233" t="n">
        <v>603.9475333399999</v>
      </c>
      <c r="F1233" t="n">
        <v>0.8573646274071428</v>
      </c>
      <c r="G1233" t="n">
        <v>31</v>
      </c>
      <c r="H1233" t="n">
        <v>5.484675344</v>
      </c>
      <c r="I1233" t="n">
        <v>1.5</v>
      </c>
      <c r="J1233" t="n">
        <v>3</v>
      </c>
      <c r="K1233" t="inlineStr"/>
    </row>
    <row r="1234">
      <c r="A1234" t="inlineStr">
        <is>
          <t>DOMBFCA206TL</t>
        </is>
      </c>
      <c r="B1234" t="inlineStr">
        <is>
          <t>DOMINIC BIO MOVE CAB</t>
        </is>
      </c>
      <c r="C1234" t="inlineStr">
        <is>
          <t>Manufactura / Caballero / P. Superiores</t>
        </is>
      </c>
      <c r="D1234" t="n">
        <v>10</v>
      </c>
      <c r="E1234" t="n">
        <v>603.8490624999999</v>
      </c>
      <c r="F1234" t="n">
        <v>0.8180195632333334</v>
      </c>
      <c r="G1234" t="n">
        <v>27</v>
      </c>
      <c r="H1234" t="n">
        <v>13.86</v>
      </c>
      <c r="I1234" t="n">
        <v>1</v>
      </c>
      <c r="J1234" t="n">
        <v>0</v>
      </c>
      <c r="K1234" t="inlineStr"/>
    </row>
    <row r="1235">
      <c r="A1235" t="inlineStr">
        <is>
          <t>MAFMIDA66TM</t>
        </is>
      </c>
      <c r="B1235" t="inlineStr">
        <is>
          <t>MAFE ORIGINAL DAMA</t>
        </is>
      </c>
      <c r="C1235" t="inlineStr">
        <is>
          <t>Manufactura / Dama / P. Superiores</t>
        </is>
      </c>
      <c r="D1235" t="n">
        <v>20</v>
      </c>
      <c r="E1235" t="n">
        <v>603.09864896</v>
      </c>
      <c r="F1235" t="n">
        <v>0.8445438828149999</v>
      </c>
      <c r="G1235" t="n">
        <v>35</v>
      </c>
      <c r="H1235" t="n">
        <v>4.54817671</v>
      </c>
      <c r="I1235" t="n">
        <v>2</v>
      </c>
      <c r="J1235" t="n">
        <v>0</v>
      </c>
      <c r="K1235" t="inlineStr"/>
    </row>
    <row r="1236">
      <c r="A1236" t="inlineStr">
        <is>
          <t>MARMIDA30TXS</t>
        </is>
      </c>
      <c r="B1236" t="inlineStr">
        <is>
          <t>MAR ORIGINAL DAMA</t>
        </is>
      </c>
      <c r="C1236" t="inlineStr">
        <is>
          <t>Manufactura / Dama / P. Superiores</t>
        </is>
      </c>
      <c r="D1236" t="n">
        <v>13</v>
      </c>
      <c r="E1236" t="n">
        <v>602.79163873</v>
      </c>
      <c r="F1236" t="n">
        <v>0.9081006556</v>
      </c>
      <c r="G1236" t="n">
        <v>1</v>
      </c>
      <c r="H1236" t="n">
        <v>4.278324149</v>
      </c>
      <c r="I1236" t="n">
        <v>1.3</v>
      </c>
      <c r="J1236" t="n">
        <v>1</v>
      </c>
      <c r="K1236" t="inlineStr"/>
    </row>
    <row r="1237">
      <c r="A1237" t="inlineStr">
        <is>
          <t>LMOFIDA31TM</t>
        </is>
      </c>
      <c r="B1237" t="inlineStr">
        <is>
          <t>LEGGING MOVA</t>
        </is>
      </c>
      <c r="C1237" t="inlineStr">
        <is>
          <t>Manufactura / Dama / P. Inferiores</t>
        </is>
      </c>
      <c r="D1237" t="n">
        <v>9</v>
      </c>
      <c r="E1237" t="n">
        <v>601.15932121</v>
      </c>
      <c r="F1237" t="n">
        <v>0.7612674454</v>
      </c>
      <c r="G1237" t="n">
        <v>20</v>
      </c>
      <c r="H1237" t="n">
        <v>17.7</v>
      </c>
      <c r="I1237" t="n">
        <v>0.9</v>
      </c>
      <c r="J1237" t="n">
        <v>1</v>
      </c>
      <c r="K1237" t="inlineStr"/>
    </row>
    <row r="1238">
      <c r="A1238" t="inlineStr">
        <is>
          <t>RIOMIDA13TM</t>
        </is>
      </c>
      <c r="B1238" t="inlineStr">
        <is>
          <t>RIO ORIGINAL DAMA</t>
        </is>
      </c>
      <c r="C1238" t="inlineStr">
        <is>
          <t>Manufactura / Dama / P. Superiores</t>
        </is>
      </c>
      <c r="D1238" t="n">
        <v>12</v>
      </c>
      <c r="E1238" t="n">
        <v>600.6704783700001</v>
      </c>
      <c r="F1238" t="n">
        <v>0.8891615824357143</v>
      </c>
      <c r="G1238" t="n">
        <v>1</v>
      </c>
      <c r="H1238" t="n">
        <v>5.538832275</v>
      </c>
      <c r="I1238" t="n">
        <v>1.2</v>
      </c>
      <c r="J1238" t="n">
        <v>5</v>
      </c>
      <c r="K1238" t="inlineStr"/>
    </row>
    <row r="1239">
      <c r="A1239" t="inlineStr">
        <is>
          <t>TALGTADA12TM</t>
        </is>
      </c>
      <c r="B1239" t="inlineStr">
        <is>
          <t>URBAN COTTON TOP SAY YES DAMA</t>
        </is>
      </c>
      <c r="C1239" t="inlineStr">
        <is>
          <t>Manufactura / Dama / P. Superiores</t>
        </is>
      </c>
      <c r="D1239" t="n">
        <v>12</v>
      </c>
      <c r="E1239" t="n">
        <v>598.1643785699999</v>
      </c>
      <c r="F1239" t="n">
        <v>0.8759050410818182</v>
      </c>
      <c r="G1239" t="n">
        <v>23</v>
      </c>
      <c r="H1239" t="n">
        <v>6.639983317</v>
      </c>
      <c r="I1239" t="n">
        <v>1.2</v>
      </c>
      <c r="J1239" t="n">
        <v>3</v>
      </c>
      <c r="K1239" t="inlineStr"/>
    </row>
    <row r="1240">
      <c r="A1240" t="inlineStr">
        <is>
          <t>ADUMMCA30TS</t>
        </is>
      </c>
      <c r="B1240" t="inlineStr">
        <is>
          <t>ACTIVE DUO CAB</t>
        </is>
      </c>
      <c r="C1240" t="inlineStr">
        <is>
          <t>Manufactura / Caballero / P. Superiores</t>
        </is>
      </c>
      <c r="D1240" t="n">
        <v>20</v>
      </c>
      <c r="E1240" t="n">
        <v>594.90468538</v>
      </c>
      <c r="F1240" t="n">
        <v>0.8803345108999999</v>
      </c>
      <c r="G1240" t="n">
        <v>19</v>
      </c>
      <c r="H1240" t="n">
        <v>5.09</v>
      </c>
      <c r="I1240" t="n">
        <v>2</v>
      </c>
      <c r="J1240" t="n">
        <v>0</v>
      </c>
      <c r="K1240" t="inlineStr"/>
    </row>
    <row r="1241">
      <c r="A1241" t="inlineStr">
        <is>
          <t>RIOMIKI16T8</t>
        </is>
      </c>
      <c r="B1241" t="inlineStr">
        <is>
          <t>RIO ORIGINAL KIDS</t>
        </is>
      </c>
      <c r="C1241" t="inlineStr">
        <is>
          <t>Manufactura / Kids / P. Superiores</t>
        </is>
      </c>
      <c r="D1241" t="n">
        <v>14</v>
      </c>
      <c r="E1241" t="n">
        <v>594.70071805</v>
      </c>
      <c r="F1241" t="n">
        <v>0.9204131857071428</v>
      </c>
      <c r="G1241" t="n">
        <v>43</v>
      </c>
      <c r="H1241" t="n">
        <v>3.617969464</v>
      </c>
      <c r="I1241" t="n">
        <v>1.4</v>
      </c>
      <c r="J1241" t="n">
        <v>0</v>
      </c>
      <c r="K1241" t="inlineStr"/>
    </row>
    <row r="1242">
      <c r="A1242" t="inlineStr">
        <is>
          <t>LMOFIDA43TS</t>
        </is>
      </c>
      <c r="B1242" t="inlineStr">
        <is>
          <t>LEGGING MOVA</t>
        </is>
      </c>
      <c r="C1242" t="inlineStr">
        <is>
          <t>Manufactura / Dama / P. Inferiores</t>
        </is>
      </c>
      <c r="D1242" t="n">
        <v>14</v>
      </c>
      <c r="E1242" t="n">
        <v>593.8505058</v>
      </c>
      <c r="F1242" t="n">
        <v>0.7794715703555556</v>
      </c>
      <c r="G1242" t="n">
        <v>28</v>
      </c>
      <c r="H1242" t="n">
        <v>17.7</v>
      </c>
      <c r="I1242" t="n">
        <v>1.4</v>
      </c>
      <c r="J1242" t="n">
        <v>0</v>
      </c>
      <c r="K1242" t="inlineStr"/>
    </row>
    <row r="1243">
      <c r="A1243" t="inlineStr">
        <is>
          <t>SHUNTDA157TS</t>
        </is>
      </c>
      <c r="B1243" t="inlineStr">
        <is>
          <t>SHORT SPORT R1 DAMA</t>
        </is>
      </c>
      <c r="C1243" t="inlineStr">
        <is>
          <t>Manufactura / Dama / P. Inferiores</t>
        </is>
      </c>
      <c r="D1243" t="n">
        <v>15</v>
      </c>
      <c r="E1243" t="n">
        <v>593.71176105</v>
      </c>
      <c r="F1243" t="n">
        <v>0.8205186205333334</v>
      </c>
      <c r="G1243" t="n">
        <v>39</v>
      </c>
      <c r="H1243" t="n">
        <v>8.33</v>
      </c>
      <c r="I1243" t="n">
        <v>1.5</v>
      </c>
      <c r="J1243" t="n">
        <v>0</v>
      </c>
      <c r="K1243" t="inlineStr"/>
    </row>
    <row r="1244">
      <c r="A1244" t="inlineStr">
        <is>
          <t>SHOUNCA69TS</t>
        </is>
      </c>
      <c r="B1244" t="inlineStr">
        <is>
          <t>SHORT PLAYA CAB</t>
        </is>
      </c>
      <c r="C1244" t="inlineStr">
        <is>
          <t>Manufactura / Caballero / P. Inferiores</t>
        </is>
      </c>
      <c r="D1244" t="n">
        <v>12</v>
      </c>
      <c r="E1244" t="n">
        <v>593.68391199</v>
      </c>
      <c r="F1244" t="n">
        <v>0.7959400667833334</v>
      </c>
      <c r="G1244" t="n">
        <v>47</v>
      </c>
      <c r="H1244" t="n">
        <v>9.99</v>
      </c>
      <c r="I1244" t="n">
        <v>1.2</v>
      </c>
      <c r="J1244" t="n">
        <v>0</v>
      </c>
      <c r="K1244" t="inlineStr"/>
    </row>
    <row r="1245">
      <c r="A1245" t="inlineStr">
        <is>
          <t>CLAMICA13TS</t>
        </is>
      </c>
      <c r="B1245" t="inlineStr">
        <is>
          <t>CLASICA ORIGINAL CAB</t>
        </is>
      </c>
      <c r="C1245" t="inlineStr">
        <is>
          <t>Manufactura / Caballero / P. Superiores</t>
        </is>
      </c>
      <c r="D1245" t="n">
        <v>17</v>
      </c>
      <c r="E1245" t="n">
        <v>593.4133556100001</v>
      </c>
      <c r="F1245" t="n">
        <v>0.88753601935</v>
      </c>
      <c r="G1245" t="n">
        <v>17</v>
      </c>
      <c r="H1245" t="n">
        <v>4.598442536</v>
      </c>
      <c r="I1245" t="n">
        <v>1.7</v>
      </c>
      <c r="J1245" t="n">
        <v>0</v>
      </c>
      <c r="K1245" t="inlineStr"/>
    </row>
    <row r="1246">
      <c r="A1246" t="inlineStr">
        <is>
          <t>RIOMIKI30T2</t>
        </is>
      </c>
      <c r="B1246" t="inlineStr">
        <is>
          <t>RIO ORIGINAL KIDS</t>
        </is>
      </c>
      <c r="C1246" t="inlineStr">
        <is>
          <t>Manufactura / Kids / P. Superiores</t>
        </is>
      </c>
      <c r="D1246" t="n">
        <v>14</v>
      </c>
      <c r="E1246" t="n">
        <v>593.25525018</v>
      </c>
      <c r="F1246" t="n">
        <v>0.9123981667642856</v>
      </c>
      <c r="G1246" t="n">
        <v>8</v>
      </c>
      <c r="H1246" t="n">
        <v>3.617969464</v>
      </c>
      <c r="I1246" t="n">
        <v>1.4</v>
      </c>
      <c r="J1246" t="n">
        <v>2</v>
      </c>
      <c r="K1246" t="inlineStr"/>
    </row>
    <row r="1247">
      <c r="A1247" t="inlineStr">
        <is>
          <t>MAFMIDA70TXS</t>
        </is>
      </c>
      <c r="B1247" t="inlineStr">
        <is>
          <t>MAFE ORIGINAL DAMA</t>
        </is>
      </c>
      <c r="C1247" t="inlineStr">
        <is>
          <t>Manufactura / Dama / P. Superiores</t>
        </is>
      </c>
      <c r="D1247" t="n">
        <v>18</v>
      </c>
      <c r="E1247" t="n">
        <v>593.04604682</v>
      </c>
      <c r="F1247" t="n">
        <v>0.8599320717722222</v>
      </c>
      <c r="G1247" t="n">
        <v>11</v>
      </c>
      <c r="H1247" t="n">
        <v>4.54817671</v>
      </c>
      <c r="I1247" t="n">
        <v>1.8</v>
      </c>
      <c r="J1247" t="n">
        <v>0</v>
      </c>
      <c r="K1247" t="inlineStr"/>
    </row>
    <row r="1248">
      <c r="A1248" t="inlineStr">
        <is>
          <t>MAYFNDA10TM</t>
        </is>
      </c>
      <c r="B1248" t="inlineStr">
        <is>
          <t>MAYA SPORT LITE DAMA</t>
        </is>
      </c>
      <c r="C1248" t="inlineStr">
        <is>
          <t>Manufactura / Dama / P. Superiores</t>
        </is>
      </c>
      <c r="D1248" t="n">
        <v>16</v>
      </c>
      <c r="E1248" t="n">
        <v>591.48106708</v>
      </c>
      <c r="F1248" t="n">
        <v>0.8865772816476191</v>
      </c>
      <c r="G1248" t="n">
        <v>29</v>
      </c>
      <c r="H1248" t="n">
        <v>3.87</v>
      </c>
      <c r="I1248" t="n">
        <v>1.6</v>
      </c>
      <c r="J1248" t="n">
        <v>0</v>
      </c>
      <c r="K1248" t="inlineStr"/>
    </row>
    <row r="1249">
      <c r="A1249" t="inlineStr">
        <is>
          <t>MIKFNDA70TL</t>
        </is>
      </c>
      <c r="B1249" t="inlineStr">
        <is>
          <t>MIKA SPORT LITE DAMA</t>
        </is>
      </c>
      <c r="C1249" t="inlineStr">
        <is>
          <t>Manufactura / Dama / P. Superiores</t>
        </is>
      </c>
      <c r="D1249" t="n">
        <v>15</v>
      </c>
      <c r="E1249" t="n">
        <v>591.44273218</v>
      </c>
      <c r="F1249" t="n">
        <v>0.8247125843470587</v>
      </c>
      <c r="G1249" t="n">
        <v>23</v>
      </c>
      <c r="H1249" t="n">
        <v>5.484675344</v>
      </c>
      <c r="I1249" t="n">
        <v>1.5</v>
      </c>
      <c r="J1249" t="n">
        <v>2</v>
      </c>
      <c r="K1249" t="inlineStr"/>
    </row>
    <row r="1250">
      <c r="A1250" t="inlineStr">
        <is>
          <t>JACCA67TL</t>
        </is>
      </c>
      <c r="B1250" t="inlineStr">
        <is>
          <t>JACKET CAB</t>
        </is>
      </c>
      <c r="C1250" t="inlineStr">
        <is>
          <t>Equipamiento / Ropa</t>
        </is>
      </c>
      <c r="D1250" t="n">
        <v>8</v>
      </c>
      <c r="E1250" t="n">
        <v>590.37286252</v>
      </c>
      <c r="F1250" t="n">
        <v>0.7252862951285713</v>
      </c>
      <c r="G1250" t="n">
        <v>48</v>
      </c>
      <c r="H1250" t="n">
        <v>20.25001933</v>
      </c>
      <c r="I1250" t="n">
        <v>0.8</v>
      </c>
      <c r="J1250" t="n">
        <v>4</v>
      </c>
      <c r="K1250" t="inlineStr"/>
    </row>
    <row r="1251">
      <c r="A1251" t="inlineStr">
        <is>
          <t>RIOMICA16T2XL</t>
        </is>
      </c>
      <c r="B1251" t="inlineStr">
        <is>
          <t>RIO ORIGINAL CAB</t>
        </is>
      </c>
      <c r="C1251" t="inlineStr">
        <is>
          <t>Manufactura / Caballero / P. Superiores</t>
        </is>
      </c>
      <c r="D1251" t="n">
        <v>10</v>
      </c>
      <c r="E1251" t="n">
        <v>590.25371321</v>
      </c>
      <c r="F1251" t="n">
        <v>0.8933767824909092</v>
      </c>
      <c r="G1251" t="n">
        <v>26</v>
      </c>
      <c r="H1251" t="n">
        <v>5.939350288</v>
      </c>
      <c r="I1251" t="n">
        <v>1</v>
      </c>
      <c r="J1251" t="n">
        <v>0</v>
      </c>
      <c r="K1251" t="inlineStr"/>
    </row>
    <row r="1252">
      <c r="A1252" t="inlineStr">
        <is>
          <t>RIOMIKI01T12</t>
        </is>
      </c>
      <c r="B1252" t="inlineStr">
        <is>
          <t>RIO ORIGINAL KIDS</t>
        </is>
      </c>
      <c r="C1252" t="inlineStr">
        <is>
          <t>Manufactura / Kids / P. Superiores</t>
        </is>
      </c>
      <c r="D1252" t="n">
        <v>14</v>
      </c>
      <c r="E1252" t="n">
        <v>590.2218309</v>
      </c>
      <c r="F1252" t="n">
        <v>0.9086850942133334</v>
      </c>
      <c r="G1252" t="n">
        <v>13</v>
      </c>
      <c r="H1252" t="n">
        <v>3.617969464</v>
      </c>
      <c r="I1252" t="n">
        <v>1.4</v>
      </c>
      <c r="J1252" t="n">
        <v>0</v>
      </c>
      <c r="K1252" t="inlineStr"/>
    </row>
    <row r="1253">
      <c r="A1253" t="inlineStr">
        <is>
          <t>SHONTDA43TS</t>
        </is>
      </c>
      <c r="B1253" t="inlineStr">
        <is>
          <t>EXPLORE SHORT DAMA</t>
        </is>
      </c>
      <c r="C1253" t="inlineStr">
        <is>
          <t>Manufactura / Dama / P. Inferiores</t>
        </is>
      </c>
      <c r="D1253" t="n">
        <v>14</v>
      </c>
      <c r="E1253" t="n">
        <v>589.73820818</v>
      </c>
      <c r="F1253" t="n">
        <v>0.7884413133857143</v>
      </c>
      <c r="G1253" t="n">
        <v>61</v>
      </c>
      <c r="H1253" t="n">
        <v>10.22113744</v>
      </c>
      <c r="I1253" t="n">
        <v>1.4</v>
      </c>
      <c r="J1253" t="n">
        <v>0</v>
      </c>
      <c r="K1253" t="inlineStr"/>
    </row>
    <row r="1254">
      <c r="A1254" t="inlineStr">
        <is>
          <t>GEMBADA09TXS</t>
        </is>
      </c>
      <c r="B1254" t="inlineStr">
        <is>
          <t>VESTIDO GEMMA DAMA</t>
        </is>
      </c>
      <c r="C1254" t="inlineStr">
        <is>
          <t>Manufactura / Dama / Conjuntos</t>
        </is>
      </c>
      <c r="D1254" t="n">
        <v>13</v>
      </c>
      <c r="E1254" t="n">
        <v>589.45493901</v>
      </c>
      <c r="F1254" t="n">
        <v>0.5331208674636364</v>
      </c>
      <c r="G1254" t="n">
        <v>25</v>
      </c>
      <c r="H1254" t="n">
        <v>23.99</v>
      </c>
      <c r="I1254" t="n">
        <v>1.3</v>
      </c>
      <c r="J1254" t="n">
        <v>0</v>
      </c>
      <c r="K1254" t="inlineStr"/>
    </row>
    <row r="1255">
      <c r="A1255" t="inlineStr">
        <is>
          <t>MAFMIDA48TXS</t>
        </is>
      </c>
      <c r="B1255" t="inlineStr">
        <is>
          <t>MAFE ORIGINAL DAMA</t>
        </is>
      </c>
      <c r="C1255" t="inlineStr">
        <is>
          <t>Manufactura / Dama / P. Superiores</t>
        </is>
      </c>
      <c r="D1255" t="n">
        <v>19</v>
      </c>
      <c r="E1255" t="n">
        <v>589.22196616</v>
      </c>
      <c r="F1255" t="n">
        <v>0.8590300588999999</v>
      </c>
      <c r="G1255" t="n">
        <v>19</v>
      </c>
      <c r="H1255" t="n">
        <v>4.54817671</v>
      </c>
      <c r="I1255" t="n">
        <v>1.9</v>
      </c>
      <c r="J1255" t="n">
        <v>0</v>
      </c>
      <c r="K1255" t="inlineStr"/>
    </row>
    <row r="1256">
      <c r="A1256" t="inlineStr">
        <is>
          <t>BASCCDA38TXS</t>
        </is>
      </c>
      <c r="B1256" t="inlineStr">
        <is>
          <t>BASIC LINE SHORT DAMA</t>
        </is>
      </c>
      <c r="C1256" t="inlineStr">
        <is>
          <t>Manufactura / Dama / P. Inferiores</t>
        </is>
      </c>
      <c r="D1256" t="n">
        <v>15</v>
      </c>
      <c r="E1256" t="n">
        <v>588.05342998</v>
      </c>
      <c r="F1256" t="n">
        <v>0.8751909856500001</v>
      </c>
      <c r="G1256" t="n">
        <v>41</v>
      </c>
      <c r="H1256" t="n">
        <v>6.01</v>
      </c>
      <c r="I1256" t="n">
        <v>1.5</v>
      </c>
      <c r="J1256" t="n">
        <v>1</v>
      </c>
      <c r="K1256" t="inlineStr"/>
    </row>
    <row r="1257">
      <c r="A1257" t="inlineStr">
        <is>
          <t>NAHFNCA13TS</t>
        </is>
      </c>
      <c r="B1257" t="inlineStr">
        <is>
          <t>NOAH SPORT LITE CAB</t>
        </is>
      </c>
      <c r="C1257" t="inlineStr">
        <is>
          <t>Manufactura / Caballero / P. Superiores</t>
        </is>
      </c>
      <c r="D1257" t="n">
        <v>26</v>
      </c>
      <c r="E1257" t="n">
        <v>586.32229561</v>
      </c>
      <c r="F1257" t="n">
        <v>0.491009667625</v>
      </c>
      <c r="G1257" t="n">
        <v>9</v>
      </c>
      <c r="H1257" t="n">
        <v>17.61141534</v>
      </c>
      <c r="I1257" t="n">
        <v>2.6</v>
      </c>
      <c r="J1257" t="n">
        <v>1</v>
      </c>
      <c r="K1257" t="inlineStr"/>
    </row>
    <row r="1258">
      <c r="A1258" t="inlineStr">
        <is>
          <t>GEMBADA66TS</t>
        </is>
      </c>
      <c r="B1258" t="inlineStr">
        <is>
          <t>VESTIDO GEMMA DAMA</t>
        </is>
      </c>
      <c r="C1258" t="inlineStr">
        <is>
          <t>Manufactura / Dama / Conjuntos</t>
        </is>
      </c>
      <c r="D1258" t="n">
        <v>12</v>
      </c>
      <c r="E1258" t="n">
        <v>586.0239785700001</v>
      </c>
      <c r="F1258" t="n">
        <v>0.5499435102615384</v>
      </c>
      <c r="G1258" t="n">
        <v>42</v>
      </c>
      <c r="H1258" t="n">
        <v>23.99</v>
      </c>
      <c r="I1258" t="n">
        <v>1.2</v>
      </c>
      <c r="J1258" t="n">
        <v>0</v>
      </c>
      <c r="K1258" t="inlineStr"/>
    </row>
    <row r="1259">
      <c r="A1259" t="inlineStr">
        <is>
          <t>GEODOCACA168TXL</t>
        </is>
      </c>
      <c r="B1259" t="inlineStr">
        <is>
          <t>ADVANCE GEO DOMINIC CAB</t>
        </is>
      </c>
      <c r="C1259" t="inlineStr">
        <is>
          <t>Manufactura / Caballero / P. Superiores</t>
        </is>
      </c>
      <c r="D1259" t="n">
        <v>9</v>
      </c>
      <c r="E1259" t="n">
        <v>585.28308039</v>
      </c>
      <c r="F1259" t="n">
        <v>0.7895823381888889</v>
      </c>
      <c r="G1259" t="n">
        <v>23</v>
      </c>
      <c r="H1259" t="n">
        <v>13.35</v>
      </c>
      <c r="I1259" t="n">
        <v>0.9</v>
      </c>
      <c r="J1259" t="n">
        <v>0</v>
      </c>
      <c r="K1259" t="inlineStr"/>
    </row>
    <row r="1260">
      <c r="A1260" t="inlineStr">
        <is>
          <t>RIOMIDA53TL</t>
        </is>
      </c>
      <c r="B1260" t="inlineStr">
        <is>
          <t>RIO ORIGINAL DAMA</t>
        </is>
      </c>
      <c r="C1260" t="inlineStr">
        <is>
          <t>Manufactura / Dama / P. Superiores</t>
        </is>
      </c>
      <c r="D1260" t="n">
        <v>12</v>
      </c>
      <c r="E1260" t="n">
        <v>584.8960594599999</v>
      </c>
      <c r="F1260" t="n">
        <v>0.88613689735</v>
      </c>
      <c r="G1260" t="n">
        <v>11</v>
      </c>
      <c r="H1260" t="n">
        <v>5.538832275</v>
      </c>
      <c r="I1260" t="n">
        <v>1.2</v>
      </c>
      <c r="J1260" t="n">
        <v>3</v>
      </c>
      <c r="K1260" t="inlineStr"/>
    </row>
    <row r="1261">
      <c r="A1261" t="inlineStr">
        <is>
          <t>LAN43EQ</t>
        </is>
      </c>
      <c r="B1261" t="inlineStr">
        <is>
          <t>LANYARD</t>
        </is>
      </c>
      <c r="C1261" t="inlineStr">
        <is>
          <t>Equipamiento / Accesorios</t>
        </is>
      </c>
      <c r="D1261" t="n">
        <v>168</v>
      </c>
      <c r="E1261" t="n">
        <v>583.417432467</v>
      </c>
      <c r="F1261" t="n">
        <v>0.8512472243322581</v>
      </c>
      <c r="G1261" t="n">
        <v>618</v>
      </c>
      <c r="H1261" t="n">
        <v>0.51</v>
      </c>
      <c r="I1261" t="n">
        <v>16.8</v>
      </c>
      <c r="J1261" t="n">
        <v>0</v>
      </c>
      <c r="K1261" t="inlineStr"/>
    </row>
    <row r="1262">
      <c r="A1262" t="inlineStr">
        <is>
          <t>ZOEMIDA34TL</t>
        </is>
      </c>
      <c r="B1262" t="inlineStr">
        <is>
          <t>ZOE ORIGINAL DAMA</t>
        </is>
      </c>
      <c r="C1262" t="inlineStr">
        <is>
          <t>Manufactura / Dama / P. Superiores</t>
        </is>
      </c>
      <c r="D1262" t="n">
        <v>15</v>
      </c>
      <c r="E1262" t="n">
        <v>580.85517843</v>
      </c>
      <c r="F1262" t="n">
        <v>0.88648898792</v>
      </c>
      <c r="G1262" t="n">
        <v>10</v>
      </c>
      <c r="H1262" t="n">
        <v>4.116585696</v>
      </c>
      <c r="I1262" t="n">
        <v>1.5</v>
      </c>
      <c r="J1262" t="n">
        <v>1</v>
      </c>
      <c r="K1262" t="inlineStr"/>
    </row>
    <row r="1263">
      <c r="A1263" t="inlineStr">
        <is>
          <t>ANMSUDA43TM</t>
        </is>
      </c>
      <c r="B1263" t="inlineStr">
        <is>
          <t>ANDRE MOTION DAMA</t>
        </is>
      </c>
      <c r="C1263" t="inlineStr">
        <is>
          <t>Manufactura / Dama / P. Superiores</t>
        </is>
      </c>
      <c r="D1263" t="n">
        <v>16</v>
      </c>
      <c r="E1263" t="n">
        <v>580.62657391</v>
      </c>
      <c r="F1263" t="n">
        <v>0.7323065237285714</v>
      </c>
      <c r="G1263" t="n">
        <v>7</v>
      </c>
      <c r="H1263" t="n">
        <v>10.6</v>
      </c>
      <c r="I1263" t="n">
        <v>1.6</v>
      </c>
      <c r="J1263" t="n">
        <v>0</v>
      </c>
      <c r="K1263" t="inlineStr"/>
    </row>
    <row r="1264">
      <c r="A1264" t="inlineStr">
        <is>
          <t>MAADFDA30TS</t>
        </is>
      </c>
      <c r="B1264" t="inlineStr">
        <is>
          <t>MAFE ADVANCE DAMA</t>
        </is>
      </c>
      <c r="C1264" t="inlineStr">
        <is>
          <t>Manufactura / Dama / P. Superiores</t>
        </is>
      </c>
      <c r="D1264" t="n">
        <v>12</v>
      </c>
      <c r="E1264" t="n">
        <v>580.27013986</v>
      </c>
      <c r="F1264" t="n">
        <v>0.8938004177416666</v>
      </c>
      <c r="G1264" t="n">
        <v>1</v>
      </c>
      <c r="H1264" t="n">
        <v>4.98</v>
      </c>
      <c r="I1264" t="n">
        <v>1.2</v>
      </c>
      <c r="J1264" t="n">
        <v>3</v>
      </c>
      <c r="K1264" t="inlineStr"/>
    </row>
    <row r="1265">
      <c r="A1265" t="inlineStr">
        <is>
          <t>SNA67EQ</t>
        </is>
      </c>
      <c r="B1265" t="inlineStr">
        <is>
          <t>LLAVERO SNAP</t>
        </is>
      </c>
      <c r="C1265" t="inlineStr">
        <is>
          <t>Equipamiento / Accesorios</t>
        </is>
      </c>
      <c r="D1265" t="n">
        <v>230</v>
      </c>
      <c r="E1265" t="n">
        <v>578.54915226195</v>
      </c>
      <c r="F1265" t="n">
        <v>0.8150518054625001</v>
      </c>
      <c r="G1265" t="n">
        <v>616</v>
      </c>
      <c r="H1265" t="n">
        <v>1</v>
      </c>
      <c r="I1265" t="n">
        <v>23</v>
      </c>
      <c r="J1265" t="n">
        <v>0</v>
      </c>
      <c r="K1265" t="inlineStr"/>
    </row>
    <row r="1266">
      <c r="A1266" t="inlineStr">
        <is>
          <t>SHOUNCA186TM</t>
        </is>
      </c>
      <c r="B1266" t="inlineStr">
        <is>
          <t>SHORT PLAYA CAB</t>
        </is>
      </c>
      <c r="C1266" t="inlineStr">
        <is>
          <t>Manufactura / Caballero / P. Inferiores</t>
        </is>
      </c>
      <c r="D1266" t="n">
        <v>12</v>
      </c>
      <c r="E1266" t="n">
        <v>578.47536916</v>
      </c>
      <c r="F1266" t="n">
        <v>0.7908120212999999</v>
      </c>
      <c r="G1266" t="n">
        <v>47</v>
      </c>
      <c r="H1266" t="n">
        <v>9.99</v>
      </c>
      <c r="I1266" t="n">
        <v>1.2</v>
      </c>
      <c r="J1266" t="n">
        <v>0</v>
      </c>
      <c r="K1266" t="inlineStr"/>
    </row>
    <row r="1267">
      <c r="A1267" t="inlineStr">
        <is>
          <t>SHONRKI43T12</t>
        </is>
      </c>
      <c r="B1267" t="inlineStr">
        <is>
          <t>SHORT SPORT KIDS</t>
        </is>
      </c>
      <c r="C1267" t="inlineStr">
        <is>
          <t>Manufactura / Kids / P. Inferiores</t>
        </is>
      </c>
      <c r="D1267" t="n">
        <v>16</v>
      </c>
      <c r="E1267" t="n">
        <v>578.35000152</v>
      </c>
      <c r="F1267" t="n">
        <v>0.8238061851571429</v>
      </c>
      <c r="G1267" t="n">
        <v>17</v>
      </c>
      <c r="H1267" t="n">
        <v>6.465724382</v>
      </c>
      <c r="I1267" t="n">
        <v>1.6</v>
      </c>
      <c r="J1267" t="n">
        <v>0</v>
      </c>
      <c r="K1267" t="inlineStr"/>
    </row>
    <row r="1268">
      <c r="A1268" t="inlineStr">
        <is>
          <t>ANDMIDA12TS</t>
        </is>
      </c>
      <c r="B1268" t="inlineStr">
        <is>
          <t>ANDRE ORIGINAL DAMA</t>
        </is>
      </c>
      <c r="C1268" t="inlineStr">
        <is>
          <t>Manufactura / Dama / P. Superiores</t>
        </is>
      </c>
      <c r="D1268" t="n">
        <v>16</v>
      </c>
      <c r="E1268" t="n">
        <v>577.7276627825128</v>
      </c>
      <c r="F1268" t="n">
        <v>0.90388365738125</v>
      </c>
      <c r="G1268" t="n">
        <v>72</v>
      </c>
      <c r="H1268" t="n">
        <v>3.274295302</v>
      </c>
      <c r="I1268" t="n">
        <v>1.6</v>
      </c>
      <c r="J1268" t="n">
        <v>0</v>
      </c>
      <c r="K1268" t="inlineStr"/>
    </row>
    <row r="1269">
      <c r="A1269" t="inlineStr">
        <is>
          <t>RIOMIDA13TXL</t>
        </is>
      </c>
      <c r="B1269" t="inlineStr">
        <is>
          <t>RIO ORIGINAL DAMA</t>
        </is>
      </c>
      <c r="C1269" t="inlineStr">
        <is>
          <t>Manufactura / Dama / P. Superiores</t>
        </is>
      </c>
      <c r="D1269" t="n">
        <v>10</v>
      </c>
      <c r="E1269" t="n">
        <v>577.71169058</v>
      </c>
      <c r="F1269" t="n">
        <v>0.9007261061642857</v>
      </c>
      <c r="G1269" t="n">
        <v>9</v>
      </c>
      <c r="H1269" t="n">
        <v>5.538832275</v>
      </c>
      <c r="I1269" t="n">
        <v>1</v>
      </c>
      <c r="J1269" t="n">
        <v>1</v>
      </c>
      <c r="K1269" t="inlineStr"/>
    </row>
    <row r="1270">
      <c r="A1270" t="inlineStr">
        <is>
          <t>SNA14EQ</t>
        </is>
      </c>
      <c r="B1270" t="inlineStr">
        <is>
          <t>LLAVERO SNAP</t>
        </is>
      </c>
      <c r="C1270" t="inlineStr">
        <is>
          <t>Equipamiento / Accesorios</t>
        </is>
      </c>
      <c r="D1270" t="n">
        <v>156</v>
      </c>
      <c r="E1270" t="n">
        <v>577.4359038162952</v>
      </c>
      <c r="F1270" t="n">
        <v>0.8162828093673077</v>
      </c>
      <c r="G1270" t="n">
        <v>808</v>
      </c>
      <c r="H1270" t="n">
        <v>1</v>
      </c>
      <c r="I1270" t="n">
        <v>15.6</v>
      </c>
      <c r="J1270" t="n">
        <v>0</v>
      </c>
      <c r="K1270" t="inlineStr"/>
    </row>
    <row r="1271">
      <c r="A1271" t="inlineStr">
        <is>
          <t>SHONTCA66TL</t>
        </is>
      </c>
      <c r="B1271" t="inlineStr">
        <is>
          <t>EXPLORE SHORT CAB</t>
        </is>
      </c>
      <c r="C1271" t="inlineStr">
        <is>
          <t>Manufactura / Caballero / P. Inferiores</t>
        </is>
      </c>
      <c r="D1271" t="n">
        <v>12</v>
      </c>
      <c r="E1271" t="n">
        <v>577.39795531</v>
      </c>
      <c r="F1271" t="n">
        <v>0.7598647268916666</v>
      </c>
      <c r="G1271" t="n">
        <v>0</v>
      </c>
      <c r="H1271" t="n">
        <v>11.17</v>
      </c>
      <c r="I1271" t="n">
        <v>1.2</v>
      </c>
      <c r="J1271" t="n">
        <v>0</v>
      </c>
      <c r="K1271" t="inlineStr">
        <is>
          <t>Sin stock</t>
        </is>
      </c>
    </row>
    <row r="1272">
      <c r="A1272" t="inlineStr">
        <is>
          <t>RIOMIKI01T10</t>
        </is>
      </c>
      <c r="B1272" t="inlineStr">
        <is>
          <t>RIO ORIGINAL KIDS</t>
        </is>
      </c>
      <c r="C1272" t="inlineStr">
        <is>
          <t>Manufactura / Kids / P. Superiores</t>
        </is>
      </c>
      <c r="D1272" t="n">
        <v>13</v>
      </c>
      <c r="E1272" t="n">
        <v>577.35158907</v>
      </c>
      <c r="F1272" t="n">
        <v>0.9163487119923077</v>
      </c>
      <c r="G1272" t="n">
        <v>9</v>
      </c>
      <c r="H1272" t="n">
        <v>3.617969464</v>
      </c>
      <c r="I1272" t="n">
        <v>1.3</v>
      </c>
      <c r="J1272" t="n">
        <v>0</v>
      </c>
      <c r="K1272" t="inlineStr"/>
    </row>
    <row r="1273">
      <c r="A1273" t="inlineStr">
        <is>
          <t>MAADFDA151TM</t>
        </is>
      </c>
      <c r="B1273" t="inlineStr">
        <is>
          <t>MAFE ADVANCE DAMA</t>
        </is>
      </c>
      <c r="C1273" t="inlineStr">
        <is>
          <t>Manufactura / Dama / P. Superiores</t>
        </is>
      </c>
      <c r="D1273" t="n">
        <v>13</v>
      </c>
      <c r="E1273" t="n">
        <v>577.17174913</v>
      </c>
      <c r="F1273" t="n">
        <v>0.8999856765100001</v>
      </c>
      <c r="G1273" t="n">
        <v>3</v>
      </c>
      <c r="H1273" t="n">
        <v>4.98</v>
      </c>
      <c r="I1273" t="n">
        <v>1.3</v>
      </c>
      <c r="J1273" t="n">
        <v>0</v>
      </c>
      <c r="K1273" t="inlineStr"/>
    </row>
    <row r="1274">
      <c r="A1274" t="inlineStr">
        <is>
          <t>MARMIKI12T1</t>
        </is>
      </c>
      <c r="B1274" t="inlineStr">
        <is>
          <t>MAR ORIGINAL KIDS</t>
        </is>
      </c>
      <c r="C1274" t="inlineStr">
        <is>
          <t>Manufactura / Kids / P. Superiores</t>
        </is>
      </c>
      <c r="D1274" t="n">
        <v>16</v>
      </c>
      <c r="E1274" t="n">
        <v>577.0797939399999</v>
      </c>
      <c r="F1274" t="n">
        <v>0.9098419165222222</v>
      </c>
      <c r="G1274" t="n">
        <v>0</v>
      </c>
      <c r="H1274" t="n">
        <v>3.168013332</v>
      </c>
      <c r="I1274" t="n">
        <v>1.6</v>
      </c>
      <c r="J1274" t="n">
        <v>4</v>
      </c>
      <c r="K1274" t="inlineStr">
        <is>
          <t>Sin stock</t>
        </is>
      </c>
    </row>
    <row r="1275">
      <c r="A1275" t="inlineStr">
        <is>
          <t>MARMIKI66T8</t>
        </is>
      </c>
      <c r="B1275" t="inlineStr">
        <is>
          <t>MAR ORIGINAL KIDS</t>
        </is>
      </c>
      <c r="C1275" t="inlineStr">
        <is>
          <t>Manufactura / Kids / P. Superiores</t>
        </is>
      </c>
      <c r="D1275" t="n">
        <v>16</v>
      </c>
      <c r="E1275" t="n">
        <v>576.8516641799999</v>
      </c>
      <c r="F1275" t="n">
        <v>0.91095065585625</v>
      </c>
      <c r="G1275" t="n">
        <v>40</v>
      </c>
      <c r="H1275" t="n">
        <v>3.168013332</v>
      </c>
      <c r="I1275" t="n">
        <v>1.6</v>
      </c>
      <c r="J1275" t="n">
        <v>1</v>
      </c>
      <c r="K1275" t="inlineStr"/>
    </row>
    <row r="1276">
      <c r="A1276" t="inlineStr">
        <is>
          <t>NAHFNCA70TS</t>
        </is>
      </c>
      <c r="B1276" t="inlineStr">
        <is>
          <t>NOAH SPORT LITE CAB</t>
        </is>
      </c>
      <c r="C1276" t="inlineStr">
        <is>
          <t>Manufactura / Caballero / P. Superiores</t>
        </is>
      </c>
      <c r="D1276" t="n">
        <v>24</v>
      </c>
      <c r="E1276" t="n">
        <v>576.78079604</v>
      </c>
      <c r="F1276" t="n">
        <v>0.4737495698470588</v>
      </c>
      <c r="G1276" t="n">
        <v>22</v>
      </c>
      <c r="H1276" t="n">
        <v>17.61141534</v>
      </c>
      <c r="I1276" t="n">
        <v>2.4</v>
      </c>
      <c r="J1276" t="n">
        <v>0</v>
      </c>
      <c r="K1276" t="inlineStr"/>
    </row>
    <row r="1277">
      <c r="A1277" t="inlineStr">
        <is>
          <t>SABMEDA16TXS</t>
        </is>
      </c>
      <c r="B1277" t="inlineStr">
        <is>
          <t>SABRI SPORT DAMA</t>
        </is>
      </c>
      <c r="C1277" t="inlineStr">
        <is>
          <t>Manufactura / Dama / P. Superiores</t>
        </is>
      </c>
      <c r="D1277" t="n">
        <v>16</v>
      </c>
      <c r="E1277" t="n">
        <v>576.39751762</v>
      </c>
      <c r="F1277" t="n">
        <v>0.8720833765466666</v>
      </c>
      <c r="G1277" t="n">
        <v>41</v>
      </c>
      <c r="H1277" t="n">
        <v>4.51</v>
      </c>
      <c r="I1277" t="n">
        <v>1.6</v>
      </c>
      <c r="J1277" t="n">
        <v>4</v>
      </c>
      <c r="K1277" t="inlineStr"/>
    </row>
    <row r="1278">
      <c r="A1278" t="inlineStr">
        <is>
          <t>MARMIKI70T6</t>
        </is>
      </c>
      <c r="B1278" t="inlineStr">
        <is>
          <t>MAR ORIGINAL KIDS</t>
        </is>
      </c>
      <c r="C1278" t="inlineStr">
        <is>
          <t>Manufactura / Kids / P. Superiores</t>
        </is>
      </c>
      <c r="D1278" t="n">
        <v>15</v>
      </c>
      <c r="E1278" t="n">
        <v>576.34262714</v>
      </c>
      <c r="F1278" t="n">
        <v>0.9147659114058824</v>
      </c>
      <c r="G1278" t="n">
        <v>15</v>
      </c>
      <c r="H1278" t="n">
        <v>3.168013332</v>
      </c>
      <c r="I1278" t="n">
        <v>1.5</v>
      </c>
      <c r="J1278" t="n">
        <v>1</v>
      </c>
      <c r="K1278" t="inlineStr"/>
    </row>
    <row r="1279">
      <c r="A1279" t="inlineStr">
        <is>
          <t>SHOUNCA69T2XL</t>
        </is>
      </c>
      <c r="B1279" t="inlineStr">
        <is>
          <t>SHORT PLAYA CAB</t>
        </is>
      </c>
      <c r="C1279" t="inlineStr">
        <is>
          <t>Manufactura / Caballero / P. Inferiores</t>
        </is>
      </c>
      <c r="D1279" t="n">
        <v>10</v>
      </c>
      <c r="E1279" t="n">
        <v>575.50652783</v>
      </c>
      <c r="F1279" t="n">
        <v>0.8231355866555555</v>
      </c>
      <c r="G1279" t="n">
        <v>30</v>
      </c>
      <c r="H1279" t="n">
        <v>9.99</v>
      </c>
      <c r="I1279" t="n">
        <v>1</v>
      </c>
      <c r="J1279" t="n">
        <v>0</v>
      </c>
      <c r="K1279" t="inlineStr"/>
    </row>
    <row r="1280">
      <c r="A1280" t="inlineStr">
        <is>
          <t>MARMIDA39TM</t>
        </is>
      </c>
      <c r="B1280" t="inlineStr">
        <is>
          <t>MAR ORIGINAL DAMA</t>
        </is>
      </c>
      <c r="C1280" t="inlineStr">
        <is>
          <t>Manufactura / Dama / P. Superiores</t>
        </is>
      </c>
      <c r="D1280" t="n">
        <v>24</v>
      </c>
      <c r="E1280" t="n">
        <v>572.3783333700001</v>
      </c>
      <c r="F1280" t="n">
        <v>0.8990767349333333</v>
      </c>
      <c r="G1280" t="n">
        <v>0</v>
      </c>
      <c r="H1280" t="n">
        <v>4.278324149</v>
      </c>
      <c r="I1280" t="n">
        <v>2.4</v>
      </c>
      <c r="J1280" t="n">
        <v>2</v>
      </c>
      <c r="K1280" t="inlineStr">
        <is>
          <t>Sin stock</t>
        </is>
      </c>
    </row>
    <row r="1281">
      <c r="A1281" t="inlineStr">
        <is>
          <t>SMCBNECA16TS</t>
        </is>
      </c>
      <c r="B1281" t="inlineStr">
        <is>
          <t>SPOTS MANGA CORTA CAB</t>
        </is>
      </c>
      <c r="C1281" t="inlineStr">
        <is>
          <t>Manufactura / Caballero / P. Superiores</t>
        </is>
      </c>
      <c r="D1281" t="n">
        <v>15</v>
      </c>
      <c r="E1281" t="n">
        <v>572.15</v>
      </c>
      <c r="F1281" t="n">
        <v>0.7766689525866667</v>
      </c>
      <c r="G1281" t="n">
        <v>4</v>
      </c>
      <c r="H1281" t="n">
        <v>8.5</v>
      </c>
      <c r="I1281" t="n">
        <v>1.5</v>
      </c>
      <c r="J1281" t="n">
        <v>0</v>
      </c>
      <c r="K1281" t="inlineStr"/>
    </row>
    <row r="1282">
      <c r="A1282" t="inlineStr">
        <is>
          <t>PANNTKI43T6</t>
        </is>
      </c>
      <c r="B1282" t="inlineStr">
        <is>
          <t>EXPLORE PANTS KIDS</t>
        </is>
      </c>
      <c r="C1282" t="inlineStr">
        <is>
          <t>Manufactura / Kids / P. Inferiores</t>
        </is>
      </c>
      <c r="D1282" t="n">
        <v>10</v>
      </c>
      <c r="E1282" t="n">
        <v>571.17678458</v>
      </c>
      <c r="F1282" t="n">
        <v>0.7439816139888888</v>
      </c>
      <c r="G1282" t="n">
        <v>12</v>
      </c>
      <c r="H1282" t="n">
        <v>13.98</v>
      </c>
      <c r="I1282" t="n">
        <v>1</v>
      </c>
      <c r="J1282" t="n">
        <v>0</v>
      </c>
      <c r="K1282" t="inlineStr"/>
    </row>
    <row r="1283">
      <c r="A1283" t="inlineStr">
        <is>
          <t>TALGTADA12TS</t>
        </is>
      </c>
      <c r="B1283" t="inlineStr">
        <is>
          <t>URBAN COTTON TOP SAY YES DAMA</t>
        </is>
      </c>
      <c r="C1283" t="inlineStr">
        <is>
          <t>Manufactura / Dama / P. Superiores</t>
        </is>
      </c>
      <c r="D1283" t="n">
        <v>14</v>
      </c>
      <c r="E1283" t="n">
        <v>569.3219916099999</v>
      </c>
      <c r="F1283" t="n">
        <v>0.87789492069</v>
      </c>
      <c r="G1283" t="n">
        <v>7</v>
      </c>
      <c r="H1283" t="n">
        <v>6.639983317</v>
      </c>
      <c r="I1283" t="n">
        <v>1.4</v>
      </c>
      <c r="J1283" t="n">
        <v>2</v>
      </c>
      <c r="K1283" t="inlineStr"/>
    </row>
    <row r="1284">
      <c r="A1284" t="inlineStr">
        <is>
          <t>SARSPKI30T6</t>
        </is>
      </c>
      <c r="B1284" t="inlineStr">
        <is>
          <t>FALDA SARA KIDS</t>
        </is>
      </c>
      <c r="C1284" t="inlineStr">
        <is>
          <t>Manufactura / Kids / P. Inferiores</t>
        </is>
      </c>
      <c r="D1284" t="n">
        <v>14</v>
      </c>
      <c r="E1284" t="n">
        <v>569.1666434</v>
      </c>
      <c r="F1284" t="n">
        <v>0.8532199523142856</v>
      </c>
      <c r="G1284" t="n">
        <v>7</v>
      </c>
      <c r="H1284" t="n">
        <v>5.753743316</v>
      </c>
      <c r="I1284" t="n">
        <v>1.4</v>
      </c>
      <c r="J1284" t="n">
        <v>0</v>
      </c>
      <c r="K1284" t="inlineStr"/>
    </row>
    <row r="1285">
      <c r="A1285" t="inlineStr">
        <is>
          <t>PANNTKI30T10</t>
        </is>
      </c>
      <c r="B1285" t="inlineStr">
        <is>
          <t>EXPLORE PANTS KIDS</t>
        </is>
      </c>
      <c r="C1285" t="inlineStr">
        <is>
          <t>Manufactura / Kids / P. Inferiores</t>
        </is>
      </c>
      <c r="D1285" t="n">
        <v>11</v>
      </c>
      <c r="E1285" t="n">
        <v>569.0251485</v>
      </c>
      <c r="F1285" t="n">
        <v>0.7271204776545455</v>
      </c>
      <c r="G1285" t="n">
        <v>3</v>
      </c>
      <c r="H1285" t="n">
        <v>13.98</v>
      </c>
      <c r="I1285" t="n">
        <v>1.1</v>
      </c>
      <c r="J1285" t="n">
        <v>0</v>
      </c>
      <c r="K1285" t="inlineStr"/>
    </row>
    <row r="1286">
      <c r="A1286" t="inlineStr">
        <is>
          <t>SHOSUKI153T6</t>
        </is>
      </c>
      <c r="B1286" t="inlineStr">
        <is>
          <t>SHORT PLAYA ESTAMPADO KIDS</t>
        </is>
      </c>
      <c r="C1286" t="inlineStr">
        <is>
          <t>Manufactura / Kids / P. Superiores</t>
        </is>
      </c>
      <c r="D1286" t="n">
        <v>14</v>
      </c>
      <c r="E1286" t="n">
        <v>568.8775533</v>
      </c>
      <c r="F1286" t="n">
        <v>0.8344685322933334</v>
      </c>
      <c r="G1286" t="n">
        <v>30</v>
      </c>
      <c r="H1286" t="n">
        <v>7.21</v>
      </c>
      <c r="I1286" t="n">
        <v>1.4</v>
      </c>
      <c r="J1286" t="n">
        <v>0</v>
      </c>
      <c r="K1286" t="inlineStr"/>
    </row>
    <row r="1287">
      <c r="A1287" t="inlineStr">
        <is>
          <t>SARSPDA30TL</t>
        </is>
      </c>
      <c r="B1287" t="inlineStr">
        <is>
          <t>FALDA SARA DAMA</t>
        </is>
      </c>
      <c r="C1287" t="inlineStr">
        <is>
          <t>Manufactura / Dama / P. Inferiores</t>
        </is>
      </c>
      <c r="D1287" t="n">
        <v>11</v>
      </c>
      <c r="E1287" t="n">
        <v>568.64871214</v>
      </c>
      <c r="F1287" t="n">
        <v>0.8060296562454545</v>
      </c>
      <c r="G1287" t="n">
        <v>1</v>
      </c>
      <c r="H1287" t="n">
        <v>9.500113852</v>
      </c>
      <c r="I1287" t="n">
        <v>1.1</v>
      </c>
      <c r="J1287" t="n">
        <v>1</v>
      </c>
      <c r="K1287" t="inlineStr"/>
    </row>
    <row r="1288">
      <c r="A1288" t="inlineStr">
        <is>
          <t>SHOSUKI156T4</t>
        </is>
      </c>
      <c r="B1288" t="inlineStr">
        <is>
          <t>SHORT PLAYA ESTAMPADO KIDS</t>
        </is>
      </c>
      <c r="C1288" t="inlineStr">
        <is>
          <t>Manufactura / Kids / P. Superiores</t>
        </is>
      </c>
      <c r="D1288" t="n">
        <v>14</v>
      </c>
      <c r="E1288" t="n">
        <v>568.13074882</v>
      </c>
      <c r="F1288" t="n">
        <v>0.8329818813466666</v>
      </c>
      <c r="G1288" t="n">
        <v>12</v>
      </c>
      <c r="H1288" t="n">
        <v>7.21</v>
      </c>
      <c r="I1288" t="n">
        <v>1.4</v>
      </c>
      <c r="J1288" t="n">
        <v>1</v>
      </c>
      <c r="K1288" t="inlineStr"/>
    </row>
    <row r="1289">
      <c r="A1289" t="inlineStr">
        <is>
          <t>TALGOTACA166TM</t>
        </is>
      </c>
      <c r="B1289" t="inlineStr">
        <is>
          <t>URBAN COTTON OVERSIZED HORIZONTE CAB</t>
        </is>
      </c>
      <c r="C1289" t="inlineStr">
        <is>
          <t>Manufactura / Caballero / P. Superiores</t>
        </is>
      </c>
      <c r="D1289" t="n">
        <v>10</v>
      </c>
      <c r="E1289" t="n">
        <v>567.16737514</v>
      </c>
      <c r="F1289" t="n">
        <v>0.8055403397999999</v>
      </c>
      <c r="G1289" t="n">
        <v>8</v>
      </c>
      <c r="H1289" t="n">
        <v>11.06389452</v>
      </c>
      <c r="I1289" t="n">
        <v>1</v>
      </c>
      <c r="J1289" t="n">
        <v>6</v>
      </c>
      <c r="K1289" t="inlineStr"/>
    </row>
    <row r="1290">
      <c r="A1290" t="inlineStr">
        <is>
          <t>SHOSUKI154T14</t>
        </is>
      </c>
      <c r="B1290" t="inlineStr">
        <is>
          <t>SHORT PLAYA ESTAMPADO KIDS</t>
        </is>
      </c>
      <c r="C1290" t="inlineStr">
        <is>
          <t>Manufactura / Kids / P. Superiores</t>
        </is>
      </c>
      <c r="D1290" t="n">
        <v>13</v>
      </c>
      <c r="E1290" t="n">
        <v>564.41389967</v>
      </c>
      <c r="F1290" t="n">
        <v>0.8270536724923077</v>
      </c>
      <c r="G1290" t="n">
        <v>31</v>
      </c>
      <c r="H1290" t="n">
        <v>7.21</v>
      </c>
      <c r="I1290" t="n">
        <v>1.3</v>
      </c>
      <c r="J1290" t="n">
        <v>1</v>
      </c>
      <c r="K1290" t="inlineStr"/>
    </row>
    <row r="1291">
      <c r="A1291" t="inlineStr">
        <is>
          <t>LPR09EQ</t>
        </is>
      </c>
      <c r="B1291" t="inlineStr">
        <is>
          <t>LANYARD PRO</t>
        </is>
      </c>
      <c r="C1291" t="inlineStr">
        <is>
          <t>Equipamiento / Accesorios</t>
        </is>
      </c>
      <c r="D1291" t="n">
        <v>101</v>
      </c>
      <c r="E1291" t="n">
        <v>562.894671475</v>
      </c>
      <c r="F1291" t="n">
        <v>0.7981477968086538</v>
      </c>
      <c r="G1291" t="n">
        <v>604</v>
      </c>
      <c r="H1291" t="n">
        <v>1.15</v>
      </c>
      <c r="I1291" t="n">
        <v>10.1</v>
      </c>
      <c r="J1291" t="n">
        <v>0</v>
      </c>
      <c r="K1291" t="inlineStr"/>
    </row>
    <row r="1292">
      <c r="A1292" t="inlineStr">
        <is>
          <t>RIOMIKI04T12</t>
        </is>
      </c>
      <c r="B1292" t="inlineStr">
        <is>
          <t>RIO ORIGINAL KIDS</t>
        </is>
      </c>
      <c r="C1292" t="inlineStr">
        <is>
          <t>Manufactura / Kids / P. Superiores</t>
        </is>
      </c>
      <c r="D1292" t="n">
        <v>13</v>
      </c>
      <c r="E1292" t="n">
        <v>562.45708415</v>
      </c>
      <c r="F1292" t="n">
        <v>0.9143192033769231</v>
      </c>
      <c r="G1292" t="n">
        <v>11</v>
      </c>
      <c r="H1292" t="n">
        <v>3.617969464</v>
      </c>
      <c r="I1292" t="n">
        <v>1.3</v>
      </c>
      <c r="J1292" t="n">
        <v>0</v>
      </c>
      <c r="K1292" t="inlineStr"/>
    </row>
    <row r="1293">
      <c r="A1293" t="inlineStr">
        <is>
          <t>MARMIDA70TXL</t>
        </is>
      </c>
      <c r="B1293" t="inlineStr">
        <is>
          <t>MAR ORIGINAL DAMA</t>
        </is>
      </c>
      <c r="C1293" t="inlineStr">
        <is>
          <t>Manufactura / Dama / P. Superiores</t>
        </is>
      </c>
      <c r="D1293" t="n">
        <v>13</v>
      </c>
      <c r="E1293" t="n">
        <v>561.98595063</v>
      </c>
      <c r="F1293" t="n">
        <v>0.9029601379285715</v>
      </c>
      <c r="G1293" t="n">
        <v>65</v>
      </c>
      <c r="H1293" t="n">
        <v>4.278324149</v>
      </c>
      <c r="I1293" t="n">
        <v>1.3</v>
      </c>
      <c r="J1293" t="n">
        <v>1</v>
      </c>
      <c r="K1293" t="inlineStr"/>
    </row>
    <row r="1294">
      <c r="A1294" t="inlineStr">
        <is>
          <t>RIOMICA14TM</t>
        </is>
      </c>
      <c r="B1294" t="inlineStr">
        <is>
          <t>RIO ORIGINAL CAB</t>
        </is>
      </c>
      <c r="C1294" t="inlineStr">
        <is>
          <t>Manufactura / Caballero / P. Superiores</t>
        </is>
      </c>
      <c r="D1294" t="n">
        <v>12</v>
      </c>
      <c r="E1294" t="n">
        <v>561.3196963</v>
      </c>
      <c r="F1294" t="n">
        <v>0.8724544600899999</v>
      </c>
      <c r="G1294" t="n">
        <v>0</v>
      </c>
      <c r="H1294" t="n">
        <v>5.939350288</v>
      </c>
      <c r="I1294" t="n">
        <v>1.2</v>
      </c>
      <c r="J1294" t="n">
        <v>8</v>
      </c>
      <c r="K1294" t="inlineStr">
        <is>
          <t>Sin stock</t>
        </is>
      </c>
    </row>
    <row r="1295">
      <c r="A1295" t="inlineStr">
        <is>
          <t>PANNTKI43T2</t>
        </is>
      </c>
      <c r="B1295" t="inlineStr">
        <is>
          <t>EXPLORE PANTS KIDS</t>
        </is>
      </c>
      <c r="C1295" t="inlineStr">
        <is>
          <t>Manufactura / Kids / P. Inferiores</t>
        </is>
      </c>
      <c r="D1295" t="n">
        <v>12</v>
      </c>
      <c r="E1295" t="n">
        <v>561.29612358</v>
      </c>
      <c r="F1295" t="n">
        <v>0.6946628673916666</v>
      </c>
      <c r="G1295" t="n">
        <v>19</v>
      </c>
      <c r="H1295" t="n">
        <v>13.98</v>
      </c>
      <c r="I1295" t="n">
        <v>1.2</v>
      </c>
      <c r="J1295" t="n">
        <v>0</v>
      </c>
      <c r="K1295" t="inlineStr"/>
    </row>
    <row r="1296">
      <c r="A1296" t="inlineStr">
        <is>
          <t>ANMSUDA152TXS</t>
        </is>
      </c>
      <c r="B1296" t="inlineStr">
        <is>
          <t>ANDRE MOTION DAMA</t>
        </is>
      </c>
      <c r="C1296" t="inlineStr">
        <is>
          <t>Manufactura / Dama / P. Superiores</t>
        </is>
      </c>
      <c r="D1296" t="n">
        <v>13</v>
      </c>
      <c r="E1296" t="n">
        <v>559.3340086000001</v>
      </c>
      <c r="F1296" t="n">
        <v>0.7628279716916667</v>
      </c>
      <c r="G1296" t="n">
        <v>21</v>
      </c>
      <c r="H1296" t="n">
        <v>10.6</v>
      </c>
      <c r="I1296" t="n">
        <v>1.3</v>
      </c>
      <c r="J1296" t="n">
        <v>0</v>
      </c>
      <c r="K1296" t="inlineStr"/>
    </row>
    <row r="1297">
      <c r="A1297" t="inlineStr">
        <is>
          <t>LMOFIDA31TL</t>
        </is>
      </c>
      <c r="B1297" t="inlineStr">
        <is>
          <t>LEGGING MOVA</t>
        </is>
      </c>
      <c r="C1297" t="inlineStr">
        <is>
          <t>Manufactura / Dama / P. Inferiores</t>
        </is>
      </c>
      <c r="D1297" t="n">
        <v>11</v>
      </c>
      <c r="E1297" t="n">
        <v>559.27818847</v>
      </c>
      <c r="F1297" t="n">
        <v>0.7460817572</v>
      </c>
      <c r="G1297" t="n">
        <v>4</v>
      </c>
      <c r="H1297" t="n">
        <v>17.7</v>
      </c>
      <c r="I1297" t="n">
        <v>1.1</v>
      </c>
      <c r="J1297" t="n">
        <v>2</v>
      </c>
      <c r="K1297" t="inlineStr"/>
    </row>
    <row r="1298">
      <c r="A1298" t="inlineStr">
        <is>
          <t>CLAMEDA66TM</t>
        </is>
      </c>
      <c r="B1298" t="inlineStr">
        <is>
          <t>CLÁSICA SPORT DAMA</t>
        </is>
      </c>
      <c r="C1298" t="inlineStr">
        <is>
          <t>Manufactura / Dama / P. Superiores</t>
        </is>
      </c>
      <c r="D1298" t="n">
        <v>12</v>
      </c>
      <c r="E1298" t="n">
        <v>558.56228672</v>
      </c>
      <c r="F1298" t="n">
        <v>0.8550461980583334</v>
      </c>
      <c r="G1298" t="n">
        <v>2</v>
      </c>
      <c r="H1298" t="n">
        <v>6.536105769</v>
      </c>
      <c r="I1298" t="n">
        <v>1.2</v>
      </c>
      <c r="J1298" t="n">
        <v>0</v>
      </c>
      <c r="K1298" t="inlineStr"/>
    </row>
    <row r="1299">
      <c r="A1299" t="inlineStr">
        <is>
          <t>RIOMIDA04TXS</t>
        </is>
      </c>
      <c r="B1299" t="inlineStr">
        <is>
          <t>RIO ORIGINAL DAMA</t>
        </is>
      </c>
      <c r="C1299" t="inlineStr">
        <is>
          <t>Manufactura / Dama / P. Superiores</t>
        </is>
      </c>
      <c r="D1299" t="n">
        <v>10</v>
      </c>
      <c r="E1299" t="n">
        <v>556.55535074</v>
      </c>
      <c r="F1299" t="n">
        <v>0.8976552700199999</v>
      </c>
      <c r="G1299" t="n">
        <v>14</v>
      </c>
      <c r="H1299" t="n">
        <v>5.538832275</v>
      </c>
      <c r="I1299" t="n">
        <v>1</v>
      </c>
      <c r="J1299" t="n">
        <v>2</v>
      </c>
      <c r="K1299" t="inlineStr"/>
    </row>
    <row r="1300">
      <c r="A1300" t="inlineStr">
        <is>
          <t>MAFMIDA11TXS</t>
        </is>
      </c>
      <c r="B1300" t="inlineStr">
        <is>
          <t>MAFE ORIGINAL DAMA</t>
        </is>
      </c>
      <c r="C1300" t="inlineStr">
        <is>
          <t>Manufactura / Dama / P. Superiores</t>
        </is>
      </c>
      <c r="D1300" t="n">
        <v>19</v>
      </c>
      <c r="E1300" t="n">
        <v>555.71520964</v>
      </c>
      <c r="F1300" t="n">
        <v>0.8346690523842105</v>
      </c>
      <c r="G1300" t="n">
        <v>19</v>
      </c>
      <c r="H1300" t="n">
        <v>4.54817671</v>
      </c>
      <c r="I1300" t="n">
        <v>1.9</v>
      </c>
      <c r="J1300" t="n">
        <v>1</v>
      </c>
      <c r="K1300" t="inlineStr"/>
    </row>
    <row r="1301">
      <c r="A1301" t="inlineStr">
        <is>
          <t>MARMIKI53T8</t>
        </is>
      </c>
      <c r="B1301" t="inlineStr">
        <is>
          <t>MAR ORIGINAL KIDS</t>
        </is>
      </c>
      <c r="C1301" t="inlineStr">
        <is>
          <t>Manufactura / Kids / P. Superiores</t>
        </is>
      </c>
      <c r="D1301" t="n">
        <v>15</v>
      </c>
      <c r="E1301" t="n">
        <v>555.48491302</v>
      </c>
      <c r="F1301" t="n">
        <v>0.9143621544785715</v>
      </c>
      <c r="G1301" t="n">
        <v>33</v>
      </c>
      <c r="H1301" t="n">
        <v>3.168013332</v>
      </c>
      <c r="I1301" t="n">
        <v>1.5</v>
      </c>
      <c r="J1301" t="n">
        <v>0</v>
      </c>
      <c r="K1301" t="inlineStr"/>
    </row>
    <row r="1302">
      <c r="A1302" t="inlineStr">
        <is>
          <t>TMOFIDA43TL</t>
        </is>
      </c>
      <c r="B1302" t="inlineStr">
        <is>
          <t>TOP MOVA</t>
        </is>
      </c>
      <c r="C1302" t="inlineStr">
        <is>
          <t>Manufactura / Dama / P. Superiores</t>
        </is>
      </c>
      <c r="D1302" t="n">
        <v>12</v>
      </c>
      <c r="E1302" t="n">
        <v>555.35373474</v>
      </c>
      <c r="F1302" t="n">
        <v>0.8111679579384615</v>
      </c>
      <c r="G1302" t="n">
        <v>10</v>
      </c>
      <c r="H1302" t="n">
        <v>9.942967033</v>
      </c>
      <c r="I1302" t="n">
        <v>1.2</v>
      </c>
      <c r="J1302" t="n">
        <v>0</v>
      </c>
      <c r="K1302" t="inlineStr"/>
    </row>
    <row r="1303">
      <c r="A1303" t="inlineStr">
        <is>
          <t>BACCCDA38TXL</t>
        </is>
      </c>
      <c r="B1303" t="inlineStr">
        <is>
          <t>BASIC LINE CROP TEE DAMA</t>
        </is>
      </c>
      <c r="C1303" t="inlineStr">
        <is>
          <t>Manufactura / Dama / P. Superiores</t>
        </is>
      </c>
      <c r="D1303" t="n">
        <v>9</v>
      </c>
      <c r="E1303" t="n">
        <v>555.17394035</v>
      </c>
      <c r="F1303" t="n">
        <v>0.9098330140999999</v>
      </c>
      <c r="G1303" t="n">
        <v>28</v>
      </c>
      <c r="H1303" t="n">
        <v>6.196330833</v>
      </c>
      <c r="I1303" t="n">
        <v>0.9</v>
      </c>
      <c r="J1303" t="n">
        <v>1</v>
      </c>
      <c r="K1303" t="inlineStr"/>
    </row>
    <row r="1304">
      <c r="A1304" t="inlineStr">
        <is>
          <t>SARSPKI16T4</t>
        </is>
      </c>
      <c r="B1304" t="inlineStr">
        <is>
          <t>FALDA SARA KIDS</t>
        </is>
      </c>
      <c r="C1304" t="inlineStr">
        <is>
          <t>Manufactura / Kids / P. Inferiores</t>
        </is>
      </c>
      <c r="D1304" t="n">
        <v>14</v>
      </c>
      <c r="E1304" t="n">
        <v>554.39183512</v>
      </c>
      <c r="F1304" t="n">
        <v>0.8479969646857143</v>
      </c>
      <c r="G1304" t="n">
        <v>15</v>
      </c>
      <c r="H1304" t="n">
        <v>5.753743316</v>
      </c>
      <c r="I1304" t="n">
        <v>1.4</v>
      </c>
      <c r="J1304" t="n">
        <v>1</v>
      </c>
      <c r="K1304" t="inlineStr"/>
    </row>
    <row r="1305">
      <c r="A1305" t="inlineStr">
        <is>
          <t>ADUMMDA11TXS</t>
        </is>
      </c>
      <c r="B1305" t="inlineStr">
        <is>
          <t>ACTIVE DUO DAMA</t>
        </is>
      </c>
      <c r="C1305" t="inlineStr">
        <is>
          <t>Manufactura / Caballero / P. Superiores</t>
        </is>
      </c>
      <c r="D1305" t="n">
        <v>14</v>
      </c>
      <c r="E1305" t="n">
        <v>553.65776429</v>
      </c>
      <c r="F1305" t="n">
        <v>0.9297906514416666</v>
      </c>
      <c r="G1305" t="n">
        <v>8</v>
      </c>
      <c r="H1305" t="n">
        <v>3.19128</v>
      </c>
      <c r="I1305" t="n">
        <v>1.4</v>
      </c>
      <c r="J1305" t="n">
        <v>0</v>
      </c>
      <c r="K1305" t="inlineStr"/>
    </row>
    <row r="1306">
      <c r="A1306" t="inlineStr">
        <is>
          <t>MARMIKI34T10</t>
        </is>
      </c>
      <c r="B1306" t="inlineStr">
        <is>
          <t>MAR ORIGINAL KIDS</t>
        </is>
      </c>
      <c r="C1306" t="inlineStr">
        <is>
          <t>Manufactura / Kids / P. Superiores</t>
        </is>
      </c>
      <c r="D1306" t="n">
        <v>15</v>
      </c>
      <c r="E1306" t="n">
        <v>553.6040346</v>
      </c>
      <c r="F1306" t="n">
        <v>0.91245498774</v>
      </c>
      <c r="G1306" t="n">
        <v>31</v>
      </c>
      <c r="H1306" t="n">
        <v>3.168013332</v>
      </c>
      <c r="I1306" t="n">
        <v>1.5</v>
      </c>
      <c r="J1306" t="n">
        <v>0</v>
      </c>
      <c r="K1306" t="inlineStr"/>
    </row>
    <row r="1307">
      <c r="A1307" t="inlineStr">
        <is>
          <t>MARMIKI13T12</t>
        </is>
      </c>
      <c r="B1307" t="inlineStr">
        <is>
          <t>MAR ORIGINAL KIDS</t>
        </is>
      </c>
      <c r="C1307" t="inlineStr">
        <is>
          <t>Manufactura / Kids / P. Superiores</t>
        </is>
      </c>
      <c r="D1307" t="n">
        <v>15</v>
      </c>
      <c r="E1307" t="n">
        <v>552.30439526</v>
      </c>
      <c r="F1307" t="n">
        <v>0.91313381758</v>
      </c>
      <c r="G1307" t="n">
        <v>22</v>
      </c>
      <c r="H1307" t="n">
        <v>3.168013332</v>
      </c>
      <c r="I1307" t="n">
        <v>1.5</v>
      </c>
      <c r="J1307" t="n">
        <v>0</v>
      </c>
      <c r="K1307" t="inlineStr"/>
    </row>
    <row r="1308">
      <c r="A1308" t="inlineStr">
        <is>
          <t>CLAMIDA70TM</t>
        </is>
      </c>
      <c r="B1308" t="inlineStr">
        <is>
          <t>CLASICA ORIGINAL DAMA</t>
        </is>
      </c>
      <c r="C1308" t="inlineStr">
        <is>
          <t>Manufactura / Dama / P. Superiores</t>
        </is>
      </c>
      <c r="D1308" t="n">
        <v>18</v>
      </c>
      <c r="E1308" t="n">
        <v>552.2601231899999</v>
      </c>
      <c r="F1308" t="n">
        <v>0.9008412165363636</v>
      </c>
      <c r="G1308" t="n">
        <v>12</v>
      </c>
      <c r="H1308" t="n">
        <v>3.923227589</v>
      </c>
      <c r="I1308" t="n">
        <v>1.8</v>
      </c>
      <c r="J1308" t="n">
        <v>0</v>
      </c>
      <c r="K1308" t="inlineStr"/>
    </row>
    <row r="1309">
      <c r="A1309" t="inlineStr">
        <is>
          <t>GEMBADA43TS</t>
        </is>
      </c>
      <c r="B1309" t="inlineStr">
        <is>
          <t>VESTIDO GEMMA DAMA</t>
        </is>
      </c>
      <c r="C1309" t="inlineStr">
        <is>
          <t>Manufactura / Dama / Conjuntos</t>
        </is>
      </c>
      <c r="D1309" t="n">
        <v>11</v>
      </c>
      <c r="E1309" t="n">
        <v>551.94729452</v>
      </c>
      <c r="F1309" t="n">
        <v>0.5000493137181818</v>
      </c>
      <c r="G1309" t="n">
        <v>7</v>
      </c>
      <c r="H1309" t="n">
        <v>23.99</v>
      </c>
      <c r="I1309" t="n">
        <v>1.1</v>
      </c>
      <c r="J1309" t="n">
        <v>0</v>
      </c>
      <c r="K1309" t="inlineStr"/>
    </row>
    <row r="1310">
      <c r="A1310" t="inlineStr">
        <is>
          <t>CLAMIDA66TM</t>
        </is>
      </c>
      <c r="B1310" t="inlineStr">
        <is>
          <t>CLASICA ORIGINAL DAMA</t>
        </is>
      </c>
      <c r="C1310" t="inlineStr">
        <is>
          <t>Manufactura / Dama / P. Superiores</t>
        </is>
      </c>
      <c r="D1310" t="n">
        <v>27</v>
      </c>
      <c r="E1310" t="n">
        <v>551.66534037</v>
      </c>
      <c r="F1310" t="n">
        <v>0.8982252730785714</v>
      </c>
      <c r="G1310" t="n">
        <v>40</v>
      </c>
      <c r="H1310" t="n">
        <v>3.923227589000001</v>
      </c>
      <c r="I1310" t="n">
        <v>2.7</v>
      </c>
      <c r="J1310" t="n">
        <v>0</v>
      </c>
      <c r="K1310" t="inlineStr"/>
    </row>
    <row r="1311">
      <c r="A1311" t="inlineStr">
        <is>
          <t>SMCBNECA16TL</t>
        </is>
      </c>
      <c r="B1311" t="inlineStr">
        <is>
          <t>SPOTS MANGA CORTA CAB</t>
        </is>
      </c>
      <c r="C1311" t="inlineStr">
        <is>
          <t>Manufactura / Caballero / P. Superiores</t>
        </is>
      </c>
      <c r="D1311" t="n">
        <v>15</v>
      </c>
      <c r="E1311" t="n">
        <v>550.83</v>
      </c>
      <c r="F1311" t="n">
        <v>0.762468577264706</v>
      </c>
      <c r="G1311" t="n">
        <v>5</v>
      </c>
      <c r="H1311" t="n">
        <v>8.5</v>
      </c>
      <c r="I1311" t="n">
        <v>1.5</v>
      </c>
      <c r="J1311" t="n">
        <v>0</v>
      </c>
      <c r="K1311" t="inlineStr"/>
    </row>
    <row r="1312">
      <c r="A1312" t="inlineStr">
        <is>
          <t>GEMBADA09TL</t>
        </is>
      </c>
      <c r="B1312" t="inlineStr">
        <is>
          <t>VESTIDO GEMMA DAMA</t>
        </is>
      </c>
      <c r="C1312" t="inlineStr">
        <is>
          <t>Manufactura / Dama / Conjuntos</t>
        </is>
      </c>
      <c r="D1312" t="n">
        <v>10</v>
      </c>
      <c r="E1312" t="n">
        <v>550.18164503</v>
      </c>
      <c r="F1312" t="n">
        <v>0.5384011089</v>
      </c>
      <c r="G1312" t="n">
        <v>18</v>
      </c>
      <c r="H1312" t="n">
        <v>23.99</v>
      </c>
      <c r="I1312" t="n">
        <v>1</v>
      </c>
      <c r="J1312" t="n">
        <v>0</v>
      </c>
      <c r="K1312" t="inlineStr"/>
    </row>
    <row r="1313">
      <c r="A1313" t="inlineStr">
        <is>
          <t>MAFMIDA66TS</t>
        </is>
      </c>
      <c r="B1313" t="inlineStr">
        <is>
          <t>MAFE ORIGINAL DAMA</t>
        </is>
      </c>
      <c r="C1313" t="inlineStr">
        <is>
          <t>Manufactura / Dama / P. Superiores</t>
        </is>
      </c>
      <c r="D1313" t="n">
        <v>19</v>
      </c>
      <c r="E1313" t="n">
        <v>549.54063612</v>
      </c>
      <c r="F1313" t="n">
        <v>0.8435028359666666</v>
      </c>
      <c r="G1313" t="n">
        <v>23</v>
      </c>
      <c r="H1313" t="n">
        <v>4.54817671</v>
      </c>
      <c r="I1313" t="n">
        <v>1.9</v>
      </c>
      <c r="J1313" t="n">
        <v>0</v>
      </c>
      <c r="K1313" t="inlineStr"/>
    </row>
    <row r="1314">
      <c r="A1314" t="inlineStr">
        <is>
          <t>SHONRKI12T10</t>
        </is>
      </c>
      <c r="B1314" t="inlineStr">
        <is>
          <t>SHORT SPORT KIDS</t>
        </is>
      </c>
      <c r="C1314" t="inlineStr">
        <is>
          <t>Manufactura / Kids / P. Inferiores</t>
        </is>
      </c>
      <c r="D1314" t="n">
        <v>14</v>
      </c>
      <c r="E1314" t="n">
        <v>546.90316608</v>
      </c>
      <c r="F1314" t="n">
        <v>0.8273269270153847</v>
      </c>
      <c r="G1314" t="n">
        <v>51</v>
      </c>
      <c r="H1314" t="n">
        <v>6.465724382</v>
      </c>
      <c r="I1314" t="n">
        <v>1.4</v>
      </c>
      <c r="J1314" t="n">
        <v>0</v>
      </c>
      <c r="K1314" t="inlineStr"/>
    </row>
    <row r="1315">
      <c r="A1315" t="inlineStr">
        <is>
          <t>SHOSUKI154T10</t>
        </is>
      </c>
      <c r="B1315" t="inlineStr">
        <is>
          <t>SHORT PLAYA ESTAMPADO KIDS</t>
        </is>
      </c>
      <c r="C1315" t="inlineStr">
        <is>
          <t>Manufactura / Kids / P. Superiores</t>
        </is>
      </c>
      <c r="D1315" t="n">
        <v>13</v>
      </c>
      <c r="E1315" t="n">
        <v>545.99612642</v>
      </c>
      <c r="F1315" t="n">
        <v>0.8196894109076923</v>
      </c>
      <c r="G1315" t="n">
        <v>27</v>
      </c>
      <c r="H1315" t="n">
        <v>7.21</v>
      </c>
      <c r="I1315" t="n">
        <v>1.3</v>
      </c>
      <c r="J1315" t="n">
        <v>1</v>
      </c>
      <c r="K1315" t="inlineStr"/>
    </row>
    <row r="1316">
      <c r="A1316" t="inlineStr">
        <is>
          <t>ANMSUDA152TM</t>
        </is>
      </c>
      <c r="B1316" t="inlineStr">
        <is>
          <t>ANDRE MOTION DAMA</t>
        </is>
      </c>
      <c r="C1316" t="inlineStr">
        <is>
          <t>Manufactura / Dama / P. Superiores</t>
        </is>
      </c>
      <c r="D1316" t="n">
        <v>13</v>
      </c>
      <c r="E1316" t="n">
        <v>545.33960517</v>
      </c>
      <c r="F1316" t="n">
        <v>0.7356484767466667</v>
      </c>
      <c r="G1316" t="n">
        <v>16</v>
      </c>
      <c r="H1316" t="n">
        <v>10.6</v>
      </c>
      <c r="I1316" t="n">
        <v>1.3</v>
      </c>
      <c r="J1316" t="n">
        <v>0</v>
      </c>
      <c r="K1316" t="inlineStr"/>
    </row>
    <row r="1317">
      <c r="A1317" t="inlineStr">
        <is>
          <t>SARSPKI30T8</t>
        </is>
      </c>
      <c r="B1317" t="inlineStr">
        <is>
          <t>FALDA SARA KIDS</t>
        </is>
      </c>
      <c r="C1317" t="inlineStr">
        <is>
          <t>Manufactura / Kids / P. Inferiores</t>
        </is>
      </c>
      <c r="D1317" t="n">
        <v>13</v>
      </c>
      <c r="E1317" t="n">
        <v>542.7804138</v>
      </c>
      <c r="F1317" t="n">
        <v>0.8592293586666667</v>
      </c>
      <c r="G1317" t="n">
        <v>5</v>
      </c>
      <c r="H1317" t="n">
        <v>5.753743316</v>
      </c>
      <c r="I1317" t="n">
        <v>1.3</v>
      </c>
      <c r="J1317" t="n">
        <v>0</v>
      </c>
      <c r="K1317" t="inlineStr"/>
    </row>
    <row r="1318">
      <c r="A1318" t="inlineStr">
        <is>
          <t>SHONRKI30T10</t>
        </is>
      </c>
      <c r="B1318" t="inlineStr">
        <is>
          <t>SHORT SPORT KIDS</t>
        </is>
      </c>
      <c r="C1318" t="inlineStr">
        <is>
          <t>Manufactura / Kids / P. Inferiores</t>
        </is>
      </c>
      <c r="D1318" t="n">
        <v>13</v>
      </c>
      <c r="E1318" t="n">
        <v>542.74587263</v>
      </c>
      <c r="F1318" t="n">
        <v>0.8388524076384616</v>
      </c>
      <c r="G1318" t="n">
        <v>39</v>
      </c>
      <c r="H1318" t="n">
        <v>6.465724382</v>
      </c>
      <c r="I1318" t="n">
        <v>1.3</v>
      </c>
      <c r="J1318" t="n">
        <v>0</v>
      </c>
      <c r="K1318" t="inlineStr"/>
    </row>
    <row r="1319">
      <c r="A1319" t="inlineStr">
        <is>
          <t>CLASTCA43TL</t>
        </is>
      </c>
      <c r="B1319" t="inlineStr">
        <is>
          <t>CLASICA ALGODON STRETCH CAB</t>
        </is>
      </c>
      <c r="C1319" t="inlineStr">
        <is>
          <t>Manufactura / Caballero / P. Superiores</t>
        </is>
      </c>
      <c r="D1319" t="n">
        <v>14</v>
      </c>
      <c r="E1319" t="n">
        <v>541.88774403</v>
      </c>
      <c r="F1319" t="n">
        <v>0.8105154819</v>
      </c>
      <c r="G1319" t="n">
        <v>0</v>
      </c>
      <c r="H1319" t="n">
        <v>9.27</v>
      </c>
      <c r="I1319" t="n">
        <v>1.4</v>
      </c>
      <c r="J1319" t="n">
        <v>2</v>
      </c>
      <c r="K1319" t="inlineStr">
        <is>
          <t>Sin stock</t>
        </is>
      </c>
    </row>
    <row r="1320">
      <c r="A1320" t="inlineStr">
        <is>
          <t>MARMIKI01T14</t>
        </is>
      </c>
      <c r="B1320" t="inlineStr">
        <is>
          <t>MAR ORIGINAL KIDS</t>
        </is>
      </c>
      <c r="C1320" t="inlineStr">
        <is>
          <t>Manufactura / Kids / P. Superiores</t>
        </is>
      </c>
      <c r="D1320" t="n">
        <v>13</v>
      </c>
      <c r="E1320" t="n">
        <v>541.60285988</v>
      </c>
      <c r="F1320" t="n">
        <v>0.9239861908399999</v>
      </c>
      <c r="G1320" t="n">
        <v>54</v>
      </c>
      <c r="H1320" t="n">
        <v>3.168013332</v>
      </c>
      <c r="I1320" t="n">
        <v>1.3</v>
      </c>
      <c r="J1320" t="n">
        <v>0</v>
      </c>
      <c r="K1320" t="inlineStr"/>
    </row>
    <row r="1321">
      <c r="A1321" t="inlineStr">
        <is>
          <t>MARMICA50T3XL</t>
        </is>
      </c>
      <c r="B1321" t="inlineStr">
        <is>
          <t>MAR ORIGINAL CAB</t>
        </is>
      </c>
      <c r="C1321" t="inlineStr">
        <is>
          <t>Manufactura / Caballero / P. Superiores</t>
        </is>
      </c>
      <c r="D1321" t="n">
        <v>11</v>
      </c>
      <c r="E1321" t="n">
        <v>541.01353498</v>
      </c>
      <c r="F1321" t="n">
        <v>0.89539000086</v>
      </c>
      <c r="G1321" t="n">
        <v>10</v>
      </c>
      <c r="H1321" t="n">
        <v>4.946357428</v>
      </c>
      <c r="I1321" t="n">
        <v>1.1</v>
      </c>
      <c r="J1321" t="n">
        <v>0</v>
      </c>
      <c r="K1321" t="inlineStr"/>
    </row>
    <row r="1322">
      <c r="A1322" t="inlineStr">
        <is>
          <t>CLAMICA11TM</t>
        </is>
      </c>
      <c r="B1322" t="inlineStr">
        <is>
          <t>CLASICA ORIGINAL CAB</t>
        </is>
      </c>
      <c r="C1322" t="inlineStr">
        <is>
          <t>Manufactura / Caballero / P. Superiores</t>
        </is>
      </c>
      <c r="D1322" t="n">
        <v>84</v>
      </c>
      <c r="E1322" t="n">
        <v>540.4821333499999</v>
      </c>
      <c r="F1322" t="n">
        <v>0.8671753425625</v>
      </c>
      <c r="G1322" t="n">
        <v>0</v>
      </c>
      <c r="H1322" t="n">
        <v>4.598442536</v>
      </c>
      <c r="I1322" t="n">
        <v>8.4</v>
      </c>
      <c r="J1322" t="n">
        <v>0</v>
      </c>
      <c r="K1322" t="inlineStr">
        <is>
          <t>Sin stock</t>
        </is>
      </c>
    </row>
    <row r="1323">
      <c r="A1323" t="inlineStr">
        <is>
          <t>ANDMIDA43TM</t>
        </is>
      </c>
      <c r="B1323" t="inlineStr">
        <is>
          <t>ANDRE ORIGINAL DAMA</t>
        </is>
      </c>
      <c r="C1323" t="inlineStr">
        <is>
          <t>Manufactura / Dama / P. Superiores</t>
        </is>
      </c>
      <c r="D1323" t="n">
        <v>18</v>
      </c>
      <c r="E1323" t="n">
        <v>540.46790042</v>
      </c>
      <c r="F1323" t="n">
        <v>0.90496831532</v>
      </c>
      <c r="G1323" t="n">
        <v>61</v>
      </c>
      <c r="H1323" t="n">
        <v>3.274295302</v>
      </c>
      <c r="I1323" t="n">
        <v>1.8</v>
      </c>
      <c r="J1323" t="n">
        <v>2</v>
      </c>
      <c r="K1323" t="inlineStr"/>
    </row>
    <row r="1324">
      <c r="A1324" t="inlineStr">
        <is>
          <t>MARMIKI04T14</t>
        </is>
      </c>
      <c r="B1324" t="inlineStr">
        <is>
          <t>MAR ORIGINAL KIDS</t>
        </is>
      </c>
      <c r="C1324" t="inlineStr">
        <is>
          <t>Manufactura / Kids / P. Superiores</t>
        </is>
      </c>
      <c r="D1324" t="n">
        <v>13</v>
      </c>
      <c r="E1324" t="n">
        <v>538.81610013</v>
      </c>
      <c r="F1324" t="n">
        <v>0.9202474372357142</v>
      </c>
      <c r="G1324" t="n">
        <v>5</v>
      </c>
      <c r="H1324" t="n">
        <v>3.168013332</v>
      </c>
      <c r="I1324" t="n">
        <v>1.3</v>
      </c>
      <c r="J1324" t="n">
        <v>0</v>
      </c>
      <c r="K1324" t="inlineStr"/>
    </row>
    <row r="1325">
      <c r="A1325" t="inlineStr">
        <is>
          <t>POLPLCA14TS</t>
        </is>
      </c>
      <c r="B1325" t="inlineStr">
        <is>
          <t>CLASSIC POLO</t>
        </is>
      </c>
      <c r="C1325" t="inlineStr">
        <is>
          <t>Manufactura / Caballero / P. Superiores</t>
        </is>
      </c>
      <c r="D1325" t="n">
        <v>13</v>
      </c>
      <c r="E1325" t="n">
        <v>537.5833963970747</v>
      </c>
      <c r="F1325" t="n">
        <v>0.8405145899000001</v>
      </c>
      <c r="G1325" t="n">
        <v>82</v>
      </c>
      <c r="H1325" t="n">
        <v>7.34</v>
      </c>
      <c r="I1325" t="n">
        <v>1.3</v>
      </c>
      <c r="J1325" t="n">
        <v>0</v>
      </c>
      <c r="K1325" t="inlineStr"/>
    </row>
    <row r="1326">
      <c r="A1326" t="inlineStr">
        <is>
          <t>SARSPDA43TM</t>
        </is>
      </c>
      <c r="B1326" t="inlineStr">
        <is>
          <t>FALDA SARA DAMA</t>
        </is>
      </c>
      <c r="C1326" t="inlineStr">
        <is>
          <t>Manufactura / Dama / P. Inferiores</t>
        </is>
      </c>
      <c r="D1326" t="n">
        <v>12</v>
      </c>
      <c r="E1326" t="n">
        <v>537.46585685</v>
      </c>
      <c r="F1326" t="n">
        <v>0.7945431944909092</v>
      </c>
      <c r="G1326" t="n">
        <v>4</v>
      </c>
      <c r="H1326" t="n">
        <v>9.500113852</v>
      </c>
      <c r="I1326" t="n">
        <v>1.2</v>
      </c>
      <c r="J1326" t="n">
        <v>0</v>
      </c>
      <c r="K1326" t="inlineStr"/>
    </row>
    <row r="1327">
      <c r="A1327" t="inlineStr">
        <is>
          <t>CLAMIKI48T12</t>
        </is>
      </c>
      <c r="B1327" t="inlineStr">
        <is>
          <t>CLASICA ORIGINAL KIDS</t>
        </is>
      </c>
      <c r="C1327" t="inlineStr">
        <is>
          <t>Manufactura / Kids / P. Superiores</t>
        </is>
      </c>
      <c r="D1327" t="n">
        <v>16</v>
      </c>
      <c r="E1327" t="n">
        <v>536.53558265</v>
      </c>
      <c r="F1327" t="n">
        <v>0.9362271193444445</v>
      </c>
      <c r="G1327" t="n">
        <v>25</v>
      </c>
      <c r="H1327" t="n">
        <v>2.053774806</v>
      </c>
      <c r="I1327" t="n">
        <v>1.6</v>
      </c>
      <c r="J1327" t="n">
        <v>0</v>
      </c>
      <c r="K1327" t="inlineStr"/>
    </row>
    <row r="1328">
      <c r="A1328" t="inlineStr">
        <is>
          <t>BAN28EQ</t>
        </is>
      </c>
      <c r="B1328" t="inlineStr">
        <is>
          <t>CUADRO BAND</t>
        </is>
      </c>
      <c r="C1328" t="inlineStr">
        <is>
          <t>Equipamiento / Accesorios</t>
        </is>
      </c>
      <c r="D1328" t="n">
        <v>241</v>
      </c>
      <c r="E1328" t="n">
        <v>535.4202208594376</v>
      </c>
      <c r="F1328" t="n">
        <v>0.8524502315671053</v>
      </c>
      <c r="G1328" t="n">
        <v>4175</v>
      </c>
      <c r="H1328" t="n">
        <v>0.3159183673</v>
      </c>
      <c r="I1328" t="n">
        <v>24.1</v>
      </c>
      <c r="J1328" t="n">
        <v>0</v>
      </c>
      <c r="K1328" t="inlineStr"/>
    </row>
    <row r="1329">
      <c r="A1329" t="inlineStr">
        <is>
          <t>RIOMIKI30T12</t>
        </is>
      </c>
      <c r="B1329" t="inlineStr">
        <is>
          <t>RIO ORIGINAL KIDS</t>
        </is>
      </c>
      <c r="C1329" t="inlineStr">
        <is>
          <t>Manufactura / Kids / P. Superiores</t>
        </is>
      </c>
      <c r="D1329" t="n">
        <v>13</v>
      </c>
      <c r="E1329" t="n">
        <v>534.7444252500001</v>
      </c>
      <c r="F1329" t="n">
        <v>0.9063507004769231</v>
      </c>
      <c r="G1329" t="n">
        <v>3</v>
      </c>
      <c r="H1329" t="n">
        <v>3.617969464</v>
      </c>
      <c r="I1329" t="n">
        <v>1.3</v>
      </c>
      <c r="J1329" t="n">
        <v>0</v>
      </c>
      <c r="K1329" t="inlineStr"/>
    </row>
    <row r="1330">
      <c r="A1330" t="inlineStr">
        <is>
          <t>MAFMIDA11TM</t>
        </is>
      </c>
      <c r="B1330" t="inlineStr">
        <is>
          <t>MAFE ORIGINAL DAMA</t>
        </is>
      </c>
      <c r="C1330" t="inlineStr">
        <is>
          <t>Manufactura / Dama / P. Superiores</t>
        </is>
      </c>
      <c r="D1330" t="n">
        <v>70</v>
      </c>
      <c r="E1330" t="n">
        <v>533.52428094</v>
      </c>
      <c r="F1330" t="n">
        <v>0.8399849881777777</v>
      </c>
      <c r="G1330" t="n">
        <v>4</v>
      </c>
      <c r="H1330" t="n">
        <v>4.54817671</v>
      </c>
      <c r="I1330" t="n">
        <v>7</v>
      </c>
      <c r="J1330" t="n">
        <v>2</v>
      </c>
      <c r="K1330" t="inlineStr"/>
    </row>
    <row r="1331">
      <c r="A1331" t="inlineStr">
        <is>
          <t>SHOSUKI155T2</t>
        </is>
      </c>
      <c r="B1331" t="inlineStr">
        <is>
          <t>SHORT PLAYA ESTAMPADO KIDS</t>
        </is>
      </c>
      <c r="C1331" t="inlineStr">
        <is>
          <t>Manufactura / Kids / P. Superiores</t>
        </is>
      </c>
      <c r="D1331" t="n">
        <v>13</v>
      </c>
      <c r="E1331" t="n">
        <v>533.0465202</v>
      </c>
      <c r="F1331" t="n">
        <v>0.8118675576066666</v>
      </c>
      <c r="G1331" t="n">
        <v>2</v>
      </c>
      <c r="H1331" t="n">
        <v>7.21</v>
      </c>
      <c r="I1331" t="n">
        <v>1.3</v>
      </c>
      <c r="J1331" t="n">
        <v>1</v>
      </c>
      <c r="K1331" t="inlineStr"/>
    </row>
    <row r="1332">
      <c r="A1332" t="inlineStr">
        <is>
          <t>MARMIKI53T10</t>
        </is>
      </c>
      <c r="B1332" t="inlineStr">
        <is>
          <t>MAR ORIGINAL KIDS</t>
        </is>
      </c>
      <c r="C1332" t="inlineStr">
        <is>
          <t>Manufactura / Kids / P. Superiores</t>
        </is>
      </c>
      <c r="D1332" t="n">
        <v>15</v>
      </c>
      <c r="E1332" t="n">
        <v>532.93372861</v>
      </c>
      <c r="F1332" t="n">
        <v>0.9110504634470589</v>
      </c>
      <c r="G1332" t="n">
        <v>48</v>
      </c>
      <c r="H1332" t="n">
        <v>3.168013332</v>
      </c>
      <c r="I1332" t="n">
        <v>1.5</v>
      </c>
      <c r="J1332" t="n">
        <v>0</v>
      </c>
      <c r="K1332" t="inlineStr"/>
    </row>
    <row r="1333">
      <c r="A1333" t="inlineStr">
        <is>
          <t>ANDMIDA43TXS</t>
        </is>
      </c>
      <c r="B1333" t="inlineStr">
        <is>
          <t>ANDRE ORIGINAL DAMA</t>
        </is>
      </c>
      <c r="C1333" t="inlineStr">
        <is>
          <t>Manufactura / Dama / P. Superiores</t>
        </is>
      </c>
      <c r="D1333" t="n">
        <v>15</v>
      </c>
      <c r="E1333" t="n">
        <v>532.72104673</v>
      </c>
      <c r="F1333" t="n">
        <v>0.9049635882142857</v>
      </c>
      <c r="G1333" t="n">
        <v>65</v>
      </c>
      <c r="H1333" t="n">
        <v>3.274295302</v>
      </c>
      <c r="I1333" t="n">
        <v>1.5</v>
      </c>
      <c r="J1333" t="n">
        <v>1</v>
      </c>
      <c r="K1333" t="inlineStr"/>
    </row>
    <row r="1334">
      <c r="A1334" t="inlineStr">
        <is>
          <t>TMOFIDA12TS</t>
        </is>
      </c>
      <c r="B1334" t="inlineStr">
        <is>
          <t>TOP MOVA</t>
        </is>
      </c>
      <c r="C1334" t="inlineStr">
        <is>
          <t>Manufactura / Dama / P. Superiores</t>
        </is>
      </c>
      <c r="D1334" t="n">
        <v>13</v>
      </c>
      <c r="E1334" t="n">
        <v>531.5332243400001</v>
      </c>
      <c r="F1334" t="n">
        <v>0.8472807730125</v>
      </c>
      <c r="G1334" t="n">
        <v>15</v>
      </c>
      <c r="H1334" t="n">
        <v>9.942967033</v>
      </c>
      <c r="I1334" t="n">
        <v>1.3</v>
      </c>
      <c r="J1334" t="n">
        <v>0</v>
      </c>
      <c r="K1334" t="inlineStr"/>
    </row>
    <row r="1335">
      <c r="A1335" t="inlineStr">
        <is>
          <t>CLAMEDA30TXS</t>
        </is>
      </c>
      <c r="B1335" t="inlineStr">
        <is>
          <t>CLÁSICA SPORT DAMA</t>
        </is>
      </c>
      <c r="C1335" t="inlineStr">
        <is>
          <t>Manufactura / Dama / P. Superiores</t>
        </is>
      </c>
      <c r="D1335" t="n">
        <v>14</v>
      </c>
      <c r="E1335" t="n">
        <v>531.35569192</v>
      </c>
      <c r="F1335" t="n">
        <v>0.8470131550363637</v>
      </c>
      <c r="G1335" t="n">
        <v>9</v>
      </c>
      <c r="H1335" t="n">
        <v>6.536105769</v>
      </c>
      <c r="I1335" t="n">
        <v>1.4</v>
      </c>
      <c r="J1335" t="n">
        <v>1</v>
      </c>
      <c r="K1335" t="inlineStr"/>
    </row>
    <row r="1336">
      <c r="A1336" t="inlineStr">
        <is>
          <t>SHUNTDA31TM</t>
        </is>
      </c>
      <c r="B1336" t="inlineStr">
        <is>
          <t>SHORT SPORT R1 DAMA</t>
        </is>
      </c>
      <c r="C1336" t="inlineStr">
        <is>
          <t>Manufactura / Dama / P. Inferiores</t>
        </is>
      </c>
      <c r="D1336" t="n">
        <v>10</v>
      </c>
      <c r="E1336" t="n">
        <v>531.25469119</v>
      </c>
      <c r="F1336" t="n">
        <v>0.8392079806</v>
      </c>
      <c r="G1336" t="n">
        <v>23</v>
      </c>
      <c r="H1336" t="n">
        <v>8.33</v>
      </c>
      <c r="I1336" t="n">
        <v>1</v>
      </c>
      <c r="J1336" t="n">
        <v>0</v>
      </c>
      <c r="K1336" t="inlineStr"/>
    </row>
    <row r="1337">
      <c r="A1337" t="inlineStr">
        <is>
          <t>RIOMIDA04TM</t>
        </is>
      </c>
      <c r="B1337" t="inlineStr">
        <is>
          <t>RIO ORIGINAL DAMA</t>
        </is>
      </c>
      <c r="C1337" t="inlineStr">
        <is>
          <t>Manufactura / Dama / P. Superiores</t>
        </is>
      </c>
      <c r="D1337" t="n">
        <v>9</v>
      </c>
      <c r="E1337" t="n">
        <v>531.0013354499999</v>
      </c>
      <c r="F1337" t="n">
        <v>0.9048937331666667</v>
      </c>
      <c r="G1337" t="n">
        <v>13</v>
      </c>
      <c r="H1337" t="n">
        <v>5.538832275</v>
      </c>
      <c r="I1337" t="n">
        <v>0.9</v>
      </c>
      <c r="J1337" t="n">
        <v>0</v>
      </c>
      <c r="K1337" t="inlineStr"/>
    </row>
    <row r="1338">
      <c r="A1338" t="inlineStr">
        <is>
          <t>CLAMEDA12TS</t>
        </is>
      </c>
      <c r="B1338" t="inlineStr">
        <is>
          <t>CLÁSICA SPORT DAMA</t>
        </is>
      </c>
      <c r="C1338" t="inlineStr">
        <is>
          <t>Manufactura / Dama / P. Superiores</t>
        </is>
      </c>
      <c r="D1338" t="n">
        <v>12</v>
      </c>
      <c r="E1338" t="n">
        <v>528.62509534</v>
      </c>
      <c r="F1338" t="n">
        <v>0.8472242057</v>
      </c>
      <c r="G1338" t="n">
        <v>2</v>
      </c>
      <c r="H1338" t="n">
        <v>6.536105769</v>
      </c>
      <c r="I1338" t="n">
        <v>1.2</v>
      </c>
      <c r="J1338" t="n">
        <v>3</v>
      </c>
      <c r="K1338" t="inlineStr"/>
    </row>
    <row r="1339">
      <c r="A1339" t="inlineStr">
        <is>
          <t>ANDMIDA53TS</t>
        </is>
      </c>
      <c r="B1339" t="inlineStr">
        <is>
          <t>ANDRE ORIGINAL DAMA</t>
        </is>
      </c>
      <c r="C1339" t="inlineStr">
        <is>
          <t>Manufactura / Dama / P. Superiores</t>
        </is>
      </c>
      <c r="D1339" t="n">
        <v>16</v>
      </c>
      <c r="E1339" t="n">
        <v>527.7030393</v>
      </c>
      <c r="F1339" t="n">
        <v>0.9014962605823529</v>
      </c>
      <c r="G1339" t="n">
        <v>18</v>
      </c>
      <c r="H1339" t="n">
        <v>3.274295302</v>
      </c>
      <c r="I1339" t="n">
        <v>1.6</v>
      </c>
      <c r="J1339" t="n">
        <v>0</v>
      </c>
      <c r="K1339" t="inlineStr"/>
    </row>
    <row r="1340">
      <c r="A1340" t="inlineStr">
        <is>
          <t>SABMEDA16TL</t>
        </is>
      </c>
      <c r="B1340" t="inlineStr">
        <is>
          <t>SABRI SPORT DAMA</t>
        </is>
      </c>
      <c r="C1340" t="inlineStr">
        <is>
          <t>Manufactura / Dama / P. Superiores</t>
        </is>
      </c>
      <c r="D1340" t="n">
        <v>13</v>
      </c>
      <c r="E1340" t="n">
        <v>524.5842541</v>
      </c>
      <c r="F1340" t="n">
        <v>0.8789082268846153</v>
      </c>
      <c r="G1340" t="n">
        <v>16</v>
      </c>
      <c r="H1340" t="n">
        <v>4.51</v>
      </c>
      <c r="I1340" t="n">
        <v>1.3</v>
      </c>
      <c r="J1340" t="n">
        <v>0</v>
      </c>
      <c r="K1340" t="inlineStr"/>
    </row>
    <row r="1341">
      <c r="A1341" t="inlineStr">
        <is>
          <t>CLADFCA70TXL</t>
        </is>
      </c>
      <c r="B1341" t="inlineStr">
        <is>
          <t>CLASICA ADVANCE CAB</t>
        </is>
      </c>
      <c r="C1341" t="inlineStr">
        <is>
          <t>Manufactura / Caballero / P. Superiores</t>
        </is>
      </c>
      <c r="D1341" t="n">
        <v>9</v>
      </c>
      <c r="E1341" t="n">
        <v>524.17612248</v>
      </c>
      <c r="F1341" t="n">
        <v>0.7270676739199999</v>
      </c>
      <c r="G1341" t="n">
        <v>6</v>
      </c>
      <c r="H1341" t="n">
        <v>15.51</v>
      </c>
      <c r="I1341" t="n">
        <v>0.9</v>
      </c>
      <c r="J1341" t="n">
        <v>1</v>
      </c>
      <c r="K1341" t="inlineStr"/>
    </row>
    <row r="1342">
      <c r="A1342" t="inlineStr">
        <is>
          <t>MARMICA11T3XL</t>
        </is>
      </c>
      <c r="B1342" t="inlineStr">
        <is>
          <t>MAR ORIGINAL CAB</t>
        </is>
      </c>
      <c r="C1342" t="inlineStr">
        <is>
          <t>Manufactura / Caballero / P. Superiores</t>
        </is>
      </c>
      <c r="D1342" t="n">
        <v>10</v>
      </c>
      <c r="E1342" t="n">
        <v>520.09916645</v>
      </c>
      <c r="F1342" t="n">
        <v>0.9034320146100001</v>
      </c>
      <c r="G1342" t="n">
        <v>6</v>
      </c>
      <c r="H1342" t="n">
        <v>4.946357428</v>
      </c>
      <c r="I1342" t="n">
        <v>1</v>
      </c>
      <c r="J1342" t="n">
        <v>0</v>
      </c>
      <c r="K1342" t="inlineStr"/>
    </row>
    <row r="1343">
      <c r="A1343" t="inlineStr">
        <is>
          <t>CLAMECA13T2XL</t>
        </is>
      </c>
      <c r="B1343" t="inlineStr">
        <is>
          <t>CLASICA SPORT CAB</t>
        </is>
      </c>
      <c r="C1343" t="inlineStr">
        <is>
          <t>Manufactura / Caballero / P. Superiores</t>
        </is>
      </c>
      <c r="D1343" t="n">
        <v>12</v>
      </c>
      <c r="E1343" t="n">
        <v>517.85193835</v>
      </c>
      <c r="F1343" t="n">
        <v>0.76123643705</v>
      </c>
      <c r="G1343" t="n">
        <v>0</v>
      </c>
      <c r="H1343" t="n">
        <v>10.3013454</v>
      </c>
      <c r="I1343" t="n">
        <v>1.2</v>
      </c>
      <c r="J1343" t="n">
        <v>7</v>
      </c>
      <c r="K1343" t="inlineStr">
        <is>
          <t>Sin stock</t>
        </is>
      </c>
    </row>
    <row r="1344">
      <c r="A1344" t="inlineStr">
        <is>
          <t>SHONTDA12TM</t>
        </is>
      </c>
      <c r="B1344" t="inlineStr">
        <is>
          <t>EXPLORE SHORT DAMA</t>
        </is>
      </c>
      <c r="C1344" t="inlineStr">
        <is>
          <t>Manufactura / Dama / P. Inferiores</t>
        </is>
      </c>
      <c r="D1344" t="n">
        <v>11</v>
      </c>
      <c r="E1344" t="n">
        <v>517.2028196700001</v>
      </c>
      <c r="F1344" t="n">
        <v>0.78736945045</v>
      </c>
      <c r="G1344" t="n">
        <v>53</v>
      </c>
      <c r="H1344" t="n">
        <v>10.22113744</v>
      </c>
      <c r="I1344" t="n">
        <v>1.1</v>
      </c>
      <c r="J1344" t="n">
        <v>0</v>
      </c>
      <c r="K1344" t="inlineStr"/>
    </row>
    <row r="1345">
      <c r="A1345" t="inlineStr">
        <is>
          <t>SUC50EQ</t>
        </is>
      </c>
      <c r="B1345" t="inlineStr">
        <is>
          <t>SUNNY CORD 2.0</t>
        </is>
      </c>
      <c r="C1345" t="inlineStr">
        <is>
          <t>Equipamiento / Accesorios</t>
        </is>
      </c>
      <c r="D1345" t="n">
        <v>125</v>
      </c>
      <c r="E1345" t="n">
        <v>516.706513128</v>
      </c>
      <c r="F1345" t="n">
        <v>0.8853213793277108</v>
      </c>
      <c r="G1345" t="n">
        <v>328</v>
      </c>
      <c r="H1345" t="n">
        <v>0.66</v>
      </c>
      <c r="I1345" t="n">
        <v>12.5</v>
      </c>
      <c r="J1345" t="n">
        <v>0</v>
      </c>
      <c r="K1345" t="inlineStr"/>
    </row>
    <row r="1346">
      <c r="A1346" t="inlineStr">
        <is>
          <t>SHOUNKI13T12</t>
        </is>
      </c>
      <c r="B1346" t="inlineStr">
        <is>
          <t>SHORT PLAYA KIDS</t>
        </is>
      </c>
      <c r="C1346" t="inlineStr">
        <is>
          <t>Manufactura / Kids / P. Inferiores</t>
        </is>
      </c>
      <c r="D1346" t="n">
        <v>13</v>
      </c>
      <c r="E1346" t="n">
        <v>516.49859484</v>
      </c>
      <c r="F1346" t="n">
        <v>0.8368555782266667</v>
      </c>
      <c r="G1346" t="n">
        <v>5</v>
      </c>
      <c r="H1346" t="n">
        <v>6.09</v>
      </c>
      <c r="I1346" t="n">
        <v>1.3</v>
      </c>
      <c r="J1346" t="n">
        <v>0</v>
      </c>
      <c r="K1346" t="inlineStr"/>
    </row>
    <row r="1347">
      <c r="A1347" t="inlineStr">
        <is>
          <t>SHOUNKI33T14</t>
        </is>
      </c>
      <c r="B1347" t="inlineStr">
        <is>
          <t>SHORT PLAYA KIDS</t>
        </is>
      </c>
      <c r="C1347" t="inlineStr">
        <is>
          <t>Manufactura / Kids / P. Inferiores</t>
        </is>
      </c>
      <c r="D1347" t="n">
        <v>13</v>
      </c>
      <c r="E1347" t="n">
        <v>515.46055526</v>
      </c>
      <c r="F1347" t="n">
        <v>0.83665164238</v>
      </c>
      <c r="G1347" t="n">
        <v>0</v>
      </c>
      <c r="H1347" t="n">
        <v>6.09</v>
      </c>
      <c r="I1347" t="n">
        <v>1.3</v>
      </c>
      <c r="J1347" t="n">
        <v>0</v>
      </c>
      <c r="K1347" t="inlineStr">
        <is>
          <t>Sin stock</t>
        </is>
      </c>
    </row>
    <row r="1348">
      <c r="A1348" t="inlineStr">
        <is>
          <t>SABMEDA16TS</t>
        </is>
      </c>
      <c r="B1348" t="inlineStr">
        <is>
          <t>SABRI SPORT DAMA</t>
        </is>
      </c>
      <c r="C1348" t="inlineStr">
        <is>
          <t>Manufactura / Dama / P. Superiores</t>
        </is>
      </c>
      <c r="D1348" t="n">
        <v>15</v>
      </c>
      <c r="E1348" t="n">
        <v>514.72319108</v>
      </c>
      <c r="F1348" t="n">
        <v>0.8448079718</v>
      </c>
      <c r="G1348" t="n">
        <v>47</v>
      </c>
      <c r="H1348" t="n">
        <v>4.51</v>
      </c>
      <c r="I1348" t="n">
        <v>1.5</v>
      </c>
      <c r="J1348" t="n">
        <v>1</v>
      </c>
      <c r="K1348" t="inlineStr"/>
    </row>
    <row r="1349">
      <c r="A1349" t="inlineStr">
        <is>
          <t>MARMIKI04T8</t>
        </is>
      </c>
      <c r="B1349" t="inlineStr">
        <is>
          <t>MAR ORIGINAL KIDS</t>
        </is>
      </c>
      <c r="C1349" t="inlineStr">
        <is>
          <t>Manufactura / Kids / P. Superiores</t>
        </is>
      </c>
      <c r="D1349" t="n">
        <v>14</v>
      </c>
      <c r="E1349" t="n">
        <v>514.30106644</v>
      </c>
      <c r="F1349" t="n">
        <v>0.9128375341285714</v>
      </c>
      <c r="G1349" t="n">
        <v>0</v>
      </c>
      <c r="H1349" t="n">
        <v>3.168013332</v>
      </c>
      <c r="I1349" t="n">
        <v>1.4</v>
      </c>
      <c r="J1349" t="n">
        <v>1</v>
      </c>
      <c r="K1349" t="inlineStr">
        <is>
          <t>Sin stock</t>
        </is>
      </c>
    </row>
    <row r="1350">
      <c r="A1350" t="inlineStr">
        <is>
          <t>MARMIKI50T2</t>
        </is>
      </c>
      <c r="B1350" t="inlineStr">
        <is>
          <t>MAR ORIGINAL KIDS</t>
        </is>
      </c>
      <c r="C1350" t="inlineStr">
        <is>
          <t>Manufactura / Kids / P. Superiores</t>
        </is>
      </c>
      <c r="D1350" t="n">
        <v>16</v>
      </c>
      <c r="E1350" t="n">
        <v>513.40208259</v>
      </c>
      <c r="F1350" t="n">
        <v>0.9056017063</v>
      </c>
      <c r="G1350" t="n">
        <v>30</v>
      </c>
      <c r="H1350" t="n">
        <v>3.168013332</v>
      </c>
      <c r="I1350" t="n">
        <v>1.6</v>
      </c>
      <c r="J1350" t="n">
        <v>0</v>
      </c>
      <c r="K1350" t="inlineStr"/>
    </row>
    <row r="1351">
      <c r="A1351" t="inlineStr">
        <is>
          <t>CLAMICA04TM</t>
        </is>
      </c>
      <c r="B1351" t="inlineStr">
        <is>
          <t>CLASICA ORIGINAL CAB</t>
        </is>
      </c>
      <c r="C1351" t="inlineStr">
        <is>
          <t>Manufactura / Caballero / P. Superiores</t>
        </is>
      </c>
      <c r="D1351" t="n">
        <v>20</v>
      </c>
      <c r="E1351" t="n">
        <v>513.3550417484145</v>
      </c>
      <c r="F1351" t="n">
        <v>0.8776504494230769</v>
      </c>
      <c r="G1351" t="n">
        <v>26</v>
      </c>
      <c r="H1351" t="n">
        <v>4.598442536000001</v>
      </c>
      <c r="I1351" t="n">
        <v>2</v>
      </c>
      <c r="J1351" t="n">
        <v>0</v>
      </c>
      <c r="K1351" t="inlineStr"/>
    </row>
    <row r="1352">
      <c r="A1352" t="inlineStr">
        <is>
          <t>LMOFIDA66TM</t>
        </is>
      </c>
      <c r="B1352" t="inlineStr">
        <is>
          <t>LEGGING MOVA</t>
        </is>
      </c>
      <c r="C1352" t="inlineStr">
        <is>
          <t>Manufactura / Dama / P. Inferiores</t>
        </is>
      </c>
      <c r="D1352" t="n">
        <v>9</v>
      </c>
      <c r="E1352" t="n">
        <v>513.35487097</v>
      </c>
      <c r="F1352" t="n">
        <v>0.800591901625</v>
      </c>
      <c r="G1352" t="n">
        <v>16</v>
      </c>
      <c r="H1352" t="n">
        <v>17.7</v>
      </c>
      <c r="I1352" t="n">
        <v>0.9</v>
      </c>
      <c r="J1352" t="n">
        <v>0</v>
      </c>
      <c r="K1352" t="inlineStr"/>
    </row>
    <row r="1353">
      <c r="A1353" t="inlineStr">
        <is>
          <t>JAPCA01TS</t>
        </is>
      </c>
      <c r="B1353" t="inlineStr">
        <is>
          <t>CUADRO JACKET 2.0 CAB</t>
        </is>
      </c>
      <c r="C1353" t="inlineStr">
        <is>
          <t>Equipamiento / Ropa</t>
        </is>
      </c>
      <c r="D1353" t="n">
        <v>7</v>
      </c>
      <c r="E1353" t="n">
        <v>513.18683895</v>
      </c>
      <c r="F1353" t="n">
        <v>0.7606671268166667</v>
      </c>
      <c r="G1353" t="n">
        <v>291</v>
      </c>
      <c r="H1353" t="n">
        <v>20.25000225</v>
      </c>
      <c r="I1353" t="n">
        <v>0.7</v>
      </c>
      <c r="J1353" t="n">
        <v>4</v>
      </c>
      <c r="K1353" t="inlineStr"/>
    </row>
    <row r="1354">
      <c r="A1354" t="inlineStr">
        <is>
          <t>MAFMIDA30TM</t>
        </is>
      </c>
      <c r="B1354" t="inlineStr">
        <is>
          <t>MAFE ORIGINAL DAMA</t>
        </is>
      </c>
      <c r="C1354" t="inlineStr">
        <is>
          <t>Manufactura / Dama / P. Superiores</t>
        </is>
      </c>
      <c r="D1354" t="n">
        <v>16</v>
      </c>
      <c r="E1354" t="n">
        <v>512.8810714799999</v>
      </c>
      <c r="F1354" t="n">
        <v>0.85436942710625</v>
      </c>
      <c r="G1354" t="n">
        <v>4</v>
      </c>
      <c r="H1354" t="n">
        <v>4.54817671</v>
      </c>
      <c r="I1354" t="n">
        <v>1.6</v>
      </c>
      <c r="J1354" t="n">
        <v>2</v>
      </c>
      <c r="K1354" t="inlineStr"/>
    </row>
    <row r="1355">
      <c r="A1355" t="inlineStr">
        <is>
          <t>ZOEMIKI34T10</t>
        </is>
      </c>
      <c r="B1355" t="inlineStr">
        <is>
          <t>ZOE ORIGINAL KIDS</t>
        </is>
      </c>
      <c r="C1355" t="inlineStr">
        <is>
          <t>Manufactura / Kids / P. Superiores</t>
        </is>
      </c>
      <c r="D1355" t="n">
        <v>15</v>
      </c>
      <c r="E1355" t="n">
        <v>512.8645143700001</v>
      </c>
      <c r="F1355" t="n">
        <v>0.8715485841199999</v>
      </c>
      <c r="G1355" t="n">
        <v>15</v>
      </c>
      <c r="H1355" t="n">
        <v>4.12</v>
      </c>
      <c r="I1355" t="n">
        <v>1.5</v>
      </c>
      <c r="J1355" t="n">
        <v>0</v>
      </c>
      <c r="K1355" t="inlineStr"/>
    </row>
    <row r="1356">
      <c r="A1356" t="inlineStr">
        <is>
          <t>RIOMIDA66TXS</t>
        </is>
      </c>
      <c r="B1356" t="inlineStr">
        <is>
          <t>RIO ORIGINAL DAMA</t>
        </is>
      </c>
      <c r="C1356" t="inlineStr">
        <is>
          <t>Manufactura / Dama / P. Superiores</t>
        </is>
      </c>
      <c r="D1356" t="n">
        <v>10</v>
      </c>
      <c r="E1356" t="n">
        <v>512.46948305</v>
      </c>
      <c r="F1356" t="n">
        <v>0.8853993443307692</v>
      </c>
      <c r="G1356" t="n">
        <v>21</v>
      </c>
      <c r="H1356" t="n">
        <v>5.538832275</v>
      </c>
      <c r="I1356" t="n">
        <v>1</v>
      </c>
      <c r="J1356" t="n">
        <v>0</v>
      </c>
      <c r="K1356" t="inlineStr"/>
    </row>
    <row r="1357">
      <c r="A1357" t="inlineStr">
        <is>
          <t>SHOUNCA38T2XL</t>
        </is>
      </c>
      <c r="B1357" t="inlineStr">
        <is>
          <t>SHORT PLAYA CAB</t>
        </is>
      </c>
      <c r="C1357" t="inlineStr">
        <is>
          <t>Manufactura / Caballero / P. Inferiores</t>
        </is>
      </c>
      <c r="D1357" t="n">
        <v>10</v>
      </c>
      <c r="E1357" t="n">
        <v>511.78338141</v>
      </c>
      <c r="F1357" t="n">
        <v>0.8039197286</v>
      </c>
      <c r="G1357" t="n">
        <v>28</v>
      </c>
      <c r="H1357" t="n">
        <v>9.99</v>
      </c>
      <c r="I1357" t="n">
        <v>1</v>
      </c>
      <c r="J1357" t="n">
        <v>1</v>
      </c>
      <c r="K1357" t="inlineStr"/>
    </row>
    <row r="1358">
      <c r="A1358" t="inlineStr">
        <is>
          <t>ANDMIDA43TL</t>
        </is>
      </c>
      <c r="B1358" t="inlineStr">
        <is>
          <t>ANDRE ORIGINAL DAMA</t>
        </is>
      </c>
      <c r="C1358" t="inlineStr">
        <is>
          <t>Manufactura / Dama / P. Superiores</t>
        </is>
      </c>
      <c r="D1358" t="n">
        <v>12</v>
      </c>
      <c r="E1358" t="n">
        <v>510.31445456</v>
      </c>
      <c r="F1358" t="n">
        <v>0.91797225775</v>
      </c>
      <c r="G1358" t="n">
        <v>28</v>
      </c>
      <c r="H1358" t="n">
        <v>3.274295302</v>
      </c>
      <c r="I1358" t="n">
        <v>1.2</v>
      </c>
      <c r="J1358" t="n">
        <v>1</v>
      </c>
      <c r="K1358" t="inlineStr"/>
    </row>
    <row r="1359">
      <c r="A1359" t="inlineStr">
        <is>
          <t>MARMIKI34T8</t>
        </is>
      </c>
      <c r="B1359" t="inlineStr">
        <is>
          <t>MAR ORIGINAL KIDS</t>
        </is>
      </c>
      <c r="C1359" t="inlineStr">
        <is>
          <t>Manufactura / Kids / P. Superiores</t>
        </is>
      </c>
      <c r="D1359" t="n">
        <v>13</v>
      </c>
      <c r="E1359" t="n">
        <v>510.25617764</v>
      </c>
      <c r="F1359" t="n">
        <v>0.9188480853692307</v>
      </c>
      <c r="G1359" t="n">
        <v>13</v>
      </c>
      <c r="H1359" t="n">
        <v>3.168013332</v>
      </c>
      <c r="I1359" t="n">
        <v>1.3</v>
      </c>
      <c r="J1359" t="n">
        <v>0</v>
      </c>
      <c r="K1359" t="inlineStr"/>
    </row>
    <row r="1360">
      <c r="A1360" t="inlineStr">
        <is>
          <t>SHOUNKI01T4</t>
        </is>
      </c>
      <c r="B1360" t="inlineStr">
        <is>
          <t>SHORT PLAYA KIDS</t>
        </is>
      </c>
      <c r="C1360" t="inlineStr">
        <is>
          <t>Manufactura / Kids / P. Inferiores</t>
        </is>
      </c>
      <c r="D1360" t="n">
        <v>12</v>
      </c>
      <c r="E1360" t="n">
        <v>509.43742846</v>
      </c>
      <c r="F1360" t="n">
        <v>0.8532196595083333</v>
      </c>
      <c r="G1360" t="n">
        <v>13</v>
      </c>
      <c r="H1360" t="n">
        <v>6.09</v>
      </c>
      <c r="I1360" t="n">
        <v>1.2</v>
      </c>
      <c r="J1360" t="n">
        <v>1</v>
      </c>
      <c r="K1360" t="inlineStr"/>
    </row>
    <row r="1361">
      <c r="A1361" t="inlineStr">
        <is>
          <t>MAFMIDA11TS</t>
        </is>
      </c>
      <c r="B1361" t="inlineStr">
        <is>
          <t>MAFE ORIGINAL DAMA</t>
        </is>
      </c>
      <c r="C1361" t="inlineStr">
        <is>
          <t>Manufactura / Dama / P. Superiores</t>
        </is>
      </c>
      <c r="D1361" t="n">
        <v>117</v>
      </c>
      <c r="E1361" t="n">
        <v>508.87834963</v>
      </c>
      <c r="F1361" t="n">
        <v>0.8383804156294117</v>
      </c>
      <c r="G1361" t="n">
        <v>9</v>
      </c>
      <c r="H1361" t="n">
        <v>4.54817671</v>
      </c>
      <c r="I1361" t="n">
        <v>11.7</v>
      </c>
      <c r="J1361" t="n">
        <v>1</v>
      </c>
      <c r="K1361" t="inlineStr"/>
    </row>
    <row r="1362">
      <c r="A1362" t="inlineStr">
        <is>
          <t>LMOFIDA10TM</t>
        </is>
      </c>
      <c r="B1362" t="inlineStr">
        <is>
          <t>LEGGING MOVA</t>
        </is>
      </c>
      <c r="C1362" t="inlineStr">
        <is>
          <t>Manufactura / Dama / P. Inferiores</t>
        </is>
      </c>
      <c r="D1362" t="n">
        <v>9</v>
      </c>
      <c r="E1362" t="n">
        <v>507.59674304</v>
      </c>
      <c r="F1362" t="n">
        <v>0.7893390709333333</v>
      </c>
      <c r="G1362" t="n">
        <v>19</v>
      </c>
      <c r="H1362" t="n">
        <v>17.7</v>
      </c>
      <c r="I1362" t="n">
        <v>0.9</v>
      </c>
      <c r="J1362" t="n">
        <v>0</v>
      </c>
      <c r="K1362" t="inlineStr"/>
    </row>
    <row r="1363">
      <c r="A1363" t="inlineStr">
        <is>
          <t>SHOUNKI50T14</t>
        </is>
      </c>
      <c r="B1363" t="inlineStr">
        <is>
          <t>SHORT PLAYA KIDS</t>
        </is>
      </c>
      <c r="C1363" t="inlineStr">
        <is>
          <t>Manufactura / Kids / P. Inferiores</t>
        </is>
      </c>
      <c r="D1363" t="n">
        <v>13</v>
      </c>
      <c r="E1363" t="n">
        <v>506.81127963</v>
      </c>
      <c r="F1363" t="n">
        <v>0.8324584983923077</v>
      </c>
      <c r="G1363" t="n">
        <v>4</v>
      </c>
      <c r="H1363" t="n">
        <v>6.09</v>
      </c>
      <c r="I1363" t="n">
        <v>1.3</v>
      </c>
      <c r="J1363" t="n">
        <v>1</v>
      </c>
      <c r="K1363" t="inlineStr"/>
    </row>
    <row r="1364">
      <c r="A1364" t="inlineStr">
        <is>
          <t>ANDMIDA53TXS</t>
        </is>
      </c>
      <c r="B1364" t="inlineStr">
        <is>
          <t>ANDRE ORIGINAL DAMA</t>
        </is>
      </c>
      <c r="C1364" t="inlineStr">
        <is>
          <t>Manufactura / Dama / P. Superiores</t>
        </is>
      </c>
      <c r="D1364" t="n">
        <v>14</v>
      </c>
      <c r="E1364" t="n">
        <v>505.8017133</v>
      </c>
      <c r="F1364" t="n">
        <v>0.8960021228277779</v>
      </c>
      <c r="G1364" t="n">
        <v>14</v>
      </c>
      <c r="H1364" t="n">
        <v>3.274295302</v>
      </c>
      <c r="I1364" t="n">
        <v>1.4</v>
      </c>
      <c r="J1364" t="n">
        <v>2</v>
      </c>
      <c r="K1364" t="inlineStr"/>
    </row>
    <row r="1365">
      <c r="A1365" t="inlineStr">
        <is>
          <t>BACCCDA43TXL</t>
        </is>
      </c>
      <c r="B1365" t="inlineStr">
        <is>
          <t>BASIC LINE CROP TEE DAMA</t>
        </is>
      </c>
      <c r="C1365" t="inlineStr">
        <is>
          <t>Manufactura / Dama / P. Superiores</t>
        </is>
      </c>
      <c r="D1365" t="n">
        <v>11</v>
      </c>
      <c r="E1365" t="n">
        <v>505.18766196</v>
      </c>
      <c r="F1365" t="n">
        <v>0.8850549295636363</v>
      </c>
      <c r="G1365" t="n">
        <v>23</v>
      </c>
      <c r="H1365" t="n">
        <v>6.196330833</v>
      </c>
      <c r="I1365" t="n">
        <v>1.1</v>
      </c>
      <c r="J1365" t="n">
        <v>0</v>
      </c>
      <c r="K1365" t="inlineStr"/>
    </row>
    <row r="1366">
      <c r="A1366" t="inlineStr">
        <is>
          <t>CLAMICA70TS</t>
        </is>
      </c>
      <c r="B1366" t="inlineStr">
        <is>
          <t>CLASICA ORIGINAL CAB</t>
        </is>
      </c>
      <c r="C1366" t="inlineStr">
        <is>
          <t>Manufactura / Caballero / P. Superiores</t>
        </is>
      </c>
      <c r="D1366" t="n">
        <v>21</v>
      </c>
      <c r="E1366" t="n">
        <v>504.30543297</v>
      </c>
      <c r="F1366" t="n">
        <v>0.8899156112785714</v>
      </c>
      <c r="G1366" t="n">
        <v>64</v>
      </c>
      <c r="H1366" t="n">
        <v>4.598442536</v>
      </c>
      <c r="I1366" t="n">
        <v>2.1</v>
      </c>
      <c r="J1366" t="n">
        <v>0</v>
      </c>
      <c r="K1366" t="inlineStr"/>
    </row>
    <row r="1367">
      <c r="A1367" t="inlineStr">
        <is>
          <t>MAADFDA30TM</t>
        </is>
      </c>
      <c r="B1367" t="inlineStr">
        <is>
          <t>MAFE ADVANCE DAMA</t>
        </is>
      </c>
      <c r="C1367" t="inlineStr">
        <is>
          <t>Manufactura / Dama / P. Superiores</t>
        </is>
      </c>
      <c r="D1367" t="n">
        <v>10</v>
      </c>
      <c r="E1367" t="n">
        <v>502.79141069</v>
      </c>
      <c r="F1367" t="n">
        <v>0.9002564956600001</v>
      </c>
      <c r="G1367" t="n">
        <v>0</v>
      </c>
      <c r="H1367" t="n">
        <v>4.98</v>
      </c>
      <c r="I1367" t="n">
        <v>1</v>
      </c>
      <c r="J1367" t="n">
        <v>3</v>
      </c>
      <c r="K1367" t="inlineStr">
        <is>
          <t>Sin stock</t>
        </is>
      </c>
    </row>
    <row r="1368">
      <c r="A1368" t="inlineStr">
        <is>
          <t>NAHFNCA70TXL</t>
        </is>
      </c>
      <c r="B1368" t="inlineStr">
        <is>
          <t>NOAH SPORT LITE CAB</t>
        </is>
      </c>
      <c r="C1368" t="inlineStr">
        <is>
          <t>Manufactura / Caballero / P. Superiores</t>
        </is>
      </c>
      <c r="D1368" t="n">
        <v>13</v>
      </c>
      <c r="E1368" t="n">
        <v>502.61473271</v>
      </c>
      <c r="F1368" t="n">
        <v>0.5617494691666667</v>
      </c>
      <c r="G1368" t="n">
        <v>9</v>
      </c>
      <c r="H1368" t="n">
        <v>17.61141534</v>
      </c>
      <c r="I1368" t="n">
        <v>1.3</v>
      </c>
      <c r="J1368" t="n">
        <v>1</v>
      </c>
      <c r="K1368" t="inlineStr"/>
    </row>
    <row r="1369">
      <c r="A1369" t="inlineStr">
        <is>
          <t>ZOEMIKI34T8</t>
        </is>
      </c>
      <c r="B1369" t="inlineStr">
        <is>
          <t>ZOE ORIGINAL KIDS</t>
        </is>
      </c>
      <c r="C1369" t="inlineStr">
        <is>
          <t>Manufactura / Kids / P. Superiores</t>
        </is>
      </c>
      <c r="D1369" t="n">
        <v>15</v>
      </c>
      <c r="E1369" t="n">
        <v>501.76142348</v>
      </c>
      <c r="F1369" t="n">
        <v>0.8756724377571429</v>
      </c>
      <c r="G1369" t="n">
        <v>28</v>
      </c>
      <c r="H1369" t="n">
        <v>4.12</v>
      </c>
      <c r="I1369" t="n">
        <v>1.5</v>
      </c>
      <c r="J1369" t="n">
        <v>0</v>
      </c>
      <c r="K1369" t="inlineStr"/>
    </row>
    <row r="1370">
      <c r="A1370" t="inlineStr">
        <is>
          <t>TMOFIDA66TM</t>
        </is>
      </c>
      <c r="B1370" t="inlineStr">
        <is>
          <t>TOP MOVA</t>
        </is>
      </c>
      <c r="C1370" t="inlineStr">
        <is>
          <t>Manufactura / Dama / P. Superiores</t>
        </is>
      </c>
      <c r="D1370" t="n">
        <v>14</v>
      </c>
      <c r="E1370" t="n">
        <v>501.55196107</v>
      </c>
      <c r="F1370" t="n">
        <v>0.8156834958071428</v>
      </c>
      <c r="G1370" t="n">
        <v>11</v>
      </c>
      <c r="H1370" t="n">
        <v>9.942967033</v>
      </c>
      <c r="I1370" t="n">
        <v>1.4</v>
      </c>
      <c r="J1370" t="n">
        <v>0</v>
      </c>
      <c r="K1370" t="inlineStr"/>
    </row>
    <row r="1371">
      <c r="A1371" t="inlineStr">
        <is>
          <t>SHOUNKI13T10</t>
        </is>
      </c>
      <c r="B1371" t="inlineStr">
        <is>
          <t>SHORT PLAYA KIDS</t>
        </is>
      </c>
      <c r="C1371" t="inlineStr">
        <is>
          <t>Manufactura / Kids / P. Inferiores</t>
        </is>
      </c>
      <c r="D1371" t="n">
        <v>12</v>
      </c>
      <c r="E1371" t="n">
        <v>500.64532019</v>
      </c>
      <c r="F1371" t="n">
        <v>0.8452786202166668</v>
      </c>
      <c r="G1371" t="n">
        <v>2</v>
      </c>
      <c r="H1371" t="n">
        <v>6.09</v>
      </c>
      <c r="I1371" t="n">
        <v>1.2</v>
      </c>
      <c r="J1371" t="n">
        <v>0</v>
      </c>
      <c r="K1371" t="inlineStr"/>
    </row>
    <row r="1372">
      <c r="A1372" t="inlineStr">
        <is>
          <t>SHONTDA30TXL</t>
        </is>
      </c>
      <c r="B1372" t="inlineStr">
        <is>
          <t>EXPLORE SHORT DAMA</t>
        </is>
      </c>
      <c r="C1372" t="inlineStr">
        <is>
          <t>Manufactura / Dama / P. Inferiores</t>
        </is>
      </c>
      <c r="D1372" t="n">
        <v>9</v>
      </c>
      <c r="E1372" t="n">
        <v>499.86174031</v>
      </c>
      <c r="F1372" t="n">
        <v>0.82342395928</v>
      </c>
      <c r="G1372" t="n">
        <v>29</v>
      </c>
      <c r="H1372" t="n">
        <v>10.22113744</v>
      </c>
      <c r="I1372" t="n">
        <v>0.9</v>
      </c>
      <c r="J1372" t="n">
        <v>1</v>
      </c>
      <c r="K1372" t="inlineStr"/>
    </row>
    <row r="1373">
      <c r="A1373" t="inlineStr">
        <is>
          <t>BUC43EQ</t>
        </is>
      </c>
      <c r="B1373" t="inlineStr">
        <is>
          <t>BUCKET HAT</t>
        </is>
      </c>
      <c r="C1373" t="inlineStr">
        <is>
          <t>Equipamiento / Sombreros</t>
        </is>
      </c>
      <c r="D1373" t="n">
        <v>18</v>
      </c>
      <c r="E1373" t="n">
        <v>499.76601503</v>
      </c>
      <c r="F1373" t="n">
        <v>0.8031183113615386</v>
      </c>
      <c r="G1373" t="n">
        <v>0</v>
      </c>
      <c r="H1373" t="n">
        <v>4.98</v>
      </c>
      <c r="I1373" t="n">
        <v>1.8</v>
      </c>
      <c r="J1373" t="n">
        <v>6</v>
      </c>
      <c r="K1373" t="inlineStr">
        <is>
          <t>Sin stock</t>
        </is>
      </c>
    </row>
    <row r="1374">
      <c r="A1374" t="inlineStr">
        <is>
          <t>MARMIDA01TXL</t>
        </is>
      </c>
      <c r="B1374" t="inlineStr">
        <is>
          <t>MAR ORIGINAL DAMA</t>
        </is>
      </c>
      <c r="C1374" t="inlineStr">
        <is>
          <t>Manufactura / Dama / P. Superiores</t>
        </is>
      </c>
      <c r="D1374" t="n">
        <v>9</v>
      </c>
      <c r="E1374" t="n">
        <v>495.20443409</v>
      </c>
      <c r="F1374" t="n">
        <v>0.9196718235000001</v>
      </c>
      <c r="G1374" t="n">
        <v>44</v>
      </c>
      <c r="H1374" t="n">
        <v>4.278324149</v>
      </c>
      <c r="I1374" t="n">
        <v>0.9</v>
      </c>
      <c r="J1374" t="n">
        <v>0</v>
      </c>
      <c r="K1374" t="inlineStr"/>
    </row>
    <row r="1375">
      <c r="A1375" t="inlineStr">
        <is>
          <t>PANNTDA31TXS</t>
        </is>
      </c>
      <c r="B1375" t="inlineStr">
        <is>
          <t>EXPLORE PANTS DAMA</t>
        </is>
      </c>
      <c r="C1375" t="inlineStr">
        <is>
          <t>Manufactura / Dama / P. Inferiores</t>
        </is>
      </c>
      <c r="D1375" t="n">
        <v>8</v>
      </c>
      <c r="E1375" t="n">
        <v>493.88734719</v>
      </c>
      <c r="F1375" t="n">
        <v>0.8044378752923076</v>
      </c>
      <c r="G1375" t="n">
        <v>16</v>
      </c>
      <c r="H1375" t="n">
        <v>15.3928899</v>
      </c>
      <c r="I1375" t="n">
        <v>0.8</v>
      </c>
      <c r="J1375" t="n">
        <v>0</v>
      </c>
      <c r="K1375" t="inlineStr"/>
    </row>
    <row r="1376">
      <c r="A1376" t="inlineStr">
        <is>
          <t>MARMIKI11T6</t>
        </is>
      </c>
      <c r="B1376" t="inlineStr">
        <is>
          <t>MAR ORIGINAL KIDS</t>
        </is>
      </c>
      <c r="C1376" t="inlineStr">
        <is>
          <t>Manufactura / Kids / P. Superiores</t>
        </is>
      </c>
      <c r="D1376" t="n">
        <v>15</v>
      </c>
      <c r="E1376" t="n">
        <v>493.23281569</v>
      </c>
      <c r="F1376" t="n">
        <v>0.9080542009307693</v>
      </c>
      <c r="G1376" t="n">
        <v>16</v>
      </c>
      <c r="H1376" t="n">
        <v>3.168013332</v>
      </c>
      <c r="I1376" t="n">
        <v>1.5</v>
      </c>
      <c r="J1376" t="n">
        <v>0</v>
      </c>
      <c r="K1376" t="inlineStr"/>
    </row>
    <row r="1377">
      <c r="A1377" t="inlineStr">
        <is>
          <t>LMOFIDA12TS</t>
        </is>
      </c>
      <c r="B1377" t="inlineStr">
        <is>
          <t>LEGGING MOVA</t>
        </is>
      </c>
      <c r="C1377" t="inlineStr">
        <is>
          <t>Manufactura / Dama / P. Inferiores</t>
        </is>
      </c>
      <c r="D1377" t="n">
        <v>12</v>
      </c>
      <c r="E1377" t="n">
        <v>492.08305111</v>
      </c>
      <c r="F1377" t="n">
        <v>0.7602099164666667</v>
      </c>
      <c r="G1377" t="n">
        <v>11</v>
      </c>
      <c r="H1377" t="n">
        <v>17.7</v>
      </c>
      <c r="I1377" t="n">
        <v>1.2</v>
      </c>
      <c r="J1377" t="n">
        <v>0</v>
      </c>
      <c r="K1377" t="inlineStr"/>
    </row>
    <row r="1378">
      <c r="A1378" t="inlineStr">
        <is>
          <t>SHONTCA43TS</t>
        </is>
      </c>
      <c r="B1378" t="inlineStr">
        <is>
          <t>EXPLORE SHORT CAB</t>
        </is>
      </c>
      <c r="C1378" t="inlineStr">
        <is>
          <t>Manufactura / Caballero / P. Inferiores</t>
        </is>
      </c>
      <c r="D1378" t="n">
        <v>14</v>
      </c>
      <c r="E1378" t="n">
        <v>491.69746506</v>
      </c>
      <c r="F1378" t="n">
        <v>0.7844460707666667</v>
      </c>
      <c r="G1378" t="n">
        <v>5</v>
      </c>
      <c r="H1378" t="n">
        <v>11.17</v>
      </c>
      <c r="I1378" t="n">
        <v>1.4</v>
      </c>
      <c r="J1378" t="n">
        <v>0</v>
      </c>
      <c r="K1378" t="inlineStr"/>
    </row>
    <row r="1379">
      <c r="A1379" t="inlineStr">
        <is>
          <t>TALGTACA166TXS</t>
        </is>
      </c>
      <c r="B1379" t="inlineStr">
        <is>
          <t>URBAN COTTON OVERSIZED VINTAGE VERDE CAB</t>
        </is>
      </c>
      <c r="C1379" t="inlineStr">
        <is>
          <t>Manufactura / Caballero / P. Superiores</t>
        </is>
      </c>
      <c r="D1379" t="n">
        <v>10</v>
      </c>
      <c r="E1379" t="n">
        <v>491.50541481</v>
      </c>
      <c r="F1379" t="n">
        <v>0.798260119975</v>
      </c>
      <c r="G1379" t="n">
        <v>0</v>
      </c>
      <c r="H1379" t="n">
        <v>12.16396667</v>
      </c>
      <c r="I1379" t="n">
        <v>1</v>
      </c>
      <c r="J1379" t="n">
        <v>2</v>
      </c>
      <c r="K1379" t="inlineStr">
        <is>
          <t>Sin stock</t>
        </is>
      </c>
    </row>
    <row r="1380">
      <c r="A1380" t="inlineStr">
        <is>
          <t>BASCCDA43TS</t>
        </is>
      </c>
      <c r="B1380" t="inlineStr">
        <is>
          <t>BASIC LINE SHORT DAMA</t>
        </is>
      </c>
      <c r="C1380" t="inlineStr">
        <is>
          <t>Manufactura / Dama / P. Inferiores</t>
        </is>
      </c>
      <c r="D1380" t="n">
        <v>14</v>
      </c>
      <c r="E1380" t="n">
        <v>490.96340753</v>
      </c>
      <c r="F1380" t="n">
        <v>0.87123482019</v>
      </c>
      <c r="G1380" t="n">
        <v>74</v>
      </c>
      <c r="H1380" t="n">
        <v>6.01</v>
      </c>
      <c r="I1380" t="n">
        <v>1.4</v>
      </c>
      <c r="J1380" t="n">
        <v>2</v>
      </c>
      <c r="K1380" t="inlineStr"/>
    </row>
    <row r="1381">
      <c r="A1381" t="inlineStr">
        <is>
          <t>PANNTKI12T6</t>
        </is>
      </c>
      <c r="B1381" t="inlineStr">
        <is>
          <t>EXPLORE PANTS KIDS</t>
        </is>
      </c>
      <c r="C1381" t="inlineStr">
        <is>
          <t>Manufactura / Kids / P. Inferiores</t>
        </is>
      </c>
      <c r="D1381" t="n">
        <v>9</v>
      </c>
      <c r="E1381" t="n">
        <v>490.46917271</v>
      </c>
      <c r="F1381" t="n">
        <v>0.7313882468444445</v>
      </c>
      <c r="G1381" t="n">
        <v>22</v>
      </c>
      <c r="H1381" t="n">
        <v>13.98</v>
      </c>
      <c r="I1381" t="n">
        <v>0.9</v>
      </c>
      <c r="J1381" t="n">
        <v>2</v>
      </c>
      <c r="K1381" t="inlineStr"/>
    </row>
    <row r="1382">
      <c r="A1382" t="inlineStr">
        <is>
          <t>ANMSUDA43TL</t>
        </is>
      </c>
      <c r="B1382" t="inlineStr">
        <is>
          <t>ANDRE MOTION DAMA</t>
        </is>
      </c>
      <c r="C1382" t="inlineStr">
        <is>
          <t>Manufactura / Dama / P. Superiores</t>
        </is>
      </c>
      <c r="D1382" t="n">
        <v>12</v>
      </c>
      <c r="E1382" t="n">
        <v>487.06409312</v>
      </c>
      <c r="F1382" t="n">
        <v>0.7335822180909091</v>
      </c>
      <c r="G1382" t="n">
        <v>0</v>
      </c>
      <c r="H1382" t="n">
        <v>10.6</v>
      </c>
      <c r="I1382" t="n">
        <v>1.2</v>
      </c>
      <c r="J1382" t="n">
        <v>0</v>
      </c>
      <c r="K1382" t="inlineStr">
        <is>
          <t>Sin stock</t>
        </is>
      </c>
    </row>
    <row r="1383">
      <c r="A1383" t="inlineStr">
        <is>
          <t>SHONRKI66T10</t>
        </is>
      </c>
      <c r="B1383" t="inlineStr">
        <is>
          <t>SHORT SPORT KIDS</t>
        </is>
      </c>
      <c r="C1383" t="inlineStr">
        <is>
          <t>Manufactura / Kids / P. Inferiores</t>
        </is>
      </c>
      <c r="D1383" t="n">
        <v>12</v>
      </c>
      <c r="E1383" t="n">
        <v>485.90746553</v>
      </c>
      <c r="F1383" t="n">
        <v>0.83453976505</v>
      </c>
      <c r="G1383" t="n">
        <v>12</v>
      </c>
      <c r="H1383" t="n">
        <v>6.465724382</v>
      </c>
      <c r="I1383" t="n">
        <v>1.2</v>
      </c>
      <c r="J1383" t="n">
        <v>0</v>
      </c>
      <c r="K1383" t="inlineStr"/>
    </row>
    <row r="1384">
      <c r="A1384" t="inlineStr">
        <is>
          <t>LPR70EQ</t>
        </is>
      </c>
      <c r="B1384" t="inlineStr">
        <is>
          <t>LANYARD PRO</t>
        </is>
      </c>
      <c r="C1384" t="inlineStr">
        <is>
          <t>Equipamiento / Accesorios</t>
        </is>
      </c>
      <c r="D1384" t="n">
        <v>84</v>
      </c>
      <c r="E1384" t="n">
        <v>485.8813698511213</v>
      </c>
      <c r="F1384" t="n">
        <v>0.7964365818061728</v>
      </c>
      <c r="G1384" t="n">
        <v>332</v>
      </c>
      <c r="H1384" t="n">
        <v>1.15</v>
      </c>
      <c r="I1384" t="n">
        <v>8.4</v>
      </c>
      <c r="J1384" t="n">
        <v>0</v>
      </c>
      <c r="K1384" t="inlineStr"/>
    </row>
    <row r="1385">
      <c r="A1385" t="inlineStr">
        <is>
          <t>MAYFNDA10TS</t>
        </is>
      </c>
      <c r="B1385" t="inlineStr">
        <is>
          <t>MAYA SPORT LITE DAMA</t>
        </is>
      </c>
      <c r="C1385" t="inlineStr">
        <is>
          <t>Manufactura / Dama / P. Superiores</t>
        </is>
      </c>
      <c r="D1385" t="n">
        <v>15</v>
      </c>
      <c r="E1385" t="n">
        <v>484.33585182</v>
      </c>
      <c r="F1385" t="n">
        <v>0.8833509614428571</v>
      </c>
      <c r="G1385" t="n">
        <v>5</v>
      </c>
      <c r="H1385" t="n">
        <v>3.87</v>
      </c>
      <c r="I1385" t="n">
        <v>1.5</v>
      </c>
      <c r="J1385" t="n">
        <v>2</v>
      </c>
      <c r="K1385" t="inlineStr"/>
    </row>
    <row r="1386">
      <c r="A1386" t="inlineStr">
        <is>
          <t>CLMSUCA43TS</t>
        </is>
      </c>
      <c r="B1386" t="inlineStr">
        <is>
          <t>CLASICA MOTION CAB</t>
        </is>
      </c>
      <c r="C1386" t="inlineStr">
        <is>
          <t>Manufactura / Caballero / P. Superiores</t>
        </is>
      </c>
      <c r="D1386" t="n">
        <v>15</v>
      </c>
      <c r="E1386" t="n">
        <v>484.00337731</v>
      </c>
      <c r="F1386" t="n">
        <v>0.7128862139076924</v>
      </c>
      <c r="G1386" t="n">
        <v>4</v>
      </c>
      <c r="H1386" t="n">
        <v>12.26</v>
      </c>
      <c r="I1386" t="n">
        <v>1.5</v>
      </c>
      <c r="J1386" t="n">
        <v>2</v>
      </c>
      <c r="K1386" t="inlineStr"/>
    </row>
    <row r="1387">
      <c r="A1387" t="inlineStr">
        <is>
          <t>SUC34EQ</t>
        </is>
      </c>
      <c r="B1387" t="inlineStr">
        <is>
          <t>SUNNY CORD 2.0</t>
        </is>
      </c>
      <c r="C1387" t="inlineStr">
        <is>
          <t>Equipamiento / Accesorios</t>
        </is>
      </c>
      <c r="D1387" t="n">
        <v>117</v>
      </c>
      <c r="E1387" t="n">
        <v>483.615525641</v>
      </c>
      <c r="F1387" t="n">
        <v>0.8900185325310811</v>
      </c>
      <c r="G1387" t="n">
        <v>286</v>
      </c>
      <c r="H1387" t="n">
        <v>0.66</v>
      </c>
      <c r="I1387" t="n">
        <v>11.7</v>
      </c>
      <c r="J1387" t="n">
        <v>0</v>
      </c>
      <c r="K1387" t="inlineStr"/>
    </row>
    <row r="1388">
      <c r="A1388" t="inlineStr">
        <is>
          <t>SHUNTCA157TXL</t>
        </is>
      </c>
      <c r="B1388" t="inlineStr">
        <is>
          <t>SHORT SPORT R1 CAB</t>
        </is>
      </c>
      <c r="C1388" t="inlineStr">
        <is>
          <t>Manufactura / Caballero / P. Inferiores</t>
        </is>
      </c>
      <c r="D1388" t="n">
        <v>12</v>
      </c>
      <c r="E1388" t="n">
        <v>483.22745987</v>
      </c>
      <c r="F1388" t="n">
        <v>0.8034970436125</v>
      </c>
      <c r="G1388" t="n">
        <v>1</v>
      </c>
      <c r="H1388" t="n">
        <v>9.119999999999999</v>
      </c>
      <c r="I1388" t="n">
        <v>1.2</v>
      </c>
      <c r="J1388" t="n">
        <v>0</v>
      </c>
      <c r="K1388" t="inlineStr"/>
    </row>
    <row r="1389">
      <c r="A1389" t="inlineStr">
        <is>
          <t>SHOUNKI01T2</t>
        </is>
      </c>
      <c r="B1389" t="inlineStr">
        <is>
          <t>SHORT PLAYA KIDS</t>
        </is>
      </c>
      <c r="C1389" t="inlineStr">
        <is>
          <t>Manufactura / Kids / P. Inferiores</t>
        </is>
      </c>
      <c r="D1389" t="n">
        <v>12</v>
      </c>
      <c r="E1389" t="n">
        <v>483.20363683</v>
      </c>
      <c r="F1389" t="n">
        <v>0.8510861007866667</v>
      </c>
      <c r="G1389" t="n">
        <v>2</v>
      </c>
      <c r="H1389" t="n">
        <v>6.09</v>
      </c>
      <c r="I1389" t="n">
        <v>1.2</v>
      </c>
      <c r="J1389" t="n">
        <v>2</v>
      </c>
      <c r="K1389" t="inlineStr"/>
    </row>
    <row r="1390">
      <c r="A1390" t="inlineStr">
        <is>
          <t>MARMIDA50TXL</t>
        </is>
      </c>
      <c r="B1390" t="inlineStr">
        <is>
          <t>MAR ORIGINAL DAMA</t>
        </is>
      </c>
      <c r="C1390" t="inlineStr">
        <is>
          <t>Manufactura / Dama / P. Superiores</t>
        </is>
      </c>
      <c r="D1390" t="n">
        <v>13</v>
      </c>
      <c r="E1390" t="n">
        <v>482.83169069</v>
      </c>
      <c r="F1390" t="n">
        <v>0.8894642373</v>
      </c>
      <c r="G1390" t="n">
        <v>48</v>
      </c>
      <c r="H1390" t="n">
        <v>4.278324149</v>
      </c>
      <c r="I1390" t="n">
        <v>1.3</v>
      </c>
      <c r="J1390" t="n">
        <v>1</v>
      </c>
      <c r="K1390" t="inlineStr"/>
    </row>
    <row r="1391">
      <c r="A1391" t="inlineStr">
        <is>
          <t>ZOEMIDA34TS</t>
        </is>
      </c>
      <c r="B1391" t="inlineStr">
        <is>
          <t>ZOE ORIGINAL DAMA</t>
        </is>
      </c>
      <c r="C1391" t="inlineStr">
        <is>
          <t>Manufactura / Dama / P. Superiores</t>
        </is>
      </c>
      <c r="D1391" t="n">
        <v>14</v>
      </c>
      <c r="E1391" t="n">
        <v>482.7620432</v>
      </c>
      <c r="F1391" t="n">
        <v>0.8907465440266668</v>
      </c>
      <c r="G1391" t="n">
        <v>22</v>
      </c>
      <c r="H1391" t="n">
        <v>4.116585696</v>
      </c>
      <c r="I1391" t="n">
        <v>1.4</v>
      </c>
      <c r="J1391" t="n">
        <v>1</v>
      </c>
      <c r="K1391" t="inlineStr"/>
    </row>
    <row r="1392">
      <c r="A1392" t="inlineStr">
        <is>
          <t>CLAMIKI12T14</t>
        </is>
      </c>
      <c r="B1392" t="inlineStr">
        <is>
          <t>CLASICA ORIGINAL KIDS</t>
        </is>
      </c>
      <c r="C1392" t="inlineStr">
        <is>
          <t>Manufactura / Kids / P. Superiores</t>
        </is>
      </c>
      <c r="D1392" t="n">
        <v>17</v>
      </c>
      <c r="E1392" t="n">
        <v>478.99537579</v>
      </c>
      <c r="F1392" t="n">
        <v>0.9289213580944445</v>
      </c>
      <c r="G1392" t="n">
        <v>1</v>
      </c>
      <c r="H1392" t="n">
        <v>2.053774806</v>
      </c>
      <c r="I1392" t="n">
        <v>1.7</v>
      </c>
      <c r="J1392" t="n">
        <v>2</v>
      </c>
      <c r="K1392" t="inlineStr"/>
    </row>
    <row r="1393">
      <c r="A1393" t="inlineStr">
        <is>
          <t>SHONTDA30TL</t>
        </is>
      </c>
      <c r="B1393" t="inlineStr">
        <is>
          <t>EXPLORE SHORT DAMA</t>
        </is>
      </c>
      <c r="C1393" t="inlineStr">
        <is>
          <t>Manufactura / Dama / P. Inferiores</t>
        </is>
      </c>
      <c r="D1393" t="n">
        <v>10</v>
      </c>
      <c r="E1393" t="n">
        <v>478.32805136</v>
      </c>
      <c r="F1393" t="n">
        <v>0.7996948896111111</v>
      </c>
      <c r="G1393" t="n">
        <v>16</v>
      </c>
      <c r="H1393" t="n">
        <v>10.22113744</v>
      </c>
      <c r="I1393" t="n">
        <v>1</v>
      </c>
      <c r="J1393" t="n">
        <v>0</v>
      </c>
      <c r="K1393" t="inlineStr"/>
    </row>
    <row r="1394">
      <c r="A1394" t="inlineStr">
        <is>
          <t>SHOSUKI153T4</t>
        </is>
      </c>
      <c r="B1394" t="inlineStr">
        <is>
          <t>SHORT PLAYA ESTAMPADO KIDS</t>
        </is>
      </c>
      <c r="C1394" t="inlineStr">
        <is>
          <t>Manufactura / Kids / P. Superiores</t>
        </is>
      </c>
      <c r="D1394" t="n">
        <v>11</v>
      </c>
      <c r="E1394" t="n">
        <v>478.30617746</v>
      </c>
      <c r="F1394" t="n">
        <v>0.8218531024846154</v>
      </c>
      <c r="G1394" t="n">
        <v>9</v>
      </c>
      <c r="H1394" t="n">
        <v>7.21</v>
      </c>
      <c r="I1394" t="n">
        <v>1.1</v>
      </c>
      <c r="J1394" t="n">
        <v>5</v>
      </c>
      <c r="K1394" t="inlineStr"/>
    </row>
    <row r="1395">
      <c r="A1395" t="inlineStr">
        <is>
          <t>CLAMEDA43TXS</t>
        </is>
      </c>
      <c r="B1395" t="inlineStr">
        <is>
          <t>CLÁSICA SPORT DAMA</t>
        </is>
      </c>
      <c r="C1395" t="inlineStr">
        <is>
          <t>Manufactura / Dama / P. Superiores</t>
        </is>
      </c>
      <c r="D1395" t="n">
        <v>16</v>
      </c>
      <c r="E1395" t="n">
        <v>478.13020772</v>
      </c>
      <c r="F1395" t="n">
        <v>0.8438921847599999</v>
      </c>
      <c r="G1395" t="n">
        <v>6</v>
      </c>
      <c r="H1395" t="n">
        <v>6.536105769</v>
      </c>
      <c r="I1395" t="n">
        <v>1.6</v>
      </c>
      <c r="J1395" t="n">
        <v>1</v>
      </c>
      <c r="K1395" t="inlineStr"/>
    </row>
    <row r="1396">
      <c r="A1396" t="inlineStr">
        <is>
          <t>JAPKI01T6</t>
        </is>
      </c>
      <c r="B1396" t="inlineStr">
        <is>
          <t>CUADRO JACKET 2.0 KIDS</t>
        </is>
      </c>
      <c r="C1396" t="inlineStr">
        <is>
          <t>Equipamiento / Ropa</t>
        </is>
      </c>
      <c r="D1396" t="n">
        <v>7</v>
      </c>
      <c r="E1396" t="n">
        <v>477.99646328</v>
      </c>
      <c r="F1396" t="n">
        <v>0.7766728513571428</v>
      </c>
      <c r="G1396" t="n">
        <v>24</v>
      </c>
      <c r="H1396" t="n">
        <v>15.17</v>
      </c>
      <c r="I1396" t="n">
        <v>0.7</v>
      </c>
      <c r="J1396" t="n">
        <v>0</v>
      </c>
      <c r="K1396" t="inlineStr"/>
    </row>
    <row r="1397">
      <c r="A1397" t="inlineStr">
        <is>
          <t>GEODOCACA03TL</t>
        </is>
      </c>
      <c r="B1397" t="inlineStr">
        <is>
          <t>ADVANCE GEO DOMINIC CAB</t>
        </is>
      </c>
      <c r="C1397" t="inlineStr">
        <is>
          <t>Manufactura / Caballero / P. Superiores</t>
        </is>
      </c>
      <c r="D1397" t="n">
        <v>13</v>
      </c>
      <c r="E1397" t="n">
        <v>477.10044384</v>
      </c>
      <c r="F1397" t="n">
        <v>0.7977910105777778</v>
      </c>
      <c r="G1397" t="n">
        <v>27</v>
      </c>
      <c r="H1397" t="n">
        <v>13.35</v>
      </c>
      <c r="I1397" t="n">
        <v>1.3</v>
      </c>
      <c r="J1397" t="n">
        <v>0</v>
      </c>
      <c r="K1397" t="inlineStr"/>
    </row>
    <row r="1398">
      <c r="A1398" t="inlineStr">
        <is>
          <t>ANMSUDA151TXL</t>
        </is>
      </c>
      <c r="B1398" t="inlineStr">
        <is>
          <t>ANDRE MOTION DAMA</t>
        </is>
      </c>
      <c r="C1398" t="inlineStr">
        <is>
          <t>Manufactura / Dama / P. Superiores</t>
        </is>
      </c>
      <c r="D1398" t="n">
        <v>11</v>
      </c>
      <c r="E1398" t="n">
        <v>477.01883621</v>
      </c>
      <c r="F1398" t="n">
        <v>0.75248337076</v>
      </c>
      <c r="G1398" t="n">
        <v>3</v>
      </c>
      <c r="H1398" t="n">
        <v>10.6</v>
      </c>
      <c r="I1398" t="n">
        <v>1.1</v>
      </c>
      <c r="J1398" t="n">
        <v>2</v>
      </c>
      <c r="K1398" t="inlineStr"/>
    </row>
    <row r="1399">
      <c r="A1399" t="inlineStr">
        <is>
          <t>BAN48EQ</t>
        </is>
      </c>
      <c r="B1399" t="inlineStr">
        <is>
          <t>CUADRO BAND</t>
        </is>
      </c>
      <c r="C1399" t="inlineStr">
        <is>
          <t>Equipamiento / Accesorios</t>
        </is>
      </c>
      <c r="D1399" t="n">
        <v>218</v>
      </c>
      <c r="E1399" t="n">
        <v>475.3041602</v>
      </c>
      <c r="F1399" t="n">
        <v>0.8519254667953126</v>
      </c>
      <c r="G1399" t="n">
        <v>1078</v>
      </c>
      <c r="H1399" t="n">
        <v>0.3159183673</v>
      </c>
      <c r="I1399" t="n">
        <v>21.8</v>
      </c>
      <c r="J1399" t="n">
        <v>0</v>
      </c>
      <c r="K1399" t="inlineStr"/>
    </row>
    <row r="1400">
      <c r="A1400" t="inlineStr">
        <is>
          <t>CLAMEDA16TS</t>
        </is>
      </c>
      <c r="B1400" t="inlineStr">
        <is>
          <t>CLÁSICA SPORT DAMA</t>
        </is>
      </c>
      <c r="C1400" t="inlineStr">
        <is>
          <t>Manufactura / Dama / P. Superiores</t>
        </is>
      </c>
      <c r="D1400" t="n">
        <v>13</v>
      </c>
      <c r="E1400" t="n">
        <v>473.57055156</v>
      </c>
      <c r="F1400" t="n">
        <v>0.8336559051583333</v>
      </c>
      <c r="G1400" t="n">
        <v>2</v>
      </c>
      <c r="H1400" t="n">
        <v>6.536105769000001</v>
      </c>
      <c r="I1400" t="n">
        <v>1.3</v>
      </c>
      <c r="J1400" t="n">
        <v>4</v>
      </c>
      <c r="K1400" t="inlineStr"/>
    </row>
    <row r="1401">
      <c r="A1401" t="inlineStr">
        <is>
          <t>ANDMIDA12TM</t>
        </is>
      </c>
      <c r="B1401" t="inlineStr">
        <is>
          <t>ANDRE ORIGINAL DAMA</t>
        </is>
      </c>
      <c r="C1401" t="inlineStr">
        <is>
          <t>Manufactura / Dama / P. Superiores</t>
        </is>
      </c>
      <c r="D1401" t="n">
        <v>15</v>
      </c>
      <c r="E1401" t="n">
        <v>472.07928655</v>
      </c>
      <c r="F1401" t="n">
        <v>0.8983234468857143</v>
      </c>
      <c r="G1401" t="n">
        <v>85</v>
      </c>
      <c r="H1401" t="n">
        <v>3.274295302</v>
      </c>
      <c r="I1401" t="n">
        <v>1.5</v>
      </c>
      <c r="J1401" t="n">
        <v>0</v>
      </c>
      <c r="K1401" t="inlineStr"/>
    </row>
    <row r="1402">
      <c r="A1402" t="inlineStr">
        <is>
          <t>SHONRCA16T2XL</t>
        </is>
      </c>
      <c r="B1402" t="inlineStr">
        <is>
          <t>SHORT SPORT CAB</t>
        </is>
      </c>
      <c r="C1402" t="inlineStr">
        <is>
          <t>Manufactura / Caballero / P. Inferiores</t>
        </is>
      </c>
      <c r="D1402" t="n">
        <v>11</v>
      </c>
      <c r="E1402" t="n">
        <v>472.03286575</v>
      </c>
      <c r="F1402" t="n">
        <v>0.77033939355</v>
      </c>
      <c r="G1402" t="n">
        <v>16</v>
      </c>
      <c r="H1402" t="n">
        <v>10.6514486</v>
      </c>
      <c r="I1402" t="n">
        <v>1.1</v>
      </c>
      <c r="J1402" t="n">
        <v>0</v>
      </c>
      <c r="K1402" t="inlineStr"/>
    </row>
    <row r="1403">
      <c r="A1403" t="inlineStr">
        <is>
          <t>CLMSUCA151TS</t>
        </is>
      </c>
      <c r="B1403" t="inlineStr">
        <is>
          <t>CLASICA MOTION CAB</t>
        </is>
      </c>
      <c r="C1403" t="inlineStr">
        <is>
          <t>Manufactura / Caballero / P. Superiores</t>
        </is>
      </c>
      <c r="D1403" t="n">
        <v>14</v>
      </c>
      <c r="E1403" t="n">
        <v>472.01775315</v>
      </c>
      <c r="F1403" t="n">
        <v>0.66218494745</v>
      </c>
      <c r="G1403" t="n">
        <v>0</v>
      </c>
      <c r="H1403" t="n">
        <v>12.26</v>
      </c>
      <c r="I1403" t="n">
        <v>1.4</v>
      </c>
      <c r="J1403" t="n">
        <v>3</v>
      </c>
      <c r="K1403" t="inlineStr">
        <is>
          <t>Sin stock</t>
        </is>
      </c>
    </row>
    <row r="1404">
      <c r="A1404" t="inlineStr">
        <is>
          <t>SARSPKI12T6</t>
        </is>
      </c>
      <c r="B1404" t="inlineStr">
        <is>
          <t>FALDA SARA KIDS</t>
        </is>
      </c>
      <c r="C1404" t="inlineStr">
        <is>
          <t>Manufactura / Kids / P. Inferiores</t>
        </is>
      </c>
      <c r="D1404" t="n">
        <v>14</v>
      </c>
      <c r="E1404" t="n">
        <v>470.26916976</v>
      </c>
      <c r="F1404" t="n">
        <v>0.8500302460214285</v>
      </c>
      <c r="G1404" t="n">
        <v>24</v>
      </c>
      <c r="H1404" t="n">
        <v>5.753743316</v>
      </c>
      <c r="I1404" t="n">
        <v>1.4</v>
      </c>
      <c r="J1404" t="n">
        <v>0</v>
      </c>
      <c r="K1404" t="inlineStr"/>
    </row>
    <row r="1405">
      <c r="A1405" t="inlineStr">
        <is>
          <t>ADUMMCA11TL</t>
        </is>
      </c>
      <c r="B1405" t="inlineStr">
        <is>
          <t>ACTIVE DUO CAB</t>
        </is>
      </c>
      <c r="C1405" t="inlineStr">
        <is>
          <t>Manufactura / Caballero / P. Superiores</t>
        </is>
      </c>
      <c r="D1405" t="n">
        <v>11</v>
      </c>
      <c r="E1405" t="n">
        <v>469.67473661</v>
      </c>
      <c r="F1405" t="n">
        <v>0.8989208778888889</v>
      </c>
      <c r="G1405" t="n">
        <v>1</v>
      </c>
      <c r="H1405" t="n">
        <v>5.09</v>
      </c>
      <c r="I1405" t="n">
        <v>1.1</v>
      </c>
      <c r="J1405" t="n">
        <v>0</v>
      </c>
      <c r="K1405" t="inlineStr"/>
    </row>
    <row r="1406">
      <c r="A1406" t="inlineStr">
        <is>
          <t>CLADFCA70TM</t>
        </is>
      </c>
      <c r="B1406" t="inlineStr">
        <is>
          <t>CLASICA ADVANCE CAB</t>
        </is>
      </c>
      <c r="C1406" t="inlineStr">
        <is>
          <t>Manufactura / Caballero / P. Superiores</t>
        </is>
      </c>
      <c r="D1406" t="n">
        <v>11</v>
      </c>
      <c r="E1406" t="n">
        <v>468.45897385</v>
      </c>
      <c r="F1406" t="n">
        <v>0.6868673523444444</v>
      </c>
      <c r="G1406" t="n">
        <v>0</v>
      </c>
      <c r="H1406" t="n">
        <v>15.51</v>
      </c>
      <c r="I1406" t="n">
        <v>1.1</v>
      </c>
      <c r="J1406" t="n">
        <v>2</v>
      </c>
      <c r="K1406" t="inlineStr">
        <is>
          <t>Sin stock</t>
        </is>
      </c>
    </row>
    <row r="1407">
      <c r="A1407" t="inlineStr">
        <is>
          <t>RIOMIDA70TL</t>
        </is>
      </c>
      <c r="B1407" t="inlineStr">
        <is>
          <t>RIO ORIGINAL DAMA</t>
        </is>
      </c>
      <c r="C1407" t="inlineStr">
        <is>
          <t>Manufactura / Dama / P. Superiores</t>
        </is>
      </c>
      <c r="D1407" t="n">
        <v>8</v>
      </c>
      <c r="E1407" t="n">
        <v>467.26515103</v>
      </c>
      <c r="F1407" t="n">
        <v>0.8979393151</v>
      </c>
      <c r="G1407" t="n">
        <v>37</v>
      </c>
      <c r="H1407" t="n">
        <v>5.538832275</v>
      </c>
      <c r="I1407" t="n">
        <v>0.8</v>
      </c>
      <c r="J1407" t="n">
        <v>0</v>
      </c>
      <c r="K1407" t="inlineStr"/>
    </row>
    <row r="1408">
      <c r="A1408" t="inlineStr">
        <is>
          <t>TALGTACA166TM</t>
        </is>
      </c>
      <c r="B1408" t="inlineStr">
        <is>
          <t>URBAN COTTON OVERSIZED VINTAGE VERDE CAB</t>
        </is>
      </c>
      <c r="C1408" t="inlineStr">
        <is>
          <t>Manufactura / Caballero / P. Superiores</t>
        </is>
      </c>
      <c r="D1408" t="n">
        <v>11</v>
      </c>
      <c r="E1408" t="n">
        <v>465.98681715</v>
      </c>
      <c r="F1408" t="n">
        <v>0.7607494502333334</v>
      </c>
      <c r="G1408" t="n">
        <v>0</v>
      </c>
      <c r="H1408" t="n">
        <v>12.16396667</v>
      </c>
      <c r="I1408" t="n">
        <v>1.1</v>
      </c>
      <c r="J1408" t="n">
        <v>2</v>
      </c>
      <c r="K1408" t="inlineStr">
        <is>
          <t>Sin stock</t>
        </is>
      </c>
    </row>
    <row r="1409">
      <c r="A1409" t="inlineStr">
        <is>
          <t>ADUMMCA11TXL</t>
        </is>
      </c>
      <c r="B1409" t="inlineStr">
        <is>
          <t>ACTIVE DUO CAB</t>
        </is>
      </c>
      <c r="C1409" t="inlineStr">
        <is>
          <t>Manufactura / Caballero / P. Superiores</t>
        </is>
      </c>
      <c r="D1409" t="n">
        <v>11</v>
      </c>
      <c r="E1409" t="n">
        <v>465.47350879</v>
      </c>
      <c r="F1409" t="n">
        <v>0.9095545480125</v>
      </c>
      <c r="G1409" t="n">
        <v>20</v>
      </c>
      <c r="H1409" t="n">
        <v>5.09</v>
      </c>
      <c r="I1409" t="n">
        <v>1.1</v>
      </c>
      <c r="J1409" t="n">
        <v>1</v>
      </c>
      <c r="K1409" t="inlineStr"/>
    </row>
    <row r="1410">
      <c r="A1410" t="inlineStr">
        <is>
          <t>CLAMEDA43TS</t>
        </is>
      </c>
      <c r="B1410" t="inlineStr">
        <is>
          <t>CLÁSICA SPORT DAMA</t>
        </is>
      </c>
      <c r="C1410" t="inlineStr">
        <is>
          <t>Manufactura / Dama / P. Superiores</t>
        </is>
      </c>
      <c r="D1410" t="n">
        <v>10</v>
      </c>
      <c r="E1410" t="n">
        <v>465.39800878</v>
      </c>
      <c r="F1410" t="n">
        <v>0.8569512823777778</v>
      </c>
      <c r="G1410" t="n">
        <v>3</v>
      </c>
      <c r="H1410" t="n">
        <v>6.536105769</v>
      </c>
      <c r="I1410" t="n">
        <v>1</v>
      </c>
      <c r="J1410" t="n">
        <v>1</v>
      </c>
      <c r="K1410" t="inlineStr"/>
    </row>
    <row r="1411">
      <c r="A1411" t="inlineStr">
        <is>
          <t>MAYFNDA16TM</t>
        </is>
      </c>
      <c r="B1411" t="inlineStr">
        <is>
          <t>MAYA SPORT LITE DAMA</t>
        </is>
      </c>
      <c r="C1411" t="inlineStr">
        <is>
          <t>Manufactura / Dama / P. Superiores</t>
        </is>
      </c>
      <c r="D1411" t="n">
        <v>13</v>
      </c>
      <c r="E1411" t="n">
        <v>465.20914262</v>
      </c>
      <c r="F1411" t="n">
        <v>0.9024715117</v>
      </c>
      <c r="G1411" t="n">
        <v>33</v>
      </c>
      <c r="H1411" t="n">
        <v>3.870000000000001</v>
      </c>
      <c r="I1411" t="n">
        <v>1.3</v>
      </c>
      <c r="J1411" t="n">
        <v>0</v>
      </c>
      <c r="K1411" t="inlineStr"/>
    </row>
    <row r="1412">
      <c r="A1412" t="inlineStr">
        <is>
          <t>CLADFCA30TXL</t>
        </is>
      </c>
      <c r="B1412" t="inlineStr">
        <is>
          <t>CLASICA ADVANCE CAB</t>
        </is>
      </c>
      <c r="C1412" t="inlineStr">
        <is>
          <t>Manufactura / Caballero / P. Superiores</t>
        </is>
      </c>
      <c r="D1412" t="n">
        <v>10</v>
      </c>
      <c r="E1412" t="n">
        <v>464.98551951</v>
      </c>
      <c r="F1412" t="n">
        <v>0.66263107039</v>
      </c>
      <c r="G1412" t="n">
        <v>0</v>
      </c>
      <c r="H1412" t="n">
        <v>15.51</v>
      </c>
      <c r="I1412" t="n">
        <v>1</v>
      </c>
      <c r="J1412" t="n">
        <v>7</v>
      </c>
      <c r="K1412" t="inlineStr">
        <is>
          <t>Sin stock</t>
        </is>
      </c>
    </row>
    <row r="1413">
      <c r="A1413" t="inlineStr">
        <is>
          <t>CCBHMCA03TS</t>
        </is>
      </c>
      <c r="B1413" t="inlineStr">
        <is>
          <t>CLUB CLASICA CABALLERO</t>
        </is>
      </c>
      <c r="C1413" t="inlineStr">
        <is>
          <t>Manufactura / Caballero / P. Superiores</t>
        </is>
      </c>
      <c r="D1413" t="n">
        <v>13</v>
      </c>
      <c r="E1413" t="n">
        <v>463</v>
      </c>
      <c r="F1413" t="n">
        <v>0.9756647673538462</v>
      </c>
      <c r="G1413" t="n">
        <v>6</v>
      </c>
      <c r="H1413" t="n">
        <v>1</v>
      </c>
      <c r="I1413" t="n">
        <v>1.3</v>
      </c>
      <c r="J1413" t="n">
        <v>0</v>
      </c>
      <c r="K1413" t="inlineStr"/>
    </row>
    <row r="1414">
      <c r="A1414" t="inlineStr">
        <is>
          <t>MAFMIDA01TS</t>
        </is>
      </c>
      <c r="B1414" t="inlineStr">
        <is>
          <t>MAFE ORIGINAL DAMA</t>
        </is>
      </c>
      <c r="C1414" t="inlineStr">
        <is>
          <t>Manufactura / Dama / P. Superiores</t>
        </is>
      </c>
      <c r="D1414" t="n">
        <v>16</v>
      </c>
      <c r="E1414" t="n">
        <v>460.04193775</v>
      </c>
      <c r="F1414" t="n">
        <v>0.8429414538133333</v>
      </c>
      <c r="G1414" t="n">
        <v>21</v>
      </c>
      <c r="H1414" t="n">
        <v>4.54817671</v>
      </c>
      <c r="I1414" t="n">
        <v>1.6</v>
      </c>
      <c r="J1414" t="n">
        <v>0</v>
      </c>
      <c r="K1414" t="inlineStr"/>
    </row>
    <row r="1415">
      <c r="A1415" t="inlineStr">
        <is>
          <t>SHUNTCA157TS</t>
        </is>
      </c>
      <c r="B1415" t="inlineStr">
        <is>
          <t>SHORT SPORT R1 CAB</t>
        </is>
      </c>
      <c r="C1415" t="inlineStr">
        <is>
          <t>Manufactura / Caballero / P. Inferiores</t>
        </is>
      </c>
      <c r="D1415" t="n">
        <v>9</v>
      </c>
      <c r="E1415" t="n">
        <v>459.57941634</v>
      </c>
      <c r="F1415" t="n">
        <v>0.81558031754</v>
      </c>
      <c r="G1415" t="n">
        <v>8</v>
      </c>
      <c r="H1415" t="n">
        <v>9.119999999999999</v>
      </c>
      <c r="I1415" t="n">
        <v>0.9</v>
      </c>
      <c r="J1415" t="n">
        <v>0</v>
      </c>
      <c r="K1415" t="inlineStr"/>
    </row>
    <row r="1416">
      <c r="A1416" t="inlineStr">
        <is>
          <t>HELBFDA30TM</t>
        </is>
      </c>
      <c r="B1416" t="inlineStr">
        <is>
          <t>HELEN BIO MOVE DAMA</t>
        </is>
      </c>
      <c r="C1416" t="inlineStr">
        <is>
          <t>Manufactura / Dama / P. Superiores</t>
        </is>
      </c>
      <c r="D1416" t="n">
        <v>8</v>
      </c>
      <c r="E1416" t="n">
        <v>459.42303588</v>
      </c>
      <c r="F1416" t="n">
        <v>0.8911008721444443</v>
      </c>
      <c r="G1416" t="n">
        <v>24</v>
      </c>
      <c r="H1416" t="n">
        <v>7.340817459999999</v>
      </c>
      <c r="I1416" t="n">
        <v>0.8</v>
      </c>
      <c r="J1416" t="n">
        <v>2</v>
      </c>
      <c r="K1416" t="inlineStr"/>
    </row>
    <row r="1417">
      <c r="A1417" t="inlineStr">
        <is>
          <t>SUC42EQ</t>
        </is>
      </c>
      <c r="B1417" t="inlineStr">
        <is>
          <t>SUNNY CORD 2.0</t>
        </is>
      </c>
      <c r="C1417" t="inlineStr">
        <is>
          <t>Equipamiento / Accesorios</t>
        </is>
      </c>
      <c r="D1417" t="n">
        <v>133</v>
      </c>
      <c r="E1417" t="n">
        <v>458.966053323</v>
      </c>
      <c r="F1417" t="n">
        <v>0.8937878836712329</v>
      </c>
      <c r="G1417" t="n">
        <v>397</v>
      </c>
      <c r="H1417" t="n">
        <v>0.66</v>
      </c>
      <c r="I1417" t="n">
        <v>13.3</v>
      </c>
      <c r="J1417" t="n">
        <v>0</v>
      </c>
      <c r="K1417" t="inlineStr"/>
    </row>
    <row r="1418">
      <c r="A1418" t="inlineStr">
        <is>
          <t>CUTAG84</t>
        </is>
      </c>
      <c r="B1418" t="inlineStr">
        <is>
          <t>CUADRO TAG</t>
        </is>
      </c>
      <c r="C1418" t="inlineStr">
        <is>
          <t>Equipamiento / Accesorios</t>
        </is>
      </c>
      <c r="D1418" t="n">
        <v>94</v>
      </c>
      <c r="E1418" t="n">
        <v>457.755988522</v>
      </c>
      <c r="F1418" t="n">
        <v>0.9127846030255319</v>
      </c>
      <c r="G1418" t="n">
        <v>218</v>
      </c>
      <c r="H1418" t="n">
        <v>0.8100000000000002</v>
      </c>
      <c r="I1418" t="n">
        <v>9.4</v>
      </c>
      <c r="J1418" t="n">
        <v>0</v>
      </c>
      <c r="K1418" t="inlineStr"/>
    </row>
    <row r="1419">
      <c r="A1419" t="inlineStr">
        <is>
          <t>NAHFNCA10TM</t>
        </is>
      </c>
      <c r="B1419" t="inlineStr">
        <is>
          <t>NOAH SPORT LITE CAB</t>
        </is>
      </c>
      <c r="C1419" t="inlineStr">
        <is>
          <t>Manufactura / Caballero / P. Superiores</t>
        </is>
      </c>
      <c r="D1419" t="n">
        <v>14</v>
      </c>
      <c r="E1419" t="n">
        <v>457.67112364</v>
      </c>
      <c r="F1419" t="n">
        <v>0.4646889572</v>
      </c>
      <c r="G1419" t="n">
        <v>0</v>
      </c>
      <c r="H1419" t="n">
        <v>17.61141534</v>
      </c>
      <c r="I1419" t="n">
        <v>1.4</v>
      </c>
      <c r="J1419" t="n">
        <v>2</v>
      </c>
      <c r="K1419" t="inlineStr">
        <is>
          <t>Sin stock</t>
        </is>
      </c>
    </row>
    <row r="1420">
      <c r="A1420" t="inlineStr">
        <is>
          <t>NAHFNCA13TXL</t>
        </is>
      </c>
      <c r="B1420" t="inlineStr">
        <is>
          <t>NOAH SPORT LITE CAB</t>
        </is>
      </c>
      <c r="C1420" t="inlineStr">
        <is>
          <t>Manufactura / Caballero / P. Superiores</t>
        </is>
      </c>
      <c r="D1420" t="n">
        <v>12</v>
      </c>
      <c r="E1420" t="n">
        <v>457.42226309</v>
      </c>
      <c r="F1420" t="n">
        <v>0.5299739470076923</v>
      </c>
      <c r="G1420" t="n">
        <v>8</v>
      </c>
      <c r="H1420" t="n">
        <v>17.61141534</v>
      </c>
      <c r="I1420" t="n">
        <v>1.2</v>
      </c>
      <c r="J1420" t="n">
        <v>1</v>
      </c>
      <c r="K1420" t="inlineStr"/>
    </row>
    <row r="1421">
      <c r="A1421" t="inlineStr">
        <is>
          <t>LPR38EQ</t>
        </is>
      </c>
      <c r="B1421" t="inlineStr">
        <is>
          <t>LANYARD PRO</t>
        </is>
      </c>
      <c r="C1421" t="inlineStr">
        <is>
          <t>Equipamiento / Accesorios</t>
        </is>
      </c>
      <c r="D1421" t="n">
        <v>102</v>
      </c>
      <c r="E1421" t="n">
        <v>457.084067149</v>
      </c>
      <c r="F1421" t="n">
        <v>0.7904279564272727</v>
      </c>
      <c r="G1421" t="n">
        <v>356</v>
      </c>
      <c r="H1421" t="n">
        <v>1.15</v>
      </c>
      <c r="I1421" t="n">
        <v>10.2</v>
      </c>
      <c r="J1421" t="n">
        <v>0</v>
      </c>
      <c r="K1421" t="inlineStr"/>
    </row>
    <row r="1422">
      <c r="A1422" t="inlineStr">
        <is>
          <t>CLADFCA151TM</t>
        </is>
      </c>
      <c r="B1422" t="inlineStr">
        <is>
          <t>CLASICA ADVANCE CAB</t>
        </is>
      </c>
      <c r="C1422" t="inlineStr">
        <is>
          <t>Manufactura / Caballero / P. Superiores</t>
        </is>
      </c>
      <c r="D1422" t="n">
        <v>9</v>
      </c>
      <c r="E1422" t="n">
        <v>453.63569457</v>
      </c>
      <c r="F1422" t="n">
        <v>0.6649393627333333</v>
      </c>
      <c r="G1422" t="n">
        <v>0</v>
      </c>
      <c r="H1422" t="n">
        <v>15.51</v>
      </c>
      <c r="I1422" t="n">
        <v>0.9</v>
      </c>
      <c r="J1422" t="n">
        <v>4</v>
      </c>
      <c r="K1422" t="inlineStr">
        <is>
          <t>Sin stock</t>
        </is>
      </c>
    </row>
    <row r="1423">
      <c r="A1423" t="inlineStr">
        <is>
          <t>ZOEMIDA34TXS</t>
        </is>
      </c>
      <c r="B1423" t="inlineStr">
        <is>
          <t>ZOE ORIGINAL DAMA</t>
        </is>
      </c>
      <c r="C1423" t="inlineStr">
        <is>
          <t>Manufactura / Dama / P. Superiores</t>
        </is>
      </c>
      <c r="D1423" t="n">
        <v>13</v>
      </c>
      <c r="E1423" t="n">
        <v>451.61643913</v>
      </c>
      <c r="F1423" t="n">
        <v>0.8862913411428571</v>
      </c>
      <c r="G1423" t="n">
        <v>7</v>
      </c>
      <c r="H1423" t="n">
        <v>4.116585696</v>
      </c>
      <c r="I1423" t="n">
        <v>1.3</v>
      </c>
      <c r="J1423" t="n">
        <v>0</v>
      </c>
      <c r="K1423" t="inlineStr"/>
    </row>
    <row r="1424">
      <c r="A1424" t="inlineStr">
        <is>
          <t>SHONRCA16TS</t>
        </is>
      </c>
      <c r="B1424" t="inlineStr">
        <is>
          <t>SHORT SPORT CAB</t>
        </is>
      </c>
      <c r="C1424" t="inlineStr">
        <is>
          <t>Manufactura / Caballero / P. Inferiores</t>
        </is>
      </c>
      <c r="D1424" t="n">
        <v>18</v>
      </c>
      <c r="E1424" t="n">
        <v>451.45725834</v>
      </c>
      <c r="F1424" t="n">
        <v>0.7567584671799999</v>
      </c>
      <c r="G1424" t="n">
        <v>5</v>
      </c>
      <c r="H1424" t="n">
        <v>10.6514486</v>
      </c>
      <c r="I1424" t="n">
        <v>1.8</v>
      </c>
      <c r="J1424" t="n">
        <v>0</v>
      </c>
      <c r="K1424" t="inlineStr"/>
    </row>
    <row r="1425">
      <c r="A1425" t="inlineStr">
        <is>
          <t>SHONTCA66TM</t>
        </is>
      </c>
      <c r="B1425" t="inlineStr">
        <is>
          <t>EXPLORE SHORT CAB</t>
        </is>
      </c>
      <c r="C1425" t="inlineStr">
        <is>
          <t>Manufactura / Caballero / P. Inferiores</t>
        </is>
      </c>
      <c r="D1425" t="n">
        <v>9</v>
      </c>
      <c r="E1425" t="n">
        <v>450.89238808</v>
      </c>
      <c r="F1425" t="n">
        <v>0.7720247584333334</v>
      </c>
      <c r="G1425" t="n">
        <v>0</v>
      </c>
      <c r="H1425" t="n">
        <v>11.17</v>
      </c>
      <c r="I1425" t="n">
        <v>0.9</v>
      </c>
      <c r="J1425" t="n">
        <v>1</v>
      </c>
      <c r="K1425" t="inlineStr">
        <is>
          <t>Sin stock</t>
        </is>
      </c>
    </row>
    <row r="1426">
      <c r="A1426" t="inlineStr">
        <is>
          <t>ZOEMIKI34T12</t>
        </is>
      </c>
      <c r="B1426" t="inlineStr">
        <is>
          <t>ZOE ORIGINAL KIDS</t>
        </is>
      </c>
      <c r="C1426" t="inlineStr">
        <is>
          <t>Manufactura / Kids / P. Superiores</t>
        </is>
      </c>
      <c r="D1426" t="n">
        <v>13</v>
      </c>
      <c r="E1426" t="n">
        <v>449.9329558</v>
      </c>
      <c r="F1426" t="n">
        <v>0.879139623</v>
      </c>
      <c r="G1426" t="n">
        <v>28</v>
      </c>
      <c r="H1426" t="n">
        <v>4.12</v>
      </c>
      <c r="I1426" t="n">
        <v>1.3</v>
      </c>
      <c r="J1426" t="n">
        <v>1</v>
      </c>
      <c r="K1426" t="inlineStr"/>
    </row>
    <row r="1427">
      <c r="A1427" t="inlineStr">
        <is>
          <t>LMOFIDA66TL</t>
        </is>
      </c>
      <c r="B1427" t="inlineStr">
        <is>
          <t>LEGGING MOVA</t>
        </is>
      </c>
      <c r="C1427" t="inlineStr">
        <is>
          <t>Manufactura / Dama / P. Inferiores</t>
        </is>
      </c>
      <c r="D1427" t="n">
        <v>6</v>
      </c>
      <c r="E1427" t="n">
        <v>449.5747443</v>
      </c>
      <c r="F1427" t="n">
        <v>0.7970580191285714</v>
      </c>
      <c r="G1427" t="n">
        <v>5</v>
      </c>
      <c r="H1427" t="n">
        <v>17.7</v>
      </c>
      <c r="I1427" t="n">
        <v>0.6</v>
      </c>
      <c r="J1427" t="n">
        <v>0</v>
      </c>
      <c r="K1427" t="inlineStr"/>
    </row>
    <row r="1428">
      <c r="A1428" t="inlineStr">
        <is>
          <t>CLMSUCA152T2XL</t>
        </is>
      </c>
      <c r="B1428" t="inlineStr">
        <is>
          <t>CLASICA MOTION CAB</t>
        </is>
      </c>
      <c r="C1428" t="inlineStr">
        <is>
          <t>Manufactura / Caballero / P. Superiores</t>
        </is>
      </c>
      <c r="D1428" t="n">
        <v>9</v>
      </c>
      <c r="E1428" t="n">
        <v>449.53958379</v>
      </c>
      <c r="F1428" t="n">
        <v>0.7408222499333333</v>
      </c>
      <c r="G1428" t="n">
        <v>6</v>
      </c>
      <c r="H1428" t="n">
        <v>12.26</v>
      </c>
      <c r="I1428" t="n">
        <v>0.9</v>
      </c>
      <c r="J1428" t="n">
        <v>1</v>
      </c>
      <c r="K1428" t="inlineStr"/>
    </row>
    <row r="1429">
      <c r="A1429" t="inlineStr">
        <is>
          <t>HELBFDA43TM</t>
        </is>
      </c>
      <c r="B1429" t="inlineStr">
        <is>
          <t>HELEN BIO MOVE DAMA</t>
        </is>
      </c>
      <c r="C1429" t="inlineStr">
        <is>
          <t>Manufactura / Dama / P. Superiores</t>
        </is>
      </c>
      <c r="D1429" t="n">
        <v>9</v>
      </c>
      <c r="E1429" t="n">
        <v>448.79630023</v>
      </c>
      <c r="F1429" t="n">
        <v>0.866079631725</v>
      </c>
      <c r="G1429" t="n">
        <v>0</v>
      </c>
      <c r="H1429" t="n">
        <v>7.34081746</v>
      </c>
      <c r="I1429" t="n">
        <v>0.9</v>
      </c>
      <c r="J1429" t="n">
        <v>0</v>
      </c>
      <c r="K1429" t="inlineStr">
        <is>
          <t>Sin stock</t>
        </is>
      </c>
    </row>
    <row r="1430">
      <c r="A1430" t="inlineStr">
        <is>
          <t>TALGOTADA166TL</t>
        </is>
      </c>
      <c r="B1430" t="inlineStr">
        <is>
          <t>URBAN COTTON TOP SUNSET DAMA</t>
        </is>
      </c>
      <c r="C1430" t="inlineStr">
        <is>
          <t>Manufactura / Dama / P. Superiores</t>
        </is>
      </c>
      <c r="D1430" t="n">
        <v>9</v>
      </c>
      <c r="E1430" t="n">
        <v>447.29748737</v>
      </c>
      <c r="F1430" t="n">
        <v>0.8600730531222223</v>
      </c>
      <c r="G1430" t="n">
        <v>4</v>
      </c>
      <c r="H1430" t="n">
        <v>7.815168794</v>
      </c>
      <c r="I1430" t="n">
        <v>0.9</v>
      </c>
      <c r="J1430" t="n">
        <v>2</v>
      </c>
      <c r="K1430" t="inlineStr"/>
    </row>
    <row r="1431">
      <c r="A1431" t="inlineStr">
        <is>
          <t>SARSPKI43T4</t>
        </is>
      </c>
      <c r="B1431" t="inlineStr">
        <is>
          <t>FALDA SARA KIDS</t>
        </is>
      </c>
      <c r="C1431" t="inlineStr">
        <is>
          <t>Manufactura / Kids / P. Inferiores</t>
        </is>
      </c>
      <c r="D1431" t="n">
        <v>11</v>
      </c>
      <c r="E1431" t="n">
        <v>445.96376123</v>
      </c>
      <c r="F1431" t="n">
        <v>0.8517721434545454</v>
      </c>
      <c r="G1431" t="n">
        <v>34</v>
      </c>
      <c r="H1431" t="n">
        <v>5.753743316</v>
      </c>
      <c r="I1431" t="n">
        <v>1.1</v>
      </c>
      <c r="J1431" t="n">
        <v>1</v>
      </c>
      <c r="K1431" t="inlineStr"/>
    </row>
    <row r="1432">
      <c r="A1432" t="inlineStr">
        <is>
          <t>RIOMIKI01T14</t>
        </is>
      </c>
      <c r="B1432" t="inlineStr">
        <is>
          <t>RIO ORIGINAL KIDS</t>
        </is>
      </c>
      <c r="C1432" t="inlineStr">
        <is>
          <t>Manufactura / Kids / P. Superiores</t>
        </is>
      </c>
      <c r="D1432" t="n">
        <v>11</v>
      </c>
      <c r="E1432" t="n">
        <v>445.6139463</v>
      </c>
      <c r="F1432" t="n">
        <v>0.911223457876923</v>
      </c>
      <c r="G1432" t="n">
        <v>7</v>
      </c>
      <c r="H1432" t="n">
        <v>3.617969464</v>
      </c>
      <c r="I1432" t="n">
        <v>1.1</v>
      </c>
      <c r="J1432" t="n">
        <v>2</v>
      </c>
      <c r="K1432" t="inlineStr"/>
    </row>
    <row r="1433">
      <c r="A1433" t="inlineStr">
        <is>
          <t>DAYCSTDA66TL</t>
        </is>
      </c>
      <c r="B1433" t="inlineStr">
        <is>
          <t>CLASICA DAILY 3.0 DAMA</t>
        </is>
      </c>
      <c r="C1433" t="inlineStr">
        <is>
          <t>Manufactura / Dama / P. Superiores</t>
        </is>
      </c>
      <c r="D1433" t="n">
        <v>9</v>
      </c>
      <c r="E1433" t="n">
        <v>445.51171601</v>
      </c>
      <c r="F1433" t="n">
        <v>0.7914659193125</v>
      </c>
      <c r="G1433" t="n">
        <v>8</v>
      </c>
      <c r="H1433" t="n">
        <v>10.28586481</v>
      </c>
      <c r="I1433" t="n">
        <v>0.9</v>
      </c>
      <c r="J1433" t="n">
        <v>4</v>
      </c>
      <c r="K1433" t="inlineStr"/>
    </row>
    <row r="1434">
      <c r="A1434" t="inlineStr">
        <is>
          <t>SHUNTDA157TXL</t>
        </is>
      </c>
      <c r="B1434" t="inlineStr">
        <is>
          <t>SHORT SPORT R1 DAMA</t>
        </is>
      </c>
      <c r="C1434" t="inlineStr">
        <is>
          <t>Manufactura / Dama / P. Inferiores</t>
        </is>
      </c>
      <c r="D1434" t="n">
        <v>9</v>
      </c>
      <c r="E1434" t="n">
        <v>444.45219982</v>
      </c>
      <c r="F1434" t="n">
        <v>0.8230047606111111</v>
      </c>
      <c r="G1434" t="n">
        <v>23</v>
      </c>
      <c r="H1434" t="n">
        <v>8.33</v>
      </c>
      <c r="I1434" t="n">
        <v>0.9</v>
      </c>
      <c r="J1434" t="n">
        <v>1</v>
      </c>
      <c r="K1434" t="inlineStr"/>
    </row>
    <row r="1435">
      <c r="A1435" t="inlineStr">
        <is>
          <t>MAFMIDA01TM</t>
        </is>
      </c>
      <c r="B1435" t="inlineStr">
        <is>
          <t>MAFE ORIGINAL DAMA</t>
        </is>
      </c>
      <c r="C1435" t="inlineStr">
        <is>
          <t>Manufactura / Dama / P. Superiores</t>
        </is>
      </c>
      <c r="D1435" t="n">
        <v>16</v>
      </c>
      <c r="E1435" t="n">
        <v>444.12672561</v>
      </c>
      <c r="F1435" t="n">
        <v>0.8312827109600001</v>
      </c>
      <c r="G1435" t="n">
        <v>14</v>
      </c>
      <c r="H1435" t="n">
        <v>4.54817671</v>
      </c>
      <c r="I1435" t="n">
        <v>1.6</v>
      </c>
      <c r="J1435" t="n">
        <v>0</v>
      </c>
      <c r="K1435" t="inlineStr"/>
    </row>
    <row r="1436">
      <c r="A1436" t="inlineStr">
        <is>
          <t>SABMEDA43TM</t>
        </is>
      </c>
      <c r="B1436" t="inlineStr">
        <is>
          <t>SABRI SPORT DAMA</t>
        </is>
      </c>
      <c r="C1436" t="inlineStr">
        <is>
          <t>Manufactura / Dama / P. Superiores</t>
        </is>
      </c>
      <c r="D1436" t="n">
        <v>13</v>
      </c>
      <c r="E1436" t="n">
        <v>444.10545216</v>
      </c>
      <c r="F1436" t="n">
        <v>0.8462426295307692</v>
      </c>
      <c r="G1436" t="n">
        <v>38</v>
      </c>
      <c r="H1436" t="n">
        <v>4.51</v>
      </c>
      <c r="I1436" t="n">
        <v>1.3</v>
      </c>
      <c r="J1436" t="n">
        <v>0</v>
      </c>
      <c r="K1436" t="inlineStr"/>
    </row>
    <row r="1437">
      <c r="A1437" t="inlineStr">
        <is>
          <t>NAHFNCA10TL</t>
        </is>
      </c>
      <c r="B1437" t="inlineStr">
        <is>
          <t>NOAH SPORT LITE CAB</t>
        </is>
      </c>
      <c r="C1437" t="inlineStr">
        <is>
          <t>Manufactura / Caballero / P. Superiores</t>
        </is>
      </c>
      <c r="D1437" t="n">
        <v>15</v>
      </c>
      <c r="E1437" t="n">
        <v>443.86431785</v>
      </c>
      <c r="F1437" t="n">
        <v>0.4571368894846154</v>
      </c>
      <c r="G1437" t="n">
        <v>1</v>
      </c>
      <c r="H1437" t="n">
        <v>17.61141534</v>
      </c>
      <c r="I1437" t="n">
        <v>1.5</v>
      </c>
      <c r="J1437" t="n">
        <v>3</v>
      </c>
      <c r="K1437" t="inlineStr"/>
    </row>
    <row r="1438">
      <c r="A1438" t="inlineStr">
        <is>
          <t>JAPKI01T2</t>
        </is>
      </c>
      <c r="B1438" t="inlineStr">
        <is>
          <t>CUADRO JACKET 2.0 KIDS</t>
        </is>
      </c>
      <c r="C1438" t="inlineStr">
        <is>
          <t>Equipamiento / Ropa</t>
        </is>
      </c>
      <c r="D1438" t="n">
        <v>10</v>
      </c>
      <c r="E1438" t="n">
        <v>443.50539632</v>
      </c>
      <c r="F1438" t="n">
        <v>0.7496713516777778</v>
      </c>
      <c r="G1438" t="n">
        <v>32</v>
      </c>
      <c r="H1438" t="n">
        <v>15.17</v>
      </c>
      <c r="I1438" t="n">
        <v>1</v>
      </c>
      <c r="J1438" t="n">
        <v>0</v>
      </c>
      <c r="K1438" t="inlineStr"/>
    </row>
    <row r="1439">
      <c r="A1439" t="inlineStr">
        <is>
          <t>CLAMIDA70TXL</t>
        </is>
      </c>
      <c r="B1439" t="inlineStr">
        <is>
          <t>CLASICA ORIGINAL DAMA</t>
        </is>
      </c>
      <c r="C1439" t="inlineStr">
        <is>
          <t>Manufactura / Dama / P. Superiores</t>
        </is>
      </c>
      <c r="D1439" t="n">
        <v>13</v>
      </c>
      <c r="E1439" t="n">
        <v>443.44626369</v>
      </c>
      <c r="F1439" t="n">
        <v>0.9018266137363636</v>
      </c>
      <c r="G1439" t="n">
        <v>14</v>
      </c>
      <c r="H1439" t="n">
        <v>3.923227589</v>
      </c>
      <c r="I1439" t="n">
        <v>1.3</v>
      </c>
      <c r="J1439" t="n">
        <v>0</v>
      </c>
      <c r="K1439" t="inlineStr"/>
    </row>
    <row r="1440">
      <c r="A1440" t="inlineStr">
        <is>
          <t>SABMEDA43TS</t>
        </is>
      </c>
      <c r="B1440" t="inlineStr">
        <is>
          <t>SABRI SPORT DAMA</t>
        </is>
      </c>
      <c r="C1440" t="inlineStr">
        <is>
          <t>Manufactura / Dama / P. Superiores</t>
        </is>
      </c>
      <c r="D1440" t="n">
        <v>12</v>
      </c>
      <c r="E1440" t="n">
        <v>442.92055011</v>
      </c>
      <c r="F1440" t="n">
        <v>0.8720042319583333</v>
      </c>
      <c r="G1440" t="n">
        <v>25</v>
      </c>
      <c r="H1440" t="n">
        <v>4.51</v>
      </c>
      <c r="I1440" t="n">
        <v>1.2</v>
      </c>
      <c r="J1440" t="n">
        <v>0</v>
      </c>
      <c r="K1440" t="inlineStr"/>
    </row>
    <row r="1441">
      <c r="A1441" t="inlineStr">
        <is>
          <t>RIOMIKI04T14</t>
        </is>
      </c>
      <c r="B1441" t="inlineStr">
        <is>
          <t>RIO ORIGINAL KIDS</t>
        </is>
      </c>
      <c r="C1441" t="inlineStr">
        <is>
          <t>Manufactura / Kids / P. Superiores</t>
        </is>
      </c>
      <c r="D1441" t="n">
        <v>10</v>
      </c>
      <c r="E1441" t="n">
        <v>442.48049353</v>
      </c>
      <c r="F1441" t="n">
        <v>0.91553771363</v>
      </c>
      <c r="G1441" t="n">
        <v>13</v>
      </c>
      <c r="H1441" t="n">
        <v>3.617969464</v>
      </c>
      <c r="I1441" t="n">
        <v>1</v>
      </c>
      <c r="J1441" t="n">
        <v>1</v>
      </c>
      <c r="K1441" t="inlineStr"/>
    </row>
    <row r="1442">
      <c r="A1442" t="inlineStr">
        <is>
          <t>MIKFNDA70TXL</t>
        </is>
      </c>
      <c r="B1442" t="inlineStr">
        <is>
          <t>MIKA SPORT LITE DAMA</t>
        </is>
      </c>
      <c r="C1442" t="inlineStr">
        <is>
          <t>Manufactura / Dama / P. Superiores</t>
        </is>
      </c>
      <c r="D1442" t="n">
        <v>10</v>
      </c>
      <c r="E1442" t="n">
        <v>442.39627255</v>
      </c>
      <c r="F1442" t="n">
        <v>0.86798676097</v>
      </c>
      <c r="G1442" t="n">
        <v>22</v>
      </c>
      <c r="H1442" t="n">
        <v>5.484675344</v>
      </c>
      <c r="I1442" t="n">
        <v>1</v>
      </c>
      <c r="J1442" t="n">
        <v>0</v>
      </c>
      <c r="K1442" t="inlineStr"/>
    </row>
    <row r="1443">
      <c r="A1443" t="inlineStr">
        <is>
          <t>CLAMEDA16TXS</t>
        </is>
      </c>
      <c r="B1443" t="inlineStr">
        <is>
          <t>CLÁSICA SPORT DAMA</t>
        </is>
      </c>
      <c r="C1443" t="inlineStr">
        <is>
          <t>Manufactura / Dama / P. Superiores</t>
        </is>
      </c>
      <c r="D1443" t="n">
        <v>12</v>
      </c>
      <c r="E1443" t="n">
        <v>440.24759972</v>
      </c>
      <c r="F1443" t="n">
        <v>0.8551196321916666</v>
      </c>
      <c r="G1443" t="n">
        <v>7</v>
      </c>
      <c r="H1443" t="n">
        <v>6.536105769</v>
      </c>
      <c r="I1443" t="n">
        <v>1.2</v>
      </c>
      <c r="J1443" t="n">
        <v>1</v>
      </c>
      <c r="K1443" t="inlineStr"/>
    </row>
    <row r="1444">
      <c r="A1444" t="inlineStr">
        <is>
          <t>CCBHMCA03TM</t>
        </is>
      </c>
      <c r="B1444" t="inlineStr">
        <is>
          <t>CLUB CLASICA CABALLERO</t>
        </is>
      </c>
      <c r="C1444" t="inlineStr">
        <is>
          <t>Manufactura / Caballero / P. Superiores</t>
        </is>
      </c>
      <c r="D1444" t="n">
        <v>13</v>
      </c>
      <c r="E1444" t="n">
        <v>440.1288590378507</v>
      </c>
      <c r="F1444" t="n">
        <v>0.9770370643142857</v>
      </c>
      <c r="G1444" t="n">
        <v>10</v>
      </c>
      <c r="H1444" t="n">
        <v>1</v>
      </c>
      <c r="I1444" t="n">
        <v>1.3</v>
      </c>
      <c r="J1444" t="n">
        <v>0</v>
      </c>
      <c r="K1444" t="inlineStr"/>
    </row>
    <row r="1445">
      <c r="A1445" t="inlineStr">
        <is>
          <t>RIOMICA04TL</t>
        </is>
      </c>
      <c r="B1445" t="inlineStr">
        <is>
          <t>RIO ORIGINAL CAB</t>
        </is>
      </c>
      <c r="C1445" t="inlineStr">
        <is>
          <t>Manufactura / Caballero / P. Superiores</t>
        </is>
      </c>
      <c r="D1445" t="n">
        <v>8</v>
      </c>
      <c r="E1445" t="n">
        <v>439.47369195</v>
      </c>
      <c r="F1445" t="n">
        <v>0.8903447003</v>
      </c>
      <c r="G1445" t="n">
        <v>3</v>
      </c>
      <c r="H1445" t="n">
        <v>5.939350288</v>
      </c>
      <c r="I1445" t="n">
        <v>0.8</v>
      </c>
      <c r="J1445" t="n">
        <v>1</v>
      </c>
      <c r="K1445" t="inlineStr"/>
    </row>
    <row r="1446">
      <c r="A1446" t="inlineStr">
        <is>
          <t>MARMIKI11T4</t>
        </is>
      </c>
      <c r="B1446" t="inlineStr">
        <is>
          <t>MAR ORIGINAL KIDS</t>
        </is>
      </c>
      <c r="C1446" t="inlineStr">
        <is>
          <t>Manufactura / Kids / P. Superiores</t>
        </is>
      </c>
      <c r="D1446" t="n">
        <v>13</v>
      </c>
      <c r="E1446" t="n">
        <v>439.32884015</v>
      </c>
      <c r="F1446" t="n">
        <v>0.9027310633066666</v>
      </c>
      <c r="G1446" t="n">
        <v>0</v>
      </c>
      <c r="H1446" t="n">
        <v>3.168013332</v>
      </c>
      <c r="I1446" t="n">
        <v>1.3</v>
      </c>
      <c r="J1446" t="n">
        <v>3</v>
      </c>
      <c r="K1446" t="inlineStr">
        <is>
          <t>Sin stock</t>
        </is>
      </c>
    </row>
    <row r="1447">
      <c r="A1447" t="inlineStr">
        <is>
          <t>SHOUNKI68T2</t>
        </is>
      </c>
      <c r="B1447" t="inlineStr">
        <is>
          <t>SHORT PLAYA KIDS</t>
        </is>
      </c>
      <c r="C1447" t="inlineStr">
        <is>
          <t>Manufactura / Kids / P. Inferiores</t>
        </is>
      </c>
      <c r="D1447" t="n">
        <v>11</v>
      </c>
      <c r="E1447" t="n">
        <v>439.13107519</v>
      </c>
      <c r="F1447" t="n">
        <v>0.8432182098090909</v>
      </c>
      <c r="G1447" t="n">
        <v>8</v>
      </c>
      <c r="H1447" t="n">
        <v>6.09</v>
      </c>
      <c r="I1447" t="n">
        <v>1.1</v>
      </c>
      <c r="J1447" t="n">
        <v>0</v>
      </c>
      <c r="K1447" t="inlineStr"/>
    </row>
    <row r="1448">
      <c r="A1448" t="inlineStr">
        <is>
          <t>SHOUNKI29T8</t>
        </is>
      </c>
      <c r="B1448" t="inlineStr">
        <is>
          <t>SHORT PLAYA KIDS</t>
        </is>
      </c>
      <c r="C1448" t="inlineStr">
        <is>
          <t>Manufactura / Kids / P. Inferiores</t>
        </is>
      </c>
      <c r="D1448" t="n">
        <v>11</v>
      </c>
      <c r="E1448" t="n">
        <v>439.06684618</v>
      </c>
      <c r="F1448" t="n">
        <v>0.8436282684090909</v>
      </c>
      <c r="G1448" t="n">
        <v>23</v>
      </c>
      <c r="H1448" t="n">
        <v>6.09</v>
      </c>
      <c r="I1448" t="n">
        <v>1.1</v>
      </c>
      <c r="J1448" t="n">
        <v>0</v>
      </c>
      <c r="K1448" t="inlineStr"/>
    </row>
    <row r="1449">
      <c r="A1449" t="inlineStr">
        <is>
          <t>CLAMIDA16TXL</t>
        </is>
      </c>
      <c r="B1449" t="inlineStr">
        <is>
          <t>CLASICA ORIGINAL DAMA</t>
        </is>
      </c>
      <c r="C1449" t="inlineStr">
        <is>
          <t>Manufactura / Dama / P. Superiores</t>
        </is>
      </c>
      <c r="D1449" t="n">
        <v>18</v>
      </c>
      <c r="E1449" t="n">
        <v>439.05444837</v>
      </c>
      <c r="F1449" t="n">
        <v>0.89348075914</v>
      </c>
      <c r="G1449" t="n">
        <v>17</v>
      </c>
      <c r="H1449" t="n">
        <v>3.923227589</v>
      </c>
      <c r="I1449" t="n">
        <v>1.8</v>
      </c>
      <c r="J1449" t="n">
        <v>0</v>
      </c>
      <c r="K1449" t="inlineStr"/>
    </row>
    <row r="1450">
      <c r="A1450" t="inlineStr">
        <is>
          <t>LAN01EQ</t>
        </is>
      </c>
      <c r="B1450" t="inlineStr">
        <is>
          <t>LANYARD</t>
        </is>
      </c>
      <c r="C1450" t="inlineStr">
        <is>
          <t>Equipamiento / Accesorios</t>
        </is>
      </c>
      <c r="D1450" t="n">
        <v>373</v>
      </c>
      <c r="E1450" t="n">
        <v>438.9447480414074</v>
      </c>
      <c r="F1450" t="n">
        <v>0.8482899114125001</v>
      </c>
      <c r="G1450" t="n">
        <v>454</v>
      </c>
      <c r="H1450" t="n">
        <v>0.51</v>
      </c>
      <c r="I1450" t="n">
        <v>37.3</v>
      </c>
      <c r="J1450" t="n">
        <v>0</v>
      </c>
      <c r="K1450" t="inlineStr"/>
    </row>
    <row r="1451">
      <c r="A1451" t="inlineStr">
        <is>
          <t>MAFMIDA16TXL</t>
        </is>
      </c>
      <c r="B1451" t="inlineStr">
        <is>
          <t>MAFE ORIGINAL DAMA</t>
        </is>
      </c>
      <c r="C1451" t="inlineStr">
        <is>
          <t>Manufactura / Dama / P. Superiores</t>
        </is>
      </c>
      <c r="D1451" t="n">
        <v>15</v>
      </c>
      <c r="E1451" t="n">
        <v>438.78700277</v>
      </c>
      <c r="F1451" t="n">
        <v>0.8419406613764705</v>
      </c>
      <c r="G1451" t="n">
        <v>18</v>
      </c>
      <c r="H1451" t="n">
        <v>4.54817671</v>
      </c>
      <c r="I1451" t="n">
        <v>1.5</v>
      </c>
      <c r="J1451" t="n">
        <v>0</v>
      </c>
      <c r="K1451" t="inlineStr"/>
    </row>
    <row r="1452">
      <c r="A1452" t="inlineStr">
        <is>
          <t>MAYFNDA70TM</t>
        </is>
      </c>
      <c r="B1452" t="inlineStr">
        <is>
          <t>MAYA SPORT LITE DAMA</t>
        </is>
      </c>
      <c r="C1452" t="inlineStr">
        <is>
          <t>Manufactura / Dama / P. Superiores</t>
        </is>
      </c>
      <c r="D1452" t="n">
        <v>15</v>
      </c>
      <c r="E1452" t="n">
        <v>438.49469799</v>
      </c>
      <c r="F1452" t="n">
        <v>0.8903181475</v>
      </c>
      <c r="G1452" t="n">
        <v>30</v>
      </c>
      <c r="H1452" t="n">
        <v>3.87</v>
      </c>
      <c r="I1452" t="n">
        <v>1.5</v>
      </c>
      <c r="J1452" t="n">
        <v>3</v>
      </c>
      <c r="K1452" t="inlineStr"/>
    </row>
    <row r="1453">
      <c r="A1453" t="inlineStr">
        <is>
          <t>TALGOTADA170TM</t>
        </is>
      </c>
      <c r="B1453" t="inlineStr">
        <is>
          <t>URBAN COTTON TOP VINTAGE GRIS DAMA</t>
        </is>
      </c>
      <c r="C1453" t="inlineStr">
        <is>
          <t>Manufactura / Dama / P. Superiores</t>
        </is>
      </c>
      <c r="D1453" t="n">
        <v>12</v>
      </c>
      <c r="E1453" t="n">
        <v>438.34309305</v>
      </c>
      <c r="F1453" t="n">
        <v>0.8517952937125</v>
      </c>
      <c r="G1453" t="n">
        <v>17</v>
      </c>
      <c r="H1453" t="n">
        <v>7.819069274</v>
      </c>
      <c r="I1453" t="n">
        <v>1.2</v>
      </c>
      <c r="J1453" t="n">
        <v>3</v>
      </c>
      <c r="K1453" t="inlineStr"/>
    </row>
    <row r="1454">
      <c r="A1454" t="inlineStr">
        <is>
          <t>MAADFDA151TXS</t>
        </is>
      </c>
      <c r="B1454" t="inlineStr">
        <is>
          <t>MAFE ADVANCE DAMA</t>
        </is>
      </c>
      <c r="C1454" t="inlineStr">
        <is>
          <t>Manufactura / Dama / P. Superiores</t>
        </is>
      </c>
      <c r="D1454" t="n">
        <v>11</v>
      </c>
      <c r="E1454" t="n">
        <v>437.93521353</v>
      </c>
      <c r="F1454" t="n">
        <v>0.88014481677</v>
      </c>
      <c r="G1454" t="n">
        <v>17</v>
      </c>
      <c r="H1454" t="n">
        <v>4.98</v>
      </c>
      <c r="I1454" t="n">
        <v>1.1</v>
      </c>
      <c r="J1454" t="n">
        <v>4</v>
      </c>
      <c r="K1454" t="inlineStr"/>
    </row>
    <row r="1455">
      <c r="A1455" t="inlineStr">
        <is>
          <t>RIOMIKI11T1</t>
        </is>
      </c>
      <c r="B1455" t="inlineStr">
        <is>
          <t>RIO ORIGINAL KIDS</t>
        </is>
      </c>
      <c r="C1455" t="inlineStr">
        <is>
          <t>Manufactura / Kids / P. Superiores</t>
        </is>
      </c>
      <c r="D1455" t="n">
        <v>11</v>
      </c>
      <c r="E1455" t="n">
        <v>437.79494468</v>
      </c>
      <c r="F1455" t="n">
        <v>0.9081109342636363</v>
      </c>
      <c r="G1455" t="n">
        <v>0</v>
      </c>
      <c r="H1455" t="n">
        <v>3.617969464</v>
      </c>
      <c r="I1455" t="n">
        <v>1.1</v>
      </c>
      <c r="J1455" t="n">
        <v>5</v>
      </c>
      <c r="K1455" t="inlineStr">
        <is>
          <t>Sin stock</t>
        </is>
      </c>
    </row>
    <row r="1456">
      <c r="A1456" t="inlineStr">
        <is>
          <t>LMOFIDA12TXL</t>
        </is>
      </c>
      <c r="B1456" t="inlineStr">
        <is>
          <t>LEGGING MOVA</t>
        </is>
      </c>
      <c r="C1456" t="inlineStr">
        <is>
          <t>Manufactura / Dama / P. Inferiores</t>
        </is>
      </c>
      <c r="D1456" t="n">
        <v>7</v>
      </c>
      <c r="E1456" t="n">
        <v>437.61786242</v>
      </c>
      <c r="F1456" t="n">
        <v>0.7556524774666666</v>
      </c>
      <c r="G1456" t="n">
        <v>7</v>
      </c>
      <c r="H1456" t="n">
        <v>17.7</v>
      </c>
      <c r="I1456" t="n">
        <v>0.7</v>
      </c>
      <c r="J1456" t="n">
        <v>2</v>
      </c>
      <c r="K1456" t="inlineStr"/>
    </row>
    <row r="1457">
      <c r="A1457" t="inlineStr">
        <is>
          <t>RIOMIKI16T10</t>
        </is>
      </c>
      <c r="B1457" t="inlineStr">
        <is>
          <t>RIO ORIGINAL KIDS</t>
        </is>
      </c>
      <c r="C1457" t="inlineStr">
        <is>
          <t>Manufactura / Kids / P. Superiores</t>
        </is>
      </c>
      <c r="D1457" t="n">
        <v>10</v>
      </c>
      <c r="E1457" t="n">
        <v>437.37903206</v>
      </c>
      <c r="F1457" t="n">
        <v>0.9155813505899999</v>
      </c>
      <c r="G1457" t="n">
        <v>15</v>
      </c>
      <c r="H1457" t="n">
        <v>3.617969464</v>
      </c>
      <c r="I1457" t="n">
        <v>1</v>
      </c>
      <c r="J1457" t="n">
        <v>1</v>
      </c>
      <c r="K1457" t="inlineStr"/>
    </row>
    <row r="1458">
      <c r="A1458" t="inlineStr">
        <is>
          <t>NAHFNCA10TS</t>
        </is>
      </c>
      <c r="B1458" t="inlineStr">
        <is>
          <t>NOAH SPORT LITE CAB</t>
        </is>
      </c>
      <c r="C1458" t="inlineStr">
        <is>
          <t>Manufactura / Caballero / P. Superiores</t>
        </is>
      </c>
      <c r="D1458" t="n">
        <v>21</v>
      </c>
      <c r="E1458" t="n">
        <v>437.1119923</v>
      </c>
      <c r="F1458" t="n">
        <v>0.48659552978</v>
      </c>
      <c r="G1458" t="n">
        <v>3</v>
      </c>
      <c r="H1458" t="n">
        <v>17.61141534</v>
      </c>
      <c r="I1458" t="n">
        <v>2.1</v>
      </c>
      <c r="J1458" t="n">
        <v>1</v>
      </c>
      <c r="K1458" t="inlineStr"/>
    </row>
    <row r="1459">
      <c r="A1459" t="inlineStr">
        <is>
          <t>SHOUNKI57T8</t>
        </is>
      </c>
      <c r="B1459" t="inlineStr">
        <is>
          <t>SHORT PLAYA KIDS</t>
        </is>
      </c>
      <c r="C1459" t="inlineStr">
        <is>
          <t>Manufactura / Kids / P. Inferiores</t>
        </is>
      </c>
      <c r="D1459" t="n">
        <v>11</v>
      </c>
      <c r="E1459" t="n">
        <v>436.92605738</v>
      </c>
      <c r="F1459" t="n">
        <v>0.8432424566000001</v>
      </c>
      <c r="G1459" t="n">
        <v>12</v>
      </c>
      <c r="H1459" t="n">
        <v>6.09</v>
      </c>
      <c r="I1459" t="n">
        <v>1.1</v>
      </c>
      <c r="J1459" t="n">
        <v>3</v>
      </c>
      <c r="K1459" t="inlineStr"/>
    </row>
    <row r="1460">
      <c r="A1460" t="inlineStr">
        <is>
          <t>SMCBNEDA16TXS</t>
        </is>
      </c>
      <c r="B1460" t="inlineStr">
        <is>
          <t>SPOTS MANGA CORTA DAMA</t>
        </is>
      </c>
      <c r="C1460" t="inlineStr">
        <is>
          <t>Manufactura / Dama / P. Superiores</t>
        </is>
      </c>
      <c r="D1460" t="n">
        <v>12</v>
      </c>
      <c r="E1460" t="n">
        <v>436.3851754844417</v>
      </c>
      <c r="F1460" t="n">
        <v>0.7653031609454545</v>
      </c>
      <c r="G1460" t="n">
        <v>0</v>
      </c>
      <c r="H1460" t="n">
        <v>8.5</v>
      </c>
      <c r="I1460" t="n">
        <v>1.2</v>
      </c>
      <c r="J1460" t="n">
        <v>0</v>
      </c>
      <c r="K1460" t="inlineStr">
        <is>
          <t>Sin stock</t>
        </is>
      </c>
    </row>
    <row r="1461">
      <c r="A1461" t="inlineStr">
        <is>
          <t>SHOUNKI12T8</t>
        </is>
      </c>
      <c r="B1461" t="inlineStr">
        <is>
          <t>SHORT PLAYA KIDS</t>
        </is>
      </c>
      <c r="C1461" t="inlineStr">
        <is>
          <t>Manufactura / Kids / P. Inferiores</t>
        </is>
      </c>
      <c r="D1461" t="n">
        <v>11</v>
      </c>
      <c r="E1461" t="n">
        <v>434.9268296</v>
      </c>
      <c r="F1461" t="n">
        <v>0.8409647865727272</v>
      </c>
      <c r="G1461" t="n">
        <v>22</v>
      </c>
      <c r="H1461" t="n">
        <v>6.09</v>
      </c>
      <c r="I1461" t="n">
        <v>1.1</v>
      </c>
      <c r="J1461" t="n">
        <v>1</v>
      </c>
      <c r="K1461" t="inlineStr"/>
    </row>
    <row r="1462">
      <c r="A1462" t="inlineStr">
        <is>
          <t>MARMIKI30T12</t>
        </is>
      </c>
      <c r="B1462" t="inlineStr">
        <is>
          <t>MAR ORIGINAL KIDS</t>
        </is>
      </c>
      <c r="C1462" t="inlineStr">
        <is>
          <t>Manufactura / Kids / P. Superiores</t>
        </is>
      </c>
      <c r="D1462" t="n">
        <v>12</v>
      </c>
      <c r="E1462" t="n">
        <v>433.75421839</v>
      </c>
      <c r="F1462" t="n">
        <v>0.9059522000583334</v>
      </c>
      <c r="G1462" t="n">
        <v>0</v>
      </c>
      <c r="H1462" t="n">
        <v>3.168013332</v>
      </c>
      <c r="I1462" t="n">
        <v>1.2</v>
      </c>
      <c r="J1462" t="n">
        <v>1</v>
      </c>
      <c r="K1462" t="inlineStr">
        <is>
          <t>Sin stock</t>
        </is>
      </c>
    </row>
    <row r="1463">
      <c r="A1463" t="inlineStr">
        <is>
          <t>DOMBFCA30TS</t>
        </is>
      </c>
      <c r="B1463" t="inlineStr">
        <is>
          <t>DOMINIC BIO MOVE CAB</t>
        </is>
      </c>
      <c r="C1463" t="inlineStr">
        <is>
          <t>Manufactura / Caballero / P. Superiores</t>
        </is>
      </c>
      <c r="D1463" t="n">
        <v>12</v>
      </c>
      <c r="E1463" t="n">
        <v>432.95290587</v>
      </c>
      <c r="F1463" t="n">
        <v>0.7722921382142857</v>
      </c>
      <c r="G1463" t="n">
        <v>55</v>
      </c>
      <c r="H1463" t="n">
        <v>13.86</v>
      </c>
      <c r="I1463" t="n">
        <v>1.2</v>
      </c>
      <c r="J1463" t="n">
        <v>0</v>
      </c>
      <c r="K1463" t="inlineStr"/>
    </row>
    <row r="1464">
      <c r="A1464" t="inlineStr">
        <is>
          <t>TALGTACA167TS</t>
        </is>
      </c>
      <c r="B1464" t="inlineStr">
        <is>
          <t>URBAN COTTON OVERSIZED COLOR BLOCK CAB</t>
        </is>
      </c>
      <c r="C1464" t="inlineStr">
        <is>
          <t>Manufactura / Caballero / P. Superiores</t>
        </is>
      </c>
      <c r="D1464" t="n">
        <v>10</v>
      </c>
      <c r="E1464" t="n">
        <v>432.51195909</v>
      </c>
      <c r="F1464" t="n">
        <v>0.7677699811750001</v>
      </c>
      <c r="G1464" t="n">
        <v>10</v>
      </c>
      <c r="H1464" t="n">
        <v>12.16641162</v>
      </c>
      <c r="I1464" t="n">
        <v>1</v>
      </c>
      <c r="J1464" t="n">
        <v>2</v>
      </c>
      <c r="K1464" t="inlineStr"/>
    </row>
    <row r="1465">
      <c r="A1465" t="inlineStr">
        <is>
          <t>RIOMIDA14TS</t>
        </is>
      </c>
      <c r="B1465" t="inlineStr">
        <is>
          <t>RIO ORIGINAL DAMA</t>
        </is>
      </c>
      <c r="C1465" t="inlineStr">
        <is>
          <t>Manufactura / Dama / P. Superiores</t>
        </is>
      </c>
      <c r="D1465" t="n">
        <v>9</v>
      </c>
      <c r="E1465" t="n">
        <v>431.57497308</v>
      </c>
      <c r="F1465" t="n">
        <v>0.8831868324200001</v>
      </c>
      <c r="G1465" t="n">
        <v>0</v>
      </c>
      <c r="H1465" t="n">
        <v>5.538832275</v>
      </c>
      <c r="I1465" t="n">
        <v>0.9</v>
      </c>
      <c r="J1465" t="n">
        <v>8</v>
      </c>
      <c r="K1465" t="inlineStr">
        <is>
          <t>Sin stock</t>
        </is>
      </c>
    </row>
    <row r="1466">
      <c r="A1466" t="inlineStr">
        <is>
          <t>CLAMICA01TM</t>
        </is>
      </c>
      <c r="B1466" t="inlineStr">
        <is>
          <t>CLASICA ORIGINAL CAB</t>
        </is>
      </c>
      <c r="C1466" t="inlineStr">
        <is>
          <t>Manufactura / Caballero / P. Superiores</t>
        </is>
      </c>
      <c r="D1466" t="n">
        <v>26</v>
      </c>
      <c r="E1466" t="n">
        <v>431.1551257</v>
      </c>
      <c r="F1466" t="n">
        <v>0.89149136586</v>
      </c>
      <c r="G1466" t="n">
        <v>7</v>
      </c>
      <c r="H1466" t="n">
        <v>4.598442536</v>
      </c>
      <c r="I1466" t="n">
        <v>2.6</v>
      </c>
      <c r="J1466" t="n">
        <v>0</v>
      </c>
      <c r="K1466" t="inlineStr"/>
    </row>
    <row r="1467">
      <c r="A1467" t="inlineStr">
        <is>
          <t>NAHFNCA70T2XL</t>
        </is>
      </c>
      <c r="B1467" t="inlineStr">
        <is>
          <t>NOAH SPORT LITE CAB</t>
        </is>
      </c>
      <c r="C1467" t="inlineStr">
        <is>
          <t>Manufactura / Caballero / P. Superiores</t>
        </is>
      </c>
      <c r="D1467" t="n">
        <v>13</v>
      </c>
      <c r="E1467" t="n">
        <v>431.12313275</v>
      </c>
      <c r="F1467" t="n">
        <v>0.4604157930533334</v>
      </c>
      <c r="G1467" t="n">
        <v>2</v>
      </c>
      <c r="H1467" t="n">
        <v>17.61141534</v>
      </c>
      <c r="I1467" t="n">
        <v>1.3</v>
      </c>
      <c r="J1467" t="n">
        <v>6</v>
      </c>
      <c r="K1467" t="inlineStr"/>
    </row>
    <row r="1468">
      <c r="A1468" t="inlineStr">
        <is>
          <t>RIOMICA30T2XL</t>
        </is>
      </c>
      <c r="B1468" t="inlineStr">
        <is>
          <t>RIO ORIGINAL CAB</t>
        </is>
      </c>
      <c r="C1468" t="inlineStr">
        <is>
          <t>Manufactura / Caballero / P. Superiores</t>
        </is>
      </c>
      <c r="D1468" t="n">
        <v>8</v>
      </c>
      <c r="E1468" t="n">
        <v>430.52300928</v>
      </c>
      <c r="F1468" t="n">
        <v>0.8882560979375</v>
      </c>
      <c r="G1468" t="n">
        <v>2</v>
      </c>
      <c r="H1468" t="n">
        <v>5.939350288</v>
      </c>
      <c r="I1468" t="n">
        <v>0.8</v>
      </c>
      <c r="J1468" t="n">
        <v>2</v>
      </c>
      <c r="K1468" t="inlineStr"/>
    </row>
    <row r="1469">
      <c r="A1469" t="inlineStr">
        <is>
          <t>SARSPDA30TM</t>
        </is>
      </c>
      <c r="B1469" t="inlineStr">
        <is>
          <t>FALDA SARA DAMA</t>
        </is>
      </c>
      <c r="C1469" t="inlineStr">
        <is>
          <t>Manufactura / Dama / P. Inferiores</t>
        </is>
      </c>
      <c r="D1469" t="n">
        <v>11</v>
      </c>
      <c r="E1469" t="n">
        <v>430.12793729</v>
      </c>
      <c r="F1469" t="n">
        <v>0.770908161055</v>
      </c>
      <c r="G1469" t="n">
        <v>0</v>
      </c>
      <c r="H1469" t="n">
        <v>9.500113852</v>
      </c>
      <c r="I1469" t="n">
        <v>1.1</v>
      </c>
      <c r="J1469" t="n">
        <v>5</v>
      </c>
      <c r="K1469" t="inlineStr">
        <is>
          <t>Sin stock</t>
        </is>
      </c>
    </row>
    <row r="1470">
      <c r="A1470" t="inlineStr">
        <is>
          <t>ZOEMIDA01TM</t>
        </is>
      </c>
      <c r="B1470" t="inlineStr">
        <is>
          <t>ZOE ORIGINAL DAMA</t>
        </is>
      </c>
      <c r="C1470" t="inlineStr">
        <is>
          <t>Manufactura / Dama / P. Superiores</t>
        </is>
      </c>
      <c r="D1470" t="n">
        <v>10</v>
      </c>
      <c r="E1470" t="n">
        <v>429.21173307</v>
      </c>
      <c r="F1470" t="n">
        <v>0.8994072108142858</v>
      </c>
      <c r="G1470" t="n">
        <v>12</v>
      </c>
      <c r="H1470" t="n">
        <v>4.116585696</v>
      </c>
      <c r="I1470" t="n">
        <v>1</v>
      </c>
      <c r="J1470" t="n">
        <v>0</v>
      </c>
      <c r="K1470" t="inlineStr"/>
    </row>
    <row r="1471">
      <c r="A1471" t="inlineStr">
        <is>
          <t>CLAMEDA43TM</t>
        </is>
      </c>
      <c r="B1471" t="inlineStr">
        <is>
          <t>CLÁSICA SPORT DAMA</t>
        </is>
      </c>
      <c r="C1471" t="inlineStr">
        <is>
          <t>Manufactura / Dama / P. Superiores</t>
        </is>
      </c>
      <c r="D1471" t="n">
        <v>10</v>
      </c>
      <c r="E1471" t="n">
        <v>427.25742311</v>
      </c>
      <c r="F1471" t="n">
        <v>0.8642701955818182</v>
      </c>
      <c r="G1471" t="n">
        <v>2</v>
      </c>
      <c r="H1471" t="n">
        <v>6.536105769</v>
      </c>
      <c r="I1471" t="n">
        <v>1</v>
      </c>
      <c r="J1471" t="n">
        <v>0</v>
      </c>
      <c r="K1471" t="inlineStr"/>
    </row>
    <row r="1472">
      <c r="A1472" t="inlineStr">
        <is>
          <t>MAADFDA30TXS</t>
        </is>
      </c>
      <c r="B1472" t="inlineStr">
        <is>
          <t>MAFE ADVANCE DAMA</t>
        </is>
      </c>
      <c r="C1472" t="inlineStr">
        <is>
          <t>Manufactura / Dama / P. Superiores</t>
        </is>
      </c>
      <c r="D1472" t="n">
        <v>8</v>
      </c>
      <c r="E1472" t="n">
        <v>426.86575443</v>
      </c>
      <c r="F1472" t="n">
        <v>0.9060326757</v>
      </c>
      <c r="G1472" t="n">
        <v>7</v>
      </c>
      <c r="H1472" t="n">
        <v>4.98</v>
      </c>
      <c r="I1472" t="n">
        <v>0.8</v>
      </c>
      <c r="J1472" t="n">
        <v>1</v>
      </c>
      <c r="K1472" t="inlineStr"/>
    </row>
    <row r="1473">
      <c r="A1473" t="inlineStr">
        <is>
          <t>NAHFNCA24TM</t>
        </is>
      </c>
      <c r="B1473" t="inlineStr">
        <is>
          <t>NOAH SPORT LITE CAB</t>
        </is>
      </c>
      <c r="C1473" t="inlineStr">
        <is>
          <t>Manufactura / Caballero / P. Superiores</t>
        </is>
      </c>
      <c r="D1473" t="n">
        <v>33</v>
      </c>
      <c r="E1473" t="n">
        <v>426.33074637</v>
      </c>
      <c r="F1473" t="n">
        <v>0.4350289926538461</v>
      </c>
      <c r="G1473" t="n">
        <v>8</v>
      </c>
      <c r="H1473" t="n">
        <v>17.61141534</v>
      </c>
      <c r="I1473" t="n">
        <v>3.3</v>
      </c>
      <c r="J1473" t="n">
        <v>0</v>
      </c>
      <c r="K1473" t="inlineStr"/>
    </row>
    <row r="1474">
      <c r="A1474" t="inlineStr">
        <is>
          <t>SHOUNKI50T4</t>
        </is>
      </c>
      <c r="B1474" t="inlineStr">
        <is>
          <t>SHORT PLAYA KIDS</t>
        </is>
      </c>
      <c r="C1474" t="inlineStr">
        <is>
          <t>Manufactura / Kids / P. Inferiores</t>
        </is>
      </c>
      <c r="D1474" t="n">
        <v>10</v>
      </c>
      <c r="E1474" t="n">
        <v>425.8835701</v>
      </c>
      <c r="F1474" t="n">
        <v>0.8474097425666667</v>
      </c>
      <c r="G1474" t="n">
        <v>35</v>
      </c>
      <c r="H1474" t="n">
        <v>6.09</v>
      </c>
      <c r="I1474" t="n">
        <v>1</v>
      </c>
      <c r="J1474" t="n">
        <v>0</v>
      </c>
      <c r="K1474" t="inlineStr"/>
    </row>
    <row r="1475">
      <c r="A1475" t="inlineStr">
        <is>
          <t>RIOMIKI48T14</t>
        </is>
      </c>
      <c r="B1475" t="inlineStr">
        <is>
          <t>RIO ORIGINAL KIDS</t>
        </is>
      </c>
      <c r="C1475" t="inlineStr">
        <is>
          <t>Manufactura / Kids / P. Superiores</t>
        </is>
      </c>
      <c r="D1475" t="n">
        <v>10</v>
      </c>
      <c r="E1475" t="n">
        <v>425.52024232</v>
      </c>
      <c r="F1475" t="n">
        <v>0.9153565632222223</v>
      </c>
      <c r="G1475" t="n">
        <v>12</v>
      </c>
      <c r="H1475" t="n">
        <v>3.617969464</v>
      </c>
      <c r="I1475" t="n">
        <v>1</v>
      </c>
      <c r="J1475" t="n">
        <v>0</v>
      </c>
      <c r="K1475" t="inlineStr"/>
    </row>
    <row r="1476">
      <c r="A1476" t="inlineStr">
        <is>
          <t>SHOSUKI154T2</t>
        </is>
      </c>
      <c r="B1476" t="inlineStr">
        <is>
          <t>SHORT PLAYA ESTAMPADO KIDS</t>
        </is>
      </c>
      <c r="C1476" t="inlineStr">
        <is>
          <t>Manufactura / Kids / P. Superiores</t>
        </is>
      </c>
      <c r="D1476" t="n">
        <v>12</v>
      </c>
      <c r="E1476" t="n">
        <v>425.40589184</v>
      </c>
      <c r="F1476" t="n">
        <v>0.8236868767100001</v>
      </c>
      <c r="G1476" t="n">
        <v>17</v>
      </c>
      <c r="H1476" t="n">
        <v>7.21</v>
      </c>
      <c r="I1476" t="n">
        <v>1.2</v>
      </c>
      <c r="J1476" t="n">
        <v>0</v>
      </c>
      <c r="K1476" t="inlineStr"/>
    </row>
    <row r="1477">
      <c r="A1477" t="inlineStr">
        <is>
          <t>EPNTKI33T12</t>
        </is>
      </c>
      <c r="B1477" t="inlineStr">
        <is>
          <t>EXPLORE PANTS KIDS</t>
        </is>
      </c>
      <c r="C1477" t="inlineStr">
        <is>
          <t>Manufactura / Kids / P. Inferiores</t>
        </is>
      </c>
      <c r="D1477" t="n">
        <v>7</v>
      </c>
      <c r="E1477" t="n">
        <v>423.08311238</v>
      </c>
      <c r="F1477" t="n">
        <v>0.7677774277285714</v>
      </c>
      <c r="G1477" t="n">
        <v>23</v>
      </c>
      <c r="H1477" t="n">
        <v>13.98</v>
      </c>
      <c r="I1477" t="n">
        <v>0.7</v>
      </c>
      <c r="J1477" t="n">
        <v>0</v>
      </c>
      <c r="K1477" t="inlineStr"/>
    </row>
    <row r="1478">
      <c r="A1478" t="inlineStr">
        <is>
          <t>SHOUNKI29T10</t>
        </is>
      </c>
      <c r="B1478" t="inlineStr">
        <is>
          <t>SHORT PLAYA KIDS</t>
        </is>
      </c>
      <c r="C1478" t="inlineStr">
        <is>
          <t>Manufactura / Kids / P. Inferiores</t>
        </is>
      </c>
      <c r="D1478" t="n">
        <v>10</v>
      </c>
      <c r="E1478" t="n">
        <v>423.06885755</v>
      </c>
      <c r="F1478" t="n">
        <v>0.85189707732</v>
      </c>
      <c r="G1478" t="n">
        <v>25</v>
      </c>
      <c r="H1478" t="n">
        <v>6.09</v>
      </c>
      <c r="I1478" t="n">
        <v>1</v>
      </c>
      <c r="J1478" t="n">
        <v>0</v>
      </c>
      <c r="K1478" t="inlineStr"/>
    </row>
    <row r="1479">
      <c r="A1479" t="inlineStr">
        <is>
          <t>MARMIDA39TS</t>
        </is>
      </c>
      <c r="B1479" t="inlineStr">
        <is>
          <t>MAR ORIGINAL DAMA</t>
        </is>
      </c>
      <c r="C1479" t="inlineStr">
        <is>
          <t>Manufactura / Dama / P. Superiores</t>
        </is>
      </c>
      <c r="D1479" t="n">
        <v>12</v>
      </c>
      <c r="E1479" t="n">
        <v>421.04108607</v>
      </c>
      <c r="F1479" t="n">
        <v>0.8927511802</v>
      </c>
      <c r="G1479" t="n">
        <v>0</v>
      </c>
      <c r="H1479" t="n">
        <v>4.278324149</v>
      </c>
      <c r="I1479" t="n">
        <v>1.2</v>
      </c>
      <c r="J1479" t="n">
        <v>3</v>
      </c>
      <c r="K1479" t="inlineStr">
        <is>
          <t>Sin stock</t>
        </is>
      </c>
    </row>
    <row r="1480">
      <c r="A1480" t="inlineStr">
        <is>
          <t>RIOMIKI16T1</t>
        </is>
      </c>
      <c r="B1480" t="inlineStr">
        <is>
          <t>RIO ORIGINAL KIDS</t>
        </is>
      </c>
      <c r="C1480" t="inlineStr">
        <is>
          <t>Manufactura / Kids / P. Superiores</t>
        </is>
      </c>
      <c r="D1480" t="n">
        <v>10</v>
      </c>
      <c r="E1480" t="n">
        <v>419.73430311</v>
      </c>
      <c r="F1480" t="n">
        <v>0.9126647028100001</v>
      </c>
      <c r="G1480" t="n">
        <v>0</v>
      </c>
      <c r="H1480" t="n">
        <v>3.617969464</v>
      </c>
      <c r="I1480" t="n">
        <v>1</v>
      </c>
      <c r="J1480" t="n">
        <v>5</v>
      </c>
      <c r="K1480" t="inlineStr">
        <is>
          <t>Sin stock</t>
        </is>
      </c>
    </row>
    <row r="1481">
      <c r="A1481" t="inlineStr">
        <is>
          <t>ZOEMIDA50TM</t>
        </is>
      </c>
      <c r="B1481" t="inlineStr">
        <is>
          <t>ZOE ORIGINAL DAMA</t>
        </is>
      </c>
      <c r="C1481" t="inlineStr">
        <is>
          <t>Manufactura / Dama / P. Superiores</t>
        </is>
      </c>
      <c r="D1481" t="n">
        <v>11</v>
      </c>
      <c r="E1481" t="n">
        <v>419.24821862</v>
      </c>
      <c r="F1481" t="n">
        <v>0.8902306515166667</v>
      </c>
      <c r="G1481" t="n">
        <v>19</v>
      </c>
      <c r="H1481" t="n">
        <v>4.116585696</v>
      </c>
      <c r="I1481" t="n">
        <v>1.1</v>
      </c>
      <c r="J1481" t="n">
        <v>1</v>
      </c>
      <c r="K1481" t="inlineStr"/>
    </row>
    <row r="1482">
      <c r="A1482" t="inlineStr">
        <is>
          <t>PANNTKI30T12</t>
        </is>
      </c>
      <c r="B1482" t="inlineStr">
        <is>
          <t>EXPLORE PANTS KIDS</t>
        </is>
      </c>
      <c r="C1482" t="inlineStr">
        <is>
          <t>Manufactura / Kids / P. Inferiores</t>
        </is>
      </c>
      <c r="D1482" t="n">
        <v>8</v>
      </c>
      <c r="E1482" t="n">
        <v>419.14982092</v>
      </c>
      <c r="F1482" t="n">
        <v>0.7266563476375</v>
      </c>
      <c r="G1482" t="n">
        <v>2</v>
      </c>
      <c r="H1482" t="n">
        <v>13.98</v>
      </c>
      <c r="I1482" t="n">
        <v>0.8</v>
      </c>
      <c r="J1482" t="n">
        <v>2</v>
      </c>
      <c r="K1482" t="inlineStr"/>
    </row>
    <row r="1483">
      <c r="A1483" t="inlineStr">
        <is>
          <t>SHONTCA12TL</t>
        </is>
      </c>
      <c r="B1483" t="inlineStr">
        <is>
          <t>EXPLORE SHORT CAB</t>
        </is>
      </c>
      <c r="C1483" t="inlineStr">
        <is>
          <t>Manufactura / Caballero / P. Inferiores</t>
        </is>
      </c>
      <c r="D1483" t="n">
        <v>8</v>
      </c>
      <c r="E1483" t="n">
        <v>418.36908378</v>
      </c>
      <c r="F1483" t="n">
        <v>0.773265166575</v>
      </c>
      <c r="G1483" t="n">
        <v>0</v>
      </c>
      <c r="H1483" t="n">
        <v>11.17</v>
      </c>
      <c r="I1483" t="n">
        <v>0.8</v>
      </c>
      <c r="J1483" t="n">
        <v>0</v>
      </c>
      <c r="K1483" t="inlineStr">
        <is>
          <t>Sin stock</t>
        </is>
      </c>
    </row>
    <row r="1484">
      <c r="A1484" t="inlineStr">
        <is>
          <t>RIOMICA05TL</t>
        </is>
      </c>
      <c r="B1484" t="inlineStr">
        <is>
          <t>RIO ORIGINAL CAB</t>
        </is>
      </c>
      <c r="C1484" t="inlineStr">
        <is>
          <t>Manufactura / Caballero / P. Superiores</t>
        </is>
      </c>
      <c r="D1484" t="n">
        <v>8</v>
      </c>
      <c r="E1484" t="n">
        <v>418.0909387</v>
      </c>
      <c r="F1484" t="n">
        <v>0.8863529488</v>
      </c>
      <c r="G1484" t="n">
        <v>0</v>
      </c>
      <c r="H1484" t="n">
        <v>5.939350288</v>
      </c>
      <c r="I1484" t="n">
        <v>0.8</v>
      </c>
      <c r="J1484" t="n">
        <v>8</v>
      </c>
      <c r="K1484" t="inlineStr">
        <is>
          <t>Sin stock</t>
        </is>
      </c>
    </row>
    <row r="1485">
      <c r="A1485" t="inlineStr">
        <is>
          <t>MARMICA04TS</t>
        </is>
      </c>
      <c r="B1485" t="inlineStr">
        <is>
          <t>MAR ORIGINAL CAB</t>
        </is>
      </c>
      <c r="C1485" t="inlineStr">
        <is>
          <t>Manufactura / Caballero / P. Superiores</t>
        </is>
      </c>
      <c r="D1485" t="n">
        <v>9</v>
      </c>
      <c r="E1485" t="n">
        <v>417.19587808</v>
      </c>
      <c r="F1485" t="n">
        <v>0.89893109965</v>
      </c>
      <c r="G1485" t="n">
        <v>85</v>
      </c>
      <c r="H1485" t="n">
        <v>4.946357428</v>
      </c>
      <c r="I1485" t="n">
        <v>0.9</v>
      </c>
      <c r="J1485" t="n">
        <v>0</v>
      </c>
      <c r="K1485" t="inlineStr"/>
    </row>
    <row r="1486">
      <c r="A1486" t="inlineStr">
        <is>
          <t>SHOUNKI29T6</t>
        </is>
      </c>
      <c r="B1486" t="inlineStr">
        <is>
          <t>SHORT PLAYA KIDS</t>
        </is>
      </c>
      <c r="C1486" t="inlineStr">
        <is>
          <t>Manufactura / Kids / P. Inferiores</t>
        </is>
      </c>
      <c r="D1486" t="n">
        <v>10</v>
      </c>
      <c r="E1486" t="n">
        <v>416.74928608</v>
      </c>
      <c r="F1486" t="n">
        <v>0.85019862164</v>
      </c>
      <c r="G1486" t="n">
        <v>23</v>
      </c>
      <c r="H1486" t="n">
        <v>6.09</v>
      </c>
      <c r="I1486" t="n">
        <v>1</v>
      </c>
      <c r="J1486" t="n">
        <v>0</v>
      </c>
      <c r="K1486" t="inlineStr"/>
    </row>
    <row r="1487">
      <c r="A1487" t="inlineStr">
        <is>
          <t>SUC43EQ</t>
        </is>
      </c>
      <c r="B1487" t="inlineStr">
        <is>
          <t>SUNNY CORD 2.0</t>
        </is>
      </c>
      <c r="C1487" t="inlineStr">
        <is>
          <t>Equipamiento / Accesorios</t>
        </is>
      </c>
      <c r="D1487" t="n">
        <v>82</v>
      </c>
      <c r="E1487" t="n">
        <v>415.481338993</v>
      </c>
      <c r="F1487" t="n">
        <v>0.8712104150150685</v>
      </c>
      <c r="G1487" t="n">
        <v>5</v>
      </c>
      <c r="H1487" t="n">
        <v>0.66</v>
      </c>
      <c r="I1487" t="n">
        <v>8.199999999999999</v>
      </c>
      <c r="J1487" t="n">
        <v>3</v>
      </c>
      <c r="K1487" t="inlineStr"/>
    </row>
    <row r="1488">
      <c r="A1488" t="inlineStr">
        <is>
          <t>GEODOCACA43T2XL</t>
        </is>
      </c>
      <c r="B1488" t="inlineStr">
        <is>
          <t>ADVANCE GEO DOMINIC CAB</t>
        </is>
      </c>
      <c r="C1488" t="inlineStr">
        <is>
          <t>Manufactura / Caballero / P. Superiores</t>
        </is>
      </c>
      <c r="D1488" t="n">
        <v>7</v>
      </c>
      <c r="E1488" t="n">
        <v>414.33894753</v>
      </c>
      <c r="F1488" t="n">
        <v>0.80435734255</v>
      </c>
      <c r="G1488" t="n">
        <v>18</v>
      </c>
      <c r="H1488" t="n">
        <v>13.35</v>
      </c>
      <c r="I1488" t="n">
        <v>0.7</v>
      </c>
      <c r="J1488" t="n">
        <v>0</v>
      </c>
      <c r="K1488" t="inlineStr"/>
    </row>
    <row r="1489">
      <c r="A1489" t="inlineStr">
        <is>
          <t>CLAMEDA12TXS</t>
        </is>
      </c>
      <c r="B1489" t="inlineStr">
        <is>
          <t>CLÁSICA SPORT DAMA</t>
        </is>
      </c>
      <c r="C1489" t="inlineStr">
        <is>
          <t>Manufactura / Dama / P. Superiores</t>
        </is>
      </c>
      <c r="D1489" t="n">
        <v>9</v>
      </c>
      <c r="E1489" t="n">
        <v>413.71564356</v>
      </c>
      <c r="F1489" t="n">
        <v>0.8494425367333334</v>
      </c>
      <c r="G1489" t="n">
        <v>2</v>
      </c>
      <c r="H1489" t="n">
        <v>6.536105769</v>
      </c>
      <c r="I1489" t="n">
        <v>0.9</v>
      </c>
      <c r="J1489" t="n">
        <v>1</v>
      </c>
      <c r="K1489" t="inlineStr"/>
    </row>
    <row r="1490">
      <c r="A1490" t="inlineStr">
        <is>
          <t>ZOEMIKI53T14</t>
        </is>
      </c>
      <c r="B1490" t="inlineStr">
        <is>
          <t>ZOE ORIGINAL KIDS</t>
        </is>
      </c>
      <c r="C1490" t="inlineStr">
        <is>
          <t>Manufactura / Kids / P. Superiores</t>
        </is>
      </c>
      <c r="D1490" t="n">
        <v>11</v>
      </c>
      <c r="E1490" t="n">
        <v>413.43315594</v>
      </c>
      <c r="F1490" t="n">
        <v>0.8858074165090909</v>
      </c>
      <c r="G1490" t="n">
        <v>0</v>
      </c>
      <c r="H1490" t="n">
        <v>4.12</v>
      </c>
      <c r="I1490" t="n">
        <v>1.1</v>
      </c>
      <c r="J1490" t="n">
        <v>0</v>
      </c>
      <c r="K1490" t="inlineStr">
        <is>
          <t>Sin stock</t>
        </is>
      </c>
    </row>
    <row r="1491">
      <c r="A1491" t="inlineStr">
        <is>
          <t>MARMIKI01T2</t>
        </is>
      </c>
      <c r="B1491" t="inlineStr">
        <is>
          <t>MAR ORIGINAL KIDS</t>
        </is>
      </c>
      <c r="C1491" t="inlineStr">
        <is>
          <t>Manufactura / Kids / P. Superiores</t>
        </is>
      </c>
      <c r="D1491" t="n">
        <v>11</v>
      </c>
      <c r="E1491" t="n">
        <v>413.2819932</v>
      </c>
      <c r="F1491" t="n">
        <v>0.9130147653636363</v>
      </c>
      <c r="G1491" t="n">
        <v>26</v>
      </c>
      <c r="H1491" t="n">
        <v>3.168013332000001</v>
      </c>
      <c r="I1491" t="n">
        <v>1.1</v>
      </c>
      <c r="J1491" t="n">
        <v>4</v>
      </c>
      <c r="K1491" t="inlineStr"/>
    </row>
    <row r="1492">
      <c r="A1492" t="inlineStr">
        <is>
          <t>SHOSUKI154T6</t>
        </is>
      </c>
      <c r="B1492" t="inlineStr">
        <is>
          <t>SHORT PLAYA ESTAMPADO KIDS</t>
        </is>
      </c>
      <c r="C1492" t="inlineStr">
        <is>
          <t>Manufactura / Kids / P. Superiores</t>
        </is>
      </c>
      <c r="D1492" t="n">
        <v>12</v>
      </c>
      <c r="E1492" t="n">
        <v>412.97152736</v>
      </c>
      <c r="F1492" t="n">
        <v>0.8056669292181818</v>
      </c>
      <c r="G1492" t="n">
        <v>38</v>
      </c>
      <c r="H1492" t="n">
        <v>7.21</v>
      </c>
      <c r="I1492" t="n">
        <v>1.2</v>
      </c>
      <c r="J1492" t="n">
        <v>3</v>
      </c>
      <c r="K1492" t="inlineStr"/>
    </row>
    <row r="1493">
      <c r="A1493" t="inlineStr">
        <is>
          <t>SABMEDA43TXS</t>
        </is>
      </c>
      <c r="B1493" t="inlineStr">
        <is>
          <t>SABRI SPORT DAMA</t>
        </is>
      </c>
      <c r="C1493" t="inlineStr">
        <is>
          <t>Manufactura / Dama / P. Superiores</t>
        </is>
      </c>
      <c r="D1493" t="n">
        <v>10</v>
      </c>
      <c r="E1493" t="n">
        <v>412.8478569</v>
      </c>
      <c r="F1493" t="n">
        <v>0.8804383142399999</v>
      </c>
      <c r="G1493" t="n">
        <v>63</v>
      </c>
      <c r="H1493" t="n">
        <v>4.51</v>
      </c>
      <c r="I1493" t="n">
        <v>1</v>
      </c>
      <c r="J1493" t="n">
        <v>3</v>
      </c>
      <c r="K1493" t="inlineStr"/>
    </row>
    <row r="1494">
      <c r="A1494" t="inlineStr">
        <is>
          <t>GEODOCACA03TS</t>
        </is>
      </c>
      <c r="B1494" t="inlineStr">
        <is>
          <t>ADVANCE GEO DOMINIC CAB</t>
        </is>
      </c>
      <c r="C1494" t="inlineStr">
        <is>
          <t>Manufactura / Caballero / P. Superiores</t>
        </is>
      </c>
      <c r="D1494" t="n">
        <v>12</v>
      </c>
      <c r="E1494" t="n">
        <v>412.7107924</v>
      </c>
      <c r="F1494" t="n">
        <v>0.8025102703666667</v>
      </c>
      <c r="G1494" t="n">
        <v>18</v>
      </c>
      <c r="H1494" t="n">
        <v>13.35</v>
      </c>
      <c r="I1494" t="n">
        <v>1.2</v>
      </c>
      <c r="J1494" t="n">
        <v>0</v>
      </c>
      <c r="K1494" t="inlineStr"/>
    </row>
    <row r="1495">
      <c r="A1495" t="inlineStr">
        <is>
          <t>MARMICA50T2XL</t>
        </is>
      </c>
      <c r="B1495" t="inlineStr">
        <is>
          <t>MAR ORIGINAL CAB</t>
        </is>
      </c>
      <c r="C1495" t="inlineStr">
        <is>
          <t>Manufactura / Caballero / P. Superiores</t>
        </is>
      </c>
      <c r="D1495" t="n">
        <v>10</v>
      </c>
      <c r="E1495" t="n">
        <v>411.6157861791381</v>
      </c>
      <c r="F1495" t="n">
        <v>0.90115448524</v>
      </c>
      <c r="G1495" t="n">
        <v>43</v>
      </c>
      <c r="H1495" t="n">
        <v>4.946357428</v>
      </c>
      <c r="I1495" t="n">
        <v>1</v>
      </c>
      <c r="J1495" t="n">
        <v>1</v>
      </c>
      <c r="K1495" t="inlineStr"/>
    </row>
    <row r="1496">
      <c r="A1496" t="inlineStr">
        <is>
          <t>SHOUNKI23T8</t>
        </is>
      </c>
      <c r="B1496" t="inlineStr">
        <is>
          <t>SHORT PLAYA KIDS</t>
        </is>
      </c>
      <c r="C1496" t="inlineStr">
        <is>
          <t>Manufactura / Kids / P. Inferiores</t>
        </is>
      </c>
      <c r="D1496" t="n">
        <v>10</v>
      </c>
      <c r="E1496" t="n">
        <v>411.2007217</v>
      </c>
      <c r="F1496" t="n">
        <v>0.8400855749333334</v>
      </c>
      <c r="G1496" t="n">
        <v>2</v>
      </c>
      <c r="H1496" t="n">
        <v>6.09</v>
      </c>
      <c r="I1496" t="n">
        <v>1</v>
      </c>
      <c r="J1496" t="n">
        <v>1</v>
      </c>
      <c r="K1496" t="inlineStr"/>
    </row>
    <row r="1497">
      <c r="A1497" t="inlineStr">
        <is>
          <t>SHONRCA66T2XL</t>
        </is>
      </c>
      <c r="B1497" t="inlineStr">
        <is>
          <t>SHORT SPORT CAB</t>
        </is>
      </c>
      <c r="C1497" t="inlineStr">
        <is>
          <t>Manufactura / Caballero / P. Inferiores</t>
        </is>
      </c>
      <c r="D1497" t="n">
        <v>9</v>
      </c>
      <c r="E1497" t="n">
        <v>410.20552538</v>
      </c>
      <c r="F1497" t="n">
        <v>0.7688302572363636</v>
      </c>
      <c r="G1497" t="n">
        <v>12</v>
      </c>
      <c r="H1497" t="n">
        <v>10.6514486</v>
      </c>
      <c r="I1497" t="n">
        <v>0.9</v>
      </c>
      <c r="J1497" t="n">
        <v>0</v>
      </c>
      <c r="K1497" t="inlineStr"/>
    </row>
    <row r="1498">
      <c r="A1498" t="inlineStr">
        <is>
          <t>SARSPKI30T10</t>
        </is>
      </c>
      <c r="B1498" t="inlineStr">
        <is>
          <t>FALDA SARA KIDS</t>
        </is>
      </c>
      <c r="C1498" t="inlineStr">
        <is>
          <t>Manufactura / Kids / P. Inferiores</t>
        </is>
      </c>
      <c r="D1498" t="n">
        <v>11</v>
      </c>
      <c r="E1498" t="n">
        <v>409.36396067</v>
      </c>
      <c r="F1498" t="n">
        <v>0.8241711160454546</v>
      </c>
      <c r="G1498" t="n">
        <v>5</v>
      </c>
      <c r="H1498" t="n">
        <v>5.753743316</v>
      </c>
      <c r="I1498" t="n">
        <v>1.1</v>
      </c>
      <c r="J1498" t="n">
        <v>3</v>
      </c>
      <c r="K1498" t="inlineStr"/>
    </row>
    <row r="1499">
      <c r="A1499" t="inlineStr">
        <is>
          <t>CLADFCA70TL</t>
        </is>
      </c>
      <c r="B1499" t="inlineStr">
        <is>
          <t>CLASICA ADVANCE CAB</t>
        </is>
      </c>
      <c r="C1499" t="inlineStr">
        <is>
          <t>Manufactura / Caballero / P. Superiores</t>
        </is>
      </c>
      <c r="D1499" t="n">
        <v>11</v>
      </c>
      <c r="E1499" t="n">
        <v>407.71438844</v>
      </c>
      <c r="F1499" t="n">
        <v>0.6848330044099999</v>
      </c>
      <c r="G1499" t="n">
        <v>6</v>
      </c>
      <c r="H1499" t="n">
        <v>15.51</v>
      </c>
      <c r="I1499" t="n">
        <v>1.1</v>
      </c>
      <c r="J1499" t="n">
        <v>2</v>
      </c>
      <c r="K1499" t="inlineStr"/>
    </row>
    <row r="1500">
      <c r="A1500" t="inlineStr">
        <is>
          <t>CLAMECA13TXL</t>
        </is>
      </c>
      <c r="B1500" t="inlineStr">
        <is>
          <t>CLASICA SPORT CAB</t>
        </is>
      </c>
      <c r="C1500" t="inlineStr">
        <is>
          <t>Manufactura / Caballero / P. Superiores</t>
        </is>
      </c>
      <c r="D1500" t="n">
        <v>10</v>
      </c>
      <c r="E1500" t="n">
        <v>406.94456095</v>
      </c>
      <c r="F1500" t="n">
        <v>0.7321390961500001</v>
      </c>
      <c r="G1500" t="n">
        <v>0</v>
      </c>
      <c r="H1500" t="n">
        <v>10.3013454</v>
      </c>
      <c r="I1500" t="n">
        <v>1</v>
      </c>
      <c r="J1500" t="n">
        <v>1</v>
      </c>
      <c r="K1500" t="inlineStr">
        <is>
          <t>Sin stock</t>
        </is>
      </c>
    </row>
    <row r="1501">
      <c r="A1501" t="inlineStr">
        <is>
          <t>RIOMIDA13TL</t>
        </is>
      </c>
      <c r="B1501" t="inlineStr">
        <is>
          <t>RIO ORIGINAL DAMA</t>
        </is>
      </c>
      <c r="C1501" t="inlineStr">
        <is>
          <t>Manufactura / Dama / P. Superiores</t>
        </is>
      </c>
      <c r="D1501" t="n">
        <v>8</v>
      </c>
      <c r="E1501" t="n">
        <v>406.71618945</v>
      </c>
      <c r="F1501" t="n">
        <v>0.8879895238</v>
      </c>
      <c r="G1501" t="n">
        <v>1</v>
      </c>
      <c r="H1501" t="n">
        <v>5.538832275</v>
      </c>
      <c r="I1501" t="n">
        <v>0.8</v>
      </c>
      <c r="J1501" t="n">
        <v>4</v>
      </c>
      <c r="K1501" t="inlineStr"/>
    </row>
    <row r="1502">
      <c r="A1502" t="inlineStr">
        <is>
          <t>ANMSUDA151TM</t>
        </is>
      </c>
      <c r="B1502" t="inlineStr">
        <is>
          <t>ANDRE MOTION DAMA</t>
        </is>
      </c>
      <c r="C1502" t="inlineStr">
        <is>
          <t>Manufactura / Dama / P. Superiores</t>
        </is>
      </c>
      <c r="D1502" t="n">
        <v>9</v>
      </c>
      <c r="E1502" t="n">
        <v>406.23712375</v>
      </c>
      <c r="F1502" t="n">
        <v>0.7575559668181818</v>
      </c>
      <c r="G1502" t="n">
        <v>1</v>
      </c>
      <c r="H1502" t="n">
        <v>10.6</v>
      </c>
      <c r="I1502" t="n">
        <v>0.9</v>
      </c>
      <c r="J1502" t="n">
        <v>2</v>
      </c>
      <c r="K1502" t="inlineStr"/>
    </row>
    <row r="1503">
      <c r="A1503" t="inlineStr">
        <is>
          <t>SHPEUNCA211TL</t>
        </is>
      </c>
      <c r="B1503" t="inlineStr">
        <is>
          <t>SHORT PLAYA ESTAMPADO CAB</t>
        </is>
      </c>
      <c r="C1503" t="inlineStr">
        <is>
          <t>Manufactura / Caballero / P. Inferiores</t>
        </is>
      </c>
      <c r="D1503" t="n">
        <v>10</v>
      </c>
      <c r="E1503" t="n">
        <v>406.1025176</v>
      </c>
      <c r="F1503" t="n">
        <v>0.7017994355</v>
      </c>
      <c r="G1503" t="n">
        <v>0</v>
      </c>
      <c r="H1503" t="n">
        <v>12.11</v>
      </c>
      <c r="I1503" t="n">
        <v>1</v>
      </c>
      <c r="J1503" t="n">
        <v>4</v>
      </c>
      <c r="K1503" t="inlineStr">
        <is>
          <t>Sin stock</t>
        </is>
      </c>
    </row>
    <row r="1504">
      <c r="A1504" t="inlineStr">
        <is>
          <t>SHPEUNCA211T2XL</t>
        </is>
      </c>
      <c r="B1504" t="inlineStr">
        <is>
          <t>SHORT PLAYA ESTAMPADO CAB</t>
        </is>
      </c>
      <c r="C1504" t="inlineStr">
        <is>
          <t>Manufactura / Caballero / P. Inferiores</t>
        </is>
      </c>
      <c r="D1504" t="n">
        <v>10</v>
      </c>
      <c r="E1504" t="n">
        <v>406.1025176</v>
      </c>
      <c r="F1504" t="n">
        <v>0.7017994355</v>
      </c>
      <c r="G1504" t="n">
        <v>0</v>
      </c>
      <c r="H1504" t="n">
        <v>12.11</v>
      </c>
      <c r="I1504" t="n">
        <v>1</v>
      </c>
      <c r="J1504" t="n">
        <v>4</v>
      </c>
      <c r="K1504" t="inlineStr">
        <is>
          <t>Sin stock</t>
        </is>
      </c>
    </row>
    <row r="1505">
      <c r="A1505" t="inlineStr">
        <is>
          <t>CLADFCA151T2XL</t>
        </is>
      </c>
      <c r="B1505" t="inlineStr">
        <is>
          <t>CLASICA ADVANCE CAB</t>
        </is>
      </c>
      <c r="C1505" t="inlineStr">
        <is>
          <t>Manufactura / Caballero / P. Superiores</t>
        </is>
      </c>
      <c r="D1505" t="n">
        <v>7</v>
      </c>
      <c r="E1505" t="n">
        <v>405.60064184</v>
      </c>
      <c r="F1505" t="n">
        <v>0.7198586320142857</v>
      </c>
      <c r="G1505" t="n">
        <v>8</v>
      </c>
      <c r="H1505" t="n">
        <v>15.51</v>
      </c>
      <c r="I1505" t="n">
        <v>0.7</v>
      </c>
      <c r="J1505" t="n">
        <v>2</v>
      </c>
      <c r="K1505" t="inlineStr"/>
    </row>
    <row r="1506">
      <c r="A1506" t="inlineStr">
        <is>
          <t>TALGTADA170TM</t>
        </is>
      </c>
      <c r="B1506" t="inlineStr">
        <is>
          <t>URBAN COTTON TOP GRAY BLOCK DAMA</t>
        </is>
      </c>
      <c r="C1506" t="inlineStr">
        <is>
          <t>Manufactura / Dama / P. Superiores</t>
        </is>
      </c>
      <c r="D1506" t="n">
        <v>12</v>
      </c>
      <c r="E1506" t="n">
        <v>404.88213496</v>
      </c>
      <c r="F1506" t="n">
        <v>0.83875405045</v>
      </c>
      <c r="G1506" t="n">
        <v>20</v>
      </c>
      <c r="H1506" t="n">
        <v>7.811820557</v>
      </c>
      <c r="I1506" t="n">
        <v>1.2</v>
      </c>
      <c r="J1506" t="n">
        <v>1</v>
      </c>
      <c r="K1506" t="inlineStr"/>
    </row>
    <row r="1507">
      <c r="A1507" t="inlineStr">
        <is>
          <t>SHOUNKI13T4</t>
        </is>
      </c>
      <c r="B1507" t="inlineStr">
        <is>
          <t>SHORT PLAYA KIDS</t>
        </is>
      </c>
      <c r="C1507" t="inlineStr">
        <is>
          <t>Manufactura / Kids / P. Inferiores</t>
        </is>
      </c>
      <c r="D1507" t="n">
        <v>11</v>
      </c>
      <c r="E1507" t="n">
        <v>403.64238338</v>
      </c>
      <c r="F1507" t="n">
        <v>0.84384115321</v>
      </c>
      <c r="G1507" t="n">
        <v>20</v>
      </c>
      <c r="H1507" t="n">
        <v>6.09</v>
      </c>
      <c r="I1507" t="n">
        <v>1.1</v>
      </c>
      <c r="J1507" t="n">
        <v>2</v>
      </c>
      <c r="K1507" t="inlineStr"/>
    </row>
    <row r="1508">
      <c r="A1508" t="inlineStr">
        <is>
          <t>SMCBNEDA16TM</t>
        </is>
      </c>
      <c r="B1508" t="inlineStr">
        <is>
          <t>SPOTS MANGA CORTA DAMA</t>
        </is>
      </c>
      <c r="C1508" t="inlineStr">
        <is>
          <t>Manufactura / Dama / P. Superiores</t>
        </is>
      </c>
      <c r="D1508" t="n">
        <v>12</v>
      </c>
      <c r="E1508" t="n">
        <v>403.4203488959117</v>
      </c>
      <c r="F1508" t="n">
        <v>0.7638009571181819</v>
      </c>
      <c r="G1508" t="n">
        <v>6</v>
      </c>
      <c r="H1508" t="n">
        <v>8.5</v>
      </c>
      <c r="I1508" t="n">
        <v>1.2</v>
      </c>
      <c r="J1508" t="n">
        <v>0</v>
      </c>
      <c r="K1508" t="inlineStr"/>
    </row>
    <row r="1509">
      <c r="A1509" t="inlineStr">
        <is>
          <t>SHOUNKI57T14</t>
        </is>
      </c>
      <c r="B1509" t="inlineStr">
        <is>
          <t>SHORT PLAYA KIDS</t>
        </is>
      </c>
      <c r="C1509" t="inlineStr">
        <is>
          <t>Manufactura / Kids / P. Inferiores</t>
        </is>
      </c>
      <c r="D1509" t="n">
        <v>10</v>
      </c>
      <c r="E1509" t="n">
        <v>402.47096689</v>
      </c>
      <c r="F1509" t="n">
        <v>0.8527744349571428</v>
      </c>
      <c r="G1509" t="n">
        <v>11</v>
      </c>
      <c r="H1509" t="n">
        <v>6.089999999999999</v>
      </c>
      <c r="I1509" t="n">
        <v>1</v>
      </c>
      <c r="J1509" t="n">
        <v>1</v>
      </c>
      <c r="K1509" t="inlineStr"/>
    </row>
    <row r="1510">
      <c r="A1510" t="inlineStr">
        <is>
          <t>MANMIGE43TG</t>
        </is>
      </c>
      <c r="B1510" t="inlineStr">
        <is>
          <t>MANGAS GENERAL</t>
        </is>
      </c>
      <c r="C1510" t="inlineStr">
        <is>
          <t>Manufactura / General</t>
        </is>
      </c>
      <c r="D1510" t="n">
        <v>24</v>
      </c>
      <c r="E1510" t="n">
        <v>402.33527799</v>
      </c>
      <c r="F1510" t="n">
        <v>0.947387620632</v>
      </c>
      <c r="G1510" t="n">
        <v>7</v>
      </c>
      <c r="H1510" t="n">
        <v>0.92</v>
      </c>
      <c r="I1510" t="n">
        <v>2.4</v>
      </c>
      <c r="J1510" t="n">
        <v>1</v>
      </c>
      <c r="K1510" t="inlineStr"/>
    </row>
    <row r="1511">
      <c r="A1511" t="inlineStr">
        <is>
          <t>SHUNTDA157TXS</t>
        </is>
      </c>
      <c r="B1511" t="inlineStr">
        <is>
          <t>SHORT SPORT R1 DAMA</t>
        </is>
      </c>
      <c r="C1511" t="inlineStr">
        <is>
          <t>Manufactura / Dama / P. Inferiores</t>
        </is>
      </c>
      <c r="D1511" t="n">
        <v>8</v>
      </c>
      <c r="E1511" t="n">
        <v>402.26963073</v>
      </c>
      <c r="F1511" t="n">
        <v>0.82536037776</v>
      </c>
      <c r="G1511" t="n">
        <v>48</v>
      </c>
      <c r="H1511" t="n">
        <v>8.33</v>
      </c>
      <c r="I1511" t="n">
        <v>0.8</v>
      </c>
      <c r="J1511" t="n">
        <v>0</v>
      </c>
      <c r="K1511" t="inlineStr"/>
    </row>
    <row r="1512">
      <c r="A1512" t="inlineStr">
        <is>
          <t>CCBHMKI03T14</t>
        </is>
      </c>
      <c r="B1512" t="inlineStr">
        <is>
          <t>CLUB CLASICA KIDS</t>
        </is>
      </c>
      <c r="C1512" t="inlineStr">
        <is>
          <t>Manufactura / Kids / P. Superiores</t>
        </is>
      </c>
      <c r="D1512" t="n">
        <v>12</v>
      </c>
      <c r="E1512" t="n">
        <v>401</v>
      </c>
      <c r="F1512" t="n">
        <v>0.9695938981545456</v>
      </c>
      <c r="G1512" t="n">
        <v>37</v>
      </c>
      <c r="H1512" t="n">
        <v>1</v>
      </c>
      <c r="I1512" t="n">
        <v>1.2</v>
      </c>
      <c r="J1512" t="n">
        <v>0</v>
      </c>
      <c r="K1512" t="inlineStr"/>
    </row>
    <row r="1513">
      <c r="A1513" t="inlineStr">
        <is>
          <t>SHOUNKI50T10</t>
        </is>
      </c>
      <c r="B1513" t="inlineStr">
        <is>
          <t>SHORT PLAYA KIDS</t>
        </is>
      </c>
      <c r="C1513" t="inlineStr">
        <is>
          <t>Manufactura / Kids / P. Inferiores</t>
        </is>
      </c>
      <c r="D1513" t="n">
        <v>12</v>
      </c>
      <c r="E1513" t="n">
        <v>400.65550782</v>
      </c>
      <c r="F1513" t="n">
        <v>0.8128103998333334</v>
      </c>
      <c r="G1513" t="n">
        <v>8</v>
      </c>
      <c r="H1513" t="n">
        <v>6.09</v>
      </c>
      <c r="I1513" t="n">
        <v>1.2</v>
      </c>
      <c r="J1513" t="n">
        <v>3</v>
      </c>
      <c r="K1513" t="inlineStr"/>
    </row>
    <row r="1514">
      <c r="A1514" t="inlineStr">
        <is>
          <t>RIOMICA16T3XL</t>
        </is>
      </c>
      <c r="B1514" t="inlineStr">
        <is>
          <t>RIO ORIGINAL CAB</t>
        </is>
      </c>
      <c r="C1514" t="inlineStr">
        <is>
          <t>Manufactura / Caballero / P. Superiores</t>
        </is>
      </c>
      <c r="D1514" t="n">
        <v>7</v>
      </c>
      <c r="E1514" t="n">
        <v>400.49680043</v>
      </c>
      <c r="F1514" t="n">
        <v>0.8948333316428572</v>
      </c>
      <c r="G1514" t="n">
        <v>18</v>
      </c>
      <c r="H1514" t="n">
        <v>5.939350288</v>
      </c>
      <c r="I1514" t="n">
        <v>0.7</v>
      </c>
      <c r="J1514" t="n">
        <v>4</v>
      </c>
      <c r="K1514" t="inlineStr"/>
    </row>
    <row r="1515">
      <c r="A1515" t="inlineStr">
        <is>
          <t>SHOUNKI01T6</t>
        </is>
      </c>
      <c r="B1515" t="inlineStr">
        <is>
          <t>SHORT PLAYA KIDS</t>
        </is>
      </c>
      <c r="C1515" t="inlineStr">
        <is>
          <t>Manufactura / Kids / P. Inferiores</t>
        </is>
      </c>
      <c r="D1515" t="n">
        <v>10</v>
      </c>
      <c r="E1515" t="n">
        <v>400.4251411</v>
      </c>
      <c r="F1515" t="n">
        <v>0.84252495454</v>
      </c>
      <c r="G1515" t="n">
        <v>16</v>
      </c>
      <c r="H1515" t="n">
        <v>6.09</v>
      </c>
      <c r="I1515" t="n">
        <v>1</v>
      </c>
      <c r="J1515" t="n">
        <v>0</v>
      </c>
      <c r="K1515" t="inlineStr"/>
    </row>
    <row r="1516">
      <c r="A1516" t="inlineStr">
        <is>
          <t>RIOMICA14TL</t>
        </is>
      </c>
      <c r="B1516" t="inlineStr">
        <is>
          <t>RIO ORIGINAL CAB</t>
        </is>
      </c>
      <c r="C1516" t="inlineStr">
        <is>
          <t>Manufactura / Caballero / P. Superiores</t>
        </is>
      </c>
      <c r="D1516" t="n">
        <v>8</v>
      </c>
      <c r="E1516" t="n">
        <v>399.76042122</v>
      </c>
      <c r="F1516" t="n">
        <v>0.880489896725</v>
      </c>
      <c r="G1516" t="n">
        <v>0</v>
      </c>
      <c r="H1516" t="n">
        <v>5.939350288</v>
      </c>
      <c r="I1516" t="n">
        <v>0.8</v>
      </c>
      <c r="J1516" t="n">
        <v>8</v>
      </c>
      <c r="K1516" t="inlineStr">
        <is>
          <t>Sin stock</t>
        </is>
      </c>
    </row>
    <row r="1517">
      <c r="A1517" t="inlineStr">
        <is>
          <t>RIOMIKI04T6</t>
        </is>
      </c>
      <c r="B1517" t="inlineStr">
        <is>
          <t>RIO ORIGINAL KIDS</t>
        </is>
      </c>
      <c r="C1517" t="inlineStr">
        <is>
          <t>Manufactura / Kids / P. Superiores</t>
        </is>
      </c>
      <c r="D1517" t="n">
        <v>9</v>
      </c>
      <c r="E1517" t="n">
        <v>397.73997559</v>
      </c>
      <c r="F1517" t="n">
        <v>0.91525195579</v>
      </c>
      <c r="G1517" t="n">
        <v>4</v>
      </c>
      <c r="H1517" t="n">
        <v>3.617969464</v>
      </c>
      <c r="I1517" t="n">
        <v>0.9</v>
      </c>
      <c r="J1517" t="n">
        <v>0</v>
      </c>
      <c r="K1517" t="inlineStr"/>
    </row>
    <row r="1518">
      <c r="A1518" t="inlineStr">
        <is>
          <t>CCBHMKI03T10</t>
        </is>
      </c>
      <c r="B1518" t="inlineStr">
        <is>
          <t>CLUB CLASICA KIDS</t>
        </is>
      </c>
      <c r="C1518" t="inlineStr">
        <is>
          <t>Manufactura / Kids / P. Superiores</t>
        </is>
      </c>
      <c r="D1518" t="n">
        <v>12</v>
      </c>
      <c r="E1518" t="n">
        <v>397.43068106</v>
      </c>
      <c r="F1518" t="n">
        <v>0.96966372965</v>
      </c>
      <c r="G1518" t="n">
        <v>21</v>
      </c>
      <c r="H1518" t="n">
        <v>1</v>
      </c>
      <c r="I1518" t="n">
        <v>1.2</v>
      </c>
      <c r="J1518" t="n">
        <v>0</v>
      </c>
      <c r="K1518" t="inlineStr"/>
    </row>
    <row r="1519">
      <c r="A1519" t="inlineStr">
        <is>
          <t>MARMIDA39TL</t>
        </is>
      </c>
      <c r="B1519" t="inlineStr">
        <is>
          <t>MAR ORIGINAL DAMA</t>
        </is>
      </c>
      <c r="C1519" t="inlineStr">
        <is>
          <t>Manufactura / Dama / P. Superiores</t>
        </is>
      </c>
      <c r="D1519" t="n">
        <v>12</v>
      </c>
      <c r="E1519" t="n">
        <v>397.39608155</v>
      </c>
      <c r="F1519" t="n">
        <v>0.8743048996285714</v>
      </c>
      <c r="G1519" t="n">
        <v>0</v>
      </c>
      <c r="H1519" t="n">
        <v>4.278324149</v>
      </c>
      <c r="I1519" t="n">
        <v>1.2</v>
      </c>
      <c r="J1519" t="n">
        <v>3</v>
      </c>
      <c r="K1519" t="inlineStr">
        <is>
          <t>Sin stock</t>
        </is>
      </c>
    </row>
    <row r="1520">
      <c r="A1520" t="inlineStr">
        <is>
          <t>TALGTACA166TS</t>
        </is>
      </c>
      <c r="B1520" t="inlineStr">
        <is>
          <t>URBAN COTTON OVERSIZED VINTAGE VERDE CAB</t>
        </is>
      </c>
      <c r="C1520" t="inlineStr">
        <is>
          <t>Manufactura / Caballero / P. Superiores</t>
        </is>
      </c>
      <c r="D1520" t="n">
        <v>9</v>
      </c>
      <c r="E1520" t="n">
        <v>397.11009723</v>
      </c>
      <c r="F1520" t="n">
        <v>0.7855609714428572</v>
      </c>
      <c r="G1520" t="n">
        <v>6</v>
      </c>
      <c r="H1520" t="n">
        <v>12.16396667</v>
      </c>
      <c r="I1520" t="n">
        <v>0.9</v>
      </c>
      <c r="J1520" t="n">
        <v>3</v>
      </c>
      <c r="K1520" t="inlineStr"/>
    </row>
    <row r="1521">
      <c r="A1521" t="inlineStr">
        <is>
          <t>SHUNTDA157TL</t>
        </is>
      </c>
      <c r="B1521" t="inlineStr">
        <is>
          <t>SHORT SPORT R1 DAMA</t>
        </is>
      </c>
      <c r="C1521" t="inlineStr">
        <is>
          <t>Manufactura / Dama / P. Inferiores</t>
        </is>
      </c>
      <c r="D1521" t="n">
        <v>9</v>
      </c>
      <c r="E1521" t="n">
        <v>396.54632113</v>
      </c>
      <c r="F1521" t="n">
        <v>0.8054878194444445</v>
      </c>
      <c r="G1521" t="n">
        <v>25</v>
      </c>
      <c r="H1521" t="n">
        <v>8.33</v>
      </c>
      <c r="I1521" t="n">
        <v>0.9</v>
      </c>
      <c r="J1521" t="n">
        <v>0</v>
      </c>
      <c r="K1521" t="inlineStr"/>
    </row>
    <row r="1522">
      <c r="A1522" t="inlineStr">
        <is>
          <t>POLPLCA30TS</t>
        </is>
      </c>
      <c r="B1522" t="inlineStr">
        <is>
          <t>CLASSIC POLO</t>
        </is>
      </c>
      <c r="C1522" t="inlineStr">
        <is>
          <t>Manufactura / Caballero / P. Superiores</t>
        </is>
      </c>
      <c r="D1522" t="n">
        <v>10</v>
      </c>
      <c r="E1522" t="n">
        <v>396.25471086</v>
      </c>
      <c r="F1522" t="n">
        <v>0.8308132753</v>
      </c>
      <c r="G1522" t="n">
        <v>65</v>
      </c>
      <c r="H1522" t="n">
        <v>7.340000000000001</v>
      </c>
      <c r="I1522" t="n">
        <v>1</v>
      </c>
      <c r="J1522" t="n">
        <v>1</v>
      </c>
      <c r="K1522" t="inlineStr"/>
    </row>
    <row r="1523">
      <c r="A1523" t="inlineStr">
        <is>
          <t>TMOFIDA66TS</t>
        </is>
      </c>
      <c r="B1523" t="inlineStr">
        <is>
          <t>TOP MOVA</t>
        </is>
      </c>
      <c r="C1523" t="inlineStr">
        <is>
          <t>Manufactura / Dama / P. Superiores</t>
        </is>
      </c>
      <c r="D1523" t="n">
        <v>13</v>
      </c>
      <c r="E1523" t="n">
        <v>395.00805973</v>
      </c>
      <c r="F1523" t="n">
        <v>0.7758391443375</v>
      </c>
      <c r="G1523" t="n">
        <v>14</v>
      </c>
      <c r="H1523" t="n">
        <v>9.942967033</v>
      </c>
      <c r="I1523" t="n">
        <v>1.3</v>
      </c>
      <c r="J1523" t="n">
        <v>1</v>
      </c>
      <c r="K1523" t="inlineStr"/>
    </row>
    <row r="1524">
      <c r="A1524" t="inlineStr">
        <is>
          <t>ZOEMIKI11T14</t>
        </is>
      </c>
      <c r="B1524" t="inlineStr">
        <is>
          <t>ZOE ORIGINAL KIDS</t>
        </is>
      </c>
      <c r="C1524" t="inlineStr">
        <is>
          <t>Manufactura / Kids / P. Superiores</t>
        </is>
      </c>
      <c r="D1524" t="n">
        <v>11</v>
      </c>
      <c r="E1524" t="n">
        <v>394.83706596</v>
      </c>
      <c r="F1524" t="n">
        <v>0.87073226492</v>
      </c>
      <c r="G1524" t="n">
        <v>9</v>
      </c>
      <c r="H1524" t="n">
        <v>4.12</v>
      </c>
      <c r="I1524" t="n">
        <v>1.1</v>
      </c>
      <c r="J1524" t="n">
        <v>0</v>
      </c>
      <c r="K1524" t="inlineStr"/>
    </row>
    <row r="1525">
      <c r="A1525" t="inlineStr">
        <is>
          <t>SHONRKI30T8</t>
        </is>
      </c>
      <c r="B1525" t="inlineStr">
        <is>
          <t>SHORT SPORT KIDS</t>
        </is>
      </c>
      <c r="C1525" t="inlineStr">
        <is>
          <t>Manufactura / Kids / P. Inferiores</t>
        </is>
      </c>
      <c r="D1525" t="n">
        <v>9</v>
      </c>
      <c r="E1525" t="n">
        <v>394.009832</v>
      </c>
      <c r="F1525" t="n">
        <v>0.8490557984555556</v>
      </c>
      <c r="G1525" t="n">
        <v>25</v>
      </c>
      <c r="H1525" t="n">
        <v>6.465724382</v>
      </c>
      <c r="I1525" t="n">
        <v>0.9</v>
      </c>
      <c r="J1525" t="n">
        <v>0</v>
      </c>
      <c r="K1525" t="inlineStr"/>
    </row>
    <row r="1526">
      <c r="A1526" t="inlineStr">
        <is>
          <t>JACDA67TXS</t>
        </is>
      </c>
      <c r="B1526" t="inlineStr">
        <is>
          <t>JACKET DAMA</t>
        </is>
      </c>
      <c r="C1526" t="inlineStr">
        <is>
          <t>Equipamiento / Ropa</t>
        </is>
      </c>
      <c r="D1526" t="n">
        <v>7</v>
      </c>
      <c r="E1526" t="n">
        <v>393.62501621</v>
      </c>
      <c r="F1526" t="n">
        <v>0.6841153241833333</v>
      </c>
      <c r="G1526" t="n">
        <v>14</v>
      </c>
      <c r="H1526" t="n">
        <v>20.25</v>
      </c>
      <c r="I1526" t="n">
        <v>0.7</v>
      </c>
      <c r="J1526" t="n">
        <v>0</v>
      </c>
      <c r="K1526" t="inlineStr"/>
    </row>
    <row r="1527">
      <c r="A1527" t="inlineStr">
        <is>
          <t>SHOUNKI57T10</t>
        </is>
      </c>
      <c r="B1527" t="inlineStr">
        <is>
          <t>SHORT PLAYA KIDS</t>
        </is>
      </c>
      <c r="C1527" t="inlineStr">
        <is>
          <t>Manufactura / Kids / P. Inferiores</t>
        </is>
      </c>
      <c r="D1527" t="n">
        <v>9</v>
      </c>
      <c r="E1527" t="n">
        <v>392.95936898</v>
      </c>
      <c r="F1527" t="n">
        <v>0.8564493224333334</v>
      </c>
      <c r="G1527" t="n">
        <v>8</v>
      </c>
      <c r="H1527" t="n">
        <v>6.09</v>
      </c>
      <c r="I1527" t="n">
        <v>0.9</v>
      </c>
      <c r="J1527" t="n">
        <v>0</v>
      </c>
      <c r="K1527" t="inlineStr"/>
    </row>
    <row r="1528">
      <c r="A1528" t="inlineStr">
        <is>
          <t>CLAMEKI30T14</t>
        </is>
      </c>
      <c r="B1528" t="inlineStr">
        <is>
          <t>CLASICA SPORT KIDS</t>
        </is>
      </c>
      <c r="C1528" t="inlineStr">
        <is>
          <t>Manufactura / Kids / P. Superiores</t>
        </is>
      </c>
      <c r="D1528" t="n">
        <v>13</v>
      </c>
      <c r="E1528" t="n">
        <v>392.56524839</v>
      </c>
      <c r="F1528" t="n">
        <v>0.8657580408153845</v>
      </c>
      <c r="G1528" t="n">
        <v>9</v>
      </c>
      <c r="H1528" t="n">
        <v>3.97</v>
      </c>
      <c r="I1528" t="n">
        <v>1.3</v>
      </c>
      <c r="J1528" t="n">
        <v>0</v>
      </c>
      <c r="K1528" t="inlineStr"/>
    </row>
    <row r="1529">
      <c r="A1529" t="inlineStr">
        <is>
          <t>TALGTACA12TXL</t>
        </is>
      </c>
      <c r="B1529" t="inlineStr">
        <is>
          <t>URBAN COTTON OVERSIZED OUTSIDE CAB</t>
        </is>
      </c>
      <c r="C1529" t="inlineStr">
        <is>
          <t>Manufactura / Caballero / P. Superiores</t>
        </is>
      </c>
      <c r="D1529" t="n">
        <v>8</v>
      </c>
      <c r="E1529" t="n">
        <v>392.37080665</v>
      </c>
      <c r="F1529" t="n">
        <v>0.7827583808222223</v>
      </c>
      <c r="G1529" t="n">
        <v>17</v>
      </c>
      <c r="H1529" t="n">
        <v>12.16758159</v>
      </c>
      <c r="I1529" t="n">
        <v>0.8</v>
      </c>
      <c r="J1529" t="n">
        <v>7</v>
      </c>
      <c r="K1529" t="inlineStr"/>
    </row>
    <row r="1530">
      <c r="A1530" t="inlineStr">
        <is>
          <t>CLAMIDA70TXS</t>
        </is>
      </c>
      <c r="B1530" t="inlineStr">
        <is>
          <t>CLASICA ORIGINAL DAMA</t>
        </is>
      </c>
      <c r="C1530" t="inlineStr">
        <is>
          <t>Manufactura / Dama / P. Superiores</t>
        </is>
      </c>
      <c r="D1530" t="n">
        <v>10</v>
      </c>
      <c r="E1530" t="n">
        <v>391.29902601</v>
      </c>
      <c r="F1530" t="n">
        <v>0.9082262149000001</v>
      </c>
      <c r="G1530" t="n">
        <v>9</v>
      </c>
      <c r="H1530" t="n">
        <v>3.923227589000001</v>
      </c>
      <c r="I1530" t="n">
        <v>1</v>
      </c>
      <c r="J1530" t="n">
        <v>0</v>
      </c>
      <c r="K1530" t="inlineStr"/>
    </row>
    <row r="1531">
      <c r="A1531" t="inlineStr">
        <is>
          <t>GEMBADA39TM</t>
        </is>
      </c>
      <c r="B1531" t="inlineStr">
        <is>
          <t>VESTIDO GEMMA DAMA</t>
        </is>
      </c>
      <c r="C1531" t="inlineStr">
        <is>
          <t>Manufactura / Dama / Conjuntos</t>
        </is>
      </c>
      <c r="D1531" t="n">
        <v>8</v>
      </c>
      <c r="E1531" t="n">
        <v>391.18559878</v>
      </c>
      <c r="F1531" t="n">
        <v>0.492180388975</v>
      </c>
      <c r="G1531" t="n">
        <v>14</v>
      </c>
      <c r="H1531" t="n">
        <v>23.99</v>
      </c>
      <c r="I1531" t="n">
        <v>0.8</v>
      </c>
      <c r="J1531" t="n">
        <v>1</v>
      </c>
      <c r="K1531" t="inlineStr"/>
    </row>
    <row r="1532">
      <c r="A1532" t="inlineStr">
        <is>
          <t>CCBHMDA03TS</t>
        </is>
      </c>
      <c r="B1532" t="inlineStr">
        <is>
          <t>CLUB CLASICA DAMA</t>
        </is>
      </c>
      <c r="C1532" t="inlineStr">
        <is>
          <t>Manufactura / Dama / P. Superiores</t>
        </is>
      </c>
      <c r="D1532" t="n">
        <v>11</v>
      </c>
      <c r="E1532" t="n">
        <v>391.1288618465287</v>
      </c>
      <c r="F1532" t="n">
        <v>0.9768069164299999</v>
      </c>
      <c r="G1532" t="n">
        <v>6</v>
      </c>
      <c r="H1532" t="n">
        <v>1</v>
      </c>
      <c r="I1532" t="n">
        <v>1.1</v>
      </c>
      <c r="J1532" t="n">
        <v>0</v>
      </c>
      <c r="K1532" t="inlineStr"/>
    </row>
    <row r="1533">
      <c r="A1533" t="inlineStr">
        <is>
          <t>SHOSUKI154T1</t>
        </is>
      </c>
      <c r="B1533" t="inlineStr">
        <is>
          <t>SHORT PLAYA ESTAMPADO KIDS</t>
        </is>
      </c>
      <c r="C1533" t="inlineStr">
        <is>
          <t>Manufactura / Kids / P. Superiores</t>
        </is>
      </c>
      <c r="D1533" t="n">
        <v>9</v>
      </c>
      <c r="E1533" t="n">
        <v>390.62193655</v>
      </c>
      <c r="F1533" t="n">
        <v>0.8241598532111111</v>
      </c>
      <c r="G1533" t="n">
        <v>15</v>
      </c>
      <c r="H1533" t="n">
        <v>7.21</v>
      </c>
      <c r="I1533" t="n">
        <v>0.9</v>
      </c>
      <c r="J1533" t="n">
        <v>3</v>
      </c>
      <c r="K1533" t="inlineStr"/>
    </row>
    <row r="1534">
      <c r="A1534" t="inlineStr">
        <is>
          <t>NAHFNCA10TXL</t>
        </is>
      </c>
      <c r="B1534" t="inlineStr">
        <is>
          <t>NOAH SPORT LITE CAB</t>
        </is>
      </c>
      <c r="C1534" t="inlineStr">
        <is>
          <t>Manufactura / Caballero / P. Superiores</t>
        </is>
      </c>
      <c r="D1534" t="n">
        <v>12</v>
      </c>
      <c r="E1534" t="n">
        <v>390.1799124</v>
      </c>
      <c r="F1534" t="n">
        <v>0.4920706149</v>
      </c>
      <c r="G1534" t="n">
        <v>2</v>
      </c>
      <c r="H1534" t="n">
        <v>17.61141534</v>
      </c>
      <c r="I1534" t="n">
        <v>1.2</v>
      </c>
      <c r="J1534" t="n">
        <v>2</v>
      </c>
      <c r="K1534" t="inlineStr"/>
    </row>
    <row r="1535">
      <c r="A1535" t="inlineStr">
        <is>
          <t>CLAMECA12T2XL</t>
        </is>
      </c>
      <c r="B1535" t="inlineStr">
        <is>
          <t>CLASICA SPORT CAB</t>
        </is>
      </c>
      <c r="C1535" t="inlineStr">
        <is>
          <t>Manufactura / Caballero / P. Superiores</t>
        </is>
      </c>
      <c r="D1535" t="n">
        <v>7</v>
      </c>
      <c r="E1535" t="n">
        <v>390.11583236</v>
      </c>
      <c r="F1535" t="n">
        <v>0.8051532287142857</v>
      </c>
      <c r="G1535" t="n">
        <v>2</v>
      </c>
      <c r="H1535" t="n">
        <v>10.3013454</v>
      </c>
      <c r="I1535" t="n">
        <v>0.7</v>
      </c>
      <c r="J1535" t="n">
        <v>3</v>
      </c>
      <c r="K1535" t="inlineStr"/>
    </row>
    <row r="1536">
      <c r="A1536" t="inlineStr">
        <is>
          <t>LMOFIDA31TXL</t>
        </is>
      </c>
      <c r="B1536" t="inlineStr">
        <is>
          <t>LEGGING MOVA</t>
        </is>
      </c>
      <c r="C1536" t="inlineStr">
        <is>
          <t>Manufactura / Dama / P. Inferiores</t>
        </is>
      </c>
      <c r="D1536" t="n">
        <v>5</v>
      </c>
      <c r="E1536" t="n">
        <v>389.75383479</v>
      </c>
      <c r="F1536" t="n">
        <v>0.77141858462</v>
      </c>
      <c r="G1536" t="n">
        <v>8</v>
      </c>
      <c r="H1536" t="n">
        <v>17.7</v>
      </c>
      <c r="I1536" t="n">
        <v>0.5</v>
      </c>
      <c r="J1536" t="n">
        <v>0</v>
      </c>
      <c r="K1536" t="inlineStr"/>
    </row>
    <row r="1537">
      <c r="A1537" t="inlineStr">
        <is>
          <t>TALGTACA12TL</t>
        </is>
      </c>
      <c r="B1537" t="inlineStr">
        <is>
          <t>URBAN COTTON OVERSIZED OUTSIDE CAB</t>
        </is>
      </c>
      <c r="C1537" t="inlineStr">
        <is>
          <t>Manufactura / Caballero / P. Superiores</t>
        </is>
      </c>
      <c r="D1537" t="n">
        <v>13</v>
      </c>
      <c r="E1537" t="n">
        <v>389.40380774</v>
      </c>
      <c r="F1537" t="n">
        <v>0.7368450124875</v>
      </c>
      <c r="G1537" t="n">
        <v>8</v>
      </c>
      <c r="H1537" t="n">
        <v>12.16758159</v>
      </c>
      <c r="I1537" t="n">
        <v>1.3</v>
      </c>
      <c r="J1537" t="n">
        <v>2</v>
      </c>
      <c r="K1537" t="inlineStr"/>
    </row>
    <row r="1538">
      <c r="A1538" t="inlineStr">
        <is>
          <t>SHOUNCA57TS</t>
        </is>
      </c>
      <c r="B1538" t="inlineStr">
        <is>
          <t>SHORT PLAYA CAB</t>
        </is>
      </c>
      <c r="C1538" t="inlineStr">
        <is>
          <t>Manufactura / Caballero / P. Inferiores</t>
        </is>
      </c>
      <c r="D1538" t="n">
        <v>9</v>
      </c>
      <c r="E1538" t="n">
        <v>388.91146631</v>
      </c>
      <c r="F1538" t="n">
        <v>0.7646987176777778</v>
      </c>
      <c r="G1538" t="n">
        <v>0</v>
      </c>
      <c r="H1538" t="n">
        <v>9.99</v>
      </c>
      <c r="I1538" t="n">
        <v>0.9</v>
      </c>
      <c r="J1538" t="n">
        <v>4</v>
      </c>
      <c r="K1538" t="inlineStr">
        <is>
          <t>Sin stock</t>
        </is>
      </c>
    </row>
    <row r="1539">
      <c r="A1539" t="inlineStr">
        <is>
          <t>BAN134EQ</t>
        </is>
      </c>
      <c r="B1539" t="inlineStr">
        <is>
          <t>CUADRO BAND</t>
        </is>
      </c>
      <c r="C1539" t="inlineStr">
        <is>
          <t>Equipamiento / Accesorios</t>
        </is>
      </c>
      <c r="D1539" t="n">
        <v>439</v>
      </c>
      <c r="E1539" t="n">
        <v>388.796020421</v>
      </c>
      <c r="F1539" t="n">
        <v>0.8856993661758065</v>
      </c>
      <c r="G1539" t="n">
        <v>6654</v>
      </c>
      <c r="H1539" t="n">
        <v>0.3159183673</v>
      </c>
      <c r="I1539" t="n">
        <v>43.9</v>
      </c>
      <c r="J1539" t="n">
        <v>0</v>
      </c>
      <c r="K1539" t="inlineStr"/>
    </row>
    <row r="1540">
      <c r="A1540" t="inlineStr">
        <is>
          <t>RIOMIKI11T14</t>
        </is>
      </c>
      <c r="B1540" t="inlineStr">
        <is>
          <t>RIO ORIGINAL KIDS</t>
        </is>
      </c>
      <c r="C1540" t="inlineStr">
        <is>
          <t>Manufactura / Kids / P. Superiores</t>
        </is>
      </c>
      <c r="D1540" t="n">
        <v>10</v>
      </c>
      <c r="E1540" t="n">
        <v>387.80421069</v>
      </c>
      <c r="F1540" t="n">
        <v>0.9071673639888888</v>
      </c>
      <c r="G1540" t="n">
        <v>0</v>
      </c>
      <c r="H1540" t="n">
        <v>3.617969464</v>
      </c>
      <c r="I1540" t="n">
        <v>1</v>
      </c>
      <c r="J1540" t="n">
        <v>7</v>
      </c>
      <c r="K1540" t="inlineStr">
        <is>
          <t>Sin stock</t>
        </is>
      </c>
    </row>
    <row r="1541">
      <c r="A1541" t="inlineStr">
        <is>
          <t>RIOMIKI48T1</t>
        </is>
      </c>
      <c r="B1541" t="inlineStr">
        <is>
          <t>RIO ORIGINAL KIDS</t>
        </is>
      </c>
      <c r="C1541" t="inlineStr">
        <is>
          <t>Manufactura / Kids / P. Superiores</t>
        </is>
      </c>
      <c r="D1541" t="n">
        <v>9</v>
      </c>
      <c r="E1541" t="n">
        <v>387.6477174</v>
      </c>
      <c r="F1541" t="n">
        <v>0.9150844360555556</v>
      </c>
      <c r="G1541" t="n">
        <v>0</v>
      </c>
      <c r="H1541" t="n">
        <v>3.617969464</v>
      </c>
      <c r="I1541" t="n">
        <v>0.9</v>
      </c>
      <c r="J1541" t="n">
        <v>5</v>
      </c>
      <c r="K1541" t="inlineStr">
        <is>
          <t>Sin stock</t>
        </is>
      </c>
    </row>
    <row r="1542">
      <c r="A1542" t="inlineStr">
        <is>
          <t>SHONTDA12TL</t>
        </is>
      </c>
      <c r="B1542" t="inlineStr">
        <is>
          <t>EXPLORE SHORT DAMA</t>
        </is>
      </c>
      <c r="C1542" t="inlineStr">
        <is>
          <t>Manufactura / Dama / P. Inferiores</t>
        </is>
      </c>
      <c r="D1542" t="n">
        <v>7</v>
      </c>
      <c r="E1542" t="n">
        <v>387.6026578</v>
      </c>
      <c r="F1542" t="n">
        <v>0.8111771659777778</v>
      </c>
      <c r="G1542" t="n">
        <v>13</v>
      </c>
      <c r="H1542" t="n">
        <v>10.22113744</v>
      </c>
      <c r="I1542" t="n">
        <v>0.7</v>
      </c>
      <c r="J1542" t="n">
        <v>0</v>
      </c>
      <c r="K1542" t="inlineStr"/>
    </row>
    <row r="1543">
      <c r="A1543" t="inlineStr">
        <is>
          <t>MARMIKI34T1</t>
        </is>
      </c>
      <c r="B1543" t="inlineStr">
        <is>
          <t>MAR ORIGINAL KIDS</t>
        </is>
      </c>
      <c r="C1543" t="inlineStr">
        <is>
          <t>Manufactura / Kids / P. Superiores</t>
        </is>
      </c>
      <c r="D1543" t="n">
        <v>11</v>
      </c>
      <c r="E1543" t="n">
        <v>387.33261067</v>
      </c>
      <c r="F1543" t="n">
        <v>0.903864739376923</v>
      </c>
      <c r="G1543" t="n">
        <v>0</v>
      </c>
      <c r="H1543" t="n">
        <v>3.168013332</v>
      </c>
      <c r="I1543" t="n">
        <v>1.1</v>
      </c>
      <c r="J1543" t="n">
        <v>5</v>
      </c>
      <c r="K1543" t="inlineStr">
        <is>
          <t>Sin stock</t>
        </is>
      </c>
    </row>
    <row r="1544">
      <c r="A1544" t="inlineStr">
        <is>
          <t>CLMSUCA43T2XL</t>
        </is>
      </c>
      <c r="B1544" t="inlineStr">
        <is>
          <t>CLASICA MOTION CAB</t>
        </is>
      </c>
      <c r="C1544" t="inlineStr">
        <is>
          <t>Manufactura / Caballero / P. Superiores</t>
        </is>
      </c>
      <c r="D1544" t="n">
        <v>8</v>
      </c>
      <c r="E1544" t="n">
        <v>387.05450654</v>
      </c>
      <c r="F1544" t="n">
        <v>0.7398137741499999</v>
      </c>
      <c r="G1544" t="n">
        <v>6</v>
      </c>
      <c r="H1544" t="n">
        <v>12.26</v>
      </c>
      <c r="I1544" t="n">
        <v>0.8</v>
      </c>
      <c r="J1544" t="n">
        <v>1</v>
      </c>
      <c r="K1544" t="inlineStr"/>
    </row>
    <row r="1545">
      <c r="A1545" t="inlineStr">
        <is>
          <t>SHONTDA43TXS</t>
        </is>
      </c>
      <c r="B1545" t="inlineStr">
        <is>
          <t>EXPLORE SHORT DAMA</t>
        </is>
      </c>
      <c r="C1545" t="inlineStr">
        <is>
          <t>Manufactura / Dama / P. Inferiores</t>
        </is>
      </c>
      <c r="D1545" t="n">
        <v>12</v>
      </c>
      <c r="E1545" t="n">
        <v>387.03842724</v>
      </c>
      <c r="F1545" t="n">
        <v>0.8081478034428571</v>
      </c>
      <c r="G1545" t="n">
        <v>33</v>
      </c>
      <c r="H1545" t="n">
        <v>10.22113744</v>
      </c>
      <c r="I1545" t="n">
        <v>1.2</v>
      </c>
      <c r="J1545" t="n">
        <v>1</v>
      </c>
      <c r="K1545" t="inlineStr"/>
    </row>
    <row r="1546">
      <c r="A1546" t="inlineStr">
        <is>
          <t>PANNTKI33T4</t>
        </is>
      </c>
      <c r="B1546" t="inlineStr">
        <is>
          <t>EXPLORE PANTS KIDS</t>
        </is>
      </c>
      <c r="C1546" t="inlineStr">
        <is>
          <t>Manufactura / Kids / P. Inferiores</t>
        </is>
      </c>
      <c r="D1546" t="n">
        <v>9</v>
      </c>
      <c r="E1546" t="n">
        <v>386.82352992</v>
      </c>
      <c r="F1546" t="n">
        <v>0.7446412245999999</v>
      </c>
      <c r="G1546" t="n">
        <v>11</v>
      </c>
      <c r="H1546" t="n">
        <v>13.98</v>
      </c>
      <c r="I1546" t="n">
        <v>0.9</v>
      </c>
      <c r="J1546" t="n">
        <v>0</v>
      </c>
      <c r="K1546" t="inlineStr"/>
    </row>
    <row r="1547">
      <c r="A1547" t="inlineStr">
        <is>
          <t>SARSPDA16TXL</t>
        </is>
      </c>
      <c r="B1547" t="inlineStr">
        <is>
          <t>FALDA SARA DAMA</t>
        </is>
      </c>
      <c r="C1547" t="inlineStr">
        <is>
          <t>Manufactura / Dama / P. Inferiores</t>
        </is>
      </c>
      <c r="D1547" t="n">
        <v>8</v>
      </c>
      <c r="E1547" t="n">
        <v>384.92497245</v>
      </c>
      <c r="F1547" t="n">
        <v>0.8153866904999999</v>
      </c>
      <c r="G1547" t="n">
        <v>19</v>
      </c>
      <c r="H1547" t="n">
        <v>9.500113852</v>
      </c>
      <c r="I1547" t="n">
        <v>0.8</v>
      </c>
      <c r="J1547" t="n">
        <v>0</v>
      </c>
      <c r="K1547" t="inlineStr"/>
    </row>
    <row r="1548">
      <c r="A1548" t="inlineStr">
        <is>
          <t>HELBFDA30TS</t>
        </is>
      </c>
      <c r="B1548" t="inlineStr">
        <is>
          <t>HELEN BIO MOVE DAMA</t>
        </is>
      </c>
      <c r="C1548" t="inlineStr">
        <is>
          <t>Manufactura / Dama / P. Superiores</t>
        </is>
      </c>
      <c r="D1548" t="n">
        <v>8</v>
      </c>
      <c r="E1548" t="n">
        <v>384.04589342</v>
      </c>
      <c r="F1548" t="n">
        <v>0.8866892101625</v>
      </c>
      <c r="G1548" t="n">
        <v>89</v>
      </c>
      <c r="H1548" t="n">
        <v>7.340817459999999</v>
      </c>
      <c r="I1548" t="n">
        <v>0.8</v>
      </c>
      <c r="J1548" t="n">
        <v>0</v>
      </c>
      <c r="K1548" t="inlineStr"/>
    </row>
    <row r="1549">
      <c r="A1549" t="inlineStr">
        <is>
          <t>MARMIKI30T8</t>
        </is>
      </c>
      <c r="B1549" t="inlineStr">
        <is>
          <t>MAR ORIGINAL KIDS</t>
        </is>
      </c>
      <c r="C1549" t="inlineStr">
        <is>
          <t>Manufactura / Kids / P. Superiores</t>
        </is>
      </c>
      <c r="D1549" t="n">
        <v>11</v>
      </c>
      <c r="E1549" t="n">
        <v>383.47584033</v>
      </c>
      <c r="F1549" t="n">
        <v>0.9025093264272727</v>
      </c>
      <c r="G1549" t="n">
        <v>1</v>
      </c>
      <c r="H1549" t="n">
        <v>3.168013332000001</v>
      </c>
      <c r="I1549" t="n">
        <v>1.1</v>
      </c>
      <c r="J1549" t="n">
        <v>3</v>
      </c>
      <c r="K1549" t="inlineStr"/>
    </row>
    <row r="1550">
      <c r="A1550" t="inlineStr">
        <is>
          <t>TMOFIDA43TXL</t>
        </is>
      </c>
      <c r="B1550" t="inlineStr">
        <is>
          <t>TOP MOVA</t>
        </is>
      </c>
      <c r="C1550" t="inlineStr">
        <is>
          <t>Manufactura / Dama / P. Superiores</t>
        </is>
      </c>
      <c r="D1550" t="n">
        <v>8</v>
      </c>
      <c r="E1550" t="n">
        <v>382.71043456</v>
      </c>
      <c r="F1550" t="n">
        <v>0.8094940721428571</v>
      </c>
      <c r="G1550" t="n">
        <v>14</v>
      </c>
      <c r="H1550" t="n">
        <v>9.942967033</v>
      </c>
      <c r="I1550" t="n">
        <v>0.8</v>
      </c>
      <c r="J1550" t="n">
        <v>0</v>
      </c>
      <c r="K1550" t="inlineStr"/>
    </row>
    <row r="1551">
      <c r="A1551" t="inlineStr">
        <is>
          <t>MAFMIDA66TL</t>
        </is>
      </c>
      <c r="B1551" t="inlineStr">
        <is>
          <t>MAFE ORIGINAL DAMA</t>
        </is>
      </c>
      <c r="C1551" t="inlineStr">
        <is>
          <t>Manufactura / Dama / P. Superiores</t>
        </is>
      </c>
      <c r="D1551" t="n">
        <v>13</v>
      </c>
      <c r="E1551" t="n">
        <v>382.59700041</v>
      </c>
      <c r="F1551" t="n">
        <v>0.8531584470785714</v>
      </c>
      <c r="G1551" t="n">
        <v>1</v>
      </c>
      <c r="H1551" t="n">
        <v>4.548176709999999</v>
      </c>
      <c r="I1551" t="n">
        <v>1.3</v>
      </c>
      <c r="J1551" t="n">
        <v>3</v>
      </c>
      <c r="K1551" t="inlineStr"/>
    </row>
    <row r="1552">
      <c r="A1552" t="inlineStr">
        <is>
          <t>GEMBADA16TM</t>
        </is>
      </c>
      <c r="B1552" t="inlineStr">
        <is>
          <t>VESTIDO GEMMA DAMA</t>
        </is>
      </c>
      <c r="C1552" t="inlineStr">
        <is>
          <t>Manufactura / Dama / Conjuntos</t>
        </is>
      </c>
      <c r="D1552" t="n">
        <v>7</v>
      </c>
      <c r="E1552" t="n">
        <v>381.2608715</v>
      </c>
      <c r="F1552" t="n">
        <v>0.5371732987714285</v>
      </c>
      <c r="G1552" t="n">
        <v>15</v>
      </c>
      <c r="H1552" t="n">
        <v>23.99</v>
      </c>
      <c r="I1552" t="n">
        <v>0.7</v>
      </c>
      <c r="J1552" t="n">
        <v>2</v>
      </c>
      <c r="K1552" t="inlineStr"/>
    </row>
    <row r="1553">
      <c r="A1553" t="inlineStr">
        <is>
          <t>SHONRKI43T8</t>
        </is>
      </c>
      <c r="B1553" t="inlineStr">
        <is>
          <t>SHORT SPORT KIDS</t>
        </is>
      </c>
      <c r="C1553" t="inlineStr">
        <is>
          <t>Manufactura / Kids / P. Inferiores</t>
        </is>
      </c>
      <c r="D1553" t="n">
        <v>9</v>
      </c>
      <c r="E1553" t="n">
        <v>380.883006</v>
      </c>
      <c r="F1553" t="n">
        <v>0.834480025675</v>
      </c>
      <c r="G1553" t="n">
        <v>32</v>
      </c>
      <c r="H1553" t="n">
        <v>6.465724382</v>
      </c>
      <c r="I1553" t="n">
        <v>0.9</v>
      </c>
      <c r="J1553" t="n">
        <v>0</v>
      </c>
      <c r="K1553" t="inlineStr"/>
    </row>
    <row r="1554">
      <c r="A1554" t="inlineStr">
        <is>
          <t>SABMEDA30TM</t>
        </is>
      </c>
      <c r="B1554" t="inlineStr">
        <is>
          <t>SABRI SPORT DAMA</t>
        </is>
      </c>
      <c r="C1554" t="inlineStr">
        <is>
          <t>Manufactura / Dama / P. Superiores</t>
        </is>
      </c>
      <c r="D1554" t="n">
        <v>11</v>
      </c>
      <c r="E1554" t="n">
        <v>380.85813917</v>
      </c>
      <c r="F1554" t="n">
        <v>0.8613338181</v>
      </c>
      <c r="G1554" t="n">
        <v>31</v>
      </c>
      <c r="H1554" t="n">
        <v>4.51</v>
      </c>
      <c r="I1554" t="n">
        <v>1.1</v>
      </c>
      <c r="J1554" t="n">
        <v>0</v>
      </c>
      <c r="K1554" t="inlineStr"/>
    </row>
    <row r="1555">
      <c r="A1555" t="inlineStr">
        <is>
          <t>ADUMMCA30TXL</t>
        </is>
      </c>
      <c r="B1555" t="inlineStr">
        <is>
          <t>ACTIVE DUO CAB</t>
        </is>
      </c>
      <c r="C1555" t="inlineStr">
        <is>
          <t>Manufactura / Caballero / P. Superiores</t>
        </is>
      </c>
      <c r="D1555" t="n">
        <v>11</v>
      </c>
      <c r="E1555" t="n">
        <v>380.13350989</v>
      </c>
      <c r="F1555" t="n">
        <v>0.8944149638700001</v>
      </c>
      <c r="G1555" t="n">
        <v>21</v>
      </c>
      <c r="H1555" t="n">
        <v>5.09</v>
      </c>
      <c r="I1555" t="n">
        <v>1.1</v>
      </c>
      <c r="J1555" t="n">
        <v>0</v>
      </c>
      <c r="K1555" t="inlineStr"/>
    </row>
    <row r="1556">
      <c r="A1556" t="inlineStr">
        <is>
          <t>CLAMIKI66T4</t>
        </is>
      </c>
      <c r="B1556" t="inlineStr">
        <is>
          <t>CLASICA ORIGINAL KIDS</t>
        </is>
      </c>
      <c r="C1556" t="inlineStr">
        <is>
          <t>Manufactura / Kids / P. Superiores</t>
        </is>
      </c>
      <c r="D1556" t="n">
        <v>12</v>
      </c>
      <c r="E1556" t="n">
        <v>380.01364617</v>
      </c>
      <c r="F1556" t="n">
        <v>0.9325255368900001</v>
      </c>
      <c r="G1556" t="n">
        <v>35</v>
      </c>
      <c r="H1556" t="n">
        <v>2.053774806</v>
      </c>
      <c r="I1556" t="n">
        <v>1.2</v>
      </c>
      <c r="J1556" t="n">
        <v>1</v>
      </c>
      <c r="K1556" t="inlineStr"/>
    </row>
    <row r="1557">
      <c r="A1557" t="inlineStr">
        <is>
          <t>COA144C24OZ</t>
        </is>
      </c>
      <c r="B1557" t="inlineStr">
        <is>
          <t>CONTIGO ASHLAND 24OZ</t>
        </is>
      </c>
      <c r="C1557" t="inlineStr">
        <is>
          <t>Equipamiento / Cava</t>
        </is>
      </c>
      <c r="D1557" t="n">
        <v>10</v>
      </c>
      <c r="E1557" t="n">
        <v>378.57952859</v>
      </c>
      <c r="F1557" t="n">
        <v>0.3414734193508333</v>
      </c>
      <c r="G1557" t="n">
        <v>24</v>
      </c>
      <c r="H1557" t="n">
        <v>24.5</v>
      </c>
      <c r="I1557" t="n">
        <v>1</v>
      </c>
      <c r="J1557" t="n">
        <v>1</v>
      </c>
      <c r="K1557" t="inlineStr"/>
    </row>
    <row r="1558">
      <c r="A1558" t="inlineStr">
        <is>
          <t>ZOEMIKI34T14</t>
        </is>
      </c>
      <c r="B1558" t="inlineStr">
        <is>
          <t>ZOE ORIGINAL KIDS</t>
        </is>
      </c>
      <c r="C1558" t="inlineStr">
        <is>
          <t>Manufactura / Kids / P. Superiores</t>
        </is>
      </c>
      <c r="D1558" t="n">
        <v>11</v>
      </c>
      <c r="E1558" t="n">
        <v>377.73782185</v>
      </c>
      <c r="F1558" t="n">
        <v>0.8790445361769231</v>
      </c>
      <c r="G1558" t="n">
        <v>22</v>
      </c>
      <c r="H1558" t="n">
        <v>4.12</v>
      </c>
      <c r="I1558" t="n">
        <v>1.1</v>
      </c>
      <c r="J1558" t="n">
        <v>1</v>
      </c>
      <c r="K1558" t="inlineStr"/>
    </row>
    <row r="1559">
      <c r="A1559" t="inlineStr">
        <is>
          <t>RIOMIKI04T4</t>
        </is>
      </c>
      <c r="B1559" t="inlineStr">
        <is>
          <t>RIO ORIGINAL KIDS</t>
        </is>
      </c>
      <c r="C1559" t="inlineStr">
        <is>
          <t>Manufactura / Kids / P. Superiores</t>
        </is>
      </c>
      <c r="D1559" t="n">
        <v>8</v>
      </c>
      <c r="E1559" t="n">
        <v>377.37216728</v>
      </c>
      <c r="F1559" t="n">
        <v>0.9228613422625001</v>
      </c>
      <c r="G1559" t="n">
        <v>4</v>
      </c>
      <c r="H1559" t="n">
        <v>3.617969464</v>
      </c>
      <c r="I1559" t="n">
        <v>0.8</v>
      </c>
      <c r="J1559" t="n">
        <v>3</v>
      </c>
      <c r="K1559" t="inlineStr"/>
    </row>
    <row r="1560">
      <c r="A1560" t="inlineStr">
        <is>
          <t>SHONRKI12T8</t>
        </is>
      </c>
      <c r="B1560" t="inlineStr">
        <is>
          <t>SHORT SPORT KIDS</t>
        </is>
      </c>
      <c r="C1560" t="inlineStr">
        <is>
          <t>Manufactura / Kids / P. Inferiores</t>
        </is>
      </c>
      <c r="D1560" t="n">
        <v>9</v>
      </c>
      <c r="E1560" t="n">
        <v>376.80160164</v>
      </c>
      <c r="F1560" t="n">
        <v>0.8380392150375</v>
      </c>
      <c r="G1560" t="n">
        <v>61</v>
      </c>
      <c r="H1560" t="n">
        <v>6.465724382</v>
      </c>
      <c r="I1560" t="n">
        <v>0.9</v>
      </c>
      <c r="J1560" t="n">
        <v>0</v>
      </c>
      <c r="K1560" t="inlineStr"/>
    </row>
    <row r="1561">
      <c r="A1561" t="inlineStr">
        <is>
          <t>RIOMIDA05TL</t>
        </is>
      </c>
      <c r="B1561" t="inlineStr">
        <is>
          <t>RIO ORIGINAL DAMA</t>
        </is>
      </c>
      <c r="C1561" t="inlineStr">
        <is>
          <t>Manufactura / Dama / P. Superiores</t>
        </is>
      </c>
      <c r="D1561" t="n">
        <v>7</v>
      </c>
      <c r="E1561" t="n">
        <v>376.61283486</v>
      </c>
      <c r="F1561" t="n">
        <v>0.8964871817199999</v>
      </c>
      <c r="G1561" t="n">
        <v>0</v>
      </c>
      <c r="H1561" t="n">
        <v>5.538832275</v>
      </c>
      <c r="I1561" t="n">
        <v>0.7</v>
      </c>
      <c r="J1561" t="n">
        <v>9</v>
      </c>
      <c r="K1561" t="inlineStr">
        <is>
          <t>Sin stock</t>
        </is>
      </c>
    </row>
    <row r="1562">
      <c r="A1562" t="inlineStr">
        <is>
          <t>MAYFNDA70TS</t>
        </is>
      </c>
      <c r="B1562" t="inlineStr">
        <is>
          <t>MAYA SPORT LITE DAMA</t>
        </is>
      </c>
      <c r="C1562" t="inlineStr">
        <is>
          <t>Manufactura / Dama / P. Superiores</t>
        </is>
      </c>
      <c r="D1562" t="n">
        <v>17</v>
      </c>
      <c r="E1562" t="n">
        <v>375.89797709</v>
      </c>
      <c r="F1562" t="n">
        <v>0.87437584005</v>
      </c>
      <c r="G1562" t="n">
        <v>21</v>
      </c>
      <c r="H1562" t="n">
        <v>3.870000000000001</v>
      </c>
      <c r="I1562" t="n">
        <v>1.7</v>
      </c>
      <c r="J1562" t="n">
        <v>0</v>
      </c>
      <c r="K1562" t="inlineStr"/>
    </row>
    <row r="1563">
      <c r="A1563" t="inlineStr">
        <is>
          <t>POR23EQ</t>
        </is>
      </c>
      <c r="B1563" t="inlineStr">
        <is>
          <t>PORTAVASOS</t>
        </is>
      </c>
      <c r="C1563" t="inlineStr">
        <is>
          <t>Equipamiento / Accesorios</t>
        </is>
      </c>
      <c r="D1563" t="n">
        <v>77</v>
      </c>
      <c r="E1563" t="n">
        <v>374.361337699</v>
      </c>
      <c r="F1563" t="n">
        <v>0.8196533475574468</v>
      </c>
      <c r="G1563" t="n">
        <v>61</v>
      </c>
      <c r="H1563" t="n">
        <v>1</v>
      </c>
      <c r="I1563" t="n">
        <v>7.7</v>
      </c>
      <c r="J1563" t="n">
        <v>1</v>
      </c>
      <c r="K1563" t="inlineStr"/>
    </row>
    <row r="1564">
      <c r="A1564" t="inlineStr">
        <is>
          <t>TALGOTACA12TM</t>
        </is>
      </c>
      <c r="B1564" t="inlineStr">
        <is>
          <t>URBAN COTTON OVERSIZED SUNSET CAB</t>
        </is>
      </c>
      <c r="C1564" t="inlineStr">
        <is>
          <t>Manufactura / Caballero / P. Superiores</t>
        </is>
      </c>
      <c r="D1564" t="n">
        <v>12</v>
      </c>
      <c r="E1564" t="n">
        <v>374.33844311</v>
      </c>
      <c r="F1564" t="n">
        <v>0.7634728911999999</v>
      </c>
      <c r="G1564" t="n">
        <v>10</v>
      </c>
      <c r="H1564" t="n">
        <v>12.16112582</v>
      </c>
      <c r="I1564" t="n">
        <v>1.2</v>
      </c>
      <c r="J1564" t="n">
        <v>1</v>
      </c>
      <c r="K1564" t="inlineStr"/>
    </row>
    <row r="1565">
      <c r="A1565" t="inlineStr">
        <is>
          <t>DAYCSTDA16TXL</t>
        </is>
      </c>
      <c r="B1565" t="inlineStr">
        <is>
          <t>CLASICA DAILY 3.0 DAMA</t>
        </is>
      </c>
      <c r="C1565" t="inlineStr">
        <is>
          <t>Manufactura / Dama / P. Superiores</t>
        </is>
      </c>
      <c r="D1565" t="n">
        <v>9</v>
      </c>
      <c r="E1565" t="n">
        <v>373.7096985</v>
      </c>
      <c r="F1565" t="n">
        <v>0.7624477258875</v>
      </c>
      <c r="G1565" t="n">
        <v>30</v>
      </c>
      <c r="H1565" t="n">
        <v>10.28586481</v>
      </c>
      <c r="I1565" t="n">
        <v>0.9</v>
      </c>
      <c r="J1565" t="n">
        <v>0</v>
      </c>
      <c r="K1565" t="inlineStr"/>
    </row>
    <row r="1566">
      <c r="A1566" t="inlineStr">
        <is>
          <t>SABMEDA66TS</t>
        </is>
      </c>
      <c r="B1566" t="inlineStr">
        <is>
          <t>SABRI SPORT DAMA</t>
        </is>
      </c>
      <c r="C1566" t="inlineStr">
        <is>
          <t>Manufactura / Dama / P. Superiores</t>
        </is>
      </c>
      <c r="D1566" t="n">
        <v>12</v>
      </c>
      <c r="E1566" t="n">
        <v>373.30671135</v>
      </c>
      <c r="F1566" t="n">
        <v>0.8655104265928572</v>
      </c>
      <c r="G1566" t="n">
        <v>51</v>
      </c>
      <c r="H1566" t="n">
        <v>4.51</v>
      </c>
      <c r="I1566" t="n">
        <v>1.2</v>
      </c>
      <c r="J1566" t="n">
        <v>0</v>
      </c>
      <c r="K1566" t="inlineStr"/>
    </row>
    <row r="1567">
      <c r="A1567" t="inlineStr">
        <is>
          <t>ANDMIDA04TS</t>
        </is>
      </c>
      <c r="B1567" t="inlineStr">
        <is>
          <t>ANDRE ORIGINAL DAMA</t>
        </is>
      </c>
      <c r="C1567" t="inlineStr">
        <is>
          <t>Manufactura / Dama / P. Superiores</t>
        </is>
      </c>
      <c r="D1567" t="n">
        <v>15</v>
      </c>
      <c r="E1567" t="n">
        <v>373.1164372</v>
      </c>
      <c r="F1567" t="n">
        <v>0.9187197139875</v>
      </c>
      <c r="G1567" t="n">
        <v>27</v>
      </c>
      <c r="H1567" t="n">
        <v>3.274295302</v>
      </c>
      <c r="I1567" t="n">
        <v>1.5</v>
      </c>
      <c r="J1567" t="n">
        <v>2</v>
      </c>
      <c r="K1567" t="inlineStr"/>
    </row>
    <row r="1568">
      <c r="A1568" t="inlineStr">
        <is>
          <t>CLAMICA01TL</t>
        </is>
      </c>
      <c r="B1568" t="inlineStr">
        <is>
          <t>CLASICA ORIGINAL CAB</t>
        </is>
      </c>
      <c r="C1568" t="inlineStr">
        <is>
          <t>Manufactura / Caballero / P. Superiores</t>
        </is>
      </c>
      <c r="D1568" t="n">
        <v>9</v>
      </c>
      <c r="E1568" t="n">
        <v>372.16788426</v>
      </c>
      <c r="F1568" t="n">
        <v>0.8835419501833334</v>
      </c>
      <c r="G1568" t="n">
        <v>7</v>
      </c>
      <c r="H1568" t="n">
        <v>4.598442536</v>
      </c>
      <c r="I1568" t="n">
        <v>0.9</v>
      </c>
      <c r="J1568" t="n">
        <v>0</v>
      </c>
      <c r="K1568" t="inlineStr"/>
    </row>
    <row r="1569">
      <c r="A1569" t="inlineStr">
        <is>
          <t>PANNTKI33T10</t>
        </is>
      </c>
      <c r="B1569" t="inlineStr">
        <is>
          <t>EXPLORE PANTS KIDS</t>
        </is>
      </c>
      <c r="C1569" t="inlineStr">
        <is>
          <t>Manufactura / Kids / P. Inferiores</t>
        </is>
      </c>
      <c r="D1569" t="n">
        <v>8</v>
      </c>
      <c r="E1569" t="n">
        <v>371.9196112</v>
      </c>
      <c r="F1569" t="n">
        <v>0.7328797346857143</v>
      </c>
      <c r="G1569" t="n">
        <v>18</v>
      </c>
      <c r="H1569" t="n">
        <v>13.98</v>
      </c>
      <c r="I1569" t="n">
        <v>0.8</v>
      </c>
      <c r="J1569" t="n">
        <v>0</v>
      </c>
      <c r="K1569" t="inlineStr"/>
    </row>
    <row r="1570">
      <c r="A1570" t="inlineStr">
        <is>
          <t>SHOSUKI155T1</t>
        </is>
      </c>
      <c r="B1570" t="inlineStr">
        <is>
          <t>SHORT PLAYA ESTAMPADO KIDS</t>
        </is>
      </c>
      <c r="C1570" t="inlineStr">
        <is>
          <t>Manufactura / Kids / P. Superiores</t>
        </is>
      </c>
      <c r="D1570" t="n">
        <v>8</v>
      </c>
      <c r="E1570" t="n">
        <v>371.88230994</v>
      </c>
      <c r="F1570" t="n">
        <v>0.8373912010714285</v>
      </c>
      <c r="G1570" t="n">
        <v>22</v>
      </c>
      <c r="H1570" t="n">
        <v>7.21</v>
      </c>
      <c r="I1570" t="n">
        <v>0.8</v>
      </c>
      <c r="J1570" t="n">
        <v>3</v>
      </c>
      <c r="K1570" t="inlineStr"/>
    </row>
    <row r="1571">
      <c r="A1571" t="inlineStr">
        <is>
          <t>CCBHMCA151TM</t>
        </is>
      </c>
      <c r="B1571" t="inlineStr">
        <is>
          <t>CLUB CLASICA CABALLERO</t>
        </is>
      </c>
      <c r="C1571" t="inlineStr">
        <is>
          <t>Manufactura / Caballero / P. Superiores</t>
        </is>
      </c>
      <c r="D1571" t="n">
        <v>10</v>
      </c>
      <c r="E1571" t="n">
        <v>371.63049438</v>
      </c>
      <c r="F1571" t="n">
        <v>0.9754940414777776</v>
      </c>
      <c r="G1571" t="n">
        <v>22</v>
      </c>
      <c r="H1571" t="n">
        <v>1</v>
      </c>
      <c r="I1571" t="n">
        <v>1</v>
      </c>
      <c r="J1571" t="n">
        <v>0</v>
      </c>
      <c r="K1571" t="inlineStr"/>
    </row>
    <row r="1572">
      <c r="A1572" t="inlineStr">
        <is>
          <t>DOMBFCA43T2XL</t>
        </is>
      </c>
      <c r="B1572" t="inlineStr">
        <is>
          <t>DOMINIC BIO MOVE CAB</t>
        </is>
      </c>
      <c r="C1572" t="inlineStr">
        <is>
          <t>Manufactura / Caballero / P. Superiores</t>
        </is>
      </c>
      <c r="D1572" t="n">
        <v>5</v>
      </c>
      <c r="E1572" t="n">
        <v>371.37817199</v>
      </c>
      <c r="F1572" t="n">
        <v>0.81082899996</v>
      </c>
      <c r="G1572" t="n">
        <v>29</v>
      </c>
      <c r="H1572" t="n">
        <v>13.86</v>
      </c>
      <c r="I1572" t="n">
        <v>0.5</v>
      </c>
      <c r="J1572" t="n">
        <v>1</v>
      </c>
      <c r="K1572" t="inlineStr"/>
    </row>
    <row r="1573">
      <c r="A1573" t="inlineStr">
        <is>
          <t>MARMIKI16T1</t>
        </is>
      </c>
      <c r="B1573" t="inlineStr">
        <is>
          <t>MAR ORIGINAL KIDS</t>
        </is>
      </c>
      <c r="C1573" t="inlineStr">
        <is>
          <t>Manufactura / Kids / P. Superiores</t>
        </is>
      </c>
      <c r="D1573" t="n">
        <v>10</v>
      </c>
      <c r="E1573" t="n">
        <v>370.7219424</v>
      </c>
      <c r="F1573" t="n">
        <v>0.9117789629916667</v>
      </c>
      <c r="G1573" t="n">
        <v>0</v>
      </c>
      <c r="H1573" t="n">
        <v>3.168013332</v>
      </c>
      <c r="I1573" t="n">
        <v>1</v>
      </c>
      <c r="J1573" t="n">
        <v>2</v>
      </c>
      <c r="K1573" t="inlineStr">
        <is>
          <t>Sin stock</t>
        </is>
      </c>
    </row>
    <row r="1574">
      <c r="A1574" t="inlineStr">
        <is>
          <t>CLAMICA70TXL</t>
        </is>
      </c>
      <c r="B1574" t="inlineStr">
        <is>
          <t>CLASICA ORIGINAL CAB</t>
        </is>
      </c>
      <c r="C1574" t="inlineStr">
        <is>
          <t>Manufactura / Caballero / P. Superiores</t>
        </is>
      </c>
      <c r="D1574" t="n">
        <v>10</v>
      </c>
      <c r="E1574" t="n">
        <v>370.67625444</v>
      </c>
      <c r="F1574" t="n">
        <v>0.8887370138818181</v>
      </c>
      <c r="G1574" t="n">
        <v>22</v>
      </c>
      <c r="H1574" t="n">
        <v>4.598442536</v>
      </c>
      <c r="I1574" t="n">
        <v>1</v>
      </c>
      <c r="J1574" t="n">
        <v>1</v>
      </c>
      <c r="K1574" t="inlineStr"/>
    </row>
    <row r="1575">
      <c r="A1575" t="inlineStr">
        <is>
          <t>SHONTCA30TS</t>
        </is>
      </c>
      <c r="B1575" t="inlineStr">
        <is>
          <t>EXPLORE SHORT CAB</t>
        </is>
      </c>
      <c r="C1575" t="inlineStr">
        <is>
          <t>Manufactura / Caballero / P. Inferiores</t>
        </is>
      </c>
      <c r="D1575" t="n">
        <v>11</v>
      </c>
      <c r="E1575" t="n">
        <v>370.51998466</v>
      </c>
      <c r="F1575" t="n">
        <v>0.75101260727</v>
      </c>
      <c r="G1575" t="n">
        <v>0</v>
      </c>
      <c r="H1575" t="n">
        <v>11.17</v>
      </c>
      <c r="I1575" t="n">
        <v>1.1</v>
      </c>
      <c r="J1575" t="n">
        <v>0</v>
      </c>
      <c r="K1575" t="inlineStr">
        <is>
          <t>Sin stock</t>
        </is>
      </c>
    </row>
    <row r="1576">
      <c r="A1576" t="inlineStr">
        <is>
          <t>SHOUNKI12T2</t>
        </is>
      </c>
      <c r="B1576" t="inlineStr">
        <is>
          <t>SHORT PLAYA KIDS</t>
        </is>
      </c>
      <c r="C1576" t="inlineStr">
        <is>
          <t>Manufactura / Kids / P. Inferiores</t>
        </is>
      </c>
      <c r="D1576" t="n">
        <v>9</v>
      </c>
      <c r="E1576" t="n">
        <v>370.4757765</v>
      </c>
      <c r="F1576" t="n">
        <v>0.8507082527500001</v>
      </c>
      <c r="G1576" t="n">
        <v>0</v>
      </c>
      <c r="H1576" t="n">
        <v>6.09</v>
      </c>
      <c r="I1576" t="n">
        <v>0.9</v>
      </c>
      <c r="J1576" t="n">
        <v>3</v>
      </c>
      <c r="K1576" t="inlineStr">
        <is>
          <t>Sin stock</t>
        </is>
      </c>
    </row>
    <row r="1577">
      <c r="A1577" t="inlineStr">
        <is>
          <t>CLMSUCA152TXL</t>
        </is>
      </c>
      <c r="B1577" t="inlineStr">
        <is>
          <t>CLASICA MOTION CAB</t>
        </is>
      </c>
      <c r="C1577" t="inlineStr">
        <is>
          <t>Manufactura / Caballero / P. Superiores</t>
        </is>
      </c>
      <c r="D1577" t="n">
        <v>9</v>
      </c>
      <c r="E1577" t="n">
        <v>369.84090177</v>
      </c>
      <c r="F1577" t="n">
        <v>0.72802909755</v>
      </c>
      <c r="G1577" t="n">
        <v>3</v>
      </c>
      <c r="H1577" t="n">
        <v>12.26</v>
      </c>
      <c r="I1577" t="n">
        <v>0.9</v>
      </c>
      <c r="J1577" t="n">
        <v>2</v>
      </c>
      <c r="K1577" t="inlineStr"/>
    </row>
    <row r="1578">
      <c r="A1578" t="inlineStr">
        <is>
          <t>ZOEMIDA01TL</t>
        </is>
      </c>
      <c r="B1578" t="inlineStr">
        <is>
          <t>ZOE ORIGINAL DAMA</t>
        </is>
      </c>
      <c r="C1578" t="inlineStr">
        <is>
          <t>Manufactura / Dama / P. Superiores</t>
        </is>
      </c>
      <c r="D1578" t="n">
        <v>9</v>
      </c>
      <c r="E1578" t="n">
        <v>369.47927567</v>
      </c>
      <c r="F1578" t="n">
        <v>0.8932347287333333</v>
      </c>
      <c r="G1578" t="n">
        <v>11</v>
      </c>
      <c r="H1578" t="n">
        <v>4.116585696</v>
      </c>
      <c r="I1578" t="n">
        <v>0.9</v>
      </c>
      <c r="J1578" t="n">
        <v>1</v>
      </c>
      <c r="K1578" t="inlineStr"/>
    </row>
    <row r="1579">
      <c r="A1579" t="inlineStr">
        <is>
          <t>VIVMIDA16TS</t>
        </is>
      </c>
      <c r="B1579" t="inlineStr">
        <is>
          <t>VIVI ORIGINAL DAMA</t>
        </is>
      </c>
      <c r="C1579" t="inlineStr">
        <is>
          <t>Manufactura / Dama / P. Superiores</t>
        </is>
      </c>
      <c r="D1579" t="n">
        <v>13</v>
      </c>
      <c r="E1579" t="n">
        <v>369.34723267</v>
      </c>
      <c r="F1579" t="n">
        <v>0.8605101271200001</v>
      </c>
      <c r="G1579" t="n">
        <v>39</v>
      </c>
      <c r="H1579" t="n">
        <v>4.303181706</v>
      </c>
      <c r="I1579" t="n">
        <v>1.3</v>
      </c>
      <c r="J1579" t="n">
        <v>1</v>
      </c>
      <c r="K1579" t="inlineStr"/>
    </row>
    <row r="1580">
      <c r="A1580" t="inlineStr">
        <is>
          <t>CLAMEDA12TM</t>
        </is>
      </c>
      <c r="B1580" t="inlineStr">
        <is>
          <t>CLÁSICA SPORT DAMA</t>
        </is>
      </c>
      <c r="C1580" t="inlineStr">
        <is>
          <t>Manufactura / Dama / P. Superiores</t>
        </is>
      </c>
      <c r="D1580" t="n">
        <v>8</v>
      </c>
      <c r="E1580" t="n">
        <v>367.22089959</v>
      </c>
      <c r="F1580" t="n">
        <v>0.8526961011428572</v>
      </c>
      <c r="G1580" t="n">
        <v>2</v>
      </c>
      <c r="H1580" t="n">
        <v>6.536105769</v>
      </c>
      <c r="I1580" t="n">
        <v>0.8</v>
      </c>
      <c r="J1580" t="n">
        <v>1</v>
      </c>
      <c r="K1580" t="inlineStr"/>
    </row>
    <row r="1581">
      <c r="A1581" t="inlineStr">
        <is>
          <t>MAFMIDA70TL</t>
        </is>
      </c>
      <c r="B1581" t="inlineStr">
        <is>
          <t>MAFE ORIGINAL DAMA</t>
        </is>
      </c>
      <c r="C1581" t="inlineStr">
        <is>
          <t>Manufactura / Dama / P. Superiores</t>
        </is>
      </c>
      <c r="D1581" t="n">
        <v>12</v>
      </c>
      <c r="E1581" t="n">
        <v>367.06160586</v>
      </c>
      <c r="F1581" t="n">
        <v>0.84695980495</v>
      </c>
      <c r="G1581" t="n">
        <v>5</v>
      </c>
      <c r="H1581" t="n">
        <v>4.54817671</v>
      </c>
      <c r="I1581" t="n">
        <v>1.2</v>
      </c>
      <c r="J1581" t="n">
        <v>0</v>
      </c>
      <c r="K1581" t="inlineStr"/>
    </row>
    <row r="1582">
      <c r="A1582" t="inlineStr">
        <is>
          <t>SHONTDA30TM</t>
        </is>
      </c>
      <c r="B1582" t="inlineStr">
        <is>
          <t>EXPLORE SHORT DAMA</t>
        </is>
      </c>
      <c r="C1582" t="inlineStr">
        <is>
          <t>Manufactura / Dama / P. Inferiores</t>
        </is>
      </c>
      <c r="D1582" t="n">
        <v>8</v>
      </c>
      <c r="E1582" t="n">
        <v>366.42875797</v>
      </c>
      <c r="F1582" t="n">
        <v>0.7926856665666667</v>
      </c>
      <c r="G1582" t="n">
        <v>60</v>
      </c>
      <c r="H1582" t="n">
        <v>10.22113744</v>
      </c>
      <c r="I1582" t="n">
        <v>0.8</v>
      </c>
      <c r="J1582" t="n">
        <v>2</v>
      </c>
      <c r="K1582" t="inlineStr"/>
    </row>
    <row r="1583">
      <c r="A1583" t="inlineStr">
        <is>
          <t>CUTAG83</t>
        </is>
      </c>
      <c r="B1583" t="inlineStr">
        <is>
          <t>CUADRO TAG</t>
        </is>
      </c>
      <c r="C1583" t="inlineStr">
        <is>
          <t>Equipamiento / Accesorios</t>
        </is>
      </c>
      <c r="D1583" t="n">
        <v>35</v>
      </c>
      <c r="E1583" t="n">
        <v>365.515684879</v>
      </c>
      <c r="F1583" t="n">
        <v>0.9257375819321429</v>
      </c>
      <c r="G1583" t="n">
        <v>242</v>
      </c>
      <c r="H1583" t="n">
        <v>0.8100000000000001</v>
      </c>
      <c r="I1583" t="n">
        <v>3.5</v>
      </c>
      <c r="J1583" t="n">
        <v>0</v>
      </c>
      <c r="K1583" t="inlineStr"/>
    </row>
    <row r="1584">
      <c r="A1584" t="inlineStr">
        <is>
          <t>MARMIKI30T14</t>
        </is>
      </c>
      <c r="B1584" t="inlineStr">
        <is>
          <t>MAR ORIGINAL KIDS</t>
        </is>
      </c>
      <c r="C1584" t="inlineStr">
        <is>
          <t>Manufactura / Kids / P. Superiores</t>
        </is>
      </c>
      <c r="D1584" t="n">
        <v>9</v>
      </c>
      <c r="E1584" t="n">
        <v>363.96815637</v>
      </c>
      <c r="F1584" t="n">
        <v>0.9168211289545455</v>
      </c>
      <c r="G1584" t="n">
        <v>0</v>
      </c>
      <c r="H1584" t="n">
        <v>3.168013332000001</v>
      </c>
      <c r="I1584" t="n">
        <v>0.9</v>
      </c>
      <c r="J1584" t="n">
        <v>1</v>
      </c>
      <c r="K1584" t="inlineStr">
        <is>
          <t>Sin stock</t>
        </is>
      </c>
    </row>
    <row r="1585">
      <c r="A1585" t="inlineStr">
        <is>
          <t>TALGOTADA12TS</t>
        </is>
      </c>
      <c r="B1585" t="inlineStr">
        <is>
          <t>URBAN COTTON TOP VINTAGE GRIS DAMA</t>
        </is>
      </c>
      <c r="C1585" t="inlineStr">
        <is>
          <t>Manufactura / Dama / P. Superiores</t>
        </is>
      </c>
      <c r="D1585" t="n">
        <v>12</v>
      </c>
      <c r="E1585" t="n">
        <v>363.16121341</v>
      </c>
      <c r="F1585" t="n">
        <v>0.82414144905</v>
      </c>
      <c r="G1585" t="n">
        <v>19</v>
      </c>
      <c r="H1585" t="n">
        <v>7.819069274</v>
      </c>
      <c r="I1585" t="n">
        <v>1.2</v>
      </c>
      <c r="J1585" t="n">
        <v>2</v>
      </c>
      <c r="K1585" t="inlineStr"/>
    </row>
    <row r="1586">
      <c r="A1586" t="inlineStr">
        <is>
          <t>SHOUNCA170T2XL</t>
        </is>
      </c>
      <c r="B1586" t="inlineStr">
        <is>
          <t>SHORT PLAYA CAB</t>
        </is>
      </c>
      <c r="C1586" t="inlineStr">
        <is>
          <t>Manufactura / Caballero / P. Inferiores</t>
        </is>
      </c>
      <c r="D1586" t="n">
        <v>7</v>
      </c>
      <c r="E1586" t="n">
        <v>362.92033808</v>
      </c>
      <c r="F1586" t="n">
        <v>0.8069847088666666</v>
      </c>
      <c r="G1586" t="n">
        <v>26</v>
      </c>
      <c r="H1586" t="n">
        <v>9.99</v>
      </c>
      <c r="I1586" t="n">
        <v>0.7</v>
      </c>
      <c r="J1586" t="n">
        <v>0</v>
      </c>
      <c r="K1586" t="inlineStr"/>
    </row>
    <row r="1587">
      <c r="A1587" t="inlineStr">
        <is>
          <t>ACDMIDA121TS</t>
        </is>
      </c>
      <c r="B1587" t="inlineStr">
        <is>
          <t>DANI ACTIVE DAMA</t>
        </is>
      </c>
      <c r="C1587" t="inlineStr">
        <is>
          <t>Manufactura / Dama / P. Superiores</t>
        </is>
      </c>
      <c r="D1587" t="n">
        <v>9</v>
      </c>
      <c r="E1587" t="n">
        <v>362.24579266</v>
      </c>
      <c r="F1587" t="n">
        <v>0.7816121567125001</v>
      </c>
      <c r="G1587" t="n">
        <v>12</v>
      </c>
      <c r="H1587" t="n">
        <v>9.82</v>
      </c>
      <c r="I1587" t="n">
        <v>0.9</v>
      </c>
      <c r="J1587" t="n">
        <v>5</v>
      </c>
      <c r="K1587" t="inlineStr"/>
    </row>
    <row r="1588">
      <c r="A1588" t="inlineStr">
        <is>
          <t>PANNTKI12T2</t>
        </is>
      </c>
      <c r="B1588" t="inlineStr">
        <is>
          <t>EXPLORE PANTS KIDS</t>
        </is>
      </c>
      <c r="C1588" t="inlineStr">
        <is>
          <t>Manufactura / Kids / P. Inferiores</t>
        </is>
      </c>
      <c r="D1588" t="n">
        <v>9</v>
      </c>
      <c r="E1588" t="n">
        <v>362.14727342</v>
      </c>
      <c r="F1588" t="n">
        <v>0.7284181095750001</v>
      </c>
      <c r="G1588" t="n">
        <v>33</v>
      </c>
      <c r="H1588" t="n">
        <v>13.98</v>
      </c>
      <c r="I1588" t="n">
        <v>0.9</v>
      </c>
      <c r="J1588" t="n">
        <v>0</v>
      </c>
      <c r="K1588" t="inlineStr"/>
    </row>
    <row r="1589">
      <c r="A1589" t="inlineStr">
        <is>
          <t>MARMICA43T3XL</t>
        </is>
      </c>
      <c r="B1589" t="inlineStr">
        <is>
          <t>MAR ORIGINAL CAB</t>
        </is>
      </c>
      <c r="C1589" t="inlineStr">
        <is>
          <t>Manufactura / Caballero / P. Superiores</t>
        </is>
      </c>
      <c r="D1589" t="n">
        <v>8</v>
      </c>
      <c r="E1589" t="n">
        <v>361.52649563</v>
      </c>
      <c r="F1589" t="n">
        <v>0.8761169549625</v>
      </c>
      <c r="G1589" t="n">
        <v>4</v>
      </c>
      <c r="H1589" t="n">
        <v>4.946357428</v>
      </c>
      <c r="I1589" t="n">
        <v>0.8</v>
      </c>
      <c r="J1589" t="n">
        <v>1</v>
      </c>
      <c r="K1589" t="inlineStr"/>
    </row>
    <row r="1590">
      <c r="A1590" t="inlineStr">
        <is>
          <t>MAYFNDA24TM</t>
        </is>
      </c>
      <c r="B1590" t="inlineStr">
        <is>
          <t>MAYA SPORT LITE DAMA</t>
        </is>
      </c>
      <c r="C1590" t="inlineStr">
        <is>
          <t>Manufactura / Dama / P. Superiores</t>
        </is>
      </c>
      <c r="D1590" t="n">
        <v>28</v>
      </c>
      <c r="E1590" t="n">
        <v>361.30634871</v>
      </c>
      <c r="F1590" t="n">
        <v>0.8960663319111111</v>
      </c>
      <c r="G1590" t="n">
        <v>22</v>
      </c>
      <c r="H1590" t="n">
        <v>3.87</v>
      </c>
      <c r="I1590" t="n">
        <v>2.8</v>
      </c>
      <c r="J1590" t="n">
        <v>1</v>
      </c>
      <c r="K1590" t="inlineStr"/>
    </row>
    <row r="1591">
      <c r="A1591" t="inlineStr">
        <is>
          <t>CLAMICA66T2XL</t>
        </is>
      </c>
      <c r="B1591" t="inlineStr">
        <is>
          <t>CLASICA ORIGINAL CAB</t>
        </is>
      </c>
      <c r="C1591" t="inlineStr">
        <is>
          <t>Manufactura / Caballero / P. Superiores</t>
        </is>
      </c>
      <c r="D1591" t="n">
        <v>9</v>
      </c>
      <c r="E1591" t="n">
        <v>361.10834773</v>
      </c>
      <c r="F1591" t="n">
        <v>0.8788202198888889</v>
      </c>
      <c r="G1591" t="n">
        <v>11</v>
      </c>
      <c r="H1591" t="n">
        <v>4.598442536</v>
      </c>
      <c r="I1591" t="n">
        <v>0.9</v>
      </c>
      <c r="J1591" t="n">
        <v>1</v>
      </c>
      <c r="K1591" t="inlineStr"/>
    </row>
    <row r="1592">
      <c r="A1592" t="inlineStr">
        <is>
          <t>SABMEDA30TS</t>
        </is>
      </c>
      <c r="B1592" t="inlineStr">
        <is>
          <t>SABRI SPORT DAMA</t>
        </is>
      </c>
      <c r="C1592" t="inlineStr">
        <is>
          <t>Manufactura / Dama / P. Superiores</t>
        </is>
      </c>
      <c r="D1592" t="n">
        <v>11</v>
      </c>
      <c r="E1592" t="n">
        <v>360.46972551</v>
      </c>
      <c r="F1592" t="n">
        <v>0.8593617680818183</v>
      </c>
      <c r="G1592" t="n">
        <v>45</v>
      </c>
      <c r="H1592" t="n">
        <v>4.51</v>
      </c>
      <c r="I1592" t="n">
        <v>1.1</v>
      </c>
      <c r="J1592" t="n">
        <v>2</v>
      </c>
      <c r="K1592" t="inlineStr"/>
    </row>
    <row r="1593">
      <c r="A1593" t="inlineStr">
        <is>
          <t>SHOUNKI13T6</t>
        </is>
      </c>
      <c r="B1593" t="inlineStr">
        <is>
          <t>SHORT PLAYA KIDS</t>
        </is>
      </c>
      <c r="C1593" t="inlineStr">
        <is>
          <t>Manufactura / Kids / P. Inferiores</t>
        </is>
      </c>
      <c r="D1593" t="n">
        <v>9</v>
      </c>
      <c r="E1593" t="n">
        <v>360.33750324</v>
      </c>
      <c r="F1593" t="n">
        <v>0.8413428674555555</v>
      </c>
      <c r="G1593" t="n">
        <v>12</v>
      </c>
      <c r="H1593" t="n">
        <v>6.09</v>
      </c>
      <c r="I1593" t="n">
        <v>0.9</v>
      </c>
      <c r="J1593" t="n">
        <v>2</v>
      </c>
      <c r="K1593" t="inlineStr"/>
    </row>
    <row r="1594">
      <c r="A1594" t="inlineStr">
        <is>
          <t>SHONTDA66TXL</t>
        </is>
      </c>
      <c r="B1594" t="inlineStr">
        <is>
          <t>EXPLORE SHORT DAMA</t>
        </is>
      </c>
      <c r="C1594" t="inlineStr">
        <is>
          <t>Manufactura / Dama / P. Inferiores</t>
        </is>
      </c>
      <c r="D1594" t="n">
        <v>6</v>
      </c>
      <c r="E1594" t="n">
        <v>360.0154546</v>
      </c>
      <c r="F1594" t="n">
        <v>0.8165150431833333</v>
      </c>
      <c r="G1594" t="n">
        <v>27</v>
      </c>
      <c r="H1594" t="n">
        <v>10.22113744</v>
      </c>
      <c r="I1594" t="n">
        <v>0.6</v>
      </c>
      <c r="J1594" t="n">
        <v>0</v>
      </c>
      <c r="K1594" t="inlineStr"/>
    </row>
    <row r="1595">
      <c r="A1595" t="inlineStr">
        <is>
          <t>RIOMICA04TXL</t>
        </is>
      </c>
      <c r="B1595" t="inlineStr">
        <is>
          <t>RIO ORIGINAL CAB</t>
        </is>
      </c>
      <c r="C1595" t="inlineStr">
        <is>
          <t>Manufactura / Caballero / P. Superiores</t>
        </is>
      </c>
      <c r="D1595" t="n">
        <v>6</v>
      </c>
      <c r="E1595" t="n">
        <v>359.95023508</v>
      </c>
      <c r="F1595" t="n">
        <v>0.9008561847833333</v>
      </c>
      <c r="G1595" t="n">
        <v>17</v>
      </c>
      <c r="H1595" t="n">
        <v>5.939350288</v>
      </c>
      <c r="I1595" t="n">
        <v>0.6</v>
      </c>
      <c r="J1595" t="n">
        <v>3</v>
      </c>
      <c r="K1595" t="inlineStr"/>
    </row>
    <row r="1596">
      <c r="A1596" t="inlineStr">
        <is>
          <t>SARSPDA12TXL</t>
        </is>
      </c>
      <c r="B1596" t="inlineStr">
        <is>
          <t>FALDA SARA DAMA</t>
        </is>
      </c>
      <c r="C1596" t="inlineStr">
        <is>
          <t>Manufactura / Dama / P. Inferiores</t>
        </is>
      </c>
      <c r="D1596" t="n">
        <v>8</v>
      </c>
      <c r="E1596" t="n">
        <v>359.80246023</v>
      </c>
      <c r="F1596" t="n">
        <v>0.8096277874000001</v>
      </c>
      <c r="G1596" t="n">
        <v>4</v>
      </c>
      <c r="H1596" t="n">
        <v>9.500113852</v>
      </c>
      <c r="I1596" t="n">
        <v>0.8</v>
      </c>
      <c r="J1596" t="n">
        <v>0</v>
      </c>
      <c r="K1596" t="inlineStr"/>
    </row>
    <row r="1597">
      <c r="A1597" t="inlineStr">
        <is>
          <t>ADUMMCA16TXL</t>
        </is>
      </c>
      <c r="B1597" t="inlineStr">
        <is>
          <t>ACTIVE DUO CAB</t>
        </is>
      </c>
      <c r="C1597" t="inlineStr">
        <is>
          <t>Manufactura / Caballero / P. Superiores</t>
        </is>
      </c>
      <c r="D1597" t="n">
        <v>11</v>
      </c>
      <c r="E1597" t="n">
        <v>359.59554445</v>
      </c>
      <c r="F1597" t="n">
        <v>0.8870384207555556</v>
      </c>
      <c r="G1597" t="n">
        <v>24</v>
      </c>
      <c r="H1597" t="n">
        <v>5.09</v>
      </c>
      <c r="I1597" t="n">
        <v>1.1</v>
      </c>
      <c r="J1597" t="n">
        <v>2</v>
      </c>
      <c r="K1597" t="inlineStr"/>
    </row>
    <row r="1598">
      <c r="A1598" t="inlineStr">
        <is>
          <t>MARMIKI13T14</t>
        </is>
      </c>
      <c r="B1598" t="inlineStr">
        <is>
          <t>MAR ORIGINAL KIDS</t>
        </is>
      </c>
      <c r="C1598" t="inlineStr">
        <is>
          <t>Manufactura / Kids / P. Superiores</t>
        </is>
      </c>
      <c r="D1598" t="n">
        <v>9</v>
      </c>
      <c r="E1598" t="n">
        <v>359.55906454</v>
      </c>
      <c r="F1598" t="n">
        <v>0.9204163929818182</v>
      </c>
      <c r="G1598" t="n">
        <v>38</v>
      </c>
      <c r="H1598" t="n">
        <v>3.168013332000001</v>
      </c>
      <c r="I1598" t="n">
        <v>0.9</v>
      </c>
      <c r="J1598" t="n">
        <v>0</v>
      </c>
      <c r="K1598" t="inlineStr"/>
    </row>
    <row r="1599">
      <c r="A1599" t="inlineStr">
        <is>
          <t>HELBFDA205TM</t>
        </is>
      </c>
      <c r="B1599" t="inlineStr">
        <is>
          <t>HELEN BIO MOVE DAMA</t>
        </is>
      </c>
      <c r="C1599" t="inlineStr">
        <is>
          <t>Manufactura / Dama / P. Superiores</t>
        </is>
      </c>
      <c r="D1599" t="n">
        <v>6</v>
      </c>
      <c r="E1599" t="n">
        <v>358.55237481</v>
      </c>
      <c r="F1599" t="n">
        <v>0.8969504907200001</v>
      </c>
      <c r="G1599" t="n">
        <v>30</v>
      </c>
      <c r="H1599" t="n">
        <v>7.34081746</v>
      </c>
      <c r="I1599" t="n">
        <v>0.6</v>
      </c>
      <c r="J1599" t="n">
        <v>0</v>
      </c>
      <c r="K1599" t="inlineStr"/>
    </row>
    <row r="1600">
      <c r="A1600" t="inlineStr">
        <is>
          <t>ANDMIDA53TXL</t>
        </is>
      </c>
      <c r="B1600" t="inlineStr">
        <is>
          <t>ANDRE ORIGINAL DAMA</t>
        </is>
      </c>
      <c r="C1600" t="inlineStr">
        <is>
          <t>Manufactura / Dama / P. Superiores</t>
        </is>
      </c>
      <c r="D1600" t="n">
        <v>10</v>
      </c>
      <c r="E1600" t="n">
        <v>357.68192205</v>
      </c>
      <c r="F1600" t="n">
        <v>0.90693067385</v>
      </c>
      <c r="G1600" t="n">
        <v>14</v>
      </c>
      <c r="H1600" t="n">
        <v>3.274295302</v>
      </c>
      <c r="I1600" t="n">
        <v>1</v>
      </c>
      <c r="J1600" t="n">
        <v>0</v>
      </c>
      <c r="K1600" t="inlineStr"/>
    </row>
    <row r="1601">
      <c r="A1601" t="inlineStr">
        <is>
          <t>SHOUNKI33T4</t>
        </is>
      </c>
      <c r="B1601" t="inlineStr">
        <is>
          <t>SHORT PLAYA KIDS</t>
        </is>
      </c>
      <c r="C1601" t="inlineStr">
        <is>
          <t>Manufactura / Kids / P. Inferiores</t>
        </is>
      </c>
      <c r="D1601" t="n">
        <v>10</v>
      </c>
      <c r="E1601" t="n">
        <v>356.40759454</v>
      </c>
      <c r="F1601" t="n">
        <v>0.8369536476727273</v>
      </c>
      <c r="G1601" t="n">
        <v>19</v>
      </c>
      <c r="H1601" t="n">
        <v>6.09</v>
      </c>
      <c r="I1601" t="n">
        <v>1</v>
      </c>
      <c r="J1601" t="n">
        <v>0</v>
      </c>
      <c r="K1601" t="inlineStr"/>
    </row>
    <row r="1602">
      <c r="A1602" t="inlineStr">
        <is>
          <t>NAHFNCA16TXL</t>
        </is>
      </c>
      <c r="B1602" t="inlineStr">
        <is>
          <t>NOAH SPORT LITE CAB</t>
        </is>
      </c>
      <c r="C1602" t="inlineStr">
        <is>
          <t>Manufactura / Caballero / P. Superiores</t>
        </is>
      </c>
      <c r="D1602" t="n">
        <v>14</v>
      </c>
      <c r="E1602" t="n">
        <v>355.88454348</v>
      </c>
      <c r="F1602" t="n">
        <v>0.4446613763733334</v>
      </c>
      <c r="G1602" t="n">
        <v>8</v>
      </c>
      <c r="H1602" t="n">
        <v>17.61141534</v>
      </c>
      <c r="I1602" t="n">
        <v>1.4</v>
      </c>
      <c r="J1602" t="n">
        <v>0</v>
      </c>
      <c r="K1602" t="inlineStr"/>
    </row>
    <row r="1603">
      <c r="A1603" t="inlineStr">
        <is>
          <t>ANDMIDA53TL</t>
        </is>
      </c>
      <c r="B1603" t="inlineStr">
        <is>
          <t>ANDRE ORIGINAL DAMA</t>
        </is>
      </c>
      <c r="C1603" t="inlineStr">
        <is>
          <t>Manufactura / Dama / P. Superiores</t>
        </is>
      </c>
      <c r="D1603" t="n">
        <v>11</v>
      </c>
      <c r="E1603" t="n">
        <v>355.60762188</v>
      </c>
      <c r="F1603" t="n">
        <v>0.8981239422363636</v>
      </c>
      <c r="G1603" t="n">
        <v>7</v>
      </c>
      <c r="H1603" t="n">
        <v>3.274295302</v>
      </c>
      <c r="I1603" t="n">
        <v>1.1</v>
      </c>
      <c r="J1603" t="n">
        <v>1</v>
      </c>
      <c r="K1603" t="inlineStr"/>
    </row>
    <row r="1604">
      <c r="A1604" t="inlineStr">
        <is>
          <t>ZOEMIKI53T12</t>
        </is>
      </c>
      <c r="B1604" t="inlineStr">
        <is>
          <t>ZOE ORIGINAL KIDS</t>
        </is>
      </c>
      <c r="C1604" t="inlineStr">
        <is>
          <t>Manufactura / Kids / P. Superiores</t>
        </is>
      </c>
      <c r="D1604" t="n">
        <v>11</v>
      </c>
      <c r="E1604" t="n">
        <v>355.52673828</v>
      </c>
      <c r="F1604" t="n">
        <v>0.8666110277076923</v>
      </c>
      <c r="G1604" t="n">
        <v>3</v>
      </c>
      <c r="H1604" t="n">
        <v>4.12</v>
      </c>
      <c r="I1604" t="n">
        <v>1.1</v>
      </c>
      <c r="J1604" t="n">
        <v>1</v>
      </c>
      <c r="K1604" t="inlineStr"/>
    </row>
    <row r="1605">
      <c r="A1605" t="inlineStr">
        <is>
          <t>CLAMIDA30TXL</t>
        </is>
      </c>
      <c r="B1605" t="inlineStr">
        <is>
          <t>CLASICA ORIGINAL DAMA</t>
        </is>
      </c>
      <c r="C1605" t="inlineStr">
        <is>
          <t>Manufactura / Dama / P. Superiores</t>
        </is>
      </c>
      <c r="D1605" t="n">
        <v>9</v>
      </c>
      <c r="E1605" t="n">
        <v>355.49985791</v>
      </c>
      <c r="F1605" t="n">
        <v>0.8991635079888888</v>
      </c>
      <c r="G1605" t="n">
        <v>26</v>
      </c>
      <c r="H1605" t="n">
        <v>3.923227589000001</v>
      </c>
      <c r="I1605" t="n">
        <v>0.9</v>
      </c>
      <c r="J1605" t="n">
        <v>0</v>
      </c>
      <c r="K1605" t="inlineStr"/>
    </row>
    <row r="1606">
      <c r="A1606" t="inlineStr">
        <is>
          <t>CCBHMDA151TS</t>
        </is>
      </c>
      <c r="B1606" t="inlineStr">
        <is>
          <t>CLUB CLASICA DAMA</t>
        </is>
      </c>
      <c r="C1606" t="inlineStr">
        <is>
          <t>Manufactura / Dama / P. Superiores</t>
        </is>
      </c>
      <c r="D1606" t="n">
        <v>9</v>
      </c>
      <c r="E1606" t="n">
        <v>355</v>
      </c>
      <c r="F1606" t="n">
        <v>0.97750000002</v>
      </c>
      <c r="G1606" t="n">
        <v>9</v>
      </c>
      <c r="H1606" t="n">
        <v>1</v>
      </c>
      <c r="I1606" t="n">
        <v>0.9</v>
      </c>
      <c r="J1606" t="n">
        <v>0</v>
      </c>
      <c r="K1606" t="inlineStr"/>
    </row>
    <row r="1607">
      <c r="A1607" t="inlineStr">
        <is>
          <t>CLMSUCA152TM</t>
        </is>
      </c>
      <c r="B1607" t="inlineStr">
        <is>
          <t>CLASICA MOTION CAB</t>
        </is>
      </c>
      <c r="C1607" t="inlineStr">
        <is>
          <t>Manufactura / Caballero / P. Superiores</t>
        </is>
      </c>
      <c r="D1607" t="n">
        <v>9</v>
      </c>
      <c r="E1607" t="n">
        <v>354.96266484</v>
      </c>
      <c r="F1607" t="n">
        <v>0.6713571215666667</v>
      </c>
      <c r="G1607" t="n">
        <v>0</v>
      </c>
      <c r="H1607" t="n">
        <v>12.26</v>
      </c>
      <c r="I1607" t="n">
        <v>0.9</v>
      </c>
      <c r="J1607" t="n">
        <v>7</v>
      </c>
      <c r="K1607" t="inlineStr">
        <is>
          <t>Sin stock</t>
        </is>
      </c>
    </row>
    <row r="1608">
      <c r="A1608" t="inlineStr">
        <is>
          <t>DOMBFCA16TXL</t>
        </is>
      </c>
      <c r="B1608" t="inlineStr">
        <is>
          <t>DOMINIC BIO MOVE CAB</t>
        </is>
      </c>
      <c r="C1608" t="inlineStr">
        <is>
          <t>Manufactura / Caballero / P. Superiores</t>
        </is>
      </c>
      <c r="D1608" t="n">
        <v>7</v>
      </c>
      <c r="E1608" t="n">
        <v>353.48604724</v>
      </c>
      <c r="F1608" t="n">
        <v>0.80128291092</v>
      </c>
      <c r="G1608" t="n">
        <v>32</v>
      </c>
      <c r="H1608" t="n">
        <v>13.86</v>
      </c>
      <c r="I1608" t="n">
        <v>0.7</v>
      </c>
      <c r="J1608" t="n">
        <v>0</v>
      </c>
      <c r="K1608" t="inlineStr"/>
    </row>
    <row r="1609">
      <c r="A1609" t="inlineStr">
        <is>
          <t>RIOMIKI53T10</t>
        </is>
      </c>
      <c r="B1609" t="inlineStr">
        <is>
          <t>RIO ORIGINAL KIDS</t>
        </is>
      </c>
      <c r="C1609" t="inlineStr">
        <is>
          <t>Manufactura / Kids / P. Superiores</t>
        </is>
      </c>
      <c r="D1609" t="n">
        <v>8</v>
      </c>
      <c r="E1609" t="n">
        <v>353.41485699</v>
      </c>
      <c r="F1609" t="n">
        <v>0.916161218225</v>
      </c>
      <c r="G1609" t="n">
        <v>0</v>
      </c>
      <c r="H1609" t="n">
        <v>3.617969464</v>
      </c>
      <c r="I1609" t="n">
        <v>0.8</v>
      </c>
      <c r="J1609" t="n">
        <v>1</v>
      </c>
      <c r="K1609" t="inlineStr">
        <is>
          <t>Sin stock</t>
        </is>
      </c>
    </row>
    <row r="1610">
      <c r="A1610" t="inlineStr">
        <is>
          <t>MAFMIDA70TXL</t>
        </is>
      </c>
      <c r="B1610" t="inlineStr">
        <is>
          <t>MAFE ORIGINAL DAMA</t>
        </is>
      </c>
      <c r="C1610" t="inlineStr">
        <is>
          <t>Manufactura / Dama / P. Superiores</t>
        </is>
      </c>
      <c r="D1610" t="n">
        <v>11</v>
      </c>
      <c r="E1610" t="n">
        <v>353.12305192</v>
      </c>
      <c r="F1610" t="n">
        <v>0.8556569178636363</v>
      </c>
      <c r="G1610" t="n">
        <v>14</v>
      </c>
      <c r="H1610" t="n">
        <v>4.54817671</v>
      </c>
      <c r="I1610" t="n">
        <v>1.1</v>
      </c>
      <c r="J1610" t="n">
        <v>1</v>
      </c>
      <c r="K1610" t="inlineStr"/>
    </row>
    <row r="1611">
      <c r="A1611" t="inlineStr">
        <is>
          <t>DALSSTDA43TM</t>
        </is>
      </c>
      <c r="B1611" t="inlineStr">
        <is>
          <t>MANGA LARGA DAILY 2.0 DAMA</t>
        </is>
      </c>
      <c r="C1611" t="inlineStr">
        <is>
          <t>Manufactura / Dama / P. Superiores</t>
        </is>
      </c>
      <c r="D1611" t="n">
        <v>6</v>
      </c>
      <c r="E1611" t="n">
        <v>350.52543815</v>
      </c>
      <c r="F1611" t="n">
        <v>0.7691638167</v>
      </c>
      <c r="G1611" t="n">
        <v>3</v>
      </c>
      <c r="H1611" t="n">
        <v>12.3</v>
      </c>
      <c r="I1611" t="n">
        <v>0.6</v>
      </c>
      <c r="J1611" t="n">
        <v>0</v>
      </c>
      <c r="K1611" t="inlineStr"/>
    </row>
    <row r="1612">
      <c r="A1612" t="inlineStr">
        <is>
          <t>SHONTCA30TM</t>
        </is>
      </c>
      <c r="B1612" t="inlineStr">
        <is>
          <t>EXPLORE SHORT CAB</t>
        </is>
      </c>
      <c r="C1612" t="inlineStr">
        <is>
          <t>Manufactura / Caballero / P. Inferiores</t>
        </is>
      </c>
      <c r="D1612" t="n">
        <v>7</v>
      </c>
      <c r="E1612" t="n">
        <v>349.88656119</v>
      </c>
      <c r="F1612" t="n">
        <v>0.7613711310285715</v>
      </c>
      <c r="G1612" t="n">
        <v>0</v>
      </c>
      <c r="H1612" t="n">
        <v>11.17</v>
      </c>
      <c r="I1612" t="n">
        <v>0.7</v>
      </c>
      <c r="J1612" t="n">
        <v>1</v>
      </c>
      <c r="K1612" t="inlineStr">
        <is>
          <t>Sin stock</t>
        </is>
      </c>
    </row>
    <row r="1613">
      <c r="A1613" t="inlineStr">
        <is>
          <t>TALGTADA170TS</t>
        </is>
      </c>
      <c r="B1613" t="inlineStr">
        <is>
          <t>URBAN COTTON TOP GRAY BLOCK DAMA</t>
        </is>
      </c>
      <c r="C1613" t="inlineStr">
        <is>
          <t>Manufactura / Dama / P. Superiores</t>
        </is>
      </c>
      <c r="D1613" t="n">
        <v>7</v>
      </c>
      <c r="E1613" t="n">
        <v>348.80291463</v>
      </c>
      <c r="F1613" t="n">
        <v>0.8633293229833333</v>
      </c>
      <c r="G1613" t="n">
        <v>12</v>
      </c>
      <c r="H1613" t="n">
        <v>7.811820557</v>
      </c>
      <c r="I1613" t="n">
        <v>0.7</v>
      </c>
      <c r="J1613" t="n">
        <v>3</v>
      </c>
      <c r="K1613" t="inlineStr"/>
    </row>
    <row r="1614">
      <c r="A1614" t="inlineStr">
        <is>
          <t>TALGOTACA12TXS</t>
        </is>
      </c>
      <c r="B1614" t="inlineStr">
        <is>
          <t>URBAN COTTON OVERSIZED SUNSET CAB</t>
        </is>
      </c>
      <c r="C1614" t="inlineStr">
        <is>
          <t>Manufactura / Caballero / P. Superiores</t>
        </is>
      </c>
      <c r="D1614" t="n">
        <v>7</v>
      </c>
      <c r="E1614" t="n">
        <v>348.20095549</v>
      </c>
      <c r="F1614" t="n">
        <v>0.73280432615</v>
      </c>
      <c r="G1614" t="n">
        <v>1</v>
      </c>
      <c r="H1614" t="n">
        <v>12.16112582</v>
      </c>
      <c r="I1614" t="n">
        <v>0.7</v>
      </c>
      <c r="J1614" t="n">
        <v>2</v>
      </c>
      <c r="K1614" t="inlineStr"/>
    </row>
    <row r="1615">
      <c r="A1615" t="inlineStr">
        <is>
          <t>SHOUNKI12T12</t>
        </is>
      </c>
      <c r="B1615" t="inlineStr">
        <is>
          <t>SHORT PLAYA KIDS</t>
        </is>
      </c>
      <c r="C1615" t="inlineStr">
        <is>
          <t>Manufactura / Kids / P. Inferiores</t>
        </is>
      </c>
      <c r="D1615" t="n">
        <v>8</v>
      </c>
      <c r="E1615" t="n">
        <v>347.68180815</v>
      </c>
      <c r="F1615" t="n">
        <v>0.8499636892125</v>
      </c>
      <c r="G1615" t="n">
        <v>0</v>
      </c>
      <c r="H1615" t="n">
        <v>6.09</v>
      </c>
      <c r="I1615" t="n">
        <v>0.8</v>
      </c>
      <c r="J1615" t="n">
        <v>4</v>
      </c>
      <c r="K1615" t="inlineStr">
        <is>
          <t>Sin stock</t>
        </is>
      </c>
    </row>
    <row r="1616">
      <c r="A1616" t="inlineStr">
        <is>
          <t>CAP10SC</t>
        </is>
      </c>
      <c r="B1616" t="inlineStr">
        <is>
          <t>CAP SOLID</t>
        </is>
      </c>
      <c r="C1616" t="inlineStr">
        <is>
          <t>Equipamiento / Gorras</t>
        </is>
      </c>
      <c r="D1616" t="n">
        <v>14</v>
      </c>
      <c r="E1616" t="n">
        <v>347.60129037</v>
      </c>
      <c r="F1616" t="n">
        <v>0</v>
      </c>
      <c r="G1616" t="n">
        <v>0</v>
      </c>
      <c r="H1616" t="n">
        <v>0</v>
      </c>
      <c r="I1616" t="n">
        <v>1.4</v>
      </c>
      <c r="J1616" t="n">
        <v>4</v>
      </c>
      <c r="K1616" t="inlineStr">
        <is>
          <t>Sin stock</t>
        </is>
      </c>
    </row>
    <row r="1617">
      <c r="A1617" t="inlineStr">
        <is>
          <t>POR104EQ</t>
        </is>
      </c>
      <c r="B1617" t="inlineStr">
        <is>
          <t>PORTAVASOS</t>
        </is>
      </c>
      <c r="C1617" t="inlineStr">
        <is>
          <t>Equipamiento / Accesorios</t>
        </is>
      </c>
      <c r="D1617" t="n">
        <v>70</v>
      </c>
      <c r="E1617" t="n">
        <v>347.059111841</v>
      </c>
      <c r="F1617" t="n">
        <v>0.801912730445238</v>
      </c>
      <c r="G1617" t="n">
        <v>15</v>
      </c>
      <c r="H1617" t="n">
        <v>1</v>
      </c>
      <c r="I1617" t="n">
        <v>7</v>
      </c>
      <c r="J1617" t="n">
        <v>1</v>
      </c>
      <c r="K1617" t="inlineStr"/>
    </row>
    <row r="1618">
      <c r="A1618" t="inlineStr">
        <is>
          <t>SHOUNKI33T8</t>
        </is>
      </c>
      <c r="B1618" t="inlineStr">
        <is>
          <t>SHORT PLAYA KIDS</t>
        </is>
      </c>
      <c r="C1618" t="inlineStr">
        <is>
          <t>Manufactura / Kids / P. Inferiores</t>
        </is>
      </c>
      <c r="D1618" t="n">
        <v>10</v>
      </c>
      <c r="E1618" t="n">
        <v>346.65769936</v>
      </c>
      <c r="F1618" t="n">
        <v>0.8389366348111111</v>
      </c>
      <c r="G1618" t="n">
        <v>27</v>
      </c>
      <c r="H1618" t="n">
        <v>6.09</v>
      </c>
      <c r="I1618" t="n">
        <v>1</v>
      </c>
      <c r="J1618" t="n">
        <v>0</v>
      </c>
      <c r="K1618" t="inlineStr"/>
    </row>
    <row r="1619">
      <c r="A1619" t="inlineStr">
        <is>
          <t>ETN90E300ML</t>
        </is>
      </c>
      <c r="B1619" t="inlineStr">
        <is>
          <t>KAMBUKKA ETNA 300 ML</t>
        </is>
      </c>
      <c r="C1619" t="inlineStr">
        <is>
          <t>Equipamiento / Cava</t>
        </is>
      </c>
      <c r="D1619" t="n">
        <v>9</v>
      </c>
      <c r="E1619" t="n">
        <v>345.98721598</v>
      </c>
      <c r="F1619" t="n">
        <v>0.4382169064375</v>
      </c>
      <c r="G1619" t="n">
        <v>20</v>
      </c>
      <c r="H1619" t="n">
        <v>23.5</v>
      </c>
      <c r="I1619" t="n">
        <v>0.9</v>
      </c>
      <c r="J1619" t="n">
        <v>1</v>
      </c>
      <c r="K1619" t="inlineStr"/>
    </row>
    <row r="1620">
      <c r="A1620" t="inlineStr">
        <is>
          <t>CLAMIDA66TS</t>
        </is>
      </c>
      <c r="B1620" t="inlineStr">
        <is>
          <t>CLASICA ORIGINAL DAMA</t>
        </is>
      </c>
      <c r="C1620" t="inlineStr">
        <is>
          <t>Manufactura / Dama / P. Superiores</t>
        </is>
      </c>
      <c r="D1620" t="n">
        <v>13</v>
      </c>
      <c r="E1620" t="n">
        <v>345.2112584082001</v>
      </c>
      <c r="F1620" t="n">
        <v>0.8674200263555556</v>
      </c>
      <c r="G1620" t="n">
        <v>45</v>
      </c>
      <c r="H1620" t="n">
        <v>3.923227589</v>
      </c>
      <c r="I1620" t="n">
        <v>1.3</v>
      </c>
      <c r="J1620" t="n">
        <v>0</v>
      </c>
      <c r="K1620" t="inlineStr"/>
    </row>
    <row r="1621">
      <c r="A1621" t="inlineStr">
        <is>
          <t>RIOMIDA30TXS</t>
        </is>
      </c>
      <c r="B1621" t="inlineStr">
        <is>
          <t>RIO ORIGINAL DAMA</t>
        </is>
      </c>
      <c r="C1621" t="inlineStr">
        <is>
          <t>Manufactura / Dama / P. Superiores</t>
        </is>
      </c>
      <c r="D1621" t="n">
        <v>6</v>
      </c>
      <c r="E1621" t="n">
        <v>345.04829987</v>
      </c>
      <c r="F1621" t="n">
        <v>0.9063263430999999</v>
      </c>
      <c r="G1621" t="n">
        <v>0</v>
      </c>
      <c r="H1621" t="n">
        <v>5.538832275</v>
      </c>
      <c r="I1621" t="n">
        <v>0.6</v>
      </c>
      <c r="J1621" t="n">
        <v>4</v>
      </c>
      <c r="K1621" t="inlineStr">
        <is>
          <t>Sin stock</t>
        </is>
      </c>
    </row>
    <row r="1622">
      <c r="A1622" t="inlineStr">
        <is>
          <t>SHOSUKI155T4</t>
        </is>
      </c>
      <c r="B1622" t="inlineStr">
        <is>
          <t>SHORT PLAYA ESTAMPADO KIDS</t>
        </is>
      </c>
      <c r="C1622" t="inlineStr">
        <is>
          <t>Manufactura / Kids / P. Superiores</t>
        </is>
      </c>
      <c r="D1622" t="n">
        <v>8</v>
      </c>
      <c r="E1622" t="n">
        <v>343.73733629</v>
      </c>
      <c r="F1622" t="n">
        <v>0.8229022660625001</v>
      </c>
      <c r="G1622" t="n">
        <v>7</v>
      </c>
      <c r="H1622" t="n">
        <v>7.21</v>
      </c>
      <c r="I1622" t="n">
        <v>0.8</v>
      </c>
      <c r="J1622" t="n">
        <v>1</v>
      </c>
      <c r="K1622" t="inlineStr"/>
    </row>
    <row r="1623">
      <c r="A1623" t="inlineStr">
        <is>
          <t>MIKFNDA10TXL</t>
        </is>
      </c>
      <c r="B1623" t="inlineStr">
        <is>
          <t>MIKA SPORT LITE DAMA</t>
        </is>
      </c>
      <c r="C1623" t="inlineStr">
        <is>
          <t>Manufactura / Dama / P. Superiores</t>
        </is>
      </c>
      <c r="D1623" t="n">
        <v>12</v>
      </c>
      <c r="E1623" t="n">
        <v>343.68532126</v>
      </c>
      <c r="F1623" t="n">
        <v>0.8119434022909092</v>
      </c>
      <c r="G1623" t="n">
        <v>19</v>
      </c>
      <c r="H1623" t="n">
        <v>5.484675344</v>
      </c>
      <c r="I1623" t="n">
        <v>1.2</v>
      </c>
      <c r="J1623" t="n">
        <v>5</v>
      </c>
      <c r="K1623" t="inlineStr"/>
    </row>
    <row r="1624">
      <c r="A1624" t="inlineStr">
        <is>
          <t>MARMIKI30T2</t>
        </is>
      </c>
      <c r="B1624" t="inlineStr">
        <is>
          <t>MAR ORIGINAL KIDS</t>
        </is>
      </c>
      <c r="C1624" t="inlineStr">
        <is>
          <t>Manufactura / Kids / P. Superiores</t>
        </is>
      </c>
      <c r="D1624" t="n">
        <v>10</v>
      </c>
      <c r="E1624" t="n">
        <v>343.57512406</v>
      </c>
      <c r="F1624" t="n">
        <v>0.9064121721099999</v>
      </c>
      <c r="G1624" t="n">
        <v>5</v>
      </c>
      <c r="H1624" t="n">
        <v>3.168013332</v>
      </c>
      <c r="I1624" t="n">
        <v>1</v>
      </c>
      <c r="J1624" t="n">
        <v>4</v>
      </c>
      <c r="K1624" t="inlineStr"/>
    </row>
    <row r="1625">
      <c r="A1625" t="inlineStr">
        <is>
          <t>CLAMIDA13TM</t>
        </is>
      </c>
      <c r="B1625" t="inlineStr">
        <is>
          <t>CLASICA ORIGINAL DAMA</t>
        </is>
      </c>
      <c r="C1625" t="inlineStr">
        <is>
          <t>Manufactura / Dama / P. Superiores</t>
        </is>
      </c>
      <c r="D1625" t="n">
        <v>10</v>
      </c>
      <c r="E1625" t="n">
        <v>343.51306793</v>
      </c>
      <c r="F1625" t="n">
        <v>0.90433872482</v>
      </c>
      <c r="G1625" t="n">
        <v>8</v>
      </c>
      <c r="H1625" t="n">
        <v>3.923227589</v>
      </c>
      <c r="I1625" t="n">
        <v>1</v>
      </c>
      <c r="J1625" t="n">
        <v>1</v>
      </c>
      <c r="K1625" t="inlineStr"/>
    </row>
    <row r="1626">
      <c r="A1626" t="inlineStr">
        <is>
          <t>CCBHMKI03T8</t>
        </is>
      </c>
      <c r="B1626" t="inlineStr">
        <is>
          <t>CLUB CLASICA KIDS</t>
        </is>
      </c>
      <c r="C1626" t="inlineStr">
        <is>
          <t>Manufactura / Kids / P. Superiores</t>
        </is>
      </c>
      <c r="D1626" t="n">
        <v>11</v>
      </c>
      <c r="E1626" t="n">
        <v>343</v>
      </c>
      <c r="F1626" t="n">
        <v>0.9710758377222223</v>
      </c>
      <c r="G1626" t="n">
        <v>4</v>
      </c>
      <c r="H1626" t="n">
        <v>1</v>
      </c>
      <c r="I1626" t="n">
        <v>1.1</v>
      </c>
      <c r="J1626" t="n">
        <v>0</v>
      </c>
      <c r="K1626" t="inlineStr"/>
    </row>
    <row r="1627">
      <c r="A1627" t="inlineStr">
        <is>
          <t>LMOFIDA10TL</t>
        </is>
      </c>
      <c r="B1627" t="inlineStr">
        <is>
          <t>LEGGING MOVA</t>
        </is>
      </c>
      <c r="C1627" t="inlineStr">
        <is>
          <t>Manufactura / Dama / P. Inferiores</t>
        </is>
      </c>
      <c r="D1627" t="n">
        <v>6</v>
      </c>
      <c r="E1627" t="n">
        <v>342.8421269</v>
      </c>
      <c r="F1627" t="n">
        <v>0.7800406253000001</v>
      </c>
      <c r="G1627" t="n">
        <v>8</v>
      </c>
      <c r="H1627" t="n">
        <v>17.7</v>
      </c>
      <c r="I1627" t="n">
        <v>0.6</v>
      </c>
      <c r="J1627" t="n">
        <v>1</v>
      </c>
      <c r="K1627" t="inlineStr"/>
    </row>
    <row r="1628">
      <c r="A1628" t="inlineStr">
        <is>
          <t>ZOEMIKI34T6</t>
        </is>
      </c>
      <c r="B1628" t="inlineStr">
        <is>
          <t>ZOE ORIGINAL KIDS</t>
        </is>
      </c>
      <c r="C1628" t="inlineStr">
        <is>
          <t>Manufactura / Kids / P. Superiores</t>
        </is>
      </c>
      <c r="D1628" t="n">
        <v>10</v>
      </c>
      <c r="E1628" t="n">
        <v>342.67298474</v>
      </c>
      <c r="F1628" t="n">
        <v>0.8720995083777778</v>
      </c>
      <c r="G1628" t="n">
        <v>46</v>
      </c>
      <c r="H1628" t="n">
        <v>4.12</v>
      </c>
      <c r="I1628" t="n">
        <v>1</v>
      </c>
      <c r="J1628" t="n">
        <v>1</v>
      </c>
      <c r="K1628" t="inlineStr"/>
    </row>
    <row r="1629">
      <c r="A1629" t="inlineStr">
        <is>
          <t>RUNTBMBFCA206TM</t>
        </is>
      </c>
      <c r="B1629" t="inlineStr">
        <is>
          <t>RUNNING TANK BIOMOVE CAB</t>
        </is>
      </c>
      <c r="C1629" t="inlineStr">
        <is>
          <t>Manufactura / Caballero / P. Superiores</t>
        </is>
      </c>
      <c r="D1629" t="n">
        <v>6</v>
      </c>
      <c r="E1629" t="n">
        <v>342.51591707</v>
      </c>
      <c r="F1629" t="n">
        <v>0.9929102069799999</v>
      </c>
      <c r="G1629" t="n">
        <v>22</v>
      </c>
      <c r="H1629" t="n">
        <v>0.4823510283999999</v>
      </c>
      <c r="I1629" t="n">
        <v>0.6</v>
      </c>
      <c r="J1629" t="n">
        <v>1</v>
      </c>
      <c r="K1629" t="inlineStr"/>
    </row>
    <row r="1630">
      <c r="A1630" t="inlineStr">
        <is>
          <t>RUNTBMBFCA209TM</t>
        </is>
      </c>
      <c r="B1630" t="inlineStr">
        <is>
          <t>RUNNING TANK BIOMOVE CAB</t>
        </is>
      </c>
      <c r="C1630" t="inlineStr">
        <is>
          <t>Manufactura / Caballero / P. Superiores</t>
        </is>
      </c>
      <c r="D1630" t="n">
        <v>7</v>
      </c>
      <c r="E1630" t="n">
        <v>342.51591707</v>
      </c>
      <c r="F1630" t="n">
        <v>0.9929102069799999</v>
      </c>
      <c r="G1630" t="n">
        <v>25</v>
      </c>
      <c r="H1630" t="n">
        <v>0.4823510284</v>
      </c>
      <c r="I1630" t="n">
        <v>0.7</v>
      </c>
      <c r="J1630" t="n">
        <v>1</v>
      </c>
      <c r="K1630" t="inlineStr"/>
    </row>
    <row r="1631">
      <c r="A1631" t="inlineStr">
        <is>
          <t>MARMIKI04T1</t>
        </is>
      </c>
      <c r="B1631" t="inlineStr">
        <is>
          <t>MAR ORIGINAL KIDS</t>
        </is>
      </c>
      <c r="C1631" t="inlineStr">
        <is>
          <t>Manufactura / Kids / P. Superiores</t>
        </is>
      </c>
      <c r="D1631" t="n">
        <v>10</v>
      </c>
      <c r="E1631" t="n">
        <v>341.93855162</v>
      </c>
      <c r="F1631" t="n">
        <v>0.9050197128166667</v>
      </c>
      <c r="G1631" t="n">
        <v>0</v>
      </c>
      <c r="H1631" t="n">
        <v>3.168013332</v>
      </c>
      <c r="I1631" t="n">
        <v>1</v>
      </c>
      <c r="J1631" t="n">
        <v>5</v>
      </c>
      <c r="K1631" t="inlineStr">
        <is>
          <t>Sin stock</t>
        </is>
      </c>
    </row>
    <row r="1632">
      <c r="A1632" t="inlineStr">
        <is>
          <t>SHONTCA43TXL</t>
        </is>
      </c>
      <c r="B1632" t="inlineStr">
        <is>
          <t>EXPLORE SHORT CAB</t>
        </is>
      </c>
      <c r="C1632" t="inlineStr">
        <is>
          <t>Manufactura / Caballero / P. Inferiores</t>
        </is>
      </c>
      <c r="D1632" t="n">
        <v>6</v>
      </c>
      <c r="E1632" t="n">
        <v>341.54541266</v>
      </c>
      <c r="F1632" t="n">
        <v>0.7941984592</v>
      </c>
      <c r="G1632" t="n">
        <v>4</v>
      </c>
      <c r="H1632" t="n">
        <v>11.17</v>
      </c>
      <c r="I1632" t="n">
        <v>0.6</v>
      </c>
      <c r="J1632" t="n">
        <v>1</v>
      </c>
      <c r="K1632" t="inlineStr"/>
    </row>
    <row r="1633">
      <c r="A1633" t="inlineStr">
        <is>
          <t>CCBHMCA03T2XL</t>
        </is>
      </c>
      <c r="B1633" t="inlineStr">
        <is>
          <t>CLUB CLASICA CABALLERO</t>
        </is>
      </c>
      <c r="C1633" t="inlineStr">
        <is>
          <t>Manufactura / Caballero / P. Superiores</t>
        </is>
      </c>
      <c r="D1633" t="n">
        <v>8</v>
      </c>
      <c r="E1633" t="n">
        <v>341.5</v>
      </c>
      <c r="F1633" t="n">
        <v>0.976752645525</v>
      </c>
      <c r="G1633" t="n">
        <v>5</v>
      </c>
      <c r="H1633" t="n">
        <v>1</v>
      </c>
      <c r="I1633" t="n">
        <v>0.8</v>
      </c>
      <c r="J1633" t="n">
        <v>0</v>
      </c>
      <c r="K1633" t="inlineStr"/>
    </row>
    <row r="1634">
      <c r="A1634" t="inlineStr">
        <is>
          <t>ZOEMIKI16T8</t>
        </is>
      </c>
      <c r="B1634" t="inlineStr">
        <is>
          <t>ZOE ORIGINAL KIDS</t>
        </is>
      </c>
      <c r="C1634" t="inlineStr">
        <is>
          <t>Manufactura / Kids / P. Superiores</t>
        </is>
      </c>
      <c r="D1634" t="n">
        <v>8</v>
      </c>
      <c r="E1634" t="n">
        <v>341.24300633</v>
      </c>
      <c r="F1634" t="n">
        <v>0.898827247975</v>
      </c>
      <c r="G1634" t="n">
        <v>12</v>
      </c>
      <c r="H1634" t="n">
        <v>4.12</v>
      </c>
      <c r="I1634" t="n">
        <v>0.8</v>
      </c>
      <c r="J1634" t="n">
        <v>2</v>
      </c>
      <c r="K1634" t="inlineStr"/>
    </row>
    <row r="1635">
      <c r="A1635" t="inlineStr">
        <is>
          <t>SHONRKI43T6</t>
        </is>
      </c>
      <c r="B1635" t="inlineStr">
        <is>
          <t>SHORT SPORT KIDS</t>
        </is>
      </c>
      <c r="C1635" t="inlineStr">
        <is>
          <t>Manufactura / Kids / P. Inferiores</t>
        </is>
      </c>
      <c r="D1635" t="n">
        <v>9</v>
      </c>
      <c r="E1635" t="n">
        <v>340.37376691</v>
      </c>
      <c r="F1635" t="n">
        <v>0.8405250894625</v>
      </c>
      <c r="G1635" t="n">
        <v>31</v>
      </c>
      <c r="H1635" t="n">
        <v>6.465724382</v>
      </c>
      <c r="I1635" t="n">
        <v>0.9</v>
      </c>
      <c r="J1635" t="n">
        <v>1</v>
      </c>
      <c r="K1635" t="inlineStr"/>
    </row>
    <row r="1636">
      <c r="A1636" t="inlineStr">
        <is>
          <t>MAYFNDA13TXS</t>
        </is>
      </c>
      <c r="B1636" t="inlineStr">
        <is>
          <t>MAYA SPORT LITE DAMA</t>
        </is>
      </c>
      <c r="C1636" t="inlineStr">
        <is>
          <t>Manufactura / Dama / P. Superiores</t>
        </is>
      </c>
      <c r="D1636" t="n">
        <v>11</v>
      </c>
      <c r="E1636" t="n">
        <v>339.81097231</v>
      </c>
      <c r="F1636" t="n">
        <v>0.8748894271111111</v>
      </c>
      <c r="G1636" t="n">
        <v>51</v>
      </c>
      <c r="H1636" t="n">
        <v>3.87</v>
      </c>
      <c r="I1636" t="n">
        <v>1.1</v>
      </c>
      <c r="J1636" t="n">
        <v>1</v>
      </c>
      <c r="K1636" t="inlineStr"/>
    </row>
    <row r="1637">
      <c r="A1637" t="inlineStr">
        <is>
          <t>MAYFNDA13TM</t>
        </is>
      </c>
      <c r="B1637" t="inlineStr">
        <is>
          <t>MAYA SPORT LITE DAMA</t>
        </is>
      </c>
      <c r="C1637" t="inlineStr">
        <is>
          <t>Manufactura / Dama / P. Superiores</t>
        </is>
      </c>
      <c r="D1637" t="n">
        <v>13</v>
      </c>
      <c r="E1637" t="n">
        <v>339.05052795</v>
      </c>
      <c r="F1637" t="n">
        <v>0.8820357531599999</v>
      </c>
      <c r="G1637" t="n">
        <v>22</v>
      </c>
      <c r="H1637" t="n">
        <v>3.87</v>
      </c>
      <c r="I1637" t="n">
        <v>1.3</v>
      </c>
      <c r="J1637" t="n">
        <v>4</v>
      </c>
      <c r="K1637" t="inlineStr"/>
    </row>
    <row r="1638">
      <c r="A1638" t="inlineStr">
        <is>
          <t>MARMIKI43T1</t>
        </is>
      </c>
      <c r="B1638" t="inlineStr">
        <is>
          <t>MAR ORIGINAL KIDS</t>
        </is>
      </c>
      <c r="C1638" t="inlineStr">
        <is>
          <t>Manufactura / Kids / P. Superiores</t>
        </is>
      </c>
      <c r="D1638" t="n">
        <v>9</v>
      </c>
      <c r="E1638" t="n">
        <v>338.75924975</v>
      </c>
      <c r="F1638" t="n">
        <v>0.9142947329363637</v>
      </c>
      <c r="G1638" t="n">
        <v>1</v>
      </c>
      <c r="H1638" t="n">
        <v>3.168013332000001</v>
      </c>
      <c r="I1638" t="n">
        <v>0.9</v>
      </c>
      <c r="J1638" t="n">
        <v>3</v>
      </c>
      <c r="K1638" t="inlineStr"/>
    </row>
    <row r="1639">
      <c r="A1639" t="inlineStr">
        <is>
          <t>MARMIKI11T2</t>
        </is>
      </c>
      <c r="B1639" t="inlineStr">
        <is>
          <t>MAR ORIGINAL KIDS</t>
        </is>
      </c>
      <c r="C1639" t="inlineStr">
        <is>
          <t>Manufactura / Kids / P. Superiores</t>
        </is>
      </c>
      <c r="D1639" t="n">
        <v>9</v>
      </c>
      <c r="E1639" t="n">
        <v>338.61563477</v>
      </c>
      <c r="F1639" t="n">
        <v>0.9157449384899999</v>
      </c>
      <c r="G1639" t="n">
        <v>23</v>
      </c>
      <c r="H1639" t="n">
        <v>3.168013332</v>
      </c>
      <c r="I1639" t="n">
        <v>0.9</v>
      </c>
      <c r="J1639" t="n">
        <v>0</v>
      </c>
      <c r="K1639" t="inlineStr"/>
    </row>
    <row r="1640">
      <c r="A1640" t="inlineStr">
        <is>
          <t>CCBHMDA03TXS</t>
        </is>
      </c>
      <c r="B1640" t="inlineStr">
        <is>
          <t>CLUB CLASICA DAMA</t>
        </is>
      </c>
      <c r="C1640" t="inlineStr">
        <is>
          <t>Manufactura / Dama / P. Superiores</t>
        </is>
      </c>
      <c r="D1640" t="n">
        <v>12</v>
      </c>
      <c r="E1640" t="n">
        <v>337</v>
      </c>
      <c r="F1640" t="n">
        <v>0.9764679946285714</v>
      </c>
      <c r="G1640" t="n">
        <v>3</v>
      </c>
      <c r="H1640" t="n">
        <v>1</v>
      </c>
      <c r="I1640" t="n">
        <v>1.2</v>
      </c>
      <c r="J1640" t="n">
        <v>0</v>
      </c>
      <c r="K1640" t="inlineStr"/>
    </row>
    <row r="1641">
      <c r="A1641" t="inlineStr">
        <is>
          <t>BASCCDA43TXS</t>
        </is>
      </c>
      <c r="B1641" t="inlineStr">
        <is>
          <t>BASIC LINE SHORT DAMA</t>
        </is>
      </c>
      <c r="C1641" t="inlineStr">
        <is>
          <t>Manufactura / Dama / P. Inferiores</t>
        </is>
      </c>
      <c r="D1641" t="n">
        <v>7</v>
      </c>
      <c r="E1641" t="n">
        <v>336.74044467</v>
      </c>
      <c r="F1641" t="n">
        <v>0.8690319252222223</v>
      </c>
      <c r="G1641" t="n">
        <v>45</v>
      </c>
      <c r="H1641" t="n">
        <v>6.01</v>
      </c>
      <c r="I1641" t="n">
        <v>0.7</v>
      </c>
      <c r="J1641" t="n">
        <v>0</v>
      </c>
      <c r="K1641" t="inlineStr"/>
    </row>
    <row r="1642">
      <c r="A1642" t="inlineStr">
        <is>
          <t>LAN50EQ</t>
        </is>
      </c>
      <c r="B1642" t="inlineStr">
        <is>
          <t>LANYARD</t>
        </is>
      </c>
      <c r="C1642" t="inlineStr">
        <is>
          <t>Equipamiento / Accesorios</t>
        </is>
      </c>
      <c r="D1642" t="n">
        <v>320</v>
      </c>
      <c r="E1642" t="n">
        <v>336.186479222</v>
      </c>
      <c r="F1642" t="n">
        <v>0.8517560638627907</v>
      </c>
      <c r="G1642" t="n">
        <v>571</v>
      </c>
      <c r="H1642" t="n">
        <v>0.51</v>
      </c>
      <c r="I1642" t="n">
        <v>32</v>
      </c>
      <c r="J1642" t="n">
        <v>0</v>
      </c>
      <c r="K1642" t="inlineStr"/>
    </row>
    <row r="1643">
      <c r="A1643" t="inlineStr">
        <is>
          <t>SABMEDA13TM</t>
        </is>
      </c>
      <c r="B1643" t="inlineStr">
        <is>
          <t>SABRI SPORT DAMA</t>
        </is>
      </c>
      <c r="C1643" t="inlineStr">
        <is>
          <t>Manufactura / Dama / P. Superiores</t>
        </is>
      </c>
      <c r="D1643" t="n">
        <v>12</v>
      </c>
      <c r="E1643" t="n">
        <v>336.18314659</v>
      </c>
      <c r="F1643" t="n">
        <v>0.85755127588</v>
      </c>
      <c r="G1643" t="n">
        <v>2</v>
      </c>
      <c r="H1643" t="n">
        <v>4.51</v>
      </c>
      <c r="I1643" t="n">
        <v>1.2</v>
      </c>
      <c r="J1643" t="n">
        <v>0</v>
      </c>
      <c r="K1643" t="inlineStr"/>
    </row>
    <row r="1644">
      <c r="A1644" t="inlineStr">
        <is>
          <t>ZOEMIDA01TS</t>
        </is>
      </c>
      <c r="B1644" t="inlineStr">
        <is>
          <t>ZOE ORIGINAL DAMA</t>
        </is>
      </c>
      <c r="C1644" t="inlineStr">
        <is>
          <t>Manufactura / Dama / P. Superiores</t>
        </is>
      </c>
      <c r="D1644" t="n">
        <v>9</v>
      </c>
      <c r="E1644" t="n">
        <v>336.16112852</v>
      </c>
      <c r="F1644" t="n">
        <v>0.8882313096111111</v>
      </c>
      <c r="G1644" t="n">
        <v>20</v>
      </c>
      <c r="H1644" t="n">
        <v>4.116585696</v>
      </c>
      <c r="I1644" t="n">
        <v>0.9</v>
      </c>
      <c r="J1644" t="n">
        <v>0</v>
      </c>
      <c r="K1644" t="inlineStr"/>
    </row>
    <row r="1645">
      <c r="A1645" t="inlineStr">
        <is>
          <t>MARMICA30T3XL</t>
        </is>
      </c>
      <c r="B1645" t="inlineStr">
        <is>
          <t>MAR ORIGINAL CAB</t>
        </is>
      </c>
      <c r="C1645" t="inlineStr">
        <is>
          <t>Manufactura / Caballero / P. Superiores</t>
        </is>
      </c>
      <c r="D1645" t="n">
        <v>7</v>
      </c>
      <c r="E1645" t="n">
        <v>336.05294542</v>
      </c>
      <c r="F1645" t="n">
        <v>0.8955051189571429</v>
      </c>
      <c r="G1645" t="n">
        <v>1</v>
      </c>
      <c r="H1645" t="n">
        <v>4.946357428</v>
      </c>
      <c r="I1645" t="n">
        <v>0.7</v>
      </c>
      <c r="J1645" t="n">
        <v>1</v>
      </c>
      <c r="K1645" t="inlineStr"/>
    </row>
    <row r="1646">
      <c r="A1646" t="inlineStr">
        <is>
          <t>CLAMEKI66T14</t>
        </is>
      </c>
      <c r="B1646" t="inlineStr">
        <is>
          <t>CLASICA SPORT KIDS</t>
        </is>
      </c>
      <c r="C1646" t="inlineStr">
        <is>
          <t>Manufactura / Kids / P. Superiores</t>
        </is>
      </c>
      <c r="D1646" t="n">
        <v>9</v>
      </c>
      <c r="E1646" t="n">
        <v>335.66072656</v>
      </c>
      <c r="F1646" t="n">
        <v>0.8934741622545456</v>
      </c>
      <c r="G1646" t="n">
        <v>5</v>
      </c>
      <c r="H1646" t="n">
        <v>3.97</v>
      </c>
      <c r="I1646" t="n">
        <v>0.9</v>
      </c>
      <c r="J1646" t="n">
        <v>3</v>
      </c>
      <c r="K1646" t="inlineStr"/>
    </row>
    <row r="1647">
      <c r="A1647" t="inlineStr">
        <is>
          <t>TMOFIDA12TXL</t>
        </is>
      </c>
      <c r="B1647" t="inlineStr">
        <is>
          <t>TOP MOVA</t>
        </is>
      </c>
      <c r="C1647" t="inlineStr">
        <is>
          <t>Manufactura / Dama / P. Superiores</t>
        </is>
      </c>
      <c r="D1647" t="n">
        <v>6</v>
      </c>
      <c r="E1647" t="n">
        <v>335.65475784</v>
      </c>
      <c r="F1647" t="n">
        <v>0.8192939009333333</v>
      </c>
      <c r="G1647" t="n">
        <v>9</v>
      </c>
      <c r="H1647" t="n">
        <v>9.942967033</v>
      </c>
      <c r="I1647" t="n">
        <v>0.6</v>
      </c>
      <c r="J1647" t="n">
        <v>1</v>
      </c>
      <c r="K1647" t="inlineStr"/>
    </row>
    <row r="1648">
      <c r="A1648" t="inlineStr">
        <is>
          <t>MIKFNDA24TS</t>
        </is>
      </c>
      <c r="B1648" t="inlineStr">
        <is>
          <t>MIKA SPORT LITE DAMA</t>
        </is>
      </c>
      <c r="C1648" t="inlineStr">
        <is>
          <t>Manufactura / Dama / P. Superiores</t>
        </is>
      </c>
      <c r="D1648" t="n">
        <v>20</v>
      </c>
      <c r="E1648" t="n">
        <v>335.38187733</v>
      </c>
      <c r="F1648" t="n">
        <v>0.8203346102333333</v>
      </c>
      <c r="G1648" t="n">
        <v>31</v>
      </c>
      <c r="H1648" t="n">
        <v>5.484675344</v>
      </c>
      <c r="I1648" t="n">
        <v>2</v>
      </c>
      <c r="J1648" t="n">
        <v>1</v>
      </c>
      <c r="K1648" t="inlineStr"/>
    </row>
    <row r="1649">
      <c r="A1649" t="inlineStr">
        <is>
          <t>SARSPDA43TXL</t>
        </is>
      </c>
      <c r="B1649" t="inlineStr">
        <is>
          <t>FALDA SARA DAMA</t>
        </is>
      </c>
      <c r="C1649" t="inlineStr">
        <is>
          <t>Manufactura / Dama / P. Inferiores</t>
        </is>
      </c>
      <c r="D1649" t="n">
        <v>6</v>
      </c>
      <c r="E1649" t="n">
        <v>335.18415427</v>
      </c>
      <c r="F1649" t="n">
        <v>0.85697503314</v>
      </c>
      <c r="G1649" t="n">
        <v>15</v>
      </c>
      <c r="H1649" t="n">
        <v>9.500113852</v>
      </c>
      <c r="I1649" t="n">
        <v>0.6</v>
      </c>
      <c r="J1649" t="n">
        <v>0</v>
      </c>
      <c r="K1649" t="inlineStr"/>
    </row>
    <row r="1650">
      <c r="A1650" t="inlineStr">
        <is>
          <t>PANNTCA43T2XL</t>
        </is>
      </c>
      <c r="B1650" t="inlineStr">
        <is>
          <t>EXPLORE PANTS CAB</t>
        </is>
      </c>
      <c r="C1650" t="inlineStr">
        <is>
          <t>Manufactura / Caballero / P. Inferiores</t>
        </is>
      </c>
      <c r="D1650" t="n">
        <v>5</v>
      </c>
      <c r="E1650" t="n">
        <v>335</v>
      </c>
      <c r="F1650" t="n">
        <v>0.7658217161</v>
      </c>
      <c r="G1650" t="n">
        <v>43</v>
      </c>
      <c r="H1650" t="n">
        <v>15.68994502</v>
      </c>
      <c r="I1650" t="n">
        <v>0.5</v>
      </c>
      <c r="J1650" t="n">
        <v>0</v>
      </c>
      <c r="K1650" t="inlineStr"/>
    </row>
    <row r="1651">
      <c r="A1651" t="inlineStr">
        <is>
          <t>TALGTACA167TXL</t>
        </is>
      </c>
      <c r="B1651" t="inlineStr">
        <is>
          <t>URBAN COTTON OVERSIZED COLOR BLOCK CAB</t>
        </is>
      </c>
      <c r="C1651" t="inlineStr">
        <is>
          <t>Manufactura / Caballero / P. Superiores</t>
        </is>
      </c>
      <c r="D1651" t="n">
        <v>6</v>
      </c>
      <c r="E1651" t="n">
        <v>333.58378926</v>
      </c>
      <c r="F1651" t="n">
        <v>0.78046976775</v>
      </c>
      <c r="G1651" t="n">
        <v>13</v>
      </c>
      <c r="H1651" t="n">
        <v>12.16641162</v>
      </c>
      <c r="I1651" t="n">
        <v>0.6</v>
      </c>
      <c r="J1651" t="n">
        <v>6</v>
      </c>
      <c r="K1651" t="inlineStr"/>
    </row>
    <row r="1652">
      <c r="A1652" t="inlineStr">
        <is>
          <t>TALGTACA12TXS</t>
        </is>
      </c>
      <c r="B1652" t="inlineStr">
        <is>
          <t>URBAN COTTON OVERSIZED OUTSIDE CAB</t>
        </is>
      </c>
      <c r="C1652" t="inlineStr">
        <is>
          <t>Manufactura / Caballero / P. Superiores</t>
        </is>
      </c>
      <c r="D1652" t="n">
        <v>9</v>
      </c>
      <c r="E1652" t="n">
        <v>332.84251252</v>
      </c>
      <c r="F1652" t="n">
        <v>0.7797413299666666</v>
      </c>
      <c r="G1652" t="n">
        <v>0</v>
      </c>
      <c r="H1652" t="n">
        <v>12.16758159</v>
      </c>
      <c r="I1652" t="n">
        <v>0.9</v>
      </c>
      <c r="J1652" t="n">
        <v>2</v>
      </c>
      <c r="K1652" t="inlineStr">
        <is>
          <t>Sin stock</t>
        </is>
      </c>
    </row>
    <row r="1653">
      <c r="A1653" t="inlineStr">
        <is>
          <t>SHOUNKI57T4</t>
        </is>
      </c>
      <c r="B1653" t="inlineStr">
        <is>
          <t>SHORT PLAYA KIDS</t>
        </is>
      </c>
      <c r="C1653" t="inlineStr">
        <is>
          <t>Manufactura / Kids / P. Inferiores</t>
        </is>
      </c>
      <c r="D1653" t="n">
        <v>8</v>
      </c>
      <c r="E1653" t="n">
        <v>331.90686932</v>
      </c>
      <c r="F1653" t="n">
        <v>0.8477848001428571</v>
      </c>
      <c r="G1653" t="n">
        <v>22</v>
      </c>
      <c r="H1653" t="n">
        <v>6.089999999999999</v>
      </c>
      <c r="I1653" t="n">
        <v>0.8</v>
      </c>
      <c r="J1653" t="n">
        <v>0</v>
      </c>
      <c r="K1653" t="inlineStr"/>
    </row>
    <row r="1654">
      <c r="A1654" t="inlineStr">
        <is>
          <t>CCBHMKI03T12</t>
        </is>
      </c>
      <c r="B1654" t="inlineStr">
        <is>
          <t>CLUB CLASICA KIDS</t>
        </is>
      </c>
      <c r="C1654" t="inlineStr">
        <is>
          <t>Manufactura / Kids / P. Superiores</t>
        </is>
      </c>
      <c r="D1654" t="n">
        <v>10</v>
      </c>
      <c r="E1654" t="n">
        <v>331</v>
      </c>
      <c r="F1654" t="n">
        <v>0.969217687075</v>
      </c>
      <c r="G1654" t="n">
        <v>20</v>
      </c>
      <c r="H1654" t="n">
        <v>1</v>
      </c>
      <c r="I1654" t="n">
        <v>1</v>
      </c>
      <c r="J1654" t="n">
        <v>0</v>
      </c>
      <c r="K1654" t="inlineStr"/>
    </row>
    <row r="1655">
      <c r="A1655" t="inlineStr">
        <is>
          <t>VIVMIDA53TXS</t>
        </is>
      </c>
      <c r="B1655" t="inlineStr">
        <is>
          <t>VIVI ORIGINAL DAMA</t>
        </is>
      </c>
      <c r="C1655" t="inlineStr">
        <is>
          <t>Manufactura / Dama / P. Superiores</t>
        </is>
      </c>
      <c r="D1655" t="n">
        <v>8</v>
      </c>
      <c r="E1655" t="n">
        <v>330.81676436</v>
      </c>
      <c r="F1655" t="n">
        <v>0.8884137122375</v>
      </c>
      <c r="G1655" t="n">
        <v>12</v>
      </c>
      <c r="H1655" t="n">
        <v>4.303181706</v>
      </c>
      <c r="I1655" t="n">
        <v>0.8</v>
      </c>
      <c r="J1655" t="n">
        <v>2</v>
      </c>
      <c r="K1655" t="inlineStr"/>
    </row>
    <row r="1656">
      <c r="A1656" t="inlineStr">
        <is>
          <t>SHOUNCA68TL</t>
        </is>
      </c>
      <c r="B1656" t="inlineStr">
        <is>
          <t>SHORT PLAYA CAB</t>
        </is>
      </c>
      <c r="C1656" t="inlineStr">
        <is>
          <t>Manufactura / Caballero / P. Inferiores</t>
        </is>
      </c>
      <c r="D1656" t="n">
        <v>7</v>
      </c>
      <c r="E1656" t="n">
        <v>330.47265659</v>
      </c>
      <c r="F1656" t="n">
        <v>0.7830005338428572</v>
      </c>
      <c r="G1656" t="n">
        <v>0</v>
      </c>
      <c r="H1656" t="n">
        <v>9.99</v>
      </c>
      <c r="I1656" t="n">
        <v>0.7</v>
      </c>
      <c r="J1656" t="n">
        <v>5</v>
      </c>
      <c r="K1656" t="inlineStr">
        <is>
          <t>Sin stock</t>
        </is>
      </c>
    </row>
    <row r="1657">
      <c r="A1657" t="inlineStr">
        <is>
          <t>CLAMIDA12TXS</t>
        </is>
      </c>
      <c r="B1657" t="inlineStr">
        <is>
          <t>CLASICA ORIGINAL DAMA</t>
        </is>
      </c>
      <c r="C1657" t="inlineStr">
        <is>
          <t>Manufactura / Dama / P. Superiores</t>
        </is>
      </c>
      <c r="D1657" t="n">
        <v>11</v>
      </c>
      <c r="E1657" t="n">
        <v>330.01809539</v>
      </c>
      <c r="F1657" t="n">
        <v>0.8691503154</v>
      </c>
      <c r="G1657" t="n">
        <v>3</v>
      </c>
      <c r="H1657" t="n">
        <v>3.923227589</v>
      </c>
      <c r="I1657" t="n">
        <v>1.1</v>
      </c>
      <c r="J1657" t="n">
        <v>3</v>
      </c>
      <c r="K1657" t="inlineStr"/>
    </row>
    <row r="1658">
      <c r="A1658" t="inlineStr">
        <is>
          <t>SHONTCA30TL</t>
        </is>
      </c>
      <c r="B1658" t="inlineStr">
        <is>
          <t>EXPLORE SHORT CAB</t>
        </is>
      </c>
      <c r="C1658" t="inlineStr">
        <is>
          <t>Manufactura / Caballero / P. Inferiores</t>
        </is>
      </c>
      <c r="D1658" t="n">
        <v>7</v>
      </c>
      <c r="E1658" t="n">
        <v>329.54740781</v>
      </c>
      <c r="F1658" t="n">
        <v>0.7566353027857142</v>
      </c>
      <c r="G1658" t="n">
        <v>0</v>
      </c>
      <c r="H1658" t="n">
        <v>11.17</v>
      </c>
      <c r="I1658" t="n">
        <v>0.7</v>
      </c>
      <c r="J1658" t="n">
        <v>1</v>
      </c>
      <c r="K1658" t="inlineStr">
        <is>
          <t>Sin stock</t>
        </is>
      </c>
    </row>
    <row r="1659">
      <c r="A1659" t="inlineStr">
        <is>
          <t>CLAMIKI16T8</t>
        </is>
      </c>
      <c r="B1659" t="inlineStr">
        <is>
          <t>CLASICA ORIGINAL KIDS</t>
        </is>
      </c>
      <c r="C1659" t="inlineStr">
        <is>
          <t>Manufactura / Kids / P. Superiores</t>
        </is>
      </c>
      <c r="D1659" t="n">
        <v>12</v>
      </c>
      <c r="E1659" t="n">
        <v>329.1164976</v>
      </c>
      <c r="F1659" t="n">
        <v>0.92645543532</v>
      </c>
      <c r="G1659" t="n">
        <v>2</v>
      </c>
      <c r="H1659" t="n">
        <v>2.053774806</v>
      </c>
      <c r="I1659" t="n">
        <v>1.2</v>
      </c>
      <c r="J1659" t="n">
        <v>2</v>
      </c>
      <c r="K1659" t="inlineStr"/>
    </row>
    <row r="1660">
      <c r="A1660" t="inlineStr">
        <is>
          <t>NAHFNCA10T2XL</t>
        </is>
      </c>
      <c r="B1660" t="inlineStr">
        <is>
          <t>NOAH SPORT LITE CAB</t>
        </is>
      </c>
      <c r="C1660" t="inlineStr">
        <is>
          <t>Manufactura / Caballero / P. Superiores</t>
        </is>
      </c>
      <c r="D1660" t="n">
        <v>10</v>
      </c>
      <c r="E1660" t="n">
        <v>328.99914728</v>
      </c>
      <c r="F1660" t="n">
        <v>0.4622167831</v>
      </c>
      <c r="G1660" t="n">
        <v>4</v>
      </c>
      <c r="H1660" t="n">
        <v>17.61141534</v>
      </c>
      <c r="I1660" t="n">
        <v>1</v>
      </c>
      <c r="J1660" t="n">
        <v>7</v>
      </c>
      <c r="K1660" t="inlineStr"/>
    </row>
    <row r="1661">
      <c r="A1661" t="inlineStr">
        <is>
          <t>RIOMIDA53TM</t>
        </is>
      </c>
      <c r="B1661" t="inlineStr">
        <is>
          <t>RIO ORIGINAL DAMA</t>
        </is>
      </c>
      <c r="C1661" t="inlineStr">
        <is>
          <t>Manufactura / Dama / P. Superiores</t>
        </is>
      </c>
      <c r="D1661" t="n">
        <v>8</v>
      </c>
      <c r="E1661" t="n">
        <v>328.84525036</v>
      </c>
      <c r="F1661" t="n">
        <v>0.8785304439714287</v>
      </c>
      <c r="G1661" t="n">
        <v>5</v>
      </c>
      <c r="H1661" t="n">
        <v>5.538832275</v>
      </c>
      <c r="I1661" t="n">
        <v>0.8</v>
      </c>
      <c r="J1661" t="n">
        <v>3</v>
      </c>
      <c r="K1661" t="inlineStr"/>
    </row>
    <row r="1662">
      <c r="A1662" t="inlineStr">
        <is>
          <t>CLAMIDA70TL</t>
        </is>
      </c>
      <c r="B1662" t="inlineStr">
        <is>
          <t>CLASICA ORIGINAL DAMA</t>
        </is>
      </c>
      <c r="C1662" t="inlineStr">
        <is>
          <t>Manufactura / Dama / P. Superiores</t>
        </is>
      </c>
      <c r="D1662" t="n">
        <v>9</v>
      </c>
      <c r="E1662" t="n">
        <v>328.79711832</v>
      </c>
      <c r="F1662" t="n">
        <v>0.9022754692699999</v>
      </c>
      <c r="G1662" t="n">
        <v>25</v>
      </c>
      <c r="H1662" t="n">
        <v>3.923227589</v>
      </c>
      <c r="I1662" t="n">
        <v>0.9</v>
      </c>
      <c r="J1662" t="n">
        <v>0</v>
      </c>
      <c r="K1662" t="inlineStr"/>
    </row>
    <row r="1663">
      <c r="A1663" t="inlineStr">
        <is>
          <t>CLAMIDA66TXL</t>
        </is>
      </c>
      <c r="B1663" t="inlineStr">
        <is>
          <t>CLASICA ORIGINAL DAMA</t>
        </is>
      </c>
      <c r="C1663" t="inlineStr">
        <is>
          <t>Manufactura / Dama / P. Superiores</t>
        </is>
      </c>
      <c r="D1663" t="n">
        <v>9</v>
      </c>
      <c r="E1663" t="n">
        <v>328.76079299</v>
      </c>
      <c r="F1663" t="n">
        <v>0.90297160345</v>
      </c>
      <c r="G1663" t="n">
        <v>40</v>
      </c>
      <c r="H1663" t="n">
        <v>3.923227589000001</v>
      </c>
      <c r="I1663" t="n">
        <v>0.9</v>
      </c>
      <c r="J1663" t="n">
        <v>1</v>
      </c>
      <c r="K1663" t="inlineStr"/>
    </row>
    <row r="1664">
      <c r="A1664" t="inlineStr">
        <is>
          <t>CLAMEDA66TXS</t>
        </is>
      </c>
      <c r="B1664" t="inlineStr">
        <is>
          <t>CLÁSICA SPORT DAMA</t>
        </is>
      </c>
      <c r="C1664" t="inlineStr">
        <is>
          <t>Manufactura / Dama / P. Superiores</t>
        </is>
      </c>
      <c r="D1664" t="n">
        <v>8</v>
      </c>
      <c r="E1664" t="n">
        <v>327.8164214</v>
      </c>
      <c r="F1664" t="n">
        <v>0.8486270241666667</v>
      </c>
      <c r="G1664" t="n">
        <v>10</v>
      </c>
      <c r="H1664" t="n">
        <v>6.536105769</v>
      </c>
      <c r="I1664" t="n">
        <v>0.8</v>
      </c>
      <c r="J1664" t="n">
        <v>3</v>
      </c>
      <c r="K1664" t="inlineStr"/>
    </row>
    <row r="1665">
      <c r="A1665" t="inlineStr">
        <is>
          <t>GEMBADA12TL</t>
        </is>
      </c>
      <c r="B1665" t="inlineStr">
        <is>
          <t>VESTIDO GEMMA DAMA</t>
        </is>
      </c>
      <c r="C1665" t="inlineStr">
        <is>
          <t>Manufactura / Dama / Conjuntos</t>
        </is>
      </c>
      <c r="D1665" t="n">
        <v>9</v>
      </c>
      <c r="E1665" t="n">
        <v>327.76453327</v>
      </c>
      <c r="F1665" t="n">
        <v>0.5285219357500001</v>
      </c>
      <c r="G1665" t="n">
        <v>22</v>
      </c>
      <c r="H1665" t="n">
        <v>23.99</v>
      </c>
      <c r="I1665" t="n">
        <v>0.9</v>
      </c>
      <c r="J1665" t="n">
        <v>0</v>
      </c>
      <c r="K1665" t="inlineStr"/>
    </row>
    <row r="1666">
      <c r="A1666" t="inlineStr">
        <is>
          <t>SHOUNKI50T2</t>
        </is>
      </c>
      <c r="B1666" t="inlineStr">
        <is>
          <t>SHORT PLAYA KIDS</t>
        </is>
      </c>
      <c r="C1666" t="inlineStr">
        <is>
          <t>Manufactura / Kids / P. Inferiores</t>
        </is>
      </c>
      <c r="D1666" t="n">
        <v>8</v>
      </c>
      <c r="E1666" t="n">
        <v>327.50430814</v>
      </c>
      <c r="F1666" t="n">
        <v>0.8482394967</v>
      </c>
      <c r="G1666" t="n">
        <v>13</v>
      </c>
      <c r="H1666" t="n">
        <v>6.09</v>
      </c>
      <c r="I1666" t="n">
        <v>0.8</v>
      </c>
      <c r="J1666" t="n">
        <v>0</v>
      </c>
      <c r="K1666" t="inlineStr"/>
    </row>
    <row r="1667">
      <c r="A1667" t="inlineStr">
        <is>
          <t>GEMBADA09TS</t>
        </is>
      </c>
      <c r="B1667" t="inlineStr">
        <is>
          <t>VESTIDO GEMMA DAMA</t>
        </is>
      </c>
      <c r="C1667" t="inlineStr">
        <is>
          <t>Manufactura / Dama / Conjuntos</t>
        </is>
      </c>
      <c r="D1667" t="n">
        <v>8</v>
      </c>
      <c r="E1667" t="n">
        <v>326.60794548</v>
      </c>
      <c r="F1667" t="n">
        <v>0.5213286864</v>
      </c>
      <c r="G1667" t="n">
        <v>41</v>
      </c>
      <c r="H1667" t="n">
        <v>23.99</v>
      </c>
      <c r="I1667" t="n">
        <v>0.8</v>
      </c>
      <c r="J1667" t="n">
        <v>0</v>
      </c>
      <c r="K1667" t="inlineStr"/>
    </row>
    <row r="1668">
      <c r="A1668" t="inlineStr">
        <is>
          <t>ZOEMIDA70TXS</t>
        </is>
      </c>
      <c r="B1668" t="inlineStr">
        <is>
          <t>ZOE ORIGINAL DAMA</t>
        </is>
      </c>
      <c r="C1668" t="inlineStr">
        <is>
          <t>Manufactura / Dama / P. Superiores</t>
        </is>
      </c>
      <c r="D1668" t="n">
        <v>14</v>
      </c>
      <c r="E1668" t="n">
        <v>325.9906874</v>
      </c>
      <c r="F1668" t="n">
        <v>0.8934057877</v>
      </c>
      <c r="G1668" t="n">
        <v>11</v>
      </c>
      <c r="H1668" t="n">
        <v>4.116585696</v>
      </c>
      <c r="I1668" t="n">
        <v>1.4</v>
      </c>
      <c r="J1668" t="n">
        <v>0</v>
      </c>
      <c r="K1668" t="inlineStr"/>
    </row>
    <row r="1669">
      <c r="A1669" t="inlineStr">
        <is>
          <t>MAYFNDA13TS</t>
        </is>
      </c>
      <c r="B1669" t="inlineStr">
        <is>
          <t>MAYA SPORT LITE DAMA</t>
        </is>
      </c>
      <c r="C1669" t="inlineStr">
        <is>
          <t>Manufactura / Dama / P. Superiores</t>
        </is>
      </c>
      <c r="D1669" t="n">
        <v>8</v>
      </c>
      <c r="E1669" t="n">
        <v>325.68471281</v>
      </c>
      <c r="F1669" t="n">
        <v>0.8951571025</v>
      </c>
      <c r="G1669" t="n">
        <v>8</v>
      </c>
      <c r="H1669" t="n">
        <v>3.87</v>
      </c>
      <c r="I1669" t="n">
        <v>0.8</v>
      </c>
      <c r="J1669" t="n">
        <v>1</v>
      </c>
      <c r="K1669" t="inlineStr"/>
    </row>
    <row r="1670">
      <c r="A1670" t="inlineStr">
        <is>
          <t>TMOFIDA31TM</t>
        </is>
      </c>
      <c r="B1670" t="inlineStr">
        <is>
          <t>TOP MOVA</t>
        </is>
      </c>
      <c r="C1670" t="inlineStr">
        <is>
          <t>Manufactura / Dama / P. Superiores</t>
        </is>
      </c>
      <c r="D1670" t="n">
        <v>7</v>
      </c>
      <c r="E1670" t="n">
        <v>325.16775772</v>
      </c>
      <c r="F1670" t="n">
        <v>0.8115982136625</v>
      </c>
      <c r="G1670" t="n">
        <v>21</v>
      </c>
      <c r="H1670" t="n">
        <v>9.942967033</v>
      </c>
      <c r="I1670" t="n">
        <v>0.7</v>
      </c>
      <c r="J1670" t="n">
        <v>0</v>
      </c>
      <c r="K1670" t="inlineStr"/>
    </row>
    <row r="1671">
      <c r="A1671" t="inlineStr">
        <is>
          <t>RIOMICA04TM</t>
        </is>
      </c>
      <c r="B1671" t="inlineStr">
        <is>
          <t>RIO ORIGINAL CAB</t>
        </is>
      </c>
      <c r="C1671" t="inlineStr">
        <is>
          <t>Manufactura / Caballero / P. Superiores</t>
        </is>
      </c>
      <c r="D1671" t="n">
        <v>5</v>
      </c>
      <c r="E1671" t="n">
        <v>325.16105979</v>
      </c>
      <c r="F1671" t="n">
        <v>0.90818758596</v>
      </c>
      <c r="G1671" t="n">
        <v>8</v>
      </c>
      <c r="H1671" t="n">
        <v>5.939350288</v>
      </c>
      <c r="I1671" t="n">
        <v>0.5</v>
      </c>
      <c r="J1671" t="n">
        <v>4</v>
      </c>
      <c r="K1671" t="inlineStr"/>
    </row>
    <row r="1672">
      <c r="A1672" t="inlineStr">
        <is>
          <t>ZOEMIKI53T10</t>
        </is>
      </c>
      <c r="B1672" t="inlineStr">
        <is>
          <t>ZOE ORIGINAL KIDS</t>
        </is>
      </c>
      <c r="C1672" t="inlineStr">
        <is>
          <t>Manufactura / Kids / P. Superiores</t>
        </is>
      </c>
      <c r="D1672" t="n">
        <v>9</v>
      </c>
      <c r="E1672" t="n">
        <v>324.94225588</v>
      </c>
      <c r="F1672" t="n">
        <v>0.8775397797818182</v>
      </c>
      <c r="G1672" t="n">
        <v>2</v>
      </c>
      <c r="H1672" t="n">
        <v>4.12</v>
      </c>
      <c r="I1672" t="n">
        <v>0.9</v>
      </c>
      <c r="J1672" t="n">
        <v>3</v>
      </c>
      <c r="K1672" t="inlineStr"/>
    </row>
    <row r="1673">
      <c r="A1673" t="inlineStr">
        <is>
          <t>SHONTCA12TS</t>
        </is>
      </c>
      <c r="B1673" t="inlineStr">
        <is>
          <t>EXPLORE SHORT CAB</t>
        </is>
      </c>
      <c r="C1673" t="inlineStr">
        <is>
          <t>Manufactura / Caballero / P. Inferiores</t>
        </is>
      </c>
      <c r="D1673" t="n">
        <v>11</v>
      </c>
      <c r="E1673" t="n">
        <v>324.30973029</v>
      </c>
      <c r="F1673" t="n">
        <v>0.7566566117714285</v>
      </c>
      <c r="G1673" t="n">
        <v>1</v>
      </c>
      <c r="H1673" t="n">
        <v>11.17</v>
      </c>
      <c r="I1673" t="n">
        <v>1.1</v>
      </c>
      <c r="J1673" t="n">
        <v>1</v>
      </c>
      <c r="K1673" t="inlineStr"/>
    </row>
    <row r="1674">
      <c r="A1674" t="inlineStr">
        <is>
          <t>MARMIDA05TL</t>
        </is>
      </c>
      <c r="B1674" t="inlineStr">
        <is>
          <t>MAR ORIGINAL DAMA</t>
        </is>
      </c>
      <c r="C1674" t="inlineStr">
        <is>
          <t>Manufactura / Dama / P. Superiores</t>
        </is>
      </c>
      <c r="D1674" t="n">
        <v>7</v>
      </c>
      <c r="E1674" t="n">
        <v>324.19685328</v>
      </c>
      <c r="F1674" t="n">
        <v>0.9020296866249999</v>
      </c>
      <c r="G1674" t="n">
        <v>0</v>
      </c>
      <c r="H1674" t="n">
        <v>4.278324149</v>
      </c>
      <c r="I1674" t="n">
        <v>0.7</v>
      </c>
      <c r="J1674" t="n">
        <v>8</v>
      </c>
      <c r="K1674" t="inlineStr">
        <is>
          <t>Sin stock</t>
        </is>
      </c>
    </row>
    <row r="1675">
      <c r="A1675" t="inlineStr">
        <is>
          <t>ETN94E500ML</t>
        </is>
      </c>
      <c r="B1675" t="inlineStr">
        <is>
          <t>KAMBUKKA ETNA 500 ML</t>
        </is>
      </c>
      <c r="C1675" t="inlineStr">
        <is>
          <t>Equipamiento / Cava</t>
        </is>
      </c>
      <c r="D1675" t="n">
        <v>6</v>
      </c>
      <c r="E1675" t="n">
        <v>323.1166191</v>
      </c>
      <c r="F1675" t="n">
        <v>0.5106875976666667</v>
      </c>
      <c r="G1675" t="n">
        <v>5</v>
      </c>
      <c r="H1675" t="n">
        <v>24.5</v>
      </c>
      <c r="I1675" t="n">
        <v>0.6</v>
      </c>
      <c r="J1675" t="n">
        <v>1</v>
      </c>
      <c r="K1675" t="inlineStr"/>
    </row>
    <row r="1676">
      <c r="A1676" t="inlineStr">
        <is>
          <t>COA15C24OZ</t>
        </is>
      </c>
      <c r="B1676" t="inlineStr">
        <is>
          <t>CONTIGO ASHLAND 24OZ</t>
        </is>
      </c>
      <c r="C1676" t="inlineStr">
        <is>
          <t>Equipamiento / Cava</t>
        </is>
      </c>
      <c r="D1676" t="n">
        <v>10</v>
      </c>
      <c r="E1676" t="n">
        <v>323.10487797</v>
      </c>
      <c r="F1676" t="n">
        <v>0.2446511410875</v>
      </c>
      <c r="G1676" t="n">
        <v>0</v>
      </c>
      <c r="H1676" t="n">
        <v>24.5</v>
      </c>
      <c r="I1676" t="n">
        <v>1</v>
      </c>
      <c r="J1676" t="n">
        <v>7</v>
      </c>
      <c r="K1676" t="inlineStr">
        <is>
          <t>Sin stock</t>
        </is>
      </c>
    </row>
    <row r="1677">
      <c r="A1677" t="inlineStr">
        <is>
          <t>MARMIKI11T14</t>
        </is>
      </c>
      <c r="B1677" t="inlineStr">
        <is>
          <t>MAR ORIGINAL KIDS</t>
        </is>
      </c>
      <c r="C1677" t="inlineStr">
        <is>
          <t>Manufactura / Kids / P. Superiores</t>
        </is>
      </c>
      <c r="D1677" t="n">
        <v>9</v>
      </c>
      <c r="E1677" t="n">
        <v>322.53770482</v>
      </c>
      <c r="F1677" t="n">
        <v>0.9103588866444444</v>
      </c>
      <c r="G1677" t="n">
        <v>0</v>
      </c>
      <c r="H1677" t="n">
        <v>3.168013332</v>
      </c>
      <c r="I1677" t="n">
        <v>0.9</v>
      </c>
      <c r="J1677" t="n">
        <v>3</v>
      </c>
      <c r="K1677" t="inlineStr">
        <is>
          <t>Sin stock</t>
        </is>
      </c>
    </row>
    <row r="1678">
      <c r="A1678" t="inlineStr">
        <is>
          <t>SHONRKI16T12</t>
        </is>
      </c>
      <c r="B1678" t="inlineStr">
        <is>
          <t>SHORT SPORT KIDS</t>
        </is>
      </c>
      <c r="C1678" t="inlineStr">
        <is>
          <t>Manufactura / Kids / P. Inferiores</t>
        </is>
      </c>
      <c r="D1678" t="n">
        <v>9</v>
      </c>
      <c r="E1678" t="n">
        <v>321.8937682494974</v>
      </c>
      <c r="F1678" t="n">
        <v>0.830723542125</v>
      </c>
      <c r="G1678" t="n">
        <v>11</v>
      </c>
      <c r="H1678" t="n">
        <v>6.465724382</v>
      </c>
      <c r="I1678" t="n">
        <v>0.9</v>
      </c>
      <c r="J1678" t="n">
        <v>0</v>
      </c>
      <c r="K1678" t="inlineStr"/>
    </row>
    <row r="1679">
      <c r="A1679" t="inlineStr">
        <is>
          <t>ZOEMIDA16TXS</t>
        </is>
      </c>
      <c r="B1679" t="inlineStr">
        <is>
          <t>ZOE ORIGINAL DAMA</t>
        </is>
      </c>
      <c r="C1679" t="inlineStr">
        <is>
          <t>Manufactura / Dama / P. Superiores</t>
        </is>
      </c>
      <c r="D1679" t="n">
        <v>8</v>
      </c>
      <c r="E1679" t="n">
        <v>321.84255641</v>
      </c>
      <c r="F1679" t="n">
        <v>0.8911776904249999</v>
      </c>
      <c r="G1679" t="n">
        <v>2</v>
      </c>
      <c r="H1679" t="n">
        <v>4.116585696</v>
      </c>
      <c r="I1679" t="n">
        <v>0.8</v>
      </c>
      <c r="J1679" t="n">
        <v>2</v>
      </c>
      <c r="K1679" t="inlineStr"/>
    </row>
    <row r="1680">
      <c r="A1680" t="inlineStr">
        <is>
          <t>CLAMIKI16T6</t>
        </is>
      </c>
      <c r="B1680" t="inlineStr">
        <is>
          <t>CLASICA ORIGINAL KIDS</t>
        </is>
      </c>
      <c r="C1680" t="inlineStr">
        <is>
          <t>Manufactura / Kids / P. Superiores</t>
        </is>
      </c>
      <c r="D1680" t="n">
        <v>11</v>
      </c>
      <c r="E1680" t="n">
        <v>321.3979157</v>
      </c>
      <c r="F1680" t="n">
        <v>0.9265840206416667</v>
      </c>
      <c r="G1680" t="n">
        <v>52</v>
      </c>
      <c r="H1680" t="n">
        <v>2.053774806</v>
      </c>
      <c r="I1680" t="n">
        <v>1.1</v>
      </c>
      <c r="J1680" t="n">
        <v>0</v>
      </c>
      <c r="K1680" t="inlineStr"/>
    </row>
    <row r="1681">
      <c r="A1681" t="inlineStr">
        <is>
          <t>SHONRKI66T8</t>
        </is>
      </c>
      <c r="B1681" t="inlineStr">
        <is>
          <t>SHORT SPORT KIDS</t>
        </is>
      </c>
      <c r="C1681" t="inlineStr">
        <is>
          <t>Manufactura / Kids / P. Inferiores</t>
        </is>
      </c>
      <c r="D1681" t="n">
        <v>8</v>
      </c>
      <c r="E1681" t="n">
        <v>321.20690049</v>
      </c>
      <c r="F1681" t="n">
        <v>0.8359515066750001</v>
      </c>
      <c r="G1681" t="n">
        <v>20</v>
      </c>
      <c r="H1681" t="n">
        <v>6.465724382</v>
      </c>
      <c r="I1681" t="n">
        <v>0.8</v>
      </c>
      <c r="J1681" t="n">
        <v>0</v>
      </c>
      <c r="K1681" t="inlineStr"/>
    </row>
    <row r="1682">
      <c r="A1682" t="inlineStr">
        <is>
          <t>LAN63EQ</t>
        </is>
      </c>
      <c r="B1682" t="inlineStr">
        <is>
          <t>LANYARD</t>
        </is>
      </c>
      <c r="C1682" t="inlineStr">
        <is>
          <t>Equipamiento / Accesorios</t>
        </is>
      </c>
      <c r="D1682" t="n">
        <v>171</v>
      </c>
      <c r="E1682" t="n">
        <v>320.767784933</v>
      </c>
      <c r="F1682" t="n">
        <v>0.8543264872909091</v>
      </c>
      <c r="G1682" t="n">
        <v>519</v>
      </c>
      <c r="H1682" t="n">
        <v>0.51</v>
      </c>
      <c r="I1682" t="n">
        <v>17.1</v>
      </c>
      <c r="J1682" t="n">
        <v>0</v>
      </c>
      <c r="K1682" t="inlineStr"/>
    </row>
    <row r="1683">
      <c r="A1683" t="inlineStr">
        <is>
          <t>ANMSUDA151TS</t>
        </is>
      </c>
      <c r="B1683" t="inlineStr">
        <is>
          <t>ANDRE MOTION DAMA</t>
        </is>
      </c>
      <c r="C1683" t="inlineStr">
        <is>
          <t>Manufactura / Dama / P. Superiores</t>
        </is>
      </c>
      <c r="D1683" t="n">
        <v>8</v>
      </c>
      <c r="E1683" t="n">
        <v>319.3014427</v>
      </c>
      <c r="F1683" t="n">
        <v>0.732939261725</v>
      </c>
      <c r="G1683" t="n">
        <v>1</v>
      </c>
      <c r="H1683" t="n">
        <v>10.6</v>
      </c>
      <c r="I1683" t="n">
        <v>0.8</v>
      </c>
      <c r="J1683" t="n">
        <v>5</v>
      </c>
      <c r="K1683" t="inlineStr"/>
    </row>
    <row r="1684">
      <c r="A1684" t="inlineStr">
        <is>
          <t>SABSTKI30T10</t>
        </is>
      </c>
      <c r="B1684" t="inlineStr">
        <is>
          <t>RETRO VZLA KIDS</t>
        </is>
      </c>
      <c r="C1684" t="inlineStr">
        <is>
          <t>Manufactura / Dama / P. Superiores</t>
        </is>
      </c>
      <c r="D1684" t="n">
        <v>9</v>
      </c>
      <c r="E1684" t="n">
        <v>318.77274061</v>
      </c>
      <c r="F1684" t="n">
        <v>0.72787218173</v>
      </c>
      <c r="G1684" t="n">
        <v>5</v>
      </c>
      <c r="H1684" t="n">
        <v>10.18</v>
      </c>
      <c r="I1684" t="n">
        <v>0.9</v>
      </c>
      <c r="J1684" t="n">
        <v>2</v>
      </c>
      <c r="K1684" t="inlineStr"/>
    </row>
    <row r="1685">
      <c r="A1685" t="inlineStr">
        <is>
          <t>CLAMECA66TS</t>
        </is>
      </c>
      <c r="B1685" t="inlineStr">
        <is>
          <t>CLASICA SPORT CAB</t>
        </is>
      </c>
      <c r="C1685" t="inlineStr">
        <is>
          <t>Manufactura / Caballero / P. Superiores</t>
        </is>
      </c>
      <c r="D1685" t="n">
        <v>8</v>
      </c>
      <c r="E1685" t="n">
        <v>317.22051615</v>
      </c>
      <c r="F1685" t="n">
        <v>0.7616734343999999</v>
      </c>
      <c r="G1685" t="n">
        <v>1</v>
      </c>
      <c r="H1685" t="n">
        <v>10.3013454</v>
      </c>
      <c r="I1685" t="n">
        <v>0.8</v>
      </c>
      <c r="J1685" t="n">
        <v>3</v>
      </c>
      <c r="K1685" t="inlineStr"/>
    </row>
    <row r="1686">
      <c r="A1686" t="inlineStr">
        <is>
          <t>RIOMIDA04TXL</t>
        </is>
      </c>
      <c r="B1686" t="inlineStr">
        <is>
          <t>RIO ORIGINAL DAMA</t>
        </is>
      </c>
      <c r="C1686" t="inlineStr">
        <is>
          <t>Manufactura / Dama / P. Superiores</t>
        </is>
      </c>
      <c r="D1686" t="n">
        <v>6</v>
      </c>
      <c r="E1686" t="n">
        <v>317.13163594</v>
      </c>
      <c r="F1686" t="n">
        <v>0.8937827780666666</v>
      </c>
      <c r="G1686" t="n">
        <v>8</v>
      </c>
      <c r="H1686" t="n">
        <v>5.538832275</v>
      </c>
      <c r="I1686" t="n">
        <v>0.6</v>
      </c>
      <c r="J1686" t="n">
        <v>2</v>
      </c>
      <c r="K1686" t="inlineStr"/>
    </row>
    <row r="1687">
      <c r="A1687" t="inlineStr">
        <is>
          <t>TALGOTADA166TXL</t>
        </is>
      </c>
      <c r="B1687" t="inlineStr">
        <is>
          <t>URBAN COTTON TOP SUNSET DAMA</t>
        </is>
      </c>
      <c r="C1687" t="inlineStr">
        <is>
          <t>Manufactura / Dama / P. Superiores</t>
        </is>
      </c>
      <c r="D1687" t="n">
        <v>5</v>
      </c>
      <c r="E1687" t="n">
        <v>316.7566495</v>
      </c>
      <c r="F1687" t="n">
        <v>0.8696539239285714</v>
      </c>
      <c r="G1687" t="n">
        <v>0</v>
      </c>
      <c r="H1687" t="n">
        <v>7.815168794</v>
      </c>
      <c r="I1687" t="n">
        <v>0.5</v>
      </c>
      <c r="J1687" t="n">
        <v>3</v>
      </c>
      <c r="K1687" t="inlineStr">
        <is>
          <t>Sin stock</t>
        </is>
      </c>
    </row>
    <row r="1688">
      <c r="A1688" t="inlineStr">
        <is>
          <t>GEODOCACA03TM</t>
        </is>
      </c>
      <c r="B1688" t="inlineStr">
        <is>
          <t>ADVANCE GEO DOMINIC CAB</t>
        </is>
      </c>
      <c r="C1688" t="inlineStr">
        <is>
          <t>Manufactura / Caballero / P. Superiores</t>
        </is>
      </c>
      <c r="D1688" t="n">
        <v>9</v>
      </c>
      <c r="E1688" t="n">
        <v>316.04279017</v>
      </c>
      <c r="F1688" t="n">
        <v>0.7819801027285714</v>
      </c>
      <c r="G1688" t="n">
        <v>34</v>
      </c>
      <c r="H1688" t="n">
        <v>13.35</v>
      </c>
      <c r="I1688" t="n">
        <v>0.9</v>
      </c>
      <c r="J1688" t="n">
        <v>0</v>
      </c>
      <c r="K1688" t="inlineStr"/>
    </row>
    <row r="1689">
      <c r="A1689" t="inlineStr">
        <is>
          <t>CLAMIKI12T10</t>
        </is>
      </c>
      <c r="B1689" t="inlineStr">
        <is>
          <t>CLASICA ORIGINAL KIDS</t>
        </is>
      </c>
      <c r="C1689" t="inlineStr">
        <is>
          <t>Manufactura / Kids / P. Superiores</t>
        </is>
      </c>
      <c r="D1689" t="n">
        <v>10</v>
      </c>
      <c r="E1689" t="n">
        <v>315.00841776</v>
      </c>
      <c r="F1689" t="n">
        <v>0.932784345</v>
      </c>
      <c r="G1689" t="n">
        <v>26</v>
      </c>
      <c r="H1689" t="n">
        <v>2.053774806</v>
      </c>
      <c r="I1689" t="n">
        <v>1</v>
      </c>
      <c r="J1689" t="n">
        <v>1</v>
      </c>
      <c r="K1689" t="inlineStr"/>
    </row>
    <row r="1690">
      <c r="A1690" t="inlineStr">
        <is>
          <t>CLMSUCA151T2XL</t>
        </is>
      </c>
      <c r="B1690" t="inlineStr">
        <is>
          <t>CLASICA MOTION CAB</t>
        </is>
      </c>
      <c r="C1690" t="inlineStr">
        <is>
          <t>Manufactura / Caballero / P. Superiores</t>
        </is>
      </c>
      <c r="D1690" t="n">
        <v>8</v>
      </c>
      <c r="E1690" t="n">
        <v>313.66547564</v>
      </c>
      <c r="F1690" t="n">
        <v>0.6690875453875</v>
      </c>
      <c r="G1690" t="n">
        <v>1</v>
      </c>
      <c r="H1690" t="n">
        <v>12.26</v>
      </c>
      <c r="I1690" t="n">
        <v>0.8</v>
      </c>
      <c r="J1690" t="n">
        <v>2</v>
      </c>
      <c r="K1690" t="inlineStr"/>
    </row>
    <row r="1691">
      <c r="A1691" t="inlineStr">
        <is>
          <t>CLAMEKI30T10</t>
        </is>
      </c>
      <c r="B1691" t="inlineStr">
        <is>
          <t>CLASICA SPORT KIDS</t>
        </is>
      </c>
      <c r="C1691" t="inlineStr">
        <is>
          <t>Manufactura / Kids / P. Superiores</t>
        </is>
      </c>
      <c r="D1691" t="n">
        <v>9</v>
      </c>
      <c r="E1691" t="n">
        <v>313.62320192</v>
      </c>
      <c r="F1691" t="n">
        <v>0.8873194060454545</v>
      </c>
      <c r="G1691" t="n">
        <v>36</v>
      </c>
      <c r="H1691" t="n">
        <v>3.97</v>
      </c>
      <c r="I1691" t="n">
        <v>0.9</v>
      </c>
      <c r="J1691" t="n">
        <v>0</v>
      </c>
      <c r="K1691" t="inlineStr"/>
    </row>
    <row r="1692">
      <c r="A1692" t="inlineStr">
        <is>
          <t>HELBFDA43TL</t>
        </is>
      </c>
      <c r="B1692" t="inlineStr">
        <is>
          <t>HELEN BIO MOVE DAMA</t>
        </is>
      </c>
      <c r="C1692" t="inlineStr">
        <is>
          <t>Manufactura / Dama / P. Superiores</t>
        </is>
      </c>
      <c r="D1692" t="n">
        <v>5</v>
      </c>
      <c r="E1692" t="n">
        <v>313.42558559</v>
      </c>
      <c r="F1692" t="n">
        <v>0.882076534</v>
      </c>
      <c r="G1692" t="n">
        <v>9</v>
      </c>
      <c r="H1692" t="n">
        <v>7.340817459999999</v>
      </c>
      <c r="I1692" t="n">
        <v>0.5</v>
      </c>
      <c r="J1692" t="n">
        <v>2</v>
      </c>
      <c r="K1692" t="inlineStr"/>
    </row>
    <row r="1693">
      <c r="A1693" t="inlineStr">
        <is>
          <t>SHOUNKI12T6</t>
        </is>
      </c>
      <c r="B1693" t="inlineStr">
        <is>
          <t>SHORT PLAYA KIDS</t>
        </is>
      </c>
      <c r="C1693" t="inlineStr">
        <is>
          <t>Manufactura / Kids / P. Inferiores</t>
        </is>
      </c>
      <c r="D1693" t="n">
        <v>8</v>
      </c>
      <c r="E1693" t="n">
        <v>312.52156658</v>
      </c>
      <c r="F1693" t="n">
        <v>0.8296054199875</v>
      </c>
      <c r="G1693" t="n">
        <v>26</v>
      </c>
      <c r="H1693" t="n">
        <v>6.09</v>
      </c>
      <c r="I1693" t="n">
        <v>0.8</v>
      </c>
      <c r="J1693" t="n">
        <v>4</v>
      </c>
      <c r="K1693" t="inlineStr"/>
    </row>
    <row r="1694">
      <c r="A1694" t="inlineStr">
        <is>
          <t>SHOUNCA68T2XL</t>
        </is>
      </c>
      <c r="B1694" t="inlineStr">
        <is>
          <t>SHORT PLAYA CAB</t>
        </is>
      </c>
      <c r="C1694" t="inlineStr">
        <is>
          <t>Manufactura / Caballero / P. Inferiores</t>
        </is>
      </c>
      <c r="D1694" t="n">
        <v>7</v>
      </c>
      <c r="E1694" t="n">
        <v>311.72032247</v>
      </c>
      <c r="F1694" t="n">
        <v>0.7737712317571429</v>
      </c>
      <c r="G1694" t="n">
        <v>0</v>
      </c>
      <c r="H1694" t="n">
        <v>9.99</v>
      </c>
      <c r="I1694" t="n">
        <v>0.7</v>
      </c>
      <c r="J1694" t="n">
        <v>6</v>
      </c>
      <c r="K1694" t="inlineStr">
        <is>
          <t>Sin stock</t>
        </is>
      </c>
    </row>
    <row r="1695">
      <c r="A1695" t="inlineStr">
        <is>
          <t>MARMIKI48T10</t>
        </is>
      </c>
      <c r="B1695" t="inlineStr">
        <is>
          <t>MAR ORIGINAL KIDS</t>
        </is>
      </c>
      <c r="C1695" t="inlineStr">
        <is>
          <t>Manufactura / Kids / P. Superiores</t>
        </is>
      </c>
      <c r="D1695" t="n">
        <v>8</v>
      </c>
      <c r="E1695" t="n">
        <v>311.56707132</v>
      </c>
      <c r="F1695" t="n">
        <v>0.9185326421857143</v>
      </c>
      <c r="G1695" t="n">
        <v>26</v>
      </c>
      <c r="H1695" t="n">
        <v>3.168013332</v>
      </c>
      <c r="I1695" t="n">
        <v>0.8</v>
      </c>
      <c r="J1695" t="n">
        <v>0</v>
      </c>
      <c r="K1695" t="inlineStr"/>
    </row>
    <row r="1696">
      <c r="A1696" t="inlineStr">
        <is>
          <t>CLAMEKI30T8</t>
        </is>
      </c>
      <c r="B1696" t="inlineStr">
        <is>
          <t>CLASICA SPORT KIDS</t>
        </is>
      </c>
      <c r="C1696" t="inlineStr">
        <is>
          <t>Manufactura / Kids / P. Superiores</t>
        </is>
      </c>
      <c r="D1696" t="n">
        <v>9</v>
      </c>
      <c r="E1696" t="n">
        <v>311.44525316</v>
      </c>
      <c r="F1696" t="n">
        <v>0.8836666533888889</v>
      </c>
      <c r="G1696" t="n">
        <v>42</v>
      </c>
      <c r="H1696" t="n">
        <v>3.970000000000001</v>
      </c>
      <c r="I1696" t="n">
        <v>0.9</v>
      </c>
      <c r="J1696" t="n">
        <v>1</v>
      </c>
      <c r="K1696" t="inlineStr"/>
    </row>
    <row r="1697">
      <c r="A1697" t="inlineStr">
        <is>
          <t>ANMSUDA15TS</t>
        </is>
      </c>
      <c r="B1697" t="inlineStr">
        <is>
          <t>ANDRE MOTION DAMA</t>
        </is>
      </c>
      <c r="C1697" t="inlineStr">
        <is>
          <t>Manufactura / Dama / P. Superiores</t>
        </is>
      </c>
      <c r="D1697" t="n">
        <v>7</v>
      </c>
      <c r="E1697" t="n">
        <v>310.98474697</v>
      </c>
      <c r="F1697" t="n">
        <v>0.7578851008</v>
      </c>
      <c r="G1697" t="n">
        <v>5</v>
      </c>
      <c r="H1697" t="n">
        <v>10.6</v>
      </c>
      <c r="I1697" t="n">
        <v>0.7</v>
      </c>
      <c r="J1697" t="n">
        <v>0</v>
      </c>
      <c r="K1697" t="inlineStr"/>
    </row>
    <row r="1698">
      <c r="A1698" t="inlineStr">
        <is>
          <t>SHOUNKI33T12</t>
        </is>
      </c>
      <c r="B1698" t="inlineStr">
        <is>
          <t>SHORT PLAYA KIDS</t>
        </is>
      </c>
      <c r="C1698" t="inlineStr">
        <is>
          <t>Manufactura / Kids / P. Inferiores</t>
        </is>
      </c>
      <c r="D1698" t="n">
        <v>8</v>
      </c>
      <c r="E1698" t="n">
        <v>310.92151006</v>
      </c>
      <c r="F1698" t="n">
        <v>0.84108061715</v>
      </c>
      <c r="G1698" t="n">
        <v>1</v>
      </c>
      <c r="H1698" t="n">
        <v>6.09</v>
      </c>
      <c r="I1698" t="n">
        <v>0.8</v>
      </c>
      <c r="J1698" t="n">
        <v>0</v>
      </c>
      <c r="K1698" t="inlineStr"/>
    </row>
    <row r="1699">
      <c r="A1699" t="inlineStr">
        <is>
          <t>JACCA70T2XL</t>
        </is>
      </c>
      <c r="B1699" t="inlineStr">
        <is>
          <t>JACKET CAB</t>
        </is>
      </c>
      <c r="C1699" t="inlineStr">
        <is>
          <t>Equipamiento / Ropa</t>
        </is>
      </c>
      <c r="D1699" t="n">
        <v>5</v>
      </c>
      <c r="E1699" t="n">
        <v>310.54472529</v>
      </c>
      <c r="F1699" t="n">
        <v>0.6746839854714286</v>
      </c>
      <c r="G1699" t="n">
        <v>0</v>
      </c>
      <c r="H1699" t="n">
        <v>20.25001933</v>
      </c>
      <c r="I1699" t="n">
        <v>0.5</v>
      </c>
      <c r="J1699" t="n">
        <v>7</v>
      </c>
      <c r="K1699" t="inlineStr">
        <is>
          <t>Sin stock</t>
        </is>
      </c>
    </row>
    <row r="1700">
      <c r="A1700" t="inlineStr">
        <is>
          <t>CLAMEKI43T8</t>
        </is>
      </c>
      <c r="B1700" t="inlineStr">
        <is>
          <t>CLASICA SPORT KIDS</t>
        </is>
      </c>
      <c r="C1700" t="inlineStr">
        <is>
          <t>Manufactura / Kids / P. Superiores</t>
        </is>
      </c>
      <c r="D1700" t="n">
        <v>9</v>
      </c>
      <c r="E1700" t="n">
        <v>310.40082507</v>
      </c>
      <c r="F1700" t="n">
        <v>0.8831998944375</v>
      </c>
      <c r="G1700" t="n">
        <v>10</v>
      </c>
      <c r="H1700" t="n">
        <v>3.97</v>
      </c>
      <c r="I1700" t="n">
        <v>0.9</v>
      </c>
      <c r="J1700" t="n">
        <v>1</v>
      </c>
      <c r="K1700" t="inlineStr"/>
    </row>
    <row r="1701">
      <c r="A1701" t="inlineStr">
        <is>
          <t>CCBHMKI151T12</t>
        </is>
      </c>
      <c r="B1701" t="inlineStr">
        <is>
          <t>CLUB CLASICA KIDS</t>
        </is>
      </c>
      <c r="C1701" t="inlineStr">
        <is>
          <t>Manufactura / Kids / P. Superiores</t>
        </is>
      </c>
      <c r="D1701" t="n">
        <v>9</v>
      </c>
      <c r="E1701" t="n">
        <v>310</v>
      </c>
      <c r="F1701" t="n">
        <v>0.9708994708777777</v>
      </c>
      <c r="G1701" t="n">
        <v>22</v>
      </c>
      <c r="H1701" t="n">
        <v>1</v>
      </c>
      <c r="I1701" t="n">
        <v>0.9</v>
      </c>
      <c r="J1701" t="n">
        <v>0</v>
      </c>
      <c r="K1701" t="inlineStr"/>
    </row>
    <row r="1702">
      <c r="A1702" t="inlineStr">
        <is>
          <t>GEODOCACA168T2XL</t>
        </is>
      </c>
      <c r="B1702" t="inlineStr">
        <is>
          <t>ADVANCE GEO DOMINIC CAB</t>
        </is>
      </c>
      <c r="C1702" t="inlineStr">
        <is>
          <t>Manufactura / Caballero / P. Superiores</t>
        </is>
      </c>
      <c r="D1702" t="n">
        <v>5</v>
      </c>
      <c r="E1702" t="n">
        <v>309.67253816</v>
      </c>
      <c r="F1702" t="n">
        <v>0.8304843384666666</v>
      </c>
      <c r="G1702" t="n">
        <v>15</v>
      </c>
      <c r="H1702" t="n">
        <v>13.35</v>
      </c>
      <c r="I1702" t="n">
        <v>0.5</v>
      </c>
      <c r="J1702" t="n">
        <v>0</v>
      </c>
      <c r="K1702" t="inlineStr"/>
    </row>
    <row r="1703">
      <c r="A1703" t="inlineStr">
        <is>
          <t>RIOMICA14TXL</t>
        </is>
      </c>
      <c r="B1703" t="inlineStr">
        <is>
          <t>RIO ORIGINAL CAB</t>
        </is>
      </c>
      <c r="C1703" t="inlineStr">
        <is>
          <t>Manufactura / Caballero / P. Superiores</t>
        </is>
      </c>
      <c r="D1703" t="n">
        <v>6</v>
      </c>
      <c r="E1703" t="n">
        <v>309.43264264</v>
      </c>
      <c r="F1703" t="n">
        <v>0.8847122728833333</v>
      </c>
      <c r="G1703" t="n">
        <v>0</v>
      </c>
      <c r="H1703" t="n">
        <v>5.939350288</v>
      </c>
      <c r="I1703" t="n">
        <v>0.6</v>
      </c>
      <c r="J1703" t="n">
        <v>8</v>
      </c>
      <c r="K1703" t="inlineStr">
        <is>
          <t>Sin stock</t>
        </is>
      </c>
    </row>
    <row r="1704">
      <c r="A1704" t="inlineStr">
        <is>
          <t>CLAMIKI16T14</t>
        </is>
      </c>
      <c r="B1704" t="inlineStr">
        <is>
          <t>CLASICA ORIGINAL KIDS</t>
        </is>
      </c>
      <c r="C1704" t="inlineStr">
        <is>
          <t>Manufactura / Kids / P. Superiores</t>
        </is>
      </c>
      <c r="D1704" t="n">
        <v>23</v>
      </c>
      <c r="E1704" t="n">
        <v>309.1304318</v>
      </c>
      <c r="F1704" t="n">
        <v>0.9348341655800001</v>
      </c>
      <c r="G1704" t="n">
        <v>0</v>
      </c>
      <c r="H1704" t="n">
        <v>2.053774806</v>
      </c>
      <c r="I1704" t="n">
        <v>2.3</v>
      </c>
      <c r="J1704" t="n">
        <v>2</v>
      </c>
      <c r="K1704" t="inlineStr">
        <is>
          <t>Sin stock</t>
        </is>
      </c>
    </row>
    <row r="1705">
      <c r="A1705" t="inlineStr">
        <is>
          <t>RIOMICA70T2XL</t>
        </is>
      </c>
      <c r="B1705" t="inlineStr">
        <is>
          <t>RIO ORIGINAL CAB</t>
        </is>
      </c>
      <c r="C1705" t="inlineStr">
        <is>
          <t>Manufactura / Caballero / P. Superiores</t>
        </is>
      </c>
      <c r="D1705" t="n">
        <v>6</v>
      </c>
      <c r="E1705" t="n">
        <v>309.06776448</v>
      </c>
      <c r="F1705" t="n">
        <v>0.90379891758</v>
      </c>
      <c r="G1705" t="n">
        <v>17</v>
      </c>
      <c r="H1705" t="n">
        <v>5.939350288</v>
      </c>
      <c r="I1705" t="n">
        <v>0.6</v>
      </c>
      <c r="J1705" t="n">
        <v>3</v>
      </c>
      <c r="K1705" t="inlineStr"/>
    </row>
    <row r="1706">
      <c r="A1706" t="inlineStr">
        <is>
          <t>SUC39EQ</t>
        </is>
      </c>
      <c r="B1706" t="inlineStr">
        <is>
          <t>SUNNY CORD 2.0</t>
        </is>
      </c>
      <c r="C1706" t="inlineStr">
        <is>
          <t>Equipamiento / Accesorios</t>
        </is>
      </c>
      <c r="D1706" t="n">
        <v>92</v>
      </c>
      <c r="E1706" t="n">
        <v>308.906358699</v>
      </c>
      <c r="F1706" t="n">
        <v>0.8869604447739999</v>
      </c>
      <c r="G1706" t="n">
        <v>545</v>
      </c>
      <c r="H1706" t="n">
        <v>0.66</v>
      </c>
      <c r="I1706" t="n">
        <v>9.199999999999999</v>
      </c>
      <c r="J1706" t="n">
        <v>0</v>
      </c>
      <c r="K1706" t="inlineStr"/>
    </row>
    <row r="1707">
      <c r="A1707" t="inlineStr">
        <is>
          <t>SMCBNEDA16TS</t>
        </is>
      </c>
      <c r="B1707" t="inlineStr">
        <is>
          <t>SPOTS MANGA CORTA DAMA</t>
        </is>
      </c>
      <c r="C1707" t="inlineStr">
        <is>
          <t>Manufactura / Dama / P. Superiores</t>
        </is>
      </c>
      <c r="D1707" t="n">
        <v>13</v>
      </c>
      <c r="E1707" t="n">
        <v>307.9421127077694</v>
      </c>
      <c r="F1707" t="n">
        <v>0.7447003450111112</v>
      </c>
      <c r="G1707" t="n">
        <v>5</v>
      </c>
      <c r="H1707" t="n">
        <v>8.5</v>
      </c>
      <c r="I1707" t="n">
        <v>1.3</v>
      </c>
      <c r="J1707" t="n">
        <v>0</v>
      </c>
      <c r="K1707" t="inlineStr"/>
    </row>
    <row r="1708">
      <c r="A1708" t="inlineStr">
        <is>
          <t>GEOMACADA168TS</t>
        </is>
      </c>
      <c r="B1708" t="inlineStr">
        <is>
          <t>ADVANCE GEO MAYA DAMA</t>
        </is>
      </c>
      <c r="C1708" t="inlineStr">
        <is>
          <t>Manufactura / Dama / P. Superiores</t>
        </is>
      </c>
      <c r="D1708" t="n">
        <v>8</v>
      </c>
      <c r="E1708" t="n">
        <v>307.52326589</v>
      </c>
      <c r="F1708" t="n">
        <v>0.82945540148</v>
      </c>
      <c r="G1708" t="n">
        <v>33</v>
      </c>
      <c r="H1708" t="n">
        <v>10.33</v>
      </c>
      <c r="I1708" t="n">
        <v>0.8</v>
      </c>
      <c r="J1708" t="n">
        <v>1</v>
      </c>
      <c r="K1708" t="inlineStr"/>
    </row>
    <row r="1709">
      <c r="A1709" t="inlineStr">
        <is>
          <t>SABMEDA66TL</t>
        </is>
      </c>
      <c r="B1709" t="inlineStr">
        <is>
          <t>SABRI SPORT DAMA</t>
        </is>
      </c>
      <c r="C1709" t="inlineStr">
        <is>
          <t>Manufactura / Dama / P. Superiores</t>
        </is>
      </c>
      <c r="D1709" t="n">
        <v>8</v>
      </c>
      <c r="E1709" t="n">
        <v>307.50343817</v>
      </c>
      <c r="F1709" t="n">
        <v>0.87527072078</v>
      </c>
      <c r="G1709" t="n">
        <v>15</v>
      </c>
      <c r="H1709" t="n">
        <v>4.51</v>
      </c>
      <c r="I1709" t="n">
        <v>0.8</v>
      </c>
      <c r="J1709" t="n">
        <v>0</v>
      </c>
      <c r="K1709" t="inlineStr"/>
    </row>
    <row r="1710">
      <c r="A1710" t="inlineStr">
        <is>
          <t>SHONRKI12T12</t>
        </is>
      </c>
      <c r="B1710" t="inlineStr">
        <is>
          <t>SHORT SPORT KIDS</t>
        </is>
      </c>
      <c r="C1710" t="inlineStr">
        <is>
          <t>Manufactura / Kids / P. Inferiores</t>
        </is>
      </c>
      <c r="D1710" t="n">
        <v>10</v>
      </c>
      <c r="E1710" t="n">
        <v>306.80842899</v>
      </c>
      <c r="F1710" t="n">
        <v>0.8282649952222223</v>
      </c>
      <c r="G1710" t="n">
        <v>52</v>
      </c>
      <c r="H1710" t="n">
        <v>6.465724382000001</v>
      </c>
      <c r="I1710" t="n">
        <v>1</v>
      </c>
      <c r="J1710" t="n">
        <v>1</v>
      </c>
      <c r="K1710" t="inlineStr"/>
    </row>
    <row r="1711">
      <c r="A1711" t="inlineStr">
        <is>
          <t>LMOFIDA10TS</t>
        </is>
      </c>
      <c r="B1711" t="inlineStr">
        <is>
          <t>LEGGING MOVA</t>
        </is>
      </c>
      <c r="C1711" t="inlineStr">
        <is>
          <t>Manufactura / Dama / P. Inferiores</t>
        </is>
      </c>
      <c r="D1711" t="n">
        <v>8</v>
      </c>
      <c r="E1711" t="n">
        <v>306.21538308</v>
      </c>
      <c r="F1711" t="n">
        <v>0.768317670975</v>
      </c>
      <c r="G1711" t="n">
        <v>23</v>
      </c>
      <c r="H1711" t="n">
        <v>17.7</v>
      </c>
      <c r="I1711" t="n">
        <v>0.8</v>
      </c>
      <c r="J1711" t="n">
        <v>0</v>
      </c>
      <c r="K1711" t="inlineStr"/>
    </row>
    <row r="1712">
      <c r="A1712" t="inlineStr">
        <is>
          <t>SHONRKI30T4</t>
        </is>
      </c>
      <c r="B1712" t="inlineStr">
        <is>
          <t>SHORT SPORT KIDS</t>
        </is>
      </c>
      <c r="C1712" t="inlineStr">
        <is>
          <t>Manufactura / Kids / P. Inferiores</t>
        </is>
      </c>
      <c r="D1712" t="n">
        <v>9</v>
      </c>
      <c r="E1712" t="n">
        <v>305.46765305</v>
      </c>
      <c r="F1712" t="n">
        <v>0.820054052925</v>
      </c>
      <c r="G1712" t="n">
        <v>31</v>
      </c>
      <c r="H1712" t="n">
        <v>6.465724382</v>
      </c>
      <c r="I1712" t="n">
        <v>0.9</v>
      </c>
      <c r="J1712" t="n">
        <v>0</v>
      </c>
      <c r="K1712" t="inlineStr"/>
    </row>
    <row r="1713">
      <c r="A1713" t="inlineStr">
        <is>
          <t>NAHFNCA13T2XL</t>
        </is>
      </c>
      <c r="B1713" t="inlineStr">
        <is>
          <t>NOAH SPORT LITE CAB</t>
        </is>
      </c>
      <c r="C1713" t="inlineStr">
        <is>
          <t>Manufactura / Caballero / P. Superiores</t>
        </is>
      </c>
      <c r="D1713" t="n">
        <v>9</v>
      </c>
      <c r="E1713" t="n">
        <v>305.458677</v>
      </c>
      <c r="F1713" t="n">
        <v>0.4847267732454545</v>
      </c>
      <c r="G1713" t="n">
        <v>5</v>
      </c>
      <c r="H1713" t="n">
        <v>17.61141534</v>
      </c>
      <c r="I1713" t="n">
        <v>0.9</v>
      </c>
      <c r="J1713" t="n">
        <v>1</v>
      </c>
      <c r="K1713" t="inlineStr"/>
    </row>
    <row r="1714">
      <c r="A1714" t="inlineStr">
        <is>
          <t>CCBHMCA151TXL</t>
        </is>
      </c>
      <c r="B1714" t="inlineStr">
        <is>
          <t>CLUB CLASICA CABALLERO</t>
        </is>
      </c>
      <c r="C1714" t="inlineStr">
        <is>
          <t>Manufactura / Caballero / P. Superiores</t>
        </is>
      </c>
      <c r="D1714" t="n">
        <v>7</v>
      </c>
      <c r="E1714" t="n">
        <v>305</v>
      </c>
      <c r="F1714" t="n">
        <v>0.9769841269999999</v>
      </c>
      <c r="G1714" t="n">
        <v>12</v>
      </c>
      <c r="H1714" t="n">
        <v>1</v>
      </c>
      <c r="I1714" t="n">
        <v>0.7</v>
      </c>
      <c r="J1714" t="n">
        <v>0</v>
      </c>
      <c r="K1714" t="inlineStr"/>
    </row>
    <row r="1715">
      <c r="A1715" t="inlineStr">
        <is>
          <t>CCBHMKI151T14</t>
        </is>
      </c>
      <c r="B1715" t="inlineStr">
        <is>
          <t>CLUB CLASICA KIDS</t>
        </is>
      </c>
      <c r="C1715" t="inlineStr">
        <is>
          <t>Manufactura / Kids / P. Superiores</t>
        </is>
      </c>
      <c r="D1715" t="n">
        <v>11</v>
      </c>
      <c r="E1715" t="n">
        <v>304.9999967343377</v>
      </c>
      <c r="F1715" t="n">
        <v>0.9673793325000001</v>
      </c>
      <c r="G1715" t="n">
        <v>38</v>
      </c>
      <c r="H1715" t="n">
        <v>1</v>
      </c>
      <c r="I1715" t="n">
        <v>1.1</v>
      </c>
      <c r="J1715" t="n">
        <v>0</v>
      </c>
      <c r="K1715" t="inlineStr"/>
    </row>
    <row r="1716">
      <c r="A1716" t="inlineStr">
        <is>
          <t>ZOEMIDA50TS</t>
        </is>
      </c>
      <c r="B1716" t="inlineStr">
        <is>
          <t>ZOE ORIGINAL DAMA</t>
        </is>
      </c>
      <c r="C1716" t="inlineStr">
        <is>
          <t>Manufactura / Dama / P. Superiores</t>
        </is>
      </c>
      <c r="D1716" t="n">
        <v>8</v>
      </c>
      <c r="E1716" t="n">
        <v>304.82809882</v>
      </c>
      <c r="F1716" t="n">
        <v>0.8835555557375</v>
      </c>
      <c r="G1716" t="n">
        <v>14</v>
      </c>
      <c r="H1716" t="n">
        <v>4.116585696</v>
      </c>
      <c r="I1716" t="n">
        <v>0.8</v>
      </c>
      <c r="J1716" t="n">
        <v>0</v>
      </c>
      <c r="K1716" t="inlineStr"/>
    </row>
    <row r="1717">
      <c r="A1717" t="inlineStr">
        <is>
          <t>CLASTDA43TM</t>
        </is>
      </c>
      <c r="B1717" t="inlineStr">
        <is>
          <t>CLASICA ALGODON STRETCH DAMA</t>
        </is>
      </c>
      <c r="C1717" t="inlineStr">
        <is>
          <t>Manufactura / Dama / P. Superiores</t>
        </is>
      </c>
      <c r="D1717" t="n">
        <v>15</v>
      </c>
      <c r="E1717" t="n">
        <v>303.9921472</v>
      </c>
      <c r="F1717" t="n">
        <v>0.8175282089</v>
      </c>
      <c r="G1717" t="n">
        <v>0</v>
      </c>
      <c r="H1717" t="n">
        <v>9.27</v>
      </c>
      <c r="I1717" t="n">
        <v>1.5</v>
      </c>
      <c r="J1717" t="n">
        <v>0</v>
      </c>
      <c r="K1717" t="inlineStr">
        <is>
          <t>Sin stock</t>
        </is>
      </c>
    </row>
    <row r="1718">
      <c r="A1718" t="inlineStr">
        <is>
          <t>ADUMMCA16T2XL</t>
        </is>
      </c>
      <c r="B1718" t="inlineStr">
        <is>
          <t>ACTIVE DUO CAB</t>
        </is>
      </c>
      <c r="C1718" t="inlineStr">
        <is>
          <t>Manufactura / Caballero / P. Superiores</t>
        </is>
      </c>
      <c r="D1718" t="n">
        <v>7</v>
      </c>
      <c r="E1718" t="n">
        <v>303.6925445</v>
      </c>
      <c r="F1718" t="n">
        <v>0.8691144362714286</v>
      </c>
      <c r="G1718" t="n">
        <v>18</v>
      </c>
      <c r="H1718" t="n">
        <v>5.089999999999999</v>
      </c>
      <c r="I1718" t="n">
        <v>0.7</v>
      </c>
      <c r="J1718" t="n">
        <v>2</v>
      </c>
      <c r="K1718" t="inlineStr"/>
    </row>
    <row r="1719">
      <c r="A1719" t="inlineStr">
        <is>
          <t>TALGTACA12TS</t>
        </is>
      </c>
      <c r="B1719" t="inlineStr">
        <is>
          <t>URBAN COTTON OVERSIZED OUTSIDE CAB</t>
        </is>
      </c>
      <c r="C1719" t="inlineStr">
        <is>
          <t>Manufactura / Caballero / P. Superiores</t>
        </is>
      </c>
      <c r="D1719" t="n">
        <v>9</v>
      </c>
      <c r="E1719" t="n">
        <v>303.64460113</v>
      </c>
      <c r="F1719" t="n">
        <v>0.732094028375</v>
      </c>
      <c r="G1719" t="n">
        <v>0</v>
      </c>
      <c r="H1719" t="n">
        <v>12.16758159</v>
      </c>
      <c r="I1719" t="n">
        <v>0.9</v>
      </c>
      <c r="J1719" t="n">
        <v>3</v>
      </c>
      <c r="K1719" t="inlineStr">
        <is>
          <t>Sin stock</t>
        </is>
      </c>
    </row>
    <row r="1720">
      <c r="A1720" t="inlineStr">
        <is>
          <t>RIOMIKI48T8</t>
        </is>
      </c>
      <c r="B1720" t="inlineStr">
        <is>
          <t>RIO ORIGINAL KIDS</t>
        </is>
      </c>
      <c r="C1720" t="inlineStr">
        <is>
          <t>Manufactura / Kids / P. Superiores</t>
        </is>
      </c>
      <c r="D1720" t="n">
        <v>7</v>
      </c>
      <c r="E1720" t="n">
        <v>303.51788</v>
      </c>
      <c r="F1720" t="n">
        <v>0.9139405403999999</v>
      </c>
      <c r="G1720" t="n">
        <v>10</v>
      </c>
      <c r="H1720" t="n">
        <v>3.617969464</v>
      </c>
      <c r="I1720" t="n">
        <v>0.7</v>
      </c>
      <c r="J1720" t="n">
        <v>1</v>
      </c>
      <c r="K1720" t="inlineStr"/>
    </row>
    <row r="1721">
      <c r="A1721" t="inlineStr">
        <is>
          <t>COW65C16OZ</t>
        </is>
      </c>
      <c r="B1721" t="inlineStr">
        <is>
          <t>CONTIGO WEST LOOP 3.0 16OZ</t>
        </is>
      </c>
      <c r="C1721" t="inlineStr">
        <is>
          <t>Equipamiento / Cava</t>
        </is>
      </c>
      <c r="D1721" t="n">
        <v>8</v>
      </c>
      <c r="E1721" t="n">
        <v>302.52783331</v>
      </c>
      <c r="F1721" t="n">
        <v>0.35495196065</v>
      </c>
      <c r="G1721" t="n">
        <v>19</v>
      </c>
      <c r="H1721" t="n">
        <v>22.5</v>
      </c>
      <c r="I1721" t="n">
        <v>0.8</v>
      </c>
      <c r="J1721" t="n">
        <v>1</v>
      </c>
      <c r="K1721" t="inlineStr"/>
    </row>
    <row r="1722">
      <c r="A1722" t="inlineStr">
        <is>
          <t>SHONTDA12TXL</t>
        </is>
      </c>
      <c r="B1722" t="inlineStr">
        <is>
          <t>EXPLORE SHORT DAMA</t>
        </is>
      </c>
      <c r="C1722" t="inlineStr">
        <is>
          <t>Manufactura / Dama / P. Inferiores</t>
        </is>
      </c>
      <c r="D1722" t="n">
        <v>5</v>
      </c>
      <c r="E1722" t="n">
        <v>301.77413914</v>
      </c>
      <c r="F1722" t="n">
        <v>0.82013421446</v>
      </c>
      <c r="G1722" t="n">
        <v>34</v>
      </c>
      <c r="H1722" t="n">
        <v>10.22113744</v>
      </c>
      <c r="I1722" t="n">
        <v>0.5</v>
      </c>
      <c r="J1722" t="n">
        <v>3</v>
      </c>
      <c r="K1722" t="inlineStr"/>
    </row>
    <row r="1723">
      <c r="A1723" t="inlineStr">
        <is>
          <t>CLAMEDA16TL</t>
        </is>
      </c>
      <c r="B1723" t="inlineStr">
        <is>
          <t>CLÁSICA SPORT DAMA</t>
        </is>
      </c>
      <c r="C1723" t="inlineStr">
        <is>
          <t>Manufactura / Dama / P. Superiores</t>
        </is>
      </c>
      <c r="D1723" t="n">
        <v>7</v>
      </c>
      <c r="E1723" t="n">
        <v>301.37175245</v>
      </c>
      <c r="F1723" t="n">
        <v>0.8617539767166668</v>
      </c>
      <c r="G1723" t="n">
        <v>0</v>
      </c>
      <c r="H1723" t="n">
        <v>6.536105769</v>
      </c>
      <c r="I1723" t="n">
        <v>0.7</v>
      </c>
      <c r="J1723" t="n">
        <v>3</v>
      </c>
      <c r="K1723" t="inlineStr">
        <is>
          <t>Sin stock</t>
        </is>
      </c>
    </row>
    <row r="1724">
      <c r="A1724" t="inlineStr">
        <is>
          <t>SARSPKI30T14</t>
        </is>
      </c>
      <c r="B1724" t="inlineStr">
        <is>
          <t>FALDA SARA KIDS</t>
        </is>
      </c>
      <c r="C1724" t="inlineStr">
        <is>
          <t>Manufactura / Kids / P. Inferiores</t>
        </is>
      </c>
      <c r="D1724" t="n">
        <v>8</v>
      </c>
      <c r="E1724" t="n">
        <v>301.30233123</v>
      </c>
      <c r="F1724" t="n">
        <v>0.8430301741875</v>
      </c>
      <c r="G1724" t="n">
        <v>10</v>
      </c>
      <c r="H1724" t="n">
        <v>5.753743316</v>
      </c>
      <c r="I1724" t="n">
        <v>0.8</v>
      </c>
      <c r="J1724" t="n">
        <v>3</v>
      </c>
      <c r="K1724" t="inlineStr"/>
    </row>
    <row r="1725">
      <c r="A1725" t="inlineStr">
        <is>
          <t>MARMIKI01T1</t>
        </is>
      </c>
      <c r="B1725" t="inlineStr">
        <is>
          <t>MAR ORIGINAL KIDS</t>
        </is>
      </c>
      <c r="C1725" t="inlineStr">
        <is>
          <t>Manufactura / Kids / P. Superiores</t>
        </is>
      </c>
      <c r="D1725" t="n">
        <v>8</v>
      </c>
      <c r="E1725" t="n">
        <v>301.1753139</v>
      </c>
      <c r="F1725" t="n">
        <v>0.9117121191800001</v>
      </c>
      <c r="G1725" t="n">
        <v>0</v>
      </c>
      <c r="H1725" t="n">
        <v>3.168013332</v>
      </c>
      <c r="I1725" t="n">
        <v>0.8</v>
      </c>
      <c r="J1725" t="n">
        <v>5</v>
      </c>
      <c r="K1725" t="inlineStr">
        <is>
          <t>Sin stock</t>
        </is>
      </c>
    </row>
    <row r="1726">
      <c r="A1726" t="inlineStr">
        <is>
          <t>ZOEMIKI11T10</t>
        </is>
      </c>
      <c r="B1726" t="inlineStr">
        <is>
          <t>ZOE ORIGINAL KIDS</t>
        </is>
      </c>
      <c r="C1726" t="inlineStr">
        <is>
          <t>Manufactura / Kids / P. Superiores</t>
        </is>
      </c>
      <c r="D1726" t="n">
        <v>8</v>
      </c>
      <c r="E1726" t="n">
        <v>300.86408838</v>
      </c>
      <c r="F1726" t="n">
        <v>0.8834729471599999</v>
      </c>
      <c r="G1726" t="n">
        <v>8</v>
      </c>
      <c r="H1726" t="n">
        <v>4.12</v>
      </c>
      <c r="I1726" t="n">
        <v>0.8</v>
      </c>
      <c r="J1726" t="n">
        <v>3</v>
      </c>
      <c r="K1726" t="inlineStr"/>
    </row>
    <row r="1727">
      <c r="A1727" t="inlineStr">
        <is>
          <t>EC173UN</t>
        </is>
      </c>
      <c r="B1727" t="inlineStr">
        <is>
          <t>ECO BAG</t>
        </is>
      </c>
      <c r="C1727" t="inlineStr">
        <is>
          <t>Equipamiento / Bolsos</t>
        </is>
      </c>
      <c r="D1727" t="n">
        <v>122</v>
      </c>
      <c r="E1727" t="n">
        <v>300.2370147468892</v>
      </c>
      <c r="F1727" t="n">
        <v>0.5847955857041667</v>
      </c>
      <c r="G1727" t="n">
        <v>76</v>
      </c>
      <c r="H1727" t="n">
        <v>5.5</v>
      </c>
      <c r="I1727" t="n">
        <v>12.2</v>
      </c>
      <c r="J1727" t="n">
        <v>0</v>
      </c>
      <c r="K1727" t="inlineStr"/>
    </row>
    <row r="1728">
      <c r="A1728" t="inlineStr">
        <is>
          <t>MAADFDA151TS</t>
        </is>
      </c>
      <c r="B1728" t="inlineStr">
        <is>
          <t>MAFE ADVANCE DAMA</t>
        </is>
      </c>
      <c r="C1728" t="inlineStr">
        <is>
          <t>Manufactura / Dama / P. Superiores</t>
        </is>
      </c>
      <c r="D1728" t="n">
        <v>8</v>
      </c>
      <c r="E1728" t="n">
        <v>300.22848506</v>
      </c>
      <c r="F1728" t="n">
        <v>0.8811079444750001</v>
      </c>
      <c r="G1728" t="n">
        <v>5</v>
      </c>
      <c r="H1728" t="n">
        <v>4.98</v>
      </c>
      <c r="I1728" t="n">
        <v>0.8</v>
      </c>
      <c r="J1728" t="n">
        <v>1</v>
      </c>
      <c r="K1728" t="inlineStr"/>
    </row>
    <row r="1729">
      <c r="A1729" t="inlineStr">
        <is>
          <t>GEOMACADA43TM</t>
        </is>
      </c>
      <c r="B1729" t="inlineStr">
        <is>
          <t>ADVANCE GEO MAYA DAMA</t>
        </is>
      </c>
      <c r="C1729" t="inlineStr">
        <is>
          <t>Manufactura / Dama / P. Superiores</t>
        </is>
      </c>
      <c r="D1729" t="n">
        <v>8</v>
      </c>
      <c r="E1729" t="n">
        <v>300.13083001</v>
      </c>
      <c r="F1729" t="n">
        <v>0.8580538012750001</v>
      </c>
      <c r="G1729" t="n">
        <v>34</v>
      </c>
      <c r="H1729" t="n">
        <v>10.33</v>
      </c>
      <c r="I1729" t="n">
        <v>0.8</v>
      </c>
      <c r="J1729" t="n">
        <v>1</v>
      </c>
      <c r="K1729" t="inlineStr"/>
    </row>
    <row r="1730">
      <c r="A1730" t="inlineStr">
        <is>
          <t>HELBFDA206TS</t>
        </is>
      </c>
      <c r="B1730" t="inlineStr">
        <is>
          <t>HELEN BIO MOVE DAMA</t>
        </is>
      </c>
      <c r="C1730" t="inlineStr">
        <is>
          <t>Manufactura / Dama / P. Superiores</t>
        </is>
      </c>
      <c r="D1730" t="n">
        <v>7</v>
      </c>
      <c r="E1730" t="n">
        <v>299.65964603</v>
      </c>
      <c r="F1730" t="n">
        <v>0.901076743475</v>
      </c>
      <c r="G1730" t="n">
        <v>23</v>
      </c>
      <c r="H1730" t="n">
        <v>7.340817460000001</v>
      </c>
      <c r="I1730" t="n">
        <v>0.7</v>
      </c>
      <c r="J1730" t="n">
        <v>0</v>
      </c>
      <c r="K1730" t="inlineStr"/>
    </row>
    <row r="1731">
      <c r="A1731" t="inlineStr">
        <is>
          <t>SHOUNKI33T10</t>
        </is>
      </c>
      <c r="B1731" t="inlineStr">
        <is>
          <t>SHORT PLAYA KIDS</t>
        </is>
      </c>
      <c r="C1731" t="inlineStr">
        <is>
          <t>Manufactura / Kids / P. Inferiores</t>
        </is>
      </c>
      <c r="D1731" t="n">
        <v>7</v>
      </c>
      <c r="E1731" t="n">
        <v>299.41213355</v>
      </c>
      <c r="F1731" t="n">
        <v>0.8532630654285714</v>
      </c>
      <c r="G1731" t="n">
        <v>19</v>
      </c>
      <c r="H1731" t="n">
        <v>6.089999999999999</v>
      </c>
      <c r="I1731" t="n">
        <v>0.7</v>
      </c>
      <c r="J1731" t="n">
        <v>1</v>
      </c>
      <c r="K1731" t="inlineStr"/>
    </row>
    <row r="1732">
      <c r="A1732" t="inlineStr">
        <is>
          <t>ZOEMIKI70T12</t>
        </is>
      </c>
      <c r="B1732" t="inlineStr">
        <is>
          <t>ZOE ORIGINAL KIDS</t>
        </is>
      </c>
      <c r="C1732" t="inlineStr">
        <is>
          <t>Manufactura / Kids / P. Superiores</t>
        </is>
      </c>
      <c r="D1732" t="n">
        <v>8</v>
      </c>
      <c r="E1732" t="n">
        <v>298.82791391</v>
      </c>
      <c r="F1732" t="n">
        <v>0.8899973317714286</v>
      </c>
      <c r="G1732" t="n">
        <v>1</v>
      </c>
      <c r="H1732" t="n">
        <v>4.12</v>
      </c>
      <c r="I1732" t="n">
        <v>0.8</v>
      </c>
      <c r="J1732" t="n">
        <v>2</v>
      </c>
      <c r="K1732" t="inlineStr"/>
    </row>
    <row r="1733">
      <c r="A1733" t="inlineStr">
        <is>
          <t>ADUMMDA30TM</t>
        </is>
      </c>
      <c r="B1733" t="inlineStr">
        <is>
          <t>ACTIVE DUO DAMA</t>
        </is>
      </c>
      <c r="C1733" t="inlineStr">
        <is>
          <t>Manufactura / Caballero / P. Superiores</t>
        </is>
      </c>
      <c r="D1733" t="n">
        <v>8</v>
      </c>
      <c r="E1733" t="n">
        <v>298.74208604</v>
      </c>
      <c r="F1733" t="n">
        <v>0.931800651425</v>
      </c>
      <c r="G1733" t="n">
        <v>30</v>
      </c>
      <c r="H1733" t="n">
        <v>3.19128</v>
      </c>
      <c r="I1733" t="n">
        <v>0.8</v>
      </c>
      <c r="J1733" t="n">
        <v>0</v>
      </c>
      <c r="K1733" t="inlineStr"/>
    </row>
    <row r="1734">
      <c r="A1734" t="inlineStr">
        <is>
          <t>SMLBLIDA16TS</t>
        </is>
      </c>
      <c r="B1734" t="inlineStr">
        <is>
          <t>SPOTS MANGA LARGA DAMA</t>
        </is>
      </c>
      <c r="C1734" t="inlineStr">
        <is>
          <t>Manufactura / Dama / P. Superiores</t>
        </is>
      </c>
      <c r="D1734" t="n">
        <v>11</v>
      </c>
      <c r="E1734" t="n">
        <v>297.7396571264629</v>
      </c>
      <c r="F1734" t="n">
        <v>0.6833544113857143</v>
      </c>
      <c r="G1734" t="n">
        <v>7</v>
      </c>
      <c r="H1734" t="n">
        <v>12.89</v>
      </c>
      <c r="I1734" t="n">
        <v>1.1</v>
      </c>
      <c r="J1734" t="n">
        <v>0</v>
      </c>
      <c r="K1734" t="inlineStr"/>
    </row>
    <row r="1735">
      <c r="A1735" t="inlineStr">
        <is>
          <t>JAPKI43T2</t>
        </is>
      </c>
      <c r="B1735" t="inlineStr">
        <is>
          <t>CUADRO JACKET 2.0 KIDS</t>
        </is>
      </c>
      <c r="C1735" t="inlineStr">
        <is>
          <t>Equipamiento / Ropa</t>
        </is>
      </c>
      <c r="D1735" t="n">
        <v>5</v>
      </c>
      <c r="E1735" t="n">
        <v>297.49984989</v>
      </c>
      <c r="F1735" t="n">
        <v>0.72976674204</v>
      </c>
      <c r="G1735" t="n">
        <v>56</v>
      </c>
      <c r="H1735" t="n">
        <v>15.17</v>
      </c>
      <c r="I1735" t="n">
        <v>0.5</v>
      </c>
      <c r="J1735" t="n">
        <v>2</v>
      </c>
      <c r="K1735" t="inlineStr"/>
    </row>
    <row r="1736">
      <c r="A1736" t="inlineStr">
        <is>
          <t>MAFMIDA11TL</t>
        </is>
      </c>
      <c r="B1736" t="inlineStr">
        <is>
          <t>MAFE ORIGINAL DAMA</t>
        </is>
      </c>
      <c r="C1736" t="inlineStr">
        <is>
          <t>Manufactura / Dama / P. Superiores</t>
        </is>
      </c>
      <c r="D1736" t="n">
        <v>60</v>
      </c>
      <c r="E1736" t="n">
        <v>297.2711569</v>
      </c>
      <c r="F1736" t="n">
        <v>0.8402272387571428</v>
      </c>
      <c r="G1736" t="n">
        <v>2</v>
      </c>
      <c r="H1736" t="n">
        <v>4.548176709999999</v>
      </c>
      <c r="I1736" t="n">
        <v>6</v>
      </c>
      <c r="J1736" t="n">
        <v>0</v>
      </c>
      <c r="K1736" t="inlineStr"/>
    </row>
    <row r="1737">
      <c r="A1737" t="inlineStr">
        <is>
          <t>MARMIDA30TXL</t>
        </is>
      </c>
      <c r="B1737" t="inlineStr">
        <is>
          <t>MAR ORIGINAL DAMA</t>
        </is>
      </c>
      <c r="C1737" t="inlineStr">
        <is>
          <t>Manufactura / Dama / P. Superiores</t>
        </is>
      </c>
      <c r="D1737" t="n">
        <v>6</v>
      </c>
      <c r="E1737" t="n">
        <v>296.72636951</v>
      </c>
      <c r="F1737" t="n">
        <v>0.9110276057666667</v>
      </c>
      <c r="G1737" t="n">
        <v>38</v>
      </c>
      <c r="H1737" t="n">
        <v>4.278324149</v>
      </c>
      <c r="I1737" t="n">
        <v>0.6</v>
      </c>
      <c r="J1737" t="n">
        <v>2</v>
      </c>
      <c r="K1737" t="inlineStr"/>
    </row>
    <row r="1738">
      <c r="A1738" t="inlineStr">
        <is>
          <t>SHOSUKI154T4</t>
        </is>
      </c>
      <c r="B1738" t="inlineStr">
        <is>
          <t>SHORT PLAYA ESTAMPADO KIDS</t>
        </is>
      </c>
      <c r="C1738" t="inlineStr">
        <is>
          <t>Manufactura / Kids / P. Superiores</t>
        </is>
      </c>
      <c r="D1738" t="n">
        <v>8</v>
      </c>
      <c r="E1738" t="n">
        <v>296.26960361</v>
      </c>
      <c r="F1738" t="n">
        <v>0.7955137308125</v>
      </c>
      <c r="G1738" t="n">
        <v>17</v>
      </c>
      <c r="H1738" t="n">
        <v>7.21</v>
      </c>
      <c r="I1738" t="n">
        <v>0.8</v>
      </c>
      <c r="J1738" t="n">
        <v>0</v>
      </c>
      <c r="K1738" t="inlineStr"/>
    </row>
    <row r="1739">
      <c r="A1739" t="inlineStr">
        <is>
          <t>ZOEMIKI16T6</t>
        </is>
      </c>
      <c r="B1739" t="inlineStr">
        <is>
          <t>ZOE ORIGINAL KIDS</t>
        </is>
      </c>
      <c r="C1739" t="inlineStr">
        <is>
          <t>Manufactura / Kids / P. Superiores</t>
        </is>
      </c>
      <c r="D1739" t="n">
        <v>8</v>
      </c>
      <c r="E1739" t="n">
        <v>295.52267901</v>
      </c>
      <c r="F1739" t="n">
        <v>0.8850987868625</v>
      </c>
      <c r="G1739" t="n">
        <v>12</v>
      </c>
      <c r="H1739" t="n">
        <v>4.12</v>
      </c>
      <c r="I1739" t="n">
        <v>0.8</v>
      </c>
      <c r="J1739" t="n">
        <v>0</v>
      </c>
      <c r="K1739" t="inlineStr"/>
    </row>
    <row r="1740">
      <c r="A1740" t="inlineStr">
        <is>
          <t>CLAMIDA66TXS</t>
        </is>
      </c>
      <c r="B1740" t="inlineStr">
        <is>
          <t>CLASICA ORIGINAL DAMA</t>
        </is>
      </c>
      <c r="C1740" t="inlineStr">
        <is>
          <t>Manufactura / Dama / P. Superiores</t>
        </is>
      </c>
      <c r="D1740" t="n">
        <v>9</v>
      </c>
      <c r="E1740" t="n">
        <v>295.47976558</v>
      </c>
      <c r="F1740" t="n">
        <v>0.9049166461</v>
      </c>
      <c r="G1740" t="n">
        <v>25</v>
      </c>
      <c r="H1740" t="n">
        <v>3.923227589000001</v>
      </c>
      <c r="I1740" t="n">
        <v>0.9</v>
      </c>
      <c r="J1740" t="n">
        <v>0</v>
      </c>
      <c r="K1740" t="inlineStr"/>
    </row>
    <row r="1741">
      <c r="A1741" t="inlineStr">
        <is>
          <t>CLAMEKI66T12</t>
        </is>
      </c>
      <c r="B1741" t="inlineStr">
        <is>
          <t>CLASICA SPORT KIDS</t>
        </is>
      </c>
      <c r="C1741" t="inlineStr">
        <is>
          <t>Manufactura / Kids / P. Superiores</t>
        </is>
      </c>
      <c r="D1741" t="n">
        <v>9</v>
      </c>
      <c r="E1741" t="n">
        <v>295.1664516</v>
      </c>
      <c r="F1741" t="n">
        <v>0.8931174032</v>
      </c>
      <c r="G1741" t="n">
        <v>3</v>
      </c>
      <c r="H1741" t="n">
        <v>3.97</v>
      </c>
      <c r="I1741" t="n">
        <v>0.9</v>
      </c>
      <c r="J1741" t="n">
        <v>0</v>
      </c>
      <c r="K1741" t="inlineStr"/>
    </row>
    <row r="1742">
      <c r="A1742" t="inlineStr">
        <is>
          <t>OVEFTGE31TM</t>
        </is>
      </c>
      <c r="B1742" t="inlineStr">
        <is>
          <t>UNIHOODIE</t>
        </is>
      </c>
      <c r="C1742" t="inlineStr">
        <is>
          <t>Manufactura / General</t>
        </is>
      </c>
      <c r="D1742" t="n">
        <v>8</v>
      </c>
      <c r="E1742" t="n">
        <v>295.0210671</v>
      </c>
      <c r="F1742" t="n">
        <v>0.5848521705999999</v>
      </c>
      <c r="G1742" t="n">
        <v>0</v>
      </c>
      <c r="H1742" t="n">
        <v>20.27</v>
      </c>
      <c r="I1742" t="n">
        <v>0.8</v>
      </c>
      <c r="J1742" t="n">
        <v>7</v>
      </c>
      <c r="K1742" t="inlineStr">
        <is>
          <t>Sin stock</t>
        </is>
      </c>
    </row>
    <row r="1743">
      <c r="A1743" t="inlineStr">
        <is>
          <t>VIVMIDA53TM</t>
        </is>
      </c>
      <c r="B1743" t="inlineStr">
        <is>
          <t>VIVI ORIGINAL DAMA</t>
        </is>
      </c>
      <c r="C1743" t="inlineStr">
        <is>
          <t>Manufactura / Dama / P. Superiores</t>
        </is>
      </c>
      <c r="D1743" t="n">
        <v>7</v>
      </c>
      <c r="E1743" t="n">
        <v>294.34363322</v>
      </c>
      <c r="F1743" t="n">
        <v>0.8923085954571429</v>
      </c>
      <c r="G1743" t="n">
        <v>28</v>
      </c>
      <c r="H1743" t="n">
        <v>4.303181706</v>
      </c>
      <c r="I1743" t="n">
        <v>0.7</v>
      </c>
      <c r="J1743" t="n">
        <v>2</v>
      </c>
      <c r="K1743" t="inlineStr"/>
    </row>
    <row r="1744">
      <c r="A1744" t="inlineStr">
        <is>
          <t>OVEFTGE30TM</t>
        </is>
      </c>
      <c r="B1744" t="inlineStr">
        <is>
          <t>UNIHOODIE</t>
        </is>
      </c>
      <c r="C1744" t="inlineStr">
        <is>
          <t>Manufactura / General</t>
        </is>
      </c>
      <c r="D1744" t="n">
        <v>9</v>
      </c>
      <c r="E1744" t="n">
        <v>294.32888704</v>
      </c>
      <c r="F1744" t="n">
        <v>0.5539015578500001</v>
      </c>
      <c r="G1744" t="n">
        <v>0</v>
      </c>
      <c r="H1744" t="n">
        <v>20.27</v>
      </c>
      <c r="I1744" t="n">
        <v>0.9</v>
      </c>
      <c r="J1744" t="n">
        <v>7</v>
      </c>
      <c r="K1744" t="inlineStr">
        <is>
          <t>Sin stock</t>
        </is>
      </c>
    </row>
    <row r="1745">
      <c r="A1745" t="inlineStr">
        <is>
          <t>TMOFIDA43TXS</t>
        </is>
      </c>
      <c r="B1745" t="inlineStr">
        <is>
          <t>TOP MOVA</t>
        </is>
      </c>
      <c r="C1745" t="inlineStr">
        <is>
          <t>Manufactura / Dama / P. Superiores</t>
        </is>
      </c>
      <c r="D1745" t="n">
        <v>7</v>
      </c>
      <c r="E1745" t="n">
        <v>294.17332037</v>
      </c>
      <c r="F1745" t="n">
        <v>0.82551923318</v>
      </c>
      <c r="G1745" t="n">
        <v>41</v>
      </c>
      <c r="H1745" t="n">
        <v>9.942967033</v>
      </c>
      <c r="I1745" t="n">
        <v>0.7</v>
      </c>
      <c r="J1745" t="n">
        <v>0</v>
      </c>
      <c r="K1745" t="inlineStr"/>
    </row>
    <row r="1746">
      <c r="A1746" t="inlineStr">
        <is>
          <t>ZOEMIDA05TS</t>
        </is>
      </c>
      <c r="B1746" t="inlineStr">
        <is>
          <t>ZOE ORIGINAL DAMA</t>
        </is>
      </c>
      <c r="C1746" t="inlineStr">
        <is>
          <t>Manufactura / Dama / P. Superiores</t>
        </is>
      </c>
      <c r="D1746" t="n">
        <v>5</v>
      </c>
      <c r="E1746" t="n">
        <v>293.5560386</v>
      </c>
      <c r="F1746" t="n">
        <v>0.929387609325</v>
      </c>
      <c r="G1746" t="n">
        <v>0</v>
      </c>
      <c r="H1746" t="n">
        <v>4.116585696</v>
      </c>
      <c r="I1746" t="n">
        <v>0.5</v>
      </c>
      <c r="J1746" t="n">
        <v>4</v>
      </c>
      <c r="K1746" t="inlineStr">
        <is>
          <t>Sin stock</t>
        </is>
      </c>
    </row>
    <row r="1747">
      <c r="A1747" t="inlineStr">
        <is>
          <t>CLAMEKI12T12</t>
        </is>
      </c>
      <c r="B1747" t="inlineStr">
        <is>
          <t>CLASICA SPORT KIDS</t>
        </is>
      </c>
      <c r="C1747" t="inlineStr">
        <is>
          <t>Manufactura / Kids / P. Superiores</t>
        </is>
      </c>
      <c r="D1747" t="n">
        <v>8</v>
      </c>
      <c r="E1747" t="n">
        <v>293.51982077</v>
      </c>
      <c r="F1747" t="n">
        <v>0.89219257043</v>
      </c>
      <c r="G1747" t="n">
        <v>4</v>
      </c>
      <c r="H1747" t="n">
        <v>3.97</v>
      </c>
      <c r="I1747" t="n">
        <v>0.8</v>
      </c>
      <c r="J1747" t="n">
        <v>0</v>
      </c>
      <c r="K1747" t="inlineStr"/>
    </row>
    <row r="1748">
      <c r="A1748" t="inlineStr">
        <is>
          <t>MAYFNDA10TL</t>
        </is>
      </c>
      <c r="B1748" t="inlineStr">
        <is>
          <t>MAYA SPORT LITE DAMA</t>
        </is>
      </c>
      <c r="C1748" t="inlineStr">
        <is>
          <t>Manufactura / Dama / P. Superiores</t>
        </is>
      </c>
      <c r="D1748" t="n">
        <v>9</v>
      </c>
      <c r="E1748" t="n">
        <v>291.76104709</v>
      </c>
      <c r="F1748" t="n">
        <v>0.8836248724916667</v>
      </c>
      <c r="G1748" t="n">
        <v>1</v>
      </c>
      <c r="H1748" t="n">
        <v>3.87</v>
      </c>
      <c r="I1748" t="n">
        <v>0.9</v>
      </c>
      <c r="J1748" t="n">
        <v>1</v>
      </c>
      <c r="K1748" t="inlineStr"/>
    </row>
    <row r="1749">
      <c r="A1749" t="inlineStr">
        <is>
          <t>ZOEMIDA50TXS</t>
        </is>
      </c>
      <c r="B1749" t="inlineStr">
        <is>
          <t>ZOE ORIGINAL DAMA</t>
        </is>
      </c>
      <c r="C1749" t="inlineStr">
        <is>
          <t>Manufactura / Dama / P. Superiores</t>
        </is>
      </c>
      <c r="D1749" t="n">
        <v>9</v>
      </c>
      <c r="E1749" t="n">
        <v>291.23465057</v>
      </c>
      <c r="F1749" t="n">
        <v>0.88112707975</v>
      </c>
      <c r="G1749" t="n">
        <v>14</v>
      </c>
      <c r="H1749" t="n">
        <v>4.116585696</v>
      </c>
      <c r="I1749" t="n">
        <v>0.9</v>
      </c>
      <c r="J1749" t="n">
        <v>2</v>
      </c>
      <c r="K1749" t="inlineStr"/>
    </row>
    <row r="1750">
      <c r="A1750" t="inlineStr">
        <is>
          <t>MARMIKI70T8</t>
        </is>
      </c>
      <c r="B1750" t="inlineStr">
        <is>
          <t>MAR ORIGINAL KIDS</t>
        </is>
      </c>
      <c r="C1750" t="inlineStr">
        <is>
          <t>Manufactura / Kids / P. Superiores</t>
        </is>
      </c>
      <c r="D1750" t="n">
        <v>8</v>
      </c>
      <c r="E1750" t="n">
        <v>290.92917424</v>
      </c>
      <c r="F1750" t="n">
        <v>0.9106197182714286</v>
      </c>
      <c r="G1750" t="n">
        <v>0</v>
      </c>
      <c r="H1750" t="n">
        <v>3.168013332</v>
      </c>
      <c r="I1750" t="n">
        <v>0.8</v>
      </c>
      <c r="J1750" t="n">
        <v>4</v>
      </c>
      <c r="K1750" t="inlineStr">
        <is>
          <t>Sin stock</t>
        </is>
      </c>
    </row>
    <row r="1751">
      <c r="A1751" t="inlineStr">
        <is>
          <t>ADUMMDA16TXS</t>
        </is>
      </c>
      <c r="B1751" t="inlineStr">
        <is>
          <t>ACTIVE DUO DAMA</t>
        </is>
      </c>
      <c r="C1751" t="inlineStr">
        <is>
          <t>Manufactura / Caballero / P. Superiores</t>
        </is>
      </c>
      <c r="D1751" t="n">
        <v>7</v>
      </c>
      <c r="E1751" t="n">
        <v>290.90764007</v>
      </c>
      <c r="F1751" t="n">
        <v>0.9319826844166667</v>
      </c>
      <c r="G1751" t="n">
        <v>28</v>
      </c>
      <c r="H1751" t="n">
        <v>3.19128</v>
      </c>
      <c r="I1751" t="n">
        <v>0.7</v>
      </c>
      <c r="J1751" t="n">
        <v>5</v>
      </c>
      <c r="K1751" t="inlineStr"/>
    </row>
    <row r="1752">
      <c r="A1752" t="inlineStr">
        <is>
          <t>MAFMIDA66TXS</t>
        </is>
      </c>
      <c r="B1752" t="inlineStr">
        <is>
          <t>MAFE ORIGINAL DAMA</t>
        </is>
      </c>
      <c r="C1752" t="inlineStr">
        <is>
          <t>Manufactura / Dama / P. Superiores</t>
        </is>
      </c>
      <c r="D1752" t="n">
        <v>9</v>
      </c>
      <c r="E1752" t="n">
        <v>290.27875152</v>
      </c>
      <c r="F1752" t="n">
        <v>0.8544015207555556</v>
      </c>
      <c r="G1752" t="n">
        <v>29</v>
      </c>
      <c r="H1752" t="n">
        <v>4.54817671</v>
      </c>
      <c r="I1752" t="n">
        <v>0.9</v>
      </c>
      <c r="J1752" t="n">
        <v>1</v>
      </c>
      <c r="K1752" t="inlineStr"/>
    </row>
    <row r="1753">
      <c r="A1753" t="inlineStr">
        <is>
          <t>ZOEMIDA16TM</t>
        </is>
      </c>
      <c r="B1753" t="inlineStr">
        <is>
          <t>ZOE ORIGINAL DAMA</t>
        </is>
      </c>
      <c r="C1753" t="inlineStr">
        <is>
          <t>Manufactura / Dama / P. Superiores</t>
        </is>
      </c>
      <c r="D1753" t="n">
        <v>8</v>
      </c>
      <c r="E1753" t="n">
        <v>289.81602828</v>
      </c>
      <c r="F1753" t="n">
        <v>0.8843176281</v>
      </c>
      <c r="G1753" t="n">
        <v>0</v>
      </c>
      <c r="H1753" t="n">
        <v>4.116585696</v>
      </c>
      <c r="I1753" t="n">
        <v>0.8</v>
      </c>
      <c r="J1753" t="n">
        <v>2</v>
      </c>
      <c r="K1753" t="inlineStr">
        <is>
          <t>Sin stock</t>
        </is>
      </c>
    </row>
    <row r="1754">
      <c r="A1754" t="inlineStr">
        <is>
          <t>RIOMIDA14TM</t>
        </is>
      </c>
      <c r="B1754" t="inlineStr">
        <is>
          <t>RIO ORIGINAL DAMA</t>
        </is>
      </c>
      <c r="C1754" t="inlineStr">
        <is>
          <t>Manufactura / Dama / P. Superiores</t>
        </is>
      </c>
      <c r="D1754" t="n">
        <v>6</v>
      </c>
      <c r="E1754" t="n">
        <v>289.53842338</v>
      </c>
      <c r="F1754" t="n">
        <v>0.8845796526499999</v>
      </c>
      <c r="G1754" t="n">
        <v>0</v>
      </c>
      <c r="H1754" t="n">
        <v>5.538832275</v>
      </c>
      <c r="I1754" t="n">
        <v>0.6</v>
      </c>
      <c r="J1754" t="n">
        <v>9</v>
      </c>
      <c r="K1754" t="inlineStr">
        <is>
          <t>Sin stock</t>
        </is>
      </c>
    </row>
    <row r="1755">
      <c r="A1755" t="inlineStr">
        <is>
          <t>CLAMECA66TL</t>
        </is>
      </c>
      <c r="B1755" t="inlineStr">
        <is>
          <t>CLASICA SPORT CAB</t>
        </is>
      </c>
      <c r="C1755" t="inlineStr">
        <is>
          <t>Manufactura / Caballero / P. Superiores</t>
        </is>
      </c>
      <c r="D1755" t="n">
        <v>7</v>
      </c>
      <c r="E1755" t="n">
        <v>289.51819518</v>
      </c>
      <c r="F1755" t="n">
        <v>0.7499834712714285</v>
      </c>
      <c r="G1755" t="n">
        <v>0</v>
      </c>
      <c r="H1755" t="n">
        <v>10.3013454</v>
      </c>
      <c r="I1755" t="n">
        <v>0.7</v>
      </c>
      <c r="J1755" t="n">
        <v>7</v>
      </c>
      <c r="K1755" t="inlineStr">
        <is>
          <t>Sin stock</t>
        </is>
      </c>
    </row>
    <row r="1756">
      <c r="A1756" t="inlineStr">
        <is>
          <t>RIOMIDA09TS</t>
        </is>
      </c>
      <c r="B1756" t="inlineStr">
        <is>
          <t>RIO ORIGINAL DAMA</t>
        </is>
      </c>
      <c r="C1756" t="inlineStr">
        <is>
          <t>Manufactura / Dama / P. Superiores</t>
        </is>
      </c>
      <c r="D1756" t="n">
        <v>7</v>
      </c>
      <c r="E1756" t="n">
        <v>289.45853594</v>
      </c>
      <c r="F1756" t="n">
        <v>0.88264574626</v>
      </c>
      <c r="G1756" t="n">
        <v>0</v>
      </c>
      <c r="H1756" t="n">
        <v>5.538832275</v>
      </c>
      <c r="I1756" t="n">
        <v>0.7</v>
      </c>
      <c r="J1756" t="n">
        <v>3</v>
      </c>
      <c r="K1756" t="inlineStr">
        <is>
          <t>Sin stock</t>
        </is>
      </c>
    </row>
    <row r="1757">
      <c r="A1757" t="inlineStr">
        <is>
          <t>CLADFCA151TS</t>
        </is>
      </c>
      <c r="B1757" t="inlineStr">
        <is>
          <t>CLASICA ADVANCE CAB</t>
        </is>
      </c>
      <c r="C1757" t="inlineStr">
        <is>
          <t>Manufactura / Caballero / P. Superiores</t>
        </is>
      </c>
      <c r="D1757" t="n">
        <v>9</v>
      </c>
      <c r="E1757" t="n">
        <v>288.91980483</v>
      </c>
      <c r="F1757" t="n">
        <v>0.6760558112833334</v>
      </c>
      <c r="G1757" t="n">
        <v>0</v>
      </c>
      <c r="H1757" t="n">
        <v>15.51</v>
      </c>
      <c r="I1757" t="n">
        <v>0.9</v>
      </c>
      <c r="J1757" t="n">
        <v>5</v>
      </c>
      <c r="K1757" t="inlineStr">
        <is>
          <t>Sin stock</t>
        </is>
      </c>
    </row>
    <row r="1758">
      <c r="A1758" t="inlineStr">
        <is>
          <t>SHONTCA66TS</t>
        </is>
      </c>
      <c r="B1758" t="inlineStr">
        <is>
          <t>EXPLORE SHORT CAB</t>
        </is>
      </c>
      <c r="C1758" t="inlineStr">
        <is>
          <t>Manufactura / Caballero / P. Inferiores</t>
        </is>
      </c>
      <c r="D1758" t="n">
        <v>6</v>
      </c>
      <c r="E1758" t="n">
        <v>287.01240047</v>
      </c>
      <c r="F1758" t="n">
        <v>0.75916597795</v>
      </c>
      <c r="G1758" t="n">
        <v>1</v>
      </c>
      <c r="H1758" t="n">
        <v>11.17</v>
      </c>
      <c r="I1758" t="n">
        <v>0.6</v>
      </c>
      <c r="J1758" t="n">
        <v>6</v>
      </c>
      <c r="K1758" t="inlineStr"/>
    </row>
    <row r="1759">
      <c r="A1759" t="inlineStr">
        <is>
          <t>ANDMIDA66TXS</t>
        </is>
      </c>
      <c r="B1759" t="inlineStr">
        <is>
          <t>ANDRE ORIGINAL DAMA</t>
        </is>
      </c>
      <c r="C1759" t="inlineStr">
        <is>
          <t>Manufactura / Dama / P. Superiores</t>
        </is>
      </c>
      <c r="D1759" t="n">
        <v>7</v>
      </c>
      <c r="E1759" t="n">
        <v>286.97321601</v>
      </c>
      <c r="F1759" t="n">
        <v>0.9052971190714285</v>
      </c>
      <c r="G1759" t="n">
        <v>22</v>
      </c>
      <c r="H1759" t="n">
        <v>3.274295302</v>
      </c>
      <c r="I1759" t="n">
        <v>0.7</v>
      </c>
      <c r="J1759" t="n">
        <v>0</v>
      </c>
      <c r="K1759" t="inlineStr"/>
    </row>
    <row r="1760">
      <c r="A1760" t="inlineStr">
        <is>
          <t>RIOMICA04TS</t>
        </is>
      </c>
      <c r="B1760" t="inlineStr">
        <is>
          <t>RIO ORIGINAL CAB</t>
        </is>
      </c>
      <c r="C1760" t="inlineStr">
        <is>
          <t>Manufactura / Caballero / P. Superiores</t>
        </is>
      </c>
      <c r="D1760" t="n">
        <v>5</v>
      </c>
      <c r="E1760" t="n">
        <v>285.89025483</v>
      </c>
      <c r="F1760" t="n">
        <v>0.8944814616600001</v>
      </c>
      <c r="G1760" t="n">
        <v>7</v>
      </c>
      <c r="H1760" t="n">
        <v>5.939350288</v>
      </c>
      <c r="I1760" t="n">
        <v>0.5</v>
      </c>
      <c r="J1760" t="n">
        <v>2</v>
      </c>
      <c r="K1760" t="inlineStr"/>
    </row>
    <row r="1761">
      <c r="A1761" t="inlineStr">
        <is>
          <t>TALGOTADA12TXS</t>
        </is>
      </c>
      <c r="B1761" t="inlineStr">
        <is>
          <t>URBAN COTTON TOP VINTAGE GRIS DAMA</t>
        </is>
      </c>
      <c r="C1761" t="inlineStr">
        <is>
          <t>Manufactura / Dama / P. Superiores</t>
        </is>
      </c>
      <c r="D1761" t="n">
        <v>6</v>
      </c>
      <c r="E1761" t="n">
        <v>285.66859139</v>
      </c>
      <c r="F1761" t="n">
        <v>0.8613215751800001</v>
      </c>
      <c r="G1761" t="n">
        <v>37</v>
      </c>
      <c r="H1761" t="n">
        <v>7.819069274</v>
      </c>
      <c r="I1761" t="n">
        <v>0.6</v>
      </c>
      <c r="J1761" t="n">
        <v>4</v>
      </c>
      <c r="K1761" t="inlineStr"/>
    </row>
    <row r="1762">
      <c r="A1762" t="inlineStr">
        <is>
          <t>RIOMIKI12T1</t>
        </is>
      </c>
      <c r="B1762" t="inlineStr">
        <is>
          <t>RIO ORIGINAL KIDS</t>
        </is>
      </c>
      <c r="C1762" t="inlineStr">
        <is>
          <t>Manufactura / Kids / P. Superiores</t>
        </is>
      </c>
      <c r="D1762" t="n">
        <v>7</v>
      </c>
      <c r="E1762" t="n">
        <v>285.06109892</v>
      </c>
      <c r="F1762" t="n">
        <v>0.9089251493428572</v>
      </c>
      <c r="G1762" t="n">
        <v>0</v>
      </c>
      <c r="H1762" t="n">
        <v>3.617969464</v>
      </c>
      <c r="I1762" t="n">
        <v>0.7</v>
      </c>
      <c r="J1762" t="n">
        <v>5</v>
      </c>
      <c r="K1762" t="inlineStr">
        <is>
          <t>Sin stock</t>
        </is>
      </c>
    </row>
    <row r="1763">
      <c r="A1763" t="inlineStr">
        <is>
          <t>ANDMIDA66TM</t>
        </is>
      </c>
      <c r="B1763" t="inlineStr">
        <is>
          <t>ANDRE ORIGINAL DAMA</t>
        </is>
      </c>
      <c r="C1763" t="inlineStr">
        <is>
          <t>Manufactura / Dama / P. Superiores</t>
        </is>
      </c>
      <c r="D1763" t="n">
        <v>8</v>
      </c>
      <c r="E1763" t="n">
        <v>284.81393546</v>
      </c>
      <c r="F1763" t="n">
        <v>0.9058620663499999</v>
      </c>
      <c r="G1763" t="n">
        <v>26</v>
      </c>
      <c r="H1763" t="n">
        <v>3.274295302</v>
      </c>
      <c r="I1763" t="n">
        <v>0.8</v>
      </c>
      <c r="J1763" t="n">
        <v>3</v>
      </c>
      <c r="K1763" t="inlineStr"/>
    </row>
    <row r="1764">
      <c r="A1764" t="inlineStr">
        <is>
          <t>SHOUNKI12T10</t>
        </is>
      </c>
      <c r="B1764" t="inlineStr">
        <is>
          <t>SHORT PLAYA KIDS</t>
        </is>
      </c>
      <c r="C1764" t="inlineStr">
        <is>
          <t>Manufactura / Kids / P. Inferiores</t>
        </is>
      </c>
      <c r="D1764" t="n">
        <v>7</v>
      </c>
      <c r="E1764" t="n">
        <v>284.63313294</v>
      </c>
      <c r="F1764" t="n">
        <v>0.8470748142571428</v>
      </c>
      <c r="G1764" t="n">
        <v>29</v>
      </c>
      <c r="H1764" t="n">
        <v>6.089999999999999</v>
      </c>
      <c r="I1764" t="n">
        <v>0.7</v>
      </c>
      <c r="J1764" t="n">
        <v>0</v>
      </c>
      <c r="K1764" t="inlineStr"/>
    </row>
    <row r="1765">
      <c r="A1765" t="inlineStr">
        <is>
          <t>SHPEUNCA211TM</t>
        </is>
      </c>
      <c r="B1765" t="inlineStr">
        <is>
          <t>SHORT PLAYA ESTAMPADO CAB</t>
        </is>
      </c>
      <c r="C1765" t="inlineStr">
        <is>
          <t>Manufactura / Caballero / P. Inferiores</t>
        </is>
      </c>
      <c r="D1765" t="n">
        <v>7</v>
      </c>
      <c r="E1765" t="n">
        <v>284.2717834</v>
      </c>
      <c r="F1765" t="n">
        <v>0.7017994576</v>
      </c>
      <c r="G1765" t="n">
        <v>0</v>
      </c>
      <c r="H1765" t="n">
        <v>12.11</v>
      </c>
      <c r="I1765" t="n">
        <v>0.7</v>
      </c>
      <c r="J1765" t="n">
        <v>4</v>
      </c>
      <c r="K1765" t="inlineStr">
        <is>
          <t>Sin stock</t>
        </is>
      </c>
    </row>
    <row r="1766">
      <c r="A1766" t="inlineStr">
        <is>
          <t>CGCSDA16TXL</t>
        </is>
      </c>
      <c r="B1766" t="inlineStr">
        <is>
          <t>CLASICA GC SUBLIMADO DAMA</t>
        </is>
      </c>
      <c r="C1766" t="inlineStr">
        <is>
          <t>Manufactura / Dama / P. Superiores</t>
        </is>
      </c>
      <c r="D1766" t="n">
        <v>20</v>
      </c>
      <c r="E1766" t="n">
        <v>284.01354702</v>
      </c>
      <c r="F1766" t="n">
        <v>0</v>
      </c>
      <c r="G1766" t="n">
        <v>0</v>
      </c>
      <c r="H1766" t="n">
        <v>0</v>
      </c>
      <c r="I1766" t="n">
        <v>2</v>
      </c>
      <c r="J1766" t="n">
        <v>2</v>
      </c>
      <c r="K1766" t="inlineStr">
        <is>
          <t>Sin stock</t>
        </is>
      </c>
    </row>
    <row r="1767">
      <c r="A1767" t="inlineStr">
        <is>
          <t>SHOUNKI29T1</t>
        </is>
      </c>
      <c r="B1767" t="inlineStr">
        <is>
          <t>SHORT PLAYA KIDS</t>
        </is>
      </c>
      <c r="C1767" t="inlineStr">
        <is>
          <t>Manufactura / Kids / P. Inferiores</t>
        </is>
      </c>
      <c r="D1767" t="n">
        <v>6</v>
      </c>
      <c r="E1767" t="n">
        <v>283.7803561</v>
      </c>
      <c r="F1767" t="n">
        <v>0.8656280309166666</v>
      </c>
      <c r="G1767" t="n">
        <v>9</v>
      </c>
      <c r="H1767" t="n">
        <v>6.09</v>
      </c>
      <c r="I1767" t="n">
        <v>0.6</v>
      </c>
      <c r="J1767" t="n">
        <v>5</v>
      </c>
      <c r="K1767" t="inlineStr"/>
    </row>
    <row r="1768">
      <c r="A1768" t="inlineStr">
        <is>
          <t>HELBFDA206TL</t>
        </is>
      </c>
      <c r="B1768" t="inlineStr">
        <is>
          <t>HELEN BIO MOVE DAMA</t>
        </is>
      </c>
      <c r="C1768" t="inlineStr">
        <is>
          <t>Manufactura / Dama / P. Superiores</t>
        </is>
      </c>
      <c r="D1768" t="n">
        <v>4</v>
      </c>
      <c r="E1768" t="n">
        <v>283.52270079</v>
      </c>
      <c r="F1768" t="n">
        <v>0.896183814925</v>
      </c>
      <c r="G1768" t="n">
        <v>28</v>
      </c>
      <c r="H1768" t="n">
        <v>7.34081746</v>
      </c>
      <c r="I1768" t="n">
        <v>0.4</v>
      </c>
      <c r="J1768" t="n">
        <v>1</v>
      </c>
      <c r="K1768" t="inlineStr"/>
    </row>
    <row r="1769">
      <c r="A1769" t="inlineStr">
        <is>
          <t>SHOUNKI68T6</t>
        </is>
      </c>
      <c r="B1769" t="inlineStr">
        <is>
          <t>SHORT PLAYA KIDS</t>
        </is>
      </c>
      <c r="C1769" t="inlineStr">
        <is>
          <t>Manufactura / Kids / P. Inferiores</t>
        </is>
      </c>
      <c r="D1769" t="n">
        <v>6</v>
      </c>
      <c r="E1769" t="n">
        <v>283.05286455</v>
      </c>
      <c r="F1769" t="n">
        <v>0.8646175456333333</v>
      </c>
      <c r="G1769" t="n">
        <v>24</v>
      </c>
      <c r="H1769" t="n">
        <v>6.09</v>
      </c>
      <c r="I1769" t="n">
        <v>0.6</v>
      </c>
      <c r="J1769" t="n">
        <v>2</v>
      </c>
      <c r="K1769" t="inlineStr"/>
    </row>
    <row r="1770">
      <c r="A1770" t="inlineStr">
        <is>
          <t>SUN33EQ</t>
        </is>
      </c>
      <c r="B1770" t="inlineStr">
        <is>
          <t>SUN HAT</t>
        </is>
      </c>
      <c r="C1770" t="inlineStr">
        <is>
          <t>Equipamiento / Sombreros</t>
        </is>
      </c>
      <c r="D1770" t="n">
        <v>11</v>
      </c>
      <c r="E1770" t="n">
        <v>282.86637101</v>
      </c>
      <c r="F1770" t="n">
        <v>0.7801253670181818</v>
      </c>
      <c r="G1770" t="n">
        <v>0</v>
      </c>
      <c r="H1770" t="n">
        <v>5.58</v>
      </c>
      <c r="I1770" t="n">
        <v>1.1</v>
      </c>
      <c r="J1770" t="n">
        <v>7</v>
      </c>
      <c r="K1770" t="inlineStr">
        <is>
          <t>Sin stock</t>
        </is>
      </c>
    </row>
    <row r="1771">
      <c r="A1771" t="inlineStr">
        <is>
          <t>CGCSKI16T4</t>
        </is>
      </c>
      <c r="B1771" t="inlineStr">
        <is>
          <t>CLASICA GC SUBLIMADO KIDS</t>
        </is>
      </c>
      <c r="C1771" t="inlineStr">
        <is>
          <t>Manufactura / Kids / P. Superiores</t>
        </is>
      </c>
      <c r="D1771" t="n">
        <v>6</v>
      </c>
      <c r="E1771" t="n">
        <v>282.6785167</v>
      </c>
      <c r="F1771" t="n">
        <v>0</v>
      </c>
      <c r="G1771" t="n">
        <v>0</v>
      </c>
      <c r="H1771" t="n">
        <v>0</v>
      </c>
      <c r="I1771" t="n">
        <v>0.6</v>
      </c>
      <c r="J1771" t="n">
        <v>2</v>
      </c>
      <c r="K1771" t="inlineStr">
        <is>
          <t>Sin stock</t>
        </is>
      </c>
    </row>
    <row r="1772">
      <c r="A1772" t="inlineStr">
        <is>
          <t>MARMICA01T3XL</t>
        </is>
      </c>
      <c r="B1772" t="inlineStr">
        <is>
          <t>MAR ORIGINAL CAB</t>
        </is>
      </c>
      <c r="C1772" t="inlineStr">
        <is>
          <t>Manufactura / Caballero / P. Superiores</t>
        </is>
      </c>
      <c r="D1772" t="n">
        <v>6</v>
      </c>
      <c r="E1772" t="n">
        <v>282.33632725</v>
      </c>
      <c r="F1772" t="n">
        <v>0.8779805912500001</v>
      </c>
      <c r="G1772" t="n">
        <v>10</v>
      </c>
      <c r="H1772" t="n">
        <v>4.946357428</v>
      </c>
      <c r="I1772" t="n">
        <v>0.6</v>
      </c>
      <c r="J1772" t="n">
        <v>2</v>
      </c>
      <c r="K1772" t="inlineStr"/>
    </row>
    <row r="1773">
      <c r="A1773" t="inlineStr">
        <is>
          <t>RIOMIDA04TL</t>
        </is>
      </c>
      <c r="B1773" t="inlineStr">
        <is>
          <t>RIO ORIGINAL DAMA</t>
        </is>
      </c>
      <c r="C1773" t="inlineStr">
        <is>
          <t>Manufactura / Dama / P. Superiores</t>
        </is>
      </c>
      <c r="D1773" t="n">
        <v>5</v>
      </c>
      <c r="E1773" t="n">
        <v>281.99936798</v>
      </c>
      <c r="F1773" t="n">
        <v>0.8996892344142857</v>
      </c>
      <c r="G1773" t="n">
        <v>13</v>
      </c>
      <c r="H1773" t="n">
        <v>5.538832275</v>
      </c>
      <c r="I1773" t="n">
        <v>0.5</v>
      </c>
      <c r="J1773" t="n">
        <v>1</v>
      </c>
      <c r="K1773" t="inlineStr"/>
    </row>
    <row r="1774">
      <c r="A1774" t="inlineStr">
        <is>
          <t>RIOMICA01T2XL</t>
        </is>
      </c>
      <c r="B1774" t="inlineStr">
        <is>
          <t>RIO ORIGINAL CAB</t>
        </is>
      </c>
      <c r="C1774" t="inlineStr">
        <is>
          <t>Manufactura / Caballero / P. Superiores</t>
        </is>
      </c>
      <c r="D1774" t="n">
        <v>5</v>
      </c>
      <c r="E1774" t="n">
        <v>281.89082827</v>
      </c>
      <c r="F1774" t="n">
        <v>0.89258768104</v>
      </c>
      <c r="G1774" t="n">
        <v>4</v>
      </c>
      <c r="H1774" t="n">
        <v>5.939350288</v>
      </c>
      <c r="I1774" t="n">
        <v>0.5</v>
      </c>
      <c r="J1774" t="n">
        <v>1</v>
      </c>
      <c r="K1774" t="inlineStr"/>
    </row>
    <row r="1775">
      <c r="A1775" t="inlineStr">
        <is>
          <t>MAYFNDA16TXS</t>
        </is>
      </c>
      <c r="B1775" t="inlineStr">
        <is>
          <t>MAYA SPORT LITE DAMA</t>
        </is>
      </c>
      <c r="C1775" t="inlineStr">
        <is>
          <t>Manufactura / Dama / P. Superiores</t>
        </is>
      </c>
      <c r="D1775" t="n">
        <v>8</v>
      </c>
      <c r="E1775" t="n">
        <v>281.58892053</v>
      </c>
      <c r="F1775" t="n">
        <v>0.8953255442666666</v>
      </c>
      <c r="G1775" t="n">
        <v>21</v>
      </c>
      <c r="H1775" t="n">
        <v>3.87</v>
      </c>
      <c r="I1775" t="n">
        <v>0.8</v>
      </c>
      <c r="J1775" t="n">
        <v>1</v>
      </c>
      <c r="K1775" t="inlineStr"/>
    </row>
    <row r="1776">
      <c r="A1776" t="inlineStr">
        <is>
          <t>TALGOTADA170TXS</t>
        </is>
      </c>
      <c r="B1776" t="inlineStr">
        <is>
          <t>URBAN COTTON TOP VINTAGE GRIS DAMA</t>
        </is>
      </c>
      <c r="C1776" t="inlineStr">
        <is>
          <t>Manufactura / Dama / P. Superiores</t>
        </is>
      </c>
      <c r="D1776" t="n">
        <v>8</v>
      </c>
      <c r="E1776" t="n">
        <v>281.02596408</v>
      </c>
      <c r="F1776" t="n">
        <v>0.8558414862599999</v>
      </c>
      <c r="G1776" t="n">
        <v>30</v>
      </c>
      <c r="H1776" t="n">
        <v>7.819069274</v>
      </c>
      <c r="I1776" t="n">
        <v>0.8</v>
      </c>
      <c r="J1776" t="n">
        <v>4</v>
      </c>
      <c r="K1776" t="inlineStr"/>
    </row>
    <row r="1777">
      <c r="A1777" t="inlineStr">
        <is>
          <t>SHONRKI16T8</t>
        </is>
      </c>
      <c r="B1777" t="inlineStr">
        <is>
          <t>SHORT SPORT KIDS</t>
        </is>
      </c>
      <c r="C1777" t="inlineStr">
        <is>
          <t>Manufactura / Kids / P. Inferiores</t>
        </is>
      </c>
      <c r="D1777" t="n">
        <v>7</v>
      </c>
      <c r="E1777" t="n">
        <v>280.35911019</v>
      </c>
      <c r="F1777" t="n">
        <v>0.8368904632428571</v>
      </c>
      <c r="G1777" t="n">
        <v>10</v>
      </c>
      <c r="H1777" t="n">
        <v>6.465724382</v>
      </c>
      <c r="I1777" t="n">
        <v>0.7</v>
      </c>
      <c r="J1777" t="n">
        <v>1</v>
      </c>
      <c r="K1777" t="inlineStr"/>
    </row>
    <row r="1778">
      <c r="A1778" t="inlineStr">
        <is>
          <t>SHOUNCA57TL</t>
        </is>
      </c>
      <c r="B1778" t="inlineStr">
        <is>
          <t>SHORT PLAYA CAB</t>
        </is>
      </c>
      <c r="C1778" t="inlineStr">
        <is>
          <t>Manufactura / Caballero / P. Inferiores</t>
        </is>
      </c>
      <c r="D1778" t="n">
        <v>7</v>
      </c>
      <c r="E1778" t="n">
        <v>280.06792852</v>
      </c>
      <c r="F1778" t="n">
        <v>0.7493761607428572</v>
      </c>
      <c r="G1778" t="n">
        <v>0</v>
      </c>
      <c r="H1778" t="n">
        <v>9.99</v>
      </c>
      <c r="I1778" t="n">
        <v>0.7</v>
      </c>
      <c r="J1778" t="n">
        <v>7</v>
      </c>
      <c r="K1778" t="inlineStr">
        <is>
          <t>Sin stock</t>
        </is>
      </c>
    </row>
    <row r="1779">
      <c r="A1779" t="inlineStr">
        <is>
          <t>TALGOTACA12TS</t>
        </is>
      </c>
      <c r="B1779" t="inlineStr">
        <is>
          <t>URBAN COTTON OVERSIZED SUNSET CAB</t>
        </is>
      </c>
      <c r="C1779" t="inlineStr">
        <is>
          <t>Manufactura / Caballero / P. Superiores</t>
        </is>
      </c>
      <c r="D1779" t="n">
        <v>8</v>
      </c>
      <c r="E1779" t="n">
        <v>279.87197259</v>
      </c>
      <c r="F1779" t="n">
        <v>0.7876876134571429</v>
      </c>
      <c r="G1779" t="n">
        <v>11</v>
      </c>
      <c r="H1779" t="n">
        <v>12.16112582</v>
      </c>
      <c r="I1779" t="n">
        <v>0.8</v>
      </c>
      <c r="J1779" t="n">
        <v>2</v>
      </c>
      <c r="K1779" t="inlineStr"/>
    </row>
    <row r="1780">
      <c r="A1780" t="inlineStr">
        <is>
          <t>TOA16WA</t>
        </is>
      </c>
      <c r="B1780" t="inlineStr">
        <is>
          <t>TOALLA WAFFLE</t>
        </is>
      </c>
      <c r="C1780" t="inlineStr">
        <is>
          <t>Equipamiento / Toallas</t>
        </is>
      </c>
      <c r="D1780" t="n">
        <v>12</v>
      </c>
      <c r="E1780" t="n">
        <v>279.83013958</v>
      </c>
      <c r="F1780" t="n">
        <v>0.75566807086</v>
      </c>
      <c r="G1780" t="n">
        <v>4</v>
      </c>
      <c r="H1780" t="n">
        <v>5.5</v>
      </c>
      <c r="I1780" t="n">
        <v>1.2</v>
      </c>
      <c r="J1780" t="n">
        <v>2</v>
      </c>
      <c r="K1780" t="inlineStr"/>
    </row>
    <row r="1781">
      <c r="A1781" t="inlineStr">
        <is>
          <t>CLAMECA66T2XL</t>
        </is>
      </c>
      <c r="B1781" t="inlineStr">
        <is>
          <t>CLASICA SPORT CAB</t>
        </is>
      </c>
      <c r="C1781" t="inlineStr">
        <is>
          <t>Manufactura / Caballero / P. Superiores</t>
        </is>
      </c>
      <c r="D1781" t="n">
        <v>7</v>
      </c>
      <c r="E1781" t="n">
        <v>279.50709084</v>
      </c>
      <c r="F1781" t="n">
        <v>0.7315012902</v>
      </c>
      <c r="G1781" t="n">
        <v>1</v>
      </c>
      <c r="H1781" t="n">
        <v>10.3013454</v>
      </c>
      <c r="I1781" t="n">
        <v>0.7</v>
      </c>
      <c r="J1781" t="n">
        <v>5</v>
      </c>
      <c r="K1781" t="inlineStr"/>
    </row>
    <row r="1782">
      <c r="A1782" t="inlineStr">
        <is>
          <t>CLASTCA16TL</t>
        </is>
      </c>
      <c r="B1782" t="inlineStr">
        <is>
          <t>CLASICA ALGODON STRETCH CAB</t>
        </is>
      </c>
      <c r="C1782" t="inlineStr">
        <is>
          <t>Manufactura / Caballero / P. Superiores</t>
        </is>
      </c>
      <c r="D1782" t="n">
        <v>10</v>
      </c>
      <c r="E1782" t="n">
        <v>279.3261443</v>
      </c>
      <c r="F1782" t="n">
        <v>0.7723928625333333</v>
      </c>
      <c r="G1782" t="n">
        <v>0</v>
      </c>
      <c r="H1782" t="n">
        <v>9.27</v>
      </c>
      <c r="I1782" t="n">
        <v>1</v>
      </c>
      <c r="J1782" t="n">
        <v>5</v>
      </c>
      <c r="K1782" t="inlineStr">
        <is>
          <t>Sin stock</t>
        </is>
      </c>
    </row>
    <row r="1783">
      <c r="A1783" t="inlineStr">
        <is>
          <t>TALGOTACA166TXS</t>
        </is>
      </c>
      <c r="B1783" t="inlineStr">
        <is>
          <t>URBAN COTTON OVERSIZED HORIZONTE CAB</t>
        </is>
      </c>
      <c r="C1783" t="inlineStr">
        <is>
          <t>Manufactura / Caballero / P. Superiores</t>
        </is>
      </c>
      <c r="D1783" t="n">
        <v>7</v>
      </c>
      <c r="E1783" t="n">
        <v>279.09042231</v>
      </c>
      <c r="F1783" t="n">
        <v>0.8031085577</v>
      </c>
      <c r="G1783" t="n">
        <v>0</v>
      </c>
      <c r="H1783" t="n">
        <v>11.06389452</v>
      </c>
      <c r="I1783" t="n">
        <v>0.7</v>
      </c>
      <c r="J1783" t="n">
        <v>2</v>
      </c>
      <c r="K1783" t="inlineStr">
        <is>
          <t>Sin stock</t>
        </is>
      </c>
    </row>
    <row r="1784">
      <c r="A1784" t="inlineStr">
        <is>
          <t>CLAMEKI66T10</t>
        </is>
      </c>
      <c r="B1784" t="inlineStr">
        <is>
          <t>CLASICA SPORT KIDS</t>
        </is>
      </c>
      <c r="C1784" t="inlineStr">
        <is>
          <t>Manufactura / Kids / P. Superiores</t>
        </is>
      </c>
      <c r="D1784" t="n">
        <v>10</v>
      </c>
      <c r="E1784" t="n">
        <v>278.78116604</v>
      </c>
      <c r="F1784" t="n">
        <v>0.8847290327</v>
      </c>
      <c r="G1784" t="n">
        <v>38</v>
      </c>
      <c r="H1784" t="n">
        <v>3.97</v>
      </c>
      <c r="I1784" t="n">
        <v>1</v>
      </c>
      <c r="J1784" t="n">
        <v>0</v>
      </c>
      <c r="K1784" t="inlineStr"/>
    </row>
    <row r="1785">
      <c r="A1785" t="inlineStr">
        <is>
          <t>CON94C24OZ</t>
        </is>
      </c>
      <c r="B1785" t="inlineStr">
        <is>
          <t>CONTIGO STAINLESS 24OZ</t>
        </is>
      </c>
      <c r="C1785" t="inlineStr">
        <is>
          <t>Equipamiento / Cava</t>
        </is>
      </c>
      <c r="D1785" t="n">
        <v>5</v>
      </c>
      <c r="E1785" t="n">
        <v>278.3071717</v>
      </c>
      <c r="F1785" t="n">
        <v>0.46363258651</v>
      </c>
      <c r="G1785" t="n">
        <v>0</v>
      </c>
      <c r="H1785" t="n">
        <v>24.5</v>
      </c>
      <c r="I1785" t="n">
        <v>0.5</v>
      </c>
      <c r="J1785" t="n">
        <v>4</v>
      </c>
      <c r="K1785" t="inlineStr">
        <is>
          <t>Sin stock</t>
        </is>
      </c>
    </row>
    <row r="1786">
      <c r="A1786" t="inlineStr">
        <is>
          <t>TALGTACA167T2XL</t>
        </is>
      </c>
      <c r="B1786" t="inlineStr">
        <is>
          <t>URBAN COTTON OVERSIZED COLOR BLOCK CAB</t>
        </is>
      </c>
      <c r="C1786" t="inlineStr">
        <is>
          <t>Manufactura / Caballero / P. Superiores</t>
        </is>
      </c>
      <c r="D1786" t="n">
        <v>5</v>
      </c>
      <c r="E1786" t="n">
        <v>278.2496098</v>
      </c>
      <c r="F1786" t="n">
        <v>0.7826980729857143</v>
      </c>
      <c r="G1786" t="n">
        <v>10</v>
      </c>
      <c r="H1786" t="n">
        <v>12.16641162</v>
      </c>
      <c r="I1786" t="n">
        <v>0.5</v>
      </c>
      <c r="J1786" t="n">
        <v>4</v>
      </c>
      <c r="K1786" t="inlineStr"/>
    </row>
    <row r="1787">
      <c r="A1787" t="inlineStr">
        <is>
          <t>CLADFCA151TXL</t>
        </is>
      </c>
      <c r="B1787" t="inlineStr">
        <is>
          <t>CLASICA ADVANCE CAB</t>
        </is>
      </c>
      <c r="C1787" t="inlineStr">
        <is>
          <t>Manufactura / Caballero / P. Superiores</t>
        </is>
      </c>
      <c r="D1787" t="n">
        <v>5</v>
      </c>
      <c r="E1787" t="n">
        <v>277.48974029</v>
      </c>
      <c r="F1787" t="n">
        <v>0.7100269874</v>
      </c>
      <c r="G1787" t="n">
        <v>6</v>
      </c>
      <c r="H1787" t="n">
        <v>15.51</v>
      </c>
      <c r="I1787" t="n">
        <v>0.5</v>
      </c>
      <c r="J1787" t="n">
        <v>2</v>
      </c>
      <c r="K1787" t="inlineStr"/>
    </row>
    <row r="1788">
      <c r="A1788" t="inlineStr">
        <is>
          <t>CLAMIKI48T10</t>
        </is>
      </c>
      <c r="B1788" t="inlineStr">
        <is>
          <t>CLASICA ORIGINAL KIDS</t>
        </is>
      </c>
      <c r="C1788" t="inlineStr">
        <is>
          <t>Manufactura / Kids / P. Superiores</t>
        </is>
      </c>
      <c r="D1788" t="n">
        <v>8</v>
      </c>
      <c r="E1788" t="n">
        <v>277.400997</v>
      </c>
      <c r="F1788" t="n">
        <v>0.9354856113</v>
      </c>
      <c r="G1788" t="n">
        <v>27</v>
      </c>
      <c r="H1788" t="n">
        <v>2.053774806</v>
      </c>
      <c r="I1788" t="n">
        <v>0.8</v>
      </c>
      <c r="J1788" t="n">
        <v>0</v>
      </c>
      <c r="K1788" t="inlineStr"/>
    </row>
    <row r="1789">
      <c r="A1789" t="inlineStr">
        <is>
          <t>TALGOTACA12TXL</t>
        </is>
      </c>
      <c r="B1789" t="inlineStr">
        <is>
          <t>URBAN COTTON OVERSIZED SUNSET CAB</t>
        </is>
      </c>
      <c r="C1789" t="inlineStr">
        <is>
          <t>Manufactura / Caballero / P. Superiores</t>
        </is>
      </c>
      <c r="D1789" t="n">
        <v>5</v>
      </c>
      <c r="E1789" t="n">
        <v>276.83617196</v>
      </c>
      <c r="F1789" t="n">
        <v>0.77959352814</v>
      </c>
      <c r="G1789" t="n">
        <v>24</v>
      </c>
      <c r="H1789" t="n">
        <v>12.16112582</v>
      </c>
      <c r="I1789" t="n">
        <v>0.5</v>
      </c>
      <c r="J1789" t="n">
        <v>5</v>
      </c>
      <c r="K1789" t="inlineStr"/>
    </row>
    <row r="1790">
      <c r="A1790" t="inlineStr">
        <is>
          <t>SABMEDA12TM</t>
        </is>
      </c>
      <c r="B1790" t="inlineStr">
        <is>
          <t>SABRI SPORT DAMA</t>
        </is>
      </c>
      <c r="C1790" t="inlineStr">
        <is>
          <t>Manufactura / Dama / P. Superiores</t>
        </is>
      </c>
      <c r="D1790" t="n">
        <v>8</v>
      </c>
      <c r="E1790" t="n">
        <v>276.33441575</v>
      </c>
      <c r="F1790" t="n">
        <v>0.888326422225</v>
      </c>
      <c r="G1790" t="n">
        <v>24</v>
      </c>
      <c r="H1790" t="n">
        <v>4.51</v>
      </c>
      <c r="I1790" t="n">
        <v>0.8</v>
      </c>
      <c r="J1790" t="n">
        <v>2</v>
      </c>
      <c r="K1790" t="inlineStr"/>
    </row>
    <row r="1791">
      <c r="A1791" t="inlineStr">
        <is>
          <t>ZOEMIDA16TL</t>
        </is>
      </c>
      <c r="B1791" t="inlineStr">
        <is>
          <t>ZOE ORIGINAL DAMA</t>
        </is>
      </c>
      <c r="C1791" t="inlineStr">
        <is>
          <t>Manufactura / Dama / P. Superiores</t>
        </is>
      </c>
      <c r="D1791" t="n">
        <v>7</v>
      </c>
      <c r="E1791" t="n">
        <v>275.67033773</v>
      </c>
      <c r="F1791" t="n">
        <v>0.895055753575</v>
      </c>
      <c r="G1791" t="n">
        <v>1</v>
      </c>
      <c r="H1791" t="n">
        <v>4.116585696</v>
      </c>
      <c r="I1791" t="n">
        <v>0.7</v>
      </c>
      <c r="J1791" t="n">
        <v>1</v>
      </c>
      <c r="K1791" t="inlineStr"/>
    </row>
    <row r="1792">
      <c r="A1792" t="inlineStr">
        <is>
          <t>CLAMECA12TXL</t>
        </is>
      </c>
      <c r="B1792" t="inlineStr">
        <is>
          <t>CLASICA SPORT CAB</t>
        </is>
      </c>
      <c r="C1792" t="inlineStr">
        <is>
          <t>Manufactura / Caballero / P. Superiores</t>
        </is>
      </c>
      <c r="D1792" t="n">
        <v>7</v>
      </c>
      <c r="E1792" t="n">
        <v>274.70113292</v>
      </c>
      <c r="F1792" t="n">
        <v>0.7369323384285715</v>
      </c>
      <c r="G1792" t="n">
        <v>0</v>
      </c>
      <c r="H1792" t="n">
        <v>10.3013454</v>
      </c>
      <c r="I1792" t="n">
        <v>0.7</v>
      </c>
      <c r="J1792" t="n">
        <v>7</v>
      </c>
      <c r="K1792" t="inlineStr">
        <is>
          <t>Sin stock</t>
        </is>
      </c>
    </row>
    <row r="1793">
      <c r="A1793" t="inlineStr">
        <is>
          <t>CLAMEDA16TM</t>
        </is>
      </c>
      <c r="B1793" t="inlineStr">
        <is>
          <t>CLÁSICA SPORT DAMA</t>
        </is>
      </c>
      <c r="C1793" t="inlineStr">
        <is>
          <t>Manufactura / Dama / P. Superiores</t>
        </is>
      </c>
      <c r="D1793" t="n">
        <v>5</v>
      </c>
      <c r="E1793" t="n">
        <v>274.4243522</v>
      </c>
      <c r="F1793" t="n">
        <v>0.87431466482</v>
      </c>
      <c r="G1793" t="n">
        <v>4</v>
      </c>
      <c r="H1793" t="n">
        <v>6.536105769</v>
      </c>
      <c r="I1793" t="n">
        <v>0.5</v>
      </c>
      <c r="J1793" t="n">
        <v>3</v>
      </c>
      <c r="K1793" t="inlineStr"/>
    </row>
    <row r="1794">
      <c r="A1794" t="inlineStr">
        <is>
          <t>RIOMIDA30TM</t>
        </is>
      </c>
      <c r="B1794" t="inlineStr">
        <is>
          <t>RIO ORIGINAL DAMA</t>
        </is>
      </c>
      <c r="C1794" t="inlineStr">
        <is>
          <t>Manufactura / Dama / P. Superiores</t>
        </is>
      </c>
      <c r="D1794" t="n">
        <v>5</v>
      </c>
      <c r="E1794" t="n">
        <v>274.0646738</v>
      </c>
      <c r="F1794" t="n">
        <v>0.8985388964200001</v>
      </c>
      <c r="G1794" t="n">
        <v>0</v>
      </c>
      <c r="H1794" t="n">
        <v>5.538832275</v>
      </c>
      <c r="I1794" t="n">
        <v>0.5</v>
      </c>
      <c r="J1794" t="n">
        <v>6</v>
      </c>
      <c r="K1794" t="inlineStr">
        <is>
          <t>Sin stock</t>
        </is>
      </c>
    </row>
    <row r="1795">
      <c r="A1795" t="inlineStr">
        <is>
          <t>ACDMIDA120TM</t>
        </is>
      </c>
      <c r="B1795" t="inlineStr">
        <is>
          <t>DANI ACTIVE DAMA</t>
        </is>
      </c>
      <c r="C1795" t="inlineStr">
        <is>
          <t>Manufactura / Dama / P. Superiores</t>
        </is>
      </c>
      <c r="D1795" t="n">
        <v>7</v>
      </c>
      <c r="E1795" t="n">
        <v>273.99487</v>
      </c>
      <c r="F1795" t="n">
        <v>0.78268116305</v>
      </c>
      <c r="G1795" t="n">
        <v>2</v>
      </c>
      <c r="H1795" t="n">
        <v>9.820000000000002</v>
      </c>
      <c r="I1795" t="n">
        <v>0.7</v>
      </c>
      <c r="J1795" t="n">
        <v>5</v>
      </c>
      <c r="K1795" t="inlineStr"/>
    </row>
    <row r="1796">
      <c r="A1796" t="inlineStr">
        <is>
          <t>SABMEDA66TM</t>
        </is>
      </c>
      <c r="B1796" t="inlineStr">
        <is>
          <t>SABRI SPORT DAMA</t>
        </is>
      </c>
      <c r="C1796" t="inlineStr">
        <is>
          <t>Manufactura / Dama / P. Superiores</t>
        </is>
      </c>
      <c r="D1796" t="n">
        <v>8</v>
      </c>
      <c r="E1796" t="n">
        <v>273.62978504</v>
      </c>
      <c r="F1796" t="n">
        <v>0.8587758034125</v>
      </c>
      <c r="G1796" t="n">
        <v>39</v>
      </c>
      <c r="H1796" t="n">
        <v>4.51</v>
      </c>
      <c r="I1796" t="n">
        <v>0.8</v>
      </c>
      <c r="J1796" t="n">
        <v>2</v>
      </c>
      <c r="K1796" t="inlineStr"/>
    </row>
    <row r="1797">
      <c r="A1797" t="inlineStr">
        <is>
          <t>MARMIDA28TL</t>
        </is>
      </c>
      <c r="B1797" t="inlineStr">
        <is>
          <t>MAR ORIGINAL DAMA</t>
        </is>
      </c>
      <c r="C1797" t="inlineStr">
        <is>
          <t>Manufactura / Dama / P. Superiores</t>
        </is>
      </c>
      <c r="D1797" t="n">
        <v>6</v>
      </c>
      <c r="E1797" t="n">
        <v>273.4958610789456</v>
      </c>
      <c r="F1797" t="n">
        <v>0.9014366462666666</v>
      </c>
      <c r="G1797" t="n">
        <v>0</v>
      </c>
      <c r="H1797" t="n">
        <v>4.278324149</v>
      </c>
      <c r="I1797" t="n">
        <v>0.6</v>
      </c>
      <c r="J1797" t="n">
        <v>1</v>
      </c>
      <c r="K1797" t="inlineStr">
        <is>
          <t>Sin stock</t>
        </is>
      </c>
    </row>
    <row r="1798">
      <c r="A1798" t="inlineStr">
        <is>
          <t>PANNTKI30T2</t>
        </is>
      </c>
      <c r="B1798" t="inlineStr">
        <is>
          <t>EXPLORE PANTS KIDS</t>
        </is>
      </c>
      <c r="C1798" t="inlineStr">
        <is>
          <t>Manufactura / Kids / P. Inferiores</t>
        </is>
      </c>
      <c r="D1798" t="n">
        <v>7</v>
      </c>
      <c r="E1798" t="n">
        <v>273.31618422</v>
      </c>
      <c r="F1798" t="n">
        <v>0.7423843754</v>
      </c>
      <c r="G1798" t="n">
        <v>9</v>
      </c>
      <c r="H1798" t="n">
        <v>13.98</v>
      </c>
      <c r="I1798" t="n">
        <v>0.7</v>
      </c>
      <c r="J1798" t="n">
        <v>2</v>
      </c>
      <c r="K1798" t="inlineStr"/>
    </row>
    <row r="1799">
      <c r="A1799" t="inlineStr">
        <is>
          <t>SHOUNKI29T4</t>
        </is>
      </c>
      <c r="B1799" t="inlineStr">
        <is>
          <t>SHORT PLAYA KIDS</t>
        </is>
      </c>
      <c r="C1799" t="inlineStr">
        <is>
          <t>Manufactura / Kids / P. Inferiores</t>
        </is>
      </c>
      <c r="D1799" t="n">
        <v>9</v>
      </c>
      <c r="E1799" t="n">
        <v>273.16135021</v>
      </c>
      <c r="F1799" t="n">
        <v>0.8166211644125</v>
      </c>
      <c r="G1799" t="n">
        <v>23</v>
      </c>
      <c r="H1799" t="n">
        <v>6.09</v>
      </c>
      <c r="I1799" t="n">
        <v>0.9</v>
      </c>
      <c r="J1799" t="n">
        <v>2</v>
      </c>
      <c r="K1799" t="inlineStr"/>
    </row>
    <row r="1800">
      <c r="A1800" t="inlineStr">
        <is>
          <t>CCBHMKI151T8</t>
        </is>
      </c>
      <c r="B1800" t="inlineStr">
        <is>
          <t>CLUB CLASICA KIDS</t>
        </is>
      </c>
      <c r="C1800" t="inlineStr">
        <is>
          <t>Manufactura / Kids / P. Superiores</t>
        </is>
      </c>
      <c r="D1800" t="n">
        <v>8</v>
      </c>
      <c r="E1800" t="n">
        <v>273</v>
      </c>
      <c r="F1800" t="n">
        <v>0.9705215419428572</v>
      </c>
      <c r="G1800" t="n">
        <v>8</v>
      </c>
      <c r="H1800" t="n">
        <v>1</v>
      </c>
      <c r="I1800" t="n">
        <v>0.8</v>
      </c>
      <c r="J1800" t="n">
        <v>1</v>
      </c>
      <c r="K1800" t="inlineStr"/>
    </row>
    <row r="1801">
      <c r="A1801" t="inlineStr">
        <is>
          <t>HELBFDA43TXL</t>
        </is>
      </c>
      <c r="B1801" t="inlineStr">
        <is>
          <t>HELEN BIO MOVE DAMA</t>
        </is>
      </c>
      <c r="C1801" t="inlineStr">
        <is>
          <t>Manufactura / Dama / P. Superiores</t>
        </is>
      </c>
      <c r="D1801" t="n">
        <v>4</v>
      </c>
      <c r="E1801" t="n">
        <v>271.49311902</v>
      </c>
      <c r="F1801" t="n">
        <v>0.887116736575</v>
      </c>
      <c r="G1801" t="n">
        <v>37</v>
      </c>
      <c r="H1801" t="n">
        <v>7.34081746</v>
      </c>
      <c r="I1801" t="n">
        <v>0.4</v>
      </c>
      <c r="J1801" t="n">
        <v>0</v>
      </c>
      <c r="K1801" t="inlineStr"/>
    </row>
    <row r="1802">
      <c r="A1802" t="inlineStr">
        <is>
          <t>CLAMECA66TM</t>
        </is>
      </c>
      <c r="B1802" t="inlineStr">
        <is>
          <t>CLASICA SPORT CAB</t>
        </is>
      </c>
      <c r="C1802" t="inlineStr">
        <is>
          <t>Manufactura / Caballero / P. Superiores</t>
        </is>
      </c>
      <c r="D1802" t="n">
        <v>7</v>
      </c>
      <c r="E1802" t="n">
        <v>271.20990727</v>
      </c>
      <c r="F1802" t="n">
        <v>0.7293739112714286</v>
      </c>
      <c r="G1802" t="n">
        <v>0</v>
      </c>
      <c r="H1802" t="n">
        <v>10.3013454</v>
      </c>
      <c r="I1802" t="n">
        <v>0.7</v>
      </c>
      <c r="J1802" t="n">
        <v>7</v>
      </c>
      <c r="K1802" t="inlineStr">
        <is>
          <t>Sin stock</t>
        </is>
      </c>
    </row>
    <row r="1803">
      <c r="A1803" t="inlineStr">
        <is>
          <t>MAADFDA70TM</t>
        </is>
      </c>
      <c r="B1803" t="inlineStr">
        <is>
          <t>MAFE ADVANCE DAMA</t>
        </is>
      </c>
      <c r="C1803" t="inlineStr">
        <is>
          <t>Manufactura / Dama / P. Superiores</t>
        </is>
      </c>
      <c r="D1803" t="n">
        <v>7</v>
      </c>
      <c r="E1803" t="n">
        <v>270.85382529</v>
      </c>
      <c r="F1803" t="n">
        <v>0.8961102827</v>
      </c>
      <c r="G1803" t="n">
        <v>14</v>
      </c>
      <c r="H1803" t="n">
        <v>4.98</v>
      </c>
      <c r="I1803" t="n">
        <v>0.7</v>
      </c>
      <c r="J1803" t="n">
        <v>1</v>
      </c>
      <c r="K1803" t="inlineStr"/>
    </row>
    <row r="1804">
      <c r="A1804" t="inlineStr">
        <is>
          <t>RIOMICA04T2XL</t>
        </is>
      </c>
      <c r="B1804" t="inlineStr">
        <is>
          <t>RIO ORIGINAL CAB</t>
        </is>
      </c>
      <c r="C1804" t="inlineStr">
        <is>
          <t>Manufactura / Caballero / P. Superiores</t>
        </is>
      </c>
      <c r="D1804" t="n">
        <v>5</v>
      </c>
      <c r="E1804" t="n">
        <v>270.65853237</v>
      </c>
      <c r="F1804" t="n">
        <v>0.8817317217142857</v>
      </c>
      <c r="G1804" t="n">
        <v>3</v>
      </c>
      <c r="H1804" t="n">
        <v>5.939350288</v>
      </c>
      <c r="I1804" t="n">
        <v>0.5</v>
      </c>
      <c r="J1804" t="n">
        <v>1</v>
      </c>
      <c r="K1804" t="inlineStr"/>
    </row>
    <row r="1805">
      <c r="A1805" t="inlineStr">
        <is>
          <t>SHONTDA66TS</t>
        </is>
      </c>
      <c r="B1805" t="inlineStr">
        <is>
          <t>EXPLORE SHORT DAMA</t>
        </is>
      </c>
      <c r="C1805" t="inlineStr">
        <is>
          <t>Manufactura / Dama / P. Inferiores</t>
        </is>
      </c>
      <c r="D1805" t="n">
        <v>5</v>
      </c>
      <c r="E1805" t="n">
        <v>270.51016271</v>
      </c>
      <c r="F1805" t="n">
        <v>0.80382094952</v>
      </c>
      <c r="G1805" t="n">
        <v>79</v>
      </c>
      <c r="H1805" t="n">
        <v>10.22113744</v>
      </c>
      <c r="I1805" t="n">
        <v>0.5</v>
      </c>
      <c r="J1805" t="n">
        <v>3</v>
      </c>
      <c r="K1805" t="inlineStr"/>
    </row>
    <row r="1806">
      <c r="A1806" t="inlineStr">
        <is>
          <t>DOMBFCA206TXL</t>
        </is>
      </c>
      <c r="B1806" t="inlineStr">
        <is>
          <t>DOMINIC BIO MOVE CAB</t>
        </is>
      </c>
      <c r="C1806" t="inlineStr">
        <is>
          <t>Manufactura / Caballero / P. Superiores</t>
        </is>
      </c>
      <c r="D1806" t="n">
        <v>5</v>
      </c>
      <c r="E1806" t="n">
        <v>270.45811266</v>
      </c>
      <c r="F1806" t="n">
        <v>0.79382346835</v>
      </c>
      <c r="G1806" t="n">
        <v>35</v>
      </c>
      <c r="H1806" t="n">
        <v>13.86</v>
      </c>
      <c r="I1806" t="n">
        <v>0.5</v>
      </c>
      <c r="J1806" t="n">
        <v>0</v>
      </c>
      <c r="K1806" t="inlineStr"/>
    </row>
    <row r="1807">
      <c r="A1807" t="inlineStr">
        <is>
          <t>MANMIGE43TP</t>
        </is>
      </c>
      <c r="B1807" t="inlineStr">
        <is>
          <t>MANGAS GENERAL</t>
        </is>
      </c>
      <c r="C1807" t="inlineStr">
        <is>
          <t>Manufactura / General</t>
        </is>
      </c>
      <c r="D1807" t="n">
        <v>20</v>
      </c>
      <c r="E1807" t="n">
        <v>270.293359605</v>
      </c>
      <c r="F1807" t="n">
        <v>0.93238572217</v>
      </c>
      <c r="G1807" t="n">
        <v>26</v>
      </c>
      <c r="H1807" t="n">
        <v>0.92</v>
      </c>
      <c r="I1807" t="n">
        <v>2</v>
      </c>
      <c r="J1807" t="n">
        <v>0</v>
      </c>
      <c r="K1807" t="inlineStr"/>
    </row>
    <row r="1808">
      <c r="A1808" t="inlineStr">
        <is>
          <t>SHUNTCA31T2XL</t>
        </is>
      </c>
      <c r="B1808" t="inlineStr">
        <is>
          <t>SHORT SPORT R1 CAB</t>
        </is>
      </c>
      <c r="C1808" t="inlineStr">
        <is>
          <t>Manufactura / Caballero / P. Inferiores</t>
        </is>
      </c>
      <c r="D1808" t="n">
        <v>5</v>
      </c>
      <c r="E1808" t="n">
        <v>269.011362</v>
      </c>
      <c r="F1808" t="n">
        <v>0.82724812602</v>
      </c>
      <c r="G1808" t="n">
        <v>14</v>
      </c>
      <c r="H1808" t="n">
        <v>9.119999999999999</v>
      </c>
      <c r="I1808" t="n">
        <v>0.5</v>
      </c>
      <c r="J1808" t="n">
        <v>1</v>
      </c>
      <c r="K1808" t="inlineStr"/>
    </row>
    <row r="1809">
      <c r="A1809" t="inlineStr">
        <is>
          <t>LAN67EQ</t>
        </is>
      </c>
      <c r="B1809" t="inlineStr">
        <is>
          <t>LANYARD</t>
        </is>
      </c>
      <c r="C1809" t="inlineStr">
        <is>
          <t>Equipamiento / Accesorios</t>
        </is>
      </c>
      <c r="D1809" t="n">
        <v>106</v>
      </c>
      <c r="E1809" t="n">
        <v>268.276699406</v>
      </c>
      <c r="F1809" t="n">
        <v>0.84963368071875</v>
      </c>
      <c r="G1809" t="n">
        <v>186</v>
      </c>
      <c r="H1809" t="n">
        <v>0.51</v>
      </c>
      <c r="I1809" t="n">
        <v>10.6</v>
      </c>
      <c r="J1809" t="n">
        <v>0</v>
      </c>
      <c r="K1809" t="inlineStr"/>
    </row>
    <row r="1810">
      <c r="A1810" t="inlineStr">
        <is>
          <t>CCBHMKI151T10</t>
        </is>
      </c>
      <c r="B1810" t="inlineStr">
        <is>
          <t>CLUB CLASICA KIDS</t>
        </is>
      </c>
      <c r="C1810" t="inlineStr">
        <is>
          <t>Manufactura / Kids / P. Superiores</t>
        </is>
      </c>
      <c r="D1810" t="n">
        <v>8</v>
      </c>
      <c r="E1810" t="n">
        <v>268</v>
      </c>
      <c r="F1810" t="n">
        <v>0.9700396825375001</v>
      </c>
      <c r="G1810" t="n">
        <v>21</v>
      </c>
      <c r="H1810" t="n">
        <v>1</v>
      </c>
      <c r="I1810" t="n">
        <v>0.8</v>
      </c>
      <c r="J1810" t="n">
        <v>0</v>
      </c>
      <c r="K1810" t="inlineStr"/>
    </row>
    <row r="1811">
      <c r="A1811" t="inlineStr">
        <is>
          <t>SABMEDA66TXS</t>
        </is>
      </c>
      <c r="B1811" t="inlineStr">
        <is>
          <t>SABRI SPORT DAMA</t>
        </is>
      </c>
      <c r="C1811" t="inlineStr">
        <is>
          <t>Manufactura / Dama / P. Superiores</t>
        </is>
      </c>
      <c r="D1811" t="n">
        <v>7</v>
      </c>
      <c r="E1811" t="n">
        <v>267.94336501</v>
      </c>
      <c r="F1811" t="n">
        <v>0.8677531481142857</v>
      </c>
      <c r="G1811" t="n">
        <v>82</v>
      </c>
      <c r="H1811" t="n">
        <v>4.51</v>
      </c>
      <c r="I1811" t="n">
        <v>0.7</v>
      </c>
      <c r="J1811" t="n">
        <v>3</v>
      </c>
      <c r="K1811" t="inlineStr"/>
    </row>
    <row r="1812">
      <c r="A1812" t="inlineStr">
        <is>
          <t>SABMEDA16TXL</t>
        </is>
      </c>
      <c r="B1812" t="inlineStr">
        <is>
          <t>SABRI SPORT DAMA</t>
        </is>
      </c>
      <c r="C1812" t="inlineStr">
        <is>
          <t>Manufactura / Dama / P. Superiores</t>
        </is>
      </c>
      <c r="D1812" t="n">
        <v>6</v>
      </c>
      <c r="E1812" t="n">
        <v>267.9392363</v>
      </c>
      <c r="F1812" t="n">
        <v>0.8849034259833334</v>
      </c>
      <c r="G1812" t="n">
        <v>5</v>
      </c>
      <c r="H1812" t="n">
        <v>4.51</v>
      </c>
      <c r="I1812" t="n">
        <v>0.6</v>
      </c>
      <c r="J1812" t="n">
        <v>2</v>
      </c>
      <c r="K1812" t="inlineStr"/>
    </row>
    <row r="1813">
      <c r="A1813" t="inlineStr">
        <is>
          <t>HELBFDA205TXS</t>
        </is>
      </c>
      <c r="B1813" t="inlineStr">
        <is>
          <t>HELEN BIO MOVE DAMA</t>
        </is>
      </c>
      <c r="C1813" t="inlineStr">
        <is>
          <t>Manufactura / Dama / P. Superiores</t>
        </is>
      </c>
      <c r="D1813" t="n">
        <v>7</v>
      </c>
      <c r="E1813" t="n">
        <v>267.91356621</v>
      </c>
      <c r="F1813" t="n">
        <v>0.8867825208666668</v>
      </c>
      <c r="G1813" t="n">
        <v>13</v>
      </c>
      <c r="H1813" t="n">
        <v>7.34081746</v>
      </c>
      <c r="I1813" t="n">
        <v>0.7</v>
      </c>
      <c r="J1813" t="n">
        <v>1</v>
      </c>
      <c r="K1813" t="inlineStr"/>
    </row>
    <row r="1814">
      <c r="A1814" t="inlineStr">
        <is>
          <t>TALGTACA166TXL</t>
        </is>
      </c>
      <c r="B1814" t="inlineStr">
        <is>
          <t>URBAN COTTON OVERSIZED VINTAGE VERDE CAB</t>
        </is>
      </c>
      <c r="C1814" t="inlineStr">
        <is>
          <t>Manufactura / Caballero / P. Superiores</t>
        </is>
      </c>
      <c r="D1814" t="n">
        <v>5</v>
      </c>
      <c r="E1814" t="n">
        <v>267.63602457</v>
      </c>
      <c r="F1814" t="n">
        <v>0.77153643984</v>
      </c>
      <c r="G1814" t="n">
        <v>20</v>
      </c>
      <c r="H1814" t="n">
        <v>12.16396667</v>
      </c>
      <c r="I1814" t="n">
        <v>0.5</v>
      </c>
      <c r="J1814" t="n">
        <v>6</v>
      </c>
      <c r="K1814" t="inlineStr"/>
    </row>
    <row r="1815">
      <c r="A1815" t="inlineStr">
        <is>
          <t>BAPCCDA184TXS</t>
        </is>
      </c>
      <c r="B1815" t="inlineStr">
        <is>
          <t>BASIC LINE PANT DAMA</t>
        </is>
      </c>
      <c r="C1815" t="inlineStr">
        <is>
          <t>Manufactura / Dama / P. Inferiores</t>
        </is>
      </c>
      <c r="D1815" t="n">
        <v>10</v>
      </c>
      <c r="E1815" t="n">
        <v>267.25394014</v>
      </c>
      <c r="F1815" t="n">
        <v>0.8319290758</v>
      </c>
      <c r="G1815" t="n">
        <v>19</v>
      </c>
      <c r="H1815" t="n">
        <v>11.2</v>
      </c>
      <c r="I1815" t="n">
        <v>1</v>
      </c>
      <c r="J1815" t="n">
        <v>1</v>
      </c>
      <c r="K1815" t="inlineStr"/>
    </row>
    <row r="1816">
      <c r="A1816" t="inlineStr">
        <is>
          <t>MAADFDA30TXL</t>
        </is>
      </c>
      <c r="B1816" t="inlineStr">
        <is>
          <t>MAFE ADVANCE DAMA</t>
        </is>
      </c>
      <c r="C1816" t="inlineStr">
        <is>
          <t>Manufactura / Dama / P. Superiores</t>
        </is>
      </c>
      <c r="D1816" t="n">
        <v>5</v>
      </c>
      <c r="E1816" t="n">
        <v>266.85260244</v>
      </c>
      <c r="F1816" t="n">
        <v>0.90502383424</v>
      </c>
      <c r="G1816" t="n">
        <v>2</v>
      </c>
      <c r="H1816" t="n">
        <v>4.98</v>
      </c>
      <c r="I1816" t="n">
        <v>0.5</v>
      </c>
      <c r="J1816" t="n">
        <v>0</v>
      </c>
      <c r="K1816" t="inlineStr"/>
    </row>
    <row r="1817">
      <c r="A1817" t="inlineStr">
        <is>
          <t>RIOMIDA70TXL</t>
        </is>
      </c>
      <c r="B1817" t="inlineStr">
        <is>
          <t>RIO ORIGINAL DAMA</t>
        </is>
      </c>
      <c r="C1817" t="inlineStr">
        <is>
          <t>Manufactura / Dama / P. Superiores</t>
        </is>
      </c>
      <c r="D1817" t="n">
        <v>5</v>
      </c>
      <c r="E1817" t="n">
        <v>266.74436426</v>
      </c>
      <c r="F1817" t="n">
        <v>0.8932514774</v>
      </c>
      <c r="G1817" t="n">
        <v>20</v>
      </c>
      <c r="H1817" t="n">
        <v>5.538832275</v>
      </c>
      <c r="I1817" t="n">
        <v>0.5</v>
      </c>
      <c r="J1817" t="n">
        <v>3</v>
      </c>
      <c r="K1817" t="inlineStr"/>
    </row>
    <row r="1818">
      <c r="A1818" t="inlineStr">
        <is>
          <t>BAN42EQ</t>
        </is>
      </c>
      <c r="B1818" t="inlineStr">
        <is>
          <t>CUADRO BAND</t>
        </is>
      </c>
      <c r="C1818" t="inlineStr">
        <is>
          <t>Equipamiento / Accesorios</t>
        </is>
      </c>
      <c r="D1818" t="n">
        <v>440</v>
      </c>
      <c r="E1818" t="n">
        <v>266.421881356</v>
      </c>
      <c r="F1818" t="n">
        <v>0.8500444611283334</v>
      </c>
      <c r="G1818" t="n">
        <v>6197</v>
      </c>
      <c r="H1818" t="n">
        <v>0.3159183673</v>
      </c>
      <c r="I1818" t="n">
        <v>44</v>
      </c>
      <c r="J1818" t="n">
        <v>0</v>
      </c>
      <c r="K1818" t="inlineStr"/>
    </row>
    <row r="1819">
      <c r="A1819" t="inlineStr">
        <is>
          <t>DAYCSTDA66TXS</t>
        </is>
      </c>
      <c r="B1819" t="inlineStr">
        <is>
          <t>CLASICA DAILY 3.0 DAMA</t>
        </is>
      </c>
      <c r="C1819" t="inlineStr">
        <is>
          <t>Manufactura / Dama / P. Superiores</t>
        </is>
      </c>
      <c r="D1819" t="n">
        <v>10</v>
      </c>
      <c r="E1819" t="n">
        <v>266.28369905</v>
      </c>
      <c r="F1819" t="n">
        <v>0.7612093670666668</v>
      </c>
      <c r="G1819" t="n">
        <v>26</v>
      </c>
      <c r="H1819" t="n">
        <v>10.28586481</v>
      </c>
      <c r="I1819" t="n">
        <v>1</v>
      </c>
      <c r="J1819" t="n">
        <v>0</v>
      </c>
      <c r="K1819" t="inlineStr"/>
    </row>
    <row r="1820">
      <c r="A1820" t="inlineStr">
        <is>
          <t>CLADFCA30T2XL</t>
        </is>
      </c>
      <c r="B1820" t="inlineStr">
        <is>
          <t>CLASICA ADVANCE CAB</t>
        </is>
      </c>
      <c r="C1820" t="inlineStr">
        <is>
          <t>Manufactura / Caballero / P. Superiores</t>
        </is>
      </c>
      <c r="D1820" t="n">
        <v>5</v>
      </c>
      <c r="E1820" t="n">
        <v>266.2808041</v>
      </c>
      <c r="F1820" t="n">
        <v>0.7299310208111112</v>
      </c>
      <c r="G1820" t="n">
        <v>2</v>
      </c>
      <c r="H1820" t="n">
        <v>15.51</v>
      </c>
      <c r="I1820" t="n">
        <v>0.5</v>
      </c>
      <c r="J1820" t="n">
        <v>1</v>
      </c>
      <c r="K1820" t="inlineStr"/>
    </row>
    <row r="1821">
      <c r="A1821" t="inlineStr">
        <is>
          <t>MIKFNDA24TL</t>
        </is>
      </c>
      <c r="B1821" t="inlineStr">
        <is>
          <t>MIKA SPORT LITE DAMA</t>
        </is>
      </c>
      <c r="C1821" t="inlineStr">
        <is>
          <t>Manufactura / Dama / P. Superiores</t>
        </is>
      </c>
      <c r="D1821" t="n">
        <v>13</v>
      </c>
      <c r="E1821" t="n">
        <v>265.46509991</v>
      </c>
      <c r="F1821" t="n">
        <v>0.8485684601857143</v>
      </c>
      <c r="G1821" t="n">
        <v>32</v>
      </c>
      <c r="H1821" t="n">
        <v>5.484675344</v>
      </c>
      <c r="I1821" t="n">
        <v>1.3</v>
      </c>
      <c r="J1821" t="n">
        <v>0</v>
      </c>
      <c r="K1821" t="inlineStr"/>
    </row>
    <row r="1822">
      <c r="A1822" t="inlineStr">
        <is>
          <t>CCBHMCA151TL</t>
        </is>
      </c>
      <c r="B1822" t="inlineStr">
        <is>
          <t>CLUB CLASICA CABALLERO</t>
        </is>
      </c>
      <c r="C1822" t="inlineStr">
        <is>
          <t>Manufactura / Caballero / P. Superiores</t>
        </is>
      </c>
      <c r="D1822" t="n">
        <v>7</v>
      </c>
      <c r="E1822" t="n">
        <v>265</v>
      </c>
      <c r="F1822" t="n">
        <v>0.9774691358222223</v>
      </c>
      <c r="G1822" t="n">
        <v>24</v>
      </c>
      <c r="H1822" t="n">
        <v>1</v>
      </c>
      <c r="I1822" t="n">
        <v>0.7</v>
      </c>
      <c r="J1822" t="n">
        <v>0</v>
      </c>
      <c r="K1822" t="inlineStr"/>
    </row>
    <row r="1823">
      <c r="A1823" t="inlineStr">
        <is>
          <t>SHUNTDA31TS</t>
        </is>
      </c>
      <c r="B1823" t="inlineStr">
        <is>
          <t>SHORT SPORT R1 DAMA</t>
        </is>
      </c>
      <c r="C1823" t="inlineStr">
        <is>
          <t>Manufactura / Dama / P. Inferiores</t>
        </is>
      </c>
      <c r="D1823" t="n">
        <v>5</v>
      </c>
      <c r="E1823" t="n">
        <v>264.82744888</v>
      </c>
      <c r="F1823" t="n">
        <v>0.8424782398799999</v>
      </c>
      <c r="G1823" t="n">
        <v>25</v>
      </c>
      <c r="H1823" t="n">
        <v>8.33</v>
      </c>
      <c r="I1823" t="n">
        <v>0.5</v>
      </c>
      <c r="J1823" t="n">
        <v>0</v>
      </c>
      <c r="K1823" t="inlineStr"/>
    </row>
    <row r="1824">
      <c r="A1824" t="inlineStr">
        <is>
          <t>JACCA67TXL</t>
        </is>
      </c>
      <c r="B1824" t="inlineStr">
        <is>
          <t>JACKET CAB</t>
        </is>
      </c>
      <c r="C1824" t="inlineStr">
        <is>
          <t>Equipamiento / Ropa</t>
        </is>
      </c>
      <c r="D1824" t="n">
        <v>4</v>
      </c>
      <c r="E1824" t="n">
        <v>264.18147253</v>
      </c>
      <c r="F1824" t="n">
        <v>0.681802011075</v>
      </c>
      <c r="G1824" t="n">
        <v>68</v>
      </c>
      <c r="H1824" t="n">
        <v>20.25001933</v>
      </c>
      <c r="I1824" t="n">
        <v>0.4</v>
      </c>
      <c r="J1824" t="n">
        <v>0</v>
      </c>
      <c r="K1824" t="inlineStr"/>
    </row>
    <row r="1825">
      <c r="A1825" t="inlineStr">
        <is>
          <t>BAN133EQ</t>
        </is>
      </c>
      <c r="B1825" t="inlineStr">
        <is>
          <t>CUADRO BAND</t>
        </is>
      </c>
      <c r="C1825" t="inlineStr">
        <is>
          <t>Equipamiento / Accesorios</t>
        </is>
      </c>
      <c r="D1825" t="n">
        <v>420</v>
      </c>
      <c r="E1825" t="n">
        <v>262.393274996</v>
      </c>
      <c r="F1825" t="n">
        <v>0.8496379692608333</v>
      </c>
      <c r="G1825" t="n">
        <v>5696</v>
      </c>
      <c r="H1825" t="n">
        <v>0.3159183673</v>
      </c>
      <c r="I1825" t="n">
        <v>42</v>
      </c>
      <c r="J1825" t="n">
        <v>0</v>
      </c>
      <c r="K1825" t="inlineStr"/>
    </row>
    <row r="1826">
      <c r="A1826" t="inlineStr">
        <is>
          <t>VIVMIDA16TXS</t>
        </is>
      </c>
      <c r="B1826" t="inlineStr">
        <is>
          <t>VIVI ORIGINAL DAMA</t>
        </is>
      </c>
      <c r="C1826" t="inlineStr">
        <is>
          <t>Manufactura / Dama / P. Superiores</t>
        </is>
      </c>
      <c r="D1826" t="n">
        <v>8</v>
      </c>
      <c r="E1826" t="n">
        <v>262.19213971</v>
      </c>
      <c r="F1826" t="n">
        <v>0.8584528813375</v>
      </c>
      <c r="G1826" t="n">
        <v>6</v>
      </c>
      <c r="H1826" t="n">
        <v>4.303181706</v>
      </c>
      <c r="I1826" t="n">
        <v>0.8</v>
      </c>
      <c r="J1826" t="n">
        <v>2</v>
      </c>
      <c r="K1826" t="inlineStr"/>
    </row>
    <row r="1827">
      <c r="A1827" t="inlineStr">
        <is>
          <t>CLADFCA151TL</t>
        </is>
      </c>
      <c r="B1827" t="inlineStr">
        <is>
          <t>CLASICA ADVANCE CAB</t>
        </is>
      </c>
      <c r="C1827" t="inlineStr">
        <is>
          <t>Manufactura / Caballero / P. Superiores</t>
        </is>
      </c>
      <c r="D1827" t="n">
        <v>6</v>
      </c>
      <c r="E1827" t="n">
        <v>261.84690952</v>
      </c>
      <c r="F1827" t="n">
        <v>0.6943391418142857</v>
      </c>
      <c r="G1827" t="n">
        <v>1</v>
      </c>
      <c r="H1827" t="n">
        <v>15.51</v>
      </c>
      <c r="I1827" t="n">
        <v>0.6</v>
      </c>
      <c r="J1827" t="n">
        <v>4</v>
      </c>
      <c r="K1827" t="inlineStr"/>
    </row>
    <row r="1828">
      <c r="A1828" t="inlineStr">
        <is>
          <t>ADUMMDA11TS</t>
        </is>
      </c>
      <c r="B1828" t="inlineStr">
        <is>
          <t>ACTIVE DUO DAMA</t>
        </is>
      </c>
      <c r="C1828" t="inlineStr">
        <is>
          <t>Manufactura / Caballero / P. Superiores</t>
        </is>
      </c>
      <c r="D1828" t="n">
        <v>9</v>
      </c>
      <c r="E1828" t="n">
        <v>261.58827473</v>
      </c>
      <c r="F1828" t="n">
        <v>0.9374082032400001</v>
      </c>
      <c r="G1828" t="n">
        <v>4</v>
      </c>
      <c r="H1828" t="n">
        <v>3.19128</v>
      </c>
      <c r="I1828" t="n">
        <v>0.9</v>
      </c>
      <c r="J1828" t="n">
        <v>0</v>
      </c>
      <c r="K1828" t="inlineStr"/>
    </row>
    <row r="1829">
      <c r="A1829" t="inlineStr">
        <is>
          <t>MARMIKI70T14</t>
        </is>
      </c>
      <c r="B1829" t="inlineStr">
        <is>
          <t>MAR ORIGINAL KIDS</t>
        </is>
      </c>
      <c r="C1829" t="inlineStr">
        <is>
          <t>Manufactura / Kids / P. Superiores</t>
        </is>
      </c>
      <c r="D1829" t="n">
        <v>7</v>
      </c>
      <c r="E1829" t="n">
        <v>261.36822053</v>
      </c>
      <c r="F1829" t="n">
        <v>0.9114362176555555</v>
      </c>
      <c r="G1829" t="n">
        <v>1</v>
      </c>
      <c r="H1829" t="n">
        <v>3.168013332</v>
      </c>
      <c r="I1829" t="n">
        <v>0.7</v>
      </c>
      <c r="J1829" t="n">
        <v>0</v>
      </c>
      <c r="K1829" t="inlineStr"/>
    </row>
    <row r="1830">
      <c r="A1830" t="inlineStr">
        <is>
          <t>CCBHMDA151TXS</t>
        </is>
      </c>
      <c r="B1830" t="inlineStr">
        <is>
          <t>CLUB CLASICA DAMA</t>
        </is>
      </c>
      <c r="C1830" t="inlineStr">
        <is>
          <t>Manufactura / Dama / P. Superiores</t>
        </is>
      </c>
      <c r="D1830" t="n">
        <v>7</v>
      </c>
      <c r="E1830" t="n">
        <v>260.5</v>
      </c>
      <c r="F1830" t="n">
        <v>0.9769032921999999</v>
      </c>
      <c r="G1830" t="n">
        <v>10</v>
      </c>
      <c r="H1830" t="n">
        <v>1</v>
      </c>
      <c r="I1830" t="n">
        <v>0.7</v>
      </c>
      <c r="J1830" t="n">
        <v>0</v>
      </c>
      <c r="K1830" t="inlineStr"/>
    </row>
    <row r="1831">
      <c r="A1831" t="inlineStr">
        <is>
          <t>TMOFIDA66TL</t>
        </is>
      </c>
      <c r="B1831" t="inlineStr">
        <is>
          <t>TOP MOVA</t>
        </is>
      </c>
      <c r="C1831" t="inlineStr">
        <is>
          <t>Manufactura / Dama / P. Superiores</t>
        </is>
      </c>
      <c r="D1831" t="n">
        <v>5</v>
      </c>
      <c r="E1831" t="n">
        <v>260.11787062</v>
      </c>
      <c r="F1831" t="n">
        <v>0.8465030177999999</v>
      </c>
      <c r="G1831" t="n">
        <v>8</v>
      </c>
      <c r="H1831" t="n">
        <v>9.942967033</v>
      </c>
      <c r="I1831" t="n">
        <v>0.5</v>
      </c>
      <c r="J1831" t="n">
        <v>1</v>
      </c>
      <c r="K1831" t="inlineStr"/>
    </row>
    <row r="1832">
      <c r="A1832" t="inlineStr">
        <is>
          <t>CLADFCA70T2XL</t>
        </is>
      </c>
      <c r="B1832" t="inlineStr">
        <is>
          <t>CLASICA ADVANCE CAB</t>
        </is>
      </c>
      <c r="C1832" t="inlineStr">
        <is>
          <t>Manufactura / Caballero / P. Superiores</t>
        </is>
      </c>
      <c r="D1832" t="n">
        <v>5</v>
      </c>
      <c r="E1832" t="n">
        <v>258.95331854</v>
      </c>
      <c r="F1832" t="n">
        <v>0.6585670298714286</v>
      </c>
      <c r="G1832" t="n">
        <v>14</v>
      </c>
      <c r="H1832" t="n">
        <v>15.51</v>
      </c>
      <c r="I1832" t="n">
        <v>0.5</v>
      </c>
      <c r="J1832" t="n">
        <v>0</v>
      </c>
      <c r="K1832" t="inlineStr"/>
    </row>
    <row r="1833">
      <c r="A1833" t="inlineStr">
        <is>
          <t>SHOUNKI12T14</t>
        </is>
      </c>
      <c r="B1833" t="inlineStr">
        <is>
          <t>SHORT PLAYA KIDS</t>
        </is>
      </c>
      <c r="C1833" t="inlineStr">
        <is>
          <t>Manufactura / Kids / P. Inferiores</t>
        </is>
      </c>
      <c r="D1833" t="n">
        <v>8</v>
      </c>
      <c r="E1833" t="n">
        <v>258.92956722</v>
      </c>
      <c r="F1833" t="n">
        <v>0.8296429399181818</v>
      </c>
      <c r="G1833" t="n">
        <v>1</v>
      </c>
      <c r="H1833" t="n">
        <v>6.09</v>
      </c>
      <c r="I1833" t="n">
        <v>0.8</v>
      </c>
      <c r="J1833" t="n">
        <v>1</v>
      </c>
      <c r="K1833" t="inlineStr"/>
    </row>
    <row r="1834">
      <c r="A1834" t="inlineStr">
        <is>
          <t>MARMIKI11T1</t>
        </is>
      </c>
      <c r="B1834" t="inlineStr">
        <is>
          <t>MAR ORIGINAL KIDS</t>
        </is>
      </c>
      <c r="C1834" t="inlineStr">
        <is>
          <t>Manufactura / Kids / P. Superiores</t>
        </is>
      </c>
      <c r="D1834" t="n">
        <v>8</v>
      </c>
      <c r="E1834" t="n">
        <v>258.8451405</v>
      </c>
      <c r="F1834" t="n">
        <v>0.9003699405</v>
      </c>
      <c r="G1834" t="n">
        <v>0</v>
      </c>
      <c r="H1834" t="n">
        <v>3.168013332</v>
      </c>
      <c r="I1834" t="n">
        <v>0.8</v>
      </c>
      <c r="J1834" t="n">
        <v>5</v>
      </c>
      <c r="K1834" t="inlineStr">
        <is>
          <t>Sin stock</t>
        </is>
      </c>
    </row>
    <row r="1835">
      <c r="A1835" t="inlineStr">
        <is>
          <t>SHOUNKI23T4</t>
        </is>
      </c>
      <c r="B1835" t="inlineStr">
        <is>
          <t>SHORT PLAYA KIDS</t>
        </is>
      </c>
      <c r="C1835" t="inlineStr">
        <is>
          <t>Manufactura / Kids / P. Inferiores</t>
        </is>
      </c>
      <c r="D1835" t="n">
        <v>6</v>
      </c>
      <c r="E1835" t="n">
        <v>258.62578652</v>
      </c>
      <c r="F1835" t="n">
        <v>0.8523891869</v>
      </c>
      <c r="G1835" t="n">
        <v>37</v>
      </c>
      <c r="H1835" t="n">
        <v>6.09</v>
      </c>
      <c r="I1835" t="n">
        <v>0.6</v>
      </c>
      <c r="J1835" t="n">
        <v>0</v>
      </c>
      <c r="K1835" t="inlineStr"/>
    </row>
    <row r="1836">
      <c r="A1836" t="inlineStr">
        <is>
          <t>LMOFIDA10TXL</t>
        </is>
      </c>
      <c r="B1836" t="inlineStr">
        <is>
          <t>LEGGING MOVA</t>
        </is>
      </c>
      <c r="C1836" t="inlineStr">
        <is>
          <t>Manufactura / Dama / P. Inferiores</t>
        </is>
      </c>
      <c r="D1836" t="n">
        <v>3</v>
      </c>
      <c r="E1836" t="n">
        <v>258.33693401</v>
      </c>
      <c r="F1836" t="n">
        <v>0.7885883648999999</v>
      </c>
      <c r="G1836" t="n">
        <v>12</v>
      </c>
      <c r="H1836" t="n">
        <v>17.7</v>
      </c>
      <c r="I1836" t="n">
        <v>0.3</v>
      </c>
      <c r="J1836" t="n">
        <v>2</v>
      </c>
      <c r="K1836" t="inlineStr"/>
    </row>
    <row r="1837">
      <c r="A1837" t="inlineStr">
        <is>
          <t>CLAMEDA66TL</t>
        </is>
      </c>
      <c r="B1837" t="inlineStr">
        <is>
          <t>CLÁSICA SPORT DAMA</t>
        </is>
      </c>
      <c r="C1837" t="inlineStr">
        <is>
          <t>Manufactura / Dama / P. Superiores</t>
        </is>
      </c>
      <c r="D1837" t="n">
        <v>5</v>
      </c>
      <c r="E1837" t="n">
        <v>258.23740424</v>
      </c>
      <c r="F1837" t="n">
        <v>0.8703720802599999</v>
      </c>
      <c r="G1837" t="n">
        <v>1</v>
      </c>
      <c r="H1837" t="n">
        <v>6.536105769</v>
      </c>
      <c r="I1837" t="n">
        <v>0.5</v>
      </c>
      <c r="J1837" t="n">
        <v>3</v>
      </c>
      <c r="K1837" t="inlineStr"/>
    </row>
    <row r="1838">
      <c r="A1838" t="inlineStr">
        <is>
          <t>LMOFIDA31TS</t>
        </is>
      </c>
      <c r="B1838" t="inlineStr">
        <is>
          <t>LEGGING MOVA</t>
        </is>
      </c>
      <c r="C1838" t="inlineStr">
        <is>
          <t>Manufactura / Dama / P. Inferiores</t>
        </is>
      </c>
      <c r="D1838" t="n">
        <v>6</v>
      </c>
      <c r="E1838" t="n">
        <v>258.22617534</v>
      </c>
      <c r="F1838" t="n">
        <v>0.76065232962</v>
      </c>
      <c r="G1838" t="n">
        <v>22</v>
      </c>
      <c r="H1838" t="n">
        <v>17.7</v>
      </c>
      <c r="I1838" t="n">
        <v>0.6</v>
      </c>
      <c r="J1838" t="n">
        <v>2</v>
      </c>
      <c r="K1838" t="inlineStr"/>
    </row>
    <row r="1839">
      <c r="A1839" t="inlineStr">
        <is>
          <t>SHONTCA30TXL</t>
        </is>
      </c>
      <c r="B1839" t="inlineStr">
        <is>
          <t>EXPLORE SHORT CAB</t>
        </is>
      </c>
      <c r="C1839" t="inlineStr">
        <is>
          <t>Manufactura / Caballero / P. Inferiores</t>
        </is>
      </c>
      <c r="D1839" t="n">
        <v>6</v>
      </c>
      <c r="E1839" t="n">
        <v>257.95706275</v>
      </c>
      <c r="F1839" t="n">
        <v>0.741448206225</v>
      </c>
      <c r="G1839" t="n">
        <v>2</v>
      </c>
      <c r="H1839" t="n">
        <v>11.17</v>
      </c>
      <c r="I1839" t="n">
        <v>0.6</v>
      </c>
      <c r="J1839" t="n">
        <v>1</v>
      </c>
      <c r="K1839" t="inlineStr"/>
    </row>
    <row r="1840">
      <c r="A1840" t="inlineStr">
        <is>
          <t>RIOMIKI66T1</t>
        </is>
      </c>
      <c r="B1840" t="inlineStr">
        <is>
          <t>RIO ORIGINAL KIDS</t>
        </is>
      </c>
      <c r="C1840" t="inlineStr">
        <is>
          <t>Manufactura / Kids / P. Superiores</t>
        </is>
      </c>
      <c r="D1840" t="n">
        <v>6</v>
      </c>
      <c r="E1840" t="n">
        <v>257.77685178</v>
      </c>
      <c r="F1840" t="n">
        <v>0.9150755588999999</v>
      </c>
      <c r="G1840" t="n">
        <v>0</v>
      </c>
      <c r="H1840" t="n">
        <v>3.617969464</v>
      </c>
      <c r="I1840" t="n">
        <v>0.6</v>
      </c>
      <c r="J1840" t="n">
        <v>2</v>
      </c>
      <c r="K1840" t="inlineStr">
        <is>
          <t>Sin stock</t>
        </is>
      </c>
    </row>
    <row r="1841">
      <c r="A1841" t="inlineStr">
        <is>
          <t>SHOUNKI33T6</t>
        </is>
      </c>
      <c r="B1841" t="inlineStr">
        <is>
          <t>SHORT PLAYA KIDS</t>
        </is>
      </c>
      <c r="C1841" t="inlineStr">
        <is>
          <t>Manufactura / Kids / P. Inferiores</t>
        </is>
      </c>
      <c r="D1841" t="n">
        <v>7</v>
      </c>
      <c r="E1841" t="n">
        <v>257.517937</v>
      </c>
      <c r="F1841" t="n">
        <v>0.8505083270666667</v>
      </c>
      <c r="G1841" t="n">
        <v>20</v>
      </c>
      <c r="H1841" t="n">
        <v>6.089999999999999</v>
      </c>
      <c r="I1841" t="n">
        <v>0.7</v>
      </c>
      <c r="J1841" t="n">
        <v>2</v>
      </c>
      <c r="K1841" t="inlineStr"/>
    </row>
    <row r="1842">
      <c r="A1842" t="inlineStr">
        <is>
          <t>CLAMIKI66T12</t>
        </is>
      </c>
      <c r="B1842" t="inlineStr">
        <is>
          <t>CLASICA ORIGINAL KIDS</t>
        </is>
      </c>
      <c r="C1842" t="inlineStr">
        <is>
          <t>Manufactura / Kids / P. Superiores</t>
        </is>
      </c>
      <c r="D1842" t="n">
        <v>7</v>
      </c>
      <c r="E1842" t="n">
        <v>256.85738134</v>
      </c>
      <c r="F1842" t="n">
        <v>0.9421478679571429</v>
      </c>
      <c r="G1842" t="n">
        <v>34</v>
      </c>
      <c r="H1842" t="n">
        <v>2.053774806</v>
      </c>
      <c r="I1842" t="n">
        <v>0.7</v>
      </c>
      <c r="J1842" t="n">
        <v>0</v>
      </c>
      <c r="K1842" t="inlineStr"/>
    </row>
    <row r="1843">
      <c r="A1843" t="inlineStr">
        <is>
          <t>SABMEDA13TXS</t>
        </is>
      </c>
      <c r="B1843" t="inlineStr">
        <is>
          <t>SABRI SPORT DAMA</t>
        </is>
      </c>
      <c r="C1843" t="inlineStr">
        <is>
          <t>Manufactura / Dama / P. Superiores</t>
        </is>
      </c>
      <c r="D1843" t="n">
        <v>6</v>
      </c>
      <c r="E1843" t="n">
        <v>256.71301539</v>
      </c>
      <c r="F1843" t="n">
        <v>0.87862141585</v>
      </c>
      <c r="G1843" t="n">
        <v>22</v>
      </c>
      <c r="H1843" t="n">
        <v>4.51</v>
      </c>
      <c r="I1843" t="n">
        <v>0.6</v>
      </c>
      <c r="J1843" t="n">
        <v>3</v>
      </c>
      <c r="K1843" t="inlineStr"/>
    </row>
    <row r="1844">
      <c r="A1844" t="inlineStr">
        <is>
          <t>TMOFIDA31TL</t>
        </is>
      </c>
      <c r="B1844" t="inlineStr">
        <is>
          <t>TOP MOVA</t>
        </is>
      </c>
      <c r="C1844" t="inlineStr">
        <is>
          <t>Manufactura / Dama / P. Superiores</t>
        </is>
      </c>
      <c r="D1844" t="n">
        <v>7</v>
      </c>
      <c r="E1844" t="n">
        <v>256.65791221</v>
      </c>
      <c r="F1844" t="n">
        <v>0.80603833964</v>
      </c>
      <c r="G1844" t="n">
        <v>5</v>
      </c>
      <c r="H1844" t="n">
        <v>9.942967033</v>
      </c>
      <c r="I1844" t="n">
        <v>0.7</v>
      </c>
      <c r="J1844" t="n">
        <v>0</v>
      </c>
      <c r="K1844" t="inlineStr"/>
    </row>
    <row r="1845">
      <c r="A1845" t="inlineStr">
        <is>
          <t>MIKFNDA13TXL</t>
        </is>
      </c>
      <c r="B1845" t="inlineStr">
        <is>
          <t>MIKA SPORT LITE DAMA</t>
        </is>
      </c>
      <c r="C1845" t="inlineStr">
        <is>
          <t>Manufactura / Dama / P. Superiores</t>
        </is>
      </c>
      <c r="D1845" t="n">
        <v>6</v>
      </c>
      <c r="E1845" t="n">
        <v>256.63379639</v>
      </c>
      <c r="F1845" t="n">
        <v>0.8745996363375</v>
      </c>
      <c r="G1845" t="n">
        <v>21</v>
      </c>
      <c r="H1845" t="n">
        <v>5.484675344</v>
      </c>
      <c r="I1845" t="n">
        <v>0.6</v>
      </c>
      <c r="J1845" t="n">
        <v>0</v>
      </c>
      <c r="K1845" t="inlineStr"/>
    </row>
    <row r="1846">
      <c r="A1846" t="inlineStr">
        <is>
          <t>NAHFNCA16T2XL</t>
        </is>
      </c>
      <c r="B1846" t="inlineStr">
        <is>
          <t>NOAH SPORT LITE CAB</t>
        </is>
      </c>
      <c r="C1846" t="inlineStr">
        <is>
          <t>Manufactura / Caballero / P. Superiores</t>
        </is>
      </c>
      <c r="D1846" t="n">
        <v>7</v>
      </c>
      <c r="E1846" t="n">
        <v>256.41465677</v>
      </c>
      <c r="F1846" t="n">
        <v>0.4939670481428571</v>
      </c>
      <c r="G1846" t="n">
        <v>6</v>
      </c>
      <c r="H1846" t="n">
        <v>17.61141534</v>
      </c>
      <c r="I1846" t="n">
        <v>0.7</v>
      </c>
      <c r="J1846" t="n">
        <v>4</v>
      </c>
      <c r="K1846" t="inlineStr"/>
    </row>
    <row r="1847">
      <c r="A1847" t="inlineStr">
        <is>
          <t>TALGOTACA167TXS</t>
        </is>
      </c>
      <c r="B1847" t="inlineStr">
        <is>
          <t>URBAN COTTON OVERSIZED VINTAGE GRIS CAB</t>
        </is>
      </c>
      <c r="C1847" t="inlineStr">
        <is>
          <t>Manufactura / Caballero / P. Superiores</t>
        </is>
      </c>
      <c r="D1847" t="n">
        <v>4</v>
      </c>
      <c r="E1847" t="n">
        <v>256.24366625</v>
      </c>
      <c r="F1847" t="n">
        <v>0.8062052830499999</v>
      </c>
      <c r="G1847" t="n">
        <v>1</v>
      </c>
      <c r="H1847" t="n">
        <v>12.16179793</v>
      </c>
      <c r="I1847" t="n">
        <v>0.4</v>
      </c>
      <c r="J1847" t="n">
        <v>4</v>
      </c>
      <c r="K1847" t="inlineStr"/>
    </row>
    <row r="1848">
      <c r="A1848" t="inlineStr">
        <is>
          <t>TOA06ES</t>
        </is>
      </c>
      <c r="B1848" t="inlineStr">
        <is>
          <t>TOALLA ESTAMPADA</t>
        </is>
      </c>
      <c r="C1848" t="inlineStr">
        <is>
          <t>Equipamiento / Toallas</t>
        </is>
      </c>
      <c r="D1848" t="n">
        <v>8</v>
      </c>
      <c r="E1848" t="n">
        <v>256.18505625</v>
      </c>
      <c r="F1848" t="n">
        <v>0.79988559124</v>
      </c>
      <c r="G1848" t="n">
        <v>0</v>
      </c>
      <c r="H1848" t="n">
        <v>6.29</v>
      </c>
      <c r="I1848" t="n">
        <v>0.8</v>
      </c>
      <c r="J1848" t="n">
        <v>7</v>
      </c>
      <c r="K1848" t="inlineStr">
        <is>
          <t>Sin stock</t>
        </is>
      </c>
    </row>
    <row r="1849">
      <c r="A1849" t="inlineStr">
        <is>
          <t>SHUNTDA31TL</t>
        </is>
      </c>
      <c r="B1849" t="inlineStr">
        <is>
          <t>SHORT SPORT R1 DAMA</t>
        </is>
      </c>
      <c r="C1849" t="inlineStr">
        <is>
          <t>Manufactura / Dama / P. Inferiores</t>
        </is>
      </c>
      <c r="D1849" t="n">
        <v>5</v>
      </c>
      <c r="E1849" t="n">
        <v>255.28047959</v>
      </c>
      <c r="F1849" t="n">
        <v>0.83641785696</v>
      </c>
      <c r="G1849" t="n">
        <v>27</v>
      </c>
      <c r="H1849" t="n">
        <v>8.33</v>
      </c>
      <c r="I1849" t="n">
        <v>0.5</v>
      </c>
      <c r="J1849" t="n">
        <v>0</v>
      </c>
      <c r="K1849" t="inlineStr"/>
    </row>
    <row r="1850">
      <c r="A1850" t="inlineStr">
        <is>
          <t>SABMEDA43TL</t>
        </is>
      </c>
      <c r="B1850" t="inlineStr">
        <is>
          <t>SABRI SPORT DAMA</t>
        </is>
      </c>
      <c r="C1850" t="inlineStr">
        <is>
          <t>Manufactura / Dama / P. Superiores</t>
        </is>
      </c>
      <c r="D1850" t="n">
        <v>6</v>
      </c>
      <c r="E1850" t="n">
        <v>254.58231191</v>
      </c>
      <c r="F1850" t="n">
        <v>0.886952291725</v>
      </c>
      <c r="G1850" t="n">
        <v>16</v>
      </c>
      <c r="H1850" t="n">
        <v>4.51</v>
      </c>
      <c r="I1850" t="n">
        <v>0.6</v>
      </c>
      <c r="J1850" t="n">
        <v>0</v>
      </c>
      <c r="K1850" t="inlineStr"/>
    </row>
    <row r="1851">
      <c r="A1851" t="inlineStr">
        <is>
          <t>POR67EQ</t>
        </is>
      </c>
      <c r="B1851" t="inlineStr">
        <is>
          <t>PORTAVASOS</t>
        </is>
      </c>
      <c r="C1851" t="inlineStr">
        <is>
          <t>Equipamiento / Accesorios</t>
        </is>
      </c>
      <c r="D1851" t="n">
        <v>55</v>
      </c>
      <c r="E1851" t="n">
        <v>254.519874549</v>
      </c>
      <c r="F1851" t="n">
        <v>0.8211643798777778</v>
      </c>
      <c r="G1851" t="n">
        <v>91</v>
      </c>
      <c r="H1851" t="n">
        <v>1</v>
      </c>
      <c r="I1851" t="n">
        <v>5.5</v>
      </c>
      <c r="J1851" t="n">
        <v>1</v>
      </c>
      <c r="K1851" t="inlineStr"/>
    </row>
    <row r="1852">
      <c r="A1852" t="inlineStr">
        <is>
          <t>ZOEMIKI53T6</t>
        </is>
      </c>
      <c r="B1852" t="inlineStr">
        <is>
          <t>ZOE ORIGINAL KIDS</t>
        </is>
      </c>
      <c r="C1852" t="inlineStr">
        <is>
          <t>Manufactura / Kids / P. Superiores</t>
        </is>
      </c>
      <c r="D1852" t="n">
        <v>7</v>
      </c>
      <c r="E1852" t="n">
        <v>254.50087755</v>
      </c>
      <c r="F1852" t="n">
        <v>0.8850096343571429</v>
      </c>
      <c r="G1852" t="n">
        <v>5</v>
      </c>
      <c r="H1852" t="n">
        <v>4.12</v>
      </c>
      <c r="I1852" t="n">
        <v>0.7</v>
      </c>
      <c r="J1852" t="n">
        <v>0</v>
      </c>
      <c r="K1852" t="inlineStr"/>
    </row>
    <row r="1853">
      <c r="A1853" t="inlineStr">
        <is>
          <t>CLAMICA11TS</t>
        </is>
      </c>
      <c r="B1853" t="inlineStr">
        <is>
          <t>CLASICA ORIGINAL CAB</t>
        </is>
      </c>
      <c r="C1853" t="inlineStr">
        <is>
          <t>Manufactura / Caballero / P. Superiores</t>
        </is>
      </c>
      <c r="D1853" t="n">
        <v>51</v>
      </c>
      <c r="E1853" t="n">
        <v>253.51261185</v>
      </c>
      <c r="F1853" t="n">
        <v>0.8888216709875</v>
      </c>
      <c r="G1853" t="n">
        <v>5</v>
      </c>
      <c r="H1853" t="n">
        <v>4.598442536</v>
      </c>
      <c r="I1853" t="n">
        <v>5.1</v>
      </c>
      <c r="J1853" t="n">
        <v>0</v>
      </c>
      <c r="K1853" t="inlineStr"/>
    </row>
    <row r="1854">
      <c r="A1854" t="inlineStr">
        <is>
          <t>CLASTDA43TS</t>
        </is>
      </c>
      <c r="B1854" t="inlineStr">
        <is>
          <t>CLASICA ALGODON STRETCH DAMA</t>
        </is>
      </c>
      <c r="C1854" t="inlineStr">
        <is>
          <t>Manufactura / Dama / P. Superiores</t>
        </is>
      </c>
      <c r="D1854" t="n">
        <v>12</v>
      </c>
      <c r="E1854" t="n">
        <v>252.9821472</v>
      </c>
      <c r="F1854" t="n">
        <v>0.8167854905</v>
      </c>
      <c r="G1854" t="n">
        <v>0</v>
      </c>
      <c r="H1854" t="n">
        <v>9.27</v>
      </c>
      <c r="I1854" t="n">
        <v>1.2</v>
      </c>
      <c r="J1854" t="n">
        <v>1</v>
      </c>
      <c r="K1854" t="inlineStr">
        <is>
          <t>Sin stock</t>
        </is>
      </c>
    </row>
    <row r="1855">
      <c r="A1855" t="inlineStr">
        <is>
          <t>ANKCA16TU</t>
        </is>
      </c>
      <c r="B1855" t="inlineStr">
        <is>
          <t>ANKLE SOCKS CAB</t>
        </is>
      </c>
      <c r="C1855" t="inlineStr">
        <is>
          <t>Equipamiento / Accesorios</t>
        </is>
      </c>
      <c r="D1855" t="n">
        <v>18</v>
      </c>
      <c r="E1855" t="n">
        <v>252.512708845</v>
      </c>
      <c r="F1855" t="n">
        <v>0.8046515600466667</v>
      </c>
      <c r="G1855" t="n">
        <v>601</v>
      </c>
      <c r="H1855" t="n">
        <v>2.67</v>
      </c>
      <c r="I1855" t="n">
        <v>1.8</v>
      </c>
      <c r="J1855" t="n">
        <v>6</v>
      </c>
      <c r="K1855" t="inlineStr"/>
    </row>
    <row r="1856">
      <c r="A1856" t="inlineStr">
        <is>
          <t>PANNTKI30T6</t>
        </is>
      </c>
      <c r="B1856" t="inlineStr">
        <is>
          <t>EXPLORE PANTS KIDS</t>
        </is>
      </c>
      <c r="C1856" t="inlineStr">
        <is>
          <t>Manufactura / Kids / P. Inferiores</t>
        </is>
      </c>
      <c r="D1856" t="n">
        <v>5</v>
      </c>
      <c r="E1856" t="n">
        <v>252.48663824</v>
      </c>
      <c r="F1856" t="n">
        <v>0.71250082178</v>
      </c>
      <c r="G1856" t="n">
        <v>3</v>
      </c>
      <c r="H1856" t="n">
        <v>13.98</v>
      </c>
      <c r="I1856" t="n">
        <v>0.5</v>
      </c>
      <c r="J1856" t="n">
        <v>2</v>
      </c>
      <c r="K1856" t="inlineStr"/>
    </row>
    <row r="1857">
      <c r="A1857" t="inlineStr">
        <is>
          <t>MIKFNDA16T2XL</t>
        </is>
      </c>
      <c r="B1857" t="inlineStr">
        <is>
          <t>MIKA SPORT LITE DAMA</t>
        </is>
      </c>
      <c r="C1857" t="inlineStr">
        <is>
          <t>Manufactura / Dama / P. Superiores</t>
        </is>
      </c>
      <c r="D1857" t="n">
        <v>6</v>
      </c>
      <c r="E1857" t="n">
        <v>252.44569865</v>
      </c>
      <c r="F1857" t="n">
        <v>0.8655354448</v>
      </c>
      <c r="G1857" t="n">
        <v>17</v>
      </c>
      <c r="H1857" t="n">
        <v>5.484675344</v>
      </c>
      <c r="I1857" t="n">
        <v>0.6</v>
      </c>
      <c r="J1857" t="n">
        <v>1</v>
      </c>
      <c r="K1857" t="inlineStr"/>
    </row>
    <row r="1858">
      <c r="A1858" t="inlineStr">
        <is>
          <t>CLAMIKI16T4</t>
        </is>
      </c>
      <c r="B1858" t="inlineStr">
        <is>
          <t>CLASICA ORIGINAL KIDS</t>
        </is>
      </c>
      <c r="C1858" t="inlineStr">
        <is>
          <t>Manufactura / Kids / P. Superiores</t>
        </is>
      </c>
      <c r="D1858" t="n">
        <v>9</v>
      </c>
      <c r="E1858" t="n">
        <v>252.27696011</v>
      </c>
      <c r="F1858" t="n">
        <v>0.9208706376500001</v>
      </c>
      <c r="G1858" t="n">
        <v>52</v>
      </c>
      <c r="H1858" t="n">
        <v>2.053774806</v>
      </c>
      <c r="I1858" t="n">
        <v>0.9</v>
      </c>
      <c r="J1858" t="n">
        <v>2</v>
      </c>
      <c r="K1858" t="inlineStr"/>
    </row>
    <row r="1859">
      <c r="A1859" t="inlineStr">
        <is>
          <t>CCBHMCA03TXL</t>
        </is>
      </c>
      <c r="B1859" t="inlineStr">
        <is>
          <t>CLUB CLASICA CABALLERO</t>
        </is>
      </c>
      <c r="C1859" t="inlineStr">
        <is>
          <t>Manufactura / Caballero / P. Superiores</t>
        </is>
      </c>
      <c r="D1859" t="n">
        <v>6</v>
      </c>
      <c r="E1859" t="n">
        <v>252.1551721275495</v>
      </c>
      <c r="F1859" t="n">
        <v>0.9756916099428572</v>
      </c>
      <c r="G1859" t="n">
        <v>4</v>
      </c>
      <c r="H1859" t="n">
        <v>1</v>
      </c>
      <c r="I1859" t="n">
        <v>0.6</v>
      </c>
      <c r="J1859" t="n">
        <v>1</v>
      </c>
      <c r="K1859" t="inlineStr"/>
    </row>
    <row r="1860">
      <c r="A1860" t="inlineStr">
        <is>
          <t>GEOMACADA43TS</t>
        </is>
      </c>
      <c r="B1860" t="inlineStr">
        <is>
          <t>ADVANCE GEO MAYA DAMA</t>
        </is>
      </c>
      <c r="C1860" t="inlineStr">
        <is>
          <t>Manufactura / Dama / P. Superiores</t>
        </is>
      </c>
      <c r="D1860" t="n">
        <v>5</v>
      </c>
      <c r="E1860" t="n">
        <v>251.74579518</v>
      </c>
      <c r="F1860" t="n">
        <v>0.8768970449000001</v>
      </c>
      <c r="G1860" t="n">
        <v>42</v>
      </c>
      <c r="H1860" t="n">
        <v>10.33</v>
      </c>
      <c r="I1860" t="n">
        <v>0.5</v>
      </c>
      <c r="J1860" t="n">
        <v>3</v>
      </c>
      <c r="K1860" t="inlineStr"/>
    </row>
    <row r="1861">
      <c r="A1861" t="inlineStr">
        <is>
          <t>ZOEMIDA01TXS</t>
        </is>
      </c>
      <c r="B1861" t="inlineStr">
        <is>
          <t>ZOE ORIGINAL DAMA</t>
        </is>
      </c>
      <c r="C1861" t="inlineStr">
        <is>
          <t>Manufactura / Dama / P. Superiores</t>
        </is>
      </c>
      <c r="D1861" t="n">
        <v>6</v>
      </c>
      <c r="E1861" t="n">
        <v>251.69771056</v>
      </c>
      <c r="F1861" t="n">
        <v>0.9002345898833334</v>
      </c>
      <c r="G1861" t="n">
        <v>16</v>
      </c>
      <c r="H1861" t="n">
        <v>4.116585696</v>
      </c>
      <c r="I1861" t="n">
        <v>0.6</v>
      </c>
      <c r="J1861" t="n">
        <v>1</v>
      </c>
      <c r="K1861" t="inlineStr"/>
    </row>
    <row r="1862">
      <c r="A1862" t="inlineStr">
        <is>
          <t>MAYFNDA16TS</t>
        </is>
      </c>
      <c r="B1862" t="inlineStr">
        <is>
          <t>MAYA SPORT LITE DAMA</t>
        </is>
      </c>
      <c r="C1862" t="inlineStr">
        <is>
          <t>Manufactura / Dama / P. Superiores</t>
        </is>
      </c>
      <c r="D1862" t="n">
        <v>7</v>
      </c>
      <c r="E1862" t="n">
        <v>251.16017736</v>
      </c>
      <c r="F1862" t="n">
        <v>0.8839087748285713</v>
      </c>
      <c r="G1862" t="n">
        <v>2</v>
      </c>
      <c r="H1862" t="n">
        <v>3.87</v>
      </c>
      <c r="I1862" t="n">
        <v>0.7</v>
      </c>
      <c r="J1862" t="n">
        <v>5</v>
      </c>
      <c r="K1862" t="inlineStr"/>
    </row>
    <row r="1863">
      <c r="A1863" t="inlineStr">
        <is>
          <t>TMOFIDA66TXL</t>
        </is>
      </c>
      <c r="B1863" t="inlineStr">
        <is>
          <t>TOP MOVA</t>
        </is>
      </c>
      <c r="C1863" t="inlineStr">
        <is>
          <t>Manufactura / Dama / P. Superiores</t>
        </is>
      </c>
      <c r="D1863" t="n">
        <v>4</v>
      </c>
      <c r="E1863" t="n">
        <v>251.14535632</v>
      </c>
      <c r="F1863" t="n">
        <v>0.839116557325</v>
      </c>
      <c r="G1863" t="n">
        <v>8</v>
      </c>
      <c r="H1863" t="n">
        <v>9.942967033</v>
      </c>
      <c r="I1863" t="n">
        <v>0.4</v>
      </c>
      <c r="J1863" t="n">
        <v>0</v>
      </c>
      <c r="K1863" t="inlineStr"/>
    </row>
    <row r="1864">
      <c r="A1864" t="inlineStr">
        <is>
          <t>SARSPKI30T12</t>
        </is>
      </c>
      <c r="B1864" t="inlineStr">
        <is>
          <t>FALDA SARA KIDS</t>
        </is>
      </c>
      <c r="C1864" t="inlineStr">
        <is>
          <t>Manufactura / Kids / P. Inferiores</t>
        </is>
      </c>
      <c r="D1864" t="n">
        <v>6</v>
      </c>
      <c r="E1864" t="n">
        <v>251.05132878</v>
      </c>
      <c r="F1864" t="n">
        <v>0.8529551711166666</v>
      </c>
      <c r="G1864" t="n">
        <v>3</v>
      </c>
      <c r="H1864" t="n">
        <v>5.753743316</v>
      </c>
      <c r="I1864" t="n">
        <v>0.6</v>
      </c>
      <c r="J1864" t="n">
        <v>4</v>
      </c>
      <c r="K1864" t="inlineStr"/>
    </row>
    <row r="1865">
      <c r="A1865" t="inlineStr">
        <is>
          <t>SHOUNKI57T6</t>
        </is>
      </c>
      <c r="B1865" t="inlineStr">
        <is>
          <t>SHORT PLAYA KIDS</t>
        </is>
      </c>
      <c r="C1865" t="inlineStr">
        <is>
          <t>Manufactura / Kids / P. Inferiores</t>
        </is>
      </c>
      <c r="D1865" t="n">
        <v>6</v>
      </c>
      <c r="E1865" t="n">
        <v>250.85464801</v>
      </c>
      <c r="F1865" t="n">
        <v>0.851613111575</v>
      </c>
      <c r="G1865" t="n">
        <v>27</v>
      </c>
      <c r="H1865" t="n">
        <v>6.09</v>
      </c>
      <c r="I1865" t="n">
        <v>0.6</v>
      </c>
      <c r="J1865" t="n">
        <v>1</v>
      </c>
      <c r="K1865" t="inlineStr"/>
    </row>
    <row r="1866">
      <c r="A1866" t="inlineStr">
        <is>
          <t>MARMICA66T3XL</t>
        </is>
      </c>
      <c r="B1866" t="inlineStr">
        <is>
          <t>MAR ORIGINAL CAB</t>
        </is>
      </c>
      <c r="C1866" t="inlineStr">
        <is>
          <t>Manufactura / Caballero / P. Superiores</t>
        </is>
      </c>
      <c r="D1866" t="n">
        <v>5</v>
      </c>
      <c r="E1866" t="n">
        <v>250.83588264</v>
      </c>
      <c r="F1866" t="n">
        <v>0.8977460661000001</v>
      </c>
      <c r="G1866" t="n">
        <v>5</v>
      </c>
      <c r="H1866" t="n">
        <v>4.946357428</v>
      </c>
      <c r="I1866" t="n">
        <v>0.5</v>
      </c>
      <c r="J1866" t="n">
        <v>1</v>
      </c>
      <c r="K1866" t="inlineStr"/>
    </row>
    <row r="1867">
      <c r="A1867" t="inlineStr">
        <is>
          <t>PANNTKI30T4</t>
        </is>
      </c>
      <c r="B1867" t="inlineStr">
        <is>
          <t>EXPLORE PANTS KIDS</t>
        </is>
      </c>
      <c r="C1867" t="inlineStr">
        <is>
          <t>Manufactura / Kids / P. Inferiores</t>
        </is>
      </c>
      <c r="D1867" t="n">
        <v>4</v>
      </c>
      <c r="E1867" t="n">
        <v>250.21444921</v>
      </c>
      <c r="F1867" t="n">
        <v>0.76350069865</v>
      </c>
      <c r="G1867" t="n">
        <v>5</v>
      </c>
      <c r="H1867" t="n">
        <v>13.98</v>
      </c>
      <c r="I1867" t="n">
        <v>0.4</v>
      </c>
      <c r="J1867" t="n">
        <v>3</v>
      </c>
      <c r="K1867" t="inlineStr"/>
    </row>
    <row r="1868">
      <c r="A1868" t="inlineStr">
        <is>
          <t>TALGOTACA166TL</t>
        </is>
      </c>
      <c r="B1868" t="inlineStr">
        <is>
          <t>URBAN COTTON OVERSIZED HORIZONTE CAB</t>
        </is>
      </c>
      <c r="C1868" t="inlineStr">
        <is>
          <t>Manufactura / Caballero / P. Superiores</t>
        </is>
      </c>
      <c r="D1868" t="n">
        <v>9</v>
      </c>
      <c r="E1868" t="n">
        <v>249.70646731</v>
      </c>
      <c r="F1868" t="n">
        <v>0.7677077795428572</v>
      </c>
      <c r="G1868" t="n">
        <v>25</v>
      </c>
      <c r="H1868" t="n">
        <v>11.06389452</v>
      </c>
      <c r="I1868" t="n">
        <v>0.9</v>
      </c>
      <c r="J1868" t="n">
        <v>2</v>
      </c>
      <c r="K1868" t="inlineStr"/>
    </row>
    <row r="1869">
      <c r="A1869" t="inlineStr">
        <is>
          <t>RIOMIDA14TL</t>
        </is>
      </c>
      <c r="B1869" t="inlineStr">
        <is>
          <t>RIO ORIGINAL DAMA</t>
        </is>
      </c>
      <c r="C1869" t="inlineStr">
        <is>
          <t>Manufactura / Dama / P. Superiores</t>
        </is>
      </c>
      <c r="D1869" t="n">
        <v>5</v>
      </c>
      <c r="E1869" t="n">
        <v>249.38196678</v>
      </c>
      <c r="F1869" t="n">
        <v>0.8885011039249999</v>
      </c>
      <c r="G1869" t="n">
        <v>0</v>
      </c>
      <c r="H1869" t="n">
        <v>5.538832275</v>
      </c>
      <c r="I1869" t="n">
        <v>0.5</v>
      </c>
      <c r="J1869" t="n">
        <v>8</v>
      </c>
      <c r="K1869" t="inlineStr">
        <is>
          <t>Sin stock</t>
        </is>
      </c>
    </row>
    <row r="1870">
      <c r="A1870" t="inlineStr">
        <is>
          <t>SHONTCA33TM</t>
        </is>
      </c>
      <c r="B1870" t="inlineStr">
        <is>
          <t>EXPLORE SHORT CAB</t>
        </is>
      </c>
      <c r="C1870" t="inlineStr">
        <is>
          <t>Manufactura / Caballero / P. Inferiores</t>
        </is>
      </c>
      <c r="D1870" t="n">
        <v>6</v>
      </c>
      <c r="E1870" t="n">
        <v>249.08977778</v>
      </c>
      <c r="F1870" t="n">
        <v>0.77472198594</v>
      </c>
      <c r="G1870" t="n">
        <v>0</v>
      </c>
      <c r="H1870" t="n">
        <v>11.17</v>
      </c>
      <c r="I1870" t="n">
        <v>0.6</v>
      </c>
      <c r="J1870" t="n">
        <v>7</v>
      </c>
      <c r="K1870" t="inlineStr">
        <is>
          <t>Sin stock</t>
        </is>
      </c>
    </row>
    <row r="1871">
      <c r="A1871" t="inlineStr">
        <is>
          <t>CLAMEDA43TL</t>
        </is>
      </c>
      <c r="B1871" t="inlineStr">
        <is>
          <t>CLÁSICA SPORT DAMA</t>
        </is>
      </c>
      <c r="C1871" t="inlineStr">
        <is>
          <t>Manufactura / Dama / P. Superiores</t>
        </is>
      </c>
      <c r="D1871" t="n">
        <v>7</v>
      </c>
      <c r="E1871" t="n">
        <v>248.52469038</v>
      </c>
      <c r="F1871" t="n">
        <v>0.86661290476</v>
      </c>
      <c r="G1871" t="n">
        <v>0</v>
      </c>
      <c r="H1871" t="n">
        <v>6.536105769</v>
      </c>
      <c r="I1871" t="n">
        <v>0.7</v>
      </c>
      <c r="J1871" t="n">
        <v>0</v>
      </c>
      <c r="K1871" t="inlineStr">
        <is>
          <t>Sin stock</t>
        </is>
      </c>
    </row>
    <row r="1872">
      <c r="A1872" t="inlineStr">
        <is>
          <t>ELT79E750ML</t>
        </is>
      </c>
      <c r="B1872" t="inlineStr">
        <is>
          <t>KAMBUKKA ELTON 750 ML</t>
        </is>
      </c>
      <c r="C1872" t="inlineStr">
        <is>
          <t>Equipamiento / Cava</t>
        </is>
      </c>
      <c r="D1872" t="n">
        <v>9</v>
      </c>
      <c r="E1872" t="n">
        <v>248.19241942</v>
      </c>
      <c r="F1872" t="n">
        <v>0.49329862832</v>
      </c>
      <c r="G1872" t="n">
        <v>2</v>
      </c>
      <c r="H1872" t="n">
        <v>24.5</v>
      </c>
      <c r="I1872" t="n">
        <v>0.9</v>
      </c>
      <c r="J1872" t="n">
        <v>4</v>
      </c>
      <c r="K1872" t="inlineStr"/>
    </row>
    <row r="1873">
      <c r="A1873" t="inlineStr">
        <is>
          <t>MAFMIDA01TXS</t>
        </is>
      </c>
      <c r="B1873" t="inlineStr">
        <is>
          <t>MAFE ORIGINAL DAMA</t>
        </is>
      </c>
      <c r="C1873" t="inlineStr">
        <is>
          <t>Manufactura / Dama / P. Superiores</t>
        </is>
      </c>
      <c r="D1873" t="n">
        <v>8</v>
      </c>
      <c r="E1873" t="n">
        <v>248.00372039</v>
      </c>
      <c r="F1873" t="n">
        <v>0.8452849880125</v>
      </c>
      <c r="G1873" t="n">
        <v>4</v>
      </c>
      <c r="H1873" t="n">
        <v>4.54817671</v>
      </c>
      <c r="I1873" t="n">
        <v>0.8</v>
      </c>
      <c r="J1873" t="n">
        <v>1</v>
      </c>
      <c r="K1873" t="inlineStr"/>
    </row>
    <row r="1874">
      <c r="A1874" t="inlineStr">
        <is>
          <t>SHOUNKI12T4</t>
        </is>
      </c>
      <c r="B1874" t="inlineStr">
        <is>
          <t>SHORT PLAYA KIDS</t>
        </is>
      </c>
      <c r="C1874" t="inlineStr">
        <is>
          <t>Manufactura / Kids / P. Inferiores</t>
        </is>
      </c>
      <c r="D1874" t="n">
        <v>6</v>
      </c>
      <c r="E1874" t="n">
        <v>247.96784572</v>
      </c>
      <c r="F1874" t="n">
        <v>0.8424477234375001</v>
      </c>
      <c r="G1874" t="n">
        <v>31</v>
      </c>
      <c r="H1874" t="n">
        <v>6.09</v>
      </c>
      <c r="I1874" t="n">
        <v>0.6</v>
      </c>
      <c r="J1874" t="n">
        <v>3</v>
      </c>
      <c r="K1874" t="inlineStr"/>
    </row>
    <row r="1875">
      <c r="A1875" t="inlineStr">
        <is>
          <t>RIOMIDA53TS</t>
        </is>
      </c>
      <c r="B1875" t="inlineStr">
        <is>
          <t>RIO ORIGINAL DAMA</t>
        </is>
      </c>
      <c r="C1875" t="inlineStr">
        <is>
          <t>Manufactura / Dama / P. Superiores</t>
        </is>
      </c>
      <c r="D1875" t="n">
        <v>5</v>
      </c>
      <c r="E1875" t="n">
        <v>247.36596413</v>
      </c>
      <c r="F1875" t="n">
        <v>0.8864488983000001</v>
      </c>
      <c r="G1875" t="n">
        <v>7</v>
      </c>
      <c r="H1875" t="n">
        <v>5.538832275</v>
      </c>
      <c r="I1875" t="n">
        <v>0.5</v>
      </c>
      <c r="J1875" t="n">
        <v>7</v>
      </c>
      <c r="K1875" t="inlineStr"/>
    </row>
    <row r="1876">
      <c r="A1876" t="inlineStr">
        <is>
          <t>CCBHMCA03TL</t>
        </is>
      </c>
      <c r="B1876" t="inlineStr">
        <is>
          <t>CLUB CLASICA CABALLERO</t>
        </is>
      </c>
      <c r="C1876" t="inlineStr">
        <is>
          <t>Manufactura / Caballero / P. Superiores</t>
        </is>
      </c>
      <c r="D1876" t="n">
        <v>9</v>
      </c>
      <c r="E1876" t="n">
        <v>247.1288655691753</v>
      </c>
      <c r="F1876" t="n">
        <v>0.9740432740333334</v>
      </c>
      <c r="G1876" t="n">
        <v>12</v>
      </c>
      <c r="H1876" t="n">
        <v>1</v>
      </c>
      <c r="I1876" t="n">
        <v>0.9</v>
      </c>
      <c r="J1876" t="n">
        <v>1</v>
      </c>
      <c r="K1876" t="inlineStr"/>
    </row>
    <row r="1877">
      <c r="A1877" t="inlineStr">
        <is>
          <t>TALGOTADA170TS</t>
        </is>
      </c>
      <c r="B1877" t="inlineStr">
        <is>
          <t>URBAN COTTON TOP VINTAGE GRIS DAMA</t>
        </is>
      </c>
      <c r="C1877" t="inlineStr">
        <is>
          <t>Manufactura / Dama / P. Superiores</t>
        </is>
      </c>
      <c r="D1877" t="n">
        <v>6</v>
      </c>
      <c r="E1877" t="n">
        <v>246.51672301</v>
      </c>
      <c r="F1877" t="n">
        <v>0.84744673616</v>
      </c>
      <c r="G1877" t="n">
        <v>7</v>
      </c>
      <c r="H1877" t="n">
        <v>7.819069274</v>
      </c>
      <c r="I1877" t="n">
        <v>0.6</v>
      </c>
      <c r="J1877" t="n">
        <v>2</v>
      </c>
      <c r="K1877" t="inlineStr"/>
    </row>
    <row r="1878">
      <c r="A1878" t="inlineStr">
        <is>
          <t>SHOUNCA29TM</t>
        </is>
      </c>
      <c r="B1878" t="inlineStr">
        <is>
          <t>SHORT PLAYA CAB</t>
        </is>
      </c>
      <c r="C1878" t="inlineStr">
        <is>
          <t>Manufactura / Caballero / P. Inferiores</t>
        </is>
      </c>
      <c r="D1878" t="n">
        <v>6</v>
      </c>
      <c r="E1878" t="n">
        <v>245.2179699422079</v>
      </c>
      <c r="F1878" t="n">
        <v>0.7250016587125</v>
      </c>
      <c r="G1878" t="n">
        <v>0</v>
      </c>
      <c r="H1878" t="n">
        <v>9.99</v>
      </c>
      <c r="I1878" t="n">
        <v>0.6</v>
      </c>
      <c r="J1878" t="n">
        <v>1</v>
      </c>
      <c r="K1878" t="inlineStr">
        <is>
          <t>Sin stock</t>
        </is>
      </c>
    </row>
    <row r="1879">
      <c r="A1879" t="inlineStr">
        <is>
          <t>TMOFIDA12TL</t>
        </is>
      </c>
      <c r="B1879" t="inlineStr">
        <is>
          <t>TOP MOVA</t>
        </is>
      </c>
      <c r="C1879" t="inlineStr">
        <is>
          <t>Manufactura / Dama / P. Superiores</t>
        </is>
      </c>
      <c r="D1879" t="n">
        <v>5</v>
      </c>
      <c r="E1879" t="n">
        <v>245.19460585</v>
      </c>
      <c r="F1879" t="n">
        <v>0.83466728095</v>
      </c>
      <c r="G1879" t="n">
        <v>10</v>
      </c>
      <c r="H1879" t="n">
        <v>9.942967033</v>
      </c>
      <c r="I1879" t="n">
        <v>0.5</v>
      </c>
      <c r="J1879" t="n">
        <v>1</v>
      </c>
      <c r="K1879" t="inlineStr"/>
    </row>
    <row r="1880">
      <c r="A1880" t="inlineStr">
        <is>
          <t>ADUMMDA16TL</t>
        </is>
      </c>
      <c r="B1880" t="inlineStr">
        <is>
          <t>ACTIVE DUO DAMA</t>
        </is>
      </c>
      <c r="C1880" t="inlineStr">
        <is>
          <t>Manufactura / Caballero / P. Superiores</t>
        </is>
      </c>
      <c r="D1880" t="n">
        <v>6</v>
      </c>
      <c r="E1880" t="n">
        <v>245.04922951</v>
      </c>
      <c r="F1880" t="n">
        <v>0.9282964355000001</v>
      </c>
      <c r="G1880" t="n">
        <v>14</v>
      </c>
      <c r="H1880" t="n">
        <v>3.19128</v>
      </c>
      <c r="I1880" t="n">
        <v>0.6</v>
      </c>
      <c r="J1880" t="n">
        <v>1</v>
      </c>
      <c r="K1880" t="inlineStr"/>
    </row>
    <row r="1881">
      <c r="A1881" t="inlineStr">
        <is>
          <t>ZOEMIDA50TL</t>
        </is>
      </c>
      <c r="B1881" t="inlineStr">
        <is>
          <t>ZOE ORIGINAL DAMA</t>
        </is>
      </c>
      <c r="C1881" t="inlineStr">
        <is>
          <t>Manufactura / Dama / P. Superiores</t>
        </is>
      </c>
      <c r="D1881" t="n">
        <v>6</v>
      </c>
      <c r="E1881" t="n">
        <v>244.70512781</v>
      </c>
      <c r="F1881" t="n">
        <v>0.8979246325166667</v>
      </c>
      <c r="G1881" t="n">
        <v>14</v>
      </c>
      <c r="H1881" t="n">
        <v>4.116585696</v>
      </c>
      <c r="I1881" t="n">
        <v>0.6</v>
      </c>
      <c r="J1881" t="n">
        <v>0</v>
      </c>
      <c r="K1881" t="inlineStr"/>
    </row>
    <row r="1882">
      <c r="A1882" t="inlineStr">
        <is>
          <t>SHOSUKI153T1</t>
        </is>
      </c>
      <c r="B1882" t="inlineStr">
        <is>
          <t>SHORT PLAYA ESTAMPADO KIDS</t>
        </is>
      </c>
      <c r="C1882" t="inlineStr">
        <is>
          <t>Manufactura / Kids / P. Superiores</t>
        </is>
      </c>
      <c r="D1882" t="n">
        <v>6</v>
      </c>
      <c r="E1882" t="n">
        <v>244.33528671</v>
      </c>
      <c r="F1882" t="n">
        <v>0.8193951051799999</v>
      </c>
      <c r="G1882" t="n">
        <v>20</v>
      </c>
      <c r="H1882" t="n">
        <v>7.209999999999999</v>
      </c>
      <c r="I1882" t="n">
        <v>0.6</v>
      </c>
      <c r="J1882" t="n">
        <v>2</v>
      </c>
      <c r="K1882" t="inlineStr"/>
    </row>
    <row r="1883">
      <c r="A1883" t="inlineStr">
        <is>
          <t>SHOUNKI13T1</t>
        </is>
      </c>
      <c r="B1883" t="inlineStr">
        <is>
          <t>SHORT PLAYA KIDS</t>
        </is>
      </c>
      <c r="C1883" t="inlineStr">
        <is>
          <t>Manufactura / Kids / P. Inferiores</t>
        </is>
      </c>
      <c r="D1883" t="n">
        <v>6</v>
      </c>
      <c r="E1883" t="n">
        <v>243.95803999</v>
      </c>
      <c r="F1883" t="n">
        <v>0.837702369725</v>
      </c>
      <c r="G1883" t="n">
        <v>17</v>
      </c>
      <c r="H1883" t="n">
        <v>6.09</v>
      </c>
      <c r="I1883" t="n">
        <v>0.6</v>
      </c>
      <c r="J1883" t="n">
        <v>1</v>
      </c>
      <c r="K1883" t="inlineStr"/>
    </row>
    <row r="1884">
      <c r="A1884" t="inlineStr">
        <is>
          <t>SHOUNKI68T8</t>
        </is>
      </c>
      <c r="B1884" t="inlineStr">
        <is>
          <t>SHORT PLAYA KIDS</t>
        </is>
      </c>
      <c r="C1884" t="inlineStr">
        <is>
          <t>Manufactura / Kids / P. Inferiores</t>
        </is>
      </c>
      <c r="D1884" t="n">
        <v>6</v>
      </c>
      <c r="E1884" t="n">
        <v>243.86214864</v>
      </c>
      <c r="F1884" t="n">
        <v>0.8448457807333334</v>
      </c>
      <c r="G1884" t="n">
        <v>34</v>
      </c>
      <c r="H1884" t="n">
        <v>6.09</v>
      </c>
      <c r="I1884" t="n">
        <v>0.6</v>
      </c>
      <c r="J1884" t="n">
        <v>2</v>
      </c>
      <c r="K1884" t="inlineStr"/>
    </row>
    <row r="1885">
      <c r="A1885" t="inlineStr">
        <is>
          <t>ANMSUDA119TS</t>
        </is>
      </c>
      <c r="B1885" t="inlineStr">
        <is>
          <t>ANDRE MOTION DAMA</t>
        </is>
      </c>
      <c r="C1885" t="inlineStr">
        <is>
          <t>Manufactura / Dama / P. Superiores</t>
        </is>
      </c>
      <c r="D1885" t="n">
        <v>8</v>
      </c>
      <c r="E1885" t="n">
        <v>242.61909507</v>
      </c>
      <c r="F1885" t="n">
        <v>0.7286407976333334</v>
      </c>
      <c r="G1885" t="n">
        <v>2</v>
      </c>
      <c r="H1885" t="n">
        <v>10.6</v>
      </c>
      <c r="I1885" t="n">
        <v>0.8</v>
      </c>
      <c r="J1885" t="n">
        <v>3</v>
      </c>
      <c r="K1885" t="inlineStr"/>
    </row>
    <row r="1886">
      <c r="A1886" t="inlineStr">
        <is>
          <t>ANDMIDA04TXS</t>
        </is>
      </c>
      <c r="B1886" t="inlineStr">
        <is>
          <t>ANDRE ORIGINAL DAMA</t>
        </is>
      </c>
      <c r="C1886" t="inlineStr">
        <is>
          <t>Manufactura / Dama / P. Superiores</t>
        </is>
      </c>
      <c r="D1886" t="n">
        <v>6</v>
      </c>
      <c r="E1886" t="n">
        <v>242.44097327</v>
      </c>
      <c r="F1886" t="n">
        <v>0.9175239699200001</v>
      </c>
      <c r="G1886" t="n">
        <v>15</v>
      </c>
      <c r="H1886" t="n">
        <v>3.274295302</v>
      </c>
      <c r="I1886" t="n">
        <v>0.6</v>
      </c>
      <c r="J1886" t="n">
        <v>2</v>
      </c>
      <c r="K1886" t="inlineStr"/>
    </row>
    <row r="1887">
      <c r="A1887" t="inlineStr">
        <is>
          <t>SHOUNCA33TL</t>
        </is>
      </c>
      <c r="B1887" t="inlineStr">
        <is>
          <t>SHORT PLAYA CAB</t>
        </is>
      </c>
      <c r="C1887" t="inlineStr">
        <is>
          <t>Manufactura / Caballero / P. Inferiores</t>
        </is>
      </c>
      <c r="D1887" t="n">
        <v>6</v>
      </c>
      <c r="E1887" t="n">
        <v>241.852813</v>
      </c>
      <c r="F1887" t="n">
        <v>0.7512049292166667</v>
      </c>
      <c r="G1887" t="n">
        <v>0</v>
      </c>
      <c r="H1887" t="n">
        <v>9.99</v>
      </c>
      <c r="I1887" t="n">
        <v>0.6</v>
      </c>
      <c r="J1887" t="n">
        <v>8</v>
      </c>
      <c r="K1887" t="inlineStr">
        <is>
          <t>Sin stock</t>
        </is>
      </c>
    </row>
    <row r="1888">
      <c r="A1888" t="inlineStr">
        <is>
          <t>ZOEMIKI16T14</t>
        </is>
      </c>
      <c r="B1888" t="inlineStr">
        <is>
          <t>ZOE ORIGINAL KIDS</t>
        </is>
      </c>
      <c r="C1888" t="inlineStr">
        <is>
          <t>Manufactura / Kids / P. Superiores</t>
        </is>
      </c>
      <c r="D1888" t="n">
        <v>7</v>
      </c>
      <c r="E1888" t="n">
        <v>241.57433261</v>
      </c>
      <c r="F1888" t="n">
        <v>0.8829796174333333</v>
      </c>
      <c r="G1888" t="n">
        <v>16</v>
      </c>
      <c r="H1888" t="n">
        <v>4.12</v>
      </c>
      <c r="I1888" t="n">
        <v>0.7</v>
      </c>
      <c r="J1888" t="n">
        <v>1</v>
      </c>
      <c r="K1888" t="inlineStr"/>
    </row>
    <row r="1889">
      <c r="A1889" t="inlineStr">
        <is>
          <t>MAFMIDA48TXL</t>
        </is>
      </c>
      <c r="B1889" t="inlineStr">
        <is>
          <t>MAFE ORIGINAL DAMA</t>
        </is>
      </c>
      <c r="C1889" t="inlineStr">
        <is>
          <t>Manufactura / Dama / P. Superiores</t>
        </is>
      </c>
      <c r="D1889" t="n">
        <v>8</v>
      </c>
      <c r="E1889" t="n">
        <v>240.76974583</v>
      </c>
      <c r="F1889" t="n">
        <v>0.8440722084375</v>
      </c>
      <c r="G1889" t="n">
        <v>22</v>
      </c>
      <c r="H1889" t="n">
        <v>4.54817671</v>
      </c>
      <c r="I1889" t="n">
        <v>0.8</v>
      </c>
      <c r="J1889" t="n">
        <v>1</v>
      </c>
      <c r="K1889" t="inlineStr"/>
    </row>
    <row r="1890">
      <c r="A1890" t="inlineStr">
        <is>
          <t>CLAMICA11TL</t>
        </is>
      </c>
      <c r="B1890" t="inlineStr">
        <is>
          <t>CLASICA ORIGINAL CAB</t>
        </is>
      </c>
      <c r="C1890" t="inlineStr">
        <is>
          <t>Manufactura / Caballero / P. Superiores</t>
        </is>
      </c>
      <c r="D1890" t="n">
        <v>56</v>
      </c>
      <c r="E1890" t="n">
        <v>240.37989538</v>
      </c>
      <c r="F1890" t="n">
        <v>0.8837122254666667</v>
      </c>
      <c r="G1890" t="n">
        <v>0</v>
      </c>
      <c r="H1890" t="n">
        <v>4.598442536</v>
      </c>
      <c r="I1890" t="n">
        <v>5.6</v>
      </c>
      <c r="J1890" t="n">
        <v>0</v>
      </c>
      <c r="K1890" t="inlineStr">
        <is>
          <t>Sin stock</t>
        </is>
      </c>
    </row>
    <row r="1891">
      <c r="A1891" t="inlineStr">
        <is>
          <t>SHOUNCA186TS</t>
        </is>
      </c>
      <c r="B1891" t="inlineStr">
        <is>
          <t>SHORT PLAYA CAB</t>
        </is>
      </c>
      <c r="C1891" t="inlineStr">
        <is>
          <t>Manufactura / Caballero / P. Inferiores</t>
        </is>
      </c>
      <c r="D1891" t="n">
        <v>6</v>
      </c>
      <c r="E1891" t="n">
        <v>240.30261598</v>
      </c>
      <c r="F1891" t="n">
        <v>0.7877606820199999</v>
      </c>
      <c r="G1891" t="n">
        <v>52</v>
      </c>
      <c r="H1891" t="n">
        <v>9.99</v>
      </c>
      <c r="I1891" t="n">
        <v>0.6</v>
      </c>
      <c r="J1891" t="n">
        <v>0</v>
      </c>
      <c r="K1891" t="inlineStr"/>
    </row>
    <row r="1892">
      <c r="A1892" t="inlineStr">
        <is>
          <t>RIOMIKI01T1</t>
        </is>
      </c>
      <c r="B1892" t="inlineStr">
        <is>
          <t>RIO ORIGINAL KIDS</t>
        </is>
      </c>
      <c r="C1892" t="inlineStr">
        <is>
          <t>Manufactura / Kids / P. Superiores</t>
        </is>
      </c>
      <c r="D1892" t="n">
        <v>6</v>
      </c>
      <c r="E1892" t="n">
        <v>239.64419654</v>
      </c>
      <c r="F1892" t="n">
        <v>0.9083260393166667</v>
      </c>
      <c r="G1892" t="n">
        <v>0</v>
      </c>
      <c r="H1892" t="n">
        <v>3.617969464</v>
      </c>
      <c r="I1892" t="n">
        <v>0.6</v>
      </c>
      <c r="J1892" t="n">
        <v>5</v>
      </c>
      <c r="K1892" t="inlineStr">
        <is>
          <t>Sin stock</t>
        </is>
      </c>
    </row>
    <row r="1893">
      <c r="A1893" t="inlineStr">
        <is>
          <t>MIKFNDA16TXL</t>
        </is>
      </c>
      <c r="B1893" t="inlineStr">
        <is>
          <t>MIKA SPORT LITE DAMA</t>
        </is>
      </c>
      <c r="C1893" t="inlineStr">
        <is>
          <t>Manufactura / Dama / P. Superiores</t>
        </is>
      </c>
      <c r="D1893" t="n">
        <v>8</v>
      </c>
      <c r="E1893" t="n">
        <v>238.59679723</v>
      </c>
      <c r="F1893" t="n">
        <v>0.8556618639166667</v>
      </c>
      <c r="G1893" t="n">
        <v>26</v>
      </c>
      <c r="H1893" t="n">
        <v>5.484675344</v>
      </c>
      <c r="I1893" t="n">
        <v>0.8</v>
      </c>
      <c r="J1893" t="n">
        <v>2</v>
      </c>
      <c r="K1893" t="inlineStr"/>
    </row>
    <row r="1894">
      <c r="A1894" t="inlineStr">
        <is>
          <t>ZOEMIKI53T8</t>
        </is>
      </c>
      <c r="B1894" t="inlineStr">
        <is>
          <t>ZOE ORIGINAL KIDS</t>
        </is>
      </c>
      <c r="C1894" t="inlineStr">
        <is>
          <t>Manufactura / Kids / P. Superiores</t>
        </is>
      </c>
      <c r="D1894" t="n">
        <v>6</v>
      </c>
      <c r="E1894" t="n">
        <v>236.93873283</v>
      </c>
      <c r="F1894" t="n">
        <v>0.8899562362666668</v>
      </c>
      <c r="G1894" t="n">
        <v>0</v>
      </c>
      <c r="H1894" t="n">
        <v>4.12</v>
      </c>
      <c r="I1894" t="n">
        <v>0.6</v>
      </c>
      <c r="J1894" t="n">
        <v>1</v>
      </c>
      <c r="K1894" t="inlineStr">
        <is>
          <t>Sin stock</t>
        </is>
      </c>
    </row>
    <row r="1895">
      <c r="A1895" t="inlineStr">
        <is>
          <t>ETN100E500ML</t>
        </is>
      </c>
      <c r="B1895" t="inlineStr">
        <is>
          <t>KAMBUKKA ETNA 500 ML</t>
        </is>
      </c>
      <c r="C1895" t="inlineStr">
        <is>
          <t>Equipamiento / Cava</t>
        </is>
      </c>
      <c r="D1895" t="n">
        <v>6</v>
      </c>
      <c r="E1895" t="n">
        <v>236.73305239</v>
      </c>
      <c r="F1895" t="n">
        <v>0.46000265076</v>
      </c>
      <c r="G1895" t="n">
        <v>8</v>
      </c>
      <c r="H1895" t="n">
        <v>24.5</v>
      </c>
      <c r="I1895" t="n">
        <v>0.6</v>
      </c>
      <c r="J1895" t="n">
        <v>0</v>
      </c>
      <c r="K1895" t="inlineStr"/>
    </row>
    <row r="1896">
      <c r="A1896" t="inlineStr">
        <is>
          <t>ADUMMDA11TL</t>
        </is>
      </c>
      <c r="B1896" t="inlineStr">
        <is>
          <t>ACTIVE DUO DAMA</t>
        </is>
      </c>
      <c r="C1896" t="inlineStr">
        <is>
          <t>Manufactura / Caballero / P. Superiores</t>
        </is>
      </c>
      <c r="D1896" t="n">
        <v>5</v>
      </c>
      <c r="E1896" t="n">
        <v>236.70663742</v>
      </c>
      <c r="F1896" t="n">
        <v>0.92768332178</v>
      </c>
      <c r="G1896" t="n">
        <v>11</v>
      </c>
      <c r="H1896" t="n">
        <v>3.19128</v>
      </c>
      <c r="I1896" t="n">
        <v>0.5</v>
      </c>
      <c r="J1896" t="n">
        <v>0</v>
      </c>
      <c r="K1896" t="inlineStr"/>
    </row>
    <row r="1897">
      <c r="A1897" t="inlineStr">
        <is>
          <t>ANMSUDA152TL</t>
        </is>
      </c>
      <c r="B1897" t="inlineStr">
        <is>
          <t>ANDRE MOTION DAMA</t>
        </is>
      </c>
      <c r="C1897" t="inlineStr">
        <is>
          <t>Manufactura / Dama / P. Superiores</t>
        </is>
      </c>
      <c r="D1897" t="n">
        <v>5</v>
      </c>
      <c r="E1897" t="n">
        <v>236.58809131</v>
      </c>
      <c r="F1897" t="n">
        <v>0.77003544218</v>
      </c>
      <c r="G1897" t="n">
        <v>9</v>
      </c>
      <c r="H1897" t="n">
        <v>10.6</v>
      </c>
      <c r="I1897" t="n">
        <v>0.5</v>
      </c>
      <c r="J1897" t="n">
        <v>3</v>
      </c>
      <c r="K1897" t="inlineStr"/>
    </row>
    <row r="1898">
      <c r="A1898" t="inlineStr">
        <is>
          <t>ZOEMIDA05TM</t>
        </is>
      </c>
      <c r="B1898" t="inlineStr">
        <is>
          <t>ZOE ORIGINAL DAMA</t>
        </is>
      </c>
      <c r="C1898" t="inlineStr">
        <is>
          <t>Manufactura / Dama / P. Superiores</t>
        </is>
      </c>
      <c r="D1898" t="n">
        <v>5</v>
      </c>
      <c r="E1898" t="n">
        <v>236.57655054</v>
      </c>
      <c r="F1898" t="n">
        <v>0.929387606125</v>
      </c>
      <c r="G1898" t="n">
        <v>0</v>
      </c>
      <c r="H1898" t="n">
        <v>4.116585696</v>
      </c>
      <c r="I1898" t="n">
        <v>0.5</v>
      </c>
      <c r="J1898" t="n">
        <v>1</v>
      </c>
      <c r="K1898" t="inlineStr">
        <is>
          <t>Sin stock</t>
        </is>
      </c>
    </row>
    <row r="1899">
      <c r="A1899" t="inlineStr">
        <is>
          <t>ZOEMIKI34T4</t>
        </is>
      </c>
      <c r="B1899" t="inlineStr">
        <is>
          <t>ZOE ORIGINAL KIDS</t>
        </is>
      </c>
      <c r="C1899" t="inlineStr">
        <is>
          <t>Manufactura / Kids / P. Superiores</t>
        </is>
      </c>
      <c r="D1899" t="n">
        <v>7</v>
      </c>
      <c r="E1899" t="n">
        <v>236.00537518</v>
      </c>
      <c r="F1899" t="n">
        <v>0.8729714155142857</v>
      </c>
      <c r="G1899" t="n">
        <v>37</v>
      </c>
      <c r="H1899" t="n">
        <v>4.12</v>
      </c>
      <c r="I1899" t="n">
        <v>0.7</v>
      </c>
      <c r="J1899" t="n">
        <v>1</v>
      </c>
      <c r="K1899" t="inlineStr"/>
    </row>
    <row r="1900">
      <c r="A1900" t="inlineStr">
        <is>
          <t>VIVMIDA13TL</t>
        </is>
      </c>
      <c r="B1900" t="inlineStr">
        <is>
          <t>VIVI ORIGINAL DAMA</t>
        </is>
      </c>
      <c r="C1900" t="inlineStr">
        <is>
          <t>Manufactura / Dama / P. Superiores</t>
        </is>
      </c>
      <c r="D1900" t="n">
        <v>6</v>
      </c>
      <c r="E1900" t="n">
        <v>235.87411604</v>
      </c>
      <c r="F1900" t="n">
        <v>0.8877127230166666</v>
      </c>
      <c r="G1900" t="n">
        <v>4</v>
      </c>
      <c r="H1900" t="n">
        <v>4.303181706</v>
      </c>
      <c r="I1900" t="n">
        <v>0.6</v>
      </c>
      <c r="J1900" t="n">
        <v>4</v>
      </c>
      <c r="K1900" t="inlineStr"/>
    </row>
    <row r="1901">
      <c r="A1901" t="inlineStr">
        <is>
          <t>SARSPDA30TXL</t>
        </is>
      </c>
      <c r="B1901" t="inlineStr">
        <is>
          <t>FALDA SARA DAMA</t>
        </is>
      </c>
      <c r="C1901" t="inlineStr">
        <is>
          <t>Manufactura / Dama / P. Inferiores</t>
        </is>
      </c>
      <c r="D1901" t="n">
        <v>6</v>
      </c>
      <c r="E1901" t="n">
        <v>235.58121061</v>
      </c>
      <c r="F1901" t="n">
        <v>0.7984302773285714</v>
      </c>
      <c r="G1901" t="n">
        <v>1</v>
      </c>
      <c r="H1901" t="n">
        <v>9.500113852</v>
      </c>
      <c r="I1901" t="n">
        <v>0.6</v>
      </c>
      <c r="J1901" t="n">
        <v>5</v>
      </c>
      <c r="K1901" t="inlineStr"/>
    </row>
    <row r="1902">
      <c r="A1902" t="inlineStr">
        <is>
          <t>TALGTACA166TL</t>
        </is>
      </c>
      <c r="B1902" t="inlineStr">
        <is>
          <t>URBAN COTTON OVERSIZED VINTAGE VERDE CAB</t>
        </is>
      </c>
      <c r="C1902" t="inlineStr">
        <is>
          <t>Manufactura / Caballero / P. Superiores</t>
        </is>
      </c>
      <c r="D1902" t="n">
        <v>9</v>
      </c>
      <c r="E1902" t="n">
        <v>235.40862879</v>
      </c>
      <c r="F1902" t="n">
        <v>0.76786187508</v>
      </c>
      <c r="G1902" t="n">
        <v>20</v>
      </c>
      <c r="H1902" t="n">
        <v>12.16396667</v>
      </c>
      <c r="I1902" t="n">
        <v>0.9</v>
      </c>
      <c r="J1902" t="n">
        <v>2</v>
      </c>
      <c r="K1902" t="inlineStr"/>
    </row>
    <row r="1903">
      <c r="A1903" t="inlineStr">
        <is>
          <t>VIVMIDA43TM</t>
        </is>
      </c>
      <c r="B1903" t="inlineStr">
        <is>
          <t>VIVI ORIGINAL DAMA</t>
        </is>
      </c>
      <c r="C1903" t="inlineStr">
        <is>
          <t>Manufactura / Dama / P. Superiores</t>
        </is>
      </c>
      <c r="D1903" t="n">
        <v>8</v>
      </c>
      <c r="E1903" t="n">
        <v>234.46280542</v>
      </c>
      <c r="F1903" t="n">
        <v>0.8582365067285714</v>
      </c>
      <c r="G1903" t="n">
        <v>70</v>
      </c>
      <c r="H1903" t="n">
        <v>4.303181706</v>
      </c>
      <c r="I1903" t="n">
        <v>0.8</v>
      </c>
      <c r="J1903" t="n">
        <v>2</v>
      </c>
      <c r="K1903" t="inlineStr"/>
    </row>
    <row r="1904">
      <c r="A1904" t="inlineStr">
        <is>
          <t>GEOMACADA168TXS</t>
        </is>
      </c>
      <c r="B1904" t="inlineStr">
        <is>
          <t>ADVANCE GEO MAYA DAMA</t>
        </is>
      </c>
      <c r="C1904" t="inlineStr">
        <is>
          <t>Manufactura / Dama / P. Superiores</t>
        </is>
      </c>
      <c r="D1904" t="n">
        <v>4</v>
      </c>
      <c r="E1904" t="n">
        <v>234.16935</v>
      </c>
      <c r="F1904" t="n">
        <v>0.8644550656333333</v>
      </c>
      <c r="G1904" t="n">
        <v>23</v>
      </c>
      <c r="H1904" t="n">
        <v>10.33</v>
      </c>
      <c r="I1904" t="n">
        <v>0.4</v>
      </c>
      <c r="J1904" t="n">
        <v>3</v>
      </c>
      <c r="K1904" t="inlineStr"/>
    </row>
    <row r="1905">
      <c r="A1905" t="inlineStr">
        <is>
          <t>CLMSUCA152TL</t>
        </is>
      </c>
      <c r="B1905" t="inlineStr">
        <is>
          <t>CLASICA MOTION CAB</t>
        </is>
      </c>
      <c r="C1905" t="inlineStr">
        <is>
          <t>Manufactura / Caballero / P. Superiores</t>
        </is>
      </c>
      <c r="D1905" t="n">
        <v>6</v>
      </c>
      <c r="E1905" t="n">
        <v>233.13195314</v>
      </c>
      <c r="F1905" t="n">
        <v>0.6589815495</v>
      </c>
      <c r="G1905" t="n">
        <v>0</v>
      </c>
      <c r="H1905" t="n">
        <v>12.26</v>
      </c>
      <c r="I1905" t="n">
        <v>0.6</v>
      </c>
      <c r="J1905" t="n">
        <v>7</v>
      </c>
      <c r="K1905" t="inlineStr">
        <is>
          <t>Sin stock</t>
        </is>
      </c>
    </row>
    <row r="1906">
      <c r="A1906" t="inlineStr">
        <is>
          <t>TALGTACA167TXS</t>
        </is>
      </c>
      <c r="B1906" t="inlineStr">
        <is>
          <t>URBAN COTTON OVERSIZED COLOR BLOCK CAB</t>
        </is>
      </c>
      <c r="C1906" t="inlineStr">
        <is>
          <t>Manufactura / Caballero / P. Superiores</t>
        </is>
      </c>
      <c r="D1906" t="n">
        <v>7</v>
      </c>
      <c r="E1906" t="n">
        <v>232.82762544</v>
      </c>
      <c r="F1906" t="n">
        <v>0.7878366388</v>
      </c>
      <c r="G1906" t="n">
        <v>0</v>
      </c>
      <c r="H1906" t="n">
        <v>12.16641162</v>
      </c>
      <c r="I1906" t="n">
        <v>0.7</v>
      </c>
      <c r="J1906" t="n">
        <v>3</v>
      </c>
      <c r="K1906" t="inlineStr">
        <is>
          <t>Sin stock</t>
        </is>
      </c>
    </row>
    <row r="1907">
      <c r="A1907" t="inlineStr">
        <is>
          <t>MAADFDA30TL</t>
        </is>
      </c>
      <c r="B1907" t="inlineStr">
        <is>
          <t>MAFE ADVANCE DAMA</t>
        </is>
      </c>
      <c r="C1907" t="inlineStr">
        <is>
          <t>Manufactura / Dama / P. Superiores</t>
        </is>
      </c>
      <c r="D1907" t="n">
        <v>5</v>
      </c>
      <c r="E1907" t="n">
        <v>232.50359801</v>
      </c>
      <c r="F1907" t="n">
        <v>0.8678247754571429</v>
      </c>
      <c r="G1907" t="n">
        <v>0</v>
      </c>
      <c r="H1907" t="n">
        <v>4.98</v>
      </c>
      <c r="I1907" t="n">
        <v>0.5</v>
      </c>
      <c r="J1907" t="n">
        <v>4</v>
      </c>
      <c r="K1907" t="inlineStr">
        <is>
          <t>Sin stock</t>
        </is>
      </c>
    </row>
    <row r="1908">
      <c r="A1908" t="inlineStr">
        <is>
          <t>MARMICA04T2XL</t>
        </is>
      </c>
      <c r="B1908" t="inlineStr">
        <is>
          <t>MAR ORIGINAL CAB</t>
        </is>
      </c>
      <c r="C1908" t="inlineStr">
        <is>
          <t>Manufactura / Caballero / P. Superiores</t>
        </is>
      </c>
      <c r="D1908" t="n">
        <v>5</v>
      </c>
      <c r="E1908" t="n">
        <v>231.81188296</v>
      </c>
      <c r="F1908" t="n">
        <v>0.89083382952</v>
      </c>
      <c r="G1908" t="n">
        <v>45</v>
      </c>
      <c r="H1908" t="n">
        <v>4.946357428</v>
      </c>
      <c r="I1908" t="n">
        <v>0.5</v>
      </c>
      <c r="J1908" t="n">
        <v>1</v>
      </c>
      <c r="K1908" t="inlineStr"/>
    </row>
    <row r="1909">
      <c r="A1909" t="inlineStr">
        <is>
          <t>DOMBFCA30T2XL</t>
        </is>
      </c>
      <c r="B1909" t="inlineStr">
        <is>
          <t>DOMINIC BIO MOVE CAB</t>
        </is>
      </c>
      <c r="C1909" t="inlineStr">
        <is>
          <t>Manufactura / Caballero / P. Superiores</t>
        </is>
      </c>
      <c r="D1909" t="n">
        <v>3</v>
      </c>
      <c r="E1909" t="n">
        <v>231.5608212</v>
      </c>
      <c r="F1909" t="n">
        <v>0.8182492578333332</v>
      </c>
      <c r="G1909" t="n">
        <v>35</v>
      </c>
      <c r="H1909" t="n">
        <v>13.86</v>
      </c>
      <c r="I1909" t="n">
        <v>0.3</v>
      </c>
      <c r="J1909" t="n">
        <v>4</v>
      </c>
      <c r="K1909" t="inlineStr"/>
    </row>
    <row r="1910">
      <c r="A1910" t="inlineStr">
        <is>
          <t>CLAMIKI48T8</t>
        </is>
      </c>
      <c r="B1910" t="inlineStr">
        <is>
          <t>CLASICA ORIGINAL KIDS</t>
        </is>
      </c>
      <c r="C1910" t="inlineStr">
        <is>
          <t>Manufactura / Kids / P. Superiores</t>
        </is>
      </c>
      <c r="D1910" t="n">
        <v>7</v>
      </c>
      <c r="E1910" t="n">
        <v>231.28409976</v>
      </c>
      <c r="F1910" t="n">
        <v>0.9373857010571428</v>
      </c>
      <c r="G1910" t="n">
        <v>12</v>
      </c>
      <c r="H1910" t="n">
        <v>2.053774806</v>
      </c>
      <c r="I1910" t="n">
        <v>0.7</v>
      </c>
      <c r="J1910" t="n">
        <v>0</v>
      </c>
      <c r="K1910" t="inlineStr"/>
    </row>
    <row r="1911">
      <c r="A1911" t="inlineStr">
        <is>
          <t>TALGOTACA12T2XL</t>
        </is>
      </c>
      <c r="B1911" t="inlineStr">
        <is>
          <t>URBAN COTTON OVERSIZED SUNSET CAB</t>
        </is>
      </c>
      <c r="C1911" t="inlineStr">
        <is>
          <t>Manufactura / Caballero / P. Superiores</t>
        </is>
      </c>
      <c r="D1911" t="n">
        <v>5</v>
      </c>
      <c r="E1911" t="n">
        <v>230.55244628</v>
      </c>
      <c r="F1911" t="n">
        <v>0.788992212675</v>
      </c>
      <c r="G1911" t="n">
        <v>13</v>
      </c>
      <c r="H1911" t="n">
        <v>12.16112582</v>
      </c>
      <c r="I1911" t="n">
        <v>0.5</v>
      </c>
      <c r="J1911" t="n">
        <v>2</v>
      </c>
      <c r="K1911" t="inlineStr"/>
    </row>
    <row r="1912">
      <c r="A1912" t="inlineStr">
        <is>
          <t>ANDMIDA12TXS</t>
        </is>
      </c>
      <c r="B1912" t="inlineStr">
        <is>
          <t>ANDRE ORIGINAL DAMA</t>
        </is>
      </c>
      <c r="C1912" t="inlineStr">
        <is>
          <t>Manufactura / Dama / P. Superiores</t>
        </is>
      </c>
      <c r="D1912" t="n">
        <v>7</v>
      </c>
      <c r="E1912" t="n">
        <v>230.53379577</v>
      </c>
      <c r="F1912" t="n">
        <v>0.8955604993571429</v>
      </c>
      <c r="G1912" t="n">
        <v>78</v>
      </c>
      <c r="H1912" t="n">
        <v>3.274295302</v>
      </c>
      <c r="I1912" t="n">
        <v>0.7</v>
      </c>
      <c r="J1912" t="n">
        <v>2</v>
      </c>
      <c r="K1912" t="inlineStr"/>
    </row>
    <row r="1913">
      <c r="A1913" t="inlineStr">
        <is>
          <t>MAFMIDA01TL</t>
        </is>
      </c>
      <c r="B1913" t="inlineStr">
        <is>
          <t>MAFE ORIGINAL DAMA</t>
        </is>
      </c>
      <c r="C1913" t="inlineStr">
        <is>
          <t>Manufactura / Dama / P. Superiores</t>
        </is>
      </c>
      <c r="D1913" t="n">
        <v>7</v>
      </c>
      <c r="E1913" t="n">
        <v>230.21265037</v>
      </c>
      <c r="F1913" t="n">
        <v>0.8604177808714286</v>
      </c>
      <c r="G1913" t="n">
        <v>0</v>
      </c>
      <c r="H1913" t="n">
        <v>4.54817671</v>
      </c>
      <c r="I1913" t="n">
        <v>0.7</v>
      </c>
      <c r="J1913" t="n">
        <v>3</v>
      </c>
      <c r="K1913" t="inlineStr">
        <is>
          <t>Sin stock</t>
        </is>
      </c>
    </row>
    <row r="1914">
      <c r="A1914" t="inlineStr">
        <is>
          <t>TALGOTADA12TM</t>
        </is>
      </c>
      <c r="B1914" t="inlineStr">
        <is>
          <t>URBAN COTTON TOP VINTAGE GRIS DAMA</t>
        </is>
      </c>
      <c r="C1914" t="inlineStr">
        <is>
          <t>Manufactura / Dama / P. Superiores</t>
        </is>
      </c>
      <c r="D1914" t="n">
        <v>6</v>
      </c>
      <c r="E1914" t="n">
        <v>229.57570334</v>
      </c>
      <c r="F1914" t="n">
        <v>0.85598047645</v>
      </c>
      <c r="G1914" t="n">
        <v>23</v>
      </c>
      <c r="H1914" t="n">
        <v>7.819069274</v>
      </c>
      <c r="I1914" t="n">
        <v>0.6</v>
      </c>
      <c r="J1914" t="n">
        <v>2</v>
      </c>
      <c r="K1914" t="inlineStr"/>
    </row>
    <row r="1915">
      <c r="A1915" t="inlineStr">
        <is>
          <t>CLAMIKI43T10</t>
        </is>
      </c>
      <c r="B1915" t="inlineStr">
        <is>
          <t>CLASICA ORIGINAL KIDS</t>
        </is>
      </c>
      <c r="C1915" t="inlineStr">
        <is>
          <t>Manufactura / Kids / P. Superiores</t>
        </is>
      </c>
      <c r="D1915" t="n">
        <v>8</v>
      </c>
      <c r="E1915" t="n">
        <v>229.2103096</v>
      </c>
      <c r="F1915" t="n">
        <v>0.9337880226857143</v>
      </c>
      <c r="G1915" t="n">
        <v>30</v>
      </c>
      <c r="H1915" t="n">
        <v>2.053774806</v>
      </c>
      <c r="I1915" t="n">
        <v>0.8</v>
      </c>
      <c r="J1915" t="n">
        <v>1</v>
      </c>
      <c r="K1915" t="inlineStr"/>
    </row>
    <row r="1916">
      <c r="A1916" t="inlineStr">
        <is>
          <t>EC172UN</t>
        </is>
      </c>
      <c r="B1916" t="inlineStr">
        <is>
          <t>ECO BAG</t>
        </is>
      </c>
      <c r="C1916" t="inlineStr">
        <is>
          <t>Equipamiento / Bolsos</t>
        </is>
      </c>
      <c r="D1916" t="n">
        <v>103</v>
      </c>
      <c r="E1916" t="n">
        <v>227.27539874</v>
      </c>
      <c r="F1916" t="n">
        <v>0.6106353939294117</v>
      </c>
      <c r="G1916" t="n">
        <v>98</v>
      </c>
      <c r="H1916" t="n">
        <v>5.5</v>
      </c>
      <c r="I1916" t="n">
        <v>10.3</v>
      </c>
      <c r="J1916" t="n">
        <v>0</v>
      </c>
      <c r="K1916" t="inlineStr"/>
    </row>
    <row r="1917">
      <c r="A1917" t="inlineStr">
        <is>
          <t>MIKFNDA24TM</t>
        </is>
      </c>
      <c r="B1917" t="inlineStr">
        <is>
          <t>MIKA SPORT LITE DAMA</t>
        </is>
      </c>
      <c r="C1917" t="inlineStr">
        <is>
          <t>Manufactura / Dama / P. Superiores</t>
        </is>
      </c>
      <c r="D1917" t="n">
        <v>18</v>
      </c>
      <c r="E1917" t="n">
        <v>226.96962246</v>
      </c>
      <c r="F1917" t="n">
        <v>0.8483563880666667</v>
      </c>
      <c r="G1917" t="n">
        <v>43</v>
      </c>
      <c r="H1917" t="n">
        <v>5.484675344</v>
      </c>
      <c r="I1917" t="n">
        <v>1.8</v>
      </c>
      <c r="J1917" t="n">
        <v>2</v>
      </c>
      <c r="K1917" t="inlineStr"/>
    </row>
    <row r="1918">
      <c r="A1918" t="inlineStr">
        <is>
          <t>MARMIKI53T1</t>
        </is>
      </c>
      <c r="B1918" t="inlineStr">
        <is>
          <t>MAR ORIGINAL KIDS</t>
        </is>
      </c>
      <c r="C1918" t="inlineStr">
        <is>
          <t>Manufactura / Kids / P. Superiores</t>
        </is>
      </c>
      <c r="D1918" t="n">
        <v>6</v>
      </c>
      <c r="E1918" t="n">
        <v>226.16257</v>
      </c>
      <c r="F1918" t="n">
        <v>0.91403679765</v>
      </c>
      <c r="G1918" t="n">
        <v>0</v>
      </c>
      <c r="H1918" t="n">
        <v>3.168013332</v>
      </c>
      <c r="I1918" t="n">
        <v>0.6</v>
      </c>
      <c r="J1918" t="n">
        <v>5</v>
      </c>
      <c r="K1918" t="inlineStr">
        <is>
          <t>Sin stock</t>
        </is>
      </c>
    </row>
    <row r="1919">
      <c r="A1919" t="inlineStr">
        <is>
          <t>TALGTADA170TL</t>
        </is>
      </c>
      <c r="B1919" t="inlineStr">
        <is>
          <t>URBAN COTTON TOP GRAY BLOCK DAMA</t>
        </is>
      </c>
      <c r="C1919" t="inlineStr">
        <is>
          <t>Manufactura / Dama / P. Superiores</t>
        </is>
      </c>
      <c r="D1919" t="n">
        <v>4</v>
      </c>
      <c r="E1919" t="n">
        <v>226.12072347</v>
      </c>
      <c r="F1919" t="n">
        <v>0.8617082755000001</v>
      </c>
      <c r="G1919" t="n">
        <v>1</v>
      </c>
      <c r="H1919" t="n">
        <v>7.811820557</v>
      </c>
      <c r="I1919" t="n">
        <v>0.4</v>
      </c>
      <c r="J1919" t="n">
        <v>2</v>
      </c>
      <c r="K1919" t="inlineStr"/>
    </row>
    <row r="1920">
      <c r="A1920" t="inlineStr">
        <is>
          <t>CLAMIDA13TL</t>
        </is>
      </c>
      <c r="B1920" t="inlineStr">
        <is>
          <t>CLASICA ORIGINAL DAMA</t>
        </is>
      </c>
      <c r="C1920" t="inlineStr">
        <is>
          <t>Manufactura / Dama / P. Superiores</t>
        </is>
      </c>
      <c r="D1920" t="n">
        <v>6</v>
      </c>
      <c r="E1920" t="n">
        <v>226.00688205</v>
      </c>
      <c r="F1920" t="n">
        <v>0.8955274026875</v>
      </c>
      <c r="G1920" t="n">
        <v>8</v>
      </c>
      <c r="H1920" t="n">
        <v>3.923227589</v>
      </c>
      <c r="I1920" t="n">
        <v>0.6</v>
      </c>
      <c r="J1920" t="n">
        <v>0</v>
      </c>
      <c r="K1920" t="inlineStr"/>
    </row>
    <row r="1921">
      <c r="A1921" t="inlineStr">
        <is>
          <t>MARMIKI04T10</t>
        </is>
      </c>
      <c r="B1921" t="inlineStr">
        <is>
          <t>MAR ORIGINAL KIDS</t>
        </is>
      </c>
      <c r="C1921" t="inlineStr">
        <is>
          <t>Manufactura / Kids / P. Superiores</t>
        </is>
      </c>
      <c r="D1921" t="n">
        <v>6</v>
      </c>
      <c r="E1921" t="n">
        <v>225.71244521</v>
      </c>
      <c r="F1921" t="n">
        <v>0.91493036565</v>
      </c>
      <c r="G1921" t="n">
        <v>44</v>
      </c>
      <c r="H1921" t="n">
        <v>3.168013332</v>
      </c>
      <c r="I1921" t="n">
        <v>0.6</v>
      </c>
      <c r="J1921" t="n">
        <v>6</v>
      </c>
      <c r="K1921" t="inlineStr"/>
    </row>
    <row r="1922">
      <c r="A1922" t="inlineStr">
        <is>
          <t>SHOUNCA33TM</t>
        </is>
      </c>
      <c r="B1922" t="inlineStr">
        <is>
          <t>SHORT PLAYA CAB</t>
        </is>
      </c>
      <c r="C1922" t="inlineStr">
        <is>
          <t>Manufactura / Caballero / P. Inferiores</t>
        </is>
      </c>
      <c r="D1922" t="n">
        <v>5</v>
      </c>
      <c r="E1922" t="n">
        <v>225.54435379</v>
      </c>
      <c r="F1922" t="n">
        <v>0.7686457850888888</v>
      </c>
      <c r="G1922" t="n">
        <v>0</v>
      </c>
      <c r="H1922" t="n">
        <v>9.99</v>
      </c>
      <c r="I1922" t="n">
        <v>0.5</v>
      </c>
      <c r="J1922" t="n">
        <v>4</v>
      </c>
      <c r="K1922" t="inlineStr">
        <is>
          <t>Sin stock</t>
        </is>
      </c>
    </row>
    <row r="1923">
      <c r="A1923" t="inlineStr">
        <is>
          <t>ELT76E600ML</t>
        </is>
      </c>
      <c r="B1923" t="inlineStr">
        <is>
          <t>KAMBUKKA ELTON 600 ML</t>
        </is>
      </c>
      <c r="C1923" t="inlineStr">
        <is>
          <t>Equipamiento / Cava</t>
        </is>
      </c>
      <c r="D1923" t="n">
        <v>5</v>
      </c>
      <c r="E1923" t="n">
        <v>225.26513603</v>
      </c>
      <c r="F1923" t="n">
        <v>0.534467795475</v>
      </c>
      <c r="G1923" t="n">
        <v>0</v>
      </c>
      <c r="H1923" t="n">
        <v>24.5</v>
      </c>
      <c r="I1923" t="n">
        <v>0.5</v>
      </c>
      <c r="J1923" t="n">
        <v>3</v>
      </c>
      <c r="K1923" t="inlineStr">
        <is>
          <t>Sin stock</t>
        </is>
      </c>
    </row>
    <row r="1924">
      <c r="A1924" t="inlineStr">
        <is>
          <t>CCBHMDA03TL</t>
        </is>
      </c>
      <c r="B1924" t="inlineStr">
        <is>
          <t>CLUB CLASICA DAMA</t>
        </is>
      </c>
      <c r="C1924" t="inlineStr">
        <is>
          <t>Manufactura / Dama / P. Superiores</t>
        </is>
      </c>
      <c r="D1924" t="n">
        <v>7</v>
      </c>
      <c r="E1924" t="n">
        <v>225</v>
      </c>
      <c r="F1924" t="n">
        <v>0.9771604938444445</v>
      </c>
      <c r="G1924" t="n">
        <v>9</v>
      </c>
      <c r="H1924" t="n">
        <v>1</v>
      </c>
      <c r="I1924" t="n">
        <v>0.7</v>
      </c>
      <c r="J1924" t="n">
        <v>0</v>
      </c>
      <c r="K1924" t="inlineStr"/>
    </row>
    <row r="1925">
      <c r="A1925" t="inlineStr">
        <is>
          <t>CLAMIKI43T14</t>
        </is>
      </c>
      <c r="B1925" t="inlineStr">
        <is>
          <t>CLASICA ORIGINAL KIDS</t>
        </is>
      </c>
      <c r="C1925" t="inlineStr">
        <is>
          <t>Manufactura / Kids / P. Superiores</t>
        </is>
      </c>
      <c r="D1925" t="n">
        <v>9</v>
      </c>
      <c r="E1925" t="n">
        <v>224.95387427</v>
      </c>
      <c r="F1925" t="n">
        <v>0.9345321878142857</v>
      </c>
      <c r="G1925" t="n">
        <v>1</v>
      </c>
      <c r="H1925" t="n">
        <v>2.053774806</v>
      </c>
      <c r="I1925" t="n">
        <v>0.9</v>
      </c>
      <c r="J1925" t="n">
        <v>2</v>
      </c>
      <c r="K1925" t="inlineStr"/>
    </row>
    <row r="1926">
      <c r="A1926" t="inlineStr">
        <is>
          <t>ANDMIDA16TM</t>
        </is>
      </c>
      <c r="B1926" t="inlineStr">
        <is>
          <t>ANDRE ORIGINAL DAMA</t>
        </is>
      </c>
      <c r="C1926" t="inlineStr">
        <is>
          <t>Manufactura / Dama / P. Superiores</t>
        </is>
      </c>
      <c r="D1926" t="n">
        <v>7</v>
      </c>
      <c r="E1926" t="n">
        <v>224.70365834</v>
      </c>
      <c r="F1926" t="n">
        <v>0.91326585395</v>
      </c>
      <c r="G1926" t="n">
        <v>1</v>
      </c>
      <c r="H1926" t="n">
        <v>3.274295302</v>
      </c>
      <c r="I1926" t="n">
        <v>0.7</v>
      </c>
      <c r="J1926" t="n">
        <v>0</v>
      </c>
      <c r="K1926" t="inlineStr"/>
    </row>
    <row r="1927">
      <c r="A1927" t="inlineStr">
        <is>
          <t>SABMEDA30TXS</t>
        </is>
      </c>
      <c r="B1927" t="inlineStr">
        <is>
          <t>SABRI SPORT DAMA</t>
        </is>
      </c>
      <c r="C1927" t="inlineStr">
        <is>
          <t>Manufactura / Dama / P. Superiores</t>
        </is>
      </c>
      <c r="D1927" t="n">
        <v>7</v>
      </c>
      <c r="E1927" t="n">
        <v>224.1483498</v>
      </c>
      <c r="F1927" t="n">
        <v>0.8523406891555555</v>
      </c>
      <c r="G1927" t="n">
        <v>56</v>
      </c>
      <c r="H1927" t="n">
        <v>4.51</v>
      </c>
      <c r="I1927" t="n">
        <v>0.7</v>
      </c>
      <c r="J1927" t="n">
        <v>0</v>
      </c>
      <c r="K1927" t="inlineStr"/>
    </row>
    <row r="1928">
      <c r="A1928" t="inlineStr">
        <is>
          <t>DAYCSTDA66TXL</t>
        </is>
      </c>
      <c r="B1928" t="inlineStr">
        <is>
          <t>CLASICA DAILY 3.0 DAMA</t>
        </is>
      </c>
      <c r="C1928" t="inlineStr">
        <is>
          <t>Manufactura / Dama / P. Superiores</t>
        </is>
      </c>
      <c r="D1928" t="n">
        <v>5</v>
      </c>
      <c r="E1928" t="n">
        <v>223.77434803</v>
      </c>
      <c r="F1928" t="n">
        <v>0.7570075723199999</v>
      </c>
      <c r="G1928" t="n">
        <v>5</v>
      </c>
      <c r="H1928" t="n">
        <v>10.28586481</v>
      </c>
      <c r="I1928" t="n">
        <v>0.5</v>
      </c>
      <c r="J1928" t="n">
        <v>0</v>
      </c>
      <c r="K1928" t="inlineStr"/>
    </row>
    <row r="1929">
      <c r="A1929" t="inlineStr">
        <is>
          <t>CLASTDA16TM</t>
        </is>
      </c>
      <c r="B1929" t="inlineStr">
        <is>
          <t>CLASICA ALGODON STRETCH DAMA</t>
        </is>
      </c>
      <c r="C1929" t="inlineStr">
        <is>
          <t>Manufactura / Dama / P. Superiores</t>
        </is>
      </c>
      <c r="D1929" t="n">
        <v>9</v>
      </c>
      <c r="E1929" t="n">
        <v>223.72518931</v>
      </c>
      <c r="F1929" t="n">
        <v>0.7604064612666667</v>
      </c>
      <c r="G1929" t="n">
        <v>0</v>
      </c>
      <c r="H1929" t="n">
        <v>9.27</v>
      </c>
      <c r="I1929" t="n">
        <v>0.9</v>
      </c>
      <c r="J1929" t="n">
        <v>2</v>
      </c>
      <c r="K1929" t="inlineStr">
        <is>
          <t>Sin stock</t>
        </is>
      </c>
    </row>
    <row r="1930">
      <c r="A1930" t="inlineStr">
        <is>
          <t>SHOUNCA01TL</t>
        </is>
      </c>
      <c r="B1930" t="inlineStr">
        <is>
          <t>SHORT PLAYA CAB</t>
        </is>
      </c>
      <c r="C1930" t="inlineStr">
        <is>
          <t>Manufactura / Caballero / P. Inferiores</t>
        </is>
      </c>
      <c r="D1930" t="n">
        <v>5</v>
      </c>
      <c r="E1930" t="n">
        <v>223.71871383</v>
      </c>
      <c r="F1930" t="n">
        <v>0.7663416333599999</v>
      </c>
      <c r="G1930" t="n">
        <v>0</v>
      </c>
      <c r="H1930" t="n">
        <v>9.99</v>
      </c>
      <c r="I1930" t="n">
        <v>0.5</v>
      </c>
      <c r="J1930" t="n">
        <v>5</v>
      </c>
      <c r="K1930" t="inlineStr">
        <is>
          <t>Sin stock</t>
        </is>
      </c>
    </row>
    <row r="1931">
      <c r="A1931" t="inlineStr">
        <is>
          <t>VIVMIDA70TM</t>
        </is>
      </c>
      <c r="B1931" t="inlineStr">
        <is>
          <t>VIVI ORIGINAL DAMA</t>
        </is>
      </c>
      <c r="C1931" t="inlineStr">
        <is>
          <t>Manufactura / Dama / P. Superiores</t>
        </is>
      </c>
      <c r="D1931" t="n">
        <v>6</v>
      </c>
      <c r="E1931" t="n">
        <v>223.15860388</v>
      </c>
      <c r="F1931" t="n">
        <v>0.88113619746</v>
      </c>
      <c r="G1931" t="n">
        <v>22</v>
      </c>
      <c r="H1931" t="n">
        <v>4.303181706</v>
      </c>
      <c r="I1931" t="n">
        <v>0.6</v>
      </c>
      <c r="J1931" t="n">
        <v>2</v>
      </c>
      <c r="K1931" t="inlineStr"/>
    </row>
    <row r="1932">
      <c r="A1932" t="inlineStr">
        <is>
          <t>ANDMIDA04TXL</t>
        </is>
      </c>
      <c r="B1932" t="inlineStr">
        <is>
          <t>ANDRE ORIGINAL DAMA</t>
        </is>
      </c>
      <c r="C1932" t="inlineStr">
        <is>
          <t>Manufactura / Dama / P. Superiores</t>
        </is>
      </c>
      <c r="D1932" t="n">
        <v>6</v>
      </c>
      <c r="E1932" t="n">
        <v>223.04678805</v>
      </c>
      <c r="F1932" t="n">
        <v>0.9081569475166668</v>
      </c>
      <c r="G1932" t="n">
        <v>12</v>
      </c>
      <c r="H1932" t="n">
        <v>3.274295302</v>
      </c>
      <c r="I1932" t="n">
        <v>0.6</v>
      </c>
      <c r="J1932" t="n">
        <v>3</v>
      </c>
      <c r="K1932" t="inlineStr"/>
    </row>
    <row r="1933">
      <c r="A1933" t="inlineStr">
        <is>
          <t>ANDMIDA16TXS</t>
        </is>
      </c>
      <c r="B1933" t="inlineStr">
        <is>
          <t>ANDRE ORIGINAL DAMA</t>
        </is>
      </c>
      <c r="C1933" t="inlineStr">
        <is>
          <t>Manufactura / Dama / P. Superiores</t>
        </is>
      </c>
      <c r="D1933" t="n">
        <v>8</v>
      </c>
      <c r="E1933" t="n">
        <v>222.04909768</v>
      </c>
      <c r="F1933" t="n">
        <v>0.8875430447428572</v>
      </c>
      <c r="G1933" t="n">
        <v>1</v>
      </c>
      <c r="H1933" t="n">
        <v>3.274295302</v>
      </c>
      <c r="I1933" t="n">
        <v>0.8</v>
      </c>
      <c r="J1933" t="n">
        <v>2</v>
      </c>
      <c r="K1933" t="inlineStr"/>
    </row>
    <row r="1934">
      <c r="A1934" t="inlineStr">
        <is>
          <t>SHONTDA66TL</t>
        </is>
      </c>
      <c r="B1934" t="inlineStr">
        <is>
          <t>EXPLORE SHORT DAMA</t>
        </is>
      </c>
      <c r="C1934" t="inlineStr">
        <is>
          <t>Manufactura / Dama / P. Inferiores</t>
        </is>
      </c>
      <c r="D1934" t="n">
        <v>6</v>
      </c>
      <c r="E1934" t="n">
        <v>221.5366675</v>
      </c>
      <c r="F1934" t="n">
        <v>0.76844605672</v>
      </c>
      <c r="G1934" t="n">
        <v>9</v>
      </c>
      <c r="H1934" t="n">
        <v>10.22113744</v>
      </c>
      <c r="I1934" t="n">
        <v>0.6</v>
      </c>
      <c r="J1934" t="n">
        <v>0</v>
      </c>
      <c r="K1934" t="inlineStr"/>
    </row>
    <row r="1935">
      <c r="A1935" t="inlineStr">
        <is>
          <t>CCBHMCA151TS</t>
        </is>
      </c>
      <c r="B1935" t="inlineStr">
        <is>
          <t>CLUB CLASICA CABALLERO</t>
        </is>
      </c>
      <c r="C1935" t="inlineStr">
        <is>
          <t>Manufactura / Caballero / P. Superiores</t>
        </is>
      </c>
      <c r="D1935" t="n">
        <v>7</v>
      </c>
      <c r="E1935" t="n">
        <v>220.5</v>
      </c>
      <c r="F1935" t="n">
        <v>0.9772839506400001</v>
      </c>
      <c r="G1935" t="n">
        <v>28</v>
      </c>
      <c r="H1935" t="n">
        <v>1</v>
      </c>
      <c r="I1935" t="n">
        <v>0.7</v>
      </c>
      <c r="J1935" t="n">
        <v>0</v>
      </c>
      <c r="K1935" t="inlineStr"/>
    </row>
    <row r="1936">
      <c r="A1936" t="inlineStr">
        <is>
          <t>ANDMIDA04TM</t>
        </is>
      </c>
      <c r="B1936" t="inlineStr">
        <is>
          <t>ANDRE ORIGINAL DAMA</t>
        </is>
      </c>
      <c r="C1936" t="inlineStr">
        <is>
          <t>Manufactura / Dama / P. Superiores</t>
        </is>
      </c>
      <c r="D1936" t="n">
        <v>7</v>
      </c>
      <c r="E1936" t="n">
        <v>220.49576776</v>
      </c>
      <c r="F1936" t="n">
        <v>0.9013989817833333</v>
      </c>
      <c r="G1936" t="n">
        <v>25</v>
      </c>
      <c r="H1936" t="n">
        <v>3.274295302</v>
      </c>
      <c r="I1936" t="n">
        <v>0.7</v>
      </c>
      <c r="J1936" t="n">
        <v>4</v>
      </c>
      <c r="K1936" t="inlineStr"/>
    </row>
    <row r="1937">
      <c r="A1937" t="inlineStr">
        <is>
          <t>RIOMIKI50T1</t>
        </is>
      </c>
      <c r="B1937" t="inlineStr">
        <is>
          <t>RIO ORIGINAL KIDS</t>
        </is>
      </c>
      <c r="C1937" t="inlineStr">
        <is>
          <t>Manufactura / Kids / P. Superiores</t>
        </is>
      </c>
      <c r="D1937" t="n">
        <v>5</v>
      </c>
      <c r="E1937" t="n">
        <v>220.13513576</v>
      </c>
      <c r="F1937" t="n">
        <v>0.9150292669000001</v>
      </c>
      <c r="G1937" t="n">
        <v>0</v>
      </c>
      <c r="H1937" t="n">
        <v>3.617969464</v>
      </c>
      <c r="I1937" t="n">
        <v>0.5</v>
      </c>
      <c r="J1937" t="n">
        <v>5</v>
      </c>
      <c r="K1937" t="inlineStr">
        <is>
          <t>Sin stock</t>
        </is>
      </c>
    </row>
    <row r="1938">
      <c r="A1938" t="inlineStr">
        <is>
          <t>TALGTACA12T2XL</t>
        </is>
      </c>
      <c r="B1938" t="inlineStr">
        <is>
          <t>URBAN COTTON OVERSIZED OUTSIDE CAB</t>
        </is>
      </c>
      <c r="C1938" t="inlineStr">
        <is>
          <t>Manufactura / Caballero / P. Superiores</t>
        </is>
      </c>
      <c r="D1938" t="n">
        <v>4</v>
      </c>
      <c r="E1938" t="n">
        <v>219.75246888</v>
      </c>
      <c r="F1938" t="n">
        <v>0.7745132826125</v>
      </c>
      <c r="G1938" t="n">
        <v>9</v>
      </c>
      <c r="H1938" t="n">
        <v>12.16758159</v>
      </c>
      <c r="I1938" t="n">
        <v>0.4</v>
      </c>
      <c r="J1938" t="n">
        <v>4</v>
      </c>
      <c r="K1938" t="inlineStr"/>
    </row>
    <row r="1939">
      <c r="A1939" t="inlineStr">
        <is>
          <t>CLAMEDA43TXL</t>
        </is>
      </c>
      <c r="B1939" t="inlineStr">
        <is>
          <t>CLÁSICA SPORT DAMA</t>
        </is>
      </c>
      <c r="C1939" t="inlineStr">
        <is>
          <t>Manufactura / Dama / P. Superiores</t>
        </is>
      </c>
      <c r="D1939" t="n">
        <v>5</v>
      </c>
      <c r="E1939" t="n">
        <v>219.3386408</v>
      </c>
      <c r="F1939" t="n">
        <v>0.84810292096</v>
      </c>
      <c r="G1939" t="n">
        <v>2</v>
      </c>
      <c r="H1939" t="n">
        <v>6.536105769</v>
      </c>
      <c r="I1939" t="n">
        <v>0.5</v>
      </c>
      <c r="J1939" t="n">
        <v>5</v>
      </c>
      <c r="K1939" t="inlineStr"/>
    </row>
    <row r="1940">
      <c r="A1940" t="inlineStr">
        <is>
          <t>HELBFDA30TXS</t>
        </is>
      </c>
      <c r="B1940" t="inlineStr">
        <is>
          <t>HELEN BIO MOVE DAMA</t>
        </is>
      </c>
      <c r="C1940" t="inlineStr">
        <is>
          <t>Manufactura / Dama / P. Superiores</t>
        </is>
      </c>
      <c r="D1940" t="n">
        <v>4</v>
      </c>
      <c r="E1940" t="n">
        <v>219.18877355</v>
      </c>
      <c r="F1940" t="n">
        <v>0.8945620908333334</v>
      </c>
      <c r="G1940" t="n">
        <v>158</v>
      </c>
      <c r="H1940" t="n">
        <v>7.34081746</v>
      </c>
      <c r="I1940" t="n">
        <v>0.4</v>
      </c>
      <c r="J1940" t="n">
        <v>1</v>
      </c>
      <c r="K1940" t="inlineStr"/>
    </row>
    <row r="1941">
      <c r="A1941" t="inlineStr">
        <is>
          <t>ZOEMIKI12T6</t>
        </is>
      </c>
      <c r="B1941" t="inlineStr">
        <is>
          <t>ZOE ORIGINAL KIDS</t>
        </is>
      </c>
      <c r="C1941" t="inlineStr">
        <is>
          <t>Manufactura / Kids / P. Superiores</t>
        </is>
      </c>
      <c r="D1941" t="n">
        <v>6</v>
      </c>
      <c r="E1941" t="n">
        <v>219.03402721</v>
      </c>
      <c r="F1941" t="n">
        <v>0.8862640979666666</v>
      </c>
      <c r="G1941" t="n">
        <v>25</v>
      </c>
      <c r="H1941" t="n">
        <v>4.12</v>
      </c>
      <c r="I1941" t="n">
        <v>0.6</v>
      </c>
      <c r="J1941" t="n">
        <v>0</v>
      </c>
      <c r="K1941" t="inlineStr"/>
    </row>
    <row r="1942">
      <c r="A1942" t="inlineStr">
        <is>
          <t>NAHFNCA24TL</t>
        </is>
      </c>
      <c r="B1942" t="inlineStr">
        <is>
          <t>NOAH SPORT LITE CAB</t>
        </is>
      </c>
      <c r="C1942" t="inlineStr">
        <is>
          <t>Manufactura / Caballero / P. Superiores</t>
        </is>
      </c>
      <c r="D1942" t="n">
        <v>10</v>
      </c>
      <c r="E1942" t="n">
        <v>219.03136388</v>
      </c>
      <c r="F1942" t="n">
        <v>0.5359055098571429</v>
      </c>
      <c r="G1942" t="n">
        <v>19</v>
      </c>
      <c r="H1942" t="n">
        <v>17.61141534</v>
      </c>
      <c r="I1942" t="n">
        <v>1</v>
      </c>
      <c r="J1942" t="n">
        <v>1</v>
      </c>
      <c r="K1942" t="inlineStr"/>
    </row>
    <row r="1943">
      <c r="A1943" t="inlineStr">
        <is>
          <t>HELBFDA206TXS</t>
        </is>
      </c>
      <c r="B1943" t="inlineStr">
        <is>
          <t>HELEN BIO MOVE DAMA</t>
        </is>
      </c>
      <c r="C1943" t="inlineStr">
        <is>
          <t>Manufactura / Dama / P. Superiores</t>
        </is>
      </c>
      <c r="D1943" t="n">
        <v>4</v>
      </c>
      <c r="E1943" t="n">
        <v>219</v>
      </c>
      <c r="F1943" t="n">
        <v>0.8994408567</v>
      </c>
      <c r="G1943" t="n">
        <v>15</v>
      </c>
      <c r="H1943" t="n">
        <v>7.34081746</v>
      </c>
      <c r="I1943" t="n">
        <v>0.4</v>
      </c>
      <c r="J1943" t="n">
        <v>1</v>
      </c>
      <c r="K1943" t="inlineStr"/>
    </row>
    <row r="1944">
      <c r="A1944" t="inlineStr">
        <is>
          <t>ZOEMIKI53T4</t>
        </is>
      </c>
      <c r="B1944" t="inlineStr">
        <is>
          <t>ZOE ORIGINAL KIDS</t>
        </is>
      </c>
      <c r="C1944" t="inlineStr">
        <is>
          <t>Manufactura / Kids / P. Superiores</t>
        </is>
      </c>
      <c r="D1944" t="n">
        <v>7</v>
      </c>
      <c r="E1944" t="n">
        <v>218.79891565</v>
      </c>
      <c r="F1944" t="n">
        <v>0.8830743277000001</v>
      </c>
      <c r="G1944" t="n">
        <v>7</v>
      </c>
      <c r="H1944" t="n">
        <v>4.12</v>
      </c>
      <c r="I1944" t="n">
        <v>0.7</v>
      </c>
      <c r="J1944" t="n">
        <v>0</v>
      </c>
      <c r="K1944" t="inlineStr"/>
    </row>
    <row r="1945">
      <c r="A1945" t="inlineStr">
        <is>
          <t>SHOUNCA01T2XL</t>
        </is>
      </c>
      <c r="B1945" t="inlineStr">
        <is>
          <t>SHORT PLAYA CAB</t>
        </is>
      </c>
      <c r="C1945" t="inlineStr">
        <is>
          <t>Manufactura / Caballero / P. Inferiores</t>
        </is>
      </c>
      <c r="D1945" t="n">
        <v>6</v>
      </c>
      <c r="E1945" t="n">
        <v>218.63949579</v>
      </c>
      <c r="F1945" t="n">
        <v>0.7068404501166667</v>
      </c>
      <c r="G1945" t="n">
        <v>0</v>
      </c>
      <c r="H1945" t="n">
        <v>9.99</v>
      </c>
      <c r="I1945" t="n">
        <v>0.6</v>
      </c>
      <c r="J1945" t="n">
        <v>7</v>
      </c>
      <c r="K1945" t="inlineStr">
        <is>
          <t>Sin stock</t>
        </is>
      </c>
    </row>
    <row r="1946">
      <c r="A1946" t="inlineStr">
        <is>
          <t>MAFMIDA11TXL</t>
        </is>
      </c>
      <c r="B1946" t="inlineStr">
        <is>
          <t>MAFE ORIGINAL DAMA</t>
        </is>
      </c>
      <c r="C1946" t="inlineStr">
        <is>
          <t>Manufactura / Dama / P. Superiores</t>
        </is>
      </c>
      <c r="D1946" t="n">
        <v>27</v>
      </c>
      <c r="E1946" t="n">
        <v>218.58158704</v>
      </c>
      <c r="F1946" t="n">
        <v>0.8466339602714286</v>
      </c>
      <c r="G1946" t="n">
        <v>18</v>
      </c>
      <c r="H1946" t="n">
        <v>4.54817671</v>
      </c>
      <c r="I1946" t="n">
        <v>2.7</v>
      </c>
      <c r="J1946" t="n">
        <v>0</v>
      </c>
      <c r="K1946" t="inlineStr"/>
    </row>
    <row r="1947">
      <c r="A1947" t="inlineStr">
        <is>
          <t>SHONRKI66T12</t>
        </is>
      </c>
      <c r="B1947" t="inlineStr">
        <is>
          <t>SHORT SPORT KIDS</t>
        </is>
      </c>
      <c r="C1947" t="inlineStr">
        <is>
          <t>Manufactura / Kids / P. Inferiores</t>
        </is>
      </c>
      <c r="D1947" t="n">
        <v>8</v>
      </c>
      <c r="E1947" t="n">
        <v>218.50591826</v>
      </c>
      <c r="F1947" t="n">
        <v>0.831378509175</v>
      </c>
      <c r="G1947" t="n">
        <v>10</v>
      </c>
      <c r="H1947" t="n">
        <v>6.465724382</v>
      </c>
      <c r="I1947" t="n">
        <v>0.8</v>
      </c>
      <c r="J1947" t="n">
        <v>0</v>
      </c>
      <c r="K1947" t="inlineStr"/>
    </row>
    <row r="1948">
      <c r="A1948" t="inlineStr">
        <is>
          <t>CLAMIDA43TXL</t>
        </is>
      </c>
      <c r="B1948" t="inlineStr">
        <is>
          <t>CLASICA ORIGINAL DAMA</t>
        </is>
      </c>
      <c r="C1948" t="inlineStr">
        <is>
          <t>Manufactura / Dama / P. Superiores</t>
        </is>
      </c>
      <c r="D1948" t="n">
        <v>17</v>
      </c>
      <c r="E1948" t="n">
        <v>218.38507454</v>
      </c>
      <c r="F1948" t="n">
        <v>0.8888274119499999</v>
      </c>
      <c r="G1948" t="n">
        <v>16</v>
      </c>
      <c r="H1948" t="n">
        <v>3.923227589</v>
      </c>
      <c r="I1948" t="n">
        <v>1.7</v>
      </c>
      <c r="J1948" t="n">
        <v>1</v>
      </c>
      <c r="K1948" t="inlineStr"/>
    </row>
    <row r="1949">
      <c r="A1949" t="inlineStr">
        <is>
          <t>MAADFDA70TS</t>
        </is>
      </c>
      <c r="B1949" t="inlineStr">
        <is>
          <t>MAFE ADVANCE DAMA</t>
        </is>
      </c>
      <c r="C1949" t="inlineStr">
        <is>
          <t>Manufactura / Dama / P. Superiores</t>
        </is>
      </c>
      <c r="D1949" t="n">
        <v>9</v>
      </c>
      <c r="E1949" t="n">
        <v>217.35543585</v>
      </c>
      <c r="F1949" t="n">
        <v>0.907265111575</v>
      </c>
      <c r="G1949" t="n">
        <v>14</v>
      </c>
      <c r="H1949" t="n">
        <v>4.98</v>
      </c>
      <c r="I1949" t="n">
        <v>0.9</v>
      </c>
      <c r="J1949" t="n">
        <v>1</v>
      </c>
      <c r="K1949" t="inlineStr"/>
    </row>
    <row r="1950">
      <c r="A1950" t="inlineStr">
        <is>
          <t>VIVMIDA11TS</t>
        </is>
      </c>
      <c r="B1950" t="inlineStr">
        <is>
          <t>VIVI ORIGINAL DAMA</t>
        </is>
      </c>
      <c r="C1950" t="inlineStr">
        <is>
          <t>Manufactura / Dama / P. Superiores</t>
        </is>
      </c>
      <c r="D1950" t="n">
        <v>6</v>
      </c>
      <c r="E1950" t="n">
        <v>217.24026305</v>
      </c>
      <c r="F1950" t="n">
        <v>0.87485499245</v>
      </c>
      <c r="G1950" t="n">
        <v>33</v>
      </c>
      <c r="H1950" t="n">
        <v>4.303181706</v>
      </c>
      <c r="I1950" t="n">
        <v>0.6</v>
      </c>
      <c r="J1950" t="n">
        <v>2</v>
      </c>
      <c r="K1950" t="inlineStr"/>
    </row>
    <row r="1951">
      <c r="A1951" t="inlineStr">
        <is>
          <t>MARMIKI13T1</t>
        </is>
      </c>
      <c r="B1951" t="inlineStr">
        <is>
          <t>MAR ORIGINAL KIDS</t>
        </is>
      </c>
      <c r="C1951" t="inlineStr">
        <is>
          <t>Manufactura / Kids / P. Superiores</t>
        </is>
      </c>
      <c r="D1951" t="n">
        <v>6</v>
      </c>
      <c r="E1951" t="n">
        <v>216.80264167</v>
      </c>
      <c r="F1951" t="n">
        <v>0.9107991048333334</v>
      </c>
      <c r="G1951" t="n">
        <v>0</v>
      </c>
      <c r="H1951" t="n">
        <v>3.168013332</v>
      </c>
      <c r="I1951" t="n">
        <v>0.6</v>
      </c>
      <c r="J1951" t="n">
        <v>5</v>
      </c>
      <c r="K1951" t="inlineStr">
        <is>
          <t>Sin stock</t>
        </is>
      </c>
    </row>
    <row r="1952">
      <c r="A1952" t="inlineStr">
        <is>
          <t>ETN88E300ML</t>
        </is>
      </c>
      <c r="B1952" t="inlineStr">
        <is>
          <t>KAMBUKKA ETNA 300 ML</t>
        </is>
      </c>
      <c r="C1952" t="inlineStr">
        <is>
          <t>Equipamiento / Cava</t>
        </is>
      </c>
      <c r="D1952" t="n">
        <v>5</v>
      </c>
      <c r="E1952" t="n">
        <v>216.74274306</v>
      </c>
      <c r="F1952" t="n">
        <v>0.42324550888</v>
      </c>
      <c r="G1952" t="n">
        <v>6</v>
      </c>
      <c r="H1952" t="n">
        <v>23.5</v>
      </c>
      <c r="I1952" t="n">
        <v>0.5</v>
      </c>
      <c r="J1952" t="n">
        <v>1</v>
      </c>
      <c r="K1952" t="inlineStr"/>
    </row>
    <row r="1953">
      <c r="A1953" t="inlineStr">
        <is>
          <t>SARSPDA70TS</t>
        </is>
      </c>
      <c r="B1953" t="inlineStr">
        <is>
          <t>FALDA SARA DAMA</t>
        </is>
      </c>
      <c r="C1953" t="inlineStr">
        <is>
          <t>Manufactura / Dama / P. Inferiores</t>
        </is>
      </c>
      <c r="D1953" t="n">
        <v>5</v>
      </c>
      <c r="E1953" t="n">
        <v>216.56779757</v>
      </c>
      <c r="F1953" t="n">
        <v>0.8358990171666667</v>
      </c>
      <c r="G1953" t="n">
        <v>23</v>
      </c>
      <c r="H1953" t="n">
        <v>9.500113852</v>
      </c>
      <c r="I1953" t="n">
        <v>0.5</v>
      </c>
      <c r="J1953" t="n">
        <v>0</v>
      </c>
      <c r="K1953" t="inlineStr"/>
    </row>
    <row r="1954">
      <c r="A1954" t="inlineStr">
        <is>
          <t>MARMICA34TM</t>
        </is>
      </c>
      <c r="B1954" t="inlineStr">
        <is>
          <t>MAR ORIGINAL CAB</t>
        </is>
      </c>
      <c r="C1954" t="inlineStr">
        <is>
          <t>Manufactura / Caballero / P. Superiores</t>
        </is>
      </c>
      <c r="D1954" t="n">
        <v>15</v>
      </c>
      <c r="E1954" t="n">
        <v>216.19317492</v>
      </c>
      <c r="F1954" t="n">
        <v>0.8911284604</v>
      </c>
      <c r="G1954" t="n">
        <v>0</v>
      </c>
      <c r="H1954" t="n">
        <v>4.946357428</v>
      </c>
      <c r="I1954" t="n">
        <v>1.5</v>
      </c>
      <c r="J1954" t="n">
        <v>0</v>
      </c>
      <c r="K1954" t="inlineStr">
        <is>
          <t>Sin stock</t>
        </is>
      </c>
    </row>
    <row r="1955">
      <c r="A1955" t="inlineStr">
        <is>
          <t>CLAMICA04TXL</t>
        </is>
      </c>
      <c r="B1955" t="inlineStr">
        <is>
          <t>CLASICA ORIGINAL CAB</t>
        </is>
      </c>
      <c r="C1955" t="inlineStr">
        <is>
          <t>Manufactura / Caballero / P. Superiores</t>
        </is>
      </c>
      <c r="D1955" t="n">
        <v>5</v>
      </c>
      <c r="E1955" t="n">
        <v>215.35039436</v>
      </c>
      <c r="F1955" t="n">
        <v>0.8900127976200001</v>
      </c>
      <c r="G1955" t="n">
        <v>24</v>
      </c>
      <c r="H1955" t="n">
        <v>4.598442536</v>
      </c>
      <c r="I1955" t="n">
        <v>0.5</v>
      </c>
      <c r="J1955" t="n">
        <v>2</v>
      </c>
      <c r="K1955" t="inlineStr"/>
    </row>
    <row r="1956">
      <c r="A1956" t="inlineStr">
        <is>
          <t>ANDMIDA12TL</t>
        </is>
      </c>
      <c r="B1956" t="inlineStr">
        <is>
          <t>ANDRE ORIGINAL DAMA</t>
        </is>
      </c>
      <c r="C1956" t="inlineStr">
        <is>
          <t>Manufactura / Dama / P. Superiores</t>
        </is>
      </c>
      <c r="D1956" t="n">
        <v>6</v>
      </c>
      <c r="E1956" t="n">
        <v>215.24891742</v>
      </c>
      <c r="F1956" t="n">
        <v>0.9070762347</v>
      </c>
      <c r="G1956" t="n">
        <v>41</v>
      </c>
      <c r="H1956" t="n">
        <v>3.274295302</v>
      </c>
      <c r="I1956" t="n">
        <v>0.6</v>
      </c>
      <c r="J1956" t="n">
        <v>1</v>
      </c>
      <c r="K1956" t="inlineStr"/>
    </row>
    <row r="1957">
      <c r="A1957" t="inlineStr">
        <is>
          <t>TALGTADA170TXS</t>
        </is>
      </c>
      <c r="B1957" t="inlineStr">
        <is>
          <t>URBAN COTTON TOP GRAY BLOCK DAMA</t>
        </is>
      </c>
      <c r="C1957" t="inlineStr">
        <is>
          <t>Manufactura / Dama / P. Superiores</t>
        </is>
      </c>
      <c r="D1957" t="n">
        <v>6</v>
      </c>
      <c r="E1957" t="n">
        <v>215.14351664</v>
      </c>
      <c r="F1957" t="n">
        <v>0.8534356191</v>
      </c>
      <c r="G1957" t="n">
        <v>30</v>
      </c>
      <c r="H1957" t="n">
        <v>7.811820557</v>
      </c>
      <c r="I1957" t="n">
        <v>0.6</v>
      </c>
      <c r="J1957" t="n">
        <v>3</v>
      </c>
      <c r="K1957" t="inlineStr"/>
    </row>
    <row r="1958">
      <c r="A1958" t="inlineStr">
        <is>
          <t>DOMBFCA30TL</t>
        </is>
      </c>
      <c r="B1958" t="inlineStr">
        <is>
          <t>DOMINIC BIO MOVE CAB</t>
        </is>
      </c>
      <c r="C1958" t="inlineStr">
        <is>
          <t>Manufactura / Caballero / P. Superiores</t>
        </is>
      </c>
      <c r="D1958" t="n">
        <v>4</v>
      </c>
      <c r="E1958" t="n">
        <v>214.87538553</v>
      </c>
      <c r="F1958" t="n">
        <v>0.8064473926333333</v>
      </c>
      <c r="G1958" t="n">
        <v>16</v>
      </c>
      <c r="H1958" t="n">
        <v>13.86</v>
      </c>
      <c r="I1958" t="n">
        <v>0.4</v>
      </c>
      <c r="J1958" t="n">
        <v>0</v>
      </c>
      <c r="K1958" t="inlineStr"/>
    </row>
    <row r="1959">
      <c r="A1959" t="inlineStr">
        <is>
          <t>SARSPKI30T4</t>
        </is>
      </c>
      <c r="B1959" t="inlineStr">
        <is>
          <t>FALDA SARA KIDS</t>
        </is>
      </c>
      <c r="C1959" t="inlineStr">
        <is>
          <t>Manufactura / Kids / P. Inferiores</t>
        </is>
      </c>
      <c r="D1959" t="n">
        <v>6</v>
      </c>
      <c r="E1959" t="n">
        <v>214.19932852</v>
      </c>
      <c r="F1959" t="n">
        <v>0.8564038576599999</v>
      </c>
      <c r="G1959" t="n">
        <v>11</v>
      </c>
      <c r="H1959" t="n">
        <v>5.753743316</v>
      </c>
      <c r="I1959" t="n">
        <v>0.6</v>
      </c>
      <c r="J1959" t="n">
        <v>0</v>
      </c>
      <c r="K1959" t="inlineStr"/>
    </row>
    <row r="1960">
      <c r="A1960" t="inlineStr">
        <is>
          <t>ACCMICA121TM</t>
        </is>
      </c>
      <c r="B1960" t="inlineStr">
        <is>
          <t>CLASICA ACTIVE CAB</t>
        </is>
      </c>
      <c r="C1960" t="inlineStr">
        <is>
          <t>Manufactura / Caballero / P. Superiores</t>
        </is>
      </c>
      <c r="D1960" t="n">
        <v>5</v>
      </c>
      <c r="E1960" t="n">
        <v>213.72768376</v>
      </c>
      <c r="F1960" t="n">
        <v>0.69766226272</v>
      </c>
      <c r="G1960" t="n">
        <v>1</v>
      </c>
      <c r="H1960" t="n">
        <v>12.74</v>
      </c>
      <c r="I1960" t="n">
        <v>0.5</v>
      </c>
      <c r="J1960" t="n">
        <v>2</v>
      </c>
      <c r="K1960" t="inlineStr"/>
    </row>
    <row r="1961">
      <c r="A1961" t="inlineStr">
        <is>
          <t>PANNTKI66T2</t>
        </is>
      </c>
      <c r="B1961" t="inlineStr">
        <is>
          <t>EXPLORE PANTS KIDS</t>
        </is>
      </c>
      <c r="C1961" t="inlineStr">
        <is>
          <t>Manufactura / Kids / P. Inferiores</t>
        </is>
      </c>
      <c r="D1961" t="n">
        <v>7</v>
      </c>
      <c r="E1961" t="n">
        <v>213.50042324</v>
      </c>
      <c r="F1961" t="n">
        <v>0.7029695435857143</v>
      </c>
      <c r="G1961" t="n">
        <v>31</v>
      </c>
      <c r="H1961" t="n">
        <v>13.98</v>
      </c>
      <c r="I1961" t="n">
        <v>0.7</v>
      </c>
      <c r="J1961" t="n">
        <v>5</v>
      </c>
      <c r="K1961" t="inlineStr"/>
    </row>
    <row r="1962">
      <c r="A1962" t="inlineStr">
        <is>
          <t>RIOMIKI53T6</t>
        </is>
      </c>
      <c r="B1962" t="inlineStr">
        <is>
          <t>RIO ORIGINAL KIDS</t>
        </is>
      </c>
      <c r="C1962" t="inlineStr">
        <is>
          <t>Manufactura / Kids / P. Superiores</t>
        </is>
      </c>
      <c r="D1962" t="n">
        <v>5</v>
      </c>
      <c r="E1962" t="n">
        <v>213.04045554</v>
      </c>
      <c r="F1962" t="n">
        <v>0.91273231678</v>
      </c>
      <c r="G1962" t="n">
        <v>21</v>
      </c>
      <c r="H1962" t="n">
        <v>3.617969464</v>
      </c>
      <c r="I1962" t="n">
        <v>0.5</v>
      </c>
      <c r="J1962" t="n">
        <v>2</v>
      </c>
      <c r="K1962" t="inlineStr"/>
    </row>
    <row r="1963">
      <c r="A1963" t="inlineStr">
        <is>
          <t>CLAMIKI43T4</t>
        </is>
      </c>
      <c r="B1963" t="inlineStr">
        <is>
          <t>CLASICA ORIGINAL KIDS</t>
        </is>
      </c>
      <c r="C1963" t="inlineStr">
        <is>
          <t>Manufactura / Kids / P. Superiores</t>
        </is>
      </c>
      <c r="D1963" t="n">
        <v>7</v>
      </c>
      <c r="E1963" t="n">
        <v>212.64102877</v>
      </c>
      <c r="F1963" t="n">
        <v>0.9302980063857144</v>
      </c>
      <c r="G1963" t="n">
        <v>65</v>
      </c>
      <c r="H1963" t="n">
        <v>2.053774806</v>
      </c>
      <c r="I1963" t="n">
        <v>0.7</v>
      </c>
      <c r="J1963" t="n">
        <v>0</v>
      </c>
      <c r="K1963" t="inlineStr"/>
    </row>
    <row r="1964">
      <c r="A1964" t="inlineStr">
        <is>
          <t>SHOUNKI01T1</t>
        </is>
      </c>
      <c r="B1964" t="inlineStr">
        <is>
          <t>SHORT PLAYA KIDS</t>
        </is>
      </c>
      <c r="C1964" t="inlineStr">
        <is>
          <t>Manufactura / Kids / P. Inferiores</t>
        </is>
      </c>
      <c r="D1964" t="n">
        <v>5</v>
      </c>
      <c r="E1964" t="n">
        <v>212.57727231</v>
      </c>
      <c r="F1964" t="n">
        <v>0.85392418876</v>
      </c>
      <c r="G1964" t="n">
        <v>12</v>
      </c>
      <c r="H1964" t="n">
        <v>6.09</v>
      </c>
      <c r="I1964" t="n">
        <v>0.5</v>
      </c>
      <c r="J1964" t="n">
        <v>0</v>
      </c>
      <c r="K1964" t="inlineStr"/>
    </row>
    <row r="1965">
      <c r="A1965" t="inlineStr">
        <is>
          <t>RIOMIDA30TL</t>
        </is>
      </c>
      <c r="B1965" t="inlineStr">
        <is>
          <t>RIO ORIGINAL DAMA</t>
        </is>
      </c>
      <c r="C1965" t="inlineStr">
        <is>
          <t>Manufactura / Dama / P. Superiores</t>
        </is>
      </c>
      <c r="D1965" t="n">
        <v>4</v>
      </c>
      <c r="E1965" t="n">
        <v>212.50174183</v>
      </c>
      <c r="F1965" t="n">
        <v>0.8960682794666667</v>
      </c>
      <c r="G1965" t="n">
        <v>2</v>
      </c>
      <c r="H1965" t="n">
        <v>5.538832275</v>
      </c>
      <c r="I1965" t="n">
        <v>0.4</v>
      </c>
      <c r="J1965" t="n">
        <v>5</v>
      </c>
      <c r="K1965" t="inlineStr"/>
    </row>
    <row r="1966">
      <c r="A1966" t="inlineStr">
        <is>
          <t>ZOEMIKI43T12</t>
        </is>
      </c>
      <c r="B1966" t="inlineStr">
        <is>
          <t>ZOE ORIGINAL KIDS</t>
        </is>
      </c>
      <c r="C1966" t="inlineStr">
        <is>
          <t>Manufactura / Kids / P. Superiores</t>
        </is>
      </c>
      <c r="D1966" t="n">
        <v>7</v>
      </c>
      <c r="E1966" t="n">
        <v>212.44398981</v>
      </c>
      <c r="F1966" t="n">
        <v>0.8602153450571429</v>
      </c>
      <c r="G1966" t="n">
        <v>24</v>
      </c>
      <c r="H1966" t="n">
        <v>4.12</v>
      </c>
      <c r="I1966" t="n">
        <v>0.7</v>
      </c>
      <c r="J1966" t="n">
        <v>4</v>
      </c>
      <c r="K1966" t="inlineStr"/>
    </row>
    <row r="1967">
      <c r="A1967" t="inlineStr">
        <is>
          <t>MIKFNDA24TXS</t>
        </is>
      </c>
      <c r="B1967" t="inlineStr">
        <is>
          <t>MIKA SPORT LITE DAMA</t>
        </is>
      </c>
      <c r="C1967" t="inlineStr">
        <is>
          <t>Manufactura / Dama / P. Superiores</t>
        </is>
      </c>
      <c r="D1967" t="n">
        <v>7</v>
      </c>
      <c r="E1967" t="n">
        <v>212.29484265</v>
      </c>
      <c r="F1967" t="n">
        <v>0.8659154717599999</v>
      </c>
      <c r="G1967" t="n">
        <v>39</v>
      </c>
      <c r="H1967" t="n">
        <v>5.484675344</v>
      </c>
      <c r="I1967" t="n">
        <v>0.7</v>
      </c>
      <c r="J1967" t="n">
        <v>0</v>
      </c>
      <c r="K1967" t="inlineStr"/>
    </row>
    <row r="1968">
      <c r="A1968" t="inlineStr">
        <is>
          <t>ANDMIDA13TL</t>
        </is>
      </c>
      <c r="B1968" t="inlineStr">
        <is>
          <t>ANDRE ORIGINAL DAMA</t>
        </is>
      </c>
      <c r="C1968" t="inlineStr">
        <is>
          <t>Manufactura / Dama / P. Superiores</t>
        </is>
      </c>
      <c r="D1968" t="n">
        <v>5</v>
      </c>
      <c r="E1968" t="n">
        <v>212.20310374</v>
      </c>
      <c r="F1968" t="n">
        <v>0.9184683830714286</v>
      </c>
      <c r="G1968" t="n">
        <v>1</v>
      </c>
      <c r="H1968" t="n">
        <v>3.274295302</v>
      </c>
      <c r="I1968" t="n">
        <v>0.5</v>
      </c>
      <c r="J1968" t="n">
        <v>4</v>
      </c>
      <c r="K1968" t="inlineStr"/>
    </row>
    <row r="1969">
      <c r="A1969" t="inlineStr">
        <is>
          <t>RIOMIKI43T1</t>
        </is>
      </c>
      <c r="B1969" t="inlineStr">
        <is>
          <t>RIO ORIGINAL KIDS</t>
        </is>
      </c>
      <c r="C1969" t="inlineStr">
        <is>
          <t>Manufactura / Kids / P. Superiores</t>
        </is>
      </c>
      <c r="D1969" t="n">
        <v>5</v>
      </c>
      <c r="E1969" t="n">
        <v>211.91155683</v>
      </c>
      <c r="F1969" t="n">
        <v>0.9133521122799999</v>
      </c>
      <c r="G1969" t="n">
        <v>0</v>
      </c>
      <c r="H1969" t="n">
        <v>3.617969464</v>
      </c>
      <c r="I1969" t="n">
        <v>0.5</v>
      </c>
      <c r="J1969" t="n">
        <v>6</v>
      </c>
      <c r="K1969" t="inlineStr">
        <is>
          <t>Sin stock</t>
        </is>
      </c>
    </row>
    <row r="1970">
      <c r="A1970" t="inlineStr">
        <is>
          <t>MARMIKI28T6</t>
        </is>
      </c>
      <c r="B1970" t="inlineStr">
        <is>
          <t>MAR ORIGINAL KIDS</t>
        </is>
      </c>
      <c r="C1970" t="inlineStr">
        <is>
          <t>Manufactura / Kids / P. Superiores</t>
        </is>
      </c>
      <c r="D1970" t="n">
        <v>6</v>
      </c>
      <c r="E1970" t="n">
        <v>211.69103284</v>
      </c>
      <c r="F1970" t="n">
        <v>0.9099638617</v>
      </c>
      <c r="G1970" t="n">
        <v>0</v>
      </c>
      <c r="H1970" t="n">
        <v>3.168013332</v>
      </c>
      <c r="I1970" t="n">
        <v>0.6</v>
      </c>
      <c r="J1970" t="n">
        <v>7</v>
      </c>
      <c r="K1970" t="inlineStr">
        <is>
          <t>Sin stock</t>
        </is>
      </c>
    </row>
    <row r="1971">
      <c r="A1971" t="inlineStr">
        <is>
          <t>SABSTKI30T12</t>
        </is>
      </c>
      <c r="B1971" t="inlineStr">
        <is>
          <t>RETRO VZLA KIDS</t>
        </is>
      </c>
      <c r="C1971" t="inlineStr">
        <is>
          <t>Manufactura / Dama / P. Superiores</t>
        </is>
      </c>
      <c r="D1971" t="n">
        <v>6</v>
      </c>
      <c r="E1971" t="n">
        <v>211.15507997</v>
      </c>
      <c r="F1971" t="n">
        <v>0.6854279706833334</v>
      </c>
      <c r="G1971" t="n">
        <v>1</v>
      </c>
      <c r="H1971" t="n">
        <v>10.18</v>
      </c>
      <c r="I1971" t="n">
        <v>0.6</v>
      </c>
      <c r="J1971" t="n">
        <v>6</v>
      </c>
      <c r="K1971" t="inlineStr"/>
    </row>
    <row r="1972">
      <c r="A1972" t="inlineStr">
        <is>
          <t>ADUMMCA11TS</t>
        </is>
      </c>
      <c r="B1972" t="inlineStr">
        <is>
          <t>ACTIVE DUO CAB</t>
        </is>
      </c>
      <c r="C1972" t="inlineStr">
        <is>
          <t>Manufactura / Caballero / P. Superiores</t>
        </is>
      </c>
      <c r="D1972" t="n">
        <v>11</v>
      </c>
      <c r="E1972" t="n">
        <v>211.02416867</v>
      </c>
      <c r="F1972" t="n">
        <v>0.8742734269</v>
      </c>
      <c r="G1972" t="n">
        <v>22</v>
      </c>
      <c r="H1972" t="n">
        <v>5.09</v>
      </c>
      <c r="I1972" t="n">
        <v>1.1</v>
      </c>
      <c r="J1972" t="n">
        <v>0</v>
      </c>
      <c r="K1972" t="inlineStr"/>
    </row>
    <row r="1973">
      <c r="A1973" t="inlineStr">
        <is>
          <t>SHONTDA12TS</t>
        </is>
      </c>
      <c r="B1973" t="inlineStr">
        <is>
          <t>EXPLORE SHORT DAMA</t>
        </is>
      </c>
      <c r="C1973" t="inlineStr">
        <is>
          <t>Manufactura / Dama / P. Inferiores</t>
        </is>
      </c>
      <c r="D1973" t="n">
        <v>4</v>
      </c>
      <c r="E1973" t="n">
        <v>210.41348541</v>
      </c>
      <c r="F1973" t="n">
        <v>0.799789283375</v>
      </c>
      <c r="G1973" t="n">
        <v>87</v>
      </c>
      <c r="H1973" t="n">
        <v>10.22113744</v>
      </c>
      <c r="I1973" t="n">
        <v>0.4</v>
      </c>
      <c r="J1973" t="n">
        <v>3</v>
      </c>
      <c r="K1973" t="inlineStr"/>
    </row>
    <row r="1974">
      <c r="A1974" t="inlineStr">
        <is>
          <t>GEOMACADA43TXS</t>
        </is>
      </c>
      <c r="B1974" t="inlineStr">
        <is>
          <t>ADVANCE GEO MAYA DAMA</t>
        </is>
      </c>
      <c r="C1974" t="inlineStr">
        <is>
          <t>Manufactura / Dama / P. Superiores</t>
        </is>
      </c>
      <c r="D1974" t="n">
        <v>5</v>
      </c>
      <c r="E1974" t="n">
        <v>209.94736461</v>
      </c>
      <c r="F1974" t="n">
        <v>0.8490981379333333</v>
      </c>
      <c r="G1974" t="n">
        <v>23</v>
      </c>
      <c r="H1974" t="n">
        <v>10.33</v>
      </c>
      <c r="I1974" t="n">
        <v>0.5</v>
      </c>
      <c r="J1974" t="n">
        <v>0</v>
      </c>
      <c r="K1974" t="inlineStr"/>
    </row>
    <row r="1975">
      <c r="A1975" t="inlineStr">
        <is>
          <t>ANDMIDA66TS</t>
        </is>
      </c>
      <c r="B1975" t="inlineStr">
        <is>
          <t>ANDRE ORIGINAL DAMA</t>
        </is>
      </c>
      <c r="C1975" t="inlineStr">
        <is>
          <t>Manufactura / Dama / P. Superiores</t>
        </is>
      </c>
      <c r="D1975" t="n">
        <v>7</v>
      </c>
      <c r="E1975" t="n">
        <v>209.79087016</v>
      </c>
      <c r="F1975" t="n">
        <v>0.8935234793000001</v>
      </c>
      <c r="G1975" t="n">
        <v>28</v>
      </c>
      <c r="H1975" t="n">
        <v>3.274295302</v>
      </c>
      <c r="I1975" t="n">
        <v>0.7</v>
      </c>
      <c r="J1975" t="n">
        <v>0</v>
      </c>
      <c r="K1975" t="inlineStr"/>
    </row>
    <row r="1976">
      <c r="A1976" t="inlineStr">
        <is>
          <t>ZOEMIDA12TXS</t>
        </is>
      </c>
      <c r="B1976" t="inlineStr">
        <is>
          <t>ZOE ORIGINAL DAMA</t>
        </is>
      </c>
      <c r="C1976" t="inlineStr">
        <is>
          <t>Manufactura / Dama / P. Superiores</t>
        </is>
      </c>
      <c r="D1976" t="n">
        <v>6</v>
      </c>
      <c r="E1976" t="n">
        <v>208.59352475</v>
      </c>
      <c r="F1976" t="n">
        <v>0.899981628675</v>
      </c>
      <c r="G1976" t="n">
        <v>0</v>
      </c>
      <c r="H1976" t="n">
        <v>4.116585696</v>
      </c>
      <c r="I1976" t="n">
        <v>0.6</v>
      </c>
      <c r="J1976" t="n">
        <v>7</v>
      </c>
      <c r="K1976" t="inlineStr">
        <is>
          <t>Sin stock</t>
        </is>
      </c>
    </row>
    <row r="1977">
      <c r="A1977" t="inlineStr">
        <is>
          <t>HELBFDA206TM</t>
        </is>
      </c>
      <c r="B1977" t="inlineStr">
        <is>
          <t>HELEN BIO MOVE DAMA</t>
        </is>
      </c>
      <c r="C1977" t="inlineStr">
        <is>
          <t>Manufactura / Dama / P. Superiores</t>
        </is>
      </c>
      <c r="D1977" t="n">
        <v>5</v>
      </c>
      <c r="E1977" t="n">
        <v>208.25407443</v>
      </c>
      <c r="F1977" t="n">
        <v>0.8905179338333333</v>
      </c>
      <c r="G1977" t="n">
        <v>19</v>
      </c>
      <c r="H1977" t="n">
        <v>7.340817459999999</v>
      </c>
      <c r="I1977" t="n">
        <v>0.5</v>
      </c>
      <c r="J1977" t="n">
        <v>0</v>
      </c>
      <c r="K1977" t="inlineStr"/>
    </row>
    <row r="1978">
      <c r="A1978" t="inlineStr">
        <is>
          <t>RIOMIDA05TS</t>
        </is>
      </c>
      <c r="B1978" t="inlineStr">
        <is>
          <t>RIO ORIGINAL DAMA</t>
        </is>
      </c>
      <c r="C1978" t="inlineStr">
        <is>
          <t>Manufactura / Dama / P. Superiores</t>
        </is>
      </c>
      <c r="D1978" t="n">
        <v>4</v>
      </c>
      <c r="E1978" t="n">
        <v>207.70623241</v>
      </c>
      <c r="F1978" t="n">
        <v>0.8913346872</v>
      </c>
      <c r="G1978" t="n">
        <v>0</v>
      </c>
      <c r="H1978" t="n">
        <v>5.538832275</v>
      </c>
      <c r="I1978" t="n">
        <v>0.4</v>
      </c>
      <c r="J1978" t="n">
        <v>8</v>
      </c>
      <c r="K1978" t="inlineStr">
        <is>
          <t>Sin stock</t>
        </is>
      </c>
    </row>
    <row r="1979">
      <c r="A1979" t="inlineStr">
        <is>
          <t>SHONRKI43T4</t>
        </is>
      </c>
      <c r="B1979" t="inlineStr">
        <is>
          <t>SHORT SPORT KIDS</t>
        </is>
      </c>
      <c r="C1979" t="inlineStr">
        <is>
          <t>Manufactura / Kids / P. Inferiores</t>
        </is>
      </c>
      <c r="D1979" t="n">
        <v>6</v>
      </c>
      <c r="E1979" t="n">
        <v>207.66381727</v>
      </c>
      <c r="F1979" t="n">
        <v>0.8414360241000001</v>
      </c>
      <c r="G1979" t="n">
        <v>40</v>
      </c>
      <c r="H1979" t="n">
        <v>6.465724382</v>
      </c>
      <c r="I1979" t="n">
        <v>0.6</v>
      </c>
      <c r="J1979" t="n">
        <v>0</v>
      </c>
      <c r="K1979" t="inlineStr"/>
    </row>
    <row r="1980">
      <c r="A1980" t="inlineStr">
        <is>
          <t>MAYFNDA16TL</t>
        </is>
      </c>
      <c r="B1980" t="inlineStr">
        <is>
          <t>MAYA SPORT LITE DAMA</t>
        </is>
      </c>
      <c r="C1980" t="inlineStr">
        <is>
          <t>Manufactura / Dama / P. Superiores</t>
        </is>
      </c>
      <c r="D1980" t="n">
        <v>7</v>
      </c>
      <c r="E1980" t="n">
        <v>207.44572993</v>
      </c>
      <c r="F1980" t="n">
        <v>0.8857064761000001</v>
      </c>
      <c r="G1980" t="n">
        <v>4</v>
      </c>
      <c r="H1980" t="n">
        <v>3.87</v>
      </c>
      <c r="I1980" t="n">
        <v>0.7</v>
      </c>
      <c r="J1980" t="n">
        <v>3</v>
      </c>
      <c r="K1980" t="inlineStr"/>
    </row>
    <row r="1981">
      <c r="A1981" t="inlineStr">
        <is>
          <t>VIVMIDA43TXL</t>
        </is>
      </c>
      <c r="B1981" t="inlineStr">
        <is>
          <t>VIVI ORIGINAL DAMA</t>
        </is>
      </c>
      <c r="C1981" t="inlineStr">
        <is>
          <t>Manufactura / Dama / P. Superiores</t>
        </is>
      </c>
      <c r="D1981" t="n">
        <v>5</v>
      </c>
      <c r="E1981" t="n">
        <v>207.24349809</v>
      </c>
      <c r="F1981" t="n">
        <v>0.89256668232</v>
      </c>
      <c r="G1981" t="n">
        <v>30</v>
      </c>
      <c r="H1981" t="n">
        <v>4.303181706</v>
      </c>
      <c r="I1981" t="n">
        <v>0.5</v>
      </c>
      <c r="J1981" t="n">
        <v>3</v>
      </c>
      <c r="K1981" t="inlineStr"/>
    </row>
    <row r="1982">
      <c r="A1982" t="inlineStr">
        <is>
          <t>CLAMEKI12T6</t>
        </is>
      </c>
      <c r="B1982" t="inlineStr">
        <is>
          <t>CLASICA SPORT KIDS</t>
        </is>
      </c>
      <c r="C1982" t="inlineStr">
        <is>
          <t>Manufactura / Kids / P. Superiores</t>
        </is>
      </c>
      <c r="D1982" t="n">
        <v>6</v>
      </c>
      <c r="E1982" t="n">
        <v>207.15712696</v>
      </c>
      <c r="F1982" t="n">
        <v>0.8814082709833334</v>
      </c>
      <c r="G1982" t="n">
        <v>45</v>
      </c>
      <c r="H1982" t="n">
        <v>3.97</v>
      </c>
      <c r="I1982" t="n">
        <v>0.6</v>
      </c>
      <c r="J1982" t="n">
        <v>0</v>
      </c>
      <c r="K1982" t="inlineStr"/>
    </row>
    <row r="1983">
      <c r="A1983" t="inlineStr">
        <is>
          <t>MAYFNDA70TXS</t>
        </is>
      </c>
      <c r="B1983" t="inlineStr">
        <is>
          <t>MAYA SPORT LITE DAMA</t>
        </is>
      </c>
      <c r="C1983" t="inlineStr">
        <is>
          <t>Manufactura / Dama / P. Superiores</t>
        </is>
      </c>
      <c r="D1983" t="n">
        <v>7</v>
      </c>
      <c r="E1983" t="n">
        <v>206.87279231</v>
      </c>
      <c r="F1983" t="n">
        <v>0.8828401351499999</v>
      </c>
      <c r="G1983" t="n">
        <v>56</v>
      </c>
      <c r="H1983" t="n">
        <v>3.87</v>
      </c>
      <c r="I1983" t="n">
        <v>0.7</v>
      </c>
      <c r="J1983" t="n">
        <v>2</v>
      </c>
      <c r="K1983" t="inlineStr"/>
    </row>
    <row r="1984">
      <c r="A1984" t="inlineStr">
        <is>
          <t>CCBHMDA151TM</t>
        </is>
      </c>
      <c r="B1984" t="inlineStr">
        <is>
          <t>CLUB CLASICA DAMA</t>
        </is>
      </c>
      <c r="C1984" t="inlineStr">
        <is>
          <t>Manufactura / Dama / P. Superiores</t>
        </is>
      </c>
      <c r="D1984" t="n">
        <v>5</v>
      </c>
      <c r="E1984" t="n">
        <v>206.7126257860278</v>
      </c>
      <c r="F1984" t="n">
        <v>0.9752422346333334</v>
      </c>
      <c r="G1984" t="n">
        <v>11</v>
      </c>
      <c r="H1984" t="n">
        <v>1</v>
      </c>
      <c r="I1984" t="n">
        <v>0.5</v>
      </c>
      <c r="J1984" t="n">
        <v>1</v>
      </c>
      <c r="K1984" t="inlineStr"/>
    </row>
    <row r="1985">
      <c r="A1985" t="inlineStr">
        <is>
          <t>MAADFDA151TXL</t>
        </is>
      </c>
      <c r="B1985" t="inlineStr">
        <is>
          <t>MAFE ADVANCE DAMA</t>
        </is>
      </c>
      <c r="C1985" t="inlineStr">
        <is>
          <t>Manufactura / Dama / P. Superiores</t>
        </is>
      </c>
      <c r="D1985" t="n">
        <v>4</v>
      </c>
      <c r="E1985" t="n">
        <v>206.50025204</v>
      </c>
      <c r="F1985" t="n">
        <v>0.9034240180749999</v>
      </c>
      <c r="G1985" t="n">
        <v>13</v>
      </c>
      <c r="H1985" t="n">
        <v>4.98</v>
      </c>
      <c r="I1985" t="n">
        <v>0.4</v>
      </c>
      <c r="J1985" t="n">
        <v>5</v>
      </c>
      <c r="K1985" t="inlineStr"/>
    </row>
    <row r="1986">
      <c r="A1986" t="inlineStr">
        <is>
          <t>ANMSUDA43TXL</t>
        </is>
      </c>
      <c r="B1986" t="inlineStr">
        <is>
          <t>ANDRE MOTION DAMA</t>
        </is>
      </c>
      <c r="C1986" t="inlineStr">
        <is>
          <t>Manufactura / Dama / P. Superiores</t>
        </is>
      </c>
      <c r="D1986" t="n">
        <v>5</v>
      </c>
      <c r="E1986" t="n">
        <v>206.47964952</v>
      </c>
      <c r="F1986" t="n">
        <v>0.74141662996</v>
      </c>
      <c r="G1986" t="n">
        <v>8</v>
      </c>
      <c r="H1986" t="n">
        <v>10.6</v>
      </c>
      <c r="I1986" t="n">
        <v>0.5</v>
      </c>
      <c r="J1986" t="n">
        <v>0</v>
      </c>
      <c r="K1986" t="inlineStr"/>
    </row>
    <row r="1987">
      <c r="A1987" t="inlineStr">
        <is>
          <t>HELBFDA206TXL</t>
        </is>
      </c>
      <c r="B1987" t="inlineStr">
        <is>
          <t>HELEN BIO MOVE DAMA</t>
        </is>
      </c>
      <c r="C1987" t="inlineStr">
        <is>
          <t>Manufactura / Dama / P. Superiores</t>
        </is>
      </c>
      <c r="D1987" t="n">
        <v>3</v>
      </c>
      <c r="E1987" t="n">
        <v>206.33398265</v>
      </c>
      <c r="F1987" t="n">
        <v>0.8931286919666667</v>
      </c>
      <c r="G1987" t="n">
        <v>10</v>
      </c>
      <c r="H1987" t="n">
        <v>7.34081746</v>
      </c>
      <c r="I1987" t="n">
        <v>0.3</v>
      </c>
      <c r="J1987" t="n">
        <v>0</v>
      </c>
      <c r="K1987" t="inlineStr"/>
    </row>
    <row r="1988">
      <c r="A1988" t="inlineStr">
        <is>
          <t>GEOMACADA03TS</t>
        </is>
      </c>
      <c r="B1988" t="inlineStr">
        <is>
          <t>ADVANCE GEO MAYA DAMA</t>
        </is>
      </c>
      <c r="C1988" t="inlineStr">
        <is>
          <t>Manufactura / Dama / P. Superiores</t>
        </is>
      </c>
      <c r="D1988" t="n">
        <v>5</v>
      </c>
      <c r="E1988" t="n">
        <v>206.30310409</v>
      </c>
      <c r="F1988" t="n">
        <v>0.8497470933333333</v>
      </c>
      <c r="G1988" t="n">
        <v>31</v>
      </c>
      <c r="H1988" t="n">
        <v>10.33</v>
      </c>
      <c r="I1988" t="n">
        <v>0.5</v>
      </c>
      <c r="J1988" t="n">
        <v>1</v>
      </c>
      <c r="K1988" t="inlineStr"/>
    </row>
    <row r="1989">
      <c r="A1989" t="inlineStr">
        <is>
          <t>BUFMIGE43TUN</t>
        </is>
      </c>
      <c r="B1989" t="inlineStr">
        <is>
          <t>FLEX COVER</t>
        </is>
      </c>
      <c r="C1989" t="inlineStr">
        <is>
          <t>Manufactura / General</t>
        </is>
      </c>
      <c r="D1989" t="n">
        <v>20</v>
      </c>
      <c r="E1989" t="n">
        <v>206.2915171168353</v>
      </c>
      <c r="F1989" t="n">
        <v>0.7448792207722222</v>
      </c>
      <c r="G1989" t="n">
        <v>39</v>
      </c>
      <c r="H1989" t="n">
        <v>2.21</v>
      </c>
      <c r="I1989" t="n">
        <v>2</v>
      </c>
      <c r="J1989" t="n">
        <v>0</v>
      </c>
      <c r="K1989" t="inlineStr"/>
    </row>
    <row r="1990">
      <c r="A1990" t="inlineStr">
        <is>
          <t>MAADFDA70TXS</t>
        </is>
      </c>
      <c r="B1990" t="inlineStr">
        <is>
          <t>MAFE ADVANCE DAMA</t>
        </is>
      </c>
      <c r="C1990" t="inlineStr">
        <is>
          <t>Manufactura / Dama / P. Superiores</t>
        </is>
      </c>
      <c r="D1990" t="n">
        <v>6</v>
      </c>
      <c r="E1990" t="n">
        <v>206.25817275</v>
      </c>
      <c r="F1990" t="n">
        <v>0.872137691</v>
      </c>
      <c r="G1990" t="n">
        <v>23</v>
      </c>
      <c r="H1990" t="n">
        <v>4.98</v>
      </c>
      <c r="I1990" t="n">
        <v>0.6</v>
      </c>
      <c r="J1990" t="n">
        <v>5</v>
      </c>
      <c r="K1990" t="inlineStr"/>
    </row>
    <row r="1991">
      <c r="A1991" t="inlineStr">
        <is>
          <t>LARIMJDA16TM</t>
        </is>
      </c>
      <c r="B1991" t="inlineStr">
        <is>
          <t>LARISA ORIGINAL DAMA</t>
        </is>
      </c>
      <c r="C1991" t="inlineStr">
        <is>
          <t>Manufactura / Dama / P. Superiores</t>
        </is>
      </c>
      <c r="D1991" t="n">
        <v>6</v>
      </c>
      <c r="E1991" t="n">
        <v>206.16847952</v>
      </c>
      <c r="F1991" t="n">
        <v>0.95703804892</v>
      </c>
      <c r="G1991" t="n">
        <v>27</v>
      </c>
      <c r="H1991" t="n">
        <v>1.765998491</v>
      </c>
      <c r="I1991" t="n">
        <v>0.6</v>
      </c>
      <c r="J1991" t="n">
        <v>0</v>
      </c>
      <c r="K1991" t="inlineStr"/>
    </row>
    <row r="1992">
      <c r="A1992" t="inlineStr">
        <is>
          <t>POR34EQ</t>
        </is>
      </c>
      <c r="B1992" t="inlineStr">
        <is>
          <t>PORTAVASOS</t>
        </is>
      </c>
      <c r="C1992" t="inlineStr">
        <is>
          <t>Equipamiento / Accesorios</t>
        </is>
      </c>
      <c r="D1992" t="n">
        <v>45</v>
      </c>
      <c r="E1992" t="n">
        <v>205.856647952</v>
      </c>
      <c r="F1992" t="n">
        <v>0.827186356824138</v>
      </c>
      <c r="G1992" t="n">
        <v>72</v>
      </c>
      <c r="H1992" t="n">
        <v>1</v>
      </c>
      <c r="I1992" t="n">
        <v>4.5</v>
      </c>
      <c r="J1992" t="n">
        <v>1</v>
      </c>
      <c r="K1992" t="inlineStr"/>
    </row>
    <row r="1993">
      <c r="A1993" t="inlineStr">
        <is>
          <t>TMOFIDA10TM</t>
        </is>
      </c>
      <c r="B1993" t="inlineStr">
        <is>
          <t>TOP MOVA</t>
        </is>
      </c>
      <c r="C1993" t="inlineStr">
        <is>
          <t>Manufactura / Dama / P. Superiores</t>
        </is>
      </c>
      <c r="D1993" t="n">
        <v>4</v>
      </c>
      <c r="E1993" t="n">
        <v>205.75709623</v>
      </c>
      <c r="F1993" t="n">
        <v>0.8042843022</v>
      </c>
      <c r="G1993" t="n">
        <v>26</v>
      </c>
      <c r="H1993" t="n">
        <v>9.942967033</v>
      </c>
      <c r="I1993" t="n">
        <v>0.4</v>
      </c>
      <c r="J1993" t="n">
        <v>0</v>
      </c>
      <c r="K1993" t="inlineStr"/>
    </row>
    <row r="1994">
      <c r="A1994" t="inlineStr">
        <is>
          <t>ZOEMIKI43T14</t>
        </is>
      </c>
      <c r="B1994" t="inlineStr">
        <is>
          <t>ZOE ORIGINAL KIDS</t>
        </is>
      </c>
      <c r="C1994" t="inlineStr">
        <is>
          <t>Manufactura / Kids / P. Superiores</t>
        </is>
      </c>
      <c r="D1994" t="n">
        <v>7</v>
      </c>
      <c r="E1994" t="n">
        <v>205.64474762</v>
      </c>
      <c r="F1994" t="n">
        <v>0.8788700448999999</v>
      </c>
      <c r="G1994" t="n">
        <v>23</v>
      </c>
      <c r="H1994" t="n">
        <v>4.12</v>
      </c>
      <c r="I1994" t="n">
        <v>0.7</v>
      </c>
      <c r="J1994" t="n">
        <v>0</v>
      </c>
      <c r="K1994" t="inlineStr"/>
    </row>
    <row r="1995">
      <c r="A1995" t="inlineStr">
        <is>
          <t>ZOEMIKI70T10</t>
        </is>
      </c>
      <c r="B1995" t="inlineStr">
        <is>
          <t>ZOE ORIGINAL KIDS</t>
        </is>
      </c>
      <c r="C1995" t="inlineStr">
        <is>
          <t>Manufactura / Kids / P. Superiores</t>
        </is>
      </c>
      <c r="D1995" t="n">
        <v>5</v>
      </c>
      <c r="E1995" t="n">
        <v>204.77579061</v>
      </c>
      <c r="F1995" t="n">
        <v>0.8762702955857142</v>
      </c>
      <c r="G1995" t="n">
        <v>3</v>
      </c>
      <c r="H1995" t="n">
        <v>4.12</v>
      </c>
      <c r="I1995" t="n">
        <v>0.5</v>
      </c>
      <c r="J1995" t="n">
        <v>2</v>
      </c>
      <c r="K1995" t="inlineStr"/>
    </row>
    <row r="1996">
      <c r="A1996" t="inlineStr">
        <is>
          <t>TALGOTACA166T2XL</t>
        </is>
      </c>
      <c r="B1996" t="inlineStr">
        <is>
          <t>URBAN COTTON OVERSIZED HORIZONTE CAB</t>
        </is>
      </c>
      <c r="C1996" t="inlineStr">
        <is>
          <t>Manufactura / Caballero / P. Superiores</t>
        </is>
      </c>
      <c r="D1996" t="n">
        <v>4</v>
      </c>
      <c r="E1996" t="n">
        <v>204.48353919</v>
      </c>
      <c r="F1996" t="n">
        <v>0.7810824403833334</v>
      </c>
      <c r="G1996" t="n">
        <v>11</v>
      </c>
      <c r="H1996" t="n">
        <v>11.06389452</v>
      </c>
      <c r="I1996" t="n">
        <v>0.4</v>
      </c>
      <c r="J1996" t="n">
        <v>4</v>
      </c>
      <c r="K1996" t="inlineStr"/>
    </row>
    <row r="1997">
      <c r="A1997" t="inlineStr">
        <is>
          <t>MIKFNDA10T2XL</t>
        </is>
      </c>
      <c r="B1997" t="inlineStr">
        <is>
          <t>MIKA SPORT LITE DAMA</t>
        </is>
      </c>
      <c r="C1997" t="inlineStr">
        <is>
          <t>Manufactura / Dama / P. Superiores</t>
        </is>
      </c>
      <c r="D1997" t="n">
        <v>5</v>
      </c>
      <c r="E1997" t="n">
        <v>204.19119172</v>
      </c>
      <c r="F1997" t="n">
        <v>0.85852149462</v>
      </c>
      <c r="G1997" t="n">
        <v>19</v>
      </c>
      <c r="H1997" t="n">
        <v>5.484675344</v>
      </c>
      <c r="I1997" t="n">
        <v>0.5</v>
      </c>
      <c r="J1997" t="n">
        <v>3</v>
      </c>
      <c r="K1997" t="inlineStr"/>
    </row>
    <row r="1998">
      <c r="A1998" t="inlineStr">
        <is>
          <t>MARMIKI04T2</t>
        </is>
      </c>
      <c r="B1998" t="inlineStr">
        <is>
          <t>MAR ORIGINAL KIDS</t>
        </is>
      </c>
      <c r="C1998" t="inlineStr">
        <is>
          <t>Manufactura / Kids / P. Superiores</t>
        </is>
      </c>
      <c r="D1998" t="n">
        <v>7</v>
      </c>
      <c r="E1998" t="n">
        <v>202.41918545</v>
      </c>
      <c r="F1998" t="n">
        <v>0.9052752538333334</v>
      </c>
      <c r="G1998" t="n">
        <v>7</v>
      </c>
      <c r="H1998" t="n">
        <v>3.168013332</v>
      </c>
      <c r="I1998" t="n">
        <v>0.7</v>
      </c>
      <c r="J1998" t="n">
        <v>7</v>
      </c>
      <c r="K1998" t="inlineStr"/>
    </row>
    <row r="1999">
      <c r="A1999" t="inlineStr">
        <is>
          <t>TALGOTACA166TXL</t>
        </is>
      </c>
      <c r="B1999" t="inlineStr">
        <is>
          <t>URBAN COTTON OVERSIZED HORIZONTE CAB</t>
        </is>
      </c>
      <c r="C1999" t="inlineStr">
        <is>
          <t>Manufactura / Caballero / P. Superiores</t>
        </is>
      </c>
      <c r="D1999" t="n">
        <v>5</v>
      </c>
      <c r="E1999" t="n">
        <v>202.03204497</v>
      </c>
      <c r="F1999" t="n">
        <v>0.77280342735</v>
      </c>
      <c r="G1999" t="n">
        <v>23</v>
      </c>
      <c r="H1999" t="n">
        <v>11.06389452</v>
      </c>
      <c r="I1999" t="n">
        <v>0.5</v>
      </c>
      <c r="J1999" t="n">
        <v>4</v>
      </c>
      <c r="K1999" t="inlineStr"/>
    </row>
    <row r="2000">
      <c r="A2000" t="inlineStr">
        <is>
          <t>DOMBFCA206TS</t>
        </is>
      </c>
      <c r="B2000" t="inlineStr">
        <is>
          <t>DOMINIC BIO MOVE CAB</t>
        </is>
      </c>
      <c r="C2000" t="inlineStr">
        <is>
          <t>Manufactura / Caballero / P. Superiores</t>
        </is>
      </c>
      <c r="D2000" t="n">
        <v>6</v>
      </c>
      <c r="E2000" t="n">
        <v>201.5108152</v>
      </c>
      <c r="F2000" t="n">
        <v>0.77960563772</v>
      </c>
      <c r="G2000" t="n">
        <v>32</v>
      </c>
      <c r="H2000" t="n">
        <v>13.86</v>
      </c>
      <c r="I2000" t="n">
        <v>0.6</v>
      </c>
      <c r="J2000" t="n">
        <v>0</v>
      </c>
      <c r="K2000" t="inlineStr"/>
    </row>
    <row r="2001">
      <c r="A2001" t="inlineStr">
        <is>
          <t>RIOMICA24TS</t>
        </is>
      </c>
      <c r="B2001" t="inlineStr">
        <is>
          <t>RIO ORIGINAL CAB</t>
        </is>
      </c>
      <c r="C2001" t="inlineStr">
        <is>
          <t>Manufactura / Caballero / P. Superiores</t>
        </is>
      </c>
      <c r="D2001" t="n">
        <v>4</v>
      </c>
      <c r="E2001" t="n">
        <v>201.36813386</v>
      </c>
      <c r="F2001" t="n">
        <v>0.881363780575</v>
      </c>
      <c r="G2001" t="n">
        <v>0</v>
      </c>
      <c r="H2001" t="n">
        <v>5.939350288</v>
      </c>
      <c r="I2001" t="n">
        <v>0.4</v>
      </c>
      <c r="J2001" t="n">
        <v>9</v>
      </c>
      <c r="K2001" t="inlineStr">
        <is>
          <t>Sin stock</t>
        </is>
      </c>
    </row>
    <row r="2002">
      <c r="A2002" t="inlineStr">
        <is>
          <t>RIOMICA11T3XL</t>
        </is>
      </c>
      <c r="B2002" t="inlineStr">
        <is>
          <t>RIO ORIGINAL CAB</t>
        </is>
      </c>
      <c r="C2002" t="inlineStr">
        <is>
          <t>Manufactura / Caballero / P. Superiores</t>
        </is>
      </c>
      <c r="D2002" t="n">
        <v>3</v>
      </c>
      <c r="E2002" t="n">
        <v>201.19263625</v>
      </c>
      <c r="F2002" t="n">
        <v>0.898282237088889</v>
      </c>
      <c r="G2002" t="n">
        <v>10</v>
      </c>
      <c r="H2002" t="n">
        <v>5.939350288</v>
      </c>
      <c r="I2002" t="n">
        <v>0.3</v>
      </c>
      <c r="J2002" t="n">
        <v>0</v>
      </c>
      <c r="K2002" t="inlineStr"/>
    </row>
    <row r="2003">
      <c r="A2003" t="inlineStr">
        <is>
          <t>PANNTCA33T2XL</t>
        </is>
      </c>
      <c r="B2003" t="inlineStr">
        <is>
          <t>EXPLORE PANTS CAB</t>
        </is>
      </c>
      <c r="C2003" t="inlineStr">
        <is>
          <t>Manufactura / Caballero / P. Inferiores</t>
        </is>
      </c>
      <c r="D2003" t="n">
        <v>3</v>
      </c>
      <c r="E2003" t="n">
        <v>201</v>
      </c>
      <c r="F2003" t="n">
        <v>0.7658217161</v>
      </c>
      <c r="G2003" t="n">
        <v>20</v>
      </c>
      <c r="H2003" t="n">
        <v>15.68994502</v>
      </c>
      <c r="I2003" t="n">
        <v>0.3</v>
      </c>
      <c r="J2003" t="n">
        <v>0</v>
      </c>
      <c r="K2003" t="inlineStr"/>
    </row>
    <row r="2004">
      <c r="A2004" t="inlineStr">
        <is>
          <t>HELBFDA205TXL</t>
        </is>
      </c>
      <c r="B2004" t="inlineStr">
        <is>
          <t>HELEN BIO MOVE DAMA</t>
        </is>
      </c>
      <c r="C2004" t="inlineStr">
        <is>
          <t>Manufactura / Dama / P. Superiores</t>
        </is>
      </c>
      <c r="D2004" t="n">
        <v>3</v>
      </c>
      <c r="E2004" t="n">
        <v>200.95208829</v>
      </c>
      <c r="F2004" t="n">
        <v>0.8899388057333333</v>
      </c>
      <c r="G2004" t="n">
        <v>10</v>
      </c>
      <c r="H2004" t="n">
        <v>7.34081746</v>
      </c>
      <c r="I2004" t="n">
        <v>0.3</v>
      </c>
      <c r="J2004" t="n">
        <v>0</v>
      </c>
      <c r="K2004" t="inlineStr"/>
    </row>
    <row r="2005">
      <c r="A2005" t="inlineStr">
        <is>
          <t>CLAMIKI13T4</t>
        </is>
      </c>
      <c r="B2005" t="inlineStr">
        <is>
          <t>CLASICA ORIGINAL KIDS</t>
        </is>
      </c>
      <c r="C2005" t="inlineStr">
        <is>
          <t>Manufactura / Kids / P. Superiores</t>
        </is>
      </c>
      <c r="D2005" t="n">
        <v>6</v>
      </c>
      <c r="E2005" t="n">
        <v>200.22277471</v>
      </c>
      <c r="F2005" t="n">
        <v>0.93541454786</v>
      </c>
      <c r="G2005" t="n">
        <v>4</v>
      </c>
      <c r="H2005" t="n">
        <v>2.053774806</v>
      </c>
      <c r="I2005" t="n">
        <v>0.6</v>
      </c>
      <c r="J2005" t="n">
        <v>1</v>
      </c>
      <c r="K2005" t="inlineStr"/>
    </row>
    <row r="2006">
      <c r="A2006" t="inlineStr">
        <is>
          <t>TRA1318L</t>
        </is>
      </c>
      <c r="B2006" t="inlineStr">
        <is>
          <t>TRAVEL BAG 18L</t>
        </is>
      </c>
      <c r="C2006" t="inlineStr">
        <is>
          <t>Equipamiento / Bolsos</t>
        </is>
      </c>
      <c r="D2006" t="n">
        <v>4</v>
      </c>
      <c r="E2006" t="n">
        <v>200.13869163</v>
      </c>
      <c r="F2006" t="n">
        <v>0.7290850340666667</v>
      </c>
      <c r="G2006" t="n">
        <v>0</v>
      </c>
      <c r="H2006" t="n">
        <v>14.07</v>
      </c>
      <c r="I2006" t="n">
        <v>0.4</v>
      </c>
      <c r="J2006" t="n">
        <v>1</v>
      </c>
      <c r="K2006" t="inlineStr">
        <is>
          <t>Sin stock</t>
        </is>
      </c>
    </row>
    <row r="2007">
      <c r="A2007" t="inlineStr">
        <is>
          <t>MAYFNDA13TL</t>
        </is>
      </c>
      <c r="B2007" t="inlineStr">
        <is>
          <t>MAYA SPORT LITE DAMA</t>
        </is>
      </c>
      <c r="C2007" t="inlineStr">
        <is>
          <t>Manufactura / Dama / P. Superiores</t>
        </is>
      </c>
      <c r="D2007" t="n">
        <v>6</v>
      </c>
      <c r="E2007" t="n">
        <v>199.7391581</v>
      </c>
      <c r="F2007" t="n">
        <v>0.8971541608999999</v>
      </c>
      <c r="G2007" t="n">
        <v>1</v>
      </c>
      <c r="H2007" t="n">
        <v>3.87</v>
      </c>
      <c r="I2007" t="n">
        <v>0.6</v>
      </c>
      <c r="J2007" t="n">
        <v>2</v>
      </c>
      <c r="K2007" t="inlineStr"/>
    </row>
    <row r="2008">
      <c r="A2008" t="inlineStr">
        <is>
          <t>SHOUNKI50T6</t>
        </is>
      </c>
      <c r="B2008" t="inlineStr">
        <is>
          <t>SHORT PLAYA KIDS</t>
        </is>
      </c>
      <c r="C2008" t="inlineStr">
        <is>
          <t>Manufactura / Kids / P. Inferiores</t>
        </is>
      </c>
      <c r="D2008" t="n">
        <v>6</v>
      </c>
      <c r="E2008" t="n">
        <v>199.59833852</v>
      </c>
      <c r="F2008" t="n">
        <v>0.8148384891666667</v>
      </c>
      <c r="G2008" t="n">
        <v>19</v>
      </c>
      <c r="H2008" t="n">
        <v>6.09</v>
      </c>
      <c r="I2008" t="n">
        <v>0.6</v>
      </c>
      <c r="J2008" t="n">
        <v>3</v>
      </c>
      <c r="K2008" t="inlineStr"/>
    </row>
    <row r="2009">
      <c r="A2009" t="inlineStr">
        <is>
          <t>RIOMICA14TS</t>
        </is>
      </c>
      <c r="B2009" t="inlineStr">
        <is>
          <t>RIO ORIGINAL CAB</t>
        </is>
      </c>
      <c r="C2009" t="inlineStr">
        <is>
          <t>Manufactura / Caballero / P. Superiores</t>
        </is>
      </c>
      <c r="D2009" t="n">
        <v>4</v>
      </c>
      <c r="E2009" t="n">
        <v>198.61635306</v>
      </c>
      <c r="F2009" t="n">
        <v>0.8802963336</v>
      </c>
      <c r="G2009" t="n">
        <v>0</v>
      </c>
      <c r="H2009" t="n">
        <v>5.939350288</v>
      </c>
      <c r="I2009" t="n">
        <v>0.4</v>
      </c>
      <c r="J2009" t="n">
        <v>8</v>
      </c>
      <c r="K2009" t="inlineStr">
        <is>
          <t>Sin stock</t>
        </is>
      </c>
    </row>
    <row r="2010">
      <c r="A2010" t="inlineStr">
        <is>
          <t>ETN91E500ML</t>
        </is>
      </c>
      <c r="B2010" t="inlineStr">
        <is>
          <t>KAMBUKKA ETNA 500 ML</t>
        </is>
      </c>
      <c r="C2010" t="inlineStr">
        <is>
          <t>Equipamiento / Cava</t>
        </is>
      </c>
      <c r="D2010" t="n">
        <v>6</v>
      </c>
      <c r="E2010" t="n">
        <v>198.19900618</v>
      </c>
      <c r="F2010" t="n">
        <v>0.36945690402</v>
      </c>
      <c r="G2010" t="n">
        <v>30</v>
      </c>
      <c r="H2010" t="n">
        <v>24.5</v>
      </c>
      <c r="I2010" t="n">
        <v>0.6</v>
      </c>
      <c r="J2010" t="n">
        <v>5</v>
      </c>
      <c r="K2010" t="inlineStr"/>
    </row>
    <row r="2011">
      <c r="A2011" t="inlineStr">
        <is>
          <t>RIOMIKI09T8</t>
        </is>
      </c>
      <c r="B2011" t="inlineStr">
        <is>
          <t>RIO ORIGINAL KIDS</t>
        </is>
      </c>
      <c r="C2011" t="inlineStr">
        <is>
          <t>Manufactura / Kids / P. Superiores</t>
        </is>
      </c>
      <c r="D2011" t="n">
        <v>5</v>
      </c>
      <c r="E2011" t="n">
        <v>198.07477106</v>
      </c>
      <c r="F2011" t="n">
        <v>0.9083375332</v>
      </c>
      <c r="G2011" t="n">
        <v>0</v>
      </c>
      <c r="H2011" t="n">
        <v>3.617969464</v>
      </c>
      <c r="I2011" t="n">
        <v>0.5</v>
      </c>
      <c r="J2011" t="n">
        <v>8</v>
      </c>
      <c r="K2011" t="inlineStr">
        <is>
          <t>Sin stock</t>
        </is>
      </c>
    </row>
    <row r="2012">
      <c r="A2012" t="inlineStr">
        <is>
          <t>SABMEDA12TXS</t>
        </is>
      </c>
      <c r="B2012" t="inlineStr">
        <is>
          <t>SABRI SPORT DAMA</t>
        </is>
      </c>
      <c r="C2012" t="inlineStr">
        <is>
          <t>Manufactura / Dama / P. Superiores</t>
        </is>
      </c>
      <c r="D2012" t="n">
        <v>5</v>
      </c>
      <c r="E2012" t="n">
        <v>197.88668286</v>
      </c>
      <c r="F2012" t="n">
        <v>0.8978655573500001</v>
      </c>
      <c r="G2012" t="n">
        <v>36</v>
      </c>
      <c r="H2012" t="n">
        <v>4.51</v>
      </c>
      <c r="I2012" t="n">
        <v>0.5</v>
      </c>
      <c r="J2012" t="n">
        <v>3</v>
      </c>
      <c r="K2012" t="inlineStr"/>
    </row>
    <row r="2013">
      <c r="A2013" t="inlineStr">
        <is>
          <t>CCBHMDA03TM</t>
        </is>
      </c>
      <c r="B2013" t="inlineStr">
        <is>
          <t>CLUB CLASICA DAMA</t>
        </is>
      </c>
      <c r="C2013" t="inlineStr">
        <is>
          <t>Manufactura / Dama / P. Superiores</t>
        </is>
      </c>
      <c r="D2013" t="n">
        <v>9</v>
      </c>
      <c r="E2013" t="n">
        <v>197.5</v>
      </c>
      <c r="F2013" t="n">
        <v>0.9742063492285714</v>
      </c>
      <c r="G2013" t="n">
        <v>7</v>
      </c>
      <c r="H2013" t="n">
        <v>1</v>
      </c>
      <c r="I2013" t="n">
        <v>0.9</v>
      </c>
      <c r="J2013" t="n">
        <v>0</v>
      </c>
      <c r="K2013" t="inlineStr"/>
    </row>
    <row r="2014">
      <c r="A2014" t="inlineStr">
        <is>
          <t>CLAMICA05TM</t>
        </is>
      </c>
      <c r="B2014" t="inlineStr">
        <is>
          <t>CLASICA ORIGINAL CAB</t>
        </is>
      </c>
      <c r="C2014" t="inlineStr">
        <is>
          <t>Manufactura / Caballero / P. Superiores</t>
        </is>
      </c>
      <c r="D2014" t="n">
        <v>4</v>
      </c>
      <c r="E2014" t="n">
        <v>197.17622972</v>
      </c>
      <c r="F2014" t="n">
        <v>0.9065152588000001</v>
      </c>
      <c r="G2014" t="n">
        <v>0</v>
      </c>
      <c r="H2014" t="n">
        <v>4.598442536</v>
      </c>
      <c r="I2014" t="n">
        <v>0.4</v>
      </c>
      <c r="J2014" t="n">
        <v>4</v>
      </c>
      <c r="K2014" t="inlineStr">
        <is>
          <t>Sin stock</t>
        </is>
      </c>
    </row>
    <row r="2015">
      <c r="A2015" t="inlineStr">
        <is>
          <t>CLAMICA09TM</t>
        </is>
      </c>
      <c r="B2015" t="inlineStr">
        <is>
          <t>CLASICA ORIGINAL CAB</t>
        </is>
      </c>
      <c r="C2015" t="inlineStr">
        <is>
          <t>Manufactura / Caballero / P. Superiores</t>
        </is>
      </c>
      <c r="D2015" t="n">
        <v>20</v>
      </c>
      <c r="E2015" t="n">
        <v>196.96606902</v>
      </c>
      <c r="F2015" t="n">
        <v>0.88274135966</v>
      </c>
      <c r="G2015" t="n">
        <v>0</v>
      </c>
      <c r="H2015" t="n">
        <v>4.598442536</v>
      </c>
      <c r="I2015" t="n">
        <v>2</v>
      </c>
      <c r="J2015" t="n">
        <v>3</v>
      </c>
      <c r="K2015" t="inlineStr">
        <is>
          <t>Sin stock</t>
        </is>
      </c>
    </row>
    <row r="2016">
      <c r="A2016" t="inlineStr">
        <is>
          <t>ETN93E500ML</t>
        </is>
      </c>
      <c r="B2016" t="inlineStr">
        <is>
          <t>KAMBUKKA ETNA 500 ML</t>
        </is>
      </c>
      <c r="C2016" t="inlineStr">
        <is>
          <t>Equipamiento / Cava</t>
        </is>
      </c>
      <c r="D2016" t="n">
        <v>5</v>
      </c>
      <c r="E2016" t="n">
        <v>196.3214536</v>
      </c>
      <c r="F2016" t="n">
        <v>0.43323468175</v>
      </c>
      <c r="G2016" t="n">
        <v>40</v>
      </c>
      <c r="H2016" t="n">
        <v>24.5</v>
      </c>
      <c r="I2016" t="n">
        <v>0.5</v>
      </c>
      <c r="J2016" t="n">
        <v>4</v>
      </c>
      <c r="K2016" t="inlineStr"/>
    </row>
    <row r="2017">
      <c r="A2017" t="inlineStr">
        <is>
          <t>MARMIDA28TS</t>
        </is>
      </c>
      <c r="B2017" t="inlineStr">
        <is>
          <t>MAR ORIGINAL DAMA</t>
        </is>
      </c>
      <c r="C2017" t="inlineStr">
        <is>
          <t>Manufactura / Dama / P. Superiores</t>
        </is>
      </c>
      <c r="D2017" t="n">
        <v>14</v>
      </c>
      <c r="E2017" t="n">
        <v>196.2919709171607</v>
      </c>
      <c r="F2017" t="n">
        <v>0.9104672126</v>
      </c>
      <c r="G2017" t="n">
        <v>0</v>
      </c>
      <c r="H2017" t="n">
        <v>4.278324149</v>
      </c>
      <c r="I2017" t="n">
        <v>1.4</v>
      </c>
      <c r="J2017" t="n">
        <v>0</v>
      </c>
      <c r="K2017" t="inlineStr">
        <is>
          <t>Sin stock</t>
        </is>
      </c>
    </row>
    <row r="2018">
      <c r="A2018" t="inlineStr">
        <is>
          <t>RIOMIKI13T1</t>
        </is>
      </c>
      <c r="B2018" t="inlineStr">
        <is>
          <t>RIO ORIGINAL KIDS</t>
        </is>
      </c>
      <c r="C2018" t="inlineStr">
        <is>
          <t>Manufactura / Kids / P. Superiores</t>
        </is>
      </c>
      <c r="D2018" t="n">
        <v>5</v>
      </c>
      <c r="E2018" t="n">
        <v>195.64112625</v>
      </c>
      <c r="F2018" t="n">
        <v>0.905873352325</v>
      </c>
      <c r="G2018" t="n">
        <v>0</v>
      </c>
      <c r="H2018" t="n">
        <v>3.617969464</v>
      </c>
      <c r="I2018" t="n">
        <v>0.5</v>
      </c>
      <c r="J2018" t="n">
        <v>6</v>
      </c>
      <c r="K2018" t="inlineStr">
        <is>
          <t>Sin stock</t>
        </is>
      </c>
    </row>
    <row r="2019">
      <c r="A2019" t="inlineStr">
        <is>
          <t>TMOFIDA10TL</t>
        </is>
      </c>
      <c r="B2019" t="inlineStr">
        <is>
          <t>TOP MOVA</t>
        </is>
      </c>
      <c r="C2019" t="inlineStr">
        <is>
          <t>Manufactura / Dama / P. Superiores</t>
        </is>
      </c>
      <c r="D2019" t="n">
        <v>5</v>
      </c>
      <c r="E2019" t="n">
        <v>195.33908702</v>
      </c>
      <c r="F2019" t="n">
        <v>0.8452675993333334</v>
      </c>
      <c r="G2019" t="n">
        <v>11</v>
      </c>
      <c r="H2019" t="n">
        <v>9.942967033</v>
      </c>
      <c r="I2019" t="n">
        <v>0.5</v>
      </c>
      <c r="J2019" t="n">
        <v>1</v>
      </c>
      <c r="K2019" t="inlineStr"/>
    </row>
    <row r="2020">
      <c r="A2020" t="inlineStr">
        <is>
          <t>ANDMIDA39TM</t>
        </is>
      </c>
      <c r="B2020" t="inlineStr">
        <is>
          <t>ANDRE ORIGINAL DAMA</t>
        </is>
      </c>
      <c r="C2020" t="inlineStr">
        <is>
          <t>Manufactura / Dama / P. Superiores</t>
        </is>
      </c>
      <c r="D2020" t="n">
        <v>6</v>
      </c>
      <c r="E2020" t="n">
        <v>195.20871995</v>
      </c>
      <c r="F2020" t="n">
        <v>0.8991800561166666</v>
      </c>
      <c r="G2020" t="n">
        <v>0</v>
      </c>
      <c r="H2020" t="n">
        <v>3.274295302</v>
      </c>
      <c r="I2020" t="n">
        <v>0.6</v>
      </c>
      <c r="J2020" t="n">
        <v>8</v>
      </c>
      <c r="K2020" t="inlineStr">
        <is>
          <t>Sin stock</t>
        </is>
      </c>
    </row>
    <row r="2021">
      <c r="A2021" t="inlineStr">
        <is>
          <t>CLAMEKI12T8</t>
        </is>
      </c>
      <c r="B2021" t="inlineStr">
        <is>
          <t>CLASICA SPORT KIDS</t>
        </is>
      </c>
      <c r="C2021" t="inlineStr">
        <is>
          <t>Manufactura / Kids / P. Superiores</t>
        </is>
      </c>
      <c r="D2021" t="n">
        <v>6</v>
      </c>
      <c r="E2021" t="n">
        <v>195.01954905</v>
      </c>
      <c r="F2021" t="n">
        <v>0.8756310449</v>
      </c>
      <c r="G2021" t="n">
        <v>20</v>
      </c>
      <c r="H2021" t="n">
        <v>3.97</v>
      </c>
      <c r="I2021" t="n">
        <v>0.6</v>
      </c>
      <c r="J2021" t="n">
        <v>4</v>
      </c>
      <c r="K2021" t="inlineStr"/>
    </row>
    <row r="2022">
      <c r="A2022" t="inlineStr">
        <is>
          <t>CLAMIDA04TS</t>
        </is>
      </c>
      <c r="B2022" t="inlineStr">
        <is>
          <t>CLASICA ORIGINAL DAMA</t>
        </is>
      </c>
      <c r="C2022" t="inlineStr">
        <is>
          <t>Manufactura / Dama / P. Superiores</t>
        </is>
      </c>
      <c r="D2022" t="n">
        <v>5</v>
      </c>
      <c r="E2022" t="n">
        <v>194.71187685</v>
      </c>
      <c r="F2022" t="n">
        <v>0.89853520914</v>
      </c>
      <c r="G2022" t="n">
        <v>0</v>
      </c>
      <c r="H2022" t="n">
        <v>3.923227589000001</v>
      </c>
      <c r="I2022" t="n">
        <v>0.5</v>
      </c>
      <c r="J2022" t="n">
        <v>2</v>
      </c>
      <c r="K2022" t="inlineStr">
        <is>
          <t>Sin stock</t>
        </is>
      </c>
    </row>
    <row r="2023">
      <c r="A2023" t="inlineStr">
        <is>
          <t>ACDMIDA121TM</t>
        </is>
      </c>
      <c r="B2023" t="inlineStr">
        <is>
          <t>DANI ACTIVE DAMA</t>
        </is>
      </c>
      <c r="C2023" t="inlineStr">
        <is>
          <t>Manufactura / Dama / P. Superiores</t>
        </is>
      </c>
      <c r="D2023" t="n">
        <v>4</v>
      </c>
      <c r="E2023" t="n">
        <v>194.12151888</v>
      </c>
      <c r="F2023" t="n">
        <v>0.7954172014000001</v>
      </c>
      <c r="G2023" t="n">
        <v>3</v>
      </c>
      <c r="H2023" t="n">
        <v>9.82</v>
      </c>
      <c r="I2023" t="n">
        <v>0.4</v>
      </c>
      <c r="J2023" t="n">
        <v>0</v>
      </c>
      <c r="K2023" t="inlineStr"/>
    </row>
    <row r="2024">
      <c r="A2024" t="inlineStr">
        <is>
          <t>CLAMIKI30T12</t>
        </is>
      </c>
      <c r="B2024" t="inlineStr">
        <is>
          <t>CLASICA ORIGINAL KIDS</t>
        </is>
      </c>
      <c r="C2024" t="inlineStr">
        <is>
          <t>Manufactura / Kids / P. Superiores</t>
        </is>
      </c>
      <c r="D2024" t="n">
        <v>7</v>
      </c>
      <c r="E2024" t="n">
        <v>194.03099551</v>
      </c>
      <c r="F2024" t="n">
        <v>0.9276997629666668</v>
      </c>
      <c r="G2024" t="n">
        <v>32</v>
      </c>
      <c r="H2024" t="n">
        <v>2.053774806</v>
      </c>
      <c r="I2024" t="n">
        <v>0.7</v>
      </c>
      <c r="J2024" t="n">
        <v>0</v>
      </c>
      <c r="K2024" t="inlineStr"/>
    </row>
    <row r="2025">
      <c r="A2025" t="inlineStr">
        <is>
          <t>CLASTDA16TS</t>
        </is>
      </c>
      <c r="B2025" t="inlineStr">
        <is>
          <t>CLASICA ALGODON STRETCH DAMA</t>
        </is>
      </c>
      <c r="C2025" t="inlineStr">
        <is>
          <t>Manufactura / Dama / P. Superiores</t>
        </is>
      </c>
      <c r="D2025" t="n">
        <v>12</v>
      </c>
      <c r="E2025" t="n">
        <v>193.63168684</v>
      </c>
      <c r="F2025" t="n">
        <v>0.7787743586</v>
      </c>
      <c r="G2025" t="n">
        <v>0</v>
      </c>
      <c r="H2025" t="n">
        <v>9.27</v>
      </c>
      <c r="I2025" t="n">
        <v>1.2</v>
      </c>
      <c r="J2025" t="n">
        <v>5</v>
      </c>
      <c r="K2025" t="inlineStr">
        <is>
          <t>Sin stock</t>
        </is>
      </c>
    </row>
    <row r="2026">
      <c r="A2026" t="inlineStr">
        <is>
          <t>SHOUNCA68TS</t>
        </is>
      </c>
      <c r="B2026" t="inlineStr">
        <is>
          <t>SHORT PLAYA CAB</t>
        </is>
      </c>
      <c r="C2026" t="inlineStr">
        <is>
          <t>Manufactura / Caballero / P. Inferiores</t>
        </is>
      </c>
      <c r="D2026" t="n">
        <v>5</v>
      </c>
      <c r="E2026" t="n">
        <v>193.4564162</v>
      </c>
      <c r="F2026" t="n">
        <v>0.7102719612199999</v>
      </c>
      <c r="G2026" t="n">
        <v>0</v>
      </c>
      <c r="H2026" t="n">
        <v>9.99</v>
      </c>
      <c r="I2026" t="n">
        <v>0.5</v>
      </c>
      <c r="J2026" t="n">
        <v>7</v>
      </c>
      <c r="K2026" t="inlineStr">
        <is>
          <t>Sin stock</t>
        </is>
      </c>
    </row>
    <row r="2027">
      <c r="A2027" t="inlineStr">
        <is>
          <t>VIVMIDA43TS</t>
        </is>
      </c>
      <c r="B2027" t="inlineStr">
        <is>
          <t>VIVI ORIGINAL DAMA</t>
        </is>
      </c>
      <c r="C2027" t="inlineStr">
        <is>
          <t>Manufactura / Dama / P. Superiores</t>
        </is>
      </c>
      <c r="D2027" t="n">
        <v>9</v>
      </c>
      <c r="E2027" t="n">
        <v>193.41407244</v>
      </c>
      <c r="F2027" t="n">
        <v>0.87389656248</v>
      </c>
      <c r="G2027" t="n">
        <v>82</v>
      </c>
      <c r="H2027" t="n">
        <v>4.303181706</v>
      </c>
      <c r="I2027" t="n">
        <v>0.9</v>
      </c>
      <c r="J2027" t="n">
        <v>3</v>
      </c>
      <c r="K2027" t="inlineStr"/>
    </row>
    <row r="2028">
      <c r="A2028" t="inlineStr">
        <is>
          <t>VIVMIDA48TXS</t>
        </is>
      </c>
      <c r="B2028" t="inlineStr">
        <is>
          <t>VIVI ORIGINAL DAMA</t>
        </is>
      </c>
      <c r="C2028" t="inlineStr">
        <is>
          <t>Manufactura / Dama / P. Superiores</t>
        </is>
      </c>
      <c r="D2028" t="n">
        <v>6</v>
      </c>
      <c r="E2028" t="n">
        <v>192.65283232</v>
      </c>
      <c r="F2028" t="n">
        <v>0.8770750998400001</v>
      </c>
      <c r="G2028" t="n">
        <v>15</v>
      </c>
      <c r="H2028" t="n">
        <v>4.303181706</v>
      </c>
      <c r="I2028" t="n">
        <v>0.6</v>
      </c>
      <c r="J2028" t="n">
        <v>2</v>
      </c>
      <c r="K2028" t="inlineStr"/>
    </row>
    <row r="2029">
      <c r="A2029" t="inlineStr">
        <is>
          <t>DALSSTDA30TM</t>
        </is>
      </c>
      <c r="B2029" t="inlineStr">
        <is>
          <t>MANGA LARGA DAILY 2.0 DAMA</t>
        </is>
      </c>
      <c r="C2029" t="inlineStr">
        <is>
          <t>Manufactura / Dama / P. Superiores</t>
        </is>
      </c>
      <c r="D2029" t="n">
        <v>3</v>
      </c>
      <c r="E2029" t="n">
        <v>192.06685965</v>
      </c>
      <c r="F2029" t="n">
        <v>0.8063058172666667</v>
      </c>
      <c r="G2029" t="n">
        <v>1</v>
      </c>
      <c r="H2029" t="n">
        <v>12.3</v>
      </c>
      <c r="I2029" t="n">
        <v>0.3</v>
      </c>
      <c r="J2029" t="n">
        <v>3</v>
      </c>
      <c r="K2029" t="inlineStr"/>
    </row>
    <row r="2030">
      <c r="A2030" t="inlineStr">
        <is>
          <t>ZOEMIKI16T10</t>
        </is>
      </c>
      <c r="B2030" t="inlineStr">
        <is>
          <t>ZOE ORIGINAL KIDS</t>
        </is>
      </c>
      <c r="C2030" t="inlineStr">
        <is>
          <t>Manufactura / Kids / P. Superiores</t>
        </is>
      </c>
      <c r="D2030" t="n">
        <v>5</v>
      </c>
      <c r="E2030" t="n">
        <v>191.88283262</v>
      </c>
      <c r="F2030" t="n">
        <v>0.8932763138142857</v>
      </c>
      <c r="G2030" t="n">
        <v>21</v>
      </c>
      <c r="H2030" t="n">
        <v>4.12</v>
      </c>
      <c r="I2030" t="n">
        <v>0.5</v>
      </c>
      <c r="J2030" t="n">
        <v>0</v>
      </c>
      <c r="K2030" t="inlineStr"/>
    </row>
    <row r="2031">
      <c r="A2031" t="inlineStr">
        <is>
          <t>MARMIKI30T10</t>
        </is>
      </c>
      <c r="B2031" t="inlineStr">
        <is>
          <t>MAR ORIGINAL KIDS</t>
        </is>
      </c>
      <c r="C2031" t="inlineStr">
        <is>
          <t>Manufactura / Kids / P. Superiores</t>
        </is>
      </c>
      <c r="D2031" t="n">
        <v>5</v>
      </c>
      <c r="E2031" t="n">
        <v>191.19461494</v>
      </c>
      <c r="F2031" t="n">
        <v>0.91691600248</v>
      </c>
      <c r="G2031" t="n">
        <v>0</v>
      </c>
      <c r="H2031" t="n">
        <v>3.168013332</v>
      </c>
      <c r="I2031" t="n">
        <v>0.5</v>
      </c>
      <c r="J2031" t="n">
        <v>5</v>
      </c>
      <c r="K2031" t="inlineStr">
        <is>
          <t>Sin stock</t>
        </is>
      </c>
    </row>
    <row r="2032">
      <c r="A2032" t="inlineStr">
        <is>
          <t>RIOMIKI66T4</t>
        </is>
      </c>
      <c r="B2032" t="inlineStr">
        <is>
          <t>RIO ORIGINAL KIDS</t>
        </is>
      </c>
      <c r="C2032" t="inlineStr">
        <is>
          <t>Manufactura / Kids / P. Superiores</t>
        </is>
      </c>
      <c r="D2032" t="n">
        <v>6</v>
      </c>
      <c r="E2032" t="n">
        <v>190.5368356</v>
      </c>
      <c r="F2032" t="n">
        <v>0.9012350897599999</v>
      </c>
      <c r="G2032" t="n">
        <v>13</v>
      </c>
      <c r="H2032" t="n">
        <v>3.617969464</v>
      </c>
      <c r="I2032" t="n">
        <v>0.6</v>
      </c>
      <c r="J2032" t="n">
        <v>0</v>
      </c>
      <c r="K2032" t="inlineStr"/>
    </row>
    <row r="2033">
      <c r="A2033" t="inlineStr">
        <is>
          <t>MAYFNDA24TS</t>
        </is>
      </c>
      <c r="B2033" t="inlineStr">
        <is>
          <t>MAYA SPORT LITE DAMA</t>
        </is>
      </c>
      <c r="C2033" t="inlineStr">
        <is>
          <t>Manufactura / Dama / P. Superiores</t>
        </is>
      </c>
      <c r="D2033" t="n">
        <v>25</v>
      </c>
      <c r="E2033" t="n">
        <v>190.22484939</v>
      </c>
      <c r="F2033" t="n">
        <v>0.88706253596</v>
      </c>
      <c r="G2033" t="n">
        <v>25</v>
      </c>
      <c r="H2033" t="n">
        <v>3.87</v>
      </c>
      <c r="I2033" t="n">
        <v>2.5</v>
      </c>
      <c r="J2033" t="n">
        <v>2</v>
      </c>
      <c r="K2033" t="inlineStr"/>
    </row>
    <row r="2034">
      <c r="A2034" t="inlineStr">
        <is>
          <t>CLAMICA04TS</t>
        </is>
      </c>
      <c r="B2034" t="inlineStr">
        <is>
          <t>CLASICA ORIGINAL CAB</t>
        </is>
      </c>
      <c r="C2034" t="inlineStr">
        <is>
          <t>Manufactura / Caballero / P. Superiores</t>
        </is>
      </c>
      <c r="D2034" t="n">
        <v>6</v>
      </c>
      <c r="E2034" t="n">
        <v>190.21431351</v>
      </c>
      <c r="F2034" t="n">
        <v>0.8773318227800001</v>
      </c>
      <c r="G2034" t="n">
        <v>27</v>
      </c>
      <c r="H2034" t="n">
        <v>4.598442536</v>
      </c>
      <c r="I2034" t="n">
        <v>0.6</v>
      </c>
      <c r="J2034" t="n">
        <v>2</v>
      </c>
      <c r="K2034" t="inlineStr"/>
    </row>
    <row r="2035">
      <c r="A2035" t="inlineStr">
        <is>
          <t>SHONTCA66TXL</t>
        </is>
      </c>
      <c r="B2035" t="inlineStr">
        <is>
          <t>EXPLORE SHORT CAB</t>
        </is>
      </c>
      <c r="C2035" t="inlineStr">
        <is>
          <t>Manufactura / Caballero / P. Inferiores</t>
        </is>
      </c>
      <c r="D2035" t="n">
        <v>3</v>
      </c>
      <c r="E2035" t="n">
        <v>189.92987393</v>
      </c>
      <c r="F2035" t="n">
        <v>0.8314315458599999</v>
      </c>
      <c r="G2035" t="n">
        <v>0</v>
      </c>
      <c r="H2035" t="n">
        <v>11.17</v>
      </c>
      <c r="I2035" t="n">
        <v>0.3</v>
      </c>
      <c r="J2035" t="n">
        <v>1</v>
      </c>
      <c r="K2035" t="inlineStr">
        <is>
          <t>Sin stock</t>
        </is>
      </c>
    </row>
    <row r="2036">
      <c r="A2036" t="inlineStr">
        <is>
          <t>SABMEDA12TS</t>
        </is>
      </c>
      <c r="B2036" t="inlineStr">
        <is>
          <t>SABRI SPORT DAMA</t>
        </is>
      </c>
      <c r="C2036" t="inlineStr">
        <is>
          <t>Manufactura / Dama / P. Superiores</t>
        </is>
      </c>
      <c r="D2036" t="n">
        <v>6</v>
      </c>
      <c r="E2036" t="n">
        <v>189.79685889</v>
      </c>
      <c r="F2036" t="n">
        <v>0.8342740942333333</v>
      </c>
      <c r="G2036" t="n">
        <v>22</v>
      </c>
      <c r="H2036" t="n">
        <v>4.51</v>
      </c>
      <c r="I2036" t="n">
        <v>0.6</v>
      </c>
      <c r="J2036" t="n">
        <v>2</v>
      </c>
      <c r="K2036" t="inlineStr"/>
    </row>
    <row r="2037">
      <c r="A2037" t="inlineStr">
        <is>
          <t>SMLBLIDA16TM</t>
        </is>
      </c>
      <c r="B2037" t="inlineStr">
        <is>
          <t>SPOTS MANGA LARGA DAMA</t>
        </is>
      </c>
      <c r="C2037" t="inlineStr">
        <is>
          <t>Manufactura / Dama / P. Superiores</t>
        </is>
      </c>
      <c r="D2037" t="n">
        <v>5</v>
      </c>
      <c r="E2037" t="n">
        <v>189.64</v>
      </c>
      <c r="F2037" t="n">
        <v>0.7281164311</v>
      </c>
      <c r="G2037" t="n">
        <v>13</v>
      </c>
      <c r="H2037" t="n">
        <v>12.89</v>
      </c>
      <c r="I2037" t="n">
        <v>0.5</v>
      </c>
      <c r="J2037" t="n">
        <v>0</v>
      </c>
      <c r="K2037" t="inlineStr"/>
    </row>
    <row r="2038">
      <c r="A2038" t="inlineStr">
        <is>
          <t>SMLBLICA16TS</t>
        </is>
      </c>
      <c r="B2038" t="inlineStr">
        <is>
          <t>SPOTS MANGA LARGA CAB</t>
        </is>
      </c>
      <c r="C2038" t="inlineStr">
        <is>
          <t>Manufactura / Caballero / P. Superiores</t>
        </is>
      </c>
      <c r="D2038" t="n">
        <v>5</v>
      </c>
      <c r="E2038" t="n">
        <v>189.64</v>
      </c>
      <c r="F2038" t="n">
        <v>0.7281164311</v>
      </c>
      <c r="G2038" t="n">
        <v>15</v>
      </c>
      <c r="H2038" t="n">
        <v>12.89</v>
      </c>
      <c r="I2038" t="n">
        <v>0.5</v>
      </c>
      <c r="J2038" t="n">
        <v>0</v>
      </c>
      <c r="K2038" t="inlineStr"/>
    </row>
    <row r="2039">
      <c r="A2039" t="inlineStr">
        <is>
          <t>RUNTBMBFCA205TS</t>
        </is>
      </c>
      <c r="B2039" t="inlineStr">
        <is>
          <t>RUNNING TANK BIOMOVE CAB</t>
        </is>
      </c>
      <c r="C2039" t="inlineStr">
        <is>
          <t>Manufactura / Caballero / P. Superiores</t>
        </is>
      </c>
      <c r="D2039" t="n">
        <v>4</v>
      </c>
      <c r="E2039" t="n">
        <v>189.42</v>
      </c>
      <c r="F2039" t="n">
        <v>0.992236659</v>
      </c>
      <c r="G2039" t="n">
        <v>26</v>
      </c>
      <c r="H2039" t="n">
        <v>0.4823510284</v>
      </c>
      <c r="I2039" t="n">
        <v>0.4</v>
      </c>
      <c r="J2039" t="n">
        <v>1</v>
      </c>
      <c r="K2039" t="inlineStr"/>
    </row>
    <row r="2040">
      <c r="A2040" t="inlineStr">
        <is>
          <t>MARMIKI48T4</t>
        </is>
      </c>
      <c r="B2040" t="inlineStr">
        <is>
          <t>MAR ORIGINAL KIDS</t>
        </is>
      </c>
      <c r="C2040" t="inlineStr">
        <is>
          <t>Manufactura / Kids / P. Superiores</t>
        </is>
      </c>
      <c r="D2040" t="n">
        <v>5</v>
      </c>
      <c r="E2040" t="n">
        <v>189.08120934</v>
      </c>
      <c r="F2040" t="n">
        <v>0.912808989275</v>
      </c>
      <c r="G2040" t="n">
        <v>13</v>
      </c>
      <c r="H2040" t="n">
        <v>3.168013332</v>
      </c>
      <c r="I2040" t="n">
        <v>0.5</v>
      </c>
      <c r="J2040" t="n">
        <v>3</v>
      </c>
      <c r="K2040" t="inlineStr"/>
    </row>
    <row r="2041">
      <c r="A2041" t="inlineStr">
        <is>
          <t>DALSTKI30T14</t>
        </is>
      </c>
      <c r="B2041" t="inlineStr">
        <is>
          <t>CLASICA DAILY 2.0 KIDS</t>
        </is>
      </c>
      <c r="C2041" t="inlineStr">
        <is>
          <t>Manufactura / Kids / P. Superiores</t>
        </is>
      </c>
      <c r="D2041" t="n">
        <v>6</v>
      </c>
      <c r="E2041" t="n">
        <v>188.6751241</v>
      </c>
      <c r="F2041" t="n">
        <v>0.7150402895333333</v>
      </c>
      <c r="G2041" t="n">
        <v>5</v>
      </c>
      <c r="H2041" t="n">
        <v>8.699999999999999</v>
      </c>
      <c r="I2041" t="n">
        <v>0.6</v>
      </c>
      <c r="J2041" t="n">
        <v>4</v>
      </c>
      <c r="K2041" t="inlineStr"/>
    </row>
    <row r="2042">
      <c r="A2042" t="inlineStr">
        <is>
          <t>SHOUNCA50T2XL</t>
        </is>
      </c>
      <c r="B2042" t="inlineStr">
        <is>
          <t>SHORT PLAYA CAB</t>
        </is>
      </c>
      <c r="C2042" t="inlineStr">
        <is>
          <t>Manufactura / Caballero / P. Inferiores</t>
        </is>
      </c>
      <c r="D2042" t="n">
        <v>4</v>
      </c>
      <c r="E2042" t="n">
        <v>188.41180387</v>
      </c>
      <c r="F2042" t="n">
        <v>0.7912643269833333</v>
      </c>
      <c r="G2042" t="n">
        <v>0</v>
      </c>
      <c r="H2042" t="n">
        <v>9.99</v>
      </c>
      <c r="I2042" t="n">
        <v>0.4</v>
      </c>
      <c r="J2042" t="n">
        <v>7</v>
      </c>
      <c r="K2042" t="inlineStr">
        <is>
          <t>Sin stock</t>
        </is>
      </c>
    </row>
    <row r="2043">
      <c r="A2043" t="inlineStr">
        <is>
          <t>MAADFDA151TL</t>
        </is>
      </c>
      <c r="B2043" t="inlineStr">
        <is>
          <t>MAFE ADVANCE DAMA</t>
        </is>
      </c>
      <c r="C2043" t="inlineStr">
        <is>
          <t>Manufactura / Dama / P. Superiores</t>
        </is>
      </c>
      <c r="D2043" t="n">
        <v>4</v>
      </c>
      <c r="E2043" t="n">
        <v>188.31315625</v>
      </c>
      <c r="F2043" t="n">
        <v>0.890028037525</v>
      </c>
      <c r="G2043" t="n">
        <v>4</v>
      </c>
      <c r="H2043" t="n">
        <v>4.98</v>
      </c>
      <c r="I2043" t="n">
        <v>0.4</v>
      </c>
      <c r="J2043" t="n">
        <v>3</v>
      </c>
      <c r="K2043" t="inlineStr"/>
    </row>
    <row r="2044">
      <c r="A2044" t="inlineStr">
        <is>
          <t>DANMIKI16T8</t>
        </is>
      </c>
      <c r="B2044" t="inlineStr">
        <is>
          <t>DANI ORIGINAL KIDS</t>
        </is>
      </c>
      <c r="C2044" t="inlineStr">
        <is>
          <t>Manufactura / Kids / P. Superiores</t>
        </is>
      </c>
      <c r="D2044" t="n">
        <v>8</v>
      </c>
      <c r="E2044" t="n">
        <v>187.89602195</v>
      </c>
      <c r="F2044" t="n">
        <v>0.8458336484</v>
      </c>
      <c r="G2044" t="n">
        <v>9</v>
      </c>
      <c r="H2044" t="n">
        <v>3.55</v>
      </c>
      <c r="I2044" t="n">
        <v>0.8</v>
      </c>
      <c r="J2044" t="n">
        <v>1</v>
      </c>
      <c r="K2044" t="inlineStr"/>
    </row>
    <row r="2045">
      <c r="A2045" t="inlineStr">
        <is>
          <t>AQUSTKI43T8</t>
        </is>
      </c>
      <c r="B2045" t="inlineStr">
        <is>
          <t>RETRO VZLA KIDS</t>
        </is>
      </c>
      <c r="C2045" t="inlineStr">
        <is>
          <t>Manufactura / Dama / P. Superiores</t>
        </is>
      </c>
      <c r="D2045" t="n">
        <v>5</v>
      </c>
      <c r="E2045" t="n">
        <v>187.60773832</v>
      </c>
      <c r="F2045" t="n">
        <v>0.72405013572</v>
      </c>
      <c r="G2045" t="n">
        <v>4</v>
      </c>
      <c r="H2045" t="n">
        <v>10.18</v>
      </c>
      <c r="I2045" t="n">
        <v>0.5</v>
      </c>
      <c r="J2045" t="n">
        <v>6</v>
      </c>
      <c r="K2045" t="inlineStr"/>
    </row>
    <row r="2046">
      <c r="A2046" t="inlineStr">
        <is>
          <t>CLAMEKI43T6</t>
        </is>
      </c>
      <c r="B2046" t="inlineStr">
        <is>
          <t>CLASICA SPORT KIDS</t>
        </is>
      </c>
      <c r="C2046" t="inlineStr">
        <is>
          <t>Manufactura / Kids / P. Superiores</t>
        </is>
      </c>
      <c r="D2046" t="n">
        <v>5</v>
      </c>
      <c r="E2046" t="n">
        <v>186.71865339</v>
      </c>
      <c r="F2046" t="n">
        <v>0.8928532094399999</v>
      </c>
      <c r="G2046" t="n">
        <v>26</v>
      </c>
      <c r="H2046" t="n">
        <v>3.97</v>
      </c>
      <c r="I2046" t="n">
        <v>0.5</v>
      </c>
      <c r="J2046" t="n">
        <v>2</v>
      </c>
      <c r="K2046" t="inlineStr"/>
    </row>
    <row r="2047">
      <c r="A2047" t="inlineStr">
        <is>
          <t>MARMICA14TM</t>
        </is>
      </c>
      <c r="B2047" t="inlineStr">
        <is>
          <t>MAR ORIGINAL CAB</t>
        </is>
      </c>
      <c r="C2047" t="inlineStr">
        <is>
          <t>Manufactura / Caballero / P. Superiores</t>
        </is>
      </c>
      <c r="D2047" t="n">
        <v>4</v>
      </c>
      <c r="E2047" t="n">
        <v>186.15194677</v>
      </c>
      <c r="F2047" t="n">
        <v>0.8935963073500001</v>
      </c>
      <c r="G2047" t="n">
        <v>0</v>
      </c>
      <c r="H2047" t="n">
        <v>4.946357428</v>
      </c>
      <c r="I2047" t="n">
        <v>0.4</v>
      </c>
      <c r="J2047" t="n">
        <v>8</v>
      </c>
      <c r="K2047" t="inlineStr">
        <is>
          <t>Sin stock</t>
        </is>
      </c>
    </row>
    <row r="2048">
      <c r="A2048" t="inlineStr">
        <is>
          <t>AQUSTKI43T12</t>
        </is>
      </c>
      <c r="B2048" t="inlineStr">
        <is>
          <t>RETRO VZLA KIDS</t>
        </is>
      </c>
      <c r="C2048" t="inlineStr">
        <is>
          <t>Manufactura / Dama / P. Superiores</t>
        </is>
      </c>
      <c r="D2048" t="n">
        <v>5</v>
      </c>
      <c r="E2048" t="n">
        <v>184.77866202</v>
      </c>
      <c r="F2048" t="n">
        <v>0.72049001014</v>
      </c>
      <c r="G2048" t="n">
        <v>0</v>
      </c>
      <c r="H2048" t="n">
        <v>10.18</v>
      </c>
      <c r="I2048" t="n">
        <v>0.5</v>
      </c>
      <c r="J2048" t="n">
        <v>4</v>
      </c>
      <c r="K2048" t="inlineStr">
        <is>
          <t>Sin stock</t>
        </is>
      </c>
    </row>
    <row r="2049">
      <c r="A2049" t="inlineStr">
        <is>
          <t>SHONTDA43TL</t>
        </is>
      </c>
      <c r="B2049" t="inlineStr">
        <is>
          <t>EXPLORE SHORT DAMA</t>
        </is>
      </c>
      <c r="C2049" t="inlineStr">
        <is>
          <t>Manufactura / Dama / P. Inferiores</t>
        </is>
      </c>
      <c r="D2049" t="n">
        <v>4</v>
      </c>
      <c r="E2049" t="n">
        <v>184.72980007</v>
      </c>
      <c r="F2049" t="n">
        <v>0.7779609975249999</v>
      </c>
      <c r="G2049" t="n">
        <v>18</v>
      </c>
      <c r="H2049" t="n">
        <v>10.22113744</v>
      </c>
      <c r="I2049" t="n">
        <v>0.4</v>
      </c>
      <c r="J2049" t="n">
        <v>6</v>
      </c>
      <c r="K2049" t="inlineStr"/>
    </row>
    <row r="2050">
      <c r="A2050" t="inlineStr">
        <is>
          <t>CLAMIDA13TS</t>
        </is>
      </c>
      <c r="B2050" t="inlineStr">
        <is>
          <t>CLASICA ORIGINAL DAMA</t>
        </is>
      </c>
      <c r="C2050" t="inlineStr">
        <is>
          <t>Manufactura / Dama / P. Superiores</t>
        </is>
      </c>
      <c r="D2050" t="n">
        <v>4</v>
      </c>
      <c r="E2050" t="n">
        <v>184.21770212</v>
      </c>
      <c r="F2050" t="n">
        <v>0.9046578458799999</v>
      </c>
      <c r="G2050" t="n">
        <v>9</v>
      </c>
      <c r="H2050" t="n">
        <v>3.923227589000001</v>
      </c>
      <c r="I2050" t="n">
        <v>0.4</v>
      </c>
      <c r="J2050" t="n">
        <v>4</v>
      </c>
      <c r="K2050" t="inlineStr"/>
    </row>
    <row r="2051">
      <c r="A2051" t="inlineStr">
        <is>
          <t>SHOUNKI23T12</t>
        </is>
      </c>
      <c r="B2051" t="inlineStr">
        <is>
          <t>SHORT PLAYA KIDS</t>
        </is>
      </c>
      <c r="C2051" t="inlineStr">
        <is>
          <t>Manufactura / Kids / P. Inferiores</t>
        </is>
      </c>
      <c r="D2051" t="n">
        <v>5</v>
      </c>
      <c r="E2051" t="n">
        <v>184.11489025</v>
      </c>
      <c r="F2051" t="n">
        <v>0.8638001334500001</v>
      </c>
      <c r="G2051" t="n">
        <v>7</v>
      </c>
      <c r="H2051" t="n">
        <v>6.09</v>
      </c>
      <c r="I2051" t="n">
        <v>0.5</v>
      </c>
      <c r="J2051" t="n">
        <v>1</v>
      </c>
      <c r="K2051" t="inlineStr"/>
    </row>
    <row r="2052">
      <c r="A2052" t="inlineStr">
        <is>
          <t>ZOEMIDA13TS</t>
        </is>
      </c>
      <c r="B2052" t="inlineStr">
        <is>
          <t>ZOE ORIGINAL DAMA</t>
        </is>
      </c>
      <c r="C2052" t="inlineStr">
        <is>
          <t>Manufactura / Dama / P. Superiores</t>
        </is>
      </c>
      <c r="D2052" t="n">
        <v>5</v>
      </c>
      <c r="E2052" t="n">
        <v>182.44940697</v>
      </c>
      <c r="F2052" t="n">
        <v>0.8643406306</v>
      </c>
      <c r="G2052" t="n">
        <v>0</v>
      </c>
      <c r="H2052" t="n">
        <v>4.116585696</v>
      </c>
      <c r="I2052" t="n">
        <v>0.5</v>
      </c>
      <c r="J2052" t="n">
        <v>5</v>
      </c>
      <c r="K2052" t="inlineStr">
        <is>
          <t>Sin stock</t>
        </is>
      </c>
    </row>
    <row r="2053">
      <c r="A2053" t="inlineStr">
        <is>
          <t>SMCBNEDA16TL</t>
        </is>
      </c>
      <c r="B2053" t="inlineStr">
        <is>
          <t>SPOTS MANGA CORTA DAMA</t>
        </is>
      </c>
      <c r="C2053" t="inlineStr">
        <is>
          <t>Manufactura / Dama / P. Superiores</t>
        </is>
      </c>
      <c r="D2053" t="n">
        <v>5</v>
      </c>
      <c r="E2053" t="n">
        <v>182.3151754844417</v>
      </c>
      <c r="F2053" t="n">
        <v>0.76209391936</v>
      </c>
      <c r="G2053" t="n">
        <v>7</v>
      </c>
      <c r="H2053" t="n">
        <v>8.5</v>
      </c>
      <c r="I2053" t="n">
        <v>0.5</v>
      </c>
      <c r="J2053" t="n">
        <v>0</v>
      </c>
      <c r="K2053" t="inlineStr"/>
    </row>
    <row r="2054">
      <c r="A2054" t="inlineStr">
        <is>
          <t>RIOMIKI53T8</t>
        </is>
      </c>
      <c r="B2054" t="inlineStr">
        <is>
          <t>RIO ORIGINAL KIDS</t>
        </is>
      </c>
      <c r="C2054" t="inlineStr">
        <is>
          <t>Manufactura / Kids / P. Superiores</t>
        </is>
      </c>
      <c r="D2054" t="n">
        <v>4</v>
      </c>
      <c r="E2054" t="n">
        <v>181.86656134</v>
      </c>
      <c r="F2054" t="n">
        <v>0.9189105104500001</v>
      </c>
      <c r="G2054" t="n">
        <v>3</v>
      </c>
      <c r="H2054" t="n">
        <v>3.617969464</v>
      </c>
      <c r="I2054" t="n">
        <v>0.4</v>
      </c>
      <c r="J2054" t="n">
        <v>4</v>
      </c>
      <c r="K2054" t="inlineStr"/>
    </row>
    <row r="2055">
      <c r="A2055" t="inlineStr">
        <is>
          <t>MARMIKI50T1</t>
        </is>
      </c>
      <c r="B2055" t="inlineStr">
        <is>
          <t>MAR ORIGINAL KIDS</t>
        </is>
      </c>
      <c r="C2055" t="inlineStr">
        <is>
          <t>Manufactura / Kids / P. Superiores</t>
        </is>
      </c>
      <c r="D2055" t="n">
        <v>5</v>
      </c>
      <c r="E2055" t="n">
        <v>181.48674433</v>
      </c>
      <c r="F2055" t="n">
        <v>0.91004717338</v>
      </c>
      <c r="G2055" t="n">
        <v>0</v>
      </c>
      <c r="H2055" t="n">
        <v>3.168013332</v>
      </c>
      <c r="I2055" t="n">
        <v>0.5</v>
      </c>
      <c r="J2055" t="n">
        <v>5</v>
      </c>
      <c r="K2055" t="inlineStr">
        <is>
          <t>Sin stock</t>
        </is>
      </c>
    </row>
    <row r="2056">
      <c r="A2056" t="inlineStr">
        <is>
          <t>SHONRKI66T4</t>
        </is>
      </c>
      <c r="B2056" t="inlineStr">
        <is>
          <t>SHORT SPORT KIDS</t>
        </is>
      </c>
      <c r="C2056" t="inlineStr">
        <is>
          <t>Manufactura / Kids / P. Inferiores</t>
        </is>
      </c>
      <c r="D2056" t="n">
        <v>5</v>
      </c>
      <c r="E2056" t="n">
        <v>181.26555405</v>
      </c>
      <c r="F2056" t="n">
        <v>0.82053066604</v>
      </c>
      <c r="G2056" t="n">
        <v>22</v>
      </c>
      <c r="H2056" t="n">
        <v>6.465724382</v>
      </c>
      <c r="I2056" t="n">
        <v>0.5</v>
      </c>
      <c r="J2056" t="n">
        <v>0</v>
      </c>
      <c r="K2056" t="inlineStr"/>
    </row>
    <row r="2057">
      <c r="A2057" t="inlineStr">
        <is>
          <t>DANMIKI11T8</t>
        </is>
      </c>
      <c r="B2057" t="inlineStr">
        <is>
          <t>DANI ORIGINAL KIDS</t>
        </is>
      </c>
      <c r="C2057" t="inlineStr">
        <is>
          <t>Manufactura / Kids / P. Superiores</t>
        </is>
      </c>
      <c r="D2057" t="n">
        <v>7</v>
      </c>
      <c r="E2057" t="n">
        <v>181.13766154</v>
      </c>
      <c r="F2057" t="n">
        <v>0.8623793140142857</v>
      </c>
      <c r="G2057" t="n">
        <v>0</v>
      </c>
      <c r="H2057" t="n">
        <v>3.55</v>
      </c>
      <c r="I2057" t="n">
        <v>0.7</v>
      </c>
      <c r="J2057" t="n">
        <v>1</v>
      </c>
      <c r="K2057" t="inlineStr">
        <is>
          <t>Sin stock</t>
        </is>
      </c>
    </row>
    <row r="2058">
      <c r="A2058" t="inlineStr">
        <is>
          <t>DANMIKI48T8</t>
        </is>
      </c>
      <c r="B2058" t="inlineStr">
        <is>
          <t>DANI ORIGINAL KIDS</t>
        </is>
      </c>
      <c r="C2058" t="inlineStr">
        <is>
          <t>Manufactura / Kids / P. Superiores</t>
        </is>
      </c>
      <c r="D2058" t="n">
        <v>8</v>
      </c>
      <c r="E2058" t="n">
        <v>180.43263559</v>
      </c>
      <c r="F2058" t="n">
        <v>0.8138558929</v>
      </c>
      <c r="G2058" t="n">
        <v>0</v>
      </c>
      <c r="H2058" t="n">
        <v>3.55</v>
      </c>
      <c r="I2058" t="n">
        <v>0.8</v>
      </c>
      <c r="J2058" t="n">
        <v>1</v>
      </c>
      <c r="K2058" t="inlineStr">
        <is>
          <t>Sin stock</t>
        </is>
      </c>
    </row>
    <row r="2059">
      <c r="A2059" t="inlineStr">
        <is>
          <t>TMOFIDA31TS</t>
        </is>
      </c>
      <c r="B2059" t="inlineStr">
        <is>
          <t>TOP MOVA</t>
        </is>
      </c>
      <c r="C2059" t="inlineStr">
        <is>
          <t>Manufactura / Dama / P. Superiores</t>
        </is>
      </c>
      <c r="D2059" t="n">
        <v>4</v>
      </c>
      <c r="E2059" t="n">
        <v>179.79520744</v>
      </c>
      <c r="F2059" t="n">
        <v>0.7653042603</v>
      </c>
      <c r="G2059" t="n">
        <v>19</v>
      </c>
      <c r="H2059" t="n">
        <v>9.942967033</v>
      </c>
      <c r="I2059" t="n">
        <v>0.4</v>
      </c>
      <c r="J2059" t="n">
        <v>1</v>
      </c>
      <c r="K2059" t="inlineStr"/>
    </row>
    <row r="2060">
      <c r="A2060" t="inlineStr">
        <is>
          <t>SHONTDA30TS</t>
        </is>
      </c>
      <c r="B2060" t="inlineStr">
        <is>
          <t>EXPLORE SHORT DAMA</t>
        </is>
      </c>
      <c r="C2060" t="inlineStr">
        <is>
          <t>Manufactura / Dama / P. Inferiores</t>
        </is>
      </c>
      <c r="D2060" t="n">
        <v>5</v>
      </c>
      <c r="E2060" t="n">
        <v>179.3948512</v>
      </c>
      <c r="F2060" t="n">
        <v>0.767795587575</v>
      </c>
      <c r="G2060" t="n">
        <v>98</v>
      </c>
      <c r="H2060" t="n">
        <v>10.22113744</v>
      </c>
      <c r="I2060" t="n">
        <v>0.5</v>
      </c>
      <c r="J2060" t="n">
        <v>0</v>
      </c>
      <c r="K2060" t="inlineStr"/>
    </row>
    <row r="2061">
      <c r="A2061" t="inlineStr">
        <is>
          <t>CAP71SC</t>
        </is>
      </c>
      <c r="B2061" t="inlineStr">
        <is>
          <t>CAP SOLID</t>
        </is>
      </c>
      <c r="C2061" t="inlineStr">
        <is>
          <t>Equipamiento / Gorras</t>
        </is>
      </c>
      <c r="D2061" t="n">
        <v>6</v>
      </c>
      <c r="E2061" t="n">
        <v>178.46147428</v>
      </c>
      <c r="F2061" t="n">
        <v>0</v>
      </c>
      <c r="G2061" t="n">
        <v>0</v>
      </c>
      <c r="H2061" t="n">
        <v>0</v>
      </c>
      <c r="I2061" t="n">
        <v>0.6</v>
      </c>
      <c r="J2061" t="n">
        <v>1</v>
      </c>
      <c r="K2061" t="inlineStr">
        <is>
          <t>Sin stock</t>
        </is>
      </c>
    </row>
    <row r="2062">
      <c r="A2062" t="inlineStr">
        <is>
          <t>LMOFIDA12TXS</t>
        </is>
      </c>
      <c r="B2062" t="inlineStr">
        <is>
          <t>LEGGING MOVA</t>
        </is>
      </c>
      <c r="C2062" t="inlineStr">
        <is>
          <t>Manufactura / Dama / P. Inferiores</t>
        </is>
      </c>
      <c r="D2062" t="n">
        <v>5</v>
      </c>
      <c r="E2062" t="n">
        <v>178.1918238</v>
      </c>
      <c r="F2062" t="n">
        <v>0.7950361757</v>
      </c>
      <c r="G2062" t="n">
        <v>24</v>
      </c>
      <c r="H2062" t="n">
        <v>17.7</v>
      </c>
      <c r="I2062" t="n">
        <v>0.5</v>
      </c>
      <c r="J2062" t="n">
        <v>4</v>
      </c>
      <c r="K2062" t="inlineStr"/>
    </row>
    <row r="2063">
      <c r="A2063" t="inlineStr">
        <is>
          <t>LMOFIDA66TXL</t>
        </is>
      </c>
      <c r="B2063" t="inlineStr">
        <is>
          <t>LEGGING MOVA</t>
        </is>
      </c>
      <c r="C2063" t="inlineStr">
        <is>
          <t>Manufactura / Dama / P. Inferiores</t>
        </is>
      </c>
      <c r="D2063" t="n">
        <v>2</v>
      </c>
      <c r="E2063" t="n">
        <v>177.83116716</v>
      </c>
      <c r="F2063" t="n">
        <v>0.79023181725</v>
      </c>
      <c r="G2063" t="n">
        <v>8</v>
      </c>
      <c r="H2063" t="n">
        <v>17.7</v>
      </c>
      <c r="I2063" t="n">
        <v>0.2</v>
      </c>
      <c r="J2063" t="n">
        <v>4</v>
      </c>
      <c r="K2063" t="inlineStr"/>
    </row>
    <row r="2064">
      <c r="A2064" t="inlineStr">
        <is>
          <t>SHONRKI66T14</t>
        </is>
      </c>
      <c r="B2064" t="inlineStr">
        <is>
          <t>SHORT SPORT KIDS</t>
        </is>
      </c>
      <c r="C2064" t="inlineStr">
        <is>
          <t>Manufactura / Kids / P. Inferiores</t>
        </is>
      </c>
      <c r="D2064" t="n">
        <v>6</v>
      </c>
      <c r="E2064" t="n">
        <v>177.26461837</v>
      </c>
      <c r="F2064" t="n">
        <v>0.81682859742</v>
      </c>
      <c r="G2064" t="n">
        <v>3</v>
      </c>
      <c r="H2064" t="n">
        <v>6.465724382</v>
      </c>
      <c r="I2064" t="n">
        <v>0.6</v>
      </c>
      <c r="J2064" t="n">
        <v>4</v>
      </c>
      <c r="K2064" t="inlineStr"/>
    </row>
    <row r="2065">
      <c r="A2065" t="inlineStr">
        <is>
          <t>JACDA34TXS</t>
        </is>
      </c>
      <c r="B2065" t="inlineStr">
        <is>
          <t>JACKET DAMA</t>
        </is>
      </c>
      <c r="C2065" t="inlineStr">
        <is>
          <t>Equipamiento / Ropa</t>
        </is>
      </c>
      <c r="D2065" t="n">
        <v>3</v>
      </c>
      <c r="E2065" t="n">
        <v>177.1947388</v>
      </c>
      <c r="F2065" t="n">
        <v>0.6568552164333333</v>
      </c>
      <c r="G2065" t="n">
        <v>0</v>
      </c>
      <c r="H2065" t="n">
        <v>20.25</v>
      </c>
      <c r="I2065" t="n">
        <v>0.3</v>
      </c>
      <c r="J2065" t="n">
        <v>7</v>
      </c>
      <c r="K2065" t="inlineStr">
        <is>
          <t>Sin stock</t>
        </is>
      </c>
    </row>
    <row r="2066">
      <c r="A2066" t="inlineStr">
        <is>
          <t>RUNTBMBFCA205TM</t>
        </is>
      </c>
      <c r="B2066" t="inlineStr">
        <is>
          <t>RUNNING TANK BIOMOVE CAB</t>
        </is>
      </c>
      <c r="C2066" t="inlineStr">
        <is>
          <t>Manufactura / Caballero / P. Superiores</t>
        </is>
      </c>
      <c r="D2066" t="n">
        <v>3</v>
      </c>
      <c r="E2066" t="n">
        <v>177.14</v>
      </c>
      <c r="F2066" t="n">
        <v>0.9917416799</v>
      </c>
      <c r="G2066" t="n">
        <v>32</v>
      </c>
      <c r="H2066" t="n">
        <v>0.4823510283999999</v>
      </c>
      <c r="I2066" t="n">
        <v>0.3</v>
      </c>
      <c r="J2066" t="n">
        <v>0</v>
      </c>
      <c r="K2066" t="inlineStr"/>
    </row>
    <row r="2067">
      <c r="A2067" t="inlineStr">
        <is>
          <t>HELBFDA16TXL</t>
        </is>
      </c>
      <c r="B2067" t="inlineStr">
        <is>
          <t>HELEN BIO MOVE DAMA</t>
        </is>
      </c>
      <c r="C2067" t="inlineStr">
        <is>
          <t>Manufactura / Dama / P. Superiores</t>
        </is>
      </c>
      <c r="D2067" t="n">
        <v>3</v>
      </c>
      <c r="E2067" t="n">
        <v>177.04116249</v>
      </c>
      <c r="F2067" t="n">
        <v>0.8717759961999999</v>
      </c>
      <c r="G2067" t="n">
        <v>13</v>
      </c>
      <c r="H2067" t="n">
        <v>7.34081746</v>
      </c>
      <c r="I2067" t="n">
        <v>0.3</v>
      </c>
      <c r="J2067" t="n">
        <v>1</v>
      </c>
      <c r="K2067" t="inlineStr"/>
    </row>
    <row r="2068">
      <c r="A2068" t="inlineStr">
        <is>
          <t>ANDMIDA04TL</t>
        </is>
      </c>
      <c r="B2068" t="inlineStr">
        <is>
          <t>ANDRE ORIGINAL DAMA</t>
        </is>
      </c>
      <c r="C2068" t="inlineStr">
        <is>
          <t>Manufactura / Dama / P. Superiores</t>
        </is>
      </c>
      <c r="D2068" t="n">
        <v>10</v>
      </c>
      <c r="E2068" t="n">
        <v>176.06489256</v>
      </c>
      <c r="F2068" t="n">
        <v>0.92214422755</v>
      </c>
      <c r="G2068" t="n">
        <v>11</v>
      </c>
      <c r="H2068" t="n">
        <v>3.274295302</v>
      </c>
      <c r="I2068" t="n">
        <v>1</v>
      </c>
      <c r="J2068" t="n">
        <v>5</v>
      </c>
      <c r="K2068" t="inlineStr"/>
    </row>
    <row r="2069">
      <c r="A2069" t="inlineStr">
        <is>
          <t>ANDMIDA43TXL</t>
        </is>
      </c>
      <c r="B2069" t="inlineStr">
        <is>
          <t>ANDRE ORIGINAL DAMA</t>
        </is>
      </c>
      <c r="C2069" t="inlineStr">
        <is>
          <t>Manufactura / Dama / P. Superiores</t>
        </is>
      </c>
      <c r="D2069" t="n">
        <v>4</v>
      </c>
      <c r="E2069" t="n">
        <v>175.81018886</v>
      </c>
      <c r="F2069" t="n">
        <v>0.919302962825</v>
      </c>
      <c r="G2069" t="n">
        <v>23</v>
      </c>
      <c r="H2069" t="n">
        <v>3.274295302</v>
      </c>
      <c r="I2069" t="n">
        <v>0.4</v>
      </c>
      <c r="J2069" t="n">
        <v>3</v>
      </c>
      <c r="K2069" t="inlineStr"/>
    </row>
    <row r="2070">
      <c r="A2070" t="inlineStr">
        <is>
          <t>ACDMIDA121TXS</t>
        </is>
      </c>
      <c r="B2070" t="inlineStr">
        <is>
          <t>DANI ACTIVE DAMA</t>
        </is>
      </c>
      <c r="C2070" t="inlineStr">
        <is>
          <t>Manufactura / Dama / P. Superiores</t>
        </is>
      </c>
      <c r="D2070" t="n">
        <v>6</v>
      </c>
      <c r="E2070" t="n">
        <v>175.60331057</v>
      </c>
      <c r="F2070" t="n">
        <v>0.774481466325</v>
      </c>
      <c r="G2070" t="n">
        <v>27</v>
      </c>
      <c r="H2070" t="n">
        <v>9.82</v>
      </c>
      <c r="I2070" t="n">
        <v>0.6</v>
      </c>
      <c r="J2070" t="n">
        <v>5</v>
      </c>
      <c r="K2070" t="inlineStr"/>
    </row>
    <row r="2071">
      <c r="A2071" t="inlineStr">
        <is>
          <t>GEMBADA43TL</t>
        </is>
      </c>
      <c r="B2071" t="inlineStr">
        <is>
          <t>VESTIDO GEMMA DAMA</t>
        </is>
      </c>
      <c r="C2071" t="inlineStr">
        <is>
          <t>Manufactura / Dama / Conjuntos</t>
        </is>
      </c>
      <c r="D2071" t="n">
        <v>4</v>
      </c>
      <c r="E2071" t="n">
        <v>175.59799129</v>
      </c>
      <c r="F2071" t="n">
        <v>0.451646646525</v>
      </c>
      <c r="G2071" t="n">
        <v>11</v>
      </c>
      <c r="H2071" t="n">
        <v>23.99</v>
      </c>
      <c r="I2071" t="n">
        <v>0.4</v>
      </c>
      <c r="J2071" t="n">
        <v>7</v>
      </c>
      <c r="K2071" t="inlineStr"/>
    </row>
    <row r="2072">
      <c r="A2072" t="inlineStr">
        <is>
          <t>SHOUNCA29TL</t>
        </is>
      </c>
      <c r="B2072" t="inlineStr">
        <is>
          <t>SHORT PLAYA CAB</t>
        </is>
      </c>
      <c r="C2072" t="inlineStr">
        <is>
          <t>Manufactura / Caballero / P. Inferiores</t>
        </is>
      </c>
      <c r="D2072" t="n">
        <v>4</v>
      </c>
      <c r="E2072" t="n">
        <v>175.27047765</v>
      </c>
      <c r="F2072" t="n">
        <v>0.75623944645</v>
      </c>
      <c r="G2072" t="n">
        <v>0</v>
      </c>
      <c r="H2072" t="n">
        <v>9.99</v>
      </c>
      <c r="I2072" t="n">
        <v>0.4</v>
      </c>
      <c r="J2072" t="n">
        <v>5</v>
      </c>
      <c r="K2072" t="inlineStr">
        <is>
          <t>Sin stock</t>
        </is>
      </c>
    </row>
    <row r="2073">
      <c r="A2073" t="inlineStr">
        <is>
          <t>TALGTADA166TXS</t>
        </is>
      </c>
      <c r="B2073" t="inlineStr">
        <is>
          <t>URBAN COTTON TOP SAY YES DAMA</t>
        </is>
      </c>
      <c r="C2073" t="inlineStr">
        <is>
          <t>Manufactura / Dama / P. Superiores</t>
        </is>
      </c>
      <c r="D2073" t="n">
        <v>3</v>
      </c>
      <c r="E2073" t="n">
        <v>175.191888</v>
      </c>
      <c r="F2073" t="n">
        <v>0.8838737016333335</v>
      </c>
      <c r="G2073" t="n">
        <v>49</v>
      </c>
      <c r="H2073" t="n">
        <v>6.639983317</v>
      </c>
      <c r="I2073" t="n">
        <v>0.3</v>
      </c>
      <c r="J2073" t="n">
        <v>2</v>
      </c>
      <c r="K2073" t="inlineStr"/>
    </row>
    <row r="2074">
      <c r="A2074" t="inlineStr">
        <is>
          <t>TALGTADA12TL</t>
        </is>
      </c>
      <c r="B2074" t="inlineStr">
        <is>
          <t>URBAN COTTON TOP SAY YES DAMA</t>
        </is>
      </c>
      <c r="C2074" t="inlineStr">
        <is>
          <t>Manufactura / Dama / P. Superiores</t>
        </is>
      </c>
      <c r="D2074" t="n">
        <v>5</v>
      </c>
      <c r="E2074" t="n">
        <v>175.18371461</v>
      </c>
      <c r="F2074" t="n">
        <v>0.8860770537333332</v>
      </c>
      <c r="G2074" t="n">
        <v>1</v>
      </c>
      <c r="H2074" t="n">
        <v>6.639983317</v>
      </c>
      <c r="I2074" t="n">
        <v>0.5</v>
      </c>
      <c r="J2074" t="n">
        <v>4</v>
      </c>
      <c r="K2074" t="inlineStr"/>
    </row>
    <row r="2075">
      <c r="A2075" t="inlineStr">
        <is>
          <t>VIVMIDA16TL</t>
        </is>
      </c>
      <c r="B2075" t="inlineStr">
        <is>
          <t>VIVI ORIGINAL DAMA</t>
        </is>
      </c>
      <c r="C2075" t="inlineStr">
        <is>
          <t>Manufactura / Dama / P. Superiores</t>
        </is>
      </c>
      <c r="D2075" t="n">
        <v>4</v>
      </c>
      <c r="E2075" t="n">
        <v>174.69112561</v>
      </c>
      <c r="F2075" t="n">
        <v>0.8989405139</v>
      </c>
      <c r="G2075" t="n">
        <v>17</v>
      </c>
      <c r="H2075" t="n">
        <v>4.303181706</v>
      </c>
      <c r="I2075" t="n">
        <v>0.4</v>
      </c>
      <c r="J2075" t="n">
        <v>3</v>
      </c>
      <c r="K2075" t="inlineStr"/>
    </row>
    <row r="2076">
      <c r="A2076" t="inlineStr">
        <is>
          <t>MAFMEDA43TM</t>
        </is>
      </c>
      <c r="B2076" t="inlineStr">
        <is>
          <t>MAFE SPORT DAMA</t>
        </is>
      </c>
      <c r="C2076" t="inlineStr">
        <is>
          <t>Manufactura / Dama / P. Superiores</t>
        </is>
      </c>
      <c r="D2076" t="n">
        <v>4</v>
      </c>
      <c r="E2076" t="n">
        <v>174.6072654</v>
      </c>
      <c r="F2076" t="n">
        <v>0.8774392351</v>
      </c>
      <c r="G2076" t="n">
        <v>1</v>
      </c>
      <c r="H2076" t="n">
        <v>5.35</v>
      </c>
      <c r="I2076" t="n">
        <v>0.4</v>
      </c>
      <c r="J2076" t="n">
        <v>6</v>
      </c>
      <c r="K2076" t="inlineStr"/>
    </row>
    <row r="2077">
      <c r="A2077" t="inlineStr">
        <is>
          <t>CLAMIKI12T8</t>
        </is>
      </c>
      <c r="B2077" t="inlineStr">
        <is>
          <t>CLASICA ORIGINAL KIDS</t>
        </is>
      </c>
      <c r="C2077" t="inlineStr">
        <is>
          <t>Manufactura / Kids / P. Superiores</t>
        </is>
      </c>
      <c r="D2077" t="n">
        <v>5</v>
      </c>
      <c r="E2077" t="n">
        <v>174.55699361</v>
      </c>
      <c r="F2077" t="n">
        <v>0.93999634254</v>
      </c>
      <c r="G2077" t="n">
        <v>26</v>
      </c>
      <c r="H2077" t="n">
        <v>2.053774806</v>
      </c>
      <c r="I2077" t="n">
        <v>0.5</v>
      </c>
      <c r="J2077" t="n">
        <v>0</v>
      </c>
      <c r="K2077" t="inlineStr"/>
    </row>
    <row r="2078">
      <c r="A2078" t="inlineStr">
        <is>
          <t>MARMICA09TXL</t>
        </is>
      </c>
      <c r="B2078" t="inlineStr">
        <is>
          <t>MAR ORIGINAL CAB</t>
        </is>
      </c>
      <c r="C2078" t="inlineStr">
        <is>
          <t>Manufactura / Caballero / P. Superiores</t>
        </is>
      </c>
      <c r="D2078" t="n">
        <v>4</v>
      </c>
      <c r="E2078" t="n">
        <v>174.42987396</v>
      </c>
      <c r="F2078" t="n">
        <v>0.88601393705</v>
      </c>
      <c r="G2078" t="n">
        <v>0</v>
      </c>
      <c r="H2078" t="n">
        <v>4.946357428</v>
      </c>
      <c r="I2078" t="n">
        <v>0.4</v>
      </c>
      <c r="J2078" t="n">
        <v>8</v>
      </c>
      <c r="K2078" t="inlineStr">
        <is>
          <t>Sin stock</t>
        </is>
      </c>
    </row>
    <row r="2079">
      <c r="A2079" t="inlineStr">
        <is>
          <t>BAN123EQ</t>
        </is>
      </c>
      <c r="B2079" t="inlineStr">
        <is>
          <t>CUADRO BAND</t>
        </is>
      </c>
      <c r="C2079" t="inlineStr">
        <is>
          <t>Equipamiento / Accesorios</t>
        </is>
      </c>
      <c r="D2079" t="n">
        <v>395</v>
      </c>
      <c r="E2079" t="n">
        <v>174.218255297</v>
      </c>
      <c r="F2079" t="n">
        <v>0.8588600703974025</v>
      </c>
      <c r="G2079" t="n">
        <v>6321</v>
      </c>
      <c r="H2079" t="n">
        <v>0.3159183673</v>
      </c>
      <c r="I2079" t="n">
        <v>39.5</v>
      </c>
      <c r="J2079" t="n">
        <v>0</v>
      </c>
      <c r="K2079" t="inlineStr"/>
    </row>
    <row r="2080">
      <c r="A2080" t="inlineStr">
        <is>
          <t>HELBFDA30TL</t>
        </is>
      </c>
      <c r="B2080" t="inlineStr">
        <is>
          <t>HELEN BIO MOVE DAMA</t>
        </is>
      </c>
      <c r="C2080" t="inlineStr">
        <is>
          <t>Manufactura / Dama / P. Superiores</t>
        </is>
      </c>
      <c r="D2080" t="n">
        <v>3</v>
      </c>
      <c r="E2080" t="n">
        <v>173.98588381</v>
      </c>
      <c r="F2080" t="n">
        <v>0.8713026175333334</v>
      </c>
      <c r="G2080" t="n">
        <v>45</v>
      </c>
      <c r="H2080" t="n">
        <v>7.34081746</v>
      </c>
      <c r="I2080" t="n">
        <v>0.3</v>
      </c>
      <c r="J2080" t="n">
        <v>2</v>
      </c>
      <c r="K2080" t="inlineStr"/>
    </row>
    <row r="2081">
      <c r="A2081" t="inlineStr">
        <is>
          <t>SHOUNKI13T2</t>
        </is>
      </c>
      <c r="B2081" t="inlineStr">
        <is>
          <t>SHORT PLAYA KIDS</t>
        </is>
      </c>
      <c r="C2081" t="inlineStr">
        <is>
          <t>Manufactura / Kids / P. Inferiores</t>
        </is>
      </c>
      <c r="D2081" t="n">
        <v>5</v>
      </c>
      <c r="E2081" t="n">
        <v>173.9669828</v>
      </c>
      <c r="F2081" t="n">
        <v>0.82312089524</v>
      </c>
      <c r="G2081" t="n">
        <v>1</v>
      </c>
      <c r="H2081" t="n">
        <v>6.09</v>
      </c>
      <c r="I2081" t="n">
        <v>0.5</v>
      </c>
      <c r="J2081" t="n">
        <v>4</v>
      </c>
      <c r="K2081" t="inlineStr"/>
    </row>
    <row r="2082">
      <c r="A2082" t="inlineStr">
        <is>
          <t>VIVMIDA53TS</t>
        </is>
      </c>
      <c r="B2082" t="inlineStr">
        <is>
          <t>VIVI ORIGINAL DAMA</t>
        </is>
      </c>
      <c r="C2082" t="inlineStr">
        <is>
          <t>Manufactura / Dama / P. Superiores</t>
        </is>
      </c>
      <c r="D2082" t="n">
        <v>5</v>
      </c>
      <c r="E2082" t="n">
        <v>173.90207002</v>
      </c>
      <c r="F2082" t="n">
        <v>0.8737755097000001</v>
      </c>
      <c r="G2082" t="n">
        <v>35</v>
      </c>
      <c r="H2082" t="n">
        <v>4.303181706</v>
      </c>
      <c r="I2082" t="n">
        <v>0.5</v>
      </c>
      <c r="J2082" t="n">
        <v>2</v>
      </c>
      <c r="K2082" t="inlineStr"/>
    </row>
    <row r="2083">
      <c r="A2083" t="inlineStr">
        <is>
          <t>ZOEMIDA05TL</t>
        </is>
      </c>
      <c r="B2083" t="inlineStr">
        <is>
          <t>ZOE ORIGINAL DAMA</t>
        </is>
      </c>
      <c r="C2083" t="inlineStr">
        <is>
          <t>Manufactura / Dama / P. Superiores</t>
        </is>
      </c>
      <c r="D2083" t="n">
        <v>3</v>
      </c>
      <c r="E2083" t="n">
        <v>173.82465656</v>
      </c>
      <c r="F2083" t="n">
        <v>0.92938761135</v>
      </c>
      <c r="G2083" t="n">
        <v>0</v>
      </c>
      <c r="H2083" t="n">
        <v>4.116585696</v>
      </c>
      <c r="I2083" t="n">
        <v>0.3</v>
      </c>
      <c r="J2083" t="n">
        <v>4</v>
      </c>
      <c r="K2083" t="inlineStr">
        <is>
          <t>Sin stock</t>
        </is>
      </c>
    </row>
    <row r="2084">
      <c r="A2084" t="inlineStr">
        <is>
          <t>CLAMEKI30T12</t>
        </is>
      </c>
      <c r="B2084" t="inlineStr">
        <is>
          <t>CLASICA SPORT KIDS</t>
        </is>
      </c>
      <c r="C2084" t="inlineStr">
        <is>
          <t>Manufactura / Kids / P. Superiores</t>
        </is>
      </c>
      <c r="D2084" t="n">
        <v>5</v>
      </c>
      <c r="E2084" t="n">
        <v>172.77511673</v>
      </c>
      <c r="F2084" t="n">
        <v>0.88314062972</v>
      </c>
      <c r="G2084" t="n">
        <v>2</v>
      </c>
      <c r="H2084" t="n">
        <v>3.97</v>
      </c>
      <c r="I2084" t="n">
        <v>0.5</v>
      </c>
      <c r="J2084" t="n">
        <v>2</v>
      </c>
      <c r="K2084" t="inlineStr"/>
    </row>
    <row r="2085">
      <c r="A2085" t="inlineStr">
        <is>
          <t>201STDA30TS</t>
        </is>
      </c>
      <c r="B2085" t="inlineStr">
        <is>
          <t>RETRO VZLA DAMA</t>
        </is>
      </c>
      <c r="C2085" t="inlineStr">
        <is>
          <t>Manufactura / Dama / P. Superiores</t>
        </is>
      </c>
      <c r="D2085" t="n">
        <v>4</v>
      </c>
      <c r="E2085" t="n">
        <v>172.14237002</v>
      </c>
      <c r="F2085" t="n">
        <v>0.734586712725</v>
      </c>
      <c r="G2085" t="n">
        <v>0</v>
      </c>
      <c r="H2085" t="n">
        <v>11.23</v>
      </c>
      <c r="I2085" t="n">
        <v>0.4</v>
      </c>
      <c r="J2085" t="n">
        <v>0</v>
      </c>
      <c r="K2085" t="inlineStr">
        <is>
          <t>Sin stock</t>
        </is>
      </c>
    </row>
    <row r="2086">
      <c r="A2086" t="inlineStr">
        <is>
          <t>MARMIKI14T8</t>
        </is>
      </c>
      <c r="B2086" t="inlineStr">
        <is>
          <t>MAR ORIGINAL KIDS</t>
        </is>
      </c>
      <c r="C2086" t="inlineStr">
        <is>
          <t>Manufactura / Kids / P. Superiores</t>
        </is>
      </c>
      <c r="D2086" t="n">
        <v>5</v>
      </c>
      <c r="E2086" t="n">
        <v>171.96234328</v>
      </c>
      <c r="F2086" t="n">
        <v>0.9072793966400001</v>
      </c>
      <c r="G2086" t="n">
        <v>0</v>
      </c>
      <c r="H2086" t="n">
        <v>3.168013332</v>
      </c>
      <c r="I2086" t="n">
        <v>0.5</v>
      </c>
      <c r="J2086" t="n">
        <v>9</v>
      </c>
      <c r="K2086" t="inlineStr">
        <is>
          <t>Sin stock</t>
        </is>
      </c>
    </row>
    <row r="2087">
      <c r="A2087" t="inlineStr">
        <is>
          <t>ZOEMIKI11T12</t>
        </is>
      </c>
      <c r="B2087" t="inlineStr">
        <is>
          <t>ZOE ORIGINAL KIDS</t>
        </is>
      </c>
      <c r="C2087" t="inlineStr">
        <is>
          <t>Manufactura / Kids / P. Superiores</t>
        </is>
      </c>
      <c r="D2087" t="n">
        <v>5</v>
      </c>
      <c r="E2087" t="n">
        <v>171.41287156</v>
      </c>
      <c r="F2087" t="n">
        <v>0.8742180423800001</v>
      </c>
      <c r="G2087" t="n">
        <v>11</v>
      </c>
      <c r="H2087" t="n">
        <v>4.12</v>
      </c>
      <c r="I2087" t="n">
        <v>0.5</v>
      </c>
      <c r="J2087" t="n">
        <v>2</v>
      </c>
      <c r="K2087" t="inlineStr"/>
    </row>
    <row r="2088">
      <c r="A2088" t="inlineStr">
        <is>
          <t>RIOMIKI70T1</t>
        </is>
      </c>
      <c r="B2088" t="inlineStr">
        <is>
          <t>RIO ORIGINAL KIDS</t>
        </is>
      </c>
      <c r="C2088" t="inlineStr">
        <is>
          <t>Manufactura / Kids / P. Superiores</t>
        </is>
      </c>
      <c r="D2088" t="n">
        <v>4</v>
      </c>
      <c r="E2088" t="n">
        <v>170.72523278</v>
      </c>
      <c r="F2088" t="n">
        <v>0.9136023912</v>
      </c>
      <c r="G2088" t="n">
        <v>0</v>
      </c>
      <c r="H2088" t="n">
        <v>3.617969464</v>
      </c>
      <c r="I2088" t="n">
        <v>0.4</v>
      </c>
      <c r="J2088" t="n">
        <v>5</v>
      </c>
      <c r="K2088" t="inlineStr">
        <is>
          <t>Sin stock</t>
        </is>
      </c>
    </row>
    <row r="2089">
      <c r="A2089" t="inlineStr">
        <is>
          <t>GEMBADA66TL</t>
        </is>
      </c>
      <c r="B2089" t="inlineStr">
        <is>
          <t>VESTIDO GEMMA DAMA</t>
        </is>
      </c>
      <c r="C2089" t="inlineStr">
        <is>
          <t>Manufactura / Dama / Conjuntos</t>
        </is>
      </c>
      <c r="D2089" t="n">
        <v>4</v>
      </c>
      <c r="E2089" t="n">
        <v>170.07385688</v>
      </c>
      <c r="F2089" t="n">
        <v>0.4342873236</v>
      </c>
      <c r="G2089" t="n">
        <v>26</v>
      </c>
      <c r="H2089" t="n">
        <v>23.99</v>
      </c>
      <c r="I2089" t="n">
        <v>0.4</v>
      </c>
      <c r="J2089" t="n">
        <v>7</v>
      </c>
      <c r="K2089" t="inlineStr"/>
    </row>
    <row r="2090">
      <c r="A2090" t="inlineStr">
        <is>
          <t>SHONRKI16T4</t>
        </is>
      </c>
      <c r="B2090" t="inlineStr">
        <is>
          <t>SHORT SPORT KIDS</t>
        </is>
      </c>
      <c r="C2090" t="inlineStr">
        <is>
          <t>Manufactura / Kids / P. Inferiores</t>
        </is>
      </c>
      <c r="D2090" t="n">
        <v>5</v>
      </c>
      <c r="E2090" t="n">
        <v>169.28125996</v>
      </c>
      <c r="F2090" t="n">
        <v>0.8561085998166668</v>
      </c>
      <c r="G2090" t="n">
        <v>34</v>
      </c>
      <c r="H2090" t="n">
        <v>6.465724382</v>
      </c>
      <c r="I2090" t="n">
        <v>0.5</v>
      </c>
      <c r="J2090" t="n">
        <v>0</v>
      </c>
      <c r="K2090" t="inlineStr"/>
    </row>
    <row r="2091">
      <c r="A2091" t="inlineStr">
        <is>
          <t>RIOMIKI30T10</t>
        </is>
      </c>
      <c r="B2091" t="inlineStr">
        <is>
          <t>RIO ORIGINAL KIDS</t>
        </is>
      </c>
      <c r="C2091" t="inlineStr">
        <is>
          <t>Manufactura / Kids / P. Superiores</t>
        </is>
      </c>
      <c r="D2091" t="n">
        <v>4</v>
      </c>
      <c r="E2091" t="n">
        <v>169.18988179</v>
      </c>
      <c r="F2091" t="n">
        <v>0.9102955564999999</v>
      </c>
      <c r="G2091" t="n">
        <v>0</v>
      </c>
      <c r="H2091" t="n">
        <v>3.617969464</v>
      </c>
      <c r="I2091" t="n">
        <v>0.4</v>
      </c>
      <c r="J2091" t="n">
        <v>1</v>
      </c>
      <c r="K2091" t="inlineStr">
        <is>
          <t>Sin stock</t>
        </is>
      </c>
    </row>
    <row r="2092">
      <c r="A2092" t="inlineStr">
        <is>
          <t>MARMIKI39T14</t>
        </is>
      </c>
      <c r="B2092" t="inlineStr">
        <is>
          <t>MAR ORIGINAL KIDS</t>
        </is>
      </c>
      <c r="C2092" t="inlineStr">
        <is>
          <t>Manufactura / Kids / P. Superiores</t>
        </is>
      </c>
      <c r="D2092" t="n">
        <v>5</v>
      </c>
      <c r="E2092" t="n">
        <v>168.7231954</v>
      </c>
      <c r="F2092" t="n">
        <v>0.90573691114</v>
      </c>
      <c r="G2092" t="n">
        <v>0</v>
      </c>
      <c r="H2092" t="n">
        <v>3.168013332</v>
      </c>
      <c r="I2092" t="n">
        <v>0.5</v>
      </c>
      <c r="J2092" t="n">
        <v>8</v>
      </c>
      <c r="K2092" t="inlineStr">
        <is>
          <t>Sin stock</t>
        </is>
      </c>
    </row>
    <row r="2093">
      <c r="A2093" t="inlineStr">
        <is>
          <t>ANMSUDA17TM</t>
        </is>
      </c>
      <c r="B2093" t="inlineStr">
        <is>
          <t>ANDRE MOTION DAMA</t>
        </is>
      </c>
      <c r="C2093" t="inlineStr">
        <is>
          <t>Manufactura / Dama / P. Superiores</t>
        </is>
      </c>
      <c r="D2093" t="n">
        <v>4</v>
      </c>
      <c r="E2093" t="n">
        <v>168.38680749</v>
      </c>
      <c r="F2093" t="n">
        <v>0.7461431309</v>
      </c>
      <c r="G2093" t="n">
        <v>0</v>
      </c>
      <c r="H2093" t="n">
        <v>10.6</v>
      </c>
      <c r="I2093" t="n">
        <v>0.4</v>
      </c>
      <c r="J2093" t="n">
        <v>1</v>
      </c>
      <c r="K2093" t="inlineStr">
        <is>
          <t>Sin stock</t>
        </is>
      </c>
    </row>
    <row r="2094">
      <c r="A2094" t="inlineStr">
        <is>
          <t>SHONRKI16T6</t>
        </is>
      </c>
      <c r="B2094" t="inlineStr">
        <is>
          <t>SHORT SPORT KIDS</t>
        </is>
      </c>
      <c r="C2094" t="inlineStr">
        <is>
          <t>Manufactura / Kids / P. Inferiores</t>
        </is>
      </c>
      <c r="D2094" t="n">
        <v>4</v>
      </c>
      <c r="E2094" t="n">
        <v>168.33065214</v>
      </c>
      <c r="F2094" t="n">
        <v>0.8406218022750001</v>
      </c>
      <c r="G2094" t="n">
        <v>34</v>
      </c>
      <c r="H2094" t="n">
        <v>6.465724382</v>
      </c>
      <c r="I2094" t="n">
        <v>0.4</v>
      </c>
      <c r="J2094" t="n">
        <v>3</v>
      </c>
      <c r="K2094" t="inlineStr"/>
    </row>
    <row r="2095">
      <c r="A2095" t="inlineStr">
        <is>
          <t>MANMIGE16TG</t>
        </is>
      </c>
      <c r="B2095" t="inlineStr">
        <is>
          <t>MANGAS GENERAL</t>
        </is>
      </c>
      <c r="C2095" t="inlineStr">
        <is>
          <t>Manufactura / General</t>
        </is>
      </c>
      <c r="D2095" t="n">
        <v>10</v>
      </c>
      <c r="E2095" t="n">
        <v>167.90362423</v>
      </c>
      <c r="F2095" t="n">
        <v>0.94491594548</v>
      </c>
      <c r="G2095" t="n">
        <v>1</v>
      </c>
      <c r="H2095" t="n">
        <v>0.9200000000000002</v>
      </c>
      <c r="I2095" t="n">
        <v>1</v>
      </c>
      <c r="J2095" t="n">
        <v>1</v>
      </c>
      <c r="K2095" t="inlineStr"/>
    </row>
    <row r="2096">
      <c r="A2096" t="inlineStr">
        <is>
          <t>SHOUNCA12T2XL</t>
        </is>
      </c>
      <c r="B2096" t="inlineStr">
        <is>
          <t>SHORT PLAYA CAB</t>
        </is>
      </c>
      <c r="C2096" t="inlineStr">
        <is>
          <t>Manufactura / Caballero / P. Inferiores</t>
        </is>
      </c>
      <c r="D2096" t="n">
        <v>4</v>
      </c>
      <c r="E2096" t="n">
        <v>167.54876815</v>
      </c>
      <c r="F2096" t="n">
        <v>0.760685039375</v>
      </c>
      <c r="G2096" t="n">
        <v>0</v>
      </c>
      <c r="H2096" t="n">
        <v>9.99</v>
      </c>
      <c r="I2096" t="n">
        <v>0.4</v>
      </c>
      <c r="J2096" t="n">
        <v>4</v>
      </c>
      <c r="K2096" t="inlineStr">
        <is>
          <t>Sin stock</t>
        </is>
      </c>
    </row>
    <row r="2097">
      <c r="A2097" t="inlineStr">
        <is>
          <t>ANDMIDA66TL</t>
        </is>
      </c>
      <c r="B2097" t="inlineStr">
        <is>
          <t>ANDRE ORIGINAL DAMA</t>
        </is>
      </c>
      <c r="C2097" t="inlineStr">
        <is>
          <t>Manufactura / Dama / P. Superiores</t>
        </is>
      </c>
      <c r="D2097" t="n">
        <v>5</v>
      </c>
      <c r="E2097" t="n">
        <v>167.21524149</v>
      </c>
      <c r="F2097" t="n">
        <v>0.9053205518714286</v>
      </c>
      <c r="G2097" t="n">
        <v>9</v>
      </c>
      <c r="H2097" t="n">
        <v>3.274295302</v>
      </c>
      <c r="I2097" t="n">
        <v>0.5</v>
      </c>
      <c r="J2097" t="n">
        <v>4</v>
      </c>
      <c r="K2097" t="inlineStr"/>
    </row>
    <row r="2098">
      <c r="A2098" t="inlineStr">
        <is>
          <t>VIVMIDA53TL</t>
        </is>
      </c>
      <c r="B2098" t="inlineStr">
        <is>
          <t>VIVI ORIGINAL DAMA</t>
        </is>
      </c>
      <c r="C2098" t="inlineStr">
        <is>
          <t>Manufactura / Dama / P. Superiores</t>
        </is>
      </c>
      <c r="D2098" t="n">
        <v>5</v>
      </c>
      <c r="E2098" t="n">
        <v>166.95804118</v>
      </c>
      <c r="F2098" t="n">
        <v>0.86608156748</v>
      </c>
      <c r="G2098" t="n">
        <v>8</v>
      </c>
      <c r="H2098" t="n">
        <v>4.303181706</v>
      </c>
      <c r="I2098" t="n">
        <v>0.5</v>
      </c>
      <c r="J2098" t="n">
        <v>7</v>
      </c>
      <c r="K2098" t="inlineStr"/>
    </row>
    <row r="2099">
      <c r="A2099" t="inlineStr">
        <is>
          <t>ACDMIDA120TS</t>
        </is>
      </c>
      <c r="B2099" t="inlineStr">
        <is>
          <t>DANI ACTIVE DAMA</t>
        </is>
      </c>
      <c r="C2099" t="inlineStr">
        <is>
          <t>Manufactura / Dama / P. Superiores</t>
        </is>
      </c>
      <c r="D2099" t="n">
        <v>4</v>
      </c>
      <c r="E2099" t="n">
        <v>166.27590407</v>
      </c>
      <c r="F2099" t="n">
        <v>0.7636167284499999</v>
      </c>
      <c r="G2099" t="n">
        <v>1</v>
      </c>
      <c r="H2099" t="n">
        <v>9.82</v>
      </c>
      <c r="I2099" t="n">
        <v>0.4</v>
      </c>
      <c r="J2099" t="n">
        <v>0</v>
      </c>
      <c r="K2099" t="inlineStr"/>
    </row>
    <row r="2100">
      <c r="A2100" t="inlineStr">
        <is>
          <t>SHOUNKI57T2</t>
        </is>
      </c>
      <c r="B2100" t="inlineStr">
        <is>
          <t>SHORT PLAYA KIDS</t>
        </is>
      </c>
      <c r="C2100" t="inlineStr">
        <is>
          <t>Manufactura / Kids / P. Inferiores</t>
        </is>
      </c>
      <c r="D2100" t="n">
        <v>4</v>
      </c>
      <c r="E2100" t="n">
        <v>166.23036648</v>
      </c>
      <c r="F2100" t="n">
        <v>0.852382562775</v>
      </c>
      <c r="G2100" t="n">
        <v>14</v>
      </c>
      <c r="H2100" t="n">
        <v>6.09</v>
      </c>
      <c r="I2100" t="n">
        <v>0.4</v>
      </c>
      <c r="J2100" t="n">
        <v>1</v>
      </c>
      <c r="K2100" t="inlineStr"/>
    </row>
    <row r="2101">
      <c r="A2101" t="inlineStr">
        <is>
          <t>VIVMIDA11TL</t>
        </is>
      </c>
      <c r="B2101" t="inlineStr">
        <is>
          <t>VIVI ORIGINAL DAMA</t>
        </is>
      </c>
      <c r="C2101" t="inlineStr">
        <is>
          <t>Manufactura / Dama / P. Superiores</t>
        </is>
      </c>
      <c r="D2101" t="n">
        <v>5</v>
      </c>
      <c r="E2101" t="n">
        <v>166.05452064</v>
      </c>
      <c r="F2101" t="n">
        <v>0.85920767008</v>
      </c>
      <c r="G2101" t="n">
        <v>6</v>
      </c>
      <c r="H2101" t="n">
        <v>4.303181706</v>
      </c>
      <c r="I2101" t="n">
        <v>0.5</v>
      </c>
      <c r="J2101" t="n">
        <v>3</v>
      </c>
      <c r="K2101" t="inlineStr"/>
    </row>
    <row r="2102">
      <c r="A2102" t="inlineStr">
        <is>
          <t>DALSSTDA16TM</t>
        </is>
      </c>
      <c r="B2102" t="inlineStr">
        <is>
          <t>MANGA LARGA DAILY 2.0 DAMA</t>
        </is>
      </c>
      <c r="C2102" t="inlineStr">
        <is>
          <t>Manufactura / Dama / P. Superiores</t>
        </is>
      </c>
      <c r="D2102" t="n">
        <v>3</v>
      </c>
      <c r="E2102" t="n">
        <v>165.77371488</v>
      </c>
      <c r="F2102" t="n">
        <v>0.7664323421</v>
      </c>
      <c r="G2102" t="n">
        <v>1</v>
      </c>
      <c r="H2102" t="n">
        <v>12.3</v>
      </c>
      <c r="I2102" t="n">
        <v>0.3</v>
      </c>
      <c r="J2102" t="n">
        <v>2</v>
      </c>
      <c r="K2102" t="inlineStr"/>
    </row>
    <row r="2103">
      <c r="A2103" t="inlineStr">
        <is>
          <t>CLAMIKI43T8</t>
        </is>
      </c>
      <c r="B2103" t="inlineStr">
        <is>
          <t>CLASICA ORIGINAL KIDS</t>
        </is>
      </c>
      <c r="C2103" t="inlineStr">
        <is>
          <t>Manufactura / Kids / P. Superiores</t>
        </is>
      </c>
      <c r="D2103" t="n">
        <v>5</v>
      </c>
      <c r="E2103" t="n">
        <v>165.46355773</v>
      </c>
      <c r="F2103" t="n">
        <v>0.93715244526</v>
      </c>
      <c r="G2103" t="n">
        <v>1</v>
      </c>
      <c r="H2103" t="n">
        <v>2.053774806</v>
      </c>
      <c r="I2103" t="n">
        <v>0.5</v>
      </c>
      <c r="J2103" t="n">
        <v>0</v>
      </c>
      <c r="K2103" t="inlineStr"/>
    </row>
    <row r="2104">
      <c r="A2104" t="inlineStr">
        <is>
          <t>MIAMIDA11TS</t>
        </is>
      </c>
      <c r="B2104" t="inlineStr">
        <is>
          <t>MIA ORIGINAL DAMA</t>
        </is>
      </c>
      <c r="C2104" t="inlineStr">
        <is>
          <t>Manufactura / Dama / P. Superiores</t>
        </is>
      </c>
      <c r="D2104" t="n">
        <v>5</v>
      </c>
      <c r="E2104" t="n">
        <v>165.24967654</v>
      </c>
      <c r="F2104" t="n">
        <v>0.87898035416</v>
      </c>
      <c r="G2104" t="n">
        <v>2</v>
      </c>
      <c r="H2104" t="n">
        <v>3.94</v>
      </c>
      <c r="I2104" t="n">
        <v>0.5</v>
      </c>
      <c r="J2104" t="n">
        <v>0</v>
      </c>
      <c r="K2104" t="inlineStr"/>
    </row>
    <row r="2105">
      <c r="A2105" t="inlineStr">
        <is>
          <t>RIOMICA12T3XL</t>
        </is>
      </c>
      <c r="B2105" t="inlineStr">
        <is>
          <t>RIO ORIGINAL CAB</t>
        </is>
      </c>
      <c r="C2105" t="inlineStr">
        <is>
          <t>Manufactura / Caballero / P. Superiores</t>
        </is>
      </c>
      <c r="D2105" t="n">
        <v>3</v>
      </c>
      <c r="E2105" t="n">
        <v>165.16037892</v>
      </c>
      <c r="F2105" t="n">
        <v>0.8912926134000001</v>
      </c>
      <c r="G2105" t="n">
        <v>1</v>
      </c>
      <c r="H2105" t="n">
        <v>5.939350288</v>
      </c>
      <c r="I2105" t="n">
        <v>0.3</v>
      </c>
      <c r="J2105" t="n">
        <v>5</v>
      </c>
      <c r="K2105" t="inlineStr"/>
    </row>
    <row r="2106">
      <c r="A2106" t="inlineStr">
        <is>
          <t>TALGTADA166TM</t>
        </is>
      </c>
      <c r="B2106" t="inlineStr">
        <is>
          <t>URBAN COTTON TOP SAY YES DAMA</t>
        </is>
      </c>
      <c r="C2106" t="inlineStr">
        <is>
          <t>Manufactura / Dama / P. Superiores</t>
        </is>
      </c>
      <c r="D2106" t="n">
        <v>5</v>
      </c>
      <c r="E2106" t="n">
        <v>164.88725705</v>
      </c>
      <c r="F2106" t="n">
        <v>0.8782183457666667</v>
      </c>
      <c r="G2106" t="n">
        <v>2</v>
      </c>
      <c r="H2106" t="n">
        <v>6.639983317</v>
      </c>
      <c r="I2106" t="n">
        <v>0.5</v>
      </c>
      <c r="J2106" t="n">
        <v>1</v>
      </c>
      <c r="K2106" t="inlineStr"/>
    </row>
    <row r="2107">
      <c r="A2107" t="inlineStr">
        <is>
          <t>SHOUNKI68T10</t>
        </is>
      </c>
      <c r="B2107" t="inlineStr">
        <is>
          <t>SHORT PLAYA KIDS</t>
        </is>
      </c>
      <c r="C2107" t="inlineStr">
        <is>
          <t>Manufactura / Kids / P. Inferiores</t>
        </is>
      </c>
      <c r="D2107" t="n">
        <v>4</v>
      </c>
      <c r="E2107" t="n">
        <v>163.82350978</v>
      </c>
      <c r="F2107" t="n">
        <v>0.849428894325</v>
      </c>
      <c r="G2107" t="n">
        <v>28</v>
      </c>
      <c r="H2107" t="n">
        <v>6.09</v>
      </c>
      <c r="I2107" t="n">
        <v>0.4</v>
      </c>
      <c r="J2107" t="n">
        <v>0</v>
      </c>
      <c r="K2107" t="inlineStr"/>
    </row>
    <row r="2108">
      <c r="A2108" t="inlineStr">
        <is>
          <t>CLAMEDA66TXL</t>
        </is>
      </c>
      <c r="B2108" t="inlineStr">
        <is>
          <t>CLÁSICA SPORT DAMA</t>
        </is>
      </c>
      <c r="C2108" t="inlineStr">
        <is>
          <t>Manufactura / Dama / P. Superiores</t>
        </is>
      </c>
      <c r="D2108" t="n">
        <v>3</v>
      </c>
      <c r="E2108" t="n">
        <v>163.28270572</v>
      </c>
      <c r="F2108" t="n">
        <v>0.8791182494666666</v>
      </c>
      <c r="G2108" t="n">
        <v>4</v>
      </c>
      <c r="H2108" t="n">
        <v>6.536105769</v>
      </c>
      <c r="I2108" t="n">
        <v>0.3</v>
      </c>
      <c r="J2108" t="n">
        <v>0</v>
      </c>
      <c r="K2108" t="inlineStr"/>
    </row>
    <row r="2109">
      <c r="A2109" t="inlineStr">
        <is>
          <t>CLAMICA01T2XL</t>
        </is>
      </c>
      <c r="B2109" t="inlineStr">
        <is>
          <t>CLASICA ORIGINAL CAB</t>
        </is>
      </c>
      <c r="C2109" t="inlineStr">
        <is>
          <t>Manufactura / Caballero / P. Superiores</t>
        </is>
      </c>
      <c r="D2109" t="n">
        <v>4</v>
      </c>
      <c r="E2109" t="n">
        <v>163.24238477</v>
      </c>
      <c r="F2109" t="n">
        <v>0.886650591175</v>
      </c>
      <c r="G2109" t="n">
        <v>4</v>
      </c>
      <c r="H2109" t="n">
        <v>4.598442536</v>
      </c>
      <c r="I2109" t="n">
        <v>0.4</v>
      </c>
      <c r="J2109" t="n">
        <v>0</v>
      </c>
      <c r="K2109" t="inlineStr"/>
    </row>
    <row r="2110">
      <c r="A2110" t="inlineStr">
        <is>
          <t>CRESTKI16T6</t>
        </is>
      </c>
      <c r="B2110" t="inlineStr">
        <is>
          <t>RETRO VZLA KIDS</t>
        </is>
      </c>
      <c r="C2110" t="inlineStr">
        <is>
          <t>Manufactura / Dama / P. Superiores</t>
        </is>
      </c>
      <c r="D2110" t="n">
        <v>5</v>
      </c>
      <c r="E2110" t="n">
        <v>163.22870052</v>
      </c>
      <c r="F2110" t="n">
        <v>0.7249942210333332</v>
      </c>
      <c r="G2110" t="n">
        <v>3</v>
      </c>
      <c r="H2110" t="n">
        <v>10.18</v>
      </c>
      <c r="I2110" t="n">
        <v>0.5</v>
      </c>
      <c r="J2110" t="n">
        <v>3</v>
      </c>
      <c r="K2110" t="inlineStr"/>
    </row>
    <row r="2111">
      <c r="A2111" t="inlineStr">
        <is>
          <t>SHOUNKI68T4</t>
        </is>
      </c>
      <c r="B2111" t="inlineStr">
        <is>
          <t>SHORT PLAYA KIDS</t>
        </is>
      </c>
      <c r="C2111" t="inlineStr">
        <is>
          <t>Manufactura / Kids / P. Inferiores</t>
        </is>
      </c>
      <c r="D2111" t="n">
        <v>4</v>
      </c>
      <c r="E2111" t="n">
        <v>162.80501765</v>
      </c>
      <c r="F2111" t="n">
        <v>0.8498930489833333</v>
      </c>
      <c r="G2111" t="n">
        <v>40</v>
      </c>
      <c r="H2111" t="n">
        <v>6.09</v>
      </c>
      <c r="I2111" t="n">
        <v>0.4</v>
      </c>
      <c r="J2111" t="n">
        <v>1</v>
      </c>
      <c r="K2111" t="inlineStr"/>
    </row>
    <row r="2112">
      <c r="A2112" t="inlineStr">
        <is>
          <t>SHOUNCA68TM</t>
        </is>
      </c>
      <c r="B2112" t="inlineStr">
        <is>
          <t>SHORT PLAYA CAB</t>
        </is>
      </c>
      <c r="C2112" t="inlineStr">
        <is>
          <t>Manufactura / Caballero / P. Inferiores</t>
        </is>
      </c>
      <c r="D2112" t="n">
        <v>4</v>
      </c>
      <c r="E2112" t="n">
        <v>161.81064925</v>
      </c>
      <c r="F2112" t="n">
        <v>0.751907041625</v>
      </c>
      <c r="G2112" t="n">
        <v>0</v>
      </c>
      <c r="H2112" t="n">
        <v>9.99</v>
      </c>
      <c r="I2112" t="n">
        <v>0.4</v>
      </c>
      <c r="J2112" t="n">
        <v>5</v>
      </c>
      <c r="K2112" t="inlineStr">
        <is>
          <t>Sin stock</t>
        </is>
      </c>
    </row>
    <row r="2113">
      <c r="A2113" t="inlineStr">
        <is>
          <t>CLAMICA48TL</t>
        </is>
      </c>
      <c r="B2113" t="inlineStr">
        <is>
          <t>CLASICA ORIGINAL CAB</t>
        </is>
      </c>
      <c r="C2113" t="inlineStr">
        <is>
          <t>Manufactura / Caballero / P. Superiores</t>
        </is>
      </c>
      <c r="D2113" t="n">
        <v>4</v>
      </c>
      <c r="E2113" t="n">
        <v>161.74174602</v>
      </c>
      <c r="F2113" t="n">
        <v>0.8849506418999999</v>
      </c>
      <c r="G2113" t="n">
        <v>0</v>
      </c>
      <c r="H2113" t="n">
        <v>4.598442536</v>
      </c>
      <c r="I2113" t="n">
        <v>0.4</v>
      </c>
      <c r="J2113" t="n">
        <v>7</v>
      </c>
      <c r="K2113" t="inlineStr">
        <is>
          <t>Sin stock</t>
        </is>
      </c>
    </row>
    <row r="2114">
      <c r="A2114" t="inlineStr">
        <is>
          <t>CLAMIDA30TL</t>
        </is>
      </c>
      <c r="B2114" t="inlineStr">
        <is>
          <t>CLASICA ORIGINAL DAMA</t>
        </is>
      </c>
      <c r="C2114" t="inlineStr">
        <is>
          <t>Manufactura / Dama / P. Superiores</t>
        </is>
      </c>
      <c r="D2114" t="n">
        <v>6</v>
      </c>
      <c r="E2114" t="n">
        <v>161.5</v>
      </c>
      <c r="F2114" t="n">
        <v>0.8689610218</v>
      </c>
      <c r="G2114" t="n">
        <v>21</v>
      </c>
      <c r="H2114" t="n">
        <v>3.923227589</v>
      </c>
      <c r="I2114" t="n">
        <v>0.6</v>
      </c>
      <c r="J2114" t="n">
        <v>1</v>
      </c>
      <c r="K2114" t="inlineStr"/>
    </row>
    <row r="2115">
      <c r="A2115" t="inlineStr">
        <is>
          <t>EC176UN</t>
        </is>
      </c>
      <c r="B2115" t="inlineStr">
        <is>
          <t>ECO BAG</t>
        </is>
      </c>
      <c r="C2115" t="inlineStr">
        <is>
          <t>Equipamiento / Bolsos</t>
        </is>
      </c>
      <c r="D2115" t="n">
        <v>106</v>
      </c>
      <c r="E2115" t="n">
        <v>161.3127725971999</v>
      </c>
      <c r="F2115" t="n">
        <v>0.57828636214375</v>
      </c>
      <c r="G2115" t="n">
        <v>79</v>
      </c>
      <c r="H2115" t="n">
        <v>5.5</v>
      </c>
      <c r="I2115" t="n">
        <v>10.6</v>
      </c>
      <c r="J2115" t="n">
        <v>0</v>
      </c>
      <c r="K2115" t="inlineStr"/>
    </row>
    <row r="2116">
      <c r="A2116" t="inlineStr">
        <is>
          <t>SRR2VIU123TM</t>
        </is>
      </c>
      <c r="B2116" t="inlineStr">
        <is>
          <t>R2 RUNNING 3,5"</t>
        </is>
      </c>
      <c r="C2116" t="inlineStr">
        <is>
          <t>Manufactura / General</t>
        </is>
      </c>
      <c r="D2116" t="n">
        <v>3</v>
      </c>
      <c r="E2116" t="n">
        <v>160.35</v>
      </c>
      <c r="F2116" t="n">
        <v>0.8841908326</v>
      </c>
      <c r="G2116" t="n">
        <v>8</v>
      </c>
      <c r="H2116" t="n">
        <v>6.19</v>
      </c>
      <c r="I2116" t="n">
        <v>0.3</v>
      </c>
      <c r="J2116" t="n">
        <v>0</v>
      </c>
      <c r="K2116" t="inlineStr"/>
    </row>
    <row r="2117">
      <c r="A2117" t="inlineStr">
        <is>
          <t>SSR2VIU43TM</t>
        </is>
      </c>
      <c r="B2117" t="inlineStr">
        <is>
          <t>R2 SPORT  5"</t>
        </is>
      </c>
      <c r="C2117" t="inlineStr">
        <is>
          <t>Manufactura / General</t>
        </is>
      </c>
      <c r="D2117" t="n">
        <v>3</v>
      </c>
      <c r="E2117" t="n">
        <v>160.35</v>
      </c>
      <c r="F2117" t="n">
        <v>0.9047708138</v>
      </c>
      <c r="G2117" t="n">
        <v>10</v>
      </c>
      <c r="H2117" t="n">
        <v>5.09</v>
      </c>
      <c r="I2117" t="n">
        <v>0.3</v>
      </c>
      <c r="J2117" t="n">
        <v>0</v>
      </c>
      <c r="K2117" t="inlineStr"/>
    </row>
    <row r="2118">
      <c r="A2118" t="inlineStr">
        <is>
          <t>ANMSUDA151TL</t>
        </is>
      </c>
      <c r="B2118" t="inlineStr">
        <is>
          <t>ANDRE MOTION DAMA</t>
        </is>
      </c>
      <c r="C2118" t="inlineStr">
        <is>
          <t>Manufactura / Dama / P. Superiores</t>
        </is>
      </c>
      <c r="D2118" t="n">
        <v>4</v>
      </c>
      <c r="E2118" t="n">
        <v>160.0400335</v>
      </c>
      <c r="F2118" t="n">
        <v>0.7325996931750001</v>
      </c>
      <c r="G2118" t="n">
        <v>0</v>
      </c>
      <c r="H2118" t="n">
        <v>10.6</v>
      </c>
      <c r="I2118" t="n">
        <v>0.4</v>
      </c>
      <c r="J2118" t="n">
        <v>5</v>
      </c>
      <c r="K2118" t="inlineStr">
        <is>
          <t>Sin stock</t>
        </is>
      </c>
    </row>
    <row r="2119">
      <c r="A2119" t="inlineStr">
        <is>
          <t>CLAMIKI13T8</t>
        </is>
      </c>
      <c r="B2119" t="inlineStr">
        <is>
          <t>CLASICA ORIGINAL KIDS</t>
        </is>
      </c>
      <c r="C2119" t="inlineStr">
        <is>
          <t>Manufactura / Kids / P. Superiores</t>
        </is>
      </c>
      <c r="D2119" t="n">
        <v>6</v>
      </c>
      <c r="E2119" t="n">
        <v>159.42457023</v>
      </c>
      <c r="F2119" t="n">
        <v>0.9338155221600001</v>
      </c>
      <c r="G2119" t="n">
        <v>13</v>
      </c>
      <c r="H2119" t="n">
        <v>2.053774806</v>
      </c>
      <c r="I2119" t="n">
        <v>0.6</v>
      </c>
      <c r="J2119" t="n">
        <v>0</v>
      </c>
      <c r="K2119" t="inlineStr"/>
    </row>
    <row r="2120">
      <c r="A2120" t="inlineStr">
        <is>
          <t>MAFMIDA66TXL</t>
        </is>
      </c>
      <c r="B2120" t="inlineStr">
        <is>
          <t>MAFE ORIGINAL DAMA</t>
        </is>
      </c>
      <c r="C2120" t="inlineStr">
        <is>
          <t>Manufactura / Dama / P. Superiores</t>
        </is>
      </c>
      <c r="D2120" t="n">
        <v>5</v>
      </c>
      <c r="E2120" t="n">
        <v>159.36012265</v>
      </c>
      <c r="F2120" t="n">
        <v>0.8511888600600001</v>
      </c>
      <c r="G2120" t="n">
        <v>19</v>
      </c>
      <c r="H2120" t="n">
        <v>4.54817671</v>
      </c>
      <c r="I2120" t="n">
        <v>0.5</v>
      </c>
      <c r="J2120" t="n">
        <v>3</v>
      </c>
      <c r="K2120" t="inlineStr"/>
    </row>
    <row r="2121">
      <c r="A2121" t="inlineStr">
        <is>
          <t>CLAMIDA12T2XL</t>
        </is>
      </c>
      <c r="B2121" t="inlineStr">
        <is>
          <t>CLASICA ORIGINAL DAMA</t>
        </is>
      </c>
      <c r="C2121" t="inlineStr">
        <is>
          <t>Manufactura / Dama / P. Superiores</t>
        </is>
      </c>
      <c r="D2121" t="n">
        <v>5</v>
      </c>
      <c r="E2121" t="n">
        <v>159.18938058</v>
      </c>
      <c r="F2121" t="n">
        <v>0.8845215796</v>
      </c>
      <c r="G2121" t="n">
        <v>0</v>
      </c>
      <c r="H2121" t="n">
        <v>3.923227589</v>
      </c>
      <c r="I2121" t="n">
        <v>0.5</v>
      </c>
      <c r="J2121" t="n">
        <v>4</v>
      </c>
      <c r="K2121" t="inlineStr">
        <is>
          <t>Sin stock</t>
        </is>
      </c>
    </row>
    <row r="2122">
      <c r="A2122" t="inlineStr">
        <is>
          <t>ZOEMIKI01T12</t>
        </is>
      </c>
      <c r="B2122" t="inlineStr">
        <is>
          <t>ZOE ORIGINAL KIDS</t>
        </is>
      </c>
      <c r="C2122" t="inlineStr">
        <is>
          <t>Manufactura / Kids / P. Superiores</t>
        </is>
      </c>
      <c r="D2122" t="n">
        <v>4</v>
      </c>
      <c r="E2122" t="n">
        <v>158.72279992</v>
      </c>
      <c r="F2122" t="n">
        <v>0.8876490607333333</v>
      </c>
      <c r="G2122" t="n">
        <v>18</v>
      </c>
      <c r="H2122" t="n">
        <v>4.12</v>
      </c>
      <c r="I2122" t="n">
        <v>0.4</v>
      </c>
      <c r="J2122" t="n">
        <v>2</v>
      </c>
      <c r="K2122" t="inlineStr"/>
    </row>
    <row r="2123">
      <c r="A2123" t="inlineStr">
        <is>
          <t>MARMIKI14T10</t>
        </is>
      </c>
      <c r="B2123" t="inlineStr">
        <is>
          <t>MAR ORIGINAL KIDS</t>
        </is>
      </c>
      <c r="C2123" t="inlineStr">
        <is>
          <t>Manufactura / Kids / P. Superiores</t>
        </is>
      </c>
      <c r="D2123" t="n">
        <v>5</v>
      </c>
      <c r="E2123" t="n">
        <v>158.48321434</v>
      </c>
      <c r="F2123" t="n">
        <v>0.8881622216</v>
      </c>
      <c r="G2123" t="n">
        <v>0</v>
      </c>
      <c r="H2123" t="n">
        <v>3.168013332</v>
      </c>
      <c r="I2123" t="n">
        <v>0.5</v>
      </c>
      <c r="J2123" t="n">
        <v>8</v>
      </c>
      <c r="K2123" t="inlineStr">
        <is>
          <t>Sin stock</t>
        </is>
      </c>
    </row>
    <row r="2124">
      <c r="A2124" t="inlineStr">
        <is>
          <t>DOMBFCA16T2XL</t>
        </is>
      </c>
      <c r="B2124" t="inlineStr">
        <is>
          <t>DOMINIC BIO MOVE CAB</t>
        </is>
      </c>
      <c r="C2124" t="inlineStr">
        <is>
          <t>Manufactura / Caballero / P. Superiores</t>
        </is>
      </c>
      <c r="D2124" t="n">
        <v>2</v>
      </c>
      <c r="E2124" t="n">
        <v>158.08672074</v>
      </c>
      <c r="F2124" t="n">
        <v>0.82338066235</v>
      </c>
      <c r="G2124" t="n">
        <v>38</v>
      </c>
      <c r="H2124" t="n">
        <v>13.86</v>
      </c>
      <c r="I2124" t="n">
        <v>0.2</v>
      </c>
      <c r="J2124" t="n">
        <v>2</v>
      </c>
      <c r="K2124" t="inlineStr"/>
    </row>
    <row r="2125">
      <c r="A2125" t="inlineStr">
        <is>
          <t>BUFMIGE14TUN</t>
        </is>
      </c>
      <c r="B2125" t="inlineStr">
        <is>
          <t>FLEX COVER</t>
        </is>
      </c>
      <c r="C2125" t="inlineStr">
        <is>
          <t>Manufactura / General</t>
        </is>
      </c>
      <c r="D2125" t="n">
        <v>11</v>
      </c>
      <c r="E2125" t="n">
        <v>157.357853304</v>
      </c>
      <c r="F2125" t="n">
        <v>0.8388716767111111</v>
      </c>
      <c r="G2125" t="n">
        <v>2</v>
      </c>
      <c r="H2125" t="n">
        <v>2.21</v>
      </c>
      <c r="I2125" t="n">
        <v>1.1</v>
      </c>
      <c r="J2125" t="n">
        <v>3</v>
      </c>
      <c r="K2125" t="inlineStr"/>
    </row>
    <row r="2126">
      <c r="A2126" t="inlineStr">
        <is>
          <t>ZOEMIDA70TM</t>
        </is>
      </c>
      <c r="B2126" t="inlineStr">
        <is>
          <t>ZOE ORIGINAL DAMA</t>
        </is>
      </c>
      <c r="C2126" t="inlineStr">
        <is>
          <t>Manufactura / Dama / P. Superiores</t>
        </is>
      </c>
      <c r="D2126" t="n">
        <v>13</v>
      </c>
      <c r="E2126" t="n">
        <v>156.60711866</v>
      </c>
      <c r="F2126" t="n">
        <v>0.89424967025</v>
      </c>
      <c r="G2126" t="n">
        <v>1</v>
      </c>
      <c r="H2126" t="n">
        <v>4.116585696</v>
      </c>
      <c r="I2126" t="n">
        <v>1.3</v>
      </c>
      <c r="J2126" t="n">
        <v>1</v>
      </c>
      <c r="K2126" t="inlineStr"/>
    </row>
    <row r="2127">
      <c r="A2127" t="inlineStr">
        <is>
          <t>ZOEMIDA70TS</t>
        </is>
      </c>
      <c r="B2127" t="inlineStr">
        <is>
          <t>ZOE ORIGINAL DAMA</t>
        </is>
      </c>
      <c r="C2127" t="inlineStr">
        <is>
          <t>Manufactura / Dama / P. Superiores</t>
        </is>
      </c>
      <c r="D2127" t="n">
        <v>12</v>
      </c>
      <c r="E2127" t="n">
        <v>156.1920552</v>
      </c>
      <c r="F2127" t="n">
        <v>0.887775144375</v>
      </c>
      <c r="G2127" t="n">
        <v>6</v>
      </c>
      <c r="H2127" t="n">
        <v>4.116585696</v>
      </c>
      <c r="I2127" t="n">
        <v>1.2</v>
      </c>
      <c r="J2127" t="n">
        <v>1</v>
      </c>
      <c r="K2127" t="inlineStr"/>
    </row>
    <row r="2128">
      <c r="A2128" t="inlineStr">
        <is>
          <t>ANDMIDA13TS</t>
        </is>
      </c>
      <c r="B2128" t="inlineStr">
        <is>
          <t>ANDRE ORIGINAL DAMA</t>
        </is>
      </c>
      <c r="C2128" t="inlineStr">
        <is>
          <t>Manufactura / Dama / P. Superiores</t>
        </is>
      </c>
      <c r="D2128" t="n">
        <v>5</v>
      </c>
      <c r="E2128" t="n">
        <v>155.81336078</v>
      </c>
      <c r="F2128" t="n">
        <v>0.8988152953428571</v>
      </c>
      <c r="G2128" t="n">
        <v>0</v>
      </c>
      <c r="H2128" t="n">
        <v>3.274295302</v>
      </c>
      <c r="I2128" t="n">
        <v>0.5</v>
      </c>
      <c r="J2128" t="n">
        <v>0</v>
      </c>
      <c r="K2128" t="inlineStr">
        <is>
          <t>Sin stock</t>
        </is>
      </c>
    </row>
    <row r="2129">
      <c r="A2129" t="inlineStr">
        <is>
          <t>ZOEMIKI43T8</t>
        </is>
      </c>
      <c r="B2129" t="inlineStr">
        <is>
          <t>ZOE ORIGINAL KIDS</t>
        </is>
      </c>
      <c r="C2129" t="inlineStr">
        <is>
          <t>Manufactura / Kids / P. Superiores</t>
        </is>
      </c>
      <c r="D2129" t="n">
        <v>4</v>
      </c>
      <c r="E2129" t="n">
        <v>155.47626251</v>
      </c>
      <c r="F2129" t="n">
        <v>0.8869802330000001</v>
      </c>
      <c r="G2129" t="n">
        <v>21</v>
      </c>
      <c r="H2129" t="n">
        <v>4.12</v>
      </c>
      <c r="I2129" t="n">
        <v>0.4</v>
      </c>
      <c r="J2129" t="n">
        <v>4</v>
      </c>
      <c r="K2129" t="inlineStr"/>
    </row>
    <row r="2130">
      <c r="A2130" t="inlineStr">
        <is>
          <t>COA145C24OZ</t>
        </is>
      </c>
      <c r="B2130" t="inlineStr">
        <is>
          <t>CONTIGO ASHLAND 24OZ</t>
        </is>
      </c>
      <c r="C2130" t="inlineStr">
        <is>
          <t>Equipamiento / Cava</t>
        </is>
      </c>
      <c r="D2130" t="n">
        <v>5</v>
      </c>
      <c r="E2130" t="n">
        <v>155.02900958</v>
      </c>
      <c r="F2130" t="n">
        <v>0.2027610518</v>
      </c>
      <c r="G2130" t="n">
        <v>27</v>
      </c>
      <c r="H2130" t="n">
        <v>24.5</v>
      </c>
      <c r="I2130" t="n">
        <v>0.5</v>
      </c>
      <c r="J2130" t="n">
        <v>7</v>
      </c>
      <c r="K2130" t="inlineStr"/>
    </row>
    <row r="2131">
      <c r="A2131" t="inlineStr">
        <is>
          <t>DALSSTDA16TS</t>
        </is>
      </c>
      <c r="B2131" t="inlineStr">
        <is>
          <t>MANGA LARGA DAILY 2.0 DAMA</t>
        </is>
      </c>
      <c r="C2131" t="inlineStr">
        <is>
          <t>Manufactura / Dama / P. Superiores</t>
        </is>
      </c>
      <c r="D2131" t="n">
        <v>4</v>
      </c>
      <c r="E2131" t="n">
        <v>154.38292902</v>
      </c>
      <c r="F2131" t="n">
        <v>0.7580144003333333</v>
      </c>
      <c r="G2131" t="n">
        <v>1</v>
      </c>
      <c r="H2131" t="n">
        <v>12.3</v>
      </c>
      <c r="I2131" t="n">
        <v>0.4</v>
      </c>
      <c r="J2131" t="n">
        <v>3</v>
      </c>
      <c r="K2131" t="inlineStr"/>
    </row>
    <row r="2132">
      <c r="A2132" t="inlineStr">
        <is>
          <t>CLAMIKI48T6</t>
        </is>
      </c>
      <c r="B2132" t="inlineStr">
        <is>
          <t>CLASICA ORIGINAL KIDS</t>
        </is>
      </c>
      <c r="C2132" t="inlineStr">
        <is>
          <t>Manufactura / Kids / P. Superiores</t>
        </is>
      </c>
      <c r="D2132" t="n">
        <v>5</v>
      </c>
      <c r="E2132" t="n">
        <v>154.04172516</v>
      </c>
      <c r="F2132" t="n">
        <v>0.9302533615399999</v>
      </c>
      <c r="G2132" t="n">
        <v>8</v>
      </c>
      <c r="H2132" t="n">
        <v>2.053774806</v>
      </c>
      <c r="I2132" t="n">
        <v>0.5</v>
      </c>
      <c r="J2132" t="n">
        <v>0</v>
      </c>
      <c r="K2132" t="inlineStr"/>
    </row>
    <row r="2133">
      <c r="A2133" t="inlineStr">
        <is>
          <t>CLAMIKI16T2</t>
        </is>
      </c>
      <c r="B2133" t="inlineStr">
        <is>
          <t>CLASICA ORIGINAL KIDS</t>
        </is>
      </c>
      <c r="C2133" t="inlineStr">
        <is>
          <t>Manufactura / Kids / P. Superiores</t>
        </is>
      </c>
      <c r="D2133" t="n">
        <v>5</v>
      </c>
      <c r="E2133" t="n">
        <v>153.67973099</v>
      </c>
      <c r="F2133" t="n">
        <v>0.93100845444</v>
      </c>
      <c r="G2133" t="n">
        <v>39</v>
      </c>
      <c r="H2133" t="n">
        <v>2.053774806</v>
      </c>
      <c r="I2133" t="n">
        <v>0.5</v>
      </c>
      <c r="J2133" t="n">
        <v>0</v>
      </c>
      <c r="K2133" t="inlineStr"/>
    </row>
    <row r="2134">
      <c r="A2134" t="inlineStr">
        <is>
          <t>VIVMIDA70TXL</t>
        </is>
      </c>
      <c r="B2134" t="inlineStr">
        <is>
          <t>VIVI ORIGINAL DAMA</t>
        </is>
      </c>
      <c r="C2134" t="inlineStr">
        <is>
          <t>Manufactura / Dama / P. Superiores</t>
        </is>
      </c>
      <c r="D2134" t="n">
        <v>4</v>
      </c>
      <c r="E2134" t="n">
        <v>153.33511927</v>
      </c>
      <c r="F2134" t="n">
        <v>0.882684931175</v>
      </c>
      <c r="G2134" t="n">
        <v>7</v>
      </c>
      <c r="H2134" t="n">
        <v>4.303181706</v>
      </c>
      <c r="I2134" t="n">
        <v>0.4</v>
      </c>
      <c r="J2134" t="n">
        <v>3</v>
      </c>
      <c r="K2134" t="inlineStr"/>
    </row>
    <row r="2135">
      <c r="A2135" t="inlineStr">
        <is>
          <t>RIOMICA50T3XL</t>
        </is>
      </c>
      <c r="B2135" t="inlineStr">
        <is>
          <t>RIO ORIGINAL CAB</t>
        </is>
      </c>
      <c r="C2135" t="inlineStr">
        <is>
          <t>Manufactura / Caballero / P. Superiores</t>
        </is>
      </c>
      <c r="D2135" t="n">
        <v>3</v>
      </c>
      <c r="E2135" t="n">
        <v>152.42845771</v>
      </c>
      <c r="F2135" t="n">
        <v>0.8815931211666667</v>
      </c>
      <c r="G2135" t="n">
        <v>5</v>
      </c>
      <c r="H2135" t="n">
        <v>5.939350288</v>
      </c>
      <c r="I2135" t="n">
        <v>0.3</v>
      </c>
      <c r="J2135" t="n">
        <v>2</v>
      </c>
      <c r="K2135" t="inlineStr"/>
    </row>
    <row r="2136">
      <c r="A2136" t="inlineStr">
        <is>
          <t>GEOMACADA168TL</t>
        </is>
      </c>
      <c r="B2136" t="inlineStr">
        <is>
          <t>ADVANCE GEO MAYA DAMA</t>
        </is>
      </c>
      <c r="C2136" t="inlineStr">
        <is>
          <t>Manufactura / Dama / P. Superiores</t>
        </is>
      </c>
      <c r="D2136" t="n">
        <v>3</v>
      </c>
      <c r="E2136" t="n">
        <v>152.34021256</v>
      </c>
      <c r="F2136" t="n">
        <v>0.8628040537999999</v>
      </c>
      <c r="G2136" t="n">
        <v>16</v>
      </c>
      <c r="H2136" t="n">
        <v>10.33</v>
      </c>
      <c r="I2136" t="n">
        <v>0.3</v>
      </c>
      <c r="J2136" t="n">
        <v>0</v>
      </c>
      <c r="K2136" t="inlineStr"/>
    </row>
    <row r="2137">
      <c r="A2137" t="inlineStr">
        <is>
          <t>RIOMIDA05TM</t>
        </is>
      </c>
      <c r="B2137" t="inlineStr">
        <is>
          <t>RIO ORIGINAL DAMA</t>
        </is>
      </c>
      <c r="C2137" t="inlineStr">
        <is>
          <t>Manufactura / Dama / P. Superiores</t>
        </is>
      </c>
      <c r="D2137" t="n">
        <v>3</v>
      </c>
      <c r="E2137" t="n">
        <v>152.19378552</v>
      </c>
      <c r="F2137" t="n">
        <v>0.8899540068666667</v>
      </c>
      <c r="G2137" t="n">
        <v>0</v>
      </c>
      <c r="H2137" t="n">
        <v>5.538832275</v>
      </c>
      <c r="I2137" t="n">
        <v>0.3</v>
      </c>
      <c r="J2137" t="n">
        <v>9</v>
      </c>
      <c r="K2137" t="inlineStr">
        <is>
          <t>Sin stock</t>
        </is>
      </c>
    </row>
    <row r="2138">
      <c r="A2138" t="inlineStr">
        <is>
          <t>CLAMIDA66TL</t>
        </is>
      </c>
      <c r="B2138" t="inlineStr">
        <is>
          <t>CLASICA ORIGINAL DAMA</t>
        </is>
      </c>
      <c r="C2138" t="inlineStr">
        <is>
          <t>Manufactura / Dama / P. Superiores</t>
        </is>
      </c>
      <c r="D2138" t="n">
        <v>4</v>
      </c>
      <c r="E2138" t="n">
        <v>150.69469545</v>
      </c>
      <c r="F2138" t="n">
        <v>0.89602265744</v>
      </c>
      <c r="G2138" t="n">
        <v>37</v>
      </c>
      <c r="H2138" t="n">
        <v>3.923227589000001</v>
      </c>
      <c r="I2138" t="n">
        <v>0.4</v>
      </c>
      <c r="J2138" t="n">
        <v>0</v>
      </c>
      <c r="K2138" t="inlineStr"/>
    </row>
    <row r="2139">
      <c r="A2139" t="inlineStr">
        <is>
          <t>RIOMICA24T2XL</t>
        </is>
      </c>
      <c r="B2139" t="inlineStr">
        <is>
          <t>RIO ORIGINAL CAB</t>
        </is>
      </c>
      <c r="C2139" t="inlineStr">
        <is>
          <t>Manufactura / Caballero / P. Superiores</t>
        </is>
      </c>
      <c r="D2139" t="n">
        <v>3</v>
      </c>
      <c r="E2139" t="n">
        <v>150.01279283</v>
      </c>
      <c r="F2139" t="n">
        <v>0.8811608771</v>
      </c>
      <c r="G2139" t="n">
        <v>0</v>
      </c>
      <c r="H2139" t="n">
        <v>5.939350288</v>
      </c>
      <c r="I2139" t="n">
        <v>0.3</v>
      </c>
      <c r="J2139" t="n">
        <v>8</v>
      </c>
      <c r="K2139" t="inlineStr">
        <is>
          <t>Sin stock</t>
        </is>
      </c>
    </row>
    <row r="2140">
      <c r="A2140" t="inlineStr">
        <is>
          <t>TALGOTADA170TXL</t>
        </is>
      </c>
      <c r="B2140" t="inlineStr">
        <is>
          <t>URBAN COTTON TOP VINTAGE GRIS DAMA</t>
        </is>
      </c>
      <c r="C2140" t="inlineStr">
        <is>
          <t>Manufactura / Dama / P. Superiores</t>
        </is>
      </c>
      <c r="D2140" t="n">
        <v>3</v>
      </c>
      <c r="E2140" t="n">
        <v>149.8676379</v>
      </c>
      <c r="F2140" t="n">
        <v>0.8315379884666667</v>
      </c>
      <c r="G2140" t="n">
        <v>0</v>
      </c>
      <c r="H2140" t="n">
        <v>7.819069274</v>
      </c>
      <c r="I2140" t="n">
        <v>0.3</v>
      </c>
      <c r="J2140" t="n">
        <v>4</v>
      </c>
      <c r="K2140" t="inlineStr">
        <is>
          <t>Sin stock</t>
        </is>
      </c>
    </row>
    <row r="2141">
      <c r="A2141" t="inlineStr">
        <is>
          <t>ANDMIDA39TS</t>
        </is>
      </c>
      <c r="B2141" t="inlineStr">
        <is>
          <t>ANDRE ORIGINAL DAMA</t>
        </is>
      </c>
      <c r="C2141" t="inlineStr">
        <is>
          <t>Manufactura / Dama / P. Superiores</t>
        </is>
      </c>
      <c r="D2141" t="n">
        <v>5</v>
      </c>
      <c r="E2141" t="n">
        <v>149.51721646</v>
      </c>
      <c r="F2141" t="n">
        <v>0.88288502206</v>
      </c>
      <c r="G2141" t="n">
        <v>0</v>
      </c>
      <c r="H2141" t="n">
        <v>3.274295302</v>
      </c>
      <c r="I2141" t="n">
        <v>0.5</v>
      </c>
      <c r="J2141" t="n">
        <v>8</v>
      </c>
      <c r="K2141" t="inlineStr">
        <is>
          <t>Sin stock</t>
        </is>
      </c>
    </row>
    <row r="2142">
      <c r="A2142" t="inlineStr">
        <is>
          <t>OVEFTGE43TXL</t>
        </is>
      </c>
      <c r="B2142" t="inlineStr">
        <is>
          <t>UNIHOODIE</t>
        </is>
      </c>
      <c r="C2142" t="inlineStr">
        <is>
          <t>Manufactura / General</t>
        </is>
      </c>
      <c r="D2142" t="n">
        <v>3</v>
      </c>
      <c r="E2142" t="n">
        <v>149.37611627</v>
      </c>
      <c r="F2142" t="n">
        <v>0.5901921463333334</v>
      </c>
      <c r="G2142" t="n">
        <v>0</v>
      </c>
      <c r="H2142" t="n">
        <v>20.27</v>
      </c>
      <c r="I2142" t="n">
        <v>0.3</v>
      </c>
      <c r="J2142" t="n">
        <v>8</v>
      </c>
      <c r="K2142" t="inlineStr">
        <is>
          <t>Sin stock</t>
        </is>
      </c>
    </row>
    <row r="2143">
      <c r="A2143" t="inlineStr">
        <is>
          <t>CRESTKI16T12</t>
        </is>
      </c>
      <c r="B2143" t="inlineStr">
        <is>
          <t>RETRO VZLA KIDS</t>
        </is>
      </c>
      <c r="C2143" t="inlineStr">
        <is>
          <t>Manufactura / Dama / P. Superiores</t>
        </is>
      </c>
      <c r="D2143" t="n">
        <v>5</v>
      </c>
      <c r="E2143" t="n">
        <v>148.9328453</v>
      </c>
      <c r="F2143" t="n">
        <v>0.707877847275</v>
      </c>
      <c r="G2143" t="n">
        <v>0</v>
      </c>
      <c r="H2143" t="n">
        <v>10.18</v>
      </c>
      <c r="I2143" t="n">
        <v>0.5</v>
      </c>
      <c r="J2143" t="n">
        <v>5</v>
      </c>
      <c r="K2143" t="inlineStr">
        <is>
          <t>Sin stock</t>
        </is>
      </c>
    </row>
    <row r="2144">
      <c r="A2144" t="inlineStr">
        <is>
          <t>ZOEMIKI12T4</t>
        </is>
      </c>
      <c r="B2144" t="inlineStr">
        <is>
          <t>ZOE ORIGINAL KIDS</t>
        </is>
      </c>
      <c r="C2144" t="inlineStr">
        <is>
          <t>Manufactura / Kids / P. Superiores</t>
        </is>
      </c>
      <c r="D2144" t="n">
        <v>4</v>
      </c>
      <c r="E2144" t="n">
        <v>148.56992368</v>
      </c>
      <c r="F2144" t="n">
        <v>0.874179046725</v>
      </c>
      <c r="G2144" t="n">
        <v>22</v>
      </c>
      <c r="H2144" t="n">
        <v>4.12</v>
      </c>
      <c r="I2144" t="n">
        <v>0.4</v>
      </c>
      <c r="J2144" t="n">
        <v>1</v>
      </c>
      <c r="K2144" t="inlineStr"/>
    </row>
    <row r="2145">
      <c r="A2145" t="inlineStr">
        <is>
          <t>CLAMIKI48T2</t>
        </is>
      </c>
      <c r="B2145" t="inlineStr">
        <is>
          <t>CLASICA ORIGINAL KIDS</t>
        </is>
      </c>
      <c r="C2145" t="inlineStr">
        <is>
          <t>Manufactura / Kids / P. Superiores</t>
        </is>
      </c>
      <c r="D2145" t="n">
        <v>5</v>
      </c>
      <c r="E2145" t="n">
        <v>148.40708697</v>
      </c>
      <c r="F2145" t="n">
        <v>0.92877191208</v>
      </c>
      <c r="G2145" t="n">
        <v>5</v>
      </c>
      <c r="H2145" t="n">
        <v>2.053774806</v>
      </c>
      <c r="I2145" t="n">
        <v>0.5</v>
      </c>
      <c r="J2145" t="n">
        <v>4</v>
      </c>
      <c r="K2145" t="inlineStr"/>
    </row>
    <row r="2146">
      <c r="A2146" t="inlineStr">
        <is>
          <t>CLAMIDA11TS</t>
        </is>
      </c>
      <c r="B2146" t="inlineStr">
        <is>
          <t>CLASICA ORIGINAL DAMA</t>
        </is>
      </c>
      <c r="C2146" t="inlineStr">
        <is>
          <t>Manufactura / Dama / P. Superiores</t>
        </is>
      </c>
      <c r="D2146" t="n">
        <v>4</v>
      </c>
      <c r="E2146" t="n">
        <v>148.2</v>
      </c>
      <c r="F2146" t="n">
        <v>0.8926817938</v>
      </c>
      <c r="G2146" t="n">
        <v>0</v>
      </c>
      <c r="H2146" t="n">
        <v>3.923227589</v>
      </c>
      <c r="I2146" t="n">
        <v>0.4</v>
      </c>
      <c r="J2146" t="n">
        <v>0</v>
      </c>
      <c r="K2146" t="inlineStr">
        <is>
          <t>Sin stock</t>
        </is>
      </c>
    </row>
    <row r="2147">
      <c r="A2147" t="inlineStr">
        <is>
          <t>SHONTDA33TS</t>
        </is>
      </c>
      <c r="B2147" t="inlineStr">
        <is>
          <t>EXPLORE SHORT DAMA</t>
        </is>
      </c>
      <c r="C2147" t="inlineStr">
        <is>
          <t>Manufactura / Dama / P. Inferiores</t>
        </is>
      </c>
      <c r="D2147" t="n">
        <v>4</v>
      </c>
      <c r="E2147" t="n">
        <v>148.10727296</v>
      </c>
      <c r="F2147" t="n">
        <v>0.7912104721</v>
      </c>
      <c r="G2147" t="n">
        <v>22</v>
      </c>
      <c r="H2147" t="n">
        <v>10.22113744</v>
      </c>
      <c r="I2147" t="n">
        <v>0.4</v>
      </c>
      <c r="J2147" t="n">
        <v>1</v>
      </c>
      <c r="K2147" t="inlineStr"/>
    </row>
    <row r="2148">
      <c r="A2148" t="inlineStr">
        <is>
          <t>RIOMIDA14TXS</t>
        </is>
      </c>
      <c r="B2148" t="inlineStr">
        <is>
          <t>RIO ORIGINAL DAMA</t>
        </is>
      </c>
      <c r="C2148" t="inlineStr">
        <is>
          <t>Manufactura / Dama / P. Superiores</t>
        </is>
      </c>
      <c r="D2148" t="n">
        <v>3</v>
      </c>
      <c r="E2148" t="n">
        <v>148.00825993</v>
      </c>
      <c r="F2148" t="n">
        <v>0.8875951286333333</v>
      </c>
      <c r="G2148" t="n">
        <v>0</v>
      </c>
      <c r="H2148" t="n">
        <v>5.538832275</v>
      </c>
      <c r="I2148" t="n">
        <v>0.3</v>
      </c>
      <c r="J2148" t="n">
        <v>8</v>
      </c>
      <c r="K2148" t="inlineStr">
        <is>
          <t>Sin stock</t>
        </is>
      </c>
    </row>
    <row r="2149">
      <c r="A2149" t="inlineStr">
        <is>
          <t>GOOSTKI16T12</t>
        </is>
      </c>
      <c r="B2149" t="inlineStr">
        <is>
          <t>RETRO VZLA KIDS</t>
        </is>
      </c>
      <c r="C2149" t="inlineStr">
        <is>
          <t>Manufactura / Dama / P. Superiores</t>
        </is>
      </c>
      <c r="D2149" t="n">
        <v>4</v>
      </c>
      <c r="E2149" t="n">
        <v>147.70663079</v>
      </c>
      <c r="F2149" t="n">
        <v>0.62602767125</v>
      </c>
      <c r="G2149" t="n">
        <v>0</v>
      </c>
      <c r="H2149" t="n">
        <v>10.18</v>
      </c>
      <c r="I2149" t="n">
        <v>0.4</v>
      </c>
      <c r="J2149" t="n">
        <v>6</v>
      </c>
      <c r="K2149" t="inlineStr">
        <is>
          <t>Sin stock</t>
        </is>
      </c>
    </row>
    <row r="2150">
      <c r="A2150" t="inlineStr">
        <is>
          <t>CLAMEDA16TXL</t>
        </is>
      </c>
      <c r="B2150" t="inlineStr">
        <is>
          <t>CLÁSICA SPORT DAMA</t>
        </is>
      </c>
      <c r="C2150" t="inlineStr">
        <is>
          <t>Manufactura / Dama / P. Superiores</t>
        </is>
      </c>
      <c r="D2150" t="n">
        <v>3</v>
      </c>
      <c r="E2150" t="n">
        <v>147.62231964</v>
      </c>
      <c r="F2150" t="n">
        <v>0.8524297371999999</v>
      </c>
      <c r="G2150" t="n">
        <v>5</v>
      </c>
      <c r="H2150" t="n">
        <v>6.536105769</v>
      </c>
      <c r="I2150" t="n">
        <v>0.3</v>
      </c>
      <c r="J2150" t="n">
        <v>4</v>
      </c>
      <c r="K2150" t="inlineStr"/>
    </row>
    <row r="2151">
      <c r="A2151" t="inlineStr">
        <is>
          <t>ACDMIDA120TXS</t>
        </is>
      </c>
      <c r="B2151" t="inlineStr">
        <is>
          <t>DANI ACTIVE DAMA</t>
        </is>
      </c>
      <c r="C2151" t="inlineStr">
        <is>
          <t>Manufactura / Dama / P. Superiores</t>
        </is>
      </c>
      <c r="D2151" t="n">
        <v>5</v>
      </c>
      <c r="E2151" t="n">
        <v>147.38156821</v>
      </c>
      <c r="F2151" t="n">
        <v>0.7544865106666667</v>
      </c>
      <c r="G2151" t="n">
        <v>5</v>
      </c>
      <c r="H2151" t="n">
        <v>9.820000000000002</v>
      </c>
      <c r="I2151" t="n">
        <v>0.5</v>
      </c>
      <c r="J2151" t="n">
        <v>1</v>
      </c>
      <c r="K2151" t="inlineStr"/>
    </row>
    <row r="2152">
      <c r="A2152" t="inlineStr">
        <is>
          <t>MAADFDA70TL</t>
        </is>
      </c>
      <c r="B2152" t="inlineStr">
        <is>
          <t>MAFE ADVANCE DAMA</t>
        </is>
      </c>
      <c r="C2152" t="inlineStr">
        <is>
          <t>Manufactura / Dama / P. Superiores</t>
        </is>
      </c>
      <c r="D2152" t="n">
        <v>3</v>
      </c>
      <c r="E2152" t="n">
        <v>146.92985634</v>
      </c>
      <c r="F2152" t="n">
        <v>0.8974877068333332</v>
      </c>
      <c r="G2152" t="n">
        <v>4</v>
      </c>
      <c r="H2152" t="n">
        <v>4.98</v>
      </c>
      <c r="I2152" t="n">
        <v>0.3</v>
      </c>
      <c r="J2152" t="n">
        <v>2</v>
      </c>
      <c r="K2152" t="inlineStr"/>
    </row>
    <row r="2153">
      <c r="A2153" t="inlineStr">
        <is>
          <t>VIVMIDA16TXL</t>
        </is>
      </c>
      <c r="B2153" t="inlineStr">
        <is>
          <t>VIVI ORIGINAL DAMA</t>
        </is>
      </c>
      <c r="C2153" t="inlineStr">
        <is>
          <t>Manufactura / Dama / P. Superiores</t>
        </is>
      </c>
      <c r="D2153" t="n">
        <v>4</v>
      </c>
      <c r="E2153" t="n">
        <v>146.67853755</v>
      </c>
      <c r="F2153" t="n">
        <v>0.8788154153</v>
      </c>
      <c r="G2153" t="n">
        <v>13</v>
      </c>
      <c r="H2153" t="n">
        <v>4.303181706</v>
      </c>
      <c r="I2153" t="n">
        <v>0.4</v>
      </c>
      <c r="J2153" t="n">
        <v>3</v>
      </c>
      <c r="K2153" t="inlineStr"/>
    </row>
    <row r="2154">
      <c r="A2154" t="inlineStr">
        <is>
          <t>ZOEMIKI01T10</t>
        </is>
      </c>
      <c r="B2154" t="inlineStr">
        <is>
          <t>ZOE ORIGINAL KIDS</t>
        </is>
      </c>
      <c r="C2154" t="inlineStr">
        <is>
          <t>Manufactura / Kids / P. Superiores</t>
        </is>
      </c>
      <c r="D2154" t="n">
        <v>6</v>
      </c>
      <c r="E2154" t="n">
        <v>146.62969924</v>
      </c>
      <c r="F2154" t="n">
        <v>0.8454245870199999</v>
      </c>
      <c r="G2154" t="n">
        <v>16</v>
      </c>
      <c r="H2154" t="n">
        <v>4.12</v>
      </c>
      <c r="I2154" t="n">
        <v>0.6</v>
      </c>
      <c r="J2154" t="n">
        <v>3</v>
      </c>
      <c r="K2154" t="inlineStr"/>
    </row>
    <row r="2155">
      <c r="A2155" t="inlineStr">
        <is>
          <t>CLAMIKI12T2</t>
        </is>
      </c>
      <c r="B2155" t="inlineStr">
        <is>
          <t>CLASICA ORIGINAL KIDS</t>
        </is>
      </c>
      <c r="C2155" t="inlineStr">
        <is>
          <t>Manufactura / Kids / P. Superiores</t>
        </is>
      </c>
      <c r="D2155" t="n">
        <v>4</v>
      </c>
      <c r="E2155" t="n">
        <v>146.2184012</v>
      </c>
      <c r="F2155" t="n">
        <v>0.9410763438</v>
      </c>
      <c r="G2155" t="n">
        <v>6</v>
      </c>
      <c r="H2155" t="n">
        <v>2.053774806</v>
      </c>
      <c r="I2155" t="n">
        <v>0.4</v>
      </c>
      <c r="J2155" t="n">
        <v>4</v>
      </c>
      <c r="K2155" t="inlineStr"/>
    </row>
    <row r="2156">
      <c r="A2156" t="inlineStr">
        <is>
          <t>ANMSUDA119TM</t>
        </is>
      </c>
      <c r="B2156" t="inlineStr">
        <is>
          <t>ANDRE MOTION DAMA</t>
        </is>
      </c>
      <c r="C2156" t="inlineStr">
        <is>
          <t>Manufactura / Dama / P. Superiores</t>
        </is>
      </c>
      <c r="D2156" t="n">
        <v>4</v>
      </c>
      <c r="E2156" t="n">
        <v>145.46357377</v>
      </c>
      <c r="F2156" t="n">
        <v>0.70156930405</v>
      </c>
      <c r="G2156" t="n">
        <v>1</v>
      </c>
      <c r="H2156" t="n">
        <v>10.6</v>
      </c>
      <c r="I2156" t="n">
        <v>0.4</v>
      </c>
      <c r="J2156" t="n">
        <v>5</v>
      </c>
      <c r="K2156" t="inlineStr"/>
    </row>
    <row r="2157">
      <c r="A2157" t="inlineStr">
        <is>
          <t>ANKDA16TU</t>
        </is>
      </c>
      <c r="B2157" t="inlineStr">
        <is>
          <t>ANKLE SOCKS DAMA</t>
        </is>
      </c>
      <c r="C2157" t="inlineStr">
        <is>
          <t>Equipamiento / Accesorios</t>
        </is>
      </c>
      <c r="D2157" t="n">
        <v>11</v>
      </c>
      <c r="E2157" t="n">
        <v>145.27531369</v>
      </c>
      <c r="F2157" t="n">
        <v>0.8337664485428571</v>
      </c>
      <c r="G2157" t="n">
        <v>5</v>
      </c>
      <c r="H2157" t="n">
        <v>2.67</v>
      </c>
      <c r="I2157" t="n">
        <v>1.1</v>
      </c>
      <c r="J2157" t="n">
        <v>1</v>
      </c>
      <c r="K2157" t="inlineStr"/>
    </row>
    <row r="2158">
      <c r="A2158" t="inlineStr">
        <is>
          <t>ACDMIDA121TXL</t>
        </is>
      </c>
      <c r="B2158" t="inlineStr">
        <is>
          <t>DANI ACTIVE DAMA</t>
        </is>
      </c>
      <c r="C2158" t="inlineStr">
        <is>
          <t>Manufactura / Dama / P. Superiores</t>
        </is>
      </c>
      <c r="D2158" t="n">
        <v>3</v>
      </c>
      <c r="E2158" t="n">
        <v>145.22388115</v>
      </c>
      <c r="F2158" t="n">
        <v>0.7962574126</v>
      </c>
      <c r="G2158" t="n">
        <v>5</v>
      </c>
      <c r="H2158" t="n">
        <v>9.82</v>
      </c>
      <c r="I2158" t="n">
        <v>0.3</v>
      </c>
      <c r="J2158" t="n">
        <v>2</v>
      </c>
      <c r="K2158" t="inlineStr"/>
    </row>
    <row r="2159">
      <c r="A2159" t="inlineStr">
        <is>
          <t>ZOEMIKI16T4</t>
        </is>
      </c>
      <c r="B2159" t="inlineStr">
        <is>
          <t>ZOE ORIGINAL KIDS</t>
        </is>
      </c>
      <c r="C2159" t="inlineStr">
        <is>
          <t>Manufactura / Kids / P. Superiores</t>
        </is>
      </c>
      <c r="D2159" t="n">
        <v>4</v>
      </c>
      <c r="E2159" t="n">
        <v>144.83327522</v>
      </c>
      <c r="F2159" t="n">
        <v>0.885789274525</v>
      </c>
      <c r="G2159" t="n">
        <v>15</v>
      </c>
      <c r="H2159" t="n">
        <v>4.12</v>
      </c>
      <c r="I2159" t="n">
        <v>0.4</v>
      </c>
      <c r="J2159" t="n">
        <v>0</v>
      </c>
      <c r="K2159" t="inlineStr"/>
    </row>
    <row r="2160">
      <c r="A2160" t="inlineStr">
        <is>
          <t>RIOMIDA53TXS</t>
        </is>
      </c>
      <c r="B2160" t="inlineStr">
        <is>
          <t>RIO ORIGINAL DAMA</t>
        </is>
      </c>
      <c r="C2160" t="inlineStr">
        <is>
          <t>Manufactura / Dama / P. Superiores</t>
        </is>
      </c>
      <c r="D2160" t="n">
        <v>3</v>
      </c>
      <c r="E2160" t="n">
        <v>144.58012877</v>
      </c>
      <c r="F2160" t="n">
        <v>0.8837505553666666</v>
      </c>
      <c r="G2160" t="n">
        <v>8</v>
      </c>
      <c r="H2160" t="n">
        <v>5.538832275</v>
      </c>
      <c r="I2160" t="n">
        <v>0.3</v>
      </c>
      <c r="J2160" t="n">
        <v>7</v>
      </c>
      <c r="K2160" t="inlineStr"/>
    </row>
    <row r="2161">
      <c r="A2161" t="inlineStr">
        <is>
          <t>MAFMIDA48TL</t>
        </is>
      </c>
      <c r="B2161" t="inlineStr">
        <is>
          <t>MAFE ORIGINAL DAMA</t>
        </is>
      </c>
      <c r="C2161" t="inlineStr">
        <is>
          <t>Manufactura / Dama / P. Superiores</t>
        </is>
      </c>
      <c r="D2161" t="n">
        <v>5</v>
      </c>
      <c r="E2161" t="n">
        <v>143.09026241</v>
      </c>
      <c r="F2161" t="n">
        <v>0.8274347720199999</v>
      </c>
      <c r="G2161" t="n">
        <v>2</v>
      </c>
      <c r="H2161" t="n">
        <v>4.54817671</v>
      </c>
      <c r="I2161" t="n">
        <v>0.5</v>
      </c>
      <c r="J2161" t="n">
        <v>7</v>
      </c>
      <c r="K2161" t="inlineStr"/>
    </row>
    <row r="2162">
      <c r="A2162" t="inlineStr">
        <is>
          <t>CLASTCA16TXL</t>
        </is>
      </c>
      <c r="B2162" t="inlineStr">
        <is>
          <t>CLASICA ALGODON STRETCH CAB</t>
        </is>
      </c>
      <c r="C2162" t="inlineStr">
        <is>
          <t>Manufactura / Caballero / P. Superiores</t>
        </is>
      </c>
      <c r="D2162" t="n">
        <v>4</v>
      </c>
      <c r="E2162" t="n">
        <v>143.035252</v>
      </c>
      <c r="F2162" t="n">
        <v>0.7407632071</v>
      </c>
      <c r="G2162" t="n">
        <v>0</v>
      </c>
      <c r="H2162" t="n">
        <v>9.27</v>
      </c>
      <c r="I2162" t="n">
        <v>0.4</v>
      </c>
      <c r="J2162" t="n">
        <v>8</v>
      </c>
      <c r="K2162" t="inlineStr">
        <is>
          <t>Sin stock</t>
        </is>
      </c>
    </row>
    <row r="2163">
      <c r="A2163" t="inlineStr">
        <is>
          <t>CLASTDA16TL</t>
        </is>
      </c>
      <c r="B2163" t="inlineStr">
        <is>
          <t>CLASICA ALGODON STRETCH DAMA</t>
        </is>
      </c>
      <c r="C2163" t="inlineStr">
        <is>
          <t>Manufactura / Dama / P. Superiores</t>
        </is>
      </c>
      <c r="D2163" t="n">
        <v>4</v>
      </c>
      <c r="E2163" t="n">
        <v>143.035252</v>
      </c>
      <c r="F2163" t="n">
        <v>0.7407632071</v>
      </c>
      <c r="G2163" t="n">
        <v>0</v>
      </c>
      <c r="H2163" t="n">
        <v>9.27</v>
      </c>
      <c r="I2163" t="n">
        <v>0.4</v>
      </c>
      <c r="J2163" t="n">
        <v>8</v>
      </c>
      <c r="K2163" t="inlineStr">
        <is>
          <t>Sin stock</t>
        </is>
      </c>
    </row>
    <row r="2164">
      <c r="A2164" t="inlineStr">
        <is>
          <t>CLASTCA16TS</t>
        </is>
      </c>
      <c r="B2164" t="inlineStr">
        <is>
          <t>CLASICA ALGODON STRETCH CAB</t>
        </is>
      </c>
      <c r="C2164" t="inlineStr">
        <is>
          <t>Manufactura / Caballero / P. Superiores</t>
        </is>
      </c>
      <c r="D2164" t="n">
        <v>6</v>
      </c>
      <c r="E2164" t="n">
        <v>143.035252</v>
      </c>
      <c r="F2164" t="n">
        <v>0.7407632071</v>
      </c>
      <c r="G2164" t="n">
        <v>0</v>
      </c>
      <c r="H2164" t="n">
        <v>9.27</v>
      </c>
      <c r="I2164" t="n">
        <v>0.6</v>
      </c>
      <c r="J2164" t="n">
        <v>6</v>
      </c>
      <c r="K2164" t="inlineStr">
        <is>
          <t>Sin stock</t>
        </is>
      </c>
    </row>
    <row r="2165">
      <c r="A2165" t="inlineStr">
        <is>
          <t>CLASTCA16TM</t>
        </is>
      </c>
      <c r="B2165" t="inlineStr">
        <is>
          <t>CLASICA ALGODON STRETCH CAB</t>
        </is>
      </c>
      <c r="C2165" t="inlineStr">
        <is>
          <t>Manufactura / Caballero / P. Superiores</t>
        </is>
      </c>
      <c r="D2165" t="n">
        <v>4</v>
      </c>
      <c r="E2165" t="n">
        <v>143.035252</v>
      </c>
      <c r="F2165" t="n">
        <v>0.7407632071</v>
      </c>
      <c r="G2165" t="n">
        <v>0</v>
      </c>
      <c r="H2165" t="n">
        <v>9.27</v>
      </c>
      <c r="I2165" t="n">
        <v>0.4</v>
      </c>
      <c r="J2165" t="n">
        <v>8</v>
      </c>
      <c r="K2165" t="inlineStr">
        <is>
          <t>Sin stock</t>
        </is>
      </c>
    </row>
    <row r="2166">
      <c r="A2166" t="inlineStr">
        <is>
          <t>SHOUNKI23T14</t>
        </is>
      </c>
      <c r="B2166" t="inlineStr">
        <is>
          <t>SHORT PLAYA KIDS</t>
        </is>
      </c>
      <c r="C2166" t="inlineStr">
        <is>
          <t>Manufactura / Kids / P. Inferiores</t>
        </is>
      </c>
      <c r="D2166" t="n">
        <v>4</v>
      </c>
      <c r="E2166" t="n">
        <v>142.58515185</v>
      </c>
      <c r="F2166" t="n">
        <v>0.8301896372124999</v>
      </c>
      <c r="G2166" t="n">
        <v>0</v>
      </c>
      <c r="H2166" t="n">
        <v>6.09</v>
      </c>
      <c r="I2166" t="n">
        <v>0.4</v>
      </c>
      <c r="J2166" t="n">
        <v>0</v>
      </c>
      <c r="K2166" t="inlineStr">
        <is>
          <t>Sin stock</t>
        </is>
      </c>
    </row>
    <row r="2167">
      <c r="A2167" t="inlineStr">
        <is>
          <t>RIOMIDA52TXS</t>
        </is>
      </c>
      <c r="B2167" t="inlineStr">
        <is>
          <t>RIO ORIGINAL DAMA</t>
        </is>
      </c>
      <c r="C2167" t="inlineStr">
        <is>
          <t>Manufactura / Dama / P. Superiores</t>
        </is>
      </c>
      <c r="D2167" t="n">
        <v>3</v>
      </c>
      <c r="E2167" t="n">
        <v>142.44141788</v>
      </c>
      <c r="F2167" t="n">
        <v>0.8826718221666666</v>
      </c>
      <c r="G2167" t="n">
        <v>0</v>
      </c>
      <c r="H2167" t="n">
        <v>5.538832275</v>
      </c>
      <c r="I2167" t="n">
        <v>0.3</v>
      </c>
      <c r="J2167" t="n">
        <v>9</v>
      </c>
      <c r="K2167" t="inlineStr">
        <is>
          <t>Sin stock</t>
        </is>
      </c>
    </row>
    <row r="2168">
      <c r="A2168" t="inlineStr">
        <is>
          <t>RIOMIDA05TXS</t>
        </is>
      </c>
      <c r="B2168" t="inlineStr">
        <is>
          <t>RIO ORIGINAL DAMA</t>
        </is>
      </c>
      <c r="C2168" t="inlineStr">
        <is>
          <t>Manufactura / Dama / P. Superiores</t>
        </is>
      </c>
      <c r="D2168" t="n">
        <v>3</v>
      </c>
      <c r="E2168" t="n">
        <v>142.42644539</v>
      </c>
      <c r="F2168" t="n">
        <v>0.8827656356999999</v>
      </c>
      <c r="G2168" t="n">
        <v>0</v>
      </c>
      <c r="H2168" t="n">
        <v>5.538832275</v>
      </c>
      <c r="I2168" t="n">
        <v>0.3</v>
      </c>
      <c r="J2168" t="n">
        <v>9</v>
      </c>
      <c r="K2168" t="inlineStr">
        <is>
          <t>Sin stock</t>
        </is>
      </c>
    </row>
    <row r="2169">
      <c r="A2169" t="inlineStr">
        <is>
          <t>CLAMICA01TS</t>
        </is>
      </c>
      <c r="B2169" t="inlineStr">
        <is>
          <t>CLASICA ORIGINAL CAB</t>
        </is>
      </c>
      <c r="C2169" t="inlineStr">
        <is>
          <t>Manufactura / Caballero / P. Superiores</t>
        </is>
      </c>
      <c r="D2169" t="n">
        <v>16</v>
      </c>
      <c r="E2169" t="n">
        <v>142.38305459</v>
      </c>
      <c r="F2169" t="n">
        <v>0.859396608675</v>
      </c>
      <c r="G2169" t="n">
        <v>9</v>
      </c>
      <c r="H2169" t="n">
        <v>4.598442536</v>
      </c>
      <c r="I2169" t="n">
        <v>1.6</v>
      </c>
      <c r="J2169" t="n">
        <v>2</v>
      </c>
      <c r="K2169" t="inlineStr"/>
    </row>
    <row r="2170">
      <c r="A2170" t="inlineStr">
        <is>
          <t>SABMEDA13TS</t>
        </is>
      </c>
      <c r="B2170" t="inlineStr">
        <is>
          <t>SABRI SPORT DAMA</t>
        </is>
      </c>
      <c r="C2170" t="inlineStr">
        <is>
          <t>Manufactura / Dama / P. Superiores</t>
        </is>
      </c>
      <c r="D2170" t="n">
        <v>7</v>
      </c>
      <c r="E2170" t="n">
        <v>142.38181634</v>
      </c>
      <c r="F2170" t="n">
        <v>0.7894477447</v>
      </c>
      <c r="G2170" t="n">
        <v>8</v>
      </c>
      <c r="H2170" t="n">
        <v>4.51</v>
      </c>
      <c r="I2170" t="n">
        <v>0.7</v>
      </c>
      <c r="J2170" t="n">
        <v>6</v>
      </c>
      <c r="K2170" t="inlineStr"/>
    </row>
    <row r="2171">
      <c r="A2171" t="inlineStr">
        <is>
          <t>SMLBLICA16TM</t>
        </is>
      </c>
      <c r="B2171" t="inlineStr">
        <is>
          <t>SPOTS MANGA LARGA CAB</t>
        </is>
      </c>
      <c r="C2171" t="inlineStr">
        <is>
          <t>Manufactura / Caballero / P. Superiores</t>
        </is>
      </c>
      <c r="D2171" t="n">
        <v>3</v>
      </c>
      <c r="E2171" t="n">
        <v>142.23</v>
      </c>
      <c r="F2171" t="n">
        <v>0.7281164311</v>
      </c>
      <c r="G2171" t="n">
        <v>16</v>
      </c>
      <c r="H2171" t="n">
        <v>12.89</v>
      </c>
      <c r="I2171" t="n">
        <v>0.3</v>
      </c>
      <c r="J2171" t="n">
        <v>0</v>
      </c>
      <c r="K2171" t="inlineStr"/>
    </row>
    <row r="2172">
      <c r="A2172" t="inlineStr">
        <is>
          <t>RIOMICA24TXL</t>
        </is>
      </c>
      <c r="B2172" t="inlineStr">
        <is>
          <t>RIO ORIGINAL CAB</t>
        </is>
      </c>
      <c r="C2172" t="inlineStr">
        <is>
          <t>Manufactura / Caballero / P. Superiores</t>
        </is>
      </c>
      <c r="D2172" t="n">
        <v>3</v>
      </c>
      <c r="E2172" t="n">
        <v>141.76080094</v>
      </c>
      <c r="F2172" t="n">
        <v>0.8740261505000001</v>
      </c>
      <c r="G2172" t="n">
        <v>0</v>
      </c>
      <c r="H2172" t="n">
        <v>5.939350288</v>
      </c>
      <c r="I2172" t="n">
        <v>0.3</v>
      </c>
      <c r="J2172" t="n">
        <v>9</v>
      </c>
      <c r="K2172" t="inlineStr">
        <is>
          <t>Sin stock</t>
        </is>
      </c>
    </row>
    <row r="2173">
      <c r="A2173" t="inlineStr">
        <is>
          <t>CGCSKI16T2</t>
        </is>
      </c>
      <c r="B2173" t="inlineStr">
        <is>
          <t>CLASICA GC SUBLIMADO KIDS</t>
        </is>
      </c>
      <c r="C2173" t="inlineStr">
        <is>
          <t>Manufactura / Kids / P. Superiores</t>
        </is>
      </c>
      <c r="D2173" t="n">
        <v>3</v>
      </c>
      <c r="E2173" t="n">
        <v>141.3392674</v>
      </c>
      <c r="F2173" t="n">
        <v>0</v>
      </c>
      <c r="G2173" t="n">
        <v>0</v>
      </c>
      <c r="H2173" t="n">
        <v>0</v>
      </c>
      <c r="I2173" t="n">
        <v>0.3</v>
      </c>
      <c r="J2173" t="n">
        <v>2</v>
      </c>
      <c r="K2173" t="inlineStr">
        <is>
          <t>Sin stock</t>
        </is>
      </c>
    </row>
    <row r="2174">
      <c r="A2174" t="inlineStr">
        <is>
          <t>CLAMEKI43T10</t>
        </is>
      </c>
      <c r="B2174" t="inlineStr">
        <is>
          <t>CLASICA SPORT KIDS</t>
        </is>
      </c>
      <c r="C2174" t="inlineStr">
        <is>
          <t>Manufactura / Kids / P. Superiores</t>
        </is>
      </c>
      <c r="D2174" t="n">
        <v>5</v>
      </c>
      <c r="E2174" t="n">
        <v>141.18912757</v>
      </c>
      <c r="F2174" t="n">
        <v>0.8858296005749999</v>
      </c>
      <c r="G2174" t="n">
        <v>6</v>
      </c>
      <c r="H2174" t="n">
        <v>3.97</v>
      </c>
      <c r="I2174" t="n">
        <v>0.5</v>
      </c>
      <c r="J2174" t="n">
        <v>2</v>
      </c>
      <c r="K2174" t="inlineStr"/>
    </row>
    <row r="2175">
      <c r="A2175" t="inlineStr">
        <is>
          <t>DANMIKI48T10</t>
        </is>
      </c>
      <c r="B2175" t="inlineStr">
        <is>
          <t>DANI ORIGINAL KIDS</t>
        </is>
      </c>
      <c r="C2175" t="inlineStr">
        <is>
          <t>Manufactura / Kids / P. Superiores</t>
        </is>
      </c>
      <c r="D2175" t="n">
        <v>6</v>
      </c>
      <c r="E2175" t="n">
        <v>141.03693685</v>
      </c>
      <c r="F2175" t="n">
        <v>0.8474883168666666</v>
      </c>
      <c r="G2175" t="n">
        <v>0</v>
      </c>
      <c r="H2175" t="n">
        <v>3.549999999999999</v>
      </c>
      <c r="I2175" t="n">
        <v>0.6</v>
      </c>
      <c r="J2175" t="n">
        <v>1</v>
      </c>
      <c r="K2175" t="inlineStr">
        <is>
          <t>Sin stock</t>
        </is>
      </c>
    </row>
    <row r="2176">
      <c r="A2176" t="inlineStr">
        <is>
          <t>CLAMIKI66T10</t>
        </is>
      </c>
      <c r="B2176" t="inlineStr">
        <is>
          <t>CLASICA ORIGINAL KIDS</t>
        </is>
      </c>
      <c r="C2176" t="inlineStr">
        <is>
          <t>Manufactura / Kids / P. Superiores</t>
        </is>
      </c>
      <c r="D2176" t="n">
        <v>5</v>
      </c>
      <c r="E2176" t="n">
        <v>140.97044157</v>
      </c>
      <c r="F2176" t="n">
        <v>0.92296677628</v>
      </c>
      <c r="G2176" t="n">
        <v>31</v>
      </c>
      <c r="H2176" t="n">
        <v>2.053774806</v>
      </c>
      <c r="I2176" t="n">
        <v>0.5</v>
      </c>
      <c r="J2176" t="n">
        <v>5</v>
      </c>
      <c r="K2176" t="inlineStr"/>
    </row>
    <row r="2177">
      <c r="A2177" t="inlineStr">
        <is>
          <t>OVEFTGE31TL</t>
        </is>
      </c>
      <c r="B2177" t="inlineStr">
        <is>
          <t>UNIHOODIE</t>
        </is>
      </c>
      <c r="C2177" t="inlineStr">
        <is>
          <t>Manufactura / General</t>
        </is>
      </c>
      <c r="D2177" t="n">
        <v>4</v>
      </c>
      <c r="E2177" t="n">
        <v>140.82594069</v>
      </c>
      <c r="F2177" t="n">
        <v>0.5675869004333333</v>
      </c>
      <c r="G2177" t="n">
        <v>2</v>
      </c>
      <c r="H2177" t="n">
        <v>20.27</v>
      </c>
      <c r="I2177" t="n">
        <v>0.4</v>
      </c>
      <c r="J2177" t="n">
        <v>7</v>
      </c>
      <c r="K2177" t="inlineStr"/>
    </row>
    <row r="2178">
      <c r="A2178" t="inlineStr">
        <is>
          <t>CLAMIKI48T4</t>
        </is>
      </c>
      <c r="B2178" t="inlineStr">
        <is>
          <t>CLASICA ORIGINAL KIDS</t>
        </is>
      </c>
      <c r="C2178" t="inlineStr">
        <is>
          <t>Manufactura / Kids / P. Superiores</t>
        </is>
      </c>
      <c r="D2178" t="n">
        <v>5</v>
      </c>
      <c r="E2178" t="n">
        <v>140.67443739</v>
      </c>
      <c r="F2178" t="n">
        <v>0.938846996</v>
      </c>
      <c r="G2178" t="n">
        <v>7</v>
      </c>
      <c r="H2178" t="n">
        <v>2.053774806</v>
      </c>
      <c r="I2178" t="n">
        <v>0.5</v>
      </c>
      <c r="J2178" t="n">
        <v>2</v>
      </c>
      <c r="K2178" t="inlineStr"/>
    </row>
    <row r="2179">
      <c r="A2179" t="inlineStr">
        <is>
          <t>CLAMIKI11T12</t>
        </is>
      </c>
      <c r="B2179" t="inlineStr">
        <is>
          <t>CLASICA ORIGINAL KIDS</t>
        </is>
      </c>
      <c r="C2179" t="inlineStr">
        <is>
          <t>Manufactura / Kids / P. Superiores</t>
        </is>
      </c>
      <c r="D2179" t="n">
        <v>4</v>
      </c>
      <c r="E2179" t="n">
        <v>140.6</v>
      </c>
      <c r="F2179" t="n">
        <v>0.9415729761666668</v>
      </c>
      <c r="G2179" t="n">
        <v>0</v>
      </c>
      <c r="H2179" t="n">
        <v>2.053774806</v>
      </c>
      <c r="I2179" t="n">
        <v>0.4</v>
      </c>
      <c r="J2179" t="n">
        <v>0</v>
      </c>
      <c r="K2179" t="inlineStr">
        <is>
          <t>Sin stock</t>
        </is>
      </c>
    </row>
    <row r="2180">
      <c r="A2180" t="inlineStr">
        <is>
          <t>CLAMIKI70T4</t>
        </is>
      </c>
      <c r="B2180" t="inlineStr">
        <is>
          <t>CLASICA ORIGINAL KIDS</t>
        </is>
      </c>
      <c r="C2180" t="inlineStr">
        <is>
          <t>Manufactura / Kids / P. Superiores</t>
        </is>
      </c>
      <c r="D2180" t="n">
        <v>4</v>
      </c>
      <c r="E2180" t="n">
        <v>140.55589475</v>
      </c>
      <c r="F2180" t="n">
        <v>0.9424231185999999</v>
      </c>
      <c r="G2180" t="n">
        <v>7</v>
      </c>
      <c r="H2180" t="n">
        <v>2.053774806</v>
      </c>
      <c r="I2180" t="n">
        <v>0.4</v>
      </c>
      <c r="J2180" t="n">
        <v>1</v>
      </c>
      <c r="K2180" t="inlineStr"/>
    </row>
    <row r="2181">
      <c r="A2181" t="inlineStr">
        <is>
          <t>SHONTCA33TS</t>
        </is>
      </c>
      <c r="B2181" t="inlineStr">
        <is>
          <t>EXPLORE SHORT CAB</t>
        </is>
      </c>
      <c r="C2181" t="inlineStr">
        <is>
          <t>Manufactura / Caballero / P. Inferiores</t>
        </is>
      </c>
      <c r="D2181" t="n">
        <v>3</v>
      </c>
      <c r="E2181" t="n">
        <v>140.17700207</v>
      </c>
      <c r="F2181" t="n">
        <v>0.7606828504333333</v>
      </c>
      <c r="G2181" t="n">
        <v>0</v>
      </c>
      <c r="H2181" t="n">
        <v>11.17</v>
      </c>
      <c r="I2181" t="n">
        <v>0.3</v>
      </c>
      <c r="J2181" t="n">
        <v>8</v>
      </c>
      <c r="K2181" t="inlineStr">
        <is>
          <t>Sin stock</t>
        </is>
      </c>
    </row>
    <row r="2182">
      <c r="A2182" t="inlineStr">
        <is>
          <t>RUNTBMBFCA206TXL</t>
        </is>
      </c>
      <c r="B2182" t="inlineStr">
        <is>
          <t>RUNNING TANK BIOMOVE CAB</t>
        </is>
      </c>
      <c r="C2182" t="inlineStr">
        <is>
          <t>Manufactura / Caballero / P. Superiores</t>
        </is>
      </c>
      <c r="D2182" t="n">
        <v>2</v>
      </c>
      <c r="E2182" t="n">
        <v>140</v>
      </c>
      <c r="F2182" t="n">
        <v>0.993109271</v>
      </c>
      <c r="G2182" t="n">
        <v>13</v>
      </c>
      <c r="H2182" t="n">
        <v>0.4823510284</v>
      </c>
      <c r="I2182" t="n">
        <v>0.2</v>
      </c>
      <c r="J2182" t="n">
        <v>0</v>
      </c>
      <c r="K2182" t="inlineStr"/>
    </row>
    <row r="2183">
      <c r="A2183" t="inlineStr">
        <is>
          <t>CLAMICA16T3XL</t>
        </is>
      </c>
      <c r="B2183" t="inlineStr">
        <is>
          <t>CLASICA ORIGINAL CAB</t>
        </is>
      </c>
      <c r="C2183" t="inlineStr">
        <is>
          <t>Manufactura / Caballero / P. Superiores</t>
        </is>
      </c>
      <c r="D2183" t="n">
        <v>4</v>
      </c>
      <c r="E2183" t="n">
        <v>139.71563931</v>
      </c>
      <c r="F2183" t="n">
        <v>0.8597570007666667</v>
      </c>
      <c r="G2183" t="n">
        <v>1</v>
      </c>
      <c r="H2183" t="n">
        <v>4.598442536</v>
      </c>
      <c r="I2183" t="n">
        <v>0.4</v>
      </c>
      <c r="J2183" t="n">
        <v>0</v>
      </c>
      <c r="K2183" t="inlineStr"/>
    </row>
    <row r="2184">
      <c r="A2184" t="inlineStr">
        <is>
          <t>AQUSTKI43T10</t>
        </is>
      </c>
      <c r="B2184" t="inlineStr">
        <is>
          <t>RETRO VZLA KIDS</t>
        </is>
      </c>
      <c r="C2184" t="inlineStr">
        <is>
          <t>Manufactura / Dama / P. Superiores</t>
        </is>
      </c>
      <c r="D2184" t="n">
        <v>4</v>
      </c>
      <c r="E2184" t="n">
        <v>139.70857725</v>
      </c>
      <c r="F2184" t="n">
        <v>0.70325427695</v>
      </c>
      <c r="G2184" t="n">
        <v>0</v>
      </c>
      <c r="H2184" t="n">
        <v>10.18</v>
      </c>
      <c r="I2184" t="n">
        <v>0.4</v>
      </c>
      <c r="J2184" t="n">
        <v>5</v>
      </c>
      <c r="K2184" t="inlineStr">
        <is>
          <t>Sin stock</t>
        </is>
      </c>
    </row>
    <row r="2185">
      <c r="A2185" t="inlineStr">
        <is>
          <t>ZOEMIDA28TM</t>
        </is>
      </c>
      <c r="B2185" t="inlineStr">
        <is>
          <t>ZOE ORIGINAL DAMA</t>
        </is>
      </c>
      <c r="C2185" t="inlineStr">
        <is>
          <t>Manufactura / Dama / P. Superiores</t>
        </is>
      </c>
      <c r="D2185" t="n">
        <v>5</v>
      </c>
      <c r="E2185" t="n">
        <v>139.64750039</v>
      </c>
      <c r="F2185" t="n">
        <v>0.8819214506749999</v>
      </c>
      <c r="G2185" t="n">
        <v>0</v>
      </c>
      <c r="H2185" t="n">
        <v>4.116585696</v>
      </c>
      <c r="I2185" t="n">
        <v>0.5</v>
      </c>
      <c r="J2185" t="n">
        <v>0</v>
      </c>
      <c r="K2185" t="inlineStr">
        <is>
          <t>Sin stock</t>
        </is>
      </c>
    </row>
    <row r="2186">
      <c r="A2186" t="inlineStr">
        <is>
          <t>MARMIDA04TXL</t>
        </is>
      </c>
      <c r="B2186" t="inlineStr">
        <is>
          <t>MAR ORIGINAL DAMA</t>
        </is>
      </c>
      <c r="C2186" t="inlineStr">
        <is>
          <t>Manufactura / Dama / P. Superiores</t>
        </is>
      </c>
      <c r="D2186" t="n">
        <v>3</v>
      </c>
      <c r="E2186" t="n">
        <v>139.34336683</v>
      </c>
      <c r="F2186" t="n">
        <v>0.9069152847</v>
      </c>
      <c r="G2186" t="n">
        <v>41</v>
      </c>
      <c r="H2186" t="n">
        <v>4.278324149</v>
      </c>
      <c r="I2186" t="n">
        <v>0.3</v>
      </c>
      <c r="J2186" t="n">
        <v>2</v>
      </c>
      <c r="K2186" t="inlineStr"/>
    </row>
    <row r="2187">
      <c r="A2187" t="inlineStr">
        <is>
          <t>GEOMACADA43TL</t>
        </is>
      </c>
      <c r="B2187" t="inlineStr">
        <is>
          <t>ADVANCE GEO MAYA DAMA</t>
        </is>
      </c>
      <c r="C2187" t="inlineStr">
        <is>
          <t>Manufactura / Dama / P. Superiores</t>
        </is>
      </c>
      <c r="D2187" t="n">
        <v>2</v>
      </c>
      <c r="E2187" t="n">
        <v>139.22450084</v>
      </c>
      <c r="F2187" t="n">
        <v>0.8515269369</v>
      </c>
      <c r="G2187" t="n">
        <v>14</v>
      </c>
      <c r="H2187" t="n">
        <v>10.33</v>
      </c>
      <c r="I2187" t="n">
        <v>0.2</v>
      </c>
      <c r="J2187" t="n">
        <v>0</v>
      </c>
      <c r="K2187" t="inlineStr"/>
    </row>
    <row r="2188">
      <c r="A2188" t="inlineStr">
        <is>
          <t>MARMIKI70T1</t>
        </is>
      </c>
      <c r="B2188" t="inlineStr">
        <is>
          <t>MAR ORIGINAL KIDS</t>
        </is>
      </c>
      <c r="C2188" t="inlineStr">
        <is>
          <t>Manufactura / Kids / P. Superiores</t>
        </is>
      </c>
      <c r="D2188" t="n">
        <v>4</v>
      </c>
      <c r="E2188" t="n">
        <v>138.9855806</v>
      </c>
      <c r="F2188" t="n">
        <v>0.9054175922500001</v>
      </c>
      <c r="G2188" t="n">
        <v>0</v>
      </c>
      <c r="H2188" t="n">
        <v>3.168013332</v>
      </c>
      <c r="I2188" t="n">
        <v>0.4</v>
      </c>
      <c r="J2188" t="n">
        <v>5</v>
      </c>
      <c r="K2188" t="inlineStr">
        <is>
          <t>Sin stock</t>
        </is>
      </c>
    </row>
    <row r="2189">
      <c r="A2189" t="inlineStr">
        <is>
          <t>SHOUNCA23T2XL</t>
        </is>
      </c>
      <c r="B2189" t="inlineStr">
        <is>
          <t>SHORT PLAYA CAB</t>
        </is>
      </c>
      <c r="C2189" t="inlineStr">
        <is>
          <t>Manufactura / Caballero / P. Inferiores</t>
        </is>
      </c>
      <c r="D2189" t="n">
        <v>3</v>
      </c>
      <c r="E2189" t="n">
        <v>138.7449566</v>
      </c>
      <c r="F2189" t="n">
        <v>0.7730920394666666</v>
      </c>
      <c r="G2189" t="n">
        <v>0</v>
      </c>
      <c r="H2189" t="n">
        <v>9.99</v>
      </c>
      <c r="I2189" t="n">
        <v>0.3</v>
      </c>
      <c r="J2189" t="n">
        <v>4</v>
      </c>
      <c r="K2189" t="inlineStr">
        <is>
          <t>Sin stock</t>
        </is>
      </c>
    </row>
    <row r="2190">
      <c r="A2190" t="inlineStr">
        <is>
          <t>RUNTBMBFCA209TL</t>
        </is>
      </c>
      <c r="B2190" t="inlineStr">
        <is>
          <t>RUNNING TANK BIOMOVE CAB</t>
        </is>
      </c>
      <c r="C2190" t="inlineStr">
        <is>
          <t>Manufactura / Caballero / P. Superiores</t>
        </is>
      </c>
      <c r="D2190" t="n">
        <v>3</v>
      </c>
      <c r="E2190" t="n">
        <v>138.7</v>
      </c>
      <c r="F2190" t="n">
        <v>0.99302536565</v>
      </c>
      <c r="G2190" t="n">
        <v>26</v>
      </c>
      <c r="H2190" t="n">
        <v>0.4823510283999999</v>
      </c>
      <c r="I2190" t="n">
        <v>0.3</v>
      </c>
      <c r="J2190" t="n">
        <v>0</v>
      </c>
      <c r="K2190" t="inlineStr"/>
    </row>
    <row r="2191">
      <c r="A2191" t="inlineStr">
        <is>
          <t>GEMBADA39TL</t>
        </is>
      </c>
      <c r="B2191" t="inlineStr">
        <is>
          <t>VESTIDO GEMMA DAMA</t>
        </is>
      </c>
      <c r="C2191" t="inlineStr">
        <is>
          <t>Manufactura / Dama / Conjuntos</t>
        </is>
      </c>
      <c r="D2191" t="n">
        <v>3</v>
      </c>
      <c r="E2191" t="n">
        <v>138.56997463</v>
      </c>
      <c r="F2191" t="n">
        <v>0.45172542626</v>
      </c>
      <c r="G2191" t="n">
        <v>0</v>
      </c>
      <c r="H2191" t="n">
        <v>23.99</v>
      </c>
      <c r="I2191" t="n">
        <v>0.3</v>
      </c>
      <c r="J2191" t="n">
        <v>6</v>
      </c>
      <c r="K2191" t="inlineStr">
        <is>
          <t>Sin stock</t>
        </is>
      </c>
    </row>
    <row r="2192">
      <c r="A2192" t="inlineStr">
        <is>
          <t>NAHFNCA24TS</t>
        </is>
      </c>
      <c r="B2192" t="inlineStr">
        <is>
          <t>NOAH SPORT LITE CAB</t>
        </is>
      </c>
      <c r="C2192" t="inlineStr">
        <is>
          <t>Manufactura / Caballero / P. Superiores</t>
        </is>
      </c>
      <c r="D2192" t="n">
        <v>13</v>
      </c>
      <c r="E2192" t="n">
        <v>137.94002601</v>
      </c>
      <c r="F2192" t="n">
        <v>0.416763146575</v>
      </c>
      <c r="G2192" t="n">
        <v>29</v>
      </c>
      <c r="H2192" t="n">
        <v>17.61141534</v>
      </c>
      <c r="I2192" t="n">
        <v>1.3</v>
      </c>
      <c r="J2192" t="n">
        <v>1</v>
      </c>
      <c r="K2192" t="inlineStr"/>
    </row>
    <row r="2193">
      <c r="A2193" t="inlineStr">
        <is>
          <t>VIVMIDA48TM</t>
        </is>
      </c>
      <c r="B2193" t="inlineStr">
        <is>
          <t>VIVI ORIGINAL DAMA</t>
        </is>
      </c>
      <c r="C2193" t="inlineStr">
        <is>
          <t>Manufactura / Dama / P. Superiores</t>
        </is>
      </c>
      <c r="D2193" t="n">
        <v>4</v>
      </c>
      <c r="E2193" t="n">
        <v>137.92835777</v>
      </c>
      <c r="F2193" t="n">
        <v>0.8525285097</v>
      </c>
      <c r="G2193" t="n">
        <v>33</v>
      </c>
      <c r="H2193" t="n">
        <v>4.303181706</v>
      </c>
      <c r="I2193" t="n">
        <v>0.4</v>
      </c>
      <c r="J2193" t="n">
        <v>3</v>
      </c>
      <c r="K2193" t="inlineStr"/>
    </row>
    <row r="2194">
      <c r="A2194" t="inlineStr">
        <is>
          <t>SHOUNCA12TL</t>
        </is>
      </c>
      <c r="B2194" t="inlineStr">
        <is>
          <t>SHORT PLAYA CAB</t>
        </is>
      </c>
      <c r="C2194" t="inlineStr">
        <is>
          <t>Manufactura / Caballero / P. Inferiores</t>
        </is>
      </c>
      <c r="D2194" t="n">
        <v>3</v>
      </c>
      <c r="E2194" t="n">
        <v>137.89942093</v>
      </c>
      <c r="F2194" t="n">
        <v>0.7821971075666667</v>
      </c>
      <c r="G2194" t="n">
        <v>0</v>
      </c>
      <c r="H2194" t="n">
        <v>9.99</v>
      </c>
      <c r="I2194" t="n">
        <v>0.3</v>
      </c>
      <c r="J2194" t="n">
        <v>2</v>
      </c>
      <c r="K2194" t="inlineStr">
        <is>
          <t>Sin stock</t>
        </is>
      </c>
    </row>
    <row r="2195">
      <c r="A2195" t="inlineStr">
        <is>
          <t>MARMICA09TS</t>
        </is>
      </c>
      <c r="B2195" t="inlineStr">
        <is>
          <t>MAR ORIGINAL CAB</t>
        </is>
      </c>
      <c r="C2195" t="inlineStr">
        <is>
          <t>Manufactura / Caballero / P. Superiores</t>
        </is>
      </c>
      <c r="D2195" t="n">
        <v>5</v>
      </c>
      <c r="E2195" t="n">
        <v>137.85505547</v>
      </c>
      <c r="F2195" t="n">
        <v>0.8923044206666667</v>
      </c>
      <c r="G2195" t="n">
        <v>0</v>
      </c>
      <c r="H2195" t="n">
        <v>4.946357428</v>
      </c>
      <c r="I2195" t="n">
        <v>0.5</v>
      </c>
      <c r="J2195" t="n">
        <v>3</v>
      </c>
      <c r="K2195" t="inlineStr">
        <is>
          <t>Sin stock</t>
        </is>
      </c>
    </row>
    <row r="2196">
      <c r="A2196" t="inlineStr">
        <is>
          <t>CLAMIDA48TS</t>
        </is>
      </c>
      <c r="B2196" t="inlineStr">
        <is>
          <t>CLASICA ORIGINAL DAMA</t>
        </is>
      </c>
      <c r="C2196" t="inlineStr">
        <is>
          <t>Manufactura / Dama / P. Superiores</t>
        </is>
      </c>
      <c r="D2196" t="n">
        <v>5</v>
      </c>
      <c r="E2196" t="n">
        <v>137.72856361</v>
      </c>
      <c r="F2196" t="n">
        <v>0.9090552783</v>
      </c>
      <c r="G2196" t="n">
        <v>0</v>
      </c>
      <c r="H2196" t="n">
        <v>3.923227589000001</v>
      </c>
      <c r="I2196" t="n">
        <v>0.5</v>
      </c>
      <c r="J2196" t="n">
        <v>0</v>
      </c>
      <c r="K2196" t="inlineStr">
        <is>
          <t>Sin stock</t>
        </is>
      </c>
    </row>
    <row r="2197">
      <c r="A2197" t="inlineStr">
        <is>
          <t>ZOEMIDA66TXS</t>
        </is>
      </c>
      <c r="B2197" t="inlineStr">
        <is>
          <t>ZOE ORIGINAL DAMA</t>
        </is>
      </c>
      <c r="C2197" t="inlineStr">
        <is>
          <t>Manufactura / Dama / P. Superiores</t>
        </is>
      </c>
      <c r="D2197" t="n">
        <v>3</v>
      </c>
      <c r="E2197" t="n">
        <v>137.70163952</v>
      </c>
      <c r="F2197" t="n">
        <v>0.90955653018</v>
      </c>
      <c r="G2197" t="n">
        <v>1</v>
      </c>
      <c r="H2197" t="n">
        <v>4.116585696</v>
      </c>
      <c r="I2197" t="n">
        <v>0.3</v>
      </c>
      <c r="J2197" t="n">
        <v>0</v>
      </c>
      <c r="K2197" t="inlineStr"/>
    </row>
    <row r="2198">
      <c r="A2198" t="inlineStr">
        <is>
          <t>VIVMIDA43TL</t>
        </is>
      </c>
      <c r="B2198" t="inlineStr">
        <is>
          <t>VIVI ORIGINAL DAMA</t>
        </is>
      </c>
      <c r="C2198" t="inlineStr">
        <is>
          <t>Manufactura / Dama / P. Superiores</t>
        </is>
      </c>
      <c r="D2198" t="n">
        <v>4</v>
      </c>
      <c r="E2198" t="n">
        <v>137.29567371</v>
      </c>
      <c r="F2198" t="n">
        <v>0.8785973419833333</v>
      </c>
      <c r="G2198" t="n">
        <v>26</v>
      </c>
      <c r="H2198" t="n">
        <v>4.303181706</v>
      </c>
      <c r="I2198" t="n">
        <v>0.4</v>
      </c>
      <c r="J2198" t="n">
        <v>7</v>
      </c>
      <c r="K2198" t="inlineStr"/>
    </row>
    <row r="2199">
      <c r="A2199" t="inlineStr">
        <is>
          <t>MIKFNDA70T2XL</t>
        </is>
      </c>
      <c r="B2199" t="inlineStr">
        <is>
          <t>MIKA SPORT LITE DAMA</t>
        </is>
      </c>
      <c r="C2199" t="inlineStr">
        <is>
          <t>Manufactura / Dama / P. Superiores</t>
        </is>
      </c>
      <c r="D2199" t="n">
        <v>3</v>
      </c>
      <c r="E2199" t="n">
        <v>136.79661585</v>
      </c>
      <c r="F2199" t="n">
        <v>0.8731446120666666</v>
      </c>
      <c r="G2199" t="n">
        <v>16</v>
      </c>
      <c r="H2199" t="n">
        <v>5.484675344</v>
      </c>
      <c r="I2199" t="n">
        <v>0.3</v>
      </c>
      <c r="J2199" t="n">
        <v>2</v>
      </c>
      <c r="K2199" t="inlineStr"/>
    </row>
    <row r="2200">
      <c r="A2200" t="inlineStr">
        <is>
          <t>SHOUNCA12TM</t>
        </is>
      </c>
      <c r="B2200" t="inlineStr">
        <is>
          <t>SHORT PLAYA CAB</t>
        </is>
      </c>
      <c r="C2200" t="inlineStr">
        <is>
          <t>Manufactura / Caballero / P. Inferiores</t>
        </is>
      </c>
      <c r="D2200" t="n">
        <v>3</v>
      </c>
      <c r="E2200" t="n">
        <v>135.13430175</v>
      </c>
      <c r="F2200" t="n">
        <v>0.78912846334</v>
      </c>
      <c r="G2200" t="n">
        <v>0</v>
      </c>
      <c r="H2200" t="n">
        <v>9.99</v>
      </c>
      <c r="I2200" t="n">
        <v>0.3</v>
      </c>
      <c r="J2200" t="n">
        <v>4</v>
      </c>
      <c r="K2200" t="inlineStr">
        <is>
          <t>Sin stock</t>
        </is>
      </c>
    </row>
    <row r="2201">
      <c r="A2201" t="inlineStr">
        <is>
          <t>GEOMACADA168TM</t>
        </is>
      </c>
      <c r="B2201" t="inlineStr">
        <is>
          <t>ADVANCE GEO MAYA DAMA</t>
        </is>
      </c>
      <c r="C2201" t="inlineStr">
        <is>
          <t>Manufactura / Dama / P. Superiores</t>
        </is>
      </c>
      <c r="D2201" t="n">
        <v>3</v>
      </c>
      <c r="E2201" t="n">
        <v>134.93143591</v>
      </c>
      <c r="F2201" t="n">
        <v>0.8360107899</v>
      </c>
      <c r="G2201" t="n">
        <v>44</v>
      </c>
      <c r="H2201" t="n">
        <v>10.33</v>
      </c>
      <c r="I2201" t="n">
        <v>0.3</v>
      </c>
      <c r="J2201" t="n">
        <v>3</v>
      </c>
      <c r="K2201" t="inlineStr"/>
    </row>
    <row r="2202">
      <c r="A2202" t="inlineStr">
        <is>
          <t>GEMBADA16TXS</t>
        </is>
      </c>
      <c r="B2202" t="inlineStr">
        <is>
          <t>VESTIDO GEMMA DAMA</t>
        </is>
      </c>
      <c r="C2202" t="inlineStr">
        <is>
          <t>Manufactura / Dama / Conjuntos</t>
        </is>
      </c>
      <c r="D2202" t="n">
        <v>3</v>
      </c>
      <c r="E2202" t="n">
        <v>134.87441517</v>
      </c>
      <c r="F2202" t="n">
        <v>0.4656686769333334</v>
      </c>
      <c r="G2202" t="n">
        <v>1</v>
      </c>
      <c r="H2202" t="n">
        <v>23.99</v>
      </c>
      <c r="I2202" t="n">
        <v>0.3</v>
      </c>
      <c r="J2202" t="n">
        <v>8</v>
      </c>
      <c r="K2202" t="inlineStr"/>
    </row>
    <row r="2203">
      <c r="A2203" t="inlineStr">
        <is>
          <t>CLMSUCA43TXL</t>
        </is>
      </c>
      <c r="B2203" t="inlineStr">
        <is>
          <t>CLASICA MOTION CAB</t>
        </is>
      </c>
      <c r="C2203" t="inlineStr">
        <is>
          <t>Manufactura / Caballero / P. Superiores</t>
        </is>
      </c>
      <c r="D2203" t="n">
        <v>3</v>
      </c>
      <c r="E2203" t="n">
        <v>134.46322319</v>
      </c>
      <c r="F2203" t="n">
        <v>0.7233626445333333</v>
      </c>
      <c r="G2203" t="n">
        <v>1</v>
      </c>
      <c r="H2203" t="n">
        <v>12.26</v>
      </c>
      <c r="I2203" t="n">
        <v>0.3</v>
      </c>
      <c r="J2203" t="n">
        <v>7</v>
      </c>
      <c r="K2203" t="inlineStr"/>
    </row>
    <row r="2204">
      <c r="A2204" t="inlineStr">
        <is>
          <t>RUNTBMBFCA209TXL</t>
        </is>
      </c>
      <c r="B2204" t="inlineStr">
        <is>
          <t>RUNNING TANK BIOMOVE CAB</t>
        </is>
      </c>
      <c r="C2204" t="inlineStr">
        <is>
          <t>Manufactura / Caballero / P. Superiores</t>
        </is>
      </c>
      <c r="D2204" t="n">
        <v>3</v>
      </c>
      <c r="E2204" t="n">
        <v>134.45630828</v>
      </c>
      <c r="F2204" t="n">
        <v>0.99282145415</v>
      </c>
      <c r="G2204" t="n">
        <v>13</v>
      </c>
      <c r="H2204" t="n">
        <v>0.4823510283999999</v>
      </c>
      <c r="I2204" t="n">
        <v>0.3</v>
      </c>
      <c r="J2204" t="n">
        <v>0</v>
      </c>
      <c r="K2204" t="inlineStr"/>
    </row>
    <row r="2205">
      <c r="A2205" t="inlineStr">
        <is>
          <t>MARMICA09TM</t>
        </is>
      </c>
      <c r="B2205" t="inlineStr">
        <is>
          <t>MAR ORIGINAL CAB</t>
        </is>
      </c>
      <c r="C2205" t="inlineStr">
        <is>
          <t>Manufactura / Caballero / P. Superiores</t>
        </is>
      </c>
      <c r="D2205" t="n">
        <v>3</v>
      </c>
      <c r="E2205" t="n">
        <v>134.26535582</v>
      </c>
      <c r="F2205" t="n">
        <v>0.8892749204333333</v>
      </c>
      <c r="G2205" t="n">
        <v>3</v>
      </c>
      <c r="H2205" t="n">
        <v>4.946357428</v>
      </c>
      <c r="I2205" t="n">
        <v>0.3</v>
      </c>
      <c r="J2205" t="n">
        <v>9</v>
      </c>
      <c r="K2205" t="inlineStr"/>
    </row>
    <row r="2206">
      <c r="A2206" t="inlineStr">
        <is>
          <t>VIVMIDA66TXL</t>
        </is>
      </c>
      <c r="B2206" t="inlineStr">
        <is>
          <t>VIVI ORIGINAL DAMA</t>
        </is>
      </c>
      <c r="C2206" t="inlineStr">
        <is>
          <t>Manufactura / Dama / P. Superiores</t>
        </is>
      </c>
      <c r="D2206" t="n">
        <v>3</v>
      </c>
      <c r="E2206" t="n">
        <v>134.03200132</v>
      </c>
      <c r="F2206" t="n">
        <v>0.9029180792666667</v>
      </c>
      <c r="G2206" t="n">
        <v>12</v>
      </c>
      <c r="H2206" t="n">
        <v>4.303181706</v>
      </c>
      <c r="I2206" t="n">
        <v>0.3</v>
      </c>
      <c r="J2206" t="n">
        <v>3</v>
      </c>
      <c r="K2206" t="inlineStr"/>
    </row>
    <row r="2207">
      <c r="A2207" t="inlineStr">
        <is>
          <t>VIVMIDA70TS</t>
        </is>
      </c>
      <c r="B2207" t="inlineStr">
        <is>
          <t>VIVI ORIGINAL DAMA</t>
        </is>
      </c>
      <c r="C2207" t="inlineStr">
        <is>
          <t>Manufactura / Dama / P. Superiores</t>
        </is>
      </c>
      <c r="D2207" t="n">
        <v>4</v>
      </c>
      <c r="E2207" t="n">
        <v>134.02828996</v>
      </c>
      <c r="F2207" t="n">
        <v>0.866886519</v>
      </c>
      <c r="G2207" t="n">
        <v>23</v>
      </c>
      <c r="H2207" t="n">
        <v>4.303181706</v>
      </c>
      <c r="I2207" t="n">
        <v>0.4</v>
      </c>
      <c r="J2207" t="n">
        <v>2</v>
      </c>
      <c r="K2207" t="inlineStr"/>
    </row>
    <row r="2208">
      <c r="A2208" t="inlineStr">
        <is>
          <t>CLAMEDA13TL</t>
        </is>
      </c>
      <c r="B2208" t="inlineStr">
        <is>
          <t>CLÁSICA SPORT DAMA</t>
        </is>
      </c>
      <c r="C2208" t="inlineStr">
        <is>
          <t>Manufactura / Dama / P. Superiores</t>
        </is>
      </c>
      <c r="D2208" t="n">
        <v>4</v>
      </c>
      <c r="E2208" t="n">
        <v>133.7228087</v>
      </c>
      <c r="F2208" t="n">
        <v>0.8499866992333334</v>
      </c>
      <c r="G2208" t="n">
        <v>1</v>
      </c>
      <c r="H2208" t="n">
        <v>6.536105769</v>
      </c>
      <c r="I2208" t="n">
        <v>0.4</v>
      </c>
      <c r="J2208" t="n">
        <v>6</v>
      </c>
      <c r="K2208" t="inlineStr"/>
    </row>
    <row r="2209">
      <c r="A2209" t="inlineStr">
        <is>
          <t>GEOMACADA168TXL</t>
        </is>
      </c>
      <c r="B2209" t="inlineStr">
        <is>
          <t>ADVANCE GEO MAYA DAMA</t>
        </is>
      </c>
      <c r="C2209" t="inlineStr">
        <is>
          <t>Manufactura / Dama / P. Superiores</t>
        </is>
      </c>
      <c r="D2209" t="n">
        <v>2</v>
      </c>
      <c r="E2209" t="n">
        <v>133.70281301</v>
      </c>
      <c r="F2209" t="n">
        <v>0.8315051709</v>
      </c>
      <c r="G2209" t="n">
        <v>13</v>
      </c>
      <c r="H2209" t="n">
        <v>10.33</v>
      </c>
      <c r="I2209" t="n">
        <v>0.2</v>
      </c>
      <c r="J2209" t="n">
        <v>1</v>
      </c>
      <c r="K2209" t="inlineStr"/>
    </row>
    <row r="2210">
      <c r="A2210" t="inlineStr">
        <is>
          <t>LMOFIDA66TS</t>
        </is>
      </c>
      <c r="B2210" t="inlineStr">
        <is>
          <t>LEGGING MOVA</t>
        </is>
      </c>
      <c r="C2210" t="inlineStr">
        <is>
          <t>Manufactura / Dama / P. Inferiores</t>
        </is>
      </c>
      <c r="D2210" t="n">
        <v>8</v>
      </c>
      <c r="E2210" t="n">
        <v>133.58107301</v>
      </c>
      <c r="F2210" t="n">
        <v>0.7322122931999999</v>
      </c>
      <c r="G2210" t="n">
        <v>19</v>
      </c>
      <c r="H2210" t="n">
        <v>17.7</v>
      </c>
      <c r="I2210" t="n">
        <v>0.8</v>
      </c>
      <c r="J2210" t="n">
        <v>1</v>
      </c>
      <c r="K2210" t="inlineStr"/>
    </row>
    <row r="2211">
      <c r="A2211" t="inlineStr">
        <is>
          <t>GEOMACADA03TXS</t>
        </is>
      </c>
      <c r="B2211" t="inlineStr">
        <is>
          <t>ADVANCE GEO MAYA DAMA</t>
        </is>
      </c>
      <c r="C2211" t="inlineStr">
        <is>
          <t>Manufactura / Dama / P. Superiores</t>
        </is>
      </c>
      <c r="D2211" t="n">
        <v>7</v>
      </c>
      <c r="E2211" t="n">
        <v>132.90895385</v>
      </c>
      <c r="F2211" t="n">
        <v>0.84213634615</v>
      </c>
      <c r="G2211" t="n">
        <v>13</v>
      </c>
      <c r="H2211" t="n">
        <v>10.33</v>
      </c>
      <c r="I2211" t="n">
        <v>0.7</v>
      </c>
      <c r="J2211" t="n">
        <v>2</v>
      </c>
      <c r="K2211" t="inlineStr"/>
    </row>
    <row r="2212">
      <c r="A2212" t="inlineStr">
        <is>
          <t>MARMIDA39TXS</t>
        </is>
      </c>
      <c r="B2212" t="inlineStr">
        <is>
          <t>MAR ORIGINAL DAMA</t>
        </is>
      </c>
      <c r="C2212" t="inlineStr">
        <is>
          <t>Manufactura / Dama / P. Superiores</t>
        </is>
      </c>
      <c r="D2212" t="n">
        <v>4</v>
      </c>
      <c r="E2212" t="n">
        <v>132.87453775</v>
      </c>
      <c r="F2212" t="n">
        <v>0.9029877345333333</v>
      </c>
      <c r="G2212" t="n">
        <v>0</v>
      </c>
      <c r="H2212" t="n">
        <v>4.278324149</v>
      </c>
      <c r="I2212" t="n">
        <v>0.4</v>
      </c>
      <c r="J2212" t="n">
        <v>3</v>
      </c>
      <c r="K2212" t="inlineStr">
        <is>
          <t>Sin stock</t>
        </is>
      </c>
    </row>
    <row r="2213">
      <c r="A2213" t="inlineStr">
        <is>
          <t>ETN97E500ML</t>
        </is>
      </c>
      <c r="B2213" t="inlineStr">
        <is>
          <t>KAMBUKKA ETNA 500 ML</t>
        </is>
      </c>
      <c r="C2213" t="inlineStr">
        <is>
          <t>Equipamiento / Cava</t>
        </is>
      </c>
      <c r="D2213" t="n">
        <v>4</v>
      </c>
      <c r="E2213" t="n">
        <v>132.86562527</v>
      </c>
      <c r="F2213" t="n">
        <v>0.4285973373</v>
      </c>
      <c r="G2213" t="n">
        <v>15</v>
      </c>
      <c r="H2213" t="n">
        <v>24.5</v>
      </c>
      <c r="I2213" t="n">
        <v>0.4</v>
      </c>
      <c r="J2213" t="n">
        <v>3</v>
      </c>
      <c r="K2213" t="inlineStr"/>
    </row>
    <row r="2214">
      <c r="A2214" t="inlineStr">
        <is>
          <t>CAP21MC</t>
        </is>
      </c>
      <c r="B2214" t="inlineStr">
        <is>
          <t>MESH CAP</t>
        </is>
      </c>
      <c r="C2214" t="inlineStr">
        <is>
          <t>Equipamiento / Gorras</t>
        </is>
      </c>
      <c r="D2214" t="n">
        <v>5</v>
      </c>
      <c r="E2214" t="n">
        <v>132.8514542</v>
      </c>
      <c r="F2214" t="n">
        <v>0.86513073778</v>
      </c>
      <c r="G2214" t="n">
        <v>0</v>
      </c>
      <c r="H2214" t="n">
        <v>3.36</v>
      </c>
      <c r="I2214" t="n">
        <v>0.5</v>
      </c>
      <c r="J2214" t="n">
        <v>5</v>
      </c>
      <c r="K2214" t="inlineStr">
        <is>
          <t>Sin stock</t>
        </is>
      </c>
    </row>
    <row r="2215">
      <c r="A2215" t="inlineStr">
        <is>
          <t>SABMEDA63TXS</t>
        </is>
      </c>
      <c r="B2215" t="inlineStr">
        <is>
          <t>SABRI SPORT DAMA</t>
        </is>
      </c>
      <c r="C2215" t="inlineStr">
        <is>
          <t>Manufactura / Dama / P. Superiores</t>
        </is>
      </c>
      <c r="D2215" t="n">
        <v>5</v>
      </c>
      <c r="E2215" t="n">
        <v>132.64469667</v>
      </c>
      <c r="F2215" t="n">
        <v>0.8334258083</v>
      </c>
      <c r="G2215" t="n">
        <v>5</v>
      </c>
      <c r="H2215" t="n">
        <v>4.51</v>
      </c>
      <c r="I2215" t="n">
        <v>0.5</v>
      </c>
      <c r="J2215" t="n">
        <v>7</v>
      </c>
      <c r="K2215" t="inlineStr"/>
    </row>
    <row r="2216">
      <c r="A2216" t="inlineStr">
        <is>
          <t>SHOUNKI33T1</t>
        </is>
      </c>
      <c r="B2216" t="inlineStr">
        <is>
          <t>SHORT PLAYA KIDS</t>
        </is>
      </c>
      <c r="C2216" t="inlineStr">
        <is>
          <t>Manufactura / Kids / P. Inferiores</t>
        </is>
      </c>
      <c r="D2216" t="n">
        <v>4</v>
      </c>
      <c r="E2216" t="n">
        <v>132.56038383</v>
      </c>
      <c r="F2216" t="n">
        <v>0.8144602188833333</v>
      </c>
      <c r="G2216" t="n">
        <v>21</v>
      </c>
      <c r="H2216" t="n">
        <v>6.09</v>
      </c>
      <c r="I2216" t="n">
        <v>0.4</v>
      </c>
      <c r="J2216" t="n">
        <v>6</v>
      </c>
      <c r="K2216" t="inlineStr"/>
    </row>
    <row r="2217">
      <c r="A2217" t="inlineStr">
        <is>
          <t>GOOSTKI16T10</t>
        </is>
      </c>
      <c r="B2217" t="inlineStr">
        <is>
          <t>RETRO VZLA KIDS</t>
        </is>
      </c>
      <c r="C2217" t="inlineStr">
        <is>
          <t>Manufactura / Dama / P. Superiores</t>
        </is>
      </c>
      <c r="D2217" t="n">
        <v>4</v>
      </c>
      <c r="E2217" t="n">
        <v>131.939238</v>
      </c>
      <c r="F2217" t="n">
        <v>0.6772316010999999</v>
      </c>
      <c r="G2217" t="n">
        <v>1</v>
      </c>
      <c r="H2217" t="n">
        <v>10.18</v>
      </c>
      <c r="I2217" t="n">
        <v>0.4</v>
      </c>
      <c r="J2217" t="n">
        <v>4</v>
      </c>
      <c r="K2217" t="inlineStr"/>
    </row>
    <row r="2218">
      <c r="A2218" t="inlineStr">
        <is>
          <t>CLAMICA50T2XL</t>
        </is>
      </c>
      <c r="B2218" t="inlineStr">
        <is>
          <t>CLASICA ORIGINAL CAB</t>
        </is>
      </c>
      <c r="C2218" t="inlineStr">
        <is>
          <t>Manufactura / Caballero / P. Superiores</t>
        </is>
      </c>
      <c r="D2218" t="n">
        <v>3</v>
      </c>
      <c r="E2218" t="n">
        <v>130.62507281</v>
      </c>
      <c r="F2218" t="n">
        <v>0.8924927840333333</v>
      </c>
      <c r="G2218" t="n">
        <v>7</v>
      </c>
      <c r="H2218" t="n">
        <v>4.598442536</v>
      </c>
      <c r="I2218" t="n">
        <v>0.3</v>
      </c>
      <c r="J2218" t="n">
        <v>1</v>
      </c>
      <c r="K2218" t="inlineStr"/>
    </row>
    <row r="2219">
      <c r="A2219" t="inlineStr">
        <is>
          <t>SHOUNKI29T2</t>
        </is>
      </c>
      <c r="B2219" t="inlineStr">
        <is>
          <t>SHORT PLAYA KIDS</t>
        </is>
      </c>
      <c r="C2219" t="inlineStr">
        <is>
          <t>Manufactura / Kids / P. Inferiores</t>
        </is>
      </c>
      <c r="D2219" t="n">
        <v>4</v>
      </c>
      <c r="E2219" t="n">
        <v>130.4542721</v>
      </c>
      <c r="F2219" t="n">
        <v>0.812649832125</v>
      </c>
      <c r="G2219" t="n">
        <v>0</v>
      </c>
      <c r="H2219" t="n">
        <v>6.09</v>
      </c>
      <c r="I2219" t="n">
        <v>0.4</v>
      </c>
      <c r="J2219" t="n">
        <v>5</v>
      </c>
      <c r="K2219" t="inlineStr">
        <is>
          <t>Sin stock</t>
        </is>
      </c>
    </row>
    <row r="2220">
      <c r="A2220" t="inlineStr">
        <is>
          <t>CLAMEDA12TL</t>
        </is>
      </c>
      <c r="B2220" t="inlineStr">
        <is>
          <t>CLÁSICA SPORT DAMA</t>
        </is>
      </c>
      <c r="C2220" t="inlineStr">
        <is>
          <t>Manufactura / Dama / P. Superiores</t>
        </is>
      </c>
      <c r="D2220" t="n">
        <v>3</v>
      </c>
      <c r="E2220" t="n">
        <v>130.41626572</v>
      </c>
      <c r="F2220" t="n">
        <v>0.8438044387333333</v>
      </c>
      <c r="G2220" t="n">
        <v>0</v>
      </c>
      <c r="H2220" t="n">
        <v>6.536105769</v>
      </c>
      <c r="I2220" t="n">
        <v>0.3</v>
      </c>
      <c r="J2220" t="n">
        <v>1</v>
      </c>
      <c r="K2220" t="inlineStr">
        <is>
          <t>Sin stock</t>
        </is>
      </c>
    </row>
    <row r="2221">
      <c r="A2221" t="inlineStr">
        <is>
          <t>LAN03EQ</t>
        </is>
      </c>
      <c r="B2221" t="inlineStr">
        <is>
          <t>LANYARD</t>
        </is>
      </c>
      <c r="C2221" t="inlineStr">
        <is>
          <t>Equipamiento / Accesorios</t>
        </is>
      </c>
      <c r="D2221" t="n">
        <v>238</v>
      </c>
      <c r="E2221" t="n">
        <v>130.073356121</v>
      </c>
      <c r="F2221" t="n">
        <v>0.8356029368117648</v>
      </c>
      <c r="G2221" t="n">
        <v>278</v>
      </c>
      <c r="H2221" t="n">
        <v>0.51</v>
      </c>
      <c r="I2221" t="n">
        <v>23.8</v>
      </c>
      <c r="J2221" t="n">
        <v>0</v>
      </c>
      <c r="K2221" t="inlineStr"/>
    </row>
    <row r="2222">
      <c r="A2222" t="inlineStr">
        <is>
          <t>SHOUNCA29TXL</t>
        </is>
      </c>
      <c r="B2222" t="inlineStr">
        <is>
          <t>SHORT PLAYA CAB</t>
        </is>
      </c>
      <c r="C2222" t="inlineStr">
        <is>
          <t>Manufactura / Caballero / P. Inferiores</t>
        </is>
      </c>
      <c r="D2222" t="n">
        <v>3</v>
      </c>
      <c r="E2222" t="n">
        <v>130.00558607</v>
      </c>
      <c r="F2222" t="n">
        <v>0.7722798533399999</v>
      </c>
      <c r="G2222" t="n">
        <v>0</v>
      </c>
      <c r="H2222" t="n">
        <v>9.99</v>
      </c>
      <c r="I2222" t="n">
        <v>0.3</v>
      </c>
      <c r="J2222" t="n">
        <v>7</v>
      </c>
      <c r="K2222" t="inlineStr">
        <is>
          <t>Sin stock</t>
        </is>
      </c>
    </row>
    <row r="2223">
      <c r="A2223" t="inlineStr">
        <is>
          <t>SHOUNKI33T2</t>
        </is>
      </c>
      <c r="B2223" t="inlineStr">
        <is>
          <t>SHORT PLAYA KIDS</t>
        </is>
      </c>
      <c r="C2223" t="inlineStr">
        <is>
          <t>Manufactura / Kids / P. Inferiores</t>
        </is>
      </c>
      <c r="D2223" t="n">
        <v>4</v>
      </c>
      <c r="E2223" t="n">
        <v>129.91935866</v>
      </c>
      <c r="F2223" t="n">
        <v>0.811431559325</v>
      </c>
      <c r="G2223" t="n">
        <v>0</v>
      </c>
      <c r="H2223" t="n">
        <v>6.09</v>
      </c>
      <c r="I2223" t="n">
        <v>0.4</v>
      </c>
      <c r="J2223" t="n">
        <v>7</v>
      </c>
      <c r="K2223" t="inlineStr">
        <is>
          <t>Sin stock</t>
        </is>
      </c>
    </row>
    <row r="2224">
      <c r="A2224" t="inlineStr">
        <is>
          <t>ADUMMDA30TXS</t>
        </is>
      </c>
      <c r="B2224" t="inlineStr">
        <is>
          <t>ACTIVE DUO DAMA</t>
        </is>
      </c>
      <c r="C2224" t="inlineStr">
        <is>
          <t>Manufactura / Caballero / P. Superiores</t>
        </is>
      </c>
      <c r="D2224" t="n">
        <v>5</v>
      </c>
      <c r="E2224" t="n">
        <v>129.74649935</v>
      </c>
      <c r="F2224" t="n">
        <v>0.9249914102333333</v>
      </c>
      <c r="G2224" t="n">
        <v>26</v>
      </c>
      <c r="H2224" t="n">
        <v>3.19128</v>
      </c>
      <c r="I2224" t="n">
        <v>0.5</v>
      </c>
      <c r="J2224" t="n">
        <v>7</v>
      </c>
      <c r="K2224" t="inlineStr"/>
    </row>
    <row r="2225">
      <c r="A2225" t="inlineStr">
        <is>
          <t>SHOUNCA33TS</t>
        </is>
      </c>
      <c r="B2225" t="inlineStr">
        <is>
          <t>SHORT PLAYA CAB</t>
        </is>
      </c>
      <c r="C2225" t="inlineStr">
        <is>
          <t>Manufactura / Caballero / P. Inferiores</t>
        </is>
      </c>
      <c r="D2225" t="n">
        <v>4</v>
      </c>
      <c r="E2225" t="n">
        <v>129.63186154</v>
      </c>
      <c r="F2225" t="n">
        <v>0.6478107021799999</v>
      </c>
      <c r="G2225" t="n">
        <v>0</v>
      </c>
      <c r="H2225" t="n">
        <v>9.99</v>
      </c>
      <c r="I2225" t="n">
        <v>0.4</v>
      </c>
      <c r="J2225" t="n">
        <v>7</v>
      </c>
      <c r="K2225" t="inlineStr">
        <is>
          <t>Sin stock</t>
        </is>
      </c>
    </row>
    <row r="2226">
      <c r="A2226" t="inlineStr">
        <is>
          <t>ADUMMCA30T2XL</t>
        </is>
      </c>
      <c r="B2226" t="inlineStr">
        <is>
          <t>ACTIVE DUO CAB</t>
        </is>
      </c>
      <c r="C2226" t="inlineStr">
        <is>
          <t>Manufactura / Caballero / P. Superiores</t>
        </is>
      </c>
      <c r="D2226" t="n">
        <v>4</v>
      </c>
      <c r="E2226" t="n">
        <v>129.52652209</v>
      </c>
      <c r="F2226" t="n">
        <v>0.8714291731199999</v>
      </c>
      <c r="G2226" t="n">
        <v>18</v>
      </c>
      <c r="H2226" t="n">
        <v>5.09</v>
      </c>
      <c r="I2226" t="n">
        <v>0.4</v>
      </c>
      <c r="J2226" t="n">
        <v>1</v>
      </c>
      <c r="K2226" t="inlineStr"/>
    </row>
    <row r="2227">
      <c r="A2227" t="inlineStr">
        <is>
          <t>ZOEMIKI01T14</t>
        </is>
      </c>
      <c r="B2227" t="inlineStr">
        <is>
          <t>ZOE ORIGINAL KIDS</t>
        </is>
      </c>
      <c r="C2227" t="inlineStr">
        <is>
          <t>Manufactura / Kids / P. Superiores</t>
        </is>
      </c>
      <c r="D2227" t="n">
        <v>4</v>
      </c>
      <c r="E2227" t="n">
        <v>129.3098105</v>
      </c>
      <c r="F2227" t="n">
        <v>0.8717971571249999</v>
      </c>
      <c r="G2227" t="n">
        <v>18</v>
      </c>
      <c r="H2227" t="n">
        <v>4.12</v>
      </c>
      <c r="I2227" t="n">
        <v>0.4</v>
      </c>
      <c r="J2227" t="n">
        <v>3</v>
      </c>
      <c r="K2227" t="inlineStr"/>
    </row>
    <row r="2228">
      <c r="A2228" t="inlineStr">
        <is>
          <t>OVEFTGE30TXL</t>
        </is>
      </c>
      <c r="B2228" t="inlineStr">
        <is>
          <t>UNIHOODIE</t>
        </is>
      </c>
      <c r="C2228" t="inlineStr">
        <is>
          <t>Manufactura / General</t>
        </is>
      </c>
      <c r="D2228" t="n">
        <v>4</v>
      </c>
      <c r="E2228" t="n">
        <v>129.06869534</v>
      </c>
      <c r="F2228" t="n">
        <v>0.6858873432</v>
      </c>
      <c r="G2228" t="n">
        <v>2</v>
      </c>
      <c r="H2228" t="n">
        <v>20.27</v>
      </c>
      <c r="I2228" t="n">
        <v>0.4</v>
      </c>
      <c r="J2228" t="n">
        <v>1</v>
      </c>
      <c r="K2228" t="inlineStr"/>
    </row>
    <row r="2229">
      <c r="A2229" t="inlineStr">
        <is>
          <t>CAP41MC</t>
        </is>
      </c>
      <c r="B2229" t="inlineStr">
        <is>
          <t>MESH CAP</t>
        </is>
      </c>
      <c r="C2229" t="inlineStr">
        <is>
          <t>Equipamiento / Gorras</t>
        </is>
      </c>
      <c r="D2229" t="n">
        <v>5</v>
      </c>
      <c r="E2229" t="n">
        <v>129.05504947</v>
      </c>
      <c r="F2229" t="n">
        <v>0.8672267075</v>
      </c>
      <c r="G2229" t="n">
        <v>0</v>
      </c>
      <c r="H2229" t="n">
        <v>3.36</v>
      </c>
      <c r="I2229" t="n">
        <v>0.5</v>
      </c>
      <c r="J2229" t="n">
        <v>8</v>
      </c>
      <c r="K2229" t="inlineStr">
        <is>
          <t>Sin stock</t>
        </is>
      </c>
    </row>
    <row r="2230">
      <c r="A2230" t="inlineStr">
        <is>
          <t>LARIMJDA16TS</t>
        </is>
      </c>
      <c r="B2230" t="inlineStr">
        <is>
          <t>LARISA ORIGINAL DAMA</t>
        </is>
      </c>
      <c r="C2230" t="inlineStr">
        <is>
          <t>Manufactura / Dama / P. Superiores</t>
        </is>
      </c>
      <c r="D2230" t="n">
        <v>5</v>
      </c>
      <c r="E2230" t="n">
        <v>129</v>
      </c>
      <c r="F2230" t="n">
        <v>0.9589302677</v>
      </c>
      <c r="G2230" t="n">
        <v>21</v>
      </c>
      <c r="H2230" t="n">
        <v>1.765998491</v>
      </c>
      <c r="I2230" t="n">
        <v>0.5</v>
      </c>
      <c r="J2230" t="n">
        <v>0</v>
      </c>
      <c r="K2230" t="inlineStr"/>
    </row>
    <row r="2231">
      <c r="A2231" t="inlineStr">
        <is>
          <t>LARIMJDA43TS</t>
        </is>
      </c>
      <c r="B2231" t="inlineStr">
        <is>
          <t>LARISA ORIGINAL DAMA</t>
        </is>
      </c>
      <c r="C2231" t="inlineStr">
        <is>
          <t>Manufactura / Dama / P. Superiores</t>
        </is>
      </c>
      <c r="D2231" t="n">
        <v>5</v>
      </c>
      <c r="E2231" t="n">
        <v>129</v>
      </c>
      <c r="F2231" t="n">
        <v>0.9589302677</v>
      </c>
      <c r="G2231" t="n">
        <v>28</v>
      </c>
      <c r="H2231" t="n">
        <v>1.765998491</v>
      </c>
      <c r="I2231" t="n">
        <v>0.5</v>
      </c>
      <c r="J2231" t="n">
        <v>0</v>
      </c>
      <c r="K2231" t="inlineStr"/>
    </row>
    <row r="2232">
      <c r="A2232" t="inlineStr">
        <is>
          <t>LARIMJDA43TXS</t>
        </is>
      </c>
      <c r="B2232" t="inlineStr">
        <is>
          <t>LARISA ORIGINAL DAMA</t>
        </is>
      </c>
      <c r="C2232" t="inlineStr">
        <is>
          <t>Manufactura / Dama / P. Superiores</t>
        </is>
      </c>
      <c r="D2232" t="n">
        <v>6</v>
      </c>
      <c r="E2232" t="n">
        <v>128.60768717</v>
      </c>
      <c r="F2232" t="n">
        <v>0.958804217</v>
      </c>
      <c r="G2232" t="n">
        <v>12</v>
      </c>
      <c r="H2232" t="n">
        <v>1.765998491</v>
      </c>
      <c r="I2232" t="n">
        <v>0.6</v>
      </c>
      <c r="J2232" t="n">
        <v>0</v>
      </c>
      <c r="K2232" t="inlineStr"/>
    </row>
    <row r="2233">
      <c r="A2233" t="inlineStr">
        <is>
          <t>DOMBFCA30TXL</t>
        </is>
      </c>
      <c r="B2233" t="inlineStr">
        <is>
          <t>DOMINIC BIO MOVE CAB</t>
        </is>
      </c>
      <c r="C2233" t="inlineStr">
        <is>
          <t>Manufactura / Caballero / P. Superiores</t>
        </is>
      </c>
      <c r="D2233" t="n">
        <v>2</v>
      </c>
      <c r="E2233" t="n">
        <v>128.09177589</v>
      </c>
      <c r="F2233" t="n">
        <v>0.7833822938999999</v>
      </c>
      <c r="G2233" t="n">
        <v>43</v>
      </c>
      <c r="H2233" t="n">
        <v>13.86</v>
      </c>
      <c r="I2233" t="n">
        <v>0.2</v>
      </c>
      <c r="J2233" t="n">
        <v>1</v>
      </c>
      <c r="K2233" t="inlineStr"/>
    </row>
    <row r="2234">
      <c r="A2234" t="inlineStr">
        <is>
          <t>ZOEMIKI70T14</t>
        </is>
      </c>
      <c r="B2234" t="inlineStr">
        <is>
          <t>ZOE ORIGINAL KIDS</t>
        </is>
      </c>
      <c r="C2234" t="inlineStr">
        <is>
          <t>Manufactura / Kids / P. Superiores</t>
        </is>
      </c>
      <c r="D2234" t="n">
        <v>3</v>
      </c>
      <c r="E2234" t="n">
        <v>127.85186296</v>
      </c>
      <c r="F2234" t="n">
        <v>0.9021771646666666</v>
      </c>
      <c r="G2234" t="n">
        <v>2</v>
      </c>
      <c r="H2234" t="n">
        <v>4.12</v>
      </c>
      <c r="I2234" t="n">
        <v>0.3</v>
      </c>
      <c r="J2234" t="n">
        <v>3</v>
      </c>
      <c r="K2234" t="inlineStr"/>
    </row>
    <row r="2235">
      <c r="A2235" t="inlineStr">
        <is>
          <t>SHR2VICA66TS</t>
        </is>
      </c>
      <c r="B2235" t="inlineStr">
        <is>
          <t>SHORT R2 CAB</t>
        </is>
      </c>
      <c r="C2235" t="inlineStr">
        <is>
          <t>Manufactura / Dama / P. Inferiores</t>
        </is>
      </c>
      <c r="D2235" t="n">
        <v>2</v>
      </c>
      <c r="E2235" t="n">
        <v>127.61551486</v>
      </c>
      <c r="F2235" t="n">
        <v>0.8564887002999999</v>
      </c>
      <c r="G2235" t="n">
        <v>0</v>
      </c>
      <c r="H2235" t="n">
        <v>9.119999999999999</v>
      </c>
      <c r="I2235" t="n">
        <v>0.2</v>
      </c>
      <c r="J2235" t="n">
        <v>2</v>
      </c>
      <c r="K2235" t="inlineStr">
        <is>
          <t>Sin stock</t>
        </is>
      </c>
    </row>
    <row r="2236">
      <c r="A2236" t="inlineStr">
        <is>
          <t>201STDA43TXL</t>
        </is>
      </c>
      <c r="B2236" t="inlineStr">
        <is>
          <t>RETRO VZLA DAMA</t>
        </is>
      </c>
      <c r="C2236" t="inlineStr">
        <is>
          <t>Manufactura / Dama / P. Superiores</t>
        </is>
      </c>
      <c r="D2236" t="n">
        <v>3</v>
      </c>
      <c r="E2236" t="n">
        <v>127.4195949</v>
      </c>
      <c r="F2236" t="n">
        <v>0.7336964797333333</v>
      </c>
      <c r="G2236" t="n">
        <v>0</v>
      </c>
      <c r="H2236" t="n">
        <v>11.23</v>
      </c>
      <c r="I2236" t="n">
        <v>0.3</v>
      </c>
      <c r="J2236" t="n">
        <v>3</v>
      </c>
      <c r="K2236" t="inlineStr">
        <is>
          <t>Sin stock</t>
        </is>
      </c>
    </row>
    <row r="2237">
      <c r="A2237" t="inlineStr">
        <is>
          <t>COS142C24OZ</t>
        </is>
      </c>
      <c r="B2237" t="inlineStr">
        <is>
          <t>CONTIGO STAINLESS 24OZ</t>
        </is>
      </c>
      <c r="C2237" t="inlineStr">
        <is>
          <t>Equipamiento / Cava</t>
        </is>
      </c>
      <c r="D2237" t="n">
        <v>4</v>
      </c>
      <c r="E2237" t="n">
        <v>127.35428974</v>
      </c>
      <c r="F2237" t="n">
        <v>0.229990515975</v>
      </c>
      <c r="G2237" t="n">
        <v>3</v>
      </c>
      <c r="H2237" t="n">
        <v>24.5</v>
      </c>
      <c r="I2237" t="n">
        <v>0.4</v>
      </c>
      <c r="J2237" t="n">
        <v>7</v>
      </c>
      <c r="K2237" t="inlineStr"/>
    </row>
    <row r="2238">
      <c r="A2238" t="inlineStr">
        <is>
          <t>SHONTCA33TL</t>
        </is>
      </c>
      <c r="B2238" t="inlineStr">
        <is>
          <t>EXPLORE SHORT CAB</t>
        </is>
      </c>
      <c r="C2238" t="inlineStr">
        <is>
          <t>Manufactura / Caballero / P. Inferiores</t>
        </is>
      </c>
      <c r="D2238" t="n">
        <v>3</v>
      </c>
      <c r="E2238" t="n">
        <v>127.14928195</v>
      </c>
      <c r="F2238" t="n">
        <v>0.7361729726999999</v>
      </c>
      <c r="G2238" t="n">
        <v>4</v>
      </c>
      <c r="H2238" t="n">
        <v>11.17</v>
      </c>
      <c r="I2238" t="n">
        <v>0.3</v>
      </c>
      <c r="J2238" t="n">
        <v>7</v>
      </c>
      <c r="K2238" t="inlineStr"/>
    </row>
    <row r="2239">
      <c r="A2239" t="inlineStr">
        <is>
          <t>VIVMIDA48TXL</t>
        </is>
      </c>
      <c r="B2239" t="inlineStr">
        <is>
          <t>VIVI ORIGINAL DAMA</t>
        </is>
      </c>
      <c r="C2239" t="inlineStr">
        <is>
          <t>Manufactura / Dama / P. Superiores</t>
        </is>
      </c>
      <c r="D2239" t="n">
        <v>3</v>
      </c>
      <c r="E2239" t="n">
        <v>126.9168156</v>
      </c>
      <c r="F2239" t="n">
        <v>0.8922669675</v>
      </c>
      <c r="G2239" t="n">
        <v>12</v>
      </c>
      <c r="H2239" t="n">
        <v>4.303181706</v>
      </c>
      <c r="I2239" t="n">
        <v>0.3</v>
      </c>
      <c r="J2239" t="n">
        <v>4</v>
      </c>
      <c r="K2239" t="inlineStr"/>
    </row>
    <row r="2240">
      <c r="A2240" t="inlineStr">
        <is>
          <t>SHOUNCA29T4XL</t>
        </is>
      </c>
      <c r="B2240" t="inlineStr">
        <is>
          <t>SHORT PLAYA CAB</t>
        </is>
      </c>
      <c r="C2240" t="inlineStr">
        <is>
          <t>Manufactura / Caballero / P. Inferiores</t>
        </is>
      </c>
      <c r="D2240" t="n">
        <v>2</v>
      </c>
      <c r="E2240" t="n">
        <v>126.79764679</v>
      </c>
      <c r="F2240" t="n">
        <v>0.8414777947500001</v>
      </c>
      <c r="G2240" t="n">
        <v>0</v>
      </c>
      <c r="H2240" t="n">
        <v>9.99</v>
      </c>
      <c r="I2240" t="n">
        <v>0.2</v>
      </c>
      <c r="J2240" t="n">
        <v>4</v>
      </c>
      <c r="K2240" t="inlineStr">
        <is>
          <t>Sin stock</t>
        </is>
      </c>
    </row>
    <row r="2241">
      <c r="A2241" t="inlineStr">
        <is>
          <t>TMOFIDA31TXS</t>
        </is>
      </c>
      <c r="B2241" t="inlineStr">
        <is>
          <t>TOP MOVA</t>
        </is>
      </c>
      <c r="C2241" t="inlineStr">
        <is>
          <t>Manufactura / Dama / P. Superiores</t>
        </is>
      </c>
      <c r="D2241" t="n">
        <v>5</v>
      </c>
      <c r="E2241" t="n">
        <v>126.07253687</v>
      </c>
      <c r="F2241" t="n">
        <v>0.8365399954499999</v>
      </c>
      <c r="G2241" t="n">
        <v>19</v>
      </c>
      <c r="H2241" t="n">
        <v>9.942967033</v>
      </c>
      <c r="I2241" t="n">
        <v>0.5</v>
      </c>
      <c r="J2241" t="n">
        <v>0</v>
      </c>
      <c r="K2241" t="inlineStr"/>
    </row>
    <row r="2242">
      <c r="A2242" t="inlineStr">
        <is>
          <t>OVEFTGE30TL</t>
        </is>
      </c>
      <c r="B2242" t="inlineStr">
        <is>
          <t>UNIHOODIE</t>
        </is>
      </c>
      <c r="C2242" t="inlineStr">
        <is>
          <t>Manufactura / General</t>
        </is>
      </c>
      <c r="D2242" t="n">
        <v>2</v>
      </c>
      <c r="E2242" t="n">
        <v>126.03406417</v>
      </c>
      <c r="F2242" t="n">
        <v>0.67808957285</v>
      </c>
      <c r="G2242" t="n">
        <v>0</v>
      </c>
      <c r="H2242" t="n">
        <v>20.27</v>
      </c>
      <c r="I2242" t="n">
        <v>0.2</v>
      </c>
      <c r="J2242" t="n">
        <v>6</v>
      </c>
      <c r="K2242" t="inlineStr">
        <is>
          <t>Sin stock</t>
        </is>
      </c>
    </row>
    <row r="2243">
      <c r="A2243" t="inlineStr">
        <is>
          <t>CLAMIKI11T14</t>
        </is>
      </c>
      <c r="B2243" t="inlineStr">
        <is>
          <t>CLASICA ORIGINAL KIDS</t>
        </is>
      </c>
      <c r="C2243" t="inlineStr">
        <is>
          <t>Manufactura / Kids / P. Superiores</t>
        </is>
      </c>
      <c r="D2243" t="n">
        <v>4</v>
      </c>
      <c r="E2243" t="n">
        <v>125.80208823</v>
      </c>
      <c r="F2243" t="n">
        <v>0.93529401006</v>
      </c>
      <c r="G2243" t="n">
        <v>0</v>
      </c>
      <c r="H2243" t="n">
        <v>2.053774806</v>
      </c>
      <c r="I2243" t="n">
        <v>0.4</v>
      </c>
      <c r="J2243" t="n">
        <v>0</v>
      </c>
      <c r="K2243" t="inlineStr">
        <is>
          <t>Sin stock</t>
        </is>
      </c>
    </row>
    <row r="2244">
      <c r="A2244" t="inlineStr">
        <is>
          <t>ZOEMIKI16T12</t>
        </is>
      </c>
      <c r="B2244" t="inlineStr">
        <is>
          <t>ZOE ORIGINAL KIDS</t>
        </is>
      </c>
      <c r="C2244" t="inlineStr">
        <is>
          <t>Manufactura / Kids / P. Superiores</t>
        </is>
      </c>
      <c r="D2244" t="n">
        <v>4</v>
      </c>
      <c r="E2244" t="n">
        <v>125.77255826</v>
      </c>
      <c r="F2244" t="n">
        <v>0.8730037672833334</v>
      </c>
      <c r="G2244" t="n">
        <v>26</v>
      </c>
      <c r="H2244" t="n">
        <v>4.12</v>
      </c>
      <c r="I2244" t="n">
        <v>0.4</v>
      </c>
      <c r="J2244" t="n">
        <v>4</v>
      </c>
      <c r="K2244" t="inlineStr"/>
    </row>
    <row r="2245">
      <c r="A2245" t="inlineStr">
        <is>
          <t>GOOSTDA43TL</t>
        </is>
      </c>
      <c r="B2245" t="inlineStr">
        <is>
          <t>RETRO VZLA DAMA</t>
        </is>
      </c>
      <c r="C2245" t="inlineStr">
        <is>
          <t>Manufactura / Dama / P. Superiores</t>
        </is>
      </c>
      <c r="D2245" t="n">
        <v>3</v>
      </c>
      <c r="E2245" t="n">
        <v>125.60141618</v>
      </c>
      <c r="F2245" t="n">
        <v>0.7286728091666667</v>
      </c>
      <c r="G2245" t="n">
        <v>0</v>
      </c>
      <c r="H2245" t="n">
        <v>11.23</v>
      </c>
      <c r="I2245" t="n">
        <v>0.3</v>
      </c>
      <c r="J2245" t="n">
        <v>4</v>
      </c>
      <c r="K2245" t="inlineStr">
        <is>
          <t>Sin stock</t>
        </is>
      </c>
    </row>
    <row r="2246">
      <c r="A2246" t="inlineStr">
        <is>
          <t>ACCMICA120T4XL</t>
        </is>
      </c>
      <c r="B2246" t="inlineStr">
        <is>
          <t>CLASICA ACTIVE CAB</t>
        </is>
      </c>
      <c r="C2246" t="inlineStr">
        <is>
          <t>Manufactura / Caballero / P. Superiores</t>
        </is>
      </c>
      <c r="D2246" t="n">
        <v>2</v>
      </c>
      <c r="E2246" t="n">
        <v>124.93091505</v>
      </c>
      <c r="F2246" t="n">
        <v>0.7628405818999999</v>
      </c>
      <c r="G2246" t="n">
        <v>0</v>
      </c>
      <c r="H2246" t="n">
        <v>12.74</v>
      </c>
      <c r="I2246" t="n">
        <v>0.2</v>
      </c>
      <c r="J2246" t="n">
        <v>6</v>
      </c>
      <c r="K2246" t="inlineStr">
        <is>
          <t>Sin stock</t>
        </is>
      </c>
    </row>
    <row r="2247">
      <c r="A2247" t="inlineStr">
        <is>
          <t>ZOEMIKI43T10</t>
        </is>
      </c>
      <c r="B2247" t="inlineStr">
        <is>
          <t>ZOE ORIGINAL KIDS</t>
        </is>
      </c>
      <c r="C2247" t="inlineStr">
        <is>
          <t>Manufactura / Kids / P. Superiores</t>
        </is>
      </c>
      <c r="D2247" t="n">
        <v>3</v>
      </c>
      <c r="E2247" t="n">
        <v>124.83897548</v>
      </c>
      <c r="F2247" t="n">
        <v>0.8955829925333333</v>
      </c>
      <c r="G2247" t="n">
        <v>23</v>
      </c>
      <c r="H2247" t="n">
        <v>4.12</v>
      </c>
      <c r="I2247" t="n">
        <v>0.3</v>
      </c>
      <c r="J2247" t="n">
        <v>6</v>
      </c>
      <c r="K2247" t="inlineStr"/>
    </row>
    <row r="2248">
      <c r="A2248" t="inlineStr">
        <is>
          <t>DANMIKI66T14</t>
        </is>
      </c>
      <c r="B2248" t="inlineStr">
        <is>
          <t>DANI ORIGINAL KIDS</t>
        </is>
      </c>
      <c r="C2248" t="inlineStr">
        <is>
          <t>Manufactura / Kids / P. Superiores</t>
        </is>
      </c>
      <c r="D2248" t="n">
        <v>5</v>
      </c>
      <c r="E2248" t="n">
        <v>124.41850224</v>
      </c>
      <c r="F2248" t="n">
        <v>0.8600830010142857</v>
      </c>
      <c r="G2248" t="n">
        <v>2</v>
      </c>
      <c r="H2248" t="n">
        <v>3.55</v>
      </c>
      <c r="I2248" t="n">
        <v>0.5</v>
      </c>
      <c r="J2248" t="n">
        <v>1</v>
      </c>
      <c r="K2248" t="inlineStr"/>
    </row>
    <row r="2249">
      <c r="A2249" t="inlineStr">
        <is>
          <t>RIOMIKI14T8</t>
        </is>
      </c>
      <c r="B2249" t="inlineStr">
        <is>
          <t>RIO ORIGINAL KIDS</t>
        </is>
      </c>
      <c r="C2249" t="inlineStr">
        <is>
          <t>Manufactura / Kids / P. Superiores</t>
        </is>
      </c>
      <c r="D2249" t="n">
        <v>3</v>
      </c>
      <c r="E2249" t="n">
        <v>124.3944813</v>
      </c>
      <c r="F2249" t="n">
        <v>0.9127166194333333</v>
      </c>
      <c r="G2249" t="n">
        <v>0</v>
      </c>
      <c r="H2249" t="n">
        <v>3.617969464</v>
      </c>
      <c r="I2249" t="n">
        <v>0.3</v>
      </c>
      <c r="J2249" t="n">
        <v>8</v>
      </c>
      <c r="K2249" t="inlineStr">
        <is>
          <t>Sin stock</t>
        </is>
      </c>
    </row>
    <row r="2250">
      <c r="A2250" t="inlineStr">
        <is>
          <t>DANMIKI12T8</t>
        </is>
      </c>
      <c r="B2250" t="inlineStr">
        <is>
          <t>DANI ORIGINAL KIDS</t>
        </is>
      </c>
      <c r="C2250" t="inlineStr">
        <is>
          <t>Manufactura / Kids / P. Superiores</t>
        </is>
      </c>
      <c r="D2250" t="n">
        <v>5</v>
      </c>
      <c r="E2250" t="n">
        <v>124.07814358</v>
      </c>
      <c r="F2250" t="n">
        <v>0.8549825796</v>
      </c>
      <c r="G2250" t="n">
        <v>2</v>
      </c>
      <c r="H2250" t="n">
        <v>3.55</v>
      </c>
      <c r="I2250" t="n">
        <v>0.5</v>
      </c>
      <c r="J2250" t="n">
        <v>3</v>
      </c>
      <c r="K2250" t="inlineStr"/>
    </row>
    <row r="2251">
      <c r="A2251" t="inlineStr">
        <is>
          <t>DALSTDA30TXS</t>
        </is>
      </c>
      <c r="B2251" t="inlineStr">
        <is>
          <t>CLASICA DAILY 2.0 DAMA</t>
        </is>
      </c>
      <c r="C2251" t="inlineStr">
        <is>
          <t>Manufactura / Dama / P. Superiores</t>
        </is>
      </c>
      <c r="D2251" t="n">
        <v>4</v>
      </c>
      <c r="E2251" t="n">
        <v>124.05420748</v>
      </c>
      <c r="F2251" t="n">
        <v>0.7252153400666667</v>
      </c>
      <c r="G2251" t="n">
        <v>3</v>
      </c>
      <c r="H2251" t="n">
        <v>10.02</v>
      </c>
      <c r="I2251" t="n">
        <v>0.4</v>
      </c>
      <c r="J2251" t="n">
        <v>6</v>
      </c>
      <c r="K2251" t="inlineStr"/>
    </row>
    <row r="2252">
      <c r="A2252" t="inlineStr">
        <is>
          <t>SHR2VIDA123TL</t>
        </is>
      </c>
      <c r="B2252" t="inlineStr">
        <is>
          <t>SHORT R2 DAMA</t>
        </is>
      </c>
      <c r="C2252" t="inlineStr">
        <is>
          <t>Manufactura / Dama / P. Inferiores</t>
        </is>
      </c>
      <c r="D2252" t="n">
        <v>3</v>
      </c>
      <c r="E2252" t="n">
        <v>124</v>
      </c>
      <c r="F2252" t="n">
        <v>0.7763018433</v>
      </c>
      <c r="G2252" t="n">
        <v>0</v>
      </c>
      <c r="H2252" t="n">
        <v>13.86928571</v>
      </c>
      <c r="I2252" t="n">
        <v>0.3</v>
      </c>
      <c r="J2252" t="n">
        <v>1</v>
      </c>
      <c r="K2252" t="inlineStr">
        <is>
          <t>Sin stock</t>
        </is>
      </c>
    </row>
    <row r="2253">
      <c r="A2253" t="inlineStr">
        <is>
          <t>SRR2VIU43TM</t>
        </is>
      </c>
      <c r="B2253" t="inlineStr">
        <is>
          <t>R2 RUNNING 3,5"</t>
        </is>
      </c>
      <c r="C2253" t="inlineStr">
        <is>
          <t>Manufactura / General</t>
        </is>
      </c>
      <c r="D2253" t="n">
        <v>2</v>
      </c>
      <c r="E2253" t="n">
        <v>124</v>
      </c>
      <c r="F2253" t="n">
        <v>0.9001612903</v>
      </c>
      <c r="G2253" t="n">
        <v>13</v>
      </c>
      <c r="H2253" t="n">
        <v>6.19</v>
      </c>
      <c r="I2253" t="n">
        <v>0.2</v>
      </c>
      <c r="J2253" t="n">
        <v>0</v>
      </c>
      <c r="K2253" t="inlineStr"/>
    </row>
    <row r="2254">
      <c r="A2254" t="inlineStr">
        <is>
          <t>PETMIPE66TS</t>
        </is>
      </c>
      <c r="B2254" t="inlineStr">
        <is>
          <t>BANDANA PET</t>
        </is>
      </c>
      <c r="C2254" t="inlineStr">
        <is>
          <t>Manufactura / General</t>
        </is>
      </c>
      <c r="D2254" t="n">
        <v>17</v>
      </c>
      <c r="E2254" t="n">
        <v>123.726045433</v>
      </c>
      <c r="F2254" t="n">
        <v>0.9701682319555557</v>
      </c>
      <c r="G2254" t="n">
        <v>33</v>
      </c>
      <c r="H2254" t="n">
        <v>0.3252662283</v>
      </c>
      <c r="I2254" t="n">
        <v>1.7</v>
      </c>
      <c r="J2254" t="n">
        <v>0</v>
      </c>
      <c r="K2254" t="inlineStr"/>
    </row>
    <row r="2255">
      <c r="A2255" t="inlineStr">
        <is>
          <t>VIVMIDA66TS</t>
        </is>
      </c>
      <c r="B2255" t="inlineStr">
        <is>
          <t>VIVI ORIGINAL DAMA</t>
        </is>
      </c>
      <c r="C2255" t="inlineStr">
        <is>
          <t>Manufactura / Dama / P. Superiores</t>
        </is>
      </c>
      <c r="D2255" t="n">
        <v>4</v>
      </c>
      <c r="E2255" t="n">
        <v>123.55616909</v>
      </c>
      <c r="F2255" t="n">
        <v>0.848125863375</v>
      </c>
      <c r="G2255" t="n">
        <v>30</v>
      </c>
      <c r="H2255" t="n">
        <v>4.303181706</v>
      </c>
      <c r="I2255" t="n">
        <v>0.4</v>
      </c>
      <c r="J2255" t="n">
        <v>2</v>
      </c>
      <c r="K2255" t="inlineStr"/>
    </row>
    <row r="2256">
      <c r="A2256" t="inlineStr">
        <is>
          <t>SARSPKI12T4</t>
        </is>
      </c>
      <c r="B2256" t="inlineStr">
        <is>
          <t>FALDA SARA KIDS</t>
        </is>
      </c>
      <c r="C2256" t="inlineStr">
        <is>
          <t>Manufactura / Kids / P. Inferiores</t>
        </is>
      </c>
      <c r="D2256" t="n">
        <v>3</v>
      </c>
      <c r="E2256" t="n">
        <v>123.39716868</v>
      </c>
      <c r="F2256" t="n">
        <v>0.8533512478333334</v>
      </c>
      <c r="G2256" t="n">
        <v>31</v>
      </c>
      <c r="H2256" t="n">
        <v>5.753743316</v>
      </c>
      <c r="I2256" t="n">
        <v>0.3</v>
      </c>
      <c r="J2256" t="n">
        <v>5</v>
      </c>
      <c r="K2256" t="inlineStr"/>
    </row>
    <row r="2257">
      <c r="A2257" t="inlineStr">
        <is>
          <t>ETN92E500ML</t>
        </is>
      </c>
      <c r="B2257" t="inlineStr">
        <is>
          <t>KAMBUKKA ETNA 500 ML</t>
        </is>
      </c>
      <c r="C2257" t="inlineStr">
        <is>
          <t>Equipamiento / Cava</t>
        </is>
      </c>
      <c r="D2257" t="n">
        <v>3</v>
      </c>
      <c r="E2257" t="n">
        <v>123.2169413</v>
      </c>
      <c r="F2257" t="n">
        <v>0.3976451568333333</v>
      </c>
      <c r="G2257" t="n">
        <v>13</v>
      </c>
      <c r="H2257" t="n">
        <v>24.5</v>
      </c>
      <c r="I2257" t="n">
        <v>0.3</v>
      </c>
      <c r="J2257" t="n">
        <v>7</v>
      </c>
      <c r="K2257" t="inlineStr"/>
    </row>
    <row r="2258">
      <c r="A2258" t="inlineStr">
        <is>
          <t>LARIMJDA12TS</t>
        </is>
      </c>
      <c r="B2258" t="inlineStr">
        <is>
          <t>LARISA ORIGINAL DAMA</t>
        </is>
      </c>
      <c r="C2258" t="inlineStr">
        <is>
          <t>Manufactura / Dama / P. Superiores</t>
        </is>
      </c>
      <c r="D2258" t="n">
        <v>3</v>
      </c>
      <c r="E2258" t="n">
        <v>123.07</v>
      </c>
      <c r="F2258" t="n">
        <v>0.9567403251333334</v>
      </c>
      <c r="G2258" t="n">
        <v>38</v>
      </c>
      <c r="H2258" t="n">
        <v>1.765998491</v>
      </c>
      <c r="I2258" t="n">
        <v>0.3</v>
      </c>
      <c r="J2258" t="n">
        <v>0</v>
      </c>
      <c r="K2258" t="inlineStr"/>
    </row>
    <row r="2259">
      <c r="A2259" t="inlineStr">
        <is>
          <t>LARIMJDA43TL</t>
        </is>
      </c>
      <c r="B2259" t="inlineStr">
        <is>
          <t>LARISA ORIGINAL DAMA</t>
        </is>
      </c>
      <c r="C2259" t="inlineStr">
        <is>
          <t>Manufactura / Dama / P. Superiores</t>
        </is>
      </c>
      <c r="D2259" t="n">
        <v>3</v>
      </c>
      <c r="E2259" t="n">
        <v>123.07</v>
      </c>
      <c r="F2259" t="n">
        <v>0.9567403251333334</v>
      </c>
      <c r="G2259" t="n">
        <v>10</v>
      </c>
      <c r="H2259" t="n">
        <v>1.765998491</v>
      </c>
      <c r="I2259" t="n">
        <v>0.3</v>
      </c>
      <c r="J2259" t="n">
        <v>0</v>
      </c>
      <c r="K2259" t="inlineStr"/>
    </row>
    <row r="2260">
      <c r="A2260" t="inlineStr">
        <is>
          <t>SHOUNKI23T10</t>
        </is>
      </c>
      <c r="B2260" t="inlineStr">
        <is>
          <t>SHORT PLAYA KIDS</t>
        </is>
      </c>
      <c r="C2260" t="inlineStr">
        <is>
          <t>Manufactura / Kids / P. Inferiores</t>
        </is>
      </c>
      <c r="D2260" t="n">
        <v>3</v>
      </c>
      <c r="E2260" t="n">
        <v>122.95496388</v>
      </c>
      <c r="F2260" t="n">
        <v>0.8481357448</v>
      </c>
      <c r="G2260" t="n">
        <v>0</v>
      </c>
      <c r="H2260" t="n">
        <v>6.09</v>
      </c>
      <c r="I2260" t="n">
        <v>0.3</v>
      </c>
      <c r="J2260" t="n">
        <v>0</v>
      </c>
      <c r="K2260" t="inlineStr">
        <is>
          <t>Sin stock</t>
        </is>
      </c>
    </row>
    <row r="2261">
      <c r="A2261" t="inlineStr">
        <is>
          <t>DANMIKI12T6</t>
        </is>
      </c>
      <c r="B2261" t="inlineStr">
        <is>
          <t>DANI ORIGINAL KIDS</t>
        </is>
      </c>
      <c r="C2261" t="inlineStr">
        <is>
          <t>Manufactura / Kids / P. Superiores</t>
        </is>
      </c>
      <c r="D2261" t="n">
        <v>5</v>
      </c>
      <c r="E2261" t="n">
        <v>122.91240828</v>
      </c>
      <c r="F2261" t="n">
        <v>0.8555052972</v>
      </c>
      <c r="G2261" t="n">
        <v>4</v>
      </c>
      <c r="H2261" t="n">
        <v>3.55</v>
      </c>
      <c r="I2261" t="n">
        <v>0.5</v>
      </c>
      <c r="J2261" t="n">
        <v>0</v>
      </c>
      <c r="K2261" t="inlineStr"/>
    </row>
    <row r="2262">
      <c r="A2262" t="inlineStr">
        <is>
          <t>VIVMIDA43TXS</t>
        </is>
      </c>
      <c r="B2262" t="inlineStr">
        <is>
          <t>VIVI ORIGINAL DAMA</t>
        </is>
      </c>
      <c r="C2262" t="inlineStr">
        <is>
          <t>Manufactura / Dama / P. Superiores</t>
        </is>
      </c>
      <c r="D2262" t="n">
        <v>7</v>
      </c>
      <c r="E2262" t="n">
        <v>122.54006464</v>
      </c>
      <c r="F2262" t="n">
        <v>0.8585024445</v>
      </c>
      <c r="G2262" t="n">
        <v>36</v>
      </c>
      <c r="H2262" t="n">
        <v>4.303181706</v>
      </c>
      <c r="I2262" t="n">
        <v>0.7</v>
      </c>
      <c r="J2262" t="n">
        <v>0</v>
      </c>
      <c r="K2262" t="inlineStr"/>
    </row>
    <row r="2263">
      <c r="A2263" t="inlineStr">
        <is>
          <t>RIOMIKI04T2</t>
        </is>
      </c>
      <c r="B2263" t="inlineStr">
        <is>
          <t>RIO ORIGINAL KIDS</t>
        </is>
      </c>
      <c r="C2263" t="inlineStr">
        <is>
          <t>Manufactura / Kids / P. Superiores</t>
        </is>
      </c>
      <c r="D2263" t="n">
        <v>3</v>
      </c>
      <c r="E2263" t="n">
        <v>122.40257384</v>
      </c>
      <c r="F2263" t="n">
        <v>0.9106353161</v>
      </c>
      <c r="G2263" t="n">
        <v>11</v>
      </c>
      <c r="H2263" t="n">
        <v>3.617969464</v>
      </c>
      <c r="I2263" t="n">
        <v>0.3</v>
      </c>
      <c r="J2263" t="n">
        <v>2</v>
      </c>
      <c r="K2263" t="inlineStr"/>
    </row>
    <row r="2264">
      <c r="A2264" t="inlineStr">
        <is>
          <t>LAN42EQ</t>
        </is>
      </c>
      <c r="B2264" t="inlineStr">
        <is>
          <t>LANYARD</t>
        </is>
      </c>
      <c r="C2264" t="inlineStr">
        <is>
          <t>Equipamiento / Accesorios</t>
        </is>
      </c>
      <c r="D2264" t="n">
        <v>215</v>
      </c>
      <c r="E2264" t="n">
        <v>122.366999041</v>
      </c>
      <c r="F2264" t="n">
        <v>0.83620455788</v>
      </c>
      <c r="G2264" t="n">
        <v>203</v>
      </c>
      <c r="H2264" t="n">
        <v>0.51</v>
      </c>
      <c r="I2264" t="n">
        <v>21.5</v>
      </c>
      <c r="J2264" t="n">
        <v>0</v>
      </c>
      <c r="K2264" t="inlineStr"/>
    </row>
    <row r="2265">
      <c r="A2265" t="inlineStr">
        <is>
          <t>TMOFIDA10TXL</t>
        </is>
      </c>
      <c r="B2265" t="inlineStr">
        <is>
          <t>TOP MOVA</t>
        </is>
      </c>
      <c r="C2265" t="inlineStr">
        <is>
          <t>Manufactura / Dama / P. Superiores</t>
        </is>
      </c>
      <c r="D2265" t="n">
        <v>2</v>
      </c>
      <c r="E2265" t="n">
        <v>122.01435074</v>
      </c>
      <c r="F2265" t="n">
        <v>0.830451905</v>
      </c>
      <c r="G2265" t="n">
        <v>12</v>
      </c>
      <c r="H2265" t="n">
        <v>9.942967033</v>
      </c>
      <c r="I2265" t="n">
        <v>0.2</v>
      </c>
      <c r="J2265" t="n">
        <v>3</v>
      </c>
      <c r="K2265" t="inlineStr"/>
    </row>
    <row r="2266">
      <c r="A2266" t="inlineStr">
        <is>
          <t>CLASTCA43T2XL</t>
        </is>
      </c>
      <c r="B2266" t="inlineStr">
        <is>
          <t>CLASICA ALGODON STRETCH CAB</t>
        </is>
      </c>
      <c r="C2266" t="inlineStr">
        <is>
          <t>Manufactura / Caballero / P. Superiores</t>
        </is>
      </c>
      <c r="D2266" t="n">
        <v>3</v>
      </c>
      <c r="E2266" t="n">
        <v>121.81626242</v>
      </c>
      <c r="F2266" t="n">
        <v>0.683648238</v>
      </c>
      <c r="G2266" t="n">
        <v>0</v>
      </c>
      <c r="H2266" t="n">
        <v>9.27</v>
      </c>
      <c r="I2266" t="n">
        <v>0.3</v>
      </c>
      <c r="J2266" t="n">
        <v>6</v>
      </c>
      <c r="K2266" t="inlineStr">
        <is>
          <t>Sin stock</t>
        </is>
      </c>
    </row>
    <row r="2267">
      <c r="A2267" t="inlineStr">
        <is>
          <t>RIOMIDA52TM</t>
        </is>
      </c>
      <c r="B2267" t="inlineStr">
        <is>
          <t>RIO ORIGINAL DAMA</t>
        </is>
      </c>
      <c r="C2267" t="inlineStr">
        <is>
          <t>Manufactura / Dama / P. Superiores</t>
        </is>
      </c>
      <c r="D2267" t="n">
        <v>3</v>
      </c>
      <c r="E2267" t="n">
        <v>121.76781222</v>
      </c>
      <c r="F2267" t="n">
        <v>0.8535191527</v>
      </c>
      <c r="G2267" t="n">
        <v>0</v>
      </c>
      <c r="H2267" t="n">
        <v>5.538832275</v>
      </c>
      <c r="I2267" t="n">
        <v>0.3</v>
      </c>
      <c r="J2267" t="n">
        <v>8</v>
      </c>
      <c r="K2267" t="inlineStr">
        <is>
          <t>Sin stock</t>
        </is>
      </c>
    </row>
    <row r="2268">
      <c r="A2268" t="inlineStr">
        <is>
          <t>AQUSTKI43T6</t>
        </is>
      </c>
      <c r="B2268" t="inlineStr">
        <is>
          <t>RETRO VZLA KIDS</t>
        </is>
      </c>
      <c r="C2268" t="inlineStr">
        <is>
          <t>Manufactura / Dama / P. Superiores</t>
        </is>
      </c>
      <c r="D2268" t="n">
        <v>4</v>
      </c>
      <c r="E2268" t="n">
        <v>121.65765833</v>
      </c>
      <c r="F2268" t="n">
        <v>0.7172448068799999</v>
      </c>
      <c r="G2268" t="n">
        <v>1</v>
      </c>
      <c r="H2268" t="n">
        <v>10.18</v>
      </c>
      <c r="I2268" t="n">
        <v>0.4</v>
      </c>
      <c r="J2268" t="n">
        <v>3</v>
      </c>
      <c r="K2268" t="inlineStr"/>
    </row>
    <row r="2269">
      <c r="A2269" t="inlineStr">
        <is>
          <t>CAP66DC</t>
        </is>
      </c>
      <c r="B2269" t="inlineStr">
        <is>
          <t>DAD CAP</t>
        </is>
      </c>
      <c r="C2269" t="inlineStr">
        <is>
          <t>Equipamiento / Gorras</t>
        </is>
      </c>
      <c r="D2269" t="n">
        <v>4</v>
      </c>
      <c r="E2269" t="n">
        <v>121.3984873</v>
      </c>
      <c r="F2269" t="n">
        <v>0.8876244009833334</v>
      </c>
      <c r="G2269" t="n">
        <v>0</v>
      </c>
      <c r="H2269" t="n">
        <v>3.27</v>
      </c>
      <c r="I2269" t="n">
        <v>0.4</v>
      </c>
      <c r="J2269" t="n">
        <v>3</v>
      </c>
      <c r="K2269" t="inlineStr">
        <is>
          <t>Sin stock</t>
        </is>
      </c>
    </row>
    <row r="2270">
      <c r="A2270" t="inlineStr">
        <is>
          <t>VIVMIDA66TXS</t>
        </is>
      </c>
      <c r="B2270" t="inlineStr">
        <is>
          <t>VIVI ORIGINAL DAMA</t>
        </is>
      </c>
      <c r="C2270" t="inlineStr">
        <is>
          <t>Manufactura / Dama / P. Superiores</t>
        </is>
      </c>
      <c r="D2270" t="n">
        <v>4</v>
      </c>
      <c r="E2270" t="n">
        <v>121.34024013</v>
      </c>
      <c r="F2270" t="n">
        <v>0.8889297710333333</v>
      </c>
      <c r="G2270" t="n">
        <v>12</v>
      </c>
      <c r="H2270" t="n">
        <v>4.303181706</v>
      </c>
      <c r="I2270" t="n">
        <v>0.4</v>
      </c>
      <c r="J2270" t="n">
        <v>5</v>
      </c>
      <c r="K2270" t="inlineStr"/>
    </row>
    <row r="2271">
      <c r="A2271" t="inlineStr">
        <is>
          <t>VIVMIDA11TXL</t>
        </is>
      </c>
      <c r="B2271" t="inlineStr">
        <is>
          <t>VIVI ORIGINAL DAMA</t>
        </is>
      </c>
      <c r="C2271" t="inlineStr">
        <is>
          <t>Manufactura / Dama / P. Superiores</t>
        </is>
      </c>
      <c r="D2271" t="n">
        <v>3</v>
      </c>
      <c r="E2271" t="n">
        <v>121.25724212</v>
      </c>
      <c r="F2271" t="n">
        <v>0.8931790838666668</v>
      </c>
      <c r="G2271" t="n">
        <v>5</v>
      </c>
      <c r="H2271" t="n">
        <v>4.303181706</v>
      </c>
      <c r="I2271" t="n">
        <v>0.3</v>
      </c>
      <c r="J2271" t="n">
        <v>5</v>
      </c>
      <c r="K2271" t="inlineStr"/>
    </row>
    <row r="2272">
      <c r="A2272" t="inlineStr">
        <is>
          <t>SABMEDA66TXL</t>
        </is>
      </c>
      <c r="B2272" t="inlineStr">
        <is>
          <t>SABRI SPORT DAMA</t>
        </is>
      </c>
      <c r="C2272" t="inlineStr">
        <is>
          <t>Manufactura / Dama / P. Superiores</t>
        </is>
      </c>
      <c r="D2272" t="n">
        <v>3</v>
      </c>
      <c r="E2272" t="n">
        <v>121.09760416</v>
      </c>
      <c r="F2272" t="n">
        <v>0.8834017607</v>
      </c>
      <c r="G2272" t="n">
        <v>20</v>
      </c>
      <c r="H2272" t="n">
        <v>4.51</v>
      </c>
      <c r="I2272" t="n">
        <v>0.3</v>
      </c>
      <c r="J2272" t="n">
        <v>2</v>
      </c>
      <c r="K2272" t="inlineStr"/>
    </row>
    <row r="2273">
      <c r="A2273" t="inlineStr">
        <is>
          <t>CLAMIKI30T4</t>
        </is>
      </c>
      <c r="B2273" t="inlineStr">
        <is>
          <t>CLASICA ORIGINAL KIDS</t>
        </is>
      </c>
      <c r="C2273" t="inlineStr">
        <is>
          <t>Manufactura / Kids / P. Superiores</t>
        </is>
      </c>
      <c r="D2273" t="n">
        <v>4</v>
      </c>
      <c r="E2273" t="n">
        <v>120.83103008</v>
      </c>
      <c r="F2273" t="n">
        <v>0.92978735885</v>
      </c>
      <c r="G2273" t="n">
        <v>36</v>
      </c>
      <c r="H2273" t="n">
        <v>2.053774806</v>
      </c>
      <c r="I2273" t="n">
        <v>0.4</v>
      </c>
      <c r="J2273" t="n">
        <v>0</v>
      </c>
      <c r="K2273" t="inlineStr"/>
    </row>
    <row r="2274">
      <c r="A2274" t="inlineStr">
        <is>
          <t>ANDMIDA16TS</t>
        </is>
      </c>
      <c r="B2274" t="inlineStr">
        <is>
          <t>ANDRE ORIGINAL DAMA</t>
        </is>
      </c>
      <c r="C2274" t="inlineStr">
        <is>
          <t>Manufactura / Dama / P. Superiores</t>
        </is>
      </c>
      <c r="D2274" t="n">
        <v>3</v>
      </c>
      <c r="E2274" t="n">
        <v>120.45500873</v>
      </c>
      <c r="F2274" t="n">
        <v>0.9206875931</v>
      </c>
      <c r="G2274" t="n">
        <v>0</v>
      </c>
      <c r="H2274" t="n">
        <v>3.274295302</v>
      </c>
      <c r="I2274" t="n">
        <v>0.3</v>
      </c>
      <c r="J2274" t="n">
        <v>2</v>
      </c>
      <c r="K2274" t="inlineStr">
        <is>
          <t>Sin stock</t>
        </is>
      </c>
    </row>
    <row r="2275">
      <c r="A2275" t="inlineStr">
        <is>
          <t>CLAMIKI12T6</t>
        </is>
      </c>
      <c r="B2275" t="inlineStr">
        <is>
          <t>CLASICA ORIGINAL KIDS</t>
        </is>
      </c>
      <c r="C2275" t="inlineStr">
        <is>
          <t>Manufactura / Kids / P. Superiores</t>
        </is>
      </c>
      <c r="D2275" t="n">
        <v>4</v>
      </c>
      <c r="E2275" t="n">
        <v>120.24894816</v>
      </c>
      <c r="F2275" t="n">
        <v>0.9299259988249999</v>
      </c>
      <c r="G2275" t="n">
        <v>9</v>
      </c>
      <c r="H2275" t="n">
        <v>2.053774806</v>
      </c>
      <c r="I2275" t="n">
        <v>0.4</v>
      </c>
      <c r="J2275" t="n">
        <v>3</v>
      </c>
      <c r="K2275" t="inlineStr"/>
    </row>
    <row r="2276">
      <c r="A2276" t="inlineStr">
        <is>
          <t>CLAMIDA12TXL</t>
        </is>
      </c>
      <c r="B2276" t="inlineStr">
        <is>
          <t>CLASICA ORIGINAL DAMA</t>
        </is>
      </c>
      <c r="C2276" t="inlineStr">
        <is>
          <t>Manufactura / Dama / P. Superiores</t>
        </is>
      </c>
      <c r="D2276" t="n">
        <v>4</v>
      </c>
      <c r="E2276" t="n">
        <v>120.0498027</v>
      </c>
      <c r="F2276" t="n">
        <v>0.8692799988</v>
      </c>
      <c r="G2276" t="n">
        <v>0</v>
      </c>
      <c r="H2276" t="n">
        <v>3.923227589</v>
      </c>
      <c r="I2276" t="n">
        <v>0.4</v>
      </c>
      <c r="J2276" t="n">
        <v>4</v>
      </c>
      <c r="K2276" t="inlineStr">
        <is>
          <t>Sin stock</t>
        </is>
      </c>
    </row>
    <row r="2277">
      <c r="A2277" t="inlineStr">
        <is>
          <t>SHOUNCA23TM</t>
        </is>
      </c>
      <c r="B2277" t="inlineStr">
        <is>
          <t>SHORT PLAYA CAB</t>
        </is>
      </c>
      <c r="C2277" t="inlineStr">
        <is>
          <t>Manufactura / Caballero / P. Inferiores</t>
        </is>
      </c>
      <c r="D2277" t="n">
        <v>4</v>
      </c>
      <c r="E2277" t="n">
        <v>119.90845134</v>
      </c>
      <c r="F2277" t="n">
        <v>0.7489873651333333</v>
      </c>
      <c r="G2277" t="n">
        <v>0</v>
      </c>
      <c r="H2277" t="n">
        <v>9.99</v>
      </c>
      <c r="I2277" t="n">
        <v>0.4</v>
      </c>
      <c r="J2277" t="n">
        <v>1</v>
      </c>
      <c r="K2277" t="inlineStr">
        <is>
          <t>Sin stock</t>
        </is>
      </c>
    </row>
    <row r="2278">
      <c r="A2278" t="inlineStr">
        <is>
          <t>ADUMMDA30TL</t>
        </is>
      </c>
      <c r="B2278" t="inlineStr">
        <is>
          <t>ACTIVE DUO DAMA</t>
        </is>
      </c>
      <c r="C2278" t="inlineStr">
        <is>
          <t>Manufactura / Caballero / P. Superiores</t>
        </is>
      </c>
      <c r="D2278" t="n">
        <v>3</v>
      </c>
      <c r="E2278" t="n">
        <v>119.73405168</v>
      </c>
      <c r="F2278" t="n">
        <v>0.9170751147333333</v>
      </c>
      <c r="G2278" t="n">
        <v>8</v>
      </c>
      <c r="H2278" t="n">
        <v>3.19128</v>
      </c>
      <c r="I2278" t="n">
        <v>0.3</v>
      </c>
      <c r="J2278" t="n">
        <v>4</v>
      </c>
      <c r="K2278" t="inlineStr"/>
    </row>
    <row r="2279">
      <c r="A2279" t="inlineStr">
        <is>
          <t>SHONTDA30TXS</t>
        </is>
      </c>
      <c r="B2279" t="inlineStr">
        <is>
          <t>EXPLORE SHORT DAMA</t>
        </is>
      </c>
      <c r="C2279" t="inlineStr">
        <is>
          <t>Manufactura / Dama / P. Inferiores</t>
        </is>
      </c>
      <c r="D2279" t="n">
        <v>4</v>
      </c>
      <c r="E2279" t="n">
        <v>119.63223889</v>
      </c>
      <c r="F2279" t="n">
        <v>0.82805759105</v>
      </c>
      <c r="G2279" t="n">
        <v>45</v>
      </c>
      <c r="H2279" t="n">
        <v>10.22113744</v>
      </c>
      <c r="I2279" t="n">
        <v>0.4</v>
      </c>
      <c r="J2279" t="n">
        <v>2</v>
      </c>
      <c r="K2279" t="inlineStr"/>
    </row>
    <row r="2280">
      <c r="A2280" t="inlineStr">
        <is>
          <t>SHONTDA33TM</t>
        </is>
      </c>
      <c r="B2280" t="inlineStr">
        <is>
          <t>EXPLORE SHORT DAMA</t>
        </is>
      </c>
      <c r="C2280" t="inlineStr">
        <is>
          <t>Manufactura / Dama / P. Inferiores</t>
        </is>
      </c>
      <c r="D2280" t="n">
        <v>2</v>
      </c>
      <c r="E2280" t="n">
        <v>119.55455948</v>
      </c>
      <c r="F2280" t="n">
        <v>0.80265247555</v>
      </c>
      <c r="G2280" t="n">
        <v>25</v>
      </c>
      <c r="H2280" t="n">
        <v>10.22113744</v>
      </c>
      <c r="I2280" t="n">
        <v>0.2</v>
      </c>
      <c r="J2280" t="n">
        <v>1</v>
      </c>
      <c r="K2280" t="inlineStr"/>
    </row>
    <row r="2281">
      <c r="A2281" t="inlineStr">
        <is>
          <t>RIOMIKI05T10</t>
        </is>
      </c>
      <c r="B2281" t="inlineStr">
        <is>
          <t>RIO ORIGINAL KIDS</t>
        </is>
      </c>
      <c r="C2281" t="inlineStr">
        <is>
          <t>Manufactura / Kids / P. Superiores</t>
        </is>
      </c>
      <c r="D2281" t="n">
        <v>3</v>
      </c>
      <c r="E2281" t="n">
        <v>119.32437152</v>
      </c>
      <c r="F2281" t="n">
        <v>0.9089408371</v>
      </c>
      <c r="G2281" t="n">
        <v>0</v>
      </c>
      <c r="H2281" t="n">
        <v>3.617969464</v>
      </c>
      <c r="I2281" t="n">
        <v>0.3</v>
      </c>
      <c r="J2281" t="n">
        <v>8</v>
      </c>
      <c r="K2281" t="inlineStr">
        <is>
          <t>Sin stock</t>
        </is>
      </c>
    </row>
    <row r="2282">
      <c r="A2282" t="inlineStr">
        <is>
          <t>TALGOTACA167TS</t>
        </is>
      </c>
      <c r="B2282" t="inlineStr">
        <is>
          <t>URBAN COTTON OVERSIZED VINTAGE GRIS CAB</t>
        </is>
      </c>
      <c r="C2282" t="inlineStr">
        <is>
          <t>Manufactura / Caballero / P. Superiores</t>
        </is>
      </c>
      <c r="D2282" t="n">
        <v>3</v>
      </c>
      <c r="E2282" t="n">
        <v>119.24949007</v>
      </c>
      <c r="F2282" t="n">
        <v>0.7854481356</v>
      </c>
      <c r="G2282" t="n">
        <v>11</v>
      </c>
      <c r="H2282" t="n">
        <v>12.16179793</v>
      </c>
      <c r="I2282" t="n">
        <v>0.3</v>
      </c>
      <c r="J2282" t="n">
        <v>4</v>
      </c>
      <c r="K2282" t="inlineStr"/>
    </row>
    <row r="2283">
      <c r="A2283" t="inlineStr">
        <is>
          <t>PETMIPE43TS</t>
        </is>
      </c>
      <c r="B2283" t="inlineStr">
        <is>
          <t>BANDANA PET</t>
        </is>
      </c>
      <c r="C2283" t="inlineStr">
        <is>
          <t>Manufactura / General</t>
        </is>
      </c>
      <c r="D2283" t="n">
        <v>15</v>
      </c>
      <c r="E2283" t="n">
        <v>119.136147794</v>
      </c>
      <c r="F2283" t="n">
        <v>0.9747499961333332</v>
      </c>
      <c r="G2283" t="n">
        <v>12</v>
      </c>
      <c r="H2283" t="n">
        <v>0.3252662283</v>
      </c>
      <c r="I2283" t="n">
        <v>1.5</v>
      </c>
      <c r="J2283" t="n">
        <v>1</v>
      </c>
      <c r="K2283" t="inlineStr"/>
    </row>
    <row r="2284">
      <c r="A2284" t="inlineStr">
        <is>
          <t>PANNTKI31T12</t>
        </is>
      </c>
      <c r="B2284" t="inlineStr">
        <is>
          <t>EXPLORE PANTS KIDS</t>
        </is>
      </c>
      <c r="C2284" t="inlineStr">
        <is>
          <t>Manufactura / Kids / P. Inferiores</t>
        </is>
      </c>
      <c r="D2284" t="n">
        <v>3</v>
      </c>
      <c r="E2284" t="n">
        <v>119.00086575</v>
      </c>
      <c r="F2284" t="n">
        <v>0.7649901966999999</v>
      </c>
      <c r="G2284" t="n">
        <v>0</v>
      </c>
      <c r="H2284" t="n">
        <v>13.98</v>
      </c>
      <c r="I2284" t="n">
        <v>0.3</v>
      </c>
      <c r="J2284" t="n">
        <v>2</v>
      </c>
      <c r="K2284" t="inlineStr">
        <is>
          <t>Sin stock</t>
        </is>
      </c>
    </row>
    <row r="2285">
      <c r="A2285" t="inlineStr">
        <is>
          <t>ZOEMIKI43T6</t>
        </is>
      </c>
      <c r="B2285" t="inlineStr">
        <is>
          <t>ZOE ORIGINAL KIDS</t>
        </is>
      </c>
      <c r="C2285" t="inlineStr">
        <is>
          <t>Manufactura / Kids / P. Superiores</t>
        </is>
      </c>
      <c r="D2285" t="n">
        <v>3</v>
      </c>
      <c r="E2285" t="n">
        <v>118.9185336</v>
      </c>
      <c r="F2285" t="n">
        <v>0.8957206902666667</v>
      </c>
      <c r="G2285" t="n">
        <v>20</v>
      </c>
      <c r="H2285" t="n">
        <v>4.12</v>
      </c>
      <c r="I2285" t="n">
        <v>0.3</v>
      </c>
      <c r="J2285" t="n">
        <v>0</v>
      </c>
      <c r="K2285" t="inlineStr"/>
    </row>
    <row r="2286">
      <c r="A2286" t="inlineStr">
        <is>
          <t>CRESTKI16T8</t>
        </is>
      </c>
      <c r="B2286" t="inlineStr">
        <is>
          <t>RETRO VZLA KIDS</t>
        </is>
      </c>
      <c r="C2286" t="inlineStr">
        <is>
          <t>Manufactura / Dama / P. Superiores</t>
        </is>
      </c>
      <c r="D2286" t="n">
        <v>3</v>
      </c>
      <c r="E2286" t="n">
        <v>118.43844289</v>
      </c>
      <c r="F2286" t="n">
        <v>0.7414403472000001</v>
      </c>
      <c r="G2286" t="n">
        <v>4</v>
      </c>
      <c r="H2286" t="n">
        <v>10.18</v>
      </c>
      <c r="I2286" t="n">
        <v>0.3</v>
      </c>
      <c r="J2286" t="n">
        <v>6</v>
      </c>
      <c r="K2286" t="inlineStr"/>
    </row>
    <row r="2287">
      <c r="A2287" t="inlineStr">
        <is>
          <t>GEODOCACA03TXL</t>
        </is>
      </c>
      <c r="B2287" t="inlineStr">
        <is>
          <t>ADVANCE GEO DOMINIC CAB</t>
        </is>
      </c>
      <c r="C2287" t="inlineStr">
        <is>
          <t>Manufactura / Caballero / P. Superiores</t>
        </is>
      </c>
      <c r="D2287" t="n">
        <v>2</v>
      </c>
      <c r="E2287" t="n">
        <v>118.09257723</v>
      </c>
      <c r="F2287" t="n">
        <v>0.7685849597000001</v>
      </c>
      <c r="G2287" t="n">
        <v>35</v>
      </c>
      <c r="H2287" t="n">
        <v>13.35</v>
      </c>
      <c r="I2287" t="n">
        <v>0.2</v>
      </c>
      <c r="J2287" t="n">
        <v>1</v>
      </c>
      <c r="K2287" t="inlineStr"/>
    </row>
    <row r="2288">
      <c r="A2288" t="inlineStr">
        <is>
          <t>TMOFIDA10TXS</t>
        </is>
      </c>
      <c r="B2288" t="inlineStr">
        <is>
          <t>TOP MOVA</t>
        </is>
      </c>
      <c r="C2288" t="inlineStr">
        <is>
          <t>Manufactura / Dama / P. Superiores</t>
        </is>
      </c>
      <c r="D2288" t="n">
        <v>4</v>
      </c>
      <c r="E2288" t="n">
        <v>118.05657122</v>
      </c>
      <c r="F2288" t="n">
        <v>0.83076775015</v>
      </c>
      <c r="G2288" t="n">
        <v>26</v>
      </c>
      <c r="H2288" t="n">
        <v>9.942967033</v>
      </c>
      <c r="I2288" t="n">
        <v>0.4</v>
      </c>
      <c r="J2288" t="n">
        <v>0</v>
      </c>
      <c r="K2288" t="inlineStr"/>
    </row>
    <row r="2289">
      <c r="A2289" t="inlineStr">
        <is>
          <t>SHONRKI16T14</t>
        </is>
      </c>
      <c r="B2289" t="inlineStr">
        <is>
          <t>SHORT SPORT KIDS</t>
        </is>
      </c>
      <c r="C2289" t="inlineStr">
        <is>
          <t>Manufactura / Kids / P. Inferiores</t>
        </is>
      </c>
      <c r="D2289" t="n">
        <v>4</v>
      </c>
      <c r="E2289" t="n">
        <v>117.61392782</v>
      </c>
      <c r="F2289" t="n">
        <v>0.829860182175</v>
      </c>
      <c r="G2289" t="n">
        <v>29</v>
      </c>
      <c r="H2289" t="n">
        <v>6.465724382</v>
      </c>
      <c r="I2289" t="n">
        <v>0.4</v>
      </c>
      <c r="J2289" t="n">
        <v>0</v>
      </c>
      <c r="K2289" t="inlineStr"/>
    </row>
    <row r="2290">
      <c r="A2290" t="inlineStr">
        <is>
          <t>SHONRKI30T6</t>
        </is>
      </c>
      <c r="B2290" t="inlineStr">
        <is>
          <t>SHORT SPORT KIDS</t>
        </is>
      </c>
      <c r="C2290" t="inlineStr">
        <is>
          <t>Manufactura / Kids / P. Inferiores</t>
        </is>
      </c>
      <c r="D2290" t="n">
        <v>3</v>
      </c>
      <c r="E2290" t="n">
        <v>117.56740881</v>
      </c>
      <c r="F2290" t="n">
        <v>0.8279140296999999</v>
      </c>
      <c r="G2290" t="n">
        <v>38</v>
      </c>
      <c r="H2290" t="n">
        <v>6.465724382</v>
      </c>
      <c r="I2290" t="n">
        <v>0.3</v>
      </c>
      <c r="J2290" t="n">
        <v>1</v>
      </c>
      <c r="K2290" t="inlineStr"/>
    </row>
    <row r="2291">
      <c r="A2291" t="inlineStr">
        <is>
          <t>PANNTKI33T2</t>
        </is>
      </c>
      <c r="B2291" t="inlineStr">
        <is>
          <t>EXPLORE PANTS KIDS</t>
        </is>
      </c>
      <c r="C2291" t="inlineStr">
        <is>
          <t>Manufactura / Kids / P. Inferiores</t>
        </is>
      </c>
      <c r="D2291" t="n">
        <v>3</v>
      </c>
      <c r="E2291" t="n">
        <v>117.56639959</v>
      </c>
      <c r="F2291" t="n">
        <v>0.75985256355</v>
      </c>
      <c r="G2291" t="n">
        <v>15</v>
      </c>
      <c r="H2291" t="n">
        <v>13.98</v>
      </c>
      <c r="I2291" t="n">
        <v>0.3</v>
      </c>
      <c r="J2291" t="n">
        <v>0</v>
      </c>
      <c r="K2291" t="inlineStr"/>
    </row>
    <row r="2292">
      <c r="A2292" t="inlineStr">
        <is>
          <t>ANMSUDA15TM</t>
        </is>
      </c>
      <c r="B2292" t="inlineStr">
        <is>
          <t>ANDRE MOTION DAMA</t>
        </is>
      </c>
      <c r="C2292" t="inlineStr">
        <is>
          <t>Manufactura / Dama / P. Superiores</t>
        </is>
      </c>
      <c r="D2292" t="n">
        <v>3</v>
      </c>
      <c r="E2292" t="n">
        <v>117.03544559</v>
      </c>
      <c r="F2292" t="n">
        <v>0.7244438512999999</v>
      </c>
      <c r="G2292" t="n">
        <v>2</v>
      </c>
      <c r="H2292" t="n">
        <v>10.6</v>
      </c>
      <c r="I2292" t="n">
        <v>0.3</v>
      </c>
      <c r="J2292" t="n">
        <v>5</v>
      </c>
      <c r="K2292" t="inlineStr"/>
    </row>
    <row r="2293">
      <c r="A2293" t="inlineStr">
        <is>
          <t>SABMEDA12TL</t>
        </is>
      </c>
      <c r="B2293" t="inlineStr">
        <is>
          <t>SABRI SPORT DAMA</t>
        </is>
      </c>
      <c r="C2293" t="inlineStr">
        <is>
          <t>Manufactura / Dama / P. Superiores</t>
        </is>
      </c>
      <c r="D2293" t="n">
        <v>3</v>
      </c>
      <c r="E2293" t="n">
        <v>117.00273527</v>
      </c>
      <c r="F2293" t="n">
        <v>0.8805412426666667</v>
      </c>
      <c r="G2293" t="n">
        <v>18</v>
      </c>
      <c r="H2293" t="n">
        <v>4.51</v>
      </c>
      <c r="I2293" t="n">
        <v>0.3</v>
      </c>
      <c r="J2293" t="n">
        <v>5</v>
      </c>
      <c r="K2293" t="inlineStr"/>
    </row>
    <row r="2294">
      <c r="A2294" t="inlineStr">
        <is>
          <t>BUFMIGE12TUN</t>
        </is>
      </c>
      <c r="B2294" t="inlineStr">
        <is>
          <t>FLEX COVER</t>
        </is>
      </c>
      <c r="C2294" t="inlineStr">
        <is>
          <t>Manufactura / General</t>
        </is>
      </c>
      <c r="D2294" t="n">
        <v>13</v>
      </c>
      <c r="E2294" t="n">
        <v>116.8233401</v>
      </c>
      <c r="F2294" t="n">
        <v>0.7542432828500001</v>
      </c>
      <c r="G2294" t="n">
        <v>0</v>
      </c>
      <c r="H2294" t="n">
        <v>2.21</v>
      </c>
      <c r="I2294" t="n">
        <v>1.3</v>
      </c>
      <c r="J2294" t="n">
        <v>0</v>
      </c>
      <c r="K2294" t="inlineStr">
        <is>
          <t>Sin stock</t>
        </is>
      </c>
    </row>
    <row r="2295">
      <c r="A2295" t="inlineStr">
        <is>
          <t>CAP18MC</t>
        </is>
      </c>
      <c r="B2295" t="inlineStr">
        <is>
          <t>MESH CAP</t>
        </is>
      </c>
      <c r="C2295" t="inlineStr">
        <is>
          <t>Equipamiento / Gorras</t>
        </is>
      </c>
      <c r="D2295" t="n">
        <v>4</v>
      </c>
      <c r="E2295" t="n">
        <v>116.76932233</v>
      </c>
      <c r="F2295" t="n">
        <v>0.8811099465750001</v>
      </c>
      <c r="G2295" t="n">
        <v>1</v>
      </c>
      <c r="H2295" t="n">
        <v>3.36</v>
      </c>
      <c r="I2295" t="n">
        <v>0.4</v>
      </c>
      <c r="J2295" t="n">
        <v>2</v>
      </c>
      <c r="K2295" t="inlineStr"/>
    </row>
    <row r="2296">
      <c r="A2296" t="inlineStr">
        <is>
          <t>VIVMIDA13TS</t>
        </is>
      </c>
      <c r="B2296" t="inlineStr">
        <is>
          <t>VIVI ORIGINAL DAMA</t>
        </is>
      </c>
      <c r="C2296" t="inlineStr">
        <is>
          <t>Manufactura / Dama / P. Superiores</t>
        </is>
      </c>
      <c r="D2296" t="n">
        <v>6</v>
      </c>
      <c r="E2296" t="n">
        <v>116.56286511</v>
      </c>
      <c r="F2296" t="n">
        <v>0.8445758725</v>
      </c>
      <c r="G2296" t="n">
        <v>8</v>
      </c>
      <c r="H2296" t="n">
        <v>4.303181706</v>
      </c>
      <c r="I2296" t="n">
        <v>0.6</v>
      </c>
      <c r="J2296" t="n">
        <v>1</v>
      </c>
      <c r="K2296" t="inlineStr"/>
    </row>
    <row r="2297">
      <c r="A2297" t="inlineStr">
        <is>
          <t>SHOUNKI69T12</t>
        </is>
      </c>
      <c r="B2297" t="inlineStr">
        <is>
          <t>SHORT PLAYA KIDS</t>
        </is>
      </c>
      <c r="C2297" t="inlineStr">
        <is>
          <t>Manufactura / Kids / P. Inferiores</t>
        </is>
      </c>
      <c r="D2297" t="n">
        <v>3</v>
      </c>
      <c r="E2297" t="n">
        <v>116.37</v>
      </c>
      <c r="F2297" t="n">
        <v>0.8430007734</v>
      </c>
      <c r="G2297" t="n">
        <v>38</v>
      </c>
      <c r="H2297" t="n">
        <v>6.09</v>
      </c>
      <c r="I2297" t="n">
        <v>0.3</v>
      </c>
      <c r="J2297" t="n">
        <v>0</v>
      </c>
      <c r="K2297" t="inlineStr"/>
    </row>
    <row r="2298">
      <c r="A2298" t="inlineStr">
        <is>
          <t>SHOUNKI69T2</t>
        </is>
      </c>
      <c r="B2298" t="inlineStr">
        <is>
          <t>SHORT PLAYA KIDS</t>
        </is>
      </c>
      <c r="C2298" t="inlineStr">
        <is>
          <t>Manufactura / Kids / P. Inferiores</t>
        </is>
      </c>
      <c r="D2298" t="n">
        <v>3</v>
      </c>
      <c r="E2298" t="n">
        <v>116.37</v>
      </c>
      <c r="F2298" t="n">
        <v>0.8430007734</v>
      </c>
      <c r="G2298" t="n">
        <v>15</v>
      </c>
      <c r="H2298" t="n">
        <v>6.09</v>
      </c>
      <c r="I2298" t="n">
        <v>0.3</v>
      </c>
      <c r="J2298" t="n">
        <v>1</v>
      </c>
      <c r="K2298" t="inlineStr"/>
    </row>
    <row r="2299">
      <c r="A2299" t="inlineStr">
        <is>
          <t>SMCBNECA16TXL</t>
        </is>
      </c>
      <c r="B2299" t="inlineStr">
        <is>
          <t>SPOTS MANGA CORTA CAB</t>
        </is>
      </c>
      <c r="C2299" t="inlineStr">
        <is>
          <t>Manufactura / Caballero / P. Superiores</t>
        </is>
      </c>
      <c r="D2299" t="n">
        <v>5</v>
      </c>
      <c r="E2299" t="n">
        <v>116.37</v>
      </c>
      <c r="F2299" t="n">
        <v>0.7808713586000001</v>
      </c>
      <c r="G2299" t="n">
        <v>9</v>
      </c>
      <c r="H2299" t="n">
        <v>8.5</v>
      </c>
      <c r="I2299" t="n">
        <v>0.5</v>
      </c>
      <c r="J2299" t="n">
        <v>0</v>
      </c>
      <c r="K2299" t="inlineStr"/>
    </row>
    <row r="2300">
      <c r="A2300" t="inlineStr">
        <is>
          <t>SABMEDA30TXL</t>
        </is>
      </c>
      <c r="B2300" t="inlineStr">
        <is>
          <t>SABRI SPORT DAMA</t>
        </is>
      </c>
      <c r="C2300" t="inlineStr">
        <is>
          <t>Manufactura / Dama / P. Superiores</t>
        </is>
      </c>
      <c r="D2300" t="n">
        <v>3</v>
      </c>
      <c r="E2300" t="n">
        <v>116.33475498</v>
      </c>
      <c r="F2300" t="n">
        <v>0.8768874448</v>
      </c>
      <c r="G2300" t="n">
        <v>12</v>
      </c>
      <c r="H2300" t="n">
        <v>4.51</v>
      </c>
      <c r="I2300" t="n">
        <v>0.3</v>
      </c>
      <c r="J2300" t="n">
        <v>5</v>
      </c>
      <c r="K2300" t="inlineStr"/>
    </row>
    <row r="2301">
      <c r="A2301" t="inlineStr">
        <is>
          <t>ADUMMCA11T2XL</t>
        </is>
      </c>
      <c r="B2301" t="inlineStr">
        <is>
          <t>ACTIVE DUO CAB</t>
        </is>
      </c>
      <c r="C2301" t="inlineStr">
        <is>
          <t>Manufactura / Caballero / P. Superiores</t>
        </is>
      </c>
      <c r="D2301" t="n">
        <v>3</v>
      </c>
      <c r="E2301" t="n">
        <v>116.11939612</v>
      </c>
      <c r="F2301" t="n">
        <v>0.8678117682000001</v>
      </c>
      <c r="G2301" t="n">
        <v>20</v>
      </c>
      <c r="H2301" t="n">
        <v>5.09</v>
      </c>
      <c r="I2301" t="n">
        <v>0.3</v>
      </c>
      <c r="J2301" t="n">
        <v>7</v>
      </c>
      <c r="K2301" t="inlineStr"/>
    </row>
    <row r="2302">
      <c r="A2302" t="inlineStr">
        <is>
          <t>SHR2VICA66TM</t>
        </is>
      </c>
      <c r="B2302" t="inlineStr">
        <is>
          <t>SHORT R2 CAB</t>
        </is>
      </c>
      <c r="C2302" t="inlineStr">
        <is>
          <t>Manufactura / Dama / P. Inferiores</t>
        </is>
      </c>
      <c r="D2302" t="n">
        <v>3</v>
      </c>
      <c r="E2302" t="n">
        <v>115.829074</v>
      </c>
      <c r="F2302" t="n">
        <v>0.84158518515</v>
      </c>
      <c r="G2302" t="n">
        <v>6</v>
      </c>
      <c r="H2302" t="n">
        <v>9.119999999999999</v>
      </c>
      <c r="I2302" t="n">
        <v>0.3</v>
      </c>
      <c r="J2302" t="n">
        <v>1</v>
      </c>
      <c r="K2302" t="inlineStr"/>
    </row>
    <row r="2303">
      <c r="A2303" t="inlineStr">
        <is>
          <t>ZOEMIDA70TXL</t>
        </is>
      </c>
      <c r="B2303" t="inlineStr">
        <is>
          <t>ZOE ORIGINAL DAMA</t>
        </is>
      </c>
      <c r="C2303" t="inlineStr">
        <is>
          <t>Manufactura / Dama / P. Superiores</t>
        </is>
      </c>
      <c r="D2303" t="n">
        <v>4</v>
      </c>
      <c r="E2303" t="n">
        <v>115.79626578</v>
      </c>
      <c r="F2303" t="n">
        <v>0.8915558975333333</v>
      </c>
      <c r="G2303" t="n">
        <v>0</v>
      </c>
      <c r="H2303" t="n">
        <v>4.116585696</v>
      </c>
      <c r="I2303" t="n">
        <v>0.4</v>
      </c>
      <c r="J2303" t="n">
        <v>0</v>
      </c>
      <c r="K2303" t="inlineStr">
        <is>
          <t>Sin stock</t>
        </is>
      </c>
    </row>
    <row r="2304">
      <c r="A2304" t="inlineStr">
        <is>
          <t>VIVMIDA13TXL</t>
        </is>
      </c>
      <c r="B2304" t="inlineStr">
        <is>
          <t>VIVI ORIGINAL DAMA</t>
        </is>
      </c>
      <c r="C2304" t="inlineStr">
        <is>
          <t>Manufactura / Dama / P. Superiores</t>
        </is>
      </c>
      <c r="D2304" t="n">
        <v>3</v>
      </c>
      <c r="E2304" t="n">
        <v>115.47782968</v>
      </c>
      <c r="F2304" t="n">
        <v>0.8764529658666667</v>
      </c>
      <c r="G2304" t="n">
        <v>3</v>
      </c>
      <c r="H2304" t="n">
        <v>4.303181706</v>
      </c>
      <c r="I2304" t="n">
        <v>0.3</v>
      </c>
      <c r="J2304" t="n">
        <v>4</v>
      </c>
      <c r="K2304" t="inlineStr"/>
    </row>
    <row r="2305">
      <c r="A2305" t="inlineStr">
        <is>
          <t>VIVMIDA16TM</t>
        </is>
      </c>
      <c r="B2305" t="inlineStr">
        <is>
          <t>VIVI ORIGINAL DAMA</t>
        </is>
      </c>
      <c r="C2305" t="inlineStr">
        <is>
          <t>Manufactura / Dama / P. Superiores</t>
        </is>
      </c>
      <c r="D2305" t="n">
        <v>5</v>
      </c>
      <c r="E2305" t="n">
        <v>114.97845134</v>
      </c>
      <c r="F2305" t="n">
        <v>0.846425789125</v>
      </c>
      <c r="G2305" t="n">
        <v>41</v>
      </c>
      <c r="H2305" t="n">
        <v>4.303181706</v>
      </c>
      <c r="I2305" t="n">
        <v>0.5</v>
      </c>
      <c r="J2305" t="n">
        <v>2</v>
      </c>
      <c r="K2305" t="inlineStr"/>
    </row>
    <row r="2306">
      <c r="A2306" t="inlineStr">
        <is>
          <t>ZOEMIDA70TL</t>
        </is>
      </c>
      <c r="B2306" t="inlineStr">
        <is>
          <t>ZOE ORIGINAL DAMA</t>
        </is>
      </c>
      <c r="C2306" t="inlineStr">
        <is>
          <t>Manufactura / Dama / P. Superiores</t>
        </is>
      </c>
      <c r="D2306" t="n">
        <v>4</v>
      </c>
      <c r="E2306" t="n">
        <v>114.59764465</v>
      </c>
      <c r="F2306" t="n">
        <v>0.8892397105000001</v>
      </c>
      <c r="G2306" t="n">
        <v>1</v>
      </c>
      <c r="H2306" t="n">
        <v>4.116585696</v>
      </c>
      <c r="I2306" t="n">
        <v>0.4</v>
      </c>
      <c r="J2306" t="n">
        <v>1</v>
      </c>
      <c r="K2306" t="inlineStr"/>
    </row>
    <row r="2307">
      <c r="A2307" t="inlineStr">
        <is>
          <t>TMOFIDA66TXS</t>
        </is>
      </c>
      <c r="B2307" t="inlineStr">
        <is>
          <t>TOP MOVA</t>
        </is>
      </c>
      <c r="C2307" t="inlineStr">
        <is>
          <t>Manufactura / Dama / P. Superiores</t>
        </is>
      </c>
      <c r="D2307" t="n">
        <v>4</v>
      </c>
      <c r="E2307" t="n">
        <v>114.37113007</v>
      </c>
      <c r="F2307" t="n">
        <v>0.82427584455</v>
      </c>
      <c r="G2307" t="n">
        <v>22</v>
      </c>
      <c r="H2307" t="n">
        <v>9.942967033</v>
      </c>
      <c r="I2307" t="n">
        <v>0.4</v>
      </c>
      <c r="J2307" t="n">
        <v>4</v>
      </c>
      <c r="K2307" t="inlineStr"/>
    </row>
    <row r="2308">
      <c r="A2308" t="inlineStr">
        <is>
          <t>PETMIPE39TXS</t>
        </is>
      </c>
      <c r="B2308" t="inlineStr">
        <is>
          <t>BANDANA PET</t>
        </is>
      </c>
      <c r="C2308" t="inlineStr">
        <is>
          <t>Manufactura / General</t>
        </is>
      </c>
      <c r="D2308" t="n">
        <v>12</v>
      </c>
      <c r="E2308" t="n">
        <v>114.132669487</v>
      </c>
      <c r="F2308" t="n">
        <v>0.972689908475</v>
      </c>
      <c r="G2308" t="n">
        <v>4</v>
      </c>
      <c r="H2308" t="n">
        <v>0.3252662283</v>
      </c>
      <c r="I2308" t="n">
        <v>1.2</v>
      </c>
      <c r="J2308" t="n">
        <v>0</v>
      </c>
      <c r="K2308" t="inlineStr"/>
    </row>
    <row r="2309">
      <c r="A2309" t="inlineStr">
        <is>
          <t>RIOMIKI53T1</t>
        </is>
      </c>
      <c r="B2309" t="inlineStr">
        <is>
          <t>RIO ORIGINAL KIDS</t>
        </is>
      </c>
      <c r="C2309" t="inlineStr">
        <is>
          <t>Manufactura / Kids / P. Superiores</t>
        </is>
      </c>
      <c r="D2309" t="n">
        <v>3</v>
      </c>
      <c r="E2309" t="n">
        <v>114.11311092</v>
      </c>
      <c r="F2309" t="n">
        <v>0.9033882682</v>
      </c>
      <c r="G2309" t="n">
        <v>0</v>
      </c>
      <c r="H2309" t="n">
        <v>3.617969464</v>
      </c>
      <c r="I2309" t="n">
        <v>0.3</v>
      </c>
      <c r="J2309" t="n">
        <v>5</v>
      </c>
      <c r="K2309" t="inlineStr">
        <is>
          <t>Sin stock</t>
        </is>
      </c>
    </row>
    <row r="2310">
      <c r="A2310" t="inlineStr">
        <is>
          <t>GOOSTKI16T6</t>
        </is>
      </c>
      <c r="B2310" t="inlineStr">
        <is>
          <t>RETRO VZLA KIDS</t>
        </is>
      </c>
      <c r="C2310" t="inlineStr">
        <is>
          <t>Manufactura / Dama / P. Superiores</t>
        </is>
      </c>
      <c r="D2310" t="n">
        <v>3</v>
      </c>
      <c r="E2310" t="n">
        <v>114.03237109</v>
      </c>
      <c r="F2310" t="n">
        <v>0.7247746136999998</v>
      </c>
      <c r="G2310" t="n">
        <v>2</v>
      </c>
      <c r="H2310" t="n">
        <v>10.18</v>
      </c>
      <c r="I2310" t="n">
        <v>0.3</v>
      </c>
      <c r="J2310" t="n">
        <v>4</v>
      </c>
      <c r="K2310" t="inlineStr"/>
    </row>
    <row r="2311">
      <c r="A2311" t="inlineStr">
        <is>
          <t>MANMIGE16TP</t>
        </is>
      </c>
      <c r="B2311" t="inlineStr">
        <is>
          <t>MANGAS GENERAL</t>
        </is>
      </c>
      <c r="C2311" t="inlineStr">
        <is>
          <t>Manufactura / General</t>
        </is>
      </c>
      <c r="D2311" t="n">
        <v>10</v>
      </c>
      <c r="E2311" t="n">
        <v>113.76704519</v>
      </c>
      <c r="F2311" t="n">
        <v>0.9323354031375</v>
      </c>
      <c r="G2311" t="n">
        <v>51</v>
      </c>
      <c r="H2311" t="n">
        <v>0.9200000000000002</v>
      </c>
      <c r="I2311" t="n">
        <v>1</v>
      </c>
      <c r="J2311" t="n">
        <v>0</v>
      </c>
      <c r="K2311" t="inlineStr"/>
    </row>
    <row r="2312">
      <c r="A2312" t="inlineStr">
        <is>
          <t>VIVMIDA53TXL</t>
        </is>
      </c>
      <c r="B2312" t="inlineStr">
        <is>
          <t>VIVI ORIGINAL DAMA</t>
        </is>
      </c>
      <c r="C2312" t="inlineStr">
        <is>
          <t>Manufactura / Dama / P. Superiores</t>
        </is>
      </c>
      <c r="D2312" t="n">
        <v>3</v>
      </c>
      <c r="E2312" t="n">
        <v>113.1648131</v>
      </c>
      <c r="F2312" t="n">
        <v>0.8817556132333334</v>
      </c>
      <c r="G2312" t="n">
        <v>13</v>
      </c>
      <c r="H2312" t="n">
        <v>4.303181706</v>
      </c>
      <c r="I2312" t="n">
        <v>0.3</v>
      </c>
      <c r="J2312" t="n">
        <v>5</v>
      </c>
      <c r="K2312" t="inlineStr"/>
    </row>
    <row r="2313">
      <c r="A2313" t="inlineStr">
        <is>
          <t>CLAMIKI70T2</t>
        </is>
      </c>
      <c r="B2313" t="inlineStr">
        <is>
          <t>CLASICA ORIGINAL KIDS</t>
        </is>
      </c>
      <c r="C2313" t="inlineStr">
        <is>
          <t>Manufactura / Kids / P. Superiores</t>
        </is>
      </c>
      <c r="D2313" t="n">
        <v>3</v>
      </c>
      <c r="E2313" t="n">
        <v>112.83155865</v>
      </c>
      <c r="F2313" t="n">
        <v>0.9448337316000001</v>
      </c>
      <c r="G2313" t="n">
        <v>13</v>
      </c>
      <c r="H2313" t="n">
        <v>2.053774806</v>
      </c>
      <c r="I2313" t="n">
        <v>0.3</v>
      </c>
      <c r="J2313" t="n">
        <v>0</v>
      </c>
      <c r="K2313" t="inlineStr"/>
    </row>
    <row r="2314">
      <c r="A2314" t="inlineStr">
        <is>
          <t>MARMIKI48T1</t>
        </is>
      </c>
      <c r="B2314" t="inlineStr">
        <is>
          <t>MAR ORIGINAL KIDS</t>
        </is>
      </c>
      <c r="C2314" t="inlineStr">
        <is>
          <t>Manufactura / Kids / P. Superiores</t>
        </is>
      </c>
      <c r="D2314" t="n">
        <v>3</v>
      </c>
      <c r="E2314" t="n">
        <v>112.27080637</v>
      </c>
      <c r="F2314" t="n">
        <v>0.9140489946333333</v>
      </c>
      <c r="G2314" t="n">
        <v>0</v>
      </c>
      <c r="H2314" t="n">
        <v>3.168013332</v>
      </c>
      <c r="I2314" t="n">
        <v>0.3</v>
      </c>
      <c r="J2314" t="n">
        <v>5</v>
      </c>
      <c r="K2314" t="inlineStr">
        <is>
          <t>Sin stock</t>
        </is>
      </c>
    </row>
    <row r="2315">
      <c r="A2315" t="inlineStr">
        <is>
          <t>ZOEMIKI12T10</t>
        </is>
      </c>
      <c r="B2315" t="inlineStr">
        <is>
          <t>ZOE ORIGINAL KIDS</t>
        </is>
      </c>
      <c r="C2315" t="inlineStr">
        <is>
          <t>Manufactura / Kids / P. Superiores</t>
        </is>
      </c>
      <c r="D2315" t="n">
        <v>3</v>
      </c>
      <c r="E2315" t="n">
        <v>112.14356731</v>
      </c>
      <c r="F2315" t="n">
        <v>0.8887508485</v>
      </c>
      <c r="G2315" t="n">
        <v>1</v>
      </c>
      <c r="H2315" t="n">
        <v>4.12</v>
      </c>
      <c r="I2315" t="n">
        <v>0.3</v>
      </c>
      <c r="J2315" t="n">
        <v>2</v>
      </c>
      <c r="K2315" t="inlineStr"/>
    </row>
    <row r="2316">
      <c r="A2316" t="inlineStr">
        <is>
          <t>CLAMIDA11TL</t>
        </is>
      </c>
      <c r="B2316" t="inlineStr">
        <is>
          <t>CLASICA ORIGINAL DAMA</t>
        </is>
      </c>
      <c r="C2316" t="inlineStr">
        <is>
          <t>Manufactura / Dama / P. Superiores</t>
        </is>
      </c>
      <c r="D2316" t="n">
        <v>3</v>
      </c>
      <c r="E2316" t="n">
        <v>112.1</v>
      </c>
      <c r="F2316" t="n">
        <v>0.8926817938</v>
      </c>
      <c r="G2316" t="n">
        <v>0</v>
      </c>
      <c r="H2316" t="n">
        <v>3.923227589</v>
      </c>
      <c r="I2316" t="n">
        <v>0.3</v>
      </c>
      <c r="J2316" t="n">
        <v>0</v>
      </c>
      <c r="K2316" t="inlineStr">
        <is>
          <t>Sin stock</t>
        </is>
      </c>
    </row>
    <row r="2317">
      <c r="A2317" t="inlineStr">
        <is>
          <t>CLMSUCA151TL</t>
        </is>
      </c>
      <c r="B2317" t="inlineStr">
        <is>
          <t>CLASICA MOTION CAB</t>
        </is>
      </c>
      <c r="C2317" t="inlineStr">
        <is>
          <t>Manufactura / Caballero / P. Superiores</t>
        </is>
      </c>
      <c r="D2317" t="n">
        <v>3</v>
      </c>
      <c r="E2317" t="n">
        <v>112.02873611</v>
      </c>
      <c r="F2317" t="n">
        <v>0.6714194413</v>
      </c>
      <c r="G2317" t="n">
        <v>0</v>
      </c>
      <c r="H2317" t="n">
        <v>12.26</v>
      </c>
      <c r="I2317" t="n">
        <v>0.3</v>
      </c>
      <c r="J2317" t="n">
        <v>7</v>
      </c>
      <c r="K2317" t="inlineStr">
        <is>
          <t>Sin stock</t>
        </is>
      </c>
    </row>
    <row r="2318">
      <c r="A2318" t="inlineStr">
        <is>
          <t>NAHFNCA24TXL</t>
        </is>
      </c>
      <c r="B2318" t="inlineStr">
        <is>
          <t>NOAH SPORT LITE CAB</t>
        </is>
      </c>
      <c r="C2318" t="inlineStr">
        <is>
          <t>Manufactura / Caballero / P. Superiores</t>
        </is>
      </c>
      <c r="D2318" t="n">
        <v>3</v>
      </c>
      <c r="E2318" t="n">
        <v>112.02239322</v>
      </c>
      <c r="F2318" t="n">
        <v>0.4409872752</v>
      </c>
      <c r="G2318" t="n">
        <v>12</v>
      </c>
      <c r="H2318" t="n">
        <v>17.61141534</v>
      </c>
      <c r="I2318" t="n">
        <v>0.3</v>
      </c>
      <c r="J2318" t="n">
        <v>5</v>
      </c>
      <c r="K2318" t="inlineStr"/>
    </row>
    <row r="2319">
      <c r="A2319" t="inlineStr">
        <is>
          <t>SHOSUKI156T1</t>
        </is>
      </c>
      <c r="B2319" t="inlineStr">
        <is>
          <t>SHORT PLAYA ESTAMPADO KIDS</t>
        </is>
      </c>
      <c r="C2319" t="inlineStr">
        <is>
          <t>Manufactura / Kids / P. Superiores</t>
        </is>
      </c>
      <c r="D2319" t="n">
        <v>3</v>
      </c>
      <c r="E2319" t="n">
        <v>111.62356913</v>
      </c>
      <c r="F2319" t="n">
        <v>0.80301390218</v>
      </c>
      <c r="G2319" t="n">
        <v>34</v>
      </c>
      <c r="H2319" t="n">
        <v>7.209999999999999</v>
      </c>
      <c r="I2319" t="n">
        <v>0.3</v>
      </c>
      <c r="J2319" t="n">
        <v>6</v>
      </c>
      <c r="K2319" t="inlineStr"/>
    </row>
    <row r="2320">
      <c r="A2320" t="inlineStr">
        <is>
          <t>MAFMIDA12TXL</t>
        </is>
      </c>
      <c r="B2320" t="inlineStr">
        <is>
          <t>MAFE ORIGINAL DAMA</t>
        </is>
      </c>
      <c r="C2320" t="inlineStr">
        <is>
          <t>Manufactura / Dama / P. Superiores</t>
        </is>
      </c>
      <c r="D2320" t="n">
        <v>4</v>
      </c>
      <c r="E2320" t="n">
        <v>111.18503792</v>
      </c>
      <c r="F2320" t="n">
        <v>0.832809130825</v>
      </c>
      <c r="G2320" t="n">
        <v>2</v>
      </c>
      <c r="H2320" t="n">
        <v>4.54817671</v>
      </c>
      <c r="I2320" t="n">
        <v>0.4</v>
      </c>
      <c r="J2320" t="n">
        <v>2</v>
      </c>
      <c r="K2320" t="inlineStr"/>
    </row>
    <row r="2321">
      <c r="A2321" t="inlineStr">
        <is>
          <t>CRESTKI16T10</t>
        </is>
      </c>
      <c r="B2321" t="inlineStr">
        <is>
          <t>RETRO VZLA KIDS</t>
        </is>
      </c>
      <c r="C2321" t="inlineStr">
        <is>
          <t>Manufactura / Dama / P. Superiores</t>
        </is>
      </c>
      <c r="D2321" t="n">
        <v>3</v>
      </c>
      <c r="E2321" t="n">
        <v>110.86664385</v>
      </c>
      <c r="F2321" t="n">
        <v>0.7204957755666667</v>
      </c>
      <c r="G2321" t="n">
        <v>2</v>
      </c>
      <c r="H2321" t="n">
        <v>10.18</v>
      </c>
      <c r="I2321" t="n">
        <v>0.3</v>
      </c>
      <c r="J2321" t="n">
        <v>7</v>
      </c>
      <c r="K2321" t="inlineStr"/>
    </row>
    <row r="2322">
      <c r="A2322" t="inlineStr">
        <is>
          <t>MARMIKI52T14</t>
        </is>
      </c>
      <c r="B2322" t="inlineStr">
        <is>
          <t>MAR ORIGINAL KIDS</t>
        </is>
      </c>
      <c r="C2322" t="inlineStr">
        <is>
          <t>Manufactura / Kids / P. Superiores</t>
        </is>
      </c>
      <c r="D2322" t="n">
        <v>3</v>
      </c>
      <c r="E2322" t="n">
        <v>110.4045927</v>
      </c>
      <c r="F2322" t="n">
        <v>0.9138399334333333</v>
      </c>
      <c r="G2322" t="n">
        <v>0</v>
      </c>
      <c r="H2322" t="n">
        <v>3.168013332</v>
      </c>
      <c r="I2322" t="n">
        <v>0.3</v>
      </c>
      <c r="J2322" t="n">
        <v>8</v>
      </c>
      <c r="K2322" t="inlineStr">
        <is>
          <t>Sin stock</t>
        </is>
      </c>
    </row>
    <row r="2323">
      <c r="A2323" t="inlineStr">
        <is>
          <t>RIOMIKI66T6</t>
        </is>
      </c>
      <c r="B2323" t="inlineStr">
        <is>
          <t>RIO ORIGINAL KIDS</t>
        </is>
      </c>
      <c r="C2323" t="inlineStr">
        <is>
          <t>Manufactura / Kids / P. Superiores</t>
        </is>
      </c>
      <c r="D2323" t="n">
        <v>4</v>
      </c>
      <c r="E2323" t="n">
        <v>110.29987471</v>
      </c>
      <c r="F2323" t="n">
        <v>0.9002108327666667</v>
      </c>
      <c r="G2323" t="n">
        <v>15</v>
      </c>
      <c r="H2323" t="n">
        <v>3.617969464</v>
      </c>
      <c r="I2323" t="n">
        <v>0.4</v>
      </c>
      <c r="J2323" t="n">
        <v>0</v>
      </c>
      <c r="K2323" t="inlineStr"/>
    </row>
    <row r="2324">
      <c r="A2324" t="inlineStr">
        <is>
          <t>MARMIKI66T1</t>
        </is>
      </c>
      <c r="B2324" t="inlineStr">
        <is>
          <t>MAR ORIGINAL KIDS</t>
        </is>
      </c>
      <c r="C2324" t="inlineStr">
        <is>
          <t>Manufactura / Kids / P. Superiores</t>
        </is>
      </c>
      <c r="D2324" t="n">
        <v>3</v>
      </c>
      <c r="E2324" t="n">
        <v>110.26388851</v>
      </c>
      <c r="F2324" t="n">
        <v>0.9128009989666667</v>
      </c>
      <c r="G2324" t="n">
        <v>0</v>
      </c>
      <c r="H2324" t="n">
        <v>3.168013332</v>
      </c>
      <c r="I2324" t="n">
        <v>0.3</v>
      </c>
      <c r="J2324" t="n">
        <v>7</v>
      </c>
      <c r="K2324" t="inlineStr">
        <is>
          <t>Sin stock</t>
        </is>
      </c>
    </row>
    <row r="2325">
      <c r="A2325" t="inlineStr">
        <is>
          <t>CLAMEKI12T14</t>
        </is>
      </c>
      <c r="B2325" t="inlineStr">
        <is>
          <t>CLASICA SPORT KIDS</t>
        </is>
      </c>
      <c r="C2325" t="inlineStr">
        <is>
          <t>Manufactura / Kids / P. Superiores</t>
        </is>
      </c>
      <c r="D2325" t="n">
        <v>3</v>
      </c>
      <c r="E2325" t="n">
        <v>110.0091891</v>
      </c>
      <c r="F2325" t="n">
        <v>0.8908257699666667</v>
      </c>
      <c r="G2325" t="n">
        <v>4</v>
      </c>
      <c r="H2325" t="n">
        <v>3.97</v>
      </c>
      <c r="I2325" t="n">
        <v>0.3</v>
      </c>
      <c r="J2325" t="n">
        <v>2</v>
      </c>
      <c r="K2325" t="inlineStr"/>
    </row>
    <row r="2326">
      <c r="A2326" t="inlineStr">
        <is>
          <t>MARMICA66T4XL</t>
        </is>
      </c>
      <c r="B2326" t="inlineStr">
        <is>
          <t>MAR ORIGINAL CAB</t>
        </is>
      </c>
      <c r="C2326" t="inlineStr">
        <is>
          <t>Manufactura / Caballero / P. Superiores</t>
        </is>
      </c>
      <c r="D2326" t="n">
        <v>2</v>
      </c>
      <c r="E2326" t="n">
        <v>109.36341259</v>
      </c>
      <c r="F2326" t="n">
        <v>0.91546398345</v>
      </c>
      <c r="G2326" t="n">
        <v>0</v>
      </c>
      <c r="H2326" t="n">
        <v>4.946357428</v>
      </c>
      <c r="I2326" t="n">
        <v>0.2</v>
      </c>
      <c r="J2326" t="n">
        <v>4</v>
      </c>
      <c r="K2326" t="inlineStr">
        <is>
          <t>Sin stock</t>
        </is>
      </c>
    </row>
    <row r="2327">
      <c r="A2327" t="inlineStr">
        <is>
          <t>MAADFDA70TXL</t>
        </is>
      </c>
      <c r="B2327" t="inlineStr">
        <is>
          <t>MAFE ADVANCE DAMA</t>
        </is>
      </c>
      <c r="C2327" t="inlineStr">
        <is>
          <t>Manufactura / Dama / P. Superiores</t>
        </is>
      </c>
      <c r="D2327" t="n">
        <v>2</v>
      </c>
      <c r="E2327" t="n">
        <v>109.30676668</v>
      </c>
      <c r="F2327" t="n">
        <v>0.90886667595</v>
      </c>
      <c r="G2327" t="n">
        <v>10</v>
      </c>
      <c r="H2327" t="n">
        <v>4.98</v>
      </c>
      <c r="I2327" t="n">
        <v>0.2</v>
      </c>
      <c r="J2327" t="n">
        <v>3</v>
      </c>
      <c r="K2327" t="inlineStr"/>
    </row>
    <row r="2328">
      <c r="A2328" t="inlineStr">
        <is>
          <t>SHOUNKI12T1</t>
        </is>
      </c>
      <c r="B2328" t="inlineStr">
        <is>
          <t>SHORT PLAYA KIDS</t>
        </is>
      </c>
      <c r="C2328" t="inlineStr">
        <is>
          <t>Manufactura / Kids / P. Inferiores</t>
        </is>
      </c>
      <c r="D2328" t="n">
        <v>3</v>
      </c>
      <c r="E2328" t="n">
        <v>109.23655884</v>
      </c>
      <c r="F2328" t="n">
        <v>0.8228714646800001</v>
      </c>
      <c r="G2328" t="n">
        <v>13</v>
      </c>
      <c r="H2328" t="n">
        <v>6.09</v>
      </c>
      <c r="I2328" t="n">
        <v>0.3</v>
      </c>
      <c r="J2328" t="n">
        <v>5</v>
      </c>
      <c r="K2328" t="inlineStr"/>
    </row>
    <row r="2329">
      <c r="A2329" t="inlineStr">
        <is>
          <t>ADUMMDA30TS</t>
        </is>
      </c>
      <c r="B2329" t="inlineStr">
        <is>
          <t>ACTIVE DUO DAMA</t>
        </is>
      </c>
      <c r="C2329" t="inlineStr">
        <is>
          <t>Manufactura / Caballero / P. Superiores</t>
        </is>
      </c>
      <c r="D2329" t="n">
        <v>7</v>
      </c>
      <c r="E2329" t="n">
        <v>109.16998603</v>
      </c>
      <c r="F2329" t="n">
        <v>0.9412421693499999</v>
      </c>
      <c r="G2329" t="n">
        <v>38</v>
      </c>
      <c r="H2329" t="n">
        <v>3.19128</v>
      </c>
      <c r="I2329" t="n">
        <v>0.7</v>
      </c>
      <c r="J2329" t="n">
        <v>3</v>
      </c>
      <c r="K2329" t="inlineStr"/>
    </row>
    <row r="2330">
      <c r="A2330" t="inlineStr">
        <is>
          <t>MARMIKI14T4</t>
        </is>
      </c>
      <c r="B2330" t="inlineStr">
        <is>
          <t>MAR ORIGINAL KIDS</t>
        </is>
      </c>
      <c r="C2330" t="inlineStr">
        <is>
          <t>Manufactura / Kids / P. Superiores</t>
        </is>
      </c>
      <c r="D2330" t="n">
        <v>3</v>
      </c>
      <c r="E2330" t="n">
        <v>109.16776047</v>
      </c>
      <c r="F2330" t="n">
        <v>0.9129032239</v>
      </c>
      <c r="G2330" t="n">
        <v>0</v>
      </c>
      <c r="H2330" t="n">
        <v>3.168013332</v>
      </c>
      <c r="I2330" t="n">
        <v>0.3</v>
      </c>
      <c r="J2330" t="n">
        <v>8</v>
      </c>
      <c r="K2330" t="inlineStr">
        <is>
          <t>Sin stock</t>
        </is>
      </c>
    </row>
    <row r="2331">
      <c r="A2331" t="inlineStr">
        <is>
          <t>TALGOTACA167TM</t>
        </is>
      </c>
      <c r="B2331" t="inlineStr">
        <is>
          <t>URBAN COTTON OVERSIZED VINTAGE GRIS CAB</t>
        </is>
      </c>
      <c r="C2331" t="inlineStr">
        <is>
          <t>Manufactura / Caballero / P. Superiores</t>
        </is>
      </c>
      <c r="D2331" t="n">
        <v>3</v>
      </c>
      <c r="E2331" t="n">
        <v>108.81174049</v>
      </c>
      <c r="F2331" t="n">
        <v>0.7752408428999999</v>
      </c>
      <c r="G2331" t="n">
        <v>9</v>
      </c>
      <c r="H2331" t="n">
        <v>12.16179793</v>
      </c>
      <c r="I2331" t="n">
        <v>0.3</v>
      </c>
      <c r="J2331" t="n">
        <v>3</v>
      </c>
      <c r="K2331" t="inlineStr"/>
    </row>
    <row r="2332">
      <c r="A2332" t="inlineStr">
        <is>
          <t>DALSSTCA30TL</t>
        </is>
      </c>
      <c r="B2332" t="inlineStr">
        <is>
          <t>MANGA LARGA DAILY 2.0 CAB</t>
        </is>
      </c>
      <c r="C2332" t="inlineStr">
        <is>
          <t>Manufactura / Caballero / P. Superiores</t>
        </is>
      </c>
      <c r="D2332" t="n">
        <v>2</v>
      </c>
      <c r="E2332" t="n">
        <v>108.75380376</v>
      </c>
      <c r="F2332" t="n">
        <v>0.7334369807500001</v>
      </c>
      <c r="G2332" t="n">
        <v>0</v>
      </c>
      <c r="H2332" t="n">
        <v>14.21</v>
      </c>
      <c r="I2332" t="n">
        <v>0.2</v>
      </c>
      <c r="J2332" t="n">
        <v>1</v>
      </c>
      <c r="K2332" t="inlineStr">
        <is>
          <t>Sin stock</t>
        </is>
      </c>
    </row>
    <row r="2333">
      <c r="A2333" t="inlineStr">
        <is>
          <t>SHOUNKI68T1</t>
        </is>
      </c>
      <c r="B2333" t="inlineStr">
        <is>
          <t>SHORT PLAYA KIDS</t>
        </is>
      </c>
      <c r="C2333" t="inlineStr">
        <is>
          <t>Manufactura / Kids / P. Inferiores</t>
        </is>
      </c>
      <c r="D2333" t="n">
        <v>3</v>
      </c>
      <c r="E2333" t="n">
        <v>108.31307437</v>
      </c>
      <c r="F2333" t="n">
        <v>0.8265970419000001</v>
      </c>
      <c r="G2333" t="n">
        <v>13</v>
      </c>
      <c r="H2333" t="n">
        <v>6.09</v>
      </c>
      <c r="I2333" t="n">
        <v>0.3</v>
      </c>
      <c r="J2333" t="n">
        <v>1</v>
      </c>
      <c r="K2333" t="inlineStr"/>
    </row>
    <row r="2334">
      <c r="A2334" t="inlineStr">
        <is>
          <t>RIOMICA66T3XL</t>
        </is>
      </c>
      <c r="B2334" t="inlineStr">
        <is>
          <t>RIO ORIGINAL CAB</t>
        </is>
      </c>
      <c r="C2334" t="inlineStr">
        <is>
          <t>Manufactura / Caballero / P. Superiores</t>
        </is>
      </c>
      <c r="D2334" t="n">
        <v>2</v>
      </c>
      <c r="E2334" t="n">
        <v>107.94712011</v>
      </c>
      <c r="F2334" t="n">
        <v>0.8864469374999999</v>
      </c>
      <c r="G2334" t="n">
        <v>0</v>
      </c>
      <c r="H2334" t="n">
        <v>5.939350288</v>
      </c>
      <c r="I2334" t="n">
        <v>0.2</v>
      </c>
      <c r="J2334" t="n">
        <v>6</v>
      </c>
      <c r="K2334" t="inlineStr">
        <is>
          <t>Sin stock</t>
        </is>
      </c>
    </row>
    <row r="2335">
      <c r="A2335" t="inlineStr">
        <is>
          <t>MIKFNDA13T2XL</t>
        </is>
      </c>
      <c r="B2335" t="inlineStr">
        <is>
          <t>MIKA SPORT LITE DAMA</t>
        </is>
      </c>
      <c r="C2335" t="inlineStr">
        <is>
          <t>Manufactura / Dama / P. Superiores</t>
        </is>
      </c>
      <c r="D2335" t="n">
        <v>3</v>
      </c>
      <c r="E2335" t="n">
        <v>107.92118114</v>
      </c>
      <c r="F2335" t="n">
        <v>0.8432056434</v>
      </c>
      <c r="G2335" t="n">
        <v>22</v>
      </c>
      <c r="H2335" t="n">
        <v>5.484675344</v>
      </c>
      <c r="I2335" t="n">
        <v>0.3</v>
      </c>
      <c r="J2335" t="n">
        <v>5</v>
      </c>
      <c r="K2335" t="inlineStr"/>
    </row>
    <row r="2336">
      <c r="A2336" t="inlineStr">
        <is>
          <t>ACCMICA121TL</t>
        </is>
      </c>
      <c r="B2336" t="inlineStr">
        <is>
          <t>CLASICA ACTIVE CAB</t>
        </is>
      </c>
      <c r="C2336" t="inlineStr">
        <is>
          <t>Manufactura / Caballero / P. Superiores</t>
        </is>
      </c>
      <c r="D2336" t="n">
        <v>2</v>
      </c>
      <c r="E2336" t="n">
        <v>106.90932439</v>
      </c>
      <c r="F2336" t="n">
        <v>0.7454017421500001</v>
      </c>
      <c r="G2336" t="n">
        <v>1</v>
      </c>
      <c r="H2336" t="n">
        <v>12.74</v>
      </c>
      <c r="I2336" t="n">
        <v>0.2</v>
      </c>
      <c r="J2336" t="n">
        <v>2</v>
      </c>
      <c r="K2336" t="inlineStr"/>
    </row>
    <row r="2337">
      <c r="A2337" t="inlineStr">
        <is>
          <t>SSR2VIU43TXL</t>
        </is>
      </c>
      <c r="B2337" t="inlineStr">
        <is>
          <t>R2 SPORT  5"</t>
        </is>
      </c>
      <c r="C2337" t="inlineStr">
        <is>
          <t>Manufactura / General</t>
        </is>
      </c>
      <c r="D2337" t="n">
        <v>2</v>
      </c>
      <c r="E2337" t="n">
        <v>106.9</v>
      </c>
      <c r="F2337" t="n">
        <v>0.9047708138</v>
      </c>
      <c r="G2337" t="n">
        <v>12</v>
      </c>
      <c r="H2337" t="n">
        <v>5.09</v>
      </c>
      <c r="I2337" t="n">
        <v>0.2</v>
      </c>
      <c r="J2337" t="n">
        <v>1</v>
      </c>
      <c r="K2337" t="inlineStr"/>
    </row>
    <row r="2338">
      <c r="A2338" t="inlineStr">
        <is>
          <t>SSR2VIU66TL</t>
        </is>
      </c>
      <c r="B2338" t="inlineStr">
        <is>
          <t>R2 SPORT  5"</t>
        </is>
      </c>
      <c r="C2338" t="inlineStr">
        <is>
          <t>Manufactura / General</t>
        </is>
      </c>
      <c r="D2338" t="n">
        <v>2</v>
      </c>
      <c r="E2338" t="n">
        <v>106.9</v>
      </c>
      <c r="F2338" t="n">
        <v>0.9047708138</v>
      </c>
      <c r="G2338" t="n">
        <v>15</v>
      </c>
      <c r="H2338" t="n">
        <v>5.09</v>
      </c>
      <c r="I2338" t="n">
        <v>0.2</v>
      </c>
      <c r="J2338" t="n">
        <v>1</v>
      </c>
      <c r="K2338" t="inlineStr"/>
    </row>
    <row r="2339">
      <c r="A2339" t="inlineStr">
        <is>
          <t>SSR2VIU66TM</t>
        </is>
      </c>
      <c r="B2339" t="inlineStr">
        <is>
          <t>R2 SPORT  5"</t>
        </is>
      </c>
      <c r="C2339" t="inlineStr">
        <is>
          <t>Manufactura / General</t>
        </is>
      </c>
      <c r="D2339" t="n">
        <v>2</v>
      </c>
      <c r="E2339" t="n">
        <v>106.9</v>
      </c>
      <c r="F2339" t="n">
        <v>0.9047708138</v>
      </c>
      <c r="G2339" t="n">
        <v>16</v>
      </c>
      <c r="H2339" t="n">
        <v>5.09</v>
      </c>
      <c r="I2339" t="n">
        <v>0.2</v>
      </c>
      <c r="J2339" t="n">
        <v>0</v>
      </c>
      <c r="K2339" t="inlineStr"/>
    </row>
    <row r="2340">
      <c r="A2340" t="inlineStr">
        <is>
          <t>ADUMMDA11TXL</t>
        </is>
      </c>
      <c r="B2340" t="inlineStr">
        <is>
          <t>ACTIVE DUO DAMA</t>
        </is>
      </c>
      <c r="C2340" t="inlineStr">
        <is>
          <t>Manufactura / Caballero / P. Superiores</t>
        </is>
      </c>
      <c r="D2340" t="n">
        <v>2</v>
      </c>
      <c r="E2340" t="n">
        <v>106.34856003</v>
      </c>
      <c r="F2340" t="n">
        <v>0.939333710725</v>
      </c>
      <c r="G2340" t="n">
        <v>11</v>
      </c>
      <c r="H2340" t="n">
        <v>3.19128</v>
      </c>
      <c r="I2340" t="n">
        <v>0.2</v>
      </c>
      <c r="J2340" t="n">
        <v>2</v>
      </c>
      <c r="K2340" t="inlineStr"/>
    </row>
    <row r="2341">
      <c r="A2341" t="inlineStr">
        <is>
          <t>RIOMICA43T4XL</t>
        </is>
      </c>
      <c r="B2341" t="inlineStr">
        <is>
          <t>RIO ORIGINAL CAB</t>
        </is>
      </c>
      <c r="C2341" t="inlineStr">
        <is>
          <t>Manufactura / Caballero / P. Superiores</t>
        </is>
      </c>
      <c r="D2341" t="n">
        <v>2</v>
      </c>
      <c r="E2341" t="n">
        <v>106.23048115</v>
      </c>
      <c r="F2341" t="n">
        <v>0.8916897144</v>
      </c>
      <c r="G2341" t="n">
        <v>1</v>
      </c>
      <c r="H2341" t="n">
        <v>5.939350288</v>
      </c>
      <c r="I2341" t="n">
        <v>0.2</v>
      </c>
      <c r="J2341" t="n">
        <v>0</v>
      </c>
      <c r="K2341" t="inlineStr"/>
    </row>
    <row r="2342">
      <c r="A2342" t="inlineStr">
        <is>
          <t>LMOFIDA43TXS</t>
        </is>
      </c>
      <c r="B2342" t="inlineStr">
        <is>
          <t>LEGGING MOVA</t>
        </is>
      </c>
      <c r="C2342" t="inlineStr">
        <is>
          <t>Manufactura / Dama / P. Inferiores</t>
        </is>
      </c>
      <c r="D2342" t="n">
        <v>1</v>
      </c>
      <c r="E2342" t="n">
        <v>105.6836685</v>
      </c>
      <c r="F2342" t="n">
        <v>0.8325190614</v>
      </c>
      <c r="G2342" t="n">
        <v>36</v>
      </c>
      <c r="H2342" t="n">
        <v>17.7</v>
      </c>
      <c r="I2342" t="n">
        <v>0.1</v>
      </c>
      <c r="J2342" t="n">
        <v>4</v>
      </c>
      <c r="K2342" t="inlineStr"/>
    </row>
    <row r="2343">
      <c r="A2343" t="inlineStr">
        <is>
          <t>CLAMIKI53T14</t>
        </is>
      </c>
      <c r="B2343" t="inlineStr">
        <is>
          <t>CLASICA ORIGINAL KIDS</t>
        </is>
      </c>
      <c r="C2343" t="inlineStr">
        <is>
          <t>Manufactura / Kids / P. Superiores</t>
        </is>
      </c>
      <c r="D2343" t="n">
        <v>3</v>
      </c>
      <c r="E2343" t="n">
        <v>105.13646496</v>
      </c>
      <c r="F2343" t="n">
        <v>0.9367021428333334</v>
      </c>
      <c r="G2343" t="n">
        <v>8</v>
      </c>
      <c r="H2343" t="n">
        <v>2.053774806</v>
      </c>
      <c r="I2343" t="n">
        <v>0.3</v>
      </c>
      <c r="J2343" t="n">
        <v>2</v>
      </c>
      <c r="K2343" t="inlineStr"/>
    </row>
    <row r="2344">
      <c r="A2344" t="inlineStr">
        <is>
          <t>SHONRKI12T4</t>
        </is>
      </c>
      <c r="B2344" t="inlineStr">
        <is>
          <t>SHORT SPORT KIDS</t>
        </is>
      </c>
      <c r="C2344" t="inlineStr">
        <is>
          <t>Manufactura / Kids / P. Inferiores</t>
        </is>
      </c>
      <c r="D2344" t="n">
        <v>3</v>
      </c>
      <c r="E2344" t="n">
        <v>105</v>
      </c>
      <c r="F2344" t="n">
        <v>0.8149540160333334</v>
      </c>
      <c r="G2344" t="n">
        <v>41</v>
      </c>
      <c r="H2344" t="n">
        <v>6.465724382</v>
      </c>
      <c r="I2344" t="n">
        <v>0.3</v>
      </c>
      <c r="J2344" t="n">
        <v>0</v>
      </c>
      <c r="K2344" t="inlineStr"/>
    </row>
    <row r="2345">
      <c r="A2345" t="inlineStr">
        <is>
          <t>LMOFIDA66TXS</t>
        </is>
      </c>
      <c r="B2345" t="inlineStr">
        <is>
          <t>LEGGING MOVA</t>
        </is>
      </c>
      <c r="C2345" t="inlineStr">
        <is>
          <t>Manufactura / Dama / P. Inferiores</t>
        </is>
      </c>
      <c r="D2345" t="n">
        <v>3</v>
      </c>
      <c r="E2345" t="n">
        <v>104.7180872</v>
      </c>
      <c r="F2345" t="n">
        <v>0.8309747584</v>
      </c>
      <c r="G2345" t="n">
        <v>24</v>
      </c>
      <c r="H2345" t="n">
        <v>17.7</v>
      </c>
      <c r="I2345" t="n">
        <v>0.3</v>
      </c>
      <c r="J2345" t="n">
        <v>3</v>
      </c>
      <c r="K2345" t="inlineStr"/>
    </row>
    <row r="2346">
      <c r="A2346" t="inlineStr">
        <is>
          <t>PANNTKI33T8</t>
        </is>
      </c>
      <c r="B2346" t="inlineStr">
        <is>
          <t>EXPLORE PANTS KIDS</t>
        </is>
      </c>
      <c r="C2346" t="inlineStr">
        <is>
          <t>Manufactura / Kids / P. Inferiores</t>
        </is>
      </c>
      <c r="D2346" t="n">
        <v>2</v>
      </c>
      <c r="E2346" t="n">
        <v>104.4124877</v>
      </c>
      <c r="F2346" t="n">
        <v>0.7220402088</v>
      </c>
      <c r="G2346" t="n">
        <v>24</v>
      </c>
      <c r="H2346" t="n">
        <v>13.98</v>
      </c>
      <c r="I2346" t="n">
        <v>0.2</v>
      </c>
      <c r="J2346" t="n">
        <v>2</v>
      </c>
      <c r="K2346" t="inlineStr"/>
    </row>
    <row r="2347">
      <c r="A2347" t="inlineStr">
        <is>
          <t>AQUSTDA16TXS</t>
        </is>
      </c>
      <c r="B2347" t="inlineStr">
        <is>
          <t>RETRO VZLA DAMA</t>
        </is>
      </c>
      <c r="C2347" t="inlineStr">
        <is>
          <t>Manufactura / Dama / P. Superiores</t>
        </is>
      </c>
      <c r="D2347" t="n">
        <v>3</v>
      </c>
      <c r="E2347" t="n">
        <v>104.4105234</v>
      </c>
      <c r="F2347" t="n">
        <v>0.6388480633666667</v>
      </c>
      <c r="G2347" t="n">
        <v>0</v>
      </c>
      <c r="H2347" t="n">
        <v>11.23</v>
      </c>
      <c r="I2347" t="n">
        <v>0.3</v>
      </c>
      <c r="J2347" t="n">
        <v>3</v>
      </c>
      <c r="K2347" t="inlineStr">
        <is>
          <t>Sin stock</t>
        </is>
      </c>
    </row>
    <row r="2348">
      <c r="A2348" t="inlineStr">
        <is>
          <t>MAYFNDA24TL</t>
        </is>
      </c>
      <c r="B2348" t="inlineStr">
        <is>
          <t>MAYA SPORT LITE DAMA</t>
        </is>
      </c>
      <c r="C2348" t="inlineStr">
        <is>
          <t>Manufactura / Dama / P. Superiores</t>
        </is>
      </c>
      <c r="D2348" t="n">
        <v>4</v>
      </c>
      <c r="E2348" t="n">
        <v>104.03879107</v>
      </c>
      <c r="F2348" t="n">
        <v>0.9246070618</v>
      </c>
      <c r="G2348" t="n">
        <v>1</v>
      </c>
      <c r="H2348" t="n">
        <v>3.87</v>
      </c>
      <c r="I2348" t="n">
        <v>0.4</v>
      </c>
      <c r="J2348" t="n">
        <v>2</v>
      </c>
      <c r="K2348" t="inlineStr"/>
    </row>
    <row r="2349">
      <c r="A2349" t="inlineStr">
        <is>
          <t>ANMSUDA17TXS</t>
        </is>
      </c>
      <c r="B2349" t="inlineStr">
        <is>
          <t>ANDRE MOTION DAMA</t>
        </is>
      </c>
      <c r="C2349" t="inlineStr">
        <is>
          <t>Manufactura / Dama / P. Superiores</t>
        </is>
      </c>
      <c r="D2349" t="n">
        <v>3</v>
      </c>
      <c r="E2349" t="n">
        <v>103.75954901</v>
      </c>
      <c r="F2349" t="n">
        <v>0.6866970422333333</v>
      </c>
      <c r="G2349" t="n">
        <v>15</v>
      </c>
      <c r="H2349" t="n">
        <v>10.6</v>
      </c>
      <c r="I2349" t="n">
        <v>0.3</v>
      </c>
      <c r="J2349" t="n">
        <v>4</v>
      </c>
      <c r="K2349" t="inlineStr"/>
    </row>
    <row r="2350">
      <c r="A2350" t="inlineStr">
        <is>
          <t>MARMICA53TXL</t>
        </is>
      </c>
      <c r="B2350" t="inlineStr">
        <is>
          <t>MAR ORIGINAL CAB</t>
        </is>
      </c>
      <c r="C2350" t="inlineStr">
        <is>
          <t>Manufactura / Caballero / P. Superiores</t>
        </is>
      </c>
      <c r="D2350" t="n">
        <v>2</v>
      </c>
      <c r="E2350" t="n">
        <v>103.72774331</v>
      </c>
      <c r="F2350" t="n">
        <v>0.90562739265</v>
      </c>
      <c r="G2350" t="n">
        <v>1</v>
      </c>
      <c r="H2350" t="n">
        <v>4.946357428</v>
      </c>
      <c r="I2350" t="n">
        <v>0.2</v>
      </c>
      <c r="J2350" t="n">
        <v>0</v>
      </c>
      <c r="K2350" t="inlineStr"/>
    </row>
    <row r="2351">
      <c r="A2351" t="inlineStr">
        <is>
          <t>DANMIKI66T10</t>
        </is>
      </c>
      <c r="B2351" t="inlineStr">
        <is>
          <t>DANI ORIGINAL KIDS</t>
        </is>
      </c>
      <c r="C2351" t="inlineStr">
        <is>
          <t>Manufactura / Kids / P. Superiores</t>
        </is>
      </c>
      <c r="D2351" t="n">
        <v>4</v>
      </c>
      <c r="E2351" t="n">
        <v>103.67270286</v>
      </c>
      <c r="F2351" t="n">
        <v>0.862547368775</v>
      </c>
      <c r="G2351" t="n">
        <v>3</v>
      </c>
      <c r="H2351" t="n">
        <v>3.55</v>
      </c>
      <c r="I2351" t="n">
        <v>0.4</v>
      </c>
      <c r="J2351" t="n">
        <v>0</v>
      </c>
      <c r="K2351" t="inlineStr"/>
    </row>
    <row r="2352">
      <c r="A2352" t="inlineStr">
        <is>
          <t>ZOEMIKI01T8</t>
        </is>
      </c>
      <c r="B2352" t="inlineStr">
        <is>
          <t>ZOE ORIGINAL KIDS</t>
        </is>
      </c>
      <c r="C2352" t="inlineStr">
        <is>
          <t>Manufactura / Kids / P. Superiores</t>
        </is>
      </c>
      <c r="D2352" t="n">
        <v>4</v>
      </c>
      <c r="E2352" t="n">
        <v>103.55668099</v>
      </c>
      <c r="F2352" t="n">
        <v>0.8797595808000001</v>
      </c>
      <c r="G2352" t="n">
        <v>14</v>
      </c>
      <c r="H2352" t="n">
        <v>4.12</v>
      </c>
      <c r="I2352" t="n">
        <v>0.4</v>
      </c>
      <c r="J2352" t="n">
        <v>3</v>
      </c>
      <c r="K2352" t="inlineStr"/>
    </row>
    <row r="2353">
      <c r="A2353" t="inlineStr">
        <is>
          <t>CLAMIKI13T1</t>
        </is>
      </c>
      <c r="B2353" t="inlineStr">
        <is>
          <t>CLASICA ORIGINAL KIDS</t>
        </is>
      </c>
      <c r="C2353" t="inlineStr">
        <is>
          <t>Manufactura / Kids / P. Superiores</t>
        </is>
      </c>
      <c r="D2353" t="n">
        <v>3</v>
      </c>
      <c r="E2353" t="n">
        <v>103.47313288</v>
      </c>
      <c r="F2353" t="n">
        <v>0.9383294050000001</v>
      </c>
      <c r="G2353" t="n">
        <v>0</v>
      </c>
      <c r="H2353" t="n">
        <v>2.053774806</v>
      </c>
      <c r="I2353" t="n">
        <v>0.3</v>
      </c>
      <c r="J2353" t="n">
        <v>4</v>
      </c>
      <c r="K2353" t="inlineStr">
        <is>
          <t>Sin stock</t>
        </is>
      </c>
    </row>
    <row r="2354">
      <c r="A2354" t="inlineStr">
        <is>
          <t>CLAMEKI16T6</t>
        </is>
      </c>
      <c r="B2354" t="inlineStr">
        <is>
          <t>CLASICA SPORT KIDS</t>
        </is>
      </c>
      <c r="C2354" t="inlineStr">
        <is>
          <t>Manufactura / Kids / P. Superiores</t>
        </is>
      </c>
      <c r="D2354" t="n">
        <v>3</v>
      </c>
      <c r="E2354" t="n">
        <v>103.29573529</v>
      </c>
      <c r="F2354" t="n">
        <v>0.8820340474</v>
      </c>
      <c r="G2354" t="n">
        <v>3</v>
      </c>
      <c r="H2354" t="n">
        <v>3.97</v>
      </c>
      <c r="I2354" t="n">
        <v>0.3</v>
      </c>
      <c r="J2354" t="n">
        <v>1</v>
      </c>
      <c r="K2354" t="inlineStr"/>
    </row>
    <row r="2355">
      <c r="A2355" t="inlineStr">
        <is>
          <t>MARMIKI39T10</t>
        </is>
      </c>
      <c r="B2355" t="inlineStr">
        <is>
          <t>MAR ORIGINAL KIDS</t>
        </is>
      </c>
      <c r="C2355" t="inlineStr">
        <is>
          <t>Manufactura / Kids / P. Superiores</t>
        </is>
      </c>
      <c r="D2355" t="n">
        <v>3</v>
      </c>
      <c r="E2355" t="n">
        <v>102.63648504</v>
      </c>
      <c r="F2355" t="n">
        <v>0.9073522292000001</v>
      </c>
      <c r="G2355" t="n">
        <v>0</v>
      </c>
      <c r="H2355" t="n">
        <v>3.168013332</v>
      </c>
      <c r="I2355" t="n">
        <v>0.3</v>
      </c>
      <c r="J2355" t="n">
        <v>8</v>
      </c>
      <c r="K2355" t="inlineStr">
        <is>
          <t>Sin stock</t>
        </is>
      </c>
    </row>
    <row r="2356">
      <c r="A2356" t="inlineStr">
        <is>
          <t>MAYFNDA10TXS</t>
        </is>
      </c>
      <c r="B2356" t="inlineStr">
        <is>
          <t>MAYA SPORT LITE DAMA</t>
        </is>
      </c>
      <c r="C2356" t="inlineStr">
        <is>
          <t>Manufactura / Dama / P. Superiores</t>
        </is>
      </c>
      <c r="D2356" t="n">
        <v>3</v>
      </c>
      <c r="E2356" t="n">
        <v>102.61309607</v>
      </c>
      <c r="F2356" t="n">
        <v>0.8784772825</v>
      </c>
      <c r="G2356" t="n">
        <v>10</v>
      </c>
      <c r="H2356" t="n">
        <v>3.87</v>
      </c>
      <c r="I2356" t="n">
        <v>0.3</v>
      </c>
      <c r="J2356" t="n">
        <v>2</v>
      </c>
      <c r="K2356" t="inlineStr"/>
    </row>
    <row r="2357">
      <c r="A2357" t="inlineStr">
        <is>
          <t>MAYFNDA10T2XL</t>
        </is>
      </c>
      <c r="B2357" t="inlineStr">
        <is>
          <t>MAYA SPORT LITE DAMA</t>
        </is>
      </c>
      <c r="C2357" t="inlineStr">
        <is>
          <t>Manufactura / Dama / P. Superiores</t>
        </is>
      </c>
      <c r="D2357" t="n">
        <v>3</v>
      </c>
      <c r="E2357" t="n">
        <v>102.13637717</v>
      </c>
      <c r="F2357" t="n">
        <v>0.8862523816</v>
      </c>
      <c r="G2357" t="n">
        <v>3</v>
      </c>
      <c r="H2357" t="n">
        <v>3.87</v>
      </c>
      <c r="I2357" t="n">
        <v>0.3</v>
      </c>
      <c r="J2357" t="n">
        <v>6</v>
      </c>
      <c r="K2357" t="inlineStr"/>
    </row>
    <row r="2358">
      <c r="A2358" t="inlineStr">
        <is>
          <t>CLASTCA43TS</t>
        </is>
      </c>
      <c r="B2358" t="inlineStr">
        <is>
          <t>CLASICA ALGODON STRETCH CAB</t>
        </is>
      </c>
      <c r="C2358" t="inlineStr">
        <is>
          <t>Manufactura / Caballero / P. Superiores</t>
        </is>
      </c>
      <c r="D2358" t="n">
        <v>4</v>
      </c>
      <c r="E2358" t="n">
        <v>102.02</v>
      </c>
      <c r="F2358" t="n">
        <v>0.8182709273</v>
      </c>
      <c r="G2358" t="n">
        <v>0</v>
      </c>
      <c r="H2358" t="n">
        <v>9.27</v>
      </c>
      <c r="I2358" t="n">
        <v>0.4</v>
      </c>
      <c r="J2358" t="n">
        <v>0</v>
      </c>
      <c r="K2358" t="inlineStr">
        <is>
          <t>Sin stock</t>
        </is>
      </c>
    </row>
    <row r="2359">
      <c r="A2359" t="inlineStr">
        <is>
          <t>ANDMIDA52TL</t>
        </is>
      </c>
      <c r="B2359" t="inlineStr">
        <is>
          <t>ANDRE ORIGINAL DAMA</t>
        </is>
      </c>
      <c r="C2359" t="inlineStr">
        <is>
          <t>Manufactura / Dama / P. Superiores</t>
        </is>
      </c>
      <c r="D2359" t="n">
        <v>3</v>
      </c>
      <c r="E2359" t="n">
        <v>101.69517908</v>
      </c>
      <c r="F2359" t="n">
        <v>0.9033274784333334</v>
      </c>
      <c r="G2359" t="n">
        <v>0</v>
      </c>
      <c r="H2359" t="n">
        <v>3.274295302</v>
      </c>
      <c r="I2359" t="n">
        <v>0.3</v>
      </c>
      <c r="J2359" t="n">
        <v>8</v>
      </c>
      <c r="K2359" t="inlineStr">
        <is>
          <t>Sin stock</t>
        </is>
      </c>
    </row>
    <row r="2360">
      <c r="A2360" t="inlineStr">
        <is>
          <t>AQUSTKI43T14</t>
        </is>
      </c>
      <c r="B2360" t="inlineStr">
        <is>
          <t>RETRO VZLA KIDS</t>
        </is>
      </c>
      <c r="C2360" t="inlineStr">
        <is>
          <t>Manufactura / Dama / P. Superiores</t>
        </is>
      </c>
      <c r="D2360" t="n">
        <v>4</v>
      </c>
      <c r="E2360" t="n">
        <v>101.59412483</v>
      </c>
      <c r="F2360" t="n">
        <v>0.6985729927666666</v>
      </c>
      <c r="G2360" t="n">
        <v>0</v>
      </c>
      <c r="H2360" t="n">
        <v>10.18</v>
      </c>
      <c r="I2360" t="n">
        <v>0.4</v>
      </c>
      <c r="J2360" t="n">
        <v>7</v>
      </c>
      <c r="K2360" t="inlineStr">
        <is>
          <t>Sin stock</t>
        </is>
      </c>
    </row>
    <row r="2361">
      <c r="A2361" t="inlineStr">
        <is>
          <t>LARIMJDA16TXS</t>
        </is>
      </c>
      <c r="B2361" t="inlineStr">
        <is>
          <t>LARISA ORIGINAL DAMA</t>
        </is>
      </c>
      <c r="C2361" t="inlineStr">
        <is>
          <t>Manufactura / Dama / P. Superiores</t>
        </is>
      </c>
      <c r="D2361" t="n">
        <v>6</v>
      </c>
      <c r="E2361" t="n">
        <v>101.57</v>
      </c>
      <c r="F2361" t="n">
        <v>0.9430504143333334</v>
      </c>
      <c r="G2361" t="n">
        <v>9</v>
      </c>
      <c r="H2361" t="n">
        <v>1.765998491</v>
      </c>
      <c r="I2361" t="n">
        <v>0.6</v>
      </c>
      <c r="J2361" t="n">
        <v>0</v>
      </c>
      <c r="K2361" t="inlineStr"/>
    </row>
    <row r="2362">
      <c r="A2362" t="inlineStr">
        <is>
          <t>CLASTCA43TXL</t>
        </is>
      </c>
      <c r="B2362" t="inlineStr">
        <is>
          <t>CLASICA ALGODON STRETCH CAB</t>
        </is>
      </c>
      <c r="C2362" t="inlineStr">
        <is>
          <t>Manufactura / Caballero / P. Superiores</t>
        </is>
      </c>
      <c r="D2362" t="n">
        <v>3</v>
      </c>
      <c r="E2362" t="n">
        <v>101.1928427</v>
      </c>
      <c r="F2362" t="n">
        <v>0.8167854612</v>
      </c>
      <c r="G2362" t="n">
        <v>0</v>
      </c>
      <c r="H2362" t="n">
        <v>9.27</v>
      </c>
      <c r="I2362" t="n">
        <v>0.3</v>
      </c>
      <c r="J2362" t="n">
        <v>6</v>
      </c>
      <c r="K2362" t="inlineStr">
        <is>
          <t>Sin stock</t>
        </is>
      </c>
    </row>
    <row r="2363">
      <c r="A2363" t="inlineStr">
        <is>
          <t>CLASTCA43TM</t>
        </is>
      </c>
      <c r="B2363" t="inlineStr">
        <is>
          <t>CLASICA ALGODON STRETCH CAB</t>
        </is>
      </c>
      <c r="C2363" t="inlineStr">
        <is>
          <t>Manufactura / Caballero / P. Superiores</t>
        </is>
      </c>
      <c r="D2363" t="n">
        <v>13</v>
      </c>
      <c r="E2363" t="n">
        <v>101.1928427</v>
      </c>
      <c r="F2363" t="n">
        <v>0.8167854612</v>
      </c>
      <c r="G2363" t="n">
        <v>0</v>
      </c>
      <c r="H2363" t="n">
        <v>9.27</v>
      </c>
      <c r="I2363" t="n">
        <v>1.3</v>
      </c>
      <c r="J2363" t="n">
        <v>6</v>
      </c>
      <c r="K2363" t="inlineStr">
        <is>
          <t>Sin stock</t>
        </is>
      </c>
    </row>
    <row r="2364">
      <c r="A2364" t="inlineStr">
        <is>
          <t>DALSSTDA43TS</t>
        </is>
      </c>
      <c r="B2364" t="inlineStr">
        <is>
          <t>MANGA LARGA DAILY 2.0 DAMA</t>
        </is>
      </c>
      <c r="C2364" t="inlineStr">
        <is>
          <t>Manufactura / Dama / P. Superiores</t>
        </is>
      </c>
      <c r="D2364" t="n">
        <v>3</v>
      </c>
      <c r="E2364" t="n">
        <v>101.15672585</v>
      </c>
      <c r="F2364" t="n">
        <v>0.7389582053</v>
      </c>
      <c r="G2364" t="n">
        <v>1</v>
      </c>
      <c r="H2364" t="n">
        <v>12.3</v>
      </c>
      <c r="I2364" t="n">
        <v>0.3</v>
      </c>
      <c r="J2364" t="n">
        <v>6</v>
      </c>
      <c r="K2364" t="inlineStr"/>
    </row>
    <row r="2365">
      <c r="A2365" t="inlineStr">
        <is>
          <t>DALSTDA30TS</t>
        </is>
      </c>
      <c r="B2365" t="inlineStr">
        <is>
          <t>CLASICA DAILY 2.0 DAMA</t>
        </is>
      </c>
      <c r="C2365" t="inlineStr">
        <is>
          <t>Manufactura / Dama / P. Superiores</t>
        </is>
      </c>
      <c r="D2365" t="n">
        <v>2</v>
      </c>
      <c r="E2365" t="n">
        <v>101.13695939</v>
      </c>
      <c r="F2365" t="n">
        <v>0.802941712075</v>
      </c>
      <c r="G2365" t="n">
        <v>5</v>
      </c>
      <c r="H2365" t="n">
        <v>10.02</v>
      </c>
      <c r="I2365" t="n">
        <v>0.2</v>
      </c>
      <c r="J2365" t="n">
        <v>0</v>
      </c>
      <c r="K2365" t="inlineStr"/>
    </row>
    <row r="2366">
      <c r="A2366" t="inlineStr">
        <is>
          <t>MARMIKI05T10</t>
        </is>
      </c>
      <c r="B2366" t="inlineStr">
        <is>
          <t>MAR ORIGINAL KIDS</t>
        </is>
      </c>
      <c r="C2366" t="inlineStr">
        <is>
          <t>Manufactura / Kids / P. Superiores</t>
        </is>
      </c>
      <c r="D2366" t="n">
        <v>3</v>
      </c>
      <c r="E2366" t="n">
        <v>100.96509644</v>
      </c>
      <c r="F2366" t="n">
        <v>0.9055784402000001</v>
      </c>
      <c r="G2366" t="n">
        <v>0</v>
      </c>
      <c r="H2366" t="n">
        <v>3.168013332</v>
      </c>
      <c r="I2366" t="n">
        <v>0.3</v>
      </c>
      <c r="J2366" t="n">
        <v>8</v>
      </c>
      <c r="K2366" t="inlineStr">
        <is>
          <t>Sin stock</t>
        </is>
      </c>
    </row>
    <row r="2367">
      <c r="A2367" t="inlineStr">
        <is>
          <t>MARMIKI05T14</t>
        </is>
      </c>
      <c r="B2367" t="inlineStr">
        <is>
          <t>MAR ORIGINAL KIDS</t>
        </is>
      </c>
      <c r="C2367" t="inlineStr">
        <is>
          <t>Manufactura / Kids / P. Superiores</t>
        </is>
      </c>
      <c r="D2367" t="n">
        <v>3</v>
      </c>
      <c r="E2367" t="n">
        <v>100.53413551</v>
      </c>
      <c r="F2367" t="n">
        <v>0.9051847549666667</v>
      </c>
      <c r="G2367" t="n">
        <v>0</v>
      </c>
      <c r="H2367" t="n">
        <v>3.168013332</v>
      </c>
      <c r="I2367" t="n">
        <v>0.3</v>
      </c>
      <c r="J2367" t="n">
        <v>8</v>
      </c>
      <c r="K2367" t="inlineStr">
        <is>
          <t>Sin stock</t>
        </is>
      </c>
    </row>
    <row r="2368">
      <c r="A2368" t="inlineStr">
        <is>
          <t>MARMIKI28T2</t>
        </is>
      </c>
      <c r="B2368" t="inlineStr">
        <is>
          <t>MAR ORIGINAL KIDS</t>
        </is>
      </c>
      <c r="C2368" t="inlineStr">
        <is>
          <t>Manufactura / Kids / P. Superiores</t>
        </is>
      </c>
      <c r="D2368" t="n">
        <v>3</v>
      </c>
      <c r="E2368" t="n">
        <v>100.45548841</v>
      </c>
      <c r="F2368" t="n">
        <v>0.9045760248666667</v>
      </c>
      <c r="G2368" t="n">
        <v>0</v>
      </c>
      <c r="H2368" t="n">
        <v>3.168013332</v>
      </c>
      <c r="I2368" t="n">
        <v>0.3</v>
      </c>
      <c r="J2368" t="n">
        <v>9</v>
      </c>
      <c r="K2368" t="inlineStr">
        <is>
          <t>Sin stock</t>
        </is>
      </c>
    </row>
    <row r="2369">
      <c r="A2369" t="inlineStr">
        <is>
          <t>MARMICA34T2XL</t>
        </is>
      </c>
      <c r="B2369" t="inlineStr">
        <is>
          <t>MAR ORIGINAL CAB</t>
        </is>
      </c>
      <c r="C2369" t="inlineStr">
        <is>
          <t>Manufactura / Caballero / P. Superiores</t>
        </is>
      </c>
      <c r="D2369" t="n">
        <v>2</v>
      </c>
      <c r="E2369" t="n">
        <v>100.41115066</v>
      </c>
      <c r="F2369" t="n">
        <v>0.9004167088999999</v>
      </c>
      <c r="G2369" t="n">
        <v>1</v>
      </c>
      <c r="H2369" t="n">
        <v>4.946357428</v>
      </c>
      <c r="I2369" t="n">
        <v>0.2</v>
      </c>
      <c r="J2369" t="n">
        <v>5</v>
      </c>
      <c r="K2369" t="inlineStr"/>
    </row>
    <row r="2370">
      <c r="A2370" t="inlineStr">
        <is>
          <t>MARMIKI24T14</t>
        </is>
      </c>
      <c r="B2370" t="inlineStr">
        <is>
          <t>MAR ORIGINAL KIDS</t>
        </is>
      </c>
      <c r="C2370" t="inlineStr">
        <is>
          <t>Manufactura / Kids / P. Superiores</t>
        </is>
      </c>
      <c r="D2370" t="n">
        <v>3</v>
      </c>
      <c r="E2370" t="n">
        <v>100.21358885</v>
      </c>
      <c r="F2370" t="n">
        <v>0.9049785624333334</v>
      </c>
      <c r="G2370" t="n">
        <v>0</v>
      </c>
      <c r="H2370" t="n">
        <v>3.168013332</v>
      </c>
      <c r="I2370" t="n">
        <v>0.3</v>
      </c>
      <c r="J2370" t="n">
        <v>8</v>
      </c>
      <c r="K2370" t="inlineStr">
        <is>
          <t>Sin stock</t>
        </is>
      </c>
    </row>
    <row r="2371">
      <c r="A2371" t="inlineStr">
        <is>
          <t>LMOFIDA31TXS</t>
        </is>
      </c>
      <c r="B2371" t="inlineStr">
        <is>
          <t>LEGGING MOVA</t>
        </is>
      </c>
      <c r="C2371" t="inlineStr">
        <is>
          <t>Manufactura / Dama / P. Inferiores</t>
        </is>
      </c>
      <c r="D2371" t="n">
        <v>4</v>
      </c>
      <c r="E2371" t="n">
        <v>99.14160002</v>
      </c>
      <c r="F2371" t="n">
        <v>0.8214674769</v>
      </c>
      <c r="G2371" t="n">
        <v>22</v>
      </c>
      <c r="H2371" t="n">
        <v>17.7</v>
      </c>
      <c r="I2371" t="n">
        <v>0.4</v>
      </c>
      <c r="J2371" t="n">
        <v>0</v>
      </c>
      <c r="K2371" t="inlineStr"/>
    </row>
    <row r="2372">
      <c r="A2372" t="inlineStr">
        <is>
          <t>PETMIPE52TXS</t>
        </is>
      </c>
      <c r="B2372" t="inlineStr">
        <is>
          <t>BANDANA PET</t>
        </is>
      </c>
      <c r="C2372" t="inlineStr">
        <is>
          <t>Manufactura / General</t>
        </is>
      </c>
      <c r="D2372" t="n">
        <v>10</v>
      </c>
      <c r="E2372" t="n">
        <v>99.032301906</v>
      </c>
      <c r="F2372" t="n">
        <v>0.9732041434625001</v>
      </c>
      <c r="G2372" t="n">
        <v>0</v>
      </c>
      <c r="H2372" t="n">
        <v>0.3252662283</v>
      </c>
      <c r="I2372" t="n">
        <v>1</v>
      </c>
      <c r="J2372" t="n">
        <v>0</v>
      </c>
      <c r="K2372" t="inlineStr">
        <is>
          <t>Sin stock</t>
        </is>
      </c>
    </row>
    <row r="2373">
      <c r="A2373" t="inlineStr">
        <is>
          <t>SSR2VIU43TS</t>
        </is>
      </c>
      <c r="B2373" t="inlineStr">
        <is>
          <t>R2 SPORT  5"</t>
        </is>
      </c>
      <c r="C2373" t="inlineStr">
        <is>
          <t>Manufactura / General</t>
        </is>
      </c>
      <c r="D2373" t="n">
        <v>2</v>
      </c>
      <c r="E2373" t="n">
        <v>98.88</v>
      </c>
      <c r="F2373" t="n">
        <v>0.89636515595</v>
      </c>
      <c r="G2373" t="n">
        <v>11</v>
      </c>
      <c r="H2373" t="n">
        <v>5.09</v>
      </c>
      <c r="I2373" t="n">
        <v>0.2</v>
      </c>
      <c r="J2373" t="n">
        <v>0</v>
      </c>
      <c r="K2373" t="inlineStr"/>
    </row>
    <row r="2374">
      <c r="A2374" t="inlineStr">
        <is>
          <t>ZOEMIKI70T8</t>
        </is>
      </c>
      <c r="B2374" t="inlineStr">
        <is>
          <t>ZOE ORIGINAL KIDS</t>
        </is>
      </c>
      <c r="C2374" t="inlineStr">
        <is>
          <t>Manufactura / Kids / P. Superiores</t>
        </is>
      </c>
      <c r="D2374" t="n">
        <v>2</v>
      </c>
      <c r="E2374" t="n">
        <v>98.81065071</v>
      </c>
      <c r="F2374" t="n">
        <v>0.9163572255000001</v>
      </c>
      <c r="G2374" t="n">
        <v>9</v>
      </c>
      <c r="H2374" t="n">
        <v>4.12</v>
      </c>
      <c r="I2374" t="n">
        <v>0.2</v>
      </c>
      <c r="J2374" t="n">
        <v>3</v>
      </c>
      <c r="K2374" t="inlineStr"/>
    </row>
    <row r="2375">
      <c r="A2375" t="inlineStr">
        <is>
          <t>JACDA67TL</t>
        </is>
      </c>
      <c r="B2375" t="inlineStr">
        <is>
          <t>JACKET DAMA</t>
        </is>
      </c>
      <c r="C2375" t="inlineStr">
        <is>
          <t>Equipamiento / Ropa</t>
        </is>
      </c>
      <c r="D2375" t="n">
        <v>1</v>
      </c>
      <c r="E2375" t="n">
        <v>98.23204676</v>
      </c>
      <c r="F2375" t="n">
        <v>0.793855461</v>
      </c>
      <c r="G2375" t="n">
        <v>0</v>
      </c>
      <c r="H2375" t="n">
        <v>20.25</v>
      </c>
      <c r="I2375" t="n">
        <v>0.1</v>
      </c>
      <c r="J2375" t="n">
        <v>4</v>
      </c>
      <c r="K2375" t="inlineStr">
        <is>
          <t>Sin stock</t>
        </is>
      </c>
    </row>
    <row r="2376">
      <c r="A2376" t="inlineStr">
        <is>
          <t>BUFMIGE16TUN</t>
        </is>
      </c>
      <c r="B2376" t="inlineStr">
        <is>
          <t>FLEX COVER</t>
        </is>
      </c>
      <c r="C2376" t="inlineStr">
        <is>
          <t>Manufactura / General</t>
        </is>
      </c>
      <c r="D2376" t="n">
        <v>8</v>
      </c>
      <c r="E2376" t="n">
        <v>98.17423669</v>
      </c>
      <c r="F2376" t="n">
        <v>0.8114370712833333</v>
      </c>
      <c r="G2376" t="n">
        <v>41</v>
      </c>
      <c r="H2376" t="n">
        <v>2.21</v>
      </c>
      <c r="I2376" t="n">
        <v>0.8</v>
      </c>
      <c r="J2376" t="n">
        <v>1</v>
      </c>
      <c r="K2376" t="inlineStr"/>
    </row>
    <row r="2377">
      <c r="A2377" t="inlineStr">
        <is>
          <t>RIOMICA14T2XL</t>
        </is>
      </c>
      <c r="B2377" t="inlineStr">
        <is>
          <t>RIO ORIGINAL CAB</t>
        </is>
      </c>
      <c r="C2377" t="inlineStr">
        <is>
          <t>Manufactura / Caballero / P. Superiores</t>
        </is>
      </c>
      <c r="D2377" t="n">
        <v>2</v>
      </c>
      <c r="E2377" t="n">
        <v>98.12564264</v>
      </c>
      <c r="F2377" t="n">
        <v>0.8789439717</v>
      </c>
      <c r="G2377" t="n">
        <v>0</v>
      </c>
      <c r="H2377" t="n">
        <v>5.939350288</v>
      </c>
      <c r="I2377" t="n">
        <v>0.2</v>
      </c>
      <c r="J2377" t="n">
        <v>9</v>
      </c>
      <c r="K2377" t="inlineStr">
        <is>
          <t>Sin stock</t>
        </is>
      </c>
    </row>
    <row r="2378">
      <c r="A2378" t="inlineStr">
        <is>
          <t>MIAMIDA11TM</t>
        </is>
      </c>
      <c r="B2378" t="inlineStr">
        <is>
          <t>MIA ORIGINAL DAMA</t>
        </is>
      </c>
      <c r="C2378" t="inlineStr">
        <is>
          <t>Manufactura / Dama / P. Superiores</t>
        </is>
      </c>
      <c r="D2378" t="n">
        <v>3</v>
      </c>
      <c r="E2378" t="n">
        <v>98.01850123</v>
      </c>
      <c r="F2378" t="n">
        <v>0.8784418622</v>
      </c>
      <c r="G2378" t="n">
        <v>2</v>
      </c>
      <c r="H2378" t="n">
        <v>3.94</v>
      </c>
      <c r="I2378" t="n">
        <v>0.3</v>
      </c>
      <c r="J2378" t="n">
        <v>3</v>
      </c>
      <c r="K2378" t="inlineStr"/>
    </row>
    <row r="2379">
      <c r="A2379" t="inlineStr">
        <is>
          <t>DRY315L</t>
        </is>
      </c>
      <c r="B2379" t="inlineStr">
        <is>
          <t>DRY BAG 5L</t>
        </is>
      </c>
      <c r="C2379" t="inlineStr">
        <is>
          <t>Equipamiento / Bolsos</t>
        </is>
      </c>
      <c r="D2379" t="n">
        <v>3</v>
      </c>
      <c r="E2379" t="n">
        <v>97.40218704</v>
      </c>
      <c r="F2379" t="n">
        <v>0.8627993033599999</v>
      </c>
      <c r="G2379" t="n">
        <v>1</v>
      </c>
      <c r="H2379" t="n">
        <v>4.91</v>
      </c>
      <c r="I2379" t="n">
        <v>0.3</v>
      </c>
      <c r="J2379" t="n">
        <v>0</v>
      </c>
      <c r="K2379" t="inlineStr"/>
    </row>
    <row r="2380">
      <c r="A2380" t="inlineStr">
        <is>
          <t>ANMSUDA119TXS</t>
        </is>
      </c>
      <c r="B2380" t="inlineStr">
        <is>
          <t>ANDRE MOTION DAMA</t>
        </is>
      </c>
      <c r="C2380" t="inlineStr">
        <is>
          <t>Manufactura / Dama / P. Superiores</t>
        </is>
      </c>
      <c r="D2380" t="n">
        <v>3</v>
      </c>
      <c r="E2380" t="n">
        <v>97.17429781</v>
      </c>
      <c r="F2380" t="n">
        <v>0.6173472824333334</v>
      </c>
      <c r="G2380" t="n">
        <v>3</v>
      </c>
      <c r="H2380" t="n">
        <v>10.6</v>
      </c>
      <c r="I2380" t="n">
        <v>0.3</v>
      </c>
      <c r="J2380" t="n">
        <v>5</v>
      </c>
      <c r="K2380" t="inlineStr"/>
    </row>
    <row r="2381">
      <c r="A2381" t="inlineStr">
        <is>
          <t>OVEFTGE31TS</t>
        </is>
      </c>
      <c r="B2381" t="inlineStr">
        <is>
          <t>UNIHOODIE</t>
        </is>
      </c>
      <c r="C2381" t="inlineStr">
        <is>
          <t>Manufactura / General</t>
        </is>
      </c>
      <c r="D2381" t="n">
        <v>4</v>
      </c>
      <c r="E2381" t="n">
        <v>97.04966110000001</v>
      </c>
      <c r="F2381" t="n">
        <v>0.5815570597499999</v>
      </c>
      <c r="G2381" t="n">
        <v>0</v>
      </c>
      <c r="H2381" t="n">
        <v>20.27</v>
      </c>
      <c r="I2381" t="n">
        <v>0.4</v>
      </c>
      <c r="J2381" t="n">
        <v>7</v>
      </c>
      <c r="K2381" t="inlineStr">
        <is>
          <t>Sin stock</t>
        </is>
      </c>
    </row>
    <row r="2382">
      <c r="A2382" t="inlineStr">
        <is>
          <t>MARMIDA05TM</t>
        </is>
      </c>
      <c r="B2382" t="inlineStr">
        <is>
          <t>MAR ORIGINAL DAMA</t>
        </is>
      </c>
      <c r="C2382" t="inlineStr">
        <is>
          <t>Manufactura / Dama / P. Superiores</t>
        </is>
      </c>
      <c r="D2382" t="n">
        <v>2</v>
      </c>
      <c r="E2382" t="n">
        <v>96.80337331999999</v>
      </c>
      <c r="F2382" t="n">
        <v>0.91156872095</v>
      </c>
      <c r="G2382" t="n">
        <v>0</v>
      </c>
      <c r="H2382" t="n">
        <v>4.278324149</v>
      </c>
      <c r="I2382" t="n">
        <v>0.2</v>
      </c>
      <c r="J2382" t="n">
        <v>9</v>
      </c>
      <c r="K2382" t="inlineStr">
        <is>
          <t>Sin stock</t>
        </is>
      </c>
    </row>
    <row r="2383">
      <c r="A2383" t="inlineStr">
        <is>
          <t>VIVMIDA48TS</t>
        </is>
      </c>
      <c r="B2383" t="inlineStr">
        <is>
          <t>VIVI ORIGINAL DAMA</t>
        </is>
      </c>
      <c r="C2383" t="inlineStr">
        <is>
          <t>Manufactura / Dama / P. Superiores</t>
        </is>
      </c>
      <c r="D2383" t="n">
        <v>6</v>
      </c>
      <c r="E2383" t="n">
        <v>96.33745422</v>
      </c>
      <c r="F2383" t="n">
        <v>0.8593484128333332</v>
      </c>
      <c r="G2383" t="n">
        <v>42</v>
      </c>
      <c r="H2383" t="n">
        <v>4.303181706</v>
      </c>
      <c r="I2383" t="n">
        <v>0.6</v>
      </c>
      <c r="J2383" t="n">
        <v>1</v>
      </c>
      <c r="K2383" t="inlineStr"/>
    </row>
    <row r="2384">
      <c r="A2384" t="inlineStr">
        <is>
          <t>VIVMIDA13TM</t>
        </is>
      </c>
      <c r="B2384" t="inlineStr">
        <is>
          <t>VIVI ORIGINAL DAMA</t>
        </is>
      </c>
      <c r="C2384" t="inlineStr">
        <is>
          <t>Manufactura / Dama / P. Superiores</t>
        </is>
      </c>
      <c r="D2384" t="n">
        <v>3</v>
      </c>
      <c r="E2384" t="n">
        <v>95.67540407</v>
      </c>
      <c r="F2384" t="n">
        <v>0.8683527283</v>
      </c>
      <c r="G2384" t="n">
        <v>3</v>
      </c>
      <c r="H2384" t="n">
        <v>4.303181706</v>
      </c>
      <c r="I2384" t="n">
        <v>0.3</v>
      </c>
      <c r="J2384" t="n">
        <v>6</v>
      </c>
      <c r="K2384" t="inlineStr"/>
    </row>
    <row r="2385">
      <c r="A2385" t="inlineStr">
        <is>
          <t>SHOUNCA12TS</t>
        </is>
      </c>
      <c r="B2385" t="inlineStr">
        <is>
          <t>SHORT PLAYA CAB</t>
        </is>
      </c>
      <c r="C2385" t="inlineStr">
        <is>
          <t>Manufactura / Caballero / P. Inferiores</t>
        </is>
      </c>
      <c r="D2385" t="n">
        <v>2</v>
      </c>
      <c r="E2385" t="n">
        <v>95.59564008000001</v>
      </c>
      <c r="F2385" t="n">
        <v>0.7898382541</v>
      </c>
      <c r="G2385" t="n">
        <v>0</v>
      </c>
      <c r="H2385" t="n">
        <v>9.99</v>
      </c>
      <c r="I2385" t="n">
        <v>0.2</v>
      </c>
      <c r="J2385" t="n">
        <v>5</v>
      </c>
      <c r="K2385" t="inlineStr">
        <is>
          <t>Sin stock</t>
        </is>
      </c>
    </row>
    <row r="2386">
      <c r="A2386" t="inlineStr">
        <is>
          <t>SHR2VICA43TM</t>
        </is>
      </c>
      <c r="B2386" t="inlineStr">
        <is>
          <t>SHORT R2 CAB</t>
        </is>
      </c>
      <c r="C2386" t="inlineStr">
        <is>
          <t>Manufactura / Dama / P. Inferiores</t>
        </is>
      </c>
      <c r="D2386" t="n">
        <v>3</v>
      </c>
      <c r="E2386" t="n">
        <v>95.10977811000001</v>
      </c>
      <c r="F2386" t="n">
        <v>0.8082214385499999</v>
      </c>
      <c r="G2386" t="n">
        <v>0</v>
      </c>
      <c r="H2386" t="n">
        <v>9.119999999999999</v>
      </c>
      <c r="I2386" t="n">
        <v>0.3</v>
      </c>
      <c r="J2386" t="n">
        <v>1</v>
      </c>
      <c r="K2386" t="inlineStr">
        <is>
          <t>Sin stock</t>
        </is>
      </c>
    </row>
    <row r="2387">
      <c r="A2387" t="inlineStr">
        <is>
          <t>VIVMIDA11TM</t>
        </is>
      </c>
      <c r="B2387" t="inlineStr">
        <is>
          <t>VIVI ORIGINAL DAMA</t>
        </is>
      </c>
      <c r="C2387" t="inlineStr">
        <is>
          <t>Manufactura / Dama / P. Superiores</t>
        </is>
      </c>
      <c r="D2387" t="n">
        <v>5</v>
      </c>
      <c r="E2387" t="n">
        <v>95.10147986999999</v>
      </c>
      <c r="F2387" t="n">
        <v>0.8633188608333334</v>
      </c>
      <c r="G2387" t="n">
        <v>29</v>
      </c>
      <c r="H2387" t="n">
        <v>4.303181706</v>
      </c>
      <c r="I2387" t="n">
        <v>0.5</v>
      </c>
      <c r="J2387" t="n">
        <v>1</v>
      </c>
      <c r="K2387" t="inlineStr"/>
    </row>
    <row r="2388">
      <c r="A2388" t="inlineStr">
        <is>
          <t>ZOEMIKI01T4</t>
        </is>
      </c>
      <c r="B2388" t="inlineStr">
        <is>
          <t>ZOE ORIGINAL KIDS</t>
        </is>
      </c>
      <c r="C2388" t="inlineStr">
        <is>
          <t>Manufactura / Kids / P. Superiores</t>
        </is>
      </c>
      <c r="D2388" t="n">
        <v>2</v>
      </c>
      <c r="E2388" t="n">
        <v>95.08125964</v>
      </c>
      <c r="F2388" t="n">
        <v>0.9122628592499999</v>
      </c>
      <c r="G2388" t="n">
        <v>15</v>
      </c>
      <c r="H2388" t="n">
        <v>4.12</v>
      </c>
      <c r="I2388" t="n">
        <v>0.2</v>
      </c>
      <c r="J2388" t="n">
        <v>2</v>
      </c>
      <c r="K2388" t="inlineStr"/>
    </row>
    <row r="2389">
      <c r="A2389" t="inlineStr">
        <is>
          <t>SMLBLICA16TXL</t>
        </is>
      </c>
      <c r="B2389" t="inlineStr">
        <is>
          <t>SPOTS MANGA LARGA CAB</t>
        </is>
      </c>
      <c r="C2389" t="inlineStr">
        <is>
          <t>Manufactura / Caballero / P. Superiores</t>
        </is>
      </c>
      <c r="D2389" t="n">
        <v>2</v>
      </c>
      <c r="E2389" t="n">
        <v>94.81999999999999</v>
      </c>
      <c r="F2389" t="n">
        <v>0.7281164311</v>
      </c>
      <c r="G2389" t="n">
        <v>8</v>
      </c>
      <c r="H2389" t="n">
        <v>12.89</v>
      </c>
      <c r="I2389" t="n">
        <v>0.2</v>
      </c>
      <c r="J2389" t="n">
        <v>0</v>
      </c>
      <c r="K2389" t="inlineStr"/>
    </row>
    <row r="2390">
      <c r="A2390" t="inlineStr">
        <is>
          <t>MARMIDA24TXS</t>
        </is>
      </c>
      <c r="B2390" t="inlineStr">
        <is>
          <t>MAR ORIGINAL DAMA</t>
        </is>
      </c>
      <c r="C2390" t="inlineStr">
        <is>
          <t>Manufactura / Dama / P. Superiores</t>
        </is>
      </c>
      <c r="D2390" t="n">
        <v>2</v>
      </c>
      <c r="E2390" t="n">
        <v>94.33674572999999</v>
      </c>
      <c r="F2390" t="n">
        <v>0.90929489795</v>
      </c>
      <c r="G2390" t="n">
        <v>0</v>
      </c>
      <c r="H2390" t="n">
        <v>4.278324149</v>
      </c>
      <c r="I2390" t="n">
        <v>0.2</v>
      </c>
      <c r="J2390" t="n">
        <v>9</v>
      </c>
      <c r="K2390" t="inlineStr">
        <is>
          <t>Sin stock</t>
        </is>
      </c>
    </row>
    <row r="2391">
      <c r="A2391" t="inlineStr">
        <is>
          <t>MAYFNDA70TXL</t>
        </is>
      </c>
      <c r="B2391" t="inlineStr">
        <is>
          <t>MAYA SPORT LITE DAMA</t>
        </is>
      </c>
      <c r="C2391" t="inlineStr">
        <is>
          <t>Manufactura / Dama / P. Superiores</t>
        </is>
      </c>
      <c r="D2391" t="n">
        <v>2</v>
      </c>
      <c r="E2391" t="n">
        <v>94.27025485</v>
      </c>
      <c r="F2391" t="n">
        <v>0.9157640793999999</v>
      </c>
      <c r="G2391" t="n">
        <v>25</v>
      </c>
      <c r="H2391" t="n">
        <v>3.87</v>
      </c>
      <c r="I2391" t="n">
        <v>0.2</v>
      </c>
      <c r="J2391" t="n">
        <v>3</v>
      </c>
      <c r="K2391" t="inlineStr"/>
    </row>
    <row r="2392">
      <c r="A2392" t="inlineStr">
        <is>
          <t>CGCSKI16T6</t>
        </is>
      </c>
      <c r="B2392" t="inlineStr">
        <is>
          <t>CLASICA GC SUBLIMADO KIDS</t>
        </is>
      </c>
      <c r="C2392" t="inlineStr">
        <is>
          <t>Manufactura / Kids / P. Superiores</t>
        </is>
      </c>
      <c r="D2392" t="n">
        <v>2</v>
      </c>
      <c r="E2392" t="n">
        <v>94.22617824</v>
      </c>
      <c r="F2392" t="n">
        <v>0</v>
      </c>
      <c r="G2392" t="n">
        <v>0</v>
      </c>
      <c r="H2392" t="n">
        <v>0</v>
      </c>
      <c r="I2392" t="n">
        <v>0.2</v>
      </c>
      <c r="J2392" t="n">
        <v>2</v>
      </c>
      <c r="K2392" t="inlineStr">
        <is>
          <t>Sin stock</t>
        </is>
      </c>
    </row>
    <row r="2393">
      <c r="A2393" t="inlineStr">
        <is>
          <t>EC175UN</t>
        </is>
      </c>
      <c r="B2393" t="inlineStr">
        <is>
          <t>ECO BAG</t>
        </is>
      </c>
      <c r="C2393" t="inlineStr">
        <is>
          <t>Equipamiento / Bolsos</t>
        </is>
      </c>
      <c r="D2393" t="n">
        <v>102</v>
      </c>
      <c r="E2393" t="n">
        <v>94.059330751</v>
      </c>
      <c r="F2393" t="n">
        <v>0.5799020598</v>
      </c>
      <c r="G2393" t="n">
        <v>97</v>
      </c>
      <c r="H2393" t="n">
        <v>5.5</v>
      </c>
      <c r="I2393" t="n">
        <v>10.2</v>
      </c>
      <c r="J2393" t="n">
        <v>0</v>
      </c>
      <c r="K2393" t="inlineStr"/>
    </row>
    <row r="2394">
      <c r="A2394" t="inlineStr">
        <is>
          <t>ZOEMIKI11T4</t>
        </is>
      </c>
      <c r="B2394" t="inlineStr">
        <is>
          <t>ZOE ORIGINAL KIDS</t>
        </is>
      </c>
      <c r="C2394" t="inlineStr">
        <is>
          <t>Manufactura / Kids / P. Superiores</t>
        </is>
      </c>
      <c r="D2394" t="n">
        <v>3</v>
      </c>
      <c r="E2394" t="n">
        <v>94.01599229999999</v>
      </c>
      <c r="F2394" t="n">
        <v>0.8684179319999999</v>
      </c>
      <c r="G2394" t="n">
        <v>13</v>
      </c>
      <c r="H2394" t="n">
        <v>4.12</v>
      </c>
      <c r="I2394" t="n">
        <v>0.3</v>
      </c>
      <c r="J2394" t="n">
        <v>2</v>
      </c>
      <c r="K2394" t="inlineStr"/>
    </row>
    <row r="2395">
      <c r="A2395" t="inlineStr">
        <is>
          <t>SABMEDA30TL</t>
        </is>
      </c>
      <c r="B2395" t="inlineStr">
        <is>
          <t>SABRI SPORT DAMA</t>
        </is>
      </c>
      <c r="C2395" t="inlineStr">
        <is>
          <t>Manufactura / Dama / P. Superiores</t>
        </is>
      </c>
      <c r="D2395" t="n">
        <v>2</v>
      </c>
      <c r="E2395" t="n">
        <v>93.95831197</v>
      </c>
      <c r="F2395" t="n">
        <v>0.89618898915</v>
      </c>
      <c r="G2395" t="n">
        <v>19</v>
      </c>
      <c r="H2395" t="n">
        <v>4.51</v>
      </c>
      <c r="I2395" t="n">
        <v>0.2</v>
      </c>
      <c r="J2395" t="n">
        <v>4</v>
      </c>
      <c r="K2395" t="inlineStr"/>
    </row>
    <row r="2396">
      <c r="A2396" t="inlineStr">
        <is>
          <t>MARMIDA13T2XL</t>
        </is>
      </c>
      <c r="B2396" t="inlineStr">
        <is>
          <t>MAR ORIGINAL DAMA</t>
        </is>
      </c>
      <c r="C2396" t="inlineStr">
        <is>
          <t>Manufactura / Dama / P. Superiores</t>
        </is>
      </c>
      <c r="D2396" t="n">
        <v>2</v>
      </c>
      <c r="E2396" t="n">
        <v>93.90175318</v>
      </c>
      <c r="F2396" t="n">
        <v>0.9058355438500001</v>
      </c>
      <c r="G2396" t="n">
        <v>0</v>
      </c>
      <c r="H2396" t="n">
        <v>4.278324149</v>
      </c>
      <c r="I2396" t="n">
        <v>0.2</v>
      </c>
      <c r="J2396" t="n">
        <v>5</v>
      </c>
      <c r="K2396" t="inlineStr">
        <is>
          <t>Sin stock</t>
        </is>
      </c>
    </row>
    <row r="2397">
      <c r="A2397" t="inlineStr">
        <is>
          <t>ANDMIDA39TXS</t>
        </is>
      </c>
      <c r="B2397" t="inlineStr">
        <is>
          <t>ANDRE ORIGINAL DAMA</t>
        </is>
      </c>
      <c r="C2397" t="inlineStr">
        <is>
          <t>Manufactura / Dama / P. Superiores</t>
        </is>
      </c>
      <c r="D2397" t="n">
        <v>3</v>
      </c>
      <c r="E2397" t="n">
        <v>93.47127266000001</v>
      </c>
      <c r="F2397" t="n">
        <v>0.8947888680333334</v>
      </c>
      <c r="G2397" t="n">
        <v>0</v>
      </c>
      <c r="H2397" t="n">
        <v>3.274295302</v>
      </c>
      <c r="I2397" t="n">
        <v>0.3</v>
      </c>
      <c r="J2397" t="n">
        <v>9</v>
      </c>
      <c r="K2397" t="inlineStr">
        <is>
          <t>Sin stock</t>
        </is>
      </c>
    </row>
    <row r="2398">
      <c r="A2398" t="inlineStr">
        <is>
          <t>SHONRKI12T6</t>
        </is>
      </c>
      <c r="B2398" t="inlineStr">
        <is>
          <t>SHORT SPORT KIDS</t>
        </is>
      </c>
      <c r="C2398" t="inlineStr">
        <is>
          <t>Manufactura / Kids / P. Inferiores</t>
        </is>
      </c>
      <c r="D2398" t="n">
        <v>2</v>
      </c>
      <c r="E2398" t="n">
        <v>93.22008163000001</v>
      </c>
      <c r="F2398" t="n">
        <v>0.86122254145</v>
      </c>
      <c r="G2398" t="n">
        <v>78</v>
      </c>
      <c r="H2398" t="n">
        <v>6.465724382</v>
      </c>
      <c r="I2398" t="n">
        <v>0.2</v>
      </c>
      <c r="J2398" t="n">
        <v>2</v>
      </c>
      <c r="K2398" t="inlineStr"/>
    </row>
    <row r="2399">
      <c r="A2399" t="inlineStr">
        <is>
          <t>VIVMIDA70TXS</t>
        </is>
      </c>
      <c r="B2399" t="inlineStr">
        <is>
          <t>VIVI ORIGINAL DAMA</t>
        </is>
      </c>
      <c r="C2399" t="inlineStr">
        <is>
          <t>Manufactura / Dama / P. Superiores</t>
        </is>
      </c>
      <c r="D2399" t="n">
        <v>4</v>
      </c>
      <c r="E2399" t="n">
        <v>92.57572832</v>
      </c>
      <c r="F2399" t="n">
        <v>0.8511722146</v>
      </c>
      <c r="G2399" t="n">
        <v>7</v>
      </c>
      <c r="H2399" t="n">
        <v>4.303181706</v>
      </c>
      <c r="I2399" t="n">
        <v>0.4</v>
      </c>
      <c r="J2399" t="n">
        <v>2</v>
      </c>
      <c r="K2399" t="inlineStr"/>
    </row>
    <row r="2400">
      <c r="A2400" t="inlineStr">
        <is>
          <t>ANDMIDA12TXL</t>
        </is>
      </c>
      <c r="B2400" t="inlineStr">
        <is>
          <t>ANDRE ORIGINAL DAMA</t>
        </is>
      </c>
      <c r="C2400" t="inlineStr">
        <is>
          <t>Manufactura / Dama / P. Superiores</t>
        </is>
      </c>
      <c r="D2400" t="n">
        <v>2</v>
      </c>
      <c r="E2400" t="n">
        <v>92.51685641</v>
      </c>
      <c r="F2400" t="n">
        <v>0.92921476725</v>
      </c>
      <c r="G2400" t="n">
        <v>49</v>
      </c>
      <c r="H2400" t="n">
        <v>3.274295302</v>
      </c>
      <c r="I2400" t="n">
        <v>0.2</v>
      </c>
      <c r="J2400" t="n">
        <v>2</v>
      </c>
      <c r="K2400" t="inlineStr"/>
    </row>
    <row r="2401">
      <c r="A2401" t="inlineStr">
        <is>
          <t>RIOMIKI70T10</t>
        </is>
      </c>
      <c r="B2401" t="inlineStr">
        <is>
          <t>RIO ORIGINAL KIDS</t>
        </is>
      </c>
      <c r="C2401" t="inlineStr">
        <is>
          <t>Manufactura / Kids / P. Superiores</t>
        </is>
      </c>
      <c r="D2401" t="n">
        <v>2</v>
      </c>
      <c r="E2401" t="n">
        <v>92.50659953</v>
      </c>
      <c r="F2401" t="n">
        <v>0.9215977113</v>
      </c>
      <c r="G2401" t="n">
        <v>0</v>
      </c>
      <c r="H2401" t="n">
        <v>3.617969464</v>
      </c>
      <c r="I2401" t="n">
        <v>0.2</v>
      </c>
      <c r="J2401" t="n">
        <v>4</v>
      </c>
      <c r="K2401" t="inlineStr">
        <is>
          <t>Sin stock</t>
        </is>
      </c>
    </row>
    <row r="2402">
      <c r="A2402" t="inlineStr">
        <is>
          <t>MARMIDA52TS</t>
        </is>
      </c>
      <c r="B2402" t="inlineStr">
        <is>
          <t>MAR ORIGINAL DAMA</t>
        </is>
      </c>
      <c r="C2402" t="inlineStr">
        <is>
          <t>Manufactura / Dama / P. Superiores</t>
        </is>
      </c>
      <c r="D2402" t="n">
        <v>2</v>
      </c>
      <c r="E2402" t="n">
        <v>92.39896315</v>
      </c>
      <c r="F2402" t="n">
        <v>0.90686481385</v>
      </c>
      <c r="G2402" t="n">
        <v>0</v>
      </c>
      <c r="H2402" t="n">
        <v>4.278324149</v>
      </c>
      <c r="I2402" t="n">
        <v>0.2</v>
      </c>
      <c r="J2402" t="n">
        <v>7</v>
      </c>
      <c r="K2402" t="inlineStr">
        <is>
          <t>Sin stock</t>
        </is>
      </c>
    </row>
    <row r="2403">
      <c r="A2403" t="inlineStr">
        <is>
          <t>DALSSTDA43TXS</t>
        </is>
      </c>
      <c r="B2403" t="inlineStr">
        <is>
          <t>MANGA LARGA DAILY 2.0 DAMA</t>
        </is>
      </c>
      <c r="C2403" t="inlineStr">
        <is>
          <t>Manufactura / Dama / P. Superiores</t>
        </is>
      </c>
      <c r="D2403" t="n">
        <v>4</v>
      </c>
      <c r="E2403" t="n">
        <v>92.13348528</v>
      </c>
      <c r="F2403" t="n">
        <v>0.7230826110499999</v>
      </c>
      <c r="G2403" t="n">
        <v>0</v>
      </c>
      <c r="H2403" t="n">
        <v>12.3</v>
      </c>
      <c r="I2403" t="n">
        <v>0.4</v>
      </c>
      <c r="J2403" t="n">
        <v>6</v>
      </c>
      <c r="K2403" t="inlineStr">
        <is>
          <t>Sin stock</t>
        </is>
      </c>
    </row>
    <row r="2404">
      <c r="A2404" t="inlineStr">
        <is>
          <t>CLAMIDA53TS</t>
        </is>
      </c>
      <c r="B2404" t="inlineStr">
        <is>
          <t>CLASICA ORIGINAL DAMA</t>
        </is>
      </c>
      <c r="C2404" t="inlineStr">
        <is>
          <t>Manufactura / Dama / P. Superiores</t>
        </is>
      </c>
      <c r="D2404" t="n">
        <v>2</v>
      </c>
      <c r="E2404" t="n">
        <v>92.09903833999999</v>
      </c>
      <c r="F2404" t="n">
        <v>0.9141930223</v>
      </c>
      <c r="G2404" t="n">
        <v>0</v>
      </c>
      <c r="H2404" t="n">
        <v>3.923227589</v>
      </c>
      <c r="I2404" t="n">
        <v>0.2</v>
      </c>
      <c r="J2404" t="n">
        <v>4</v>
      </c>
      <c r="K2404" t="inlineStr">
        <is>
          <t>Sin stock</t>
        </is>
      </c>
    </row>
    <row r="2405">
      <c r="A2405" t="inlineStr">
        <is>
          <t>SABSTDA43TL</t>
        </is>
      </c>
      <c r="B2405" t="inlineStr">
        <is>
          <t>RETRO VZLA DAMA</t>
        </is>
      </c>
      <c r="C2405" t="inlineStr">
        <is>
          <t>Manufactura / Dama / P. Superiores</t>
        </is>
      </c>
      <c r="D2405" t="n">
        <v>2</v>
      </c>
      <c r="E2405" t="n">
        <v>91.98496864000001</v>
      </c>
      <c r="F2405" t="n">
        <v>0.75571244365</v>
      </c>
      <c r="G2405" t="n">
        <v>0</v>
      </c>
      <c r="H2405" t="n">
        <v>11.23</v>
      </c>
      <c r="I2405" t="n">
        <v>0.2</v>
      </c>
      <c r="J2405" t="n">
        <v>0</v>
      </c>
      <c r="K2405" t="inlineStr">
        <is>
          <t>Sin stock</t>
        </is>
      </c>
    </row>
    <row r="2406">
      <c r="A2406" t="inlineStr">
        <is>
          <t>ZOEMIDA66TM</t>
        </is>
      </c>
      <c r="B2406" t="inlineStr">
        <is>
          <t>ZOE ORIGINAL DAMA</t>
        </is>
      </c>
      <c r="C2406" t="inlineStr">
        <is>
          <t>Manufactura / Dama / P. Superiores</t>
        </is>
      </c>
      <c r="D2406" t="n">
        <v>6</v>
      </c>
      <c r="E2406" t="n">
        <v>91.88195082999999</v>
      </c>
      <c r="F2406" t="n">
        <v>0.91035642175</v>
      </c>
      <c r="G2406" t="n">
        <v>0</v>
      </c>
      <c r="H2406" t="n">
        <v>4.116585696</v>
      </c>
      <c r="I2406" t="n">
        <v>0.6</v>
      </c>
      <c r="J2406" t="n">
        <v>0</v>
      </c>
      <c r="K2406" t="inlineStr">
        <is>
          <t>Sin stock</t>
        </is>
      </c>
    </row>
    <row r="2407">
      <c r="A2407" t="inlineStr">
        <is>
          <t>BUFMIGE01TUN</t>
        </is>
      </c>
      <c r="B2407" t="inlineStr">
        <is>
          <t>FLEX COVER</t>
        </is>
      </c>
      <c r="C2407" t="inlineStr">
        <is>
          <t>Manufactura / General</t>
        </is>
      </c>
      <c r="D2407" t="n">
        <v>8</v>
      </c>
      <c r="E2407" t="n">
        <v>91.621848112</v>
      </c>
      <c r="F2407" t="n">
        <v>0.79244170357</v>
      </c>
      <c r="G2407" t="n">
        <v>7</v>
      </c>
      <c r="H2407" t="n">
        <v>2.21</v>
      </c>
      <c r="I2407" t="n">
        <v>0.8</v>
      </c>
      <c r="J2407" t="n">
        <v>0</v>
      </c>
      <c r="K2407" t="inlineStr"/>
    </row>
    <row r="2408">
      <c r="A2408" t="inlineStr">
        <is>
          <t>CLMSUCA17T2XL</t>
        </is>
      </c>
      <c r="B2408" t="inlineStr">
        <is>
          <t>CLASICA MOTION CAB</t>
        </is>
      </c>
      <c r="C2408" t="inlineStr">
        <is>
          <t>Manufactura / Caballero / P. Superiores</t>
        </is>
      </c>
      <c r="D2408" t="n">
        <v>2</v>
      </c>
      <c r="E2408" t="n">
        <v>90.97939658999999</v>
      </c>
      <c r="F2408" t="n">
        <v>0.7285734270999999</v>
      </c>
      <c r="G2408" t="n">
        <v>0</v>
      </c>
      <c r="H2408" t="n">
        <v>12.26</v>
      </c>
      <c r="I2408" t="n">
        <v>0.2</v>
      </c>
      <c r="J2408" t="n">
        <v>5</v>
      </c>
      <c r="K2408" t="inlineStr">
        <is>
          <t>Sin stock</t>
        </is>
      </c>
    </row>
    <row r="2409">
      <c r="A2409" t="inlineStr">
        <is>
          <t>CLAMIKI66T8</t>
        </is>
      </c>
      <c r="B2409" t="inlineStr">
        <is>
          <t>CLASICA ORIGINAL KIDS</t>
        </is>
      </c>
      <c r="C2409" t="inlineStr">
        <is>
          <t>Manufactura / Kids / P. Superiores</t>
        </is>
      </c>
      <c r="D2409" t="n">
        <v>4</v>
      </c>
      <c r="E2409" t="n">
        <v>90.80438296</v>
      </c>
      <c r="F2409" t="n">
        <v>0.9293873970000001</v>
      </c>
      <c r="G2409" t="n">
        <v>6</v>
      </c>
      <c r="H2409" t="n">
        <v>2.053774806</v>
      </c>
      <c r="I2409" t="n">
        <v>0.4</v>
      </c>
      <c r="J2409" t="n">
        <v>4</v>
      </c>
      <c r="K2409" t="inlineStr"/>
    </row>
    <row r="2410">
      <c r="A2410" t="inlineStr">
        <is>
          <t>MANMIGE12TP</t>
        </is>
      </c>
      <c r="B2410" t="inlineStr">
        <is>
          <t>MANGAS GENERAL</t>
        </is>
      </c>
      <c r="C2410" t="inlineStr">
        <is>
          <t>Manufactura / General</t>
        </is>
      </c>
      <c r="D2410" t="n">
        <v>7</v>
      </c>
      <c r="E2410" t="n">
        <v>90.46537503</v>
      </c>
      <c r="F2410" t="n">
        <v>0.9490686203799999</v>
      </c>
      <c r="G2410" t="n">
        <v>3</v>
      </c>
      <c r="H2410" t="n">
        <v>0.92</v>
      </c>
      <c r="I2410" t="n">
        <v>0.7</v>
      </c>
      <c r="J2410" t="n">
        <v>3</v>
      </c>
      <c r="K2410" t="inlineStr"/>
    </row>
    <row r="2411">
      <c r="A2411" t="inlineStr">
        <is>
          <t>MAYFNDA70TL</t>
        </is>
      </c>
      <c r="B2411" t="inlineStr">
        <is>
          <t>MAYA SPORT LITE DAMA</t>
        </is>
      </c>
      <c r="C2411" t="inlineStr">
        <is>
          <t>Manufactura / Dama / P. Superiores</t>
        </is>
      </c>
      <c r="D2411" t="n">
        <v>3</v>
      </c>
      <c r="E2411" t="n">
        <v>90.37010259</v>
      </c>
      <c r="F2411" t="n">
        <v>0.8704865634799999</v>
      </c>
      <c r="G2411" t="n">
        <v>10</v>
      </c>
      <c r="H2411" t="n">
        <v>3.87</v>
      </c>
      <c r="I2411" t="n">
        <v>0.3</v>
      </c>
      <c r="J2411" t="n">
        <v>7</v>
      </c>
      <c r="K2411" t="inlineStr"/>
    </row>
    <row r="2412">
      <c r="A2412" t="inlineStr">
        <is>
          <t>GEMBADA16TL</t>
        </is>
      </c>
      <c r="B2412" t="inlineStr">
        <is>
          <t>VESTIDO GEMMA DAMA</t>
        </is>
      </c>
      <c r="C2412" t="inlineStr">
        <is>
          <t>Manufactura / Dama / Conjuntos</t>
        </is>
      </c>
      <c r="D2412" t="n">
        <v>3</v>
      </c>
      <c r="E2412" t="n">
        <v>90.02717258</v>
      </c>
      <c r="F2412" t="n">
        <v>0.4636687313</v>
      </c>
      <c r="G2412" t="n">
        <v>20</v>
      </c>
      <c r="H2412" t="n">
        <v>23.99</v>
      </c>
      <c r="I2412" t="n">
        <v>0.3</v>
      </c>
      <c r="J2412" t="n">
        <v>7</v>
      </c>
      <c r="K2412" t="inlineStr"/>
    </row>
    <row r="2413">
      <c r="A2413" t="inlineStr">
        <is>
          <t>CLAMICA43T3XL</t>
        </is>
      </c>
      <c r="B2413" t="inlineStr">
        <is>
          <t>CLASICA ORIGINAL CAB</t>
        </is>
      </c>
      <c r="C2413" t="inlineStr">
        <is>
          <t>Manufactura / Caballero / P. Superiores</t>
        </is>
      </c>
      <c r="D2413" t="n">
        <v>2</v>
      </c>
      <c r="E2413" t="n">
        <v>90.02455926</v>
      </c>
      <c r="F2413" t="n">
        <v>0.8974297928</v>
      </c>
      <c r="G2413" t="n">
        <v>0</v>
      </c>
      <c r="H2413" t="n">
        <v>4.598442536</v>
      </c>
      <c r="I2413" t="n">
        <v>0.2</v>
      </c>
      <c r="J2413" t="n">
        <v>4</v>
      </c>
      <c r="K2413" t="inlineStr">
        <is>
          <t>Sin stock</t>
        </is>
      </c>
    </row>
    <row r="2414">
      <c r="A2414" t="inlineStr">
        <is>
          <t>DOMBFCA205TS</t>
        </is>
      </c>
      <c r="B2414" t="inlineStr">
        <is>
          <t>DOMINIC BIO MOVE CAB</t>
        </is>
      </c>
      <c r="C2414" t="inlineStr">
        <is>
          <t>Manufactura / Caballero / P. Superiores</t>
        </is>
      </c>
      <c r="D2414" t="n">
        <v>9</v>
      </c>
      <c r="E2414" t="n">
        <v>89.58794605999999</v>
      </c>
      <c r="F2414" t="n">
        <v>0.845291687</v>
      </c>
      <c r="G2414" t="n">
        <v>32</v>
      </c>
      <c r="H2414" t="n">
        <v>13.86</v>
      </c>
      <c r="I2414" t="n">
        <v>0.9</v>
      </c>
      <c r="J2414" t="n">
        <v>2</v>
      </c>
      <c r="K2414" t="inlineStr"/>
    </row>
    <row r="2415">
      <c r="A2415" t="inlineStr">
        <is>
          <t>CLAMICA66T3XL</t>
        </is>
      </c>
      <c r="B2415" t="inlineStr">
        <is>
          <t>CLASICA ORIGINAL CAB</t>
        </is>
      </c>
      <c r="C2415" t="inlineStr">
        <is>
          <t>Manufactura / Caballero / P. Superiores</t>
        </is>
      </c>
      <c r="D2415" t="n">
        <v>2</v>
      </c>
      <c r="E2415" t="n">
        <v>89.49683113</v>
      </c>
      <c r="F2415" t="n">
        <v>0.8972134810000001</v>
      </c>
      <c r="G2415" t="n">
        <v>1</v>
      </c>
      <c r="H2415" t="n">
        <v>4.598442536</v>
      </c>
      <c r="I2415" t="n">
        <v>0.2</v>
      </c>
      <c r="J2415" t="n">
        <v>7</v>
      </c>
      <c r="K2415" t="inlineStr"/>
    </row>
    <row r="2416">
      <c r="A2416" t="inlineStr">
        <is>
          <t>MIAMIDA05TS</t>
        </is>
      </c>
      <c r="B2416" t="inlineStr">
        <is>
          <t>MIA ORIGINAL DAMA</t>
        </is>
      </c>
      <c r="C2416" t="inlineStr">
        <is>
          <t>Manufactura / Dama / P. Superiores</t>
        </is>
      </c>
      <c r="D2416" t="n">
        <v>3</v>
      </c>
      <c r="E2416" t="n">
        <v>89.37192403</v>
      </c>
      <c r="F2416" t="n">
        <v>0.8677063999333333</v>
      </c>
      <c r="G2416" t="n">
        <v>0</v>
      </c>
      <c r="H2416" t="n">
        <v>3.94</v>
      </c>
      <c r="I2416" t="n">
        <v>0.3</v>
      </c>
      <c r="J2416" t="n">
        <v>8</v>
      </c>
      <c r="K2416" t="inlineStr">
        <is>
          <t>Sin stock</t>
        </is>
      </c>
    </row>
    <row r="2417">
      <c r="A2417" t="inlineStr">
        <is>
          <t>BUFMIGE70TUN</t>
        </is>
      </c>
      <c r="B2417" t="inlineStr">
        <is>
          <t>FLEX COVER</t>
        </is>
      </c>
      <c r="C2417" t="inlineStr">
        <is>
          <t>Manufactura / General</t>
        </is>
      </c>
      <c r="D2417" t="n">
        <v>7</v>
      </c>
      <c r="E2417" t="n">
        <v>89.15592246</v>
      </c>
      <c r="F2417" t="n">
        <v>0.8199797456285715</v>
      </c>
      <c r="G2417" t="n">
        <v>16</v>
      </c>
      <c r="H2417" t="n">
        <v>2.21</v>
      </c>
      <c r="I2417" t="n">
        <v>0.7</v>
      </c>
      <c r="J2417" t="n">
        <v>0</v>
      </c>
      <c r="K2417" t="inlineStr"/>
    </row>
    <row r="2418">
      <c r="A2418" t="inlineStr">
        <is>
          <t>RIOMIKI05T2</t>
        </is>
      </c>
      <c r="B2418" t="inlineStr">
        <is>
          <t>RIO ORIGINAL KIDS</t>
        </is>
      </c>
      <c r="C2418" t="inlineStr">
        <is>
          <t>Manufactura / Kids / P. Superiores</t>
        </is>
      </c>
      <c r="D2418" t="n">
        <v>2</v>
      </c>
      <c r="E2418" t="n">
        <v>88.75638135</v>
      </c>
      <c r="F2418" t="n">
        <v>0.9184741557</v>
      </c>
      <c r="G2418" t="n">
        <v>0</v>
      </c>
      <c r="H2418" t="n">
        <v>3.617969464</v>
      </c>
      <c r="I2418" t="n">
        <v>0.2</v>
      </c>
      <c r="J2418" t="n">
        <v>9</v>
      </c>
      <c r="K2418" t="inlineStr">
        <is>
          <t>Sin stock</t>
        </is>
      </c>
    </row>
    <row r="2419">
      <c r="A2419" t="inlineStr">
        <is>
          <t>MARMICA16T3XL</t>
        </is>
      </c>
      <c r="B2419" t="inlineStr">
        <is>
          <t>MAR ORIGINAL CAB</t>
        </is>
      </c>
      <c r="C2419" t="inlineStr">
        <is>
          <t>Manufactura / Caballero / P. Superiores</t>
        </is>
      </c>
      <c r="D2419" t="n">
        <v>2</v>
      </c>
      <c r="E2419" t="n">
        <v>88.65529907999999</v>
      </c>
      <c r="F2419" t="n">
        <v>0.88756195875</v>
      </c>
      <c r="G2419" t="n">
        <v>1</v>
      </c>
      <c r="H2419" t="n">
        <v>4.946357428</v>
      </c>
      <c r="I2419" t="n">
        <v>0.2</v>
      </c>
      <c r="J2419" t="n">
        <v>8</v>
      </c>
      <c r="K2419" t="inlineStr"/>
    </row>
    <row r="2420">
      <c r="A2420" t="inlineStr">
        <is>
          <t>BAN39EQ</t>
        </is>
      </c>
      <c r="B2420" t="inlineStr">
        <is>
          <t>CUADRO BAND</t>
        </is>
      </c>
      <c r="C2420" t="inlineStr">
        <is>
          <t>Equipamiento / Accesorios</t>
        </is>
      </c>
      <c r="D2420" t="n">
        <v>40</v>
      </c>
      <c r="E2420" t="n">
        <v>88.63506081200001</v>
      </c>
      <c r="F2420" t="n">
        <v>0.8493800904978723</v>
      </c>
      <c r="G2420" t="n">
        <v>3111</v>
      </c>
      <c r="H2420" t="n">
        <v>0.3159183673</v>
      </c>
      <c r="I2420" t="n">
        <v>4</v>
      </c>
      <c r="J2420" t="n">
        <v>0</v>
      </c>
      <c r="K2420" t="inlineStr"/>
    </row>
    <row r="2421">
      <c r="A2421" t="inlineStr">
        <is>
          <t>ANDMIDA11TXS</t>
        </is>
      </c>
      <c r="B2421" t="inlineStr">
        <is>
          <t>ANDRE ORIGINAL DAMA</t>
        </is>
      </c>
      <c r="C2421" t="inlineStr">
        <is>
          <t>Manufactura / Dama / P. Superiores</t>
        </is>
      </c>
      <c r="D2421" t="n">
        <v>3</v>
      </c>
      <c r="E2421" t="n">
        <v>88.50722866000001</v>
      </c>
      <c r="F2421" t="n">
        <v>0.8886731781666667</v>
      </c>
      <c r="G2421" t="n">
        <v>0</v>
      </c>
      <c r="H2421" t="n">
        <v>3.274295302</v>
      </c>
      <c r="I2421" t="n">
        <v>0.3</v>
      </c>
      <c r="J2421" t="n">
        <v>8</v>
      </c>
      <c r="K2421" t="inlineStr">
        <is>
          <t>Sin stock</t>
        </is>
      </c>
    </row>
    <row r="2422">
      <c r="A2422" t="inlineStr">
        <is>
          <t>VIVMIDA50TL</t>
        </is>
      </c>
      <c r="B2422" t="inlineStr">
        <is>
          <t>VIVI ORIGINAL DAMA</t>
        </is>
      </c>
      <c r="C2422" t="inlineStr">
        <is>
          <t>Manufactura / Dama / P. Superiores</t>
        </is>
      </c>
      <c r="D2422" t="n">
        <v>2</v>
      </c>
      <c r="E2422" t="n">
        <v>88.21547862</v>
      </c>
      <c r="F2422" t="n">
        <v>0.9024189459</v>
      </c>
      <c r="G2422" t="n">
        <v>1</v>
      </c>
      <c r="H2422" t="n">
        <v>4.303181706</v>
      </c>
      <c r="I2422" t="n">
        <v>0.2</v>
      </c>
      <c r="J2422" t="n">
        <v>5</v>
      </c>
      <c r="K2422" t="inlineStr"/>
    </row>
    <row r="2423">
      <c r="A2423" t="inlineStr">
        <is>
          <t>DALSTKI43T10</t>
        </is>
      </c>
      <c r="B2423" t="inlineStr">
        <is>
          <t>CLASICA DAILY 2.0 KIDS</t>
        </is>
      </c>
      <c r="C2423" t="inlineStr">
        <is>
          <t>Manufactura / Kids / P. Superiores</t>
        </is>
      </c>
      <c r="D2423" t="n">
        <v>4</v>
      </c>
      <c r="E2423" t="n">
        <v>87.9945597</v>
      </c>
      <c r="F2423" t="n">
        <v>0.7021434860666668</v>
      </c>
      <c r="G2423" t="n">
        <v>7</v>
      </c>
      <c r="H2423" t="n">
        <v>8.699999999999999</v>
      </c>
      <c r="I2423" t="n">
        <v>0.4</v>
      </c>
      <c r="J2423" t="n">
        <v>3</v>
      </c>
      <c r="K2423" t="inlineStr"/>
    </row>
    <row r="2424">
      <c r="A2424" t="inlineStr">
        <is>
          <t>AQUSTDA43TS</t>
        </is>
      </c>
      <c r="B2424" t="inlineStr">
        <is>
          <t>RETRO VZLA DAMA</t>
        </is>
      </c>
      <c r="C2424" t="inlineStr">
        <is>
          <t>Manufactura / Dama / P. Superiores</t>
        </is>
      </c>
      <c r="D2424" t="n">
        <v>2</v>
      </c>
      <c r="E2424" t="n">
        <v>87.82166653</v>
      </c>
      <c r="F2424" t="n">
        <v>0.7442068652</v>
      </c>
      <c r="G2424" t="n">
        <v>2</v>
      </c>
      <c r="H2424" t="n">
        <v>11.23</v>
      </c>
      <c r="I2424" t="n">
        <v>0.2</v>
      </c>
      <c r="J2424" t="n">
        <v>7</v>
      </c>
      <c r="K2424" t="inlineStr"/>
    </row>
    <row r="2425">
      <c r="A2425" t="inlineStr">
        <is>
          <t>DALSSTCA43T2XL</t>
        </is>
      </c>
      <c r="B2425" t="inlineStr">
        <is>
          <t>MANGA LARGA DAILY 2.0 CAB</t>
        </is>
      </c>
      <c r="C2425" t="inlineStr">
        <is>
          <t>Manufactura / Caballero / P. Superiores</t>
        </is>
      </c>
      <c r="D2425" t="n">
        <v>2</v>
      </c>
      <c r="E2425" t="n">
        <v>87.57911049000001</v>
      </c>
      <c r="F2425" t="n">
        <v>0.5964419413499999</v>
      </c>
      <c r="G2425" t="n">
        <v>0</v>
      </c>
      <c r="H2425" t="n">
        <v>14.21</v>
      </c>
      <c r="I2425" t="n">
        <v>0.2</v>
      </c>
      <c r="J2425" t="n">
        <v>7</v>
      </c>
      <c r="K2425" t="inlineStr">
        <is>
          <t>Sin stock</t>
        </is>
      </c>
    </row>
    <row r="2426">
      <c r="A2426" t="inlineStr">
        <is>
          <t>MARMICA14T2XL</t>
        </is>
      </c>
      <c r="B2426" t="inlineStr">
        <is>
          <t>MAR ORIGINAL CAB</t>
        </is>
      </c>
      <c r="C2426" t="inlineStr">
        <is>
          <t>Manufactura / Caballero / P. Superiores</t>
        </is>
      </c>
      <c r="D2426" t="n">
        <v>2</v>
      </c>
      <c r="E2426" t="n">
        <v>87.3955996</v>
      </c>
      <c r="F2426" t="n">
        <v>0.88659647565</v>
      </c>
      <c r="G2426" t="n">
        <v>0</v>
      </c>
      <c r="H2426" t="n">
        <v>4.946357428</v>
      </c>
      <c r="I2426" t="n">
        <v>0.2</v>
      </c>
      <c r="J2426" t="n">
        <v>8</v>
      </c>
      <c r="K2426" t="inlineStr">
        <is>
          <t>Sin stock</t>
        </is>
      </c>
    </row>
    <row r="2427">
      <c r="A2427" t="inlineStr">
        <is>
          <t>MARMICA24TXL</t>
        </is>
      </c>
      <c r="B2427" t="inlineStr">
        <is>
          <t>MAR ORIGINAL CAB</t>
        </is>
      </c>
      <c r="C2427" t="inlineStr">
        <is>
          <t>Manufactura / Caballero / P. Superiores</t>
        </is>
      </c>
      <c r="D2427" t="n">
        <v>2</v>
      </c>
      <c r="E2427" t="n">
        <v>87.32426456</v>
      </c>
      <c r="F2427" t="n">
        <v>0.88665957055</v>
      </c>
      <c r="G2427" t="n">
        <v>0</v>
      </c>
      <c r="H2427" t="n">
        <v>4.946357428</v>
      </c>
      <c r="I2427" t="n">
        <v>0.2</v>
      </c>
      <c r="J2427" t="n">
        <v>8</v>
      </c>
      <c r="K2427" t="inlineStr">
        <is>
          <t>Sin stock</t>
        </is>
      </c>
    </row>
    <row r="2428">
      <c r="A2428" t="inlineStr">
        <is>
          <t>MAFMEDA43TS</t>
        </is>
      </c>
      <c r="B2428" t="inlineStr">
        <is>
          <t>MAFE SPORT DAMA</t>
        </is>
      </c>
      <c r="C2428" t="inlineStr">
        <is>
          <t>Manufactura / Dama / P. Superiores</t>
        </is>
      </c>
      <c r="D2428" t="n">
        <v>2</v>
      </c>
      <c r="E2428" t="n">
        <v>87.30363268000001</v>
      </c>
      <c r="F2428" t="n">
        <v>0.8774392351</v>
      </c>
      <c r="G2428" t="n">
        <v>0</v>
      </c>
      <c r="H2428" t="n">
        <v>5.35</v>
      </c>
      <c r="I2428" t="n">
        <v>0.2</v>
      </c>
      <c r="J2428" t="n">
        <v>6</v>
      </c>
      <c r="K2428" t="inlineStr">
        <is>
          <t>Sin stock</t>
        </is>
      </c>
    </row>
    <row r="2429">
      <c r="A2429" t="inlineStr">
        <is>
          <t>CLAMIKI48T14</t>
        </is>
      </c>
      <c r="B2429" t="inlineStr">
        <is>
          <t>CLASICA ORIGINAL KIDS</t>
        </is>
      </c>
      <c r="C2429" t="inlineStr">
        <is>
          <t>Manufactura / Kids / P. Superiores</t>
        </is>
      </c>
      <c r="D2429" t="n">
        <v>4</v>
      </c>
      <c r="E2429" t="n">
        <v>86.97202193</v>
      </c>
      <c r="F2429" t="n">
        <v>0.9278280624333334</v>
      </c>
      <c r="G2429" t="n">
        <v>5</v>
      </c>
      <c r="H2429" t="n">
        <v>2.053774806</v>
      </c>
      <c r="I2429" t="n">
        <v>0.4</v>
      </c>
      <c r="J2429" t="n">
        <v>2</v>
      </c>
      <c r="K2429" t="inlineStr"/>
    </row>
    <row r="2430">
      <c r="A2430" t="inlineStr">
        <is>
          <t>MIAMIDA43TM</t>
        </is>
      </c>
      <c r="B2430" t="inlineStr">
        <is>
          <t>MIA ORIGINAL DAMA</t>
        </is>
      </c>
      <c r="C2430" t="inlineStr">
        <is>
          <t>Manufactura / Dama / P. Superiores</t>
        </is>
      </c>
      <c r="D2430" t="n">
        <v>3</v>
      </c>
      <c r="E2430" t="n">
        <v>86.95517667999999</v>
      </c>
      <c r="F2430" t="n">
        <v>0.8639976099000001</v>
      </c>
      <c r="G2430" t="n">
        <v>0</v>
      </c>
      <c r="H2430" t="n">
        <v>3.94</v>
      </c>
      <c r="I2430" t="n">
        <v>0.3</v>
      </c>
      <c r="J2430" t="n">
        <v>8</v>
      </c>
      <c r="K2430" t="inlineStr">
        <is>
          <t>Sin stock</t>
        </is>
      </c>
    </row>
    <row r="2431">
      <c r="A2431" t="inlineStr">
        <is>
          <t>MARMIDA24TL</t>
        </is>
      </c>
      <c r="B2431" t="inlineStr">
        <is>
          <t>MAR ORIGINAL DAMA</t>
        </is>
      </c>
      <c r="C2431" t="inlineStr">
        <is>
          <t>Manufactura / Dama / P. Superiores</t>
        </is>
      </c>
      <c r="D2431" t="n">
        <v>2</v>
      </c>
      <c r="E2431" t="n">
        <v>86.89700741</v>
      </c>
      <c r="F2431" t="n">
        <v>0.9014608508999999</v>
      </c>
      <c r="G2431" t="n">
        <v>0</v>
      </c>
      <c r="H2431" t="n">
        <v>4.278324149</v>
      </c>
      <c r="I2431" t="n">
        <v>0.2</v>
      </c>
      <c r="J2431" t="n">
        <v>8</v>
      </c>
      <c r="K2431" t="inlineStr">
        <is>
          <t>Sin stock</t>
        </is>
      </c>
    </row>
    <row r="2432">
      <c r="A2432" t="inlineStr">
        <is>
          <t>JACCA67TS</t>
        </is>
      </c>
      <c r="B2432" t="inlineStr">
        <is>
          <t>JACKET CAB</t>
        </is>
      </c>
      <c r="C2432" t="inlineStr">
        <is>
          <t>Equipamiento / Ropa</t>
        </is>
      </c>
      <c r="D2432" t="n">
        <v>1</v>
      </c>
      <c r="E2432" t="n">
        <v>86.66173974</v>
      </c>
      <c r="F2432" t="n">
        <v>0.766332647</v>
      </c>
      <c r="G2432" t="n">
        <v>3</v>
      </c>
      <c r="H2432" t="n">
        <v>20.25001933</v>
      </c>
      <c r="I2432" t="n">
        <v>0.1</v>
      </c>
      <c r="J2432" t="n">
        <v>3</v>
      </c>
      <c r="K2432" t="inlineStr"/>
    </row>
    <row r="2433">
      <c r="A2433" t="inlineStr">
        <is>
          <t>SHOUNCA13TM</t>
        </is>
      </c>
      <c r="B2433" t="inlineStr">
        <is>
          <t>SHORT PLAYA CAB</t>
        </is>
      </c>
      <c r="C2433" t="inlineStr">
        <is>
          <t>Manufactura / Caballero / P. Inferiores</t>
        </is>
      </c>
      <c r="D2433" t="n">
        <v>2</v>
      </c>
      <c r="E2433" t="n">
        <v>86.35374093999999</v>
      </c>
      <c r="F2433" t="n">
        <v>0.7685374451</v>
      </c>
      <c r="G2433" t="n">
        <v>0</v>
      </c>
      <c r="H2433" t="n">
        <v>9.99</v>
      </c>
      <c r="I2433" t="n">
        <v>0.2</v>
      </c>
      <c r="J2433" t="n">
        <v>8</v>
      </c>
      <c r="K2433" t="inlineStr">
        <is>
          <t>Sin stock</t>
        </is>
      </c>
    </row>
    <row r="2434">
      <c r="A2434" t="inlineStr">
        <is>
          <t>SHOUNKI186T12</t>
        </is>
      </c>
      <c r="B2434" t="inlineStr">
        <is>
          <t>SHORT PLAYA KIDS</t>
        </is>
      </c>
      <c r="C2434" t="inlineStr">
        <is>
          <t>Manufactura / Kids / P. Inferiores</t>
        </is>
      </c>
      <c r="D2434" t="n">
        <v>2</v>
      </c>
      <c r="E2434" t="n">
        <v>86.35207276</v>
      </c>
      <c r="F2434" t="n">
        <v>0.85747878665</v>
      </c>
      <c r="G2434" t="n">
        <v>34</v>
      </c>
      <c r="H2434" t="n">
        <v>6.09</v>
      </c>
      <c r="I2434" t="n">
        <v>0.2</v>
      </c>
      <c r="J2434" t="n">
        <v>0</v>
      </c>
      <c r="K2434" t="inlineStr"/>
    </row>
    <row r="2435">
      <c r="A2435" t="inlineStr">
        <is>
          <t>LARIMJDA01TXS</t>
        </is>
      </c>
      <c r="B2435" t="inlineStr">
        <is>
          <t>LARISA ORIGINAL DAMA</t>
        </is>
      </c>
      <c r="C2435" t="inlineStr">
        <is>
          <t>Manufactura / Dama / P. Superiores</t>
        </is>
      </c>
      <c r="D2435" t="n">
        <v>2</v>
      </c>
      <c r="E2435" t="n">
        <v>86</v>
      </c>
      <c r="F2435" t="n">
        <v>0.9589302677</v>
      </c>
      <c r="G2435" t="n">
        <v>14</v>
      </c>
      <c r="H2435" t="n">
        <v>1.765998491</v>
      </c>
      <c r="I2435" t="n">
        <v>0.2</v>
      </c>
      <c r="J2435" t="n">
        <v>1</v>
      </c>
      <c r="K2435" t="inlineStr"/>
    </row>
    <row r="2436">
      <c r="A2436" t="inlineStr">
        <is>
          <t>LARIMJDA43TM</t>
        </is>
      </c>
      <c r="B2436" t="inlineStr">
        <is>
          <t>LARISA ORIGINAL DAMA</t>
        </is>
      </c>
      <c r="C2436" t="inlineStr">
        <is>
          <t>Manufactura / Dama / P. Superiores</t>
        </is>
      </c>
      <c r="D2436" t="n">
        <v>2</v>
      </c>
      <c r="E2436" t="n">
        <v>86</v>
      </c>
      <c r="F2436" t="n">
        <v>0.9589302677</v>
      </c>
      <c r="G2436" t="n">
        <v>13</v>
      </c>
      <c r="H2436" t="n">
        <v>1.765998491</v>
      </c>
      <c r="I2436" t="n">
        <v>0.2</v>
      </c>
      <c r="J2436" t="n">
        <v>1</v>
      </c>
      <c r="K2436" t="inlineStr"/>
    </row>
    <row r="2437">
      <c r="A2437" t="inlineStr">
        <is>
          <t>CLAMICA70T2XL</t>
        </is>
      </c>
      <c r="B2437" t="inlineStr">
        <is>
          <t>CLASICA ORIGINAL CAB</t>
        </is>
      </c>
      <c r="C2437" t="inlineStr">
        <is>
          <t>Manufactura / Caballero / P. Superiores</t>
        </is>
      </c>
      <c r="D2437" t="n">
        <v>3</v>
      </c>
      <c r="E2437" t="n">
        <v>86</v>
      </c>
      <c r="F2437" t="n">
        <v>0.8930594759</v>
      </c>
      <c r="G2437" t="n">
        <v>34</v>
      </c>
      <c r="H2437" t="n">
        <v>4.598442536</v>
      </c>
      <c r="I2437" t="n">
        <v>0.3</v>
      </c>
      <c r="J2437" t="n">
        <v>0</v>
      </c>
      <c r="K2437" t="inlineStr"/>
    </row>
    <row r="2438">
      <c r="A2438" t="inlineStr">
        <is>
          <t>DALSTDA43TM</t>
        </is>
      </c>
      <c r="B2438" t="inlineStr">
        <is>
          <t>CLASICA DAILY 2.0 DAMA</t>
        </is>
      </c>
      <c r="C2438" t="inlineStr">
        <is>
          <t>Manufactura / Dama / P. Superiores</t>
        </is>
      </c>
      <c r="D2438" t="n">
        <v>2</v>
      </c>
      <c r="E2438" t="n">
        <v>85.99206278</v>
      </c>
      <c r="F2438" t="n">
        <v>0.7664362380500001</v>
      </c>
      <c r="G2438" t="n">
        <v>0</v>
      </c>
      <c r="H2438" t="n">
        <v>10.02</v>
      </c>
      <c r="I2438" t="n">
        <v>0.2</v>
      </c>
      <c r="J2438" t="n">
        <v>9</v>
      </c>
      <c r="K2438" t="inlineStr">
        <is>
          <t>Sin stock</t>
        </is>
      </c>
    </row>
    <row r="2439">
      <c r="A2439" t="inlineStr">
        <is>
          <t>DANMIKI11T12</t>
        </is>
      </c>
      <c r="B2439" t="inlineStr">
        <is>
          <t>DANI ORIGINAL KIDS</t>
        </is>
      </c>
      <c r="C2439" t="inlineStr">
        <is>
          <t>Manufactura / Kids / P. Superiores</t>
        </is>
      </c>
      <c r="D2439" t="n">
        <v>4</v>
      </c>
      <c r="E2439" t="n">
        <v>85.85302607</v>
      </c>
      <c r="F2439" t="n">
        <v>0.834240251225</v>
      </c>
      <c r="G2439" t="n">
        <v>0</v>
      </c>
      <c r="H2439" t="n">
        <v>3.55</v>
      </c>
      <c r="I2439" t="n">
        <v>0.4</v>
      </c>
      <c r="J2439" t="n">
        <v>9</v>
      </c>
      <c r="K2439" t="inlineStr">
        <is>
          <t>Sin stock</t>
        </is>
      </c>
    </row>
    <row r="2440">
      <c r="A2440" t="inlineStr">
        <is>
          <t>201STDA43TXS</t>
        </is>
      </c>
      <c r="B2440" t="inlineStr">
        <is>
          <t>RETRO VZLA DAMA</t>
        </is>
      </c>
      <c r="C2440" t="inlineStr">
        <is>
          <t>Manufactura / Dama / P. Superiores</t>
        </is>
      </c>
      <c r="D2440" t="n">
        <v>2</v>
      </c>
      <c r="E2440" t="n">
        <v>85.75545199999999</v>
      </c>
      <c r="F2440" t="n">
        <v>0.7378934731</v>
      </c>
      <c r="G2440" t="n">
        <v>0</v>
      </c>
      <c r="H2440" t="n">
        <v>11.23</v>
      </c>
      <c r="I2440" t="n">
        <v>0.2</v>
      </c>
      <c r="J2440" t="n">
        <v>5</v>
      </c>
      <c r="K2440" t="inlineStr">
        <is>
          <t>Sin stock</t>
        </is>
      </c>
    </row>
    <row r="2441">
      <c r="A2441" t="inlineStr">
        <is>
          <t>ETN96E500ML</t>
        </is>
      </c>
      <c r="B2441" t="inlineStr">
        <is>
          <t>KAMBUKKA ETNA 500 ML</t>
        </is>
      </c>
      <c r="C2441" t="inlineStr">
        <is>
          <t>Equipamiento / Cava</t>
        </is>
      </c>
      <c r="D2441" t="n">
        <v>3</v>
      </c>
      <c r="E2441" t="n">
        <v>85.5319217</v>
      </c>
      <c r="F2441" t="n">
        <v>0.39275878605</v>
      </c>
      <c r="G2441" t="n">
        <v>22</v>
      </c>
      <c r="H2441" t="n">
        <v>24.5</v>
      </c>
      <c r="I2441" t="n">
        <v>0.3</v>
      </c>
      <c r="J2441" t="n">
        <v>5</v>
      </c>
      <c r="K2441" t="inlineStr"/>
    </row>
    <row r="2442">
      <c r="A2442" t="inlineStr">
        <is>
          <t>RIOMIKI09T4</t>
        </is>
      </c>
      <c r="B2442" t="inlineStr">
        <is>
          <t>RIO ORIGINAL KIDS</t>
        </is>
      </c>
      <c r="C2442" t="inlineStr">
        <is>
          <t>Manufactura / Kids / P. Superiores</t>
        </is>
      </c>
      <c r="D2442" t="n">
        <v>2</v>
      </c>
      <c r="E2442" t="n">
        <v>85.19049337</v>
      </c>
      <c r="F2442" t="n">
        <v>0.9149125822499999</v>
      </c>
      <c r="G2442" t="n">
        <v>0</v>
      </c>
      <c r="H2442" t="n">
        <v>3.617969464</v>
      </c>
      <c r="I2442" t="n">
        <v>0.2</v>
      </c>
      <c r="J2442" t="n">
        <v>9</v>
      </c>
      <c r="K2442" t="inlineStr">
        <is>
          <t>Sin stock</t>
        </is>
      </c>
    </row>
    <row r="2443">
      <c r="A2443" t="inlineStr">
        <is>
          <t>TOA50WA</t>
        </is>
      </c>
      <c r="B2443" t="inlineStr">
        <is>
          <t>TOALLA WAFFLE</t>
        </is>
      </c>
      <c r="C2443" t="inlineStr">
        <is>
          <t>Equipamiento / Toallas</t>
        </is>
      </c>
      <c r="D2443" t="n">
        <v>4</v>
      </c>
      <c r="E2443" t="n">
        <v>85.05796860999999</v>
      </c>
      <c r="F2443" t="n">
        <v>0.7376595813333333</v>
      </c>
      <c r="G2443" t="n">
        <v>0</v>
      </c>
      <c r="H2443" t="n">
        <v>5.5</v>
      </c>
      <c r="I2443" t="n">
        <v>0.4</v>
      </c>
      <c r="J2443" t="n">
        <v>0</v>
      </c>
      <c r="K2443" t="inlineStr">
        <is>
          <t>Sin stock</t>
        </is>
      </c>
    </row>
    <row r="2444">
      <c r="A2444" t="inlineStr">
        <is>
          <t>SABMEDA51TXS</t>
        </is>
      </c>
      <c r="B2444" t="inlineStr">
        <is>
          <t>SABRI SPORT DAMA</t>
        </is>
      </c>
      <c r="C2444" t="inlineStr">
        <is>
          <t>Manufactura / Dama / P. Superiores</t>
        </is>
      </c>
      <c r="D2444" t="n">
        <v>2</v>
      </c>
      <c r="E2444" t="n">
        <v>85.03252853000001</v>
      </c>
      <c r="F2444" t="n">
        <v>0.8892101986499999</v>
      </c>
      <c r="G2444" t="n">
        <v>0</v>
      </c>
      <c r="H2444" t="n">
        <v>4.51</v>
      </c>
      <c r="I2444" t="n">
        <v>0.2</v>
      </c>
      <c r="J2444" t="n">
        <v>5</v>
      </c>
      <c r="K2444" t="inlineStr">
        <is>
          <t>Sin stock</t>
        </is>
      </c>
    </row>
    <row r="2445">
      <c r="A2445" t="inlineStr">
        <is>
          <t>CCBHMDA03TXL</t>
        </is>
      </c>
      <c r="B2445" t="inlineStr">
        <is>
          <t>CLUB CLASICA DAMA</t>
        </is>
      </c>
      <c r="C2445" t="inlineStr">
        <is>
          <t>Manufactura / Dama / P. Superiores</t>
        </is>
      </c>
      <c r="D2445" t="n">
        <v>2</v>
      </c>
      <c r="E2445" t="n">
        <v>85</v>
      </c>
      <c r="F2445" t="n">
        <v>0.9763888889</v>
      </c>
      <c r="G2445" t="n">
        <v>7</v>
      </c>
      <c r="H2445" t="n">
        <v>1</v>
      </c>
      <c r="I2445" t="n">
        <v>0.2</v>
      </c>
      <c r="J2445" t="n">
        <v>0</v>
      </c>
      <c r="K2445" t="inlineStr"/>
    </row>
    <row r="2446">
      <c r="A2446" t="inlineStr">
        <is>
          <t>CCBHMDA151TL</t>
        </is>
      </c>
      <c r="B2446" t="inlineStr">
        <is>
          <t>CLUB CLASICA DAMA</t>
        </is>
      </c>
      <c r="C2446" t="inlineStr">
        <is>
          <t>Manufactura / Dama / P. Superiores</t>
        </is>
      </c>
      <c r="D2446" t="n">
        <v>3</v>
      </c>
      <c r="E2446" t="n">
        <v>85</v>
      </c>
      <c r="F2446" t="n">
        <v>0.9763888889</v>
      </c>
      <c r="G2446" t="n">
        <v>15</v>
      </c>
      <c r="H2446" t="n">
        <v>1</v>
      </c>
      <c r="I2446" t="n">
        <v>0.3</v>
      </c>
      <c r="J2446" t="n">
        <v>0</v>
      </c>
      <c r="K2446" t="inlineStr"/>
    </row>
    <row r="2447">
      <c r="A2447" t="inlineStr">
        <is>
          <t>DALSTKI30T12</t>
        </is>
      </c>
      <c r="B2447" t="inlineStr">
        <is>
          <t>CLASICA DAILY 2.0 KIDS</t>
        </is>
      </c>
      <c r="C2447" t="inlineStr">
        <is>
          <t>Manufactura / Kids / P. Superiores</t>
        </is>
      </c>
      <c r="D2447" t="n">
        <v>3</v>
      </c>
      <c r="E2447" t="n">
        <v>84.66369850000001</v>
      </c>
      <c r="F2447" t="n">
        <v>0.6517551376333334</v>
      </c>
      <c r="G2447" t="n">
        <v>7</v>
      </c>
      <c r="H2447" t="n">
        <v>8.699999999999999</v>
      </c>
      <c r="I2447" t="n">
        <v>0.3</v>
      </c>
      <c r="J2447" t="n">
        <v>4</v>
      </c>
      <c r="K2447" t="inlineStr"/>
    </row>
    <row r="2448">
      <c r="A2448" t="inlineStr">
        <is>
          <t>CLMSUCA151TXL</t>
        </is>
      </c>
      <c r="B2448" t="inlineStr">
        <is>
          <t>CLASICA MOTION CAB</t>
        </is>
      </c>
      <c r="C2448" t="inlineStr">
        <is>
          <t>Manufactura / Caballero / P. Superiores</t>
        </is>
      </c>
      <c r="D2448" t="n">
        <v>2</v>
      </c>
      <c r="E2448" t="n">
        <v>84.59755613999999</v>
      </c>
      <c r="F2448" t="n">
        <v>0.7051538560499999</v>
      </c>
      <c r="G2448" t="n">
        <v>0</v>
      </c>
      <c r="H2448" t="n">
        <v>12.26</v>
      </c>
      <c r="I2448" t="n">
        <v>0.2</v>
      </c>
      <c r="J2448" t="n">
        <v>7</v>
      </c>
      <c r="K2448" t="inlineStr">
        <is>
          <t>Sin stock</t>
        </is>
      </c>
    </row>
    <row r="2449">
      <c r="A2449" t="inlineStr">
        <is>
          <t>CLAMIDA11TM</t>
        </is>
      </c>
      <c r="B2449" t="inlineStr">
        <is>
          <t>CLASICA ORIGINAL DAMA</t>
        </is>
      </c>
      <c r="C2449" t="inlineStr">
        <is>
          <t>Manufactura / Dama / P. Superiores</t>
        </is>
      </c>
      <c r="D2449" t="n">
        <v>3</v>
      </c>
      <c r="E2449" t="n">
        <v>84.43835122</v>
      </c>
      <c r="F2449" t="n">
        <v>0.882021873</v>
      </c>
      <c r="G2449" t="n">
        <v>0</v>
      </c>
      <c r="H2449" t="n">
        <v>3.923227589</v>
      </c>
      <c r="I2449" t="n">
        <v>0.3</v>
      </c>
      <c r="J2449" t="n">
        <v>0</v>
      </c>
      <c r="K2449" t="inlineStr">
        <is>
          <t>Sin stock</t>
        </is>
      </c>
    </row>
    <row r="2450">
      <c r="A2450" t="inlineStr">
        <is>
          <t>VIVMIDA30TS</t>
        </is>
      </c>
      <c r="B2450" t="inlineStr">
        <is>
          <t>VIVI ORIGINAL DAMA</t>
        </is>
      </c>
      <c r="C2450" t="inlineStr">
        <is>
          <t>Manufactura / Dama / P. Superiores</t>
        </is>
      </c>
      <c r="D2450" t="n">
        <v>2</v>
      </c>
      <c r="E2450" t="n">
        <v>84.1582736</v>
      </c>
      <c r="F2450" t="n">
        <v>0.8964236204</v>
      </c>
      <c r="G2450" t="n">
        <v>0</v>
      </c>
      <c r="H2450" t="n">
        <v>4.303181706</v>
      </c>
      <c r="I2450" t="n">
        <v>0.2</v>
      </c>
      <c r="J2450" t="n">
        <v>5</v>
      </c>
      <c r="K2450" t="inlineStr">
        <is>
          <t>Sin stock</t>
        </is>
      </c>
    </row>
    <row r="2451">
      <c r="A2451" t="inlineStr">
        <is>
          <t>VIVMIDA66TL</t>
        </is>
      </c>
      <c r="B2451" t="inlineStr">
        <is>
          <t>VIVI ORIGINAL DAMA</t>
        </is>
      </c>
      <c r="C2451" t="inlineStr">
        <is>
          <t>Manufactura / Dama / P. Superiores</t>
        </is>
      </c>
      <c r="D2451" t="n">
        <v>3</v>
      </c>
      <c r="E2451" t="n">
        <v>83.87565825</v>
      </c>
      <c r="F2451" t="n">
        <v>0.8431125772666667</v>
      </c>
      <c r="G2451" t="n">
        <v>14</v>
      </c>
      <c r="H2451" t="n">
        <v>4.303181706</v>
      </c>
      <c r="I2451" t="n">
        <v>0.3</v>
      </c>
      <c r="J2451" t="n">
        <v>7</v>
      </c>
      <c r="K2451" t="inlineStr"/>
    </row>
    <row r="2452">
      <c r="A2452" t="inlineStr">
        <is>
          <t>CGCSCA16TS</t>
        </is>
      </c>
      <c r="B2452" t="inlineStr">
        <is>
          <t>CLASICA GC SUBLIMADO CAB</t>
        </is>
      </c>
      <c r="C2452" t="inlineStr">
        <is>
          <t>Manufactura / Caballero / P. Superiores</t>
        </is>
      </c>
      <c r="D2452" t="n">
        <v>6</v>
      </c>
      <c r="E2452" t="n">
        <v>83.80574598000027</v>
      </c>
      <c r="F2452" t="n">
        <v>0</v>
      </c>
      <c r="G2452" t="n">
        <v>0</v>
      </c>
      <c r="H2452" t="n">
        <v>0</v>
      </c>
      <c r="I2452" t="n">
        <v>0.6</v>
      </c>
      <c r="J2452" t="n">
        <v>2</v>
      </c>
      <c r="K2452" t="inlineStr">
        <is>
          <t>Sin stock</t>
        </is>
      </c>
    </row>
    <row r="2453">
      <c r="A2453" t="inlineStr">
        <is>
          <t>DOMBFCA205TM</t>
        </is>
      </c>
      <c r="B2453" t="inlineStr">
        <is>
          <t>DOMINIC BIO MOVE CAB</t>
        </is>
      </c>
      <c r="C2453" t="inlineStr">
        <is>
          <t>Manufactura / Caballero / P. Superiores</t>
        </is>
      </c>
      <c r="D2453" t="n">
        <v>4</v>
      </c>
      <c r="E2453" t="n">
        <v>83.24807696000001</v>
      </c>
      <c r="F2453" t="n">
        <v>0.8335096677</v>
      </c>
      <c r="G2453" t="n">
        <v>37</v>
      </c>
      <c r="H2453" t="n">
        <v>13.86</v>
      </c>
      <c r="I2453" t="n">
        <v>0.4</v>
      </c>
      <c r="J2453" t="n">
        <v>1</v>
      </c>
      <c r="K2453" t="inlineStr"/>
    </row>
    <row r="2454">
      <c r="A2454" t="inlineStr">
        <is>
          <t>DOMBFCA206T2XL</t>
        </is>
      </c>
      <c r="B2454" t="inlineStr">
        <is>
          <t>DOMINIC BIO MOVE CAB</t>
        </is>
      </c>
      <c r="C2454" t="inlineStr">
        <is>
          <t>Manufactura / Caballero / P. Superiores</t>
        </is>
      </c>
      <c r="D2454" t="n">
        <v>1</v>
      </c>
      <c r="E2454" t="n">
        <v>83.06534953000001</v>
      </c>
      <c r="F2454" t="n">
        <v>0.8331434217</v>
      </c>
      <c r="G2454" t="n">
        <v>15</v>
      </c>
      <c r="H2454" t="n">
        <v>13.86</v>
      </c>
      <c r="I2454" t="n">
        <v>0.1</v>
      </c>
      <c r="J2454" t="n">
        <v>3</v>
      </c>
      <c r="K2454" t="inlineStr"/>
    </row>
    <row r="2455">
      <c r="A2455" t="inlineStr">
        <is>
          <t>SHOUNCA12TXL</t>
        </is>
      </c>
      <c r="B2455" t="inlineStr">
        <is>
          <t>SHORT PLAYA CAB</t>
        </is>
      </c>
      <c r="C2455" t="inlineStr">
        <is>
          <t>Manufactura / Caballero / P. Inferiores</t>
        </is>
      </c>
      <c r="D2455" t="n">
        <v>2</v>
      </c>
      <c r="E2455" t="n">
        <v>82.91495838</v>
      </c>
      <c r="F2455" t="n">
        <v>0.7532824775</v>
      </c>
      <c r="G2455" t="n">
        <v>0</v>
      </c>
      <c r="H2455" t="n">
        <v>9.99</v>
      </c>
      <c r="I2455" t="n">
        <v>0.2</v>
      </c>
      <c r="J2455" t="n">
        <v>2</v>
      </c>
      <c r="K2455" t="inlineStr">
        <is>
          <t>Sin stock</t>
        </is>
      </c>
    </row>
    <row r="2456">
      <c r="A2456" t="inlineStr">
        <is>
          <t>RIOMIKI70T2</t>
        </is>
      </c>
      <c r="B2456" t="inlineStr">
        <is>
          <t>RIO ORIGINAL KIDS</t>
        </is>
      </c>
      <c r="C2456" t="inlineStr">
        <is>
          <t>Manufactura / Kids / P. Superiores</t>
        </is>
      </c>
      <c r="D2456" t="n">
        <v>2</v>
      </c>
      <c r="E2456" t="n">
        <v>82.85325306999999</v>
      </c>
      <c r="F2456" t="n">
        <v>0.9106640769000001</v>
      </c>
      <c r="G2456" t="n">
        <v>1</v>
      </c>
      <c r="H2456" t="n">
        <v>3.617969464</v>
      </c>
      <c r="I2456" t="n">
        <v>0.2</v>
      </c>
      <c r="J2456" t="n">
        <v>2</v>
      </c>
      <c r="K2456" t="inlineStr"/>
    </row>
    <row r="2457">
      <c r="A2457" t="inlineStr">
        <is>
          <t>MLMMJDA14TM</t>
        </is>
      </c>
      <c r="B2457" t="inlineStr">
        <is>
          <t>MOTION LOOP MAFE DAMA</t>
        </is>
      </c>
      <c r="C2457" t="inlineStr">
        <is>
          <t>Manufactura / Dama / P. Superiores</t>
        </is>
      </c>
      <c r="D2457" t="n">
        <v>2</v>
      </c>
      <c r="E2457" t="n">
        <v>82.76000000000001</v>
      </c>
      <c r="F2457" t="n">
        <v>0.9935690887</v>
      </c>
      <c r="G2457" t="n">
        <v>7</v>
      </c>
      <c r="H2457" t="n">
        <v>0.2661111111</v>
      </c>
      <c r="I2457" t="n">
        <v>0.2</v>
      </c>
      <c r="J2457" t="n">
        <v>0</v>
      </c>
      <c r="K2457" t="inlineStr"/>
    </row>
    <row r="2458">
      <c r="A2458" t="inlineStr">
        <is>
          <t>VIVMIDA50TM</t>
        </is>
      </c>
      <c r="B2458" t="inlineStr">
        <is>
          <t>VIVI ORIGINAL DAMA</t>
        </is>
      </c>
      <c r="C2458" t="inlineStr">
        <is>
          <t>Manufactura / Dama / P. Superiores</t>
        </is>
      </c>
      <c r="D2458" t="n">
        <v>3</v>
      </c>
      <c r="E2458" t="n">
        <v>82.65041384</v>
      </c>
      <c r="F2458" t="n">
        <v>0.895696256</v>
      </c>
      <c r="G2458" t="n">
        <v>2</v>
      </c>
      <c r="H2458" t="n">
        <v>4.303181706</v>
      </c>
      <c r="I2458" t="n">
        <v>0.3</v>
      </c>
      <c r="J2458" t="n">
        <v>1</v>
      </c>
      <c r="K2458" t="inlineStr"/>
    </row>
    <row r="2459">
      <c r="A2459" t="inlineStr">
        <is>
          <t>MARMIKI04T4</t>
        </is>
      </c>
      <c r="B2459" t="inlineStr">
        <is>
          <t>MAR ORIGINAL KIDS</t>
        </is>
      </c>
      <c r="C2459" t="inlineStr">
        <is>
          <t>Manufactura / Kids / P. Superiores</t>
        </is>
      </c>
      <c r="D2459" t="n">
        <v>3</v>
      </c>
      <c r="E2459" t="n">
        <v>82.51402899</v>
      </c>
      <c r="F2459" t="n">
        <v>0.92318782315</v>
      </c>
      <c r="G2459" t="n">
        <v>7</v>
      </c>
      <c r="H2459" t="n">
        <v>3.168013332</v>
      </c>
      <c r="I2459" t="n">
        <v>0.3</v>
      </c>
      <c r="J2459" t="n">
        <v>0</v>
      </c>
      <c r="K2459" t="inlineStr"/>
    </row>
    <row r="2460">
      <c r="A2460" t="inlineStr">
        <is>
          <t>SABSTDA30TXL</t>
        </is>
      </c>
      <c r="B2460" t="inlineStr">
        <is>
          <t>RETRO VZLA DAMA</t>
        </is>
      </c>
      <c r="C2460" t="inlineStr">
        <is>
          <t>Manufactura / Dama / P. Superiores</t>
        </is>
      </c>
      <c r="D2460" t="n">
        <v>2</v>
      </c>
      <c r="E2460" t="n">
        <v>82.35206310999999</v>
      </c>
      <c r="F2460" t="n">
        <v>0.7262621202999999</v>
      </c>
      <c r="G2460" t="n">
        <v>0</v>
      </c>
      <c r="H2460" t="n">
        <v>11.23</v>
      </c>
      <c r="I2460" t="n">
        <v>0.2</v>
      </c>
      <c r="J2460" t="n">
        <v>2</v>
      </c>
      <c r="K2460" t="inlineStr">
        <is>
          <t>Sin stock</t>
        </is>
      </c>
    </row>
    <row r="2461">
      <c r="A2461" t="inlineStr">
        <is>
          <t>RIOMIKI05T4</t>
        </is>
      </c>
      <c r="B2461" t="inlineStr">
        <is>
          <t>RIO ORIGINAL KIDS</t>
        </is>
      </c>
      <c r="C2461" t="inlineStr">
        <is>
          <t>Manufactura / Kids / P. Superiores</t>
        </is>
      </c>
      <c r="D2461" t="n">
        <v>2</v>
      </c>
      <c r="E2461" t="n">
        <v>82.33440528</v>
      </c>
      <c r="F2461" t="n">
        <v>0.91209229895</v>
      </c>
      <c r="G2461" t="n">
        <v>0</v>
      </c>
      <c r="H2461" t="n">
        <v>3.617969464</v>
      </c>
      <c r="I2461" t="n">
        <v>0.2</v>
      </c>
      <c r="J2461" t="n">
        <v>8</v>
      </c>
      <c r="K2461" t="inlineStr">
        <is>
          <t>Sin stock</t>
        </is>
      </c>
    </row>
    <row r="2462">
      <c r="A2462" t="inlineStr">
        <is>
          <t>MAFMIDA30TS</t>
        </is>
      </c>
      <c r="B2462" t="inlineStr">
        <is>
          <t>MAFE ORIGINAL DAMA</t>
        </is>
      </c>
      <c r="C2462" t="inlineStr">
        <is>
          <t>Manufactura / Dama / P. Superiores</t>
        </is>
      </c>
      <c r="D2462" t="n">
        <v>3</v>
      </c>
      <c r="E2462" t="n">
        <v>82.11201410000001</v>
      </c>
      <c r="F2462" t="n">
        <v>0.8005685566333334</v>
      </c>
      <c r="G2462" t="n">
        <v>0</v>
      </c>
      <c r="H2462" t="n">
        <v>4.54817671</v>
      </c>
      <c r="I2462" t="n">
        <v>0.3</v>
      </c>
      <c r="J2462" t="n">
        <v>2</v>
      </c>
      <c r="K2462" t="inlineStr">
        <is>
          <t>Sin stock</t>
        </is>
      </c>
    </row>
    <row r="2463">
      <c r="A2463" t="inlineStr">
        <is>
          <t>MAYFNDA10TXL</t>
        </is>
      </c>
      <c r="B2463" t="inlineStr">
        <is>
          <t>MAYA SPORT LITE DAMA</t>
        </is>
      </c>
      <c r="C2463" t="inlineStr">
        <is>
          <t>Manufactura / Dama / P. Superiores</t>
        </is>
      </c>
      <c r="D2463" t="n">
        <v>2</v>
      </c>
      <c r="E2463" t="n">
        <v>81.67960145000001</v>
      </c>
      <c r="F2463" t="n">
        <v>0.9032624467</v>
      </c>
      <c r="G2463" t="n">
        <v>4</v>
      </c>
      <c r="H2463" t="n">
        <v>3.87</v>
      </c>
      <c r="I2463" t="n">
        <v>0.2</v>
      </c>
      <c r="J2463" t="n">
        <v>6</v>
      </c>
      <c r="K2463" t="inlineStr"/>
    </row>
    <row r="2464">
      <c r="A2464" t="inlineStr">
        <is>
          <t>VIVMIDA12TM</t>
        </is>
      </c>
      <c r="B2464" t="inlineStr">
        <is>
          <t>VIVI ORIGINAL DAMA</t>
        </is>
      </c>
      <c r="C2464" t="inlineStr">
        <is>
          <t>Manufactura / Dama / P. Superiores</t>
        </is>
      </c>
      <c r="D2464" t="n">
        <v>2</v>
      </c>
      <c r="E2464" t="n">
        <v>81.65916738</v>
      </c>
      <c r="F2464" t="n">
        <v>0.8483761464499999</v>
      </c>
      <c r="G2464" t="n">
        <v>0</v>
      </c>
      <c r="H2464" t="n">
        <v>4.303181706</v>
      </c>
      <c r="I2464" t="n">
        <v>0.2</v>
      </c>
      <c r="J2464" t="n">
        <v>5</v>
      </c>
      <c r="K2464" t="inlineStr">
        <is>
          <t>Sin stock</t>
        </is>
      </c>
    </row>
    <row r="2465">
      <c r="A2465" t="inlineStr">
        <is>
          <t>SABSTDA30TS</t>
        </is>
      </c>
      <c r="B2465" t="inlineStr">
        <is>
          <t>RETRO VZLA DAMA</t>
        </is>
      </c>
      <c r="C2465" t="inlineStr">
        <is>
          <t>Manufactura / Dama / P. Superiores</t>
        </is>
      </c>
      <c r="D2465" t="n">
        <v>2</v>
      </c>
      <c r="E2465" t="n">
        <v>81.48228544</v>
      </c>
      <c r="F2465" t="n">
        <v>0.72163103315</v>
      </c>
      <c r="G2465" t="n">
        <v>0</v>
      </c>
      <c r="H2465" t="n">
        <v>11.23</v>
      </c>
      <c r="I2465" t="n">
        <v>0.2</v>
      </c>
      <c r="J2465" t="n">
        <v>6</v>
      </c>
      <c r="K2465" t="inlineStr">
        <is>
          <t>Sin stock</t>
        </is>
      </c>
    </row>
    <row r="2466">
      <c r="A2466" t="inlineStr">
        <is>
          <t>SHOSUKI104T2</t>
        </is>
      </c>
      <c r="B2466" t="inlineStr">
        <is>
          <t>SHORT PLAYA ESTAMPADO KIDS</t>
        </is>
      </c>
      <c r="C2466" t="inlineStr">
        <is>
          <t>Manufactura / Kids / P. Superiores</t>
        </is>
      </c>
      <c r="D2466" t="n">
        <v>2</v>
      </c>
      <c r="E2466" t="n">
        <v>81.41797438</v>
      </c>
      <c r="F2466" t="n">
        <v>0.7969228651</v>
      </c>
      <c r="G2466" t="n">
        <v>5</v>
      </c>
      <c r="H2466" t="n">
        <v>7.21</v>
      </c>
      <c r="I2466" t="n">
        <v>0.2</v>
      </c>
      <c r="J2466" t="n">
        <v>4</v>
      </c>
      <c r="K2466" t="inlineStr"/>
    </row>
    <row r="2467">
      <c r="A2467" t="inlineStr">
        <is>
          <t>SABSTDA43TM</t>
        </is>
      </c>
      <c r="B2467" t="inlineStr">
        <is>
          <t>RETRO VZLA DAMA</t>
        </is>
      </c>
      <c r="C2467" t="inlineStr">
        <is>
          <t>Manufactura / Dama / P. Superiores</t>
        </is>
      </c>
      <c r="D2467" t="n">
        <v>2</v>
      </c>
      <c r="E2467" t="n">
        <v>81.33353255</v>
      </c>
      <c r="F2467" t="n">
        <v>0.7228689795500001</v>
      </c>
      <c r="G2467" t="n">
        <v>0</v>
      </c>
      <c r="H2467" t="n">
        <v>11.23</v>
      </c>
      <c r="I2467" t="n">
        <v>0.2</v>
      </c>
      <c r="J2467" t="n">
        <v>5</v>
      </c>
      <c r="K2467" t="inlineStr">
        <is>
          <t>Sin stock</t>
        </is>
      </c>
    </row>
    <row r="2468">
      <c r="A2468" t="inlineStr">
        <is>
          <t>RIOMIKI14T6</t>
        </is>
      </c>
      <c r="B2468" t="inlineStr">
        <is>
          <t>RIO ORIGINAL KIDS</t>
        </is>
      </c>
      <c r="C2468" t="inlineStr">
        <is>
          <t>Manufactura / Kids / P. Superiores</t>
        </is>
      </c>
      <c r="D2468" t="n">
        <v>2</v>
      </c>
      <c r="E2468" t="n">
        <v>81.31437874</v>
      </c>
      <c r="F2468" t="n">
        <v>0.9110115042</v>
      </c>
      <c r="G2468" t="n">
        <v>0</v>
      </c>
      <c r="H2468" t="n">
        <v>3.617969464</v>
      </c>
      <c r="I2468" t="n">
        <v>0.2</v>
      </c>
      <c r="J2468" t="n">
        <v>8</v>
      </c>
      <c r="K2468" t="inlineStr">
        <is>
          <t>Sin stock</t>
        </is>
      </c>
    </row>
    <row r="2469">
      <c r="A2469" t="inlineStr">
        <is>
          <t>DALSTKI43T14</t>
        </is>
      </c>
      <c r="B2469" t="inlineStr">
        <is>
          <t>CLASICA DAILY 2.0 KIDS</t>
        </is>
      </c>
      <c r="C2469" t="inlineStr">
        <is>
          <t>Manufactura / Kids / P. Superiores</t>
        </is>
      </c>
      <c r="D2469" t="n">
        <v>3</v>
      </c>
      <c r="E2469" t="n">
        <v>81.13268840000001</v>
      </c>
      <c r="F2469" t="n">
        <v>0.6767494550666666</v>
      </c>
      <c r="G2469" t="n">
        <v>2</v>
      </c>
      <c r="H2469" t="n">
        <v>8.699999999999999</v>
      </c>
      <c r="I2469" t="n">
        <v>0.3</v>
      </c>
      <c r="J2469" t="n">
        <v>7</v>
      </c>
      <c r="K2469" t="inlineStr"/>
    </row>
    <row r="2470">
      <c r="A2470" t="inlineStr">
        <is>
          <t>SABMEDA13TL</t>
        </is>
      </c>
      <c r="B2470" t="inlineStr">
        <is>
          <t>SABRI SPORT DAMA</t>
        </is>
      </c>
      <c r="C2470" t="inlineStr">
        <is>
          <t>Manufactura / Dama / P. Superiores</t>
        </is>
      </c>
      <c r="D2470" t="n">
        <v>4</v>
      </c>
      <c r="E2470" t="n">
        <v>81.09061951</v>
      </c>
      <c r="F2470" t="n">
        <v>0.8140032400333334</v>
      </c>
      <c r="G2470" t="n">
        <v>1</v>
      </c>
      <c r="H2470" t="n">
        <v>4.51</v>
      </c>
      <c r="I2470" t="n">
        <v>0.4</v>
      </c>
      <c r="J2470" t="n">
        <v>0</v>
      </c>
      <c r="K2470" t="inlineStr"/>
    </row>
    <row r="2471">
      <c r="A2471" t="inlineStr">
        <is>
          <t>CLAMIDA09TXL</t>
        </is>
      </c>
      <c r="B2471" t="inlineStr">
        <is>
          <t>CLASICA ORIGINAL DAMA</t>
        </is>
      </c>
      <c r="C2471" t="inlineStr">
        <is>
          <t>Manufactura / Dama / P. Superiores</t>
        </is>
      </c>
      <c r="D2471" t="n">
        <v>8</v>
      </c>
      <c r="E2471" t="n">
        <v>80.81458112999999</v>
      </c>
      <c r="F2471" t="n">
        <v>0.9029006332</v>
      </c>
      <c r="G2471" t="n">
        <v>0</v>
      </c>
      <c r="H2471" t="n">
        <v>3.923227589</v>
      </c>
      <c r="I2471" t="n">
        <v>0.8</v>
      </c>
      <c r="J2471" t="n">
        <v>1</v>
      </c>
      <c r="K2471" t="inlineStr">
        <is>
          <t>Sin stock</t>
        </is>
      </c>
    </row>
    <row r="2472">
      <c r="A2472" t="inlineStr">
        <is>
          <t>CLAMECA51TS</t>
        </is>
      </c>
      <c r="B2472" t="inlineStr">
        <is>
          <t>CLASICA SPORT CAB</t>
        </is>
      </c>
      <c r="C2472" t="inlineStr">
        <is>
          <t>Manufactura / Caballero / P. Superiores</t>
        </is>
      </c>
      <c r="D2472" t="n">
        <v>2</v>
      </c>
      <c r="E2472" t="n">
        <v>80.80885228</v>
      </c>
      <c r="F2472" t="n">
        <v>0.74504404375</v>
      </c>
      <c r="G2472" t="n">
        <v>0</v>
      </c>
      <c r="H2472" t="n">
        <v>10.3013454</v>
      </c>
      <c r="I2472" t="n">
        <v>0.2</v>
      </c>
      <c r="J2472" t="n">
        <v>7</v>
      </c>
      <c r="K2472" t="inlineStr">
        <is>
          <t>Sin stock</t>
        </is>
      </c>
    </row>
    <row r="2473">
      <c r="A2473" t="inlineStr">
        <is>
          <t>SABSTDA43TS</t>
        </is>
      </c>
      <c r="B2473" t="inlineStr">
        <is>
          <t>RETRO VZLA DAMA</t>
        </is>
      </c>
      <c r="C2473" t="inlineStr">
        <is>
          <t>Manufactura / Dama / P. Superiores</t>
        </is>
      </c>
      <c r="D2473" t="n">
        <v>2</v>
      </c>
      <c r="E2473" t="n">
        <v>80.44144817</v>
      </c>
      <c r="F2473" t="n">
        <v>0.7186462305500001</v>
      </c>
      <c r="G2473" t="n">
        <v>3</v>
      </c>
      <c r="H2473" t="n">
        <v>11.23</v>
      </c>
      <c r="I2473" t="n">
        <v>0.2</v>
      </c>
      <c r="J2473" t="n">
        <v>6</v>
      </c>
      <c r="K2473" t="inlineStr"/>
    </row>
    <row r="2474">
      <c r="A2474" t="inlineStr">
        <is>
          <t>201STCA30T2XL</t>
        </is>
      </c>
      <c r="B2474" t="inlineStr">
        <is>
          <t>RETRO VZLA CAB</t>
        </is>
      </c>
      <c r="C2474" t="inlineStr">
        <is>
          <t>Manufactura / Caballero / P. Superiores</t>
        </is>
      </c>
      <c r="D2474" t="n">
        <v>2</v>
      </c>
      <c r="E2474" t="n">
        <v>80.28255358</v>
      </c>
      <c r="F2474" t="n">
        <v>0.67435196915</v>
      </c>
      <c r="G2474" t="n">
        <v>2</v>
      </c>
      <c r="H2474" t="n">
        <v>12.9</v>
      </c>
      <c r="I2474" t="n">
        <v>0.2</v>
      </c>
      <c r="J2474" t="n">
        <v>5</v>
      </c>
      <c r="K2474" t="inlineStr"/>
    </row>
    <row r="2475">
      <c r="A2475" t="inlineStr">
        <is>
          <t>SHOUNKI57T1</t>
        </is>
      </c>
      <c r="B2475" t="inlineStr">
        <is>
          <t>SHORT PLAYA KIDS</t>
        </is>
      </c>
      <c r="C2475" t="inlineStr">
        <is>
          <t>Manufactura / Kids / P. Inferiores</t>
        </is>
      </c>
      <c r="D2475" t="n">
        <v>2</v>
      </c>
      <c r="E2475" t="n">
        <v>80.25858579</v>
      </c>
      <c r="F2475" t="n">
        <v>0.8482405355</v>
      </c>
      <c r="G2475" t="n">
        <v>21</v>
      </c>
      <c r="H2475" t="n">
        <v>6.09</v>
      </c>
      <c r="I2475" t="n">
        <v>0.2</v>
      </c>
      <c r="J2475" t="n">
        <v>7</v>
      </c>
      <c r="K2475" t="inlineStr"/>
    </row>
    <row r="2476">
      <c r="A2476" t="inlineStr">
        <is>
          <t>SHOUNCA33T2XL</t>
        </is>
      </c>
      <c r="B2476" t="inlineStr">
        <is>
          <t>SHORT PLAYA CAB</t>
        </is>
      </c>
      <c r="C2476" t="inlineStr">
        <is>
          <t>Manufactura / Caballero / P. Inferiores</t>
        </is>
      </c>
      <c r="D2476" t="n">
        <v>3</v>
      </c>
      <c r="E2476" t="n">
        <v>80.18964263000001</v>
      </c>
      <c r="F2476" t="n">
        <v>0.74950389495</v>
      </c>
      <c r="G2476" t="n">
        <v>0</v>
      </c>
      <c r="H2476" t="n">
        <v>9.99</v>
      </c>
      <c r="I2476" t="n">
        <v>0.3</v>
      </c>
      <c r="J2476" t="n">
        <v>8</v>
      </c>
      <c r="K2476" t="inlineStr">
        <is>
          <t>Sin stock</t>
        </is>
      </c>
    </row>
    <row r="2477">
      <c r="A2477" t="inlineStr">
        <is>
          <t>LMOFIDA10TXS</t>
        </is>
      </c>
      <c r="B2477" t="inlineStr">
        <is>
          <t>LEGGING MOVA</t>
        </is>
      </c>
      <c r="C2477" t="inlineStr">
        <is>
          <t>Manufactura / Dama / P. Inferiores</t>
        </is>
      </c>
      <c r="D2477" t="n">
        <v>2</v>
      </c>
      <c r="E2477" t="n">
        <v>80</v>
      </c>
      <c r="F2477" t="n">
        <v>0.7787500000000001</v>
      </c>
      <c r="G2477" t="n">
        <v>27</v>
      </c>
      <c r="H2477" t="n">
        <v>17.7</v>
      </c>
      <c r="I2477" t="n">
        <v>0.2</v>
      </c>
      <c r="J2477" t="n">
        <v>0</v>
      </c>
      <c r="K2477" t="inlineStr"/>
    </row>
    <row r="2478">
      <c r="A2478" t="inlineStr">
        <is>
          <t>CLAMEDA13TXS</t>
        </is>
      </c>
      <c r="B2478" t="inlineStr">
        <is>
          <t>CLÁSICA SPORT DAMA</t>
        </is>
      </c>
      <c r="C2478" t="inlineStr">
        <is>
          <t>Manufactura / Dama / P. Superiores</t>
        </is>
      </c>
      <c r="D2478" t="n">
        <v>2</v>
      </c>
      <c r="E2478" t="n">
        <v>79.96960404000001</v>
      </c>
      <c r="F2478" t="n">
        <v>0.8351655697</v>
      </c>
      <c r="G2478" t="n">
        <v>6</v>
      </c>
      <c r="H2478" t="n">
        <v>6.536105769</v>
      </c>
      <c r="I2478" t="n">
        <v>0.2</v>
      </c>
      <c r="J2478" t="n">
        <v>9</v>
      </c>
      <c r="K2478" t="inlineStr"/>
    </row>
    <row r="2479">
      <c r="A2479" t="inlineStr">
        <is>
          <t>RIOMIKI39T12</t>
        </is>
      </c>
      <c r="B2479" t="inlineStr">
        <is>
          <t>RIO ORIGINAL KIDS</t>
        </is>
      </c>
      <c r="C2479" t="inlineStr">
        <is>
          <t>Manufactura / Kids / P. Superiores</t>
        </is>
      </c>
      <c r="D2479" t="n">
        <v>2</v>
      </c>
      <c r="E2479" t="n">
        <v>79.73906426000001</v>
      </c>
      <c r="F2479" t="n">
        <v>0.90912391045</v>
      </c>
      <c r="G2479" t="n">
        <v>0</v>
      </c>
      <c r="H2479" t="n">
        <v>3.617969464</v>
      </c>
      <c r="I2479" t="n">
        <v>0.2</v>
      </c>
      <c r="J2479" t="n">
        <v>8</v>
      </c>
      <c r="K2479" t="inlineStr">
        <is>
          <t>Sin stock</t>
        </is>
      </c>
    </row>
    <row r="2480">
      <c r="A2480" t="inlineStr">
        <is>
          <t>ZOEMIDA16TXL</t>
        </is>
      </c>
      <c r="B2480" t="inlineStr">
        <is>
          <t>ZOE ORIGINAL DAMA</t>
        </is>
      </c>
      <c r="C2480" t="inlineStr">
        <is>
          <t>Manufactura / Dama / P. Superiores</t>
        </is>
      </c>
      <c r="D2480" t="n">
        <v>2</v>
      </c>
      <c r="E2480" t="n">
        <v>79.67025221</v>
      </c>
      <c r="F2480" t="n">
        <v>0.89643998235</v>
      </c>
      <c r="G2480" t="n">
        <v>1</v>
      </c>
      <c r="H2480" t="n">
        <v>4.116585696</v>
      </c>
      <c r="I2480" t="n">
        <v>0.2</v>
      </c>
      <c r="J2480" t="n">
        <v>7</v>
      </c>
      <c r="K2480" t="inlineStr"/>
    </row>
    <row r="2481">
      <c r="A2481" t="inlineStr">
        <is>
          <t>CLAMEKI66T8</t>
        </is>
      </c>
      <c r="B2481" t="inlineStr">
        <is>
          <t>CLASICA SPORT KIDS</t>
        </is>
      </c>
      <c r="C2481" t="inlineStr">
        <is>
          <t>Manufactura / Kids / P. Superiores</t>
        </is>
      </c>
      <c r="D2481" t="n">
        <v>2</v>
      </c>
      <c r="E2481" t="n">
        <v>79.38936839</v>
      </c>
      <c r="F2481" t="n">
        <v>0.89998069105</v>
      </c>
      <c r="G2481" t="n">
        <v>54</v>
      </c>
      <c r="H2481" t="n">
        <v>3.97</v>
      </c>
      <c r="I2481" t="n">
        <v>0.2</v>
      </c>
      <c r="J2481" t="n">
        <v>0</v>
      </c>
      <c r="K2481" t="inlineStr"/>
    </row>
    <row r="2482">
      <c r="A2482" t="inlineStr">
        <is>
          <t>SABSTKI30T6</t>
        </is>
      </c>
      <c r="B2482" t="inlineStr">
        <is>
          <t>RETRO VZLA KIDS</t>
        </is>
      </c>
      <c r="C2482" t="inlineStr">
        <is>
          <t>Manufactura / Dama / P. Superiores</t>
        </is>
      </c>
      <c r="D2482" t="n">
        <v>3</v>
      </c>
      <c r="E2482" t="n">
        <v>79.32877805</v>
      </c>
      <c r="F2482" t="n">
        <v>0.7406532574</v>
      </c>
      <c r="G2482" t="n">
        <v>3</v>
      </c>
      <c r="H2482" t="n">
        <v>10.18</v>
      </c>
      <c r="I2482" t="n">
        <v>0.3</v>
      </c>
      <c r="J2482" t="n">
        <v>3</v>
      </c>
      <c r="K2482" t="inlineStr"/>
    </row>
    <row r="2483">
      <c r="A2483" t="inlineStr">
        <is>
          <t>RIOMIKI14T2</t>
        </is>
      </c>
      <c r="B2483" t="inlineStr">
        <is>
          <t>RIO ORIGINAL KIDS</t>
        </is>
      </c>
      <c r="C2483" t="inlineStr">
        <is>
          <t>Manufactura / Kids / P. Superiores</t>
        </is>
      </c>
      <c r="D2483" t="n">
        <v>2</v>
      </c>
      <c r="E2483" t="n">
        <v>79.27936386</v>
      </c>
      <c r="F2483" t="n">
        <v>0.90863285865</v>
      </c>
      <c r="G2483" t="n">
        <v>0</v>
      </c>
      <c r="H2483" t="n">
        <v>3.617969464</v>
      </c>
      <c r="I2483" t="n">
        <v>0.2</v>
      </c>
      <c r="J2483" t="n">
        <v>8</v>
      </c>
      <c r="K2483" t="inlineStr">
        <is>
          <t>Sin stock</t>
        </is>
      </c>
    </row>
    <row r="2484">
      <c r="A2484" t="inlineStr">
        <is>
          <t>ANMSUDA15TXS</t>
        </is>
      </c>
      <c r="B2484" t="inlineStr">
        <is>
          <t>ANDRE MOTION DAMA</t>
        </is>
      </c>
      <c r="C2484" t="inlineStr">
        <is>
          <t>Manufactura / Dama / P. Superiores</t>
        </is>
      </c>
      <c r="D2484" t="n">
        <v>2</v>
      </c>
      <c r="E2484" t="n">
        <v>79.20980106</v>
      </c>
      <c r="F2484" t="n">
        <v>0.7265338163999999</v>
      </c>
      <c r="G2484" t="n">
        <v>16</v>
      </c>
      <c r="H2484" t="n">
        <v>10.6</v>
      </c>
      <c r="I2484" t="n">
        <v>0.2</v>
      </c>
      <c r="J2484" t="n">
        <v>2</v>
      </c>
      <c r="K2484" t="inlineStr"/>
    </row>
    <row r="2485">
      <c r="A2485" t="inlineStr">
        <is>
          <t>RIOMIKI30T4</t>
        </is>
      </c>
      <c r="B2485" t="inlineStr">
        <is>
          <t>RIO ORIGINAL KIDS</t>
        </is>
      </c>
      <c r="C2485" t="inlineStr">
        <is>
          <t>Manufactura / Kids / P. Superiores</t>
        </is>
      </c>
      <c r="D2485" t="n">
        <v>2</v>
      </c>
      <c r="E2485" t="n">
        <v>79.16884640000001</v>
      </c>
      <c r="F2485" t="n">
        <v>0.90851315455</v>
      </c>
      <c r="G2485" t="n">
        <v>0</v>
      </c>
      <c r="H2485" t="n">
        <v>3.617969464</v>
      </c>
      <c r="I2485" t="n">
        <v>0.2</v>
      </c>
      <c r="J2485" t="n">
        <v>9</v>
      </c>
      <c r="K2485" t="inlineStr">
        <is>
          <t>Sin stock</t>
        </is>
      </c>
    </row>
    <row r="2486">
      <c r="A2486" t="inlineStr">
        <is>
          <t>SHOUNCA23TL</t>
        </is>
      </c>
      <c r="B2486" t="inlineStr">
        <is>
          <t>SHORT PLAYA CAB</t>
        </is>
      </c>
      <c r="C2486" t="inlineStr">
        <is>
          <t>Manufactura / Caballero / P. Inferiores</t>
        </is>
      </c>
      <c r="D2486" t="n">
        <v>2</v>
      </c>
      <c r="E2486" t="n">
        <v>79.04736170999999</v>
      </c>
      <c r="F2486" t="n">
        <v>0.74665535235</v>
      </c>
      <c r="G2486" t="n">
        <v>0</v>
      </c>
      <c r="H2486" t="n">
        <v>9.99</v>
      </c>
      <c r="I2486" t="n">
        <v>0.2</v>
      </c>
      <c r="J2486" t="n">
        <v>8</v>
      </c>
      <c r="K2486" t="inlineStr">
        <is>
          <t>Sin stock</t>
        </is>
      </c>
    </row>
    <row r="2487">
      <c r="A2487" t="inlineStr">
        <is>
          <t>LARIMJDA16TL</t>
        </is>
      </c>
      <c r="B2487" t="inlineStr">
        <is>
          <t>LARISA ORIGINAL DAMA</t>
        </is>
      </c>
      <c r="C2487" t="inlineStr">
        <is>
          <t>Manufactura / Dama / P. Superiores</t>
        </is>
      </c>
      <c r="D2487" t="n">
        <v>2</v>
      </c>
      <c r="E2487" t="n">
        <v>78.95418735999999</v>
      </c>
      <c r="F2487" t="n">
        <v>0.9550982962</v>
      </c>
      <c r="G2487" t="n">
        <v>14</v>
      </c>
      <c r="H2487" t="n">
        <v>1.765998491</v>
      </c>
      <c r="I2487" t="n">
        <v>0.2</v>
      </c>
      <c r="J2487" t="n">
        <v>0</v>
      </c>
      <c r="K2487" t="inlineStr"/>
    </row>
    <row r="2488">
      <c r="A2488" t="inlineStr">
        <is>
          <t>RIOMIKI14T4</t>
        </is>
      </c>
      <c r="B2488" t="inlineStr">
        <is>
          <t>RIO ORIGINAL KIDS</t>
        </is>
      </c>
      <c r="C2488" t="inlineStr">
        <is>
          <t>Manufactura / Kids / P. Superiores</t>
        </is>
      </c>
      <c r="D2488" t="n">
        <v>2</v>
      </c>
      <c r="E2488" t="n">
        <v>78.85861973999999</v>
      </c>
      <c r="F2488" t="n">
        <v>0.9081736499499999</v>
      </c>
      <c r="G2488" t="n">
        <v>0</v>
      </c>
      <c r="H2488" t="n">
        <v>3.617969464</v>
      </c>
      <c r="I2488" t="n">
        <v>0.2</v>
      </c>
      <c r="J2488" t="n">
        <v>8</v>
      </c>
      <c r="K2488" t="inlineStr">
        <is>
          <t>Sin stock</t>
        </is>
      </c>
    </row>
    <row r="2489">
      <c r="A2489" t="inlineStr">
        <is>
          <t>SABSTDA30TXS</t>
        </is>
      </c>
      <c r="B2489" t="inlineStr">
        <is>
          <t>RETRO VZLA DAMA</t>
        </is>
      </c>
      <c r="C2489" t="inlineStr">
        <is>
          <t>Manufactura / Dama / P. Superiores</t>
        </is>
      </c>
      <c r="D2489" t="n">
        <v>2</v>
      </c>
      <c r="E2489" t="n">
        <v>78.7910713</v>
      </c>
      <c r="F2489" t="n">
        <v>0.7142788418999999</v>
      </c>
      <c r="G2489" t="n">
        <v>0</v>
      </c>
      <c r="H2489" t="n">
        <v>11.23</v>
      </c>
      <c r="I2489" t="n">
        <v>0.2</v>
      </c>
      <c r="J2489" t="n">
        <v>2</v>
      </c>
      <c r="K2489" t="inlineStr">
        <is>
          <t>Sin stock</t>
        </is>
      </c>
    </row>
    <row r="2490">
      <c r="A2490" t="inlineStr">
        <is>
          <t>SHOUNCA50TL</t>
        </is>
      </c>
      <c r="B2490" t="inlineStr">
        <is>
          <t>SHORT PLAYA CAB</t>
        </is>
      </c>
      <c r="C2490" t="inlineStr">
        <is>
          <t>Manufactura / Caballero / P. Inferiores</t>
        </is>
      </c>
      <c r="D2490" t="n">
        <v>2</v>
      </c>
      <c r="E2490" t="n">
        <v>78.51334897000001</v>
      </c>
      <c r="F2490" t="n">
        <v>0.7447970697499999</v>
      </c>
      <c r="G2490" t="n">
        <v>0</v>
      </c>
      <c r="H2490" t="n">
        <v>9.99</v>
      </c>
      <c r="I2490" t="n">
        <v>0.2</v>
      </c>
      <c r="J2490" t="n">
        <v>9</v>
      </c>
      <c r="K2490" t="inlineStr">
        <is>
          <t>Sin stock</t>
        </is>
      </c>
    </row>
    <row r="2491">
      <c r="A2491" t="inlineStr">
        <is>
          <t>RUNTBMBFCA205T2XL</t>
        </is>
      </c>
      <c r="B2491" t="inlineStr">
        <is>
          <t>RUNNING TANK BIOMOVE CAB</t>
        </is>
      </c>
      <c r="C2491" t="inlineStr">
        <is>
          <t>Manufactura / Caballero / P. Superiores</t>
        </is>
      </c>
      <c r="D2491" t="n">
        <v>1</v>
      </c>
      <c r="E2491" t="n">
        <v>78.47483001000001</v>
      </c>
      <c r="F2491" t="n">
        <v>0.9938534301</v>
      </c>
      <c r="G2491" t="n">
        <v>11</v>
      </c>
      <c r="H2491" t="n">
        <v>0.4823510284</v>
      </c>
      <c r="I2491" t="n">
        <v>0.1</v>
      </c>
      <c r="J2491" t="n">
        <v>2</v>
      </c>
      <c r="K2491" t="inlineStr"/>
    </row>
    <row r="2492">
      <c r="A2492" t="inlineStr">
        <is>
          <t>MAFMIDA30TL</t>
        </is>
      </c>
      <c r="B2492" t="inlineStr">
        <is>
          <t>MAFE ORIGINAL DAMA</t>
        </is>
      </c>
      <c r="C2492" t="inlineStr">
        <is>
          <t>Manufactura / Dama / P. Superiores</t>
        </is>
      </c>
      <c r="D2492" t="n">
        <v>3</v>
      </c>
      <c r="E2492" t="n">
        <v>78.39615229</v>
      </c>
      <c r="F2492" t="n">
        <v>0.8125428594666667</v>
      </c>
      <c r="G2492" t="n">
        <v>0</v>
      </c>
      <c r="H2492" t="n">
        <v>4.54817671</v>
      </c>
      <c r="I2492" t="n">
        <v>0.3</v>
      </c>
      <c r="J2492" t="n">
        <v>2</v>
      </c>
      <c r="K2492" t="inlineStr">
        <is>
          <t>Sin stock</t>
        </is>
      </c>
    </row>
    <row r="2493">
      <c r="A2493" t="inlineStr">
        <is>
          <t>SABSTKI30T14</t>
        </is>
      </c>
      <c r="B2493" t="inlineStr">
        <is>
          <t>RETRO VZLA KIDS</t>
        </is>
      </c>
      <c r="C2493" t="inlineStr">
        <is>
          <t>Manufactura / Dama / P. Superiores</t>
        </is>
      </c>
      <c r="D2493" t="n">
        <v>2</v>
      </c>
      <c r="E2493" t="n">
        <v>78.15011058</v>
      </c>
      <c r="F2493" t="n">
        <v>0.7378908105999999</v>
      </c>
      <c r="G2493" t="n">
        <v>2</v>
      </c>
      <c r="H2493" t="n">
        <v>10.18</v>
      </c>
      <c r="I2493" t="n">
        <v>0.2</v>
      </c>
      <c r="J2493" t="n">
        <v>7</v>
      </c>
      <c r="K2493" t="inlineStr"/>
    </row>
    <row r="2494">
      <c r="A2494" t="inlineStr">
        <is>
          <t>CRESTCA30TL</t>
        </is>
      </c>
      <c r="B2494" t="inlineStr">
        <is>
          <t>RETRO VZLA CAB</t>
        </is>
      </c>
      <c r="C2494" t="inlineStr">
        <is>
          <t>Manufactura / Caballero / P. Superiores</t>
        </is>
      </c>
      <c r="D2494" t="n">
        <v>2</v>
      </c>
      <c r="E2494" t="n">
        <v>78.04746398</v>
      </c>
      <c r="F2494" t="n">
        <v>0.6694108449</v>
      </c>
      <c r="G2494" t="n">
        <v>0</v>
      </c>
      <c r="H2494" t="n">
        <v>12.9</v>
      </c>
      <c r="I2494" t="n">
        <v>0.2</v>
      </c>
      <c r="J2494" t="n">
        <v>8</v>
      </c>
      <c r="K2494" t="inlineStr">
        <is>
          <t>Sin stock</t>
        </is>
      </c>
    </row>
    <row r="2495">
      <c r="A2495" t="inlineStr">
        <is>
          <t>VIVMIDA04TS</t>
        </is>
      </c>
      <c r="B2495" t="inlineStr">
        <is>
          <t>VIVI ORIGINAL DAMA</t>
        </is>
      </c>
      <c r="C2495" t="inlineStr">
        <is>
          <t>Manufactura / Dama / P. Superiores</t>
        </is>
      </c>
      <c r="D2495" t="n">
        <v>2</v>
      </c>
      <c r="E2495" t="n">
        <v>77.97683062999999</v>
      </c>
      <c r="F2495" t="n">
        <v>0.88415209605</v>
      </c>
      <c r="G2495" t="n">
        <v>0</v>
      </c>
      <c r="H2495" t="n">
        <v>4.303181706</v>
      </c>
      <c r="I2495" t="n">
        <v>0.2</v>
      </c>
      <c r="J2495" t="n">
        <v>3</v>
      </c>
      <c r="K2495" t="inlineStr">
        <is>
          <t>Sin stock</t>
        </is>
      </c>
    </row>
    <row r="2496">
      <c r="A2496" t="inlineStr">
        <is>
          <t>201STDA43TM</t>
        </is>
      </c>
      <c r="B2496" t="inlineStr">
        <is>
          <t>RETRO VZLA DAMA</t>
        </is>
      </c>
      <c r="C2496" t="inlineStr">
        <is>
          <t>Manufactura / Dama / P. Superiores</t>
        </is>
      </c>
      <c r="D2496" t="n">
        <v>2</v>
      </c>
      <c r="E2496" t="n">
        <v>77.96588399000001</v>
      </c>
      <c r="F2496" t="n">
        <v>0.7038046647</v>
      </c>
      <c r="G2496" t="n">
        <v>1</v>
      </c>
      <c r="H2496" t="n">
        <v>11.23</v>
      </c>
      <c r="I2496" t="n">
        <v>0.2</v>
      </c>
      <c r="J2496" t="n">
        <v>4</v>
      </c>
      <c r="K2496" t="inlineStr"/>
    </row>
    <row r="2497">
      <c r="A2497" t="inlineStr">
        <is>
          <t>ZOEMIDA16TS</t>
        </is>
      </c>
      <c r="B2497" t="inlineStr">
        <is>
          <t>ZOE ORIGINAL DAMA</t>
        </is>
      </c>
      <c r="C2497" t="inlineStr">
        <is>
          <t>Manufactura / Dama / P. Superiores</t>
        </is>
      </c>
      <c r="D2497" t="n">
        <v>2</v>
      </c>
      <c r="E2497" t="n">
        <v>77.89840921000001</v>
      </c>
      <c r="F2497" t="n">
        <v>0.8939694032500001</v>
      </c>
      <c r="G2497" t="n">
        <v>0</v>
      </c>
      <c r="H2497" t="n">
        <v>4.116585696</v>
      </c>
      <c r="I2497" t="n">
        <v>0.2</v>
      </c>
      <c r="J2497" t="n">
        <v>6</v>
      </c>
      <c r="K2497" t="inlineStr">
        <is>
          <t>Sin stock</t>
        </is>
      </c>
    </row>
    <row r="2498">
      <c r="A2498" t="inlineStr">
        <is>
          <t>MARMIDA28TM</t>
        </is>
      </c>
      <c r="B2498" t="inlineStr">
        <is>
          <t>MAR ORIGINAL DAMA</t>
        </is>
      </c>
      <c r="C2498" t="inlineStr">
        <is>
          <t>Manufactura / Dama / P. Superiores</t>
        </is>
      </c>
      <c r="D2498" t="n">
        <v>2</v>
      </c>
      <c r="E2498" t="n">
        <v>76.88869848</v>
      </c>
      <c r="F2498" t="n">
        <v>0.88732321505</v>
      </c>
      <c r="G2498" t="n">
        <v>0</v>
      </c>
      <c r="H2498" t="n">
        <v>4.278324149</v>
      </c>
      <c r="I2498" t="n">
        <v>0.2</v>
      </c>
      <c r="J2498" t="n">
        <v>9</v>
      </c>
      <c r="K2498" t="inlineStr">
        <is>
          <t>Sin stock</t>
        </is>
      </c>
    </row>
    <row r="2499">
      <c r="A2499" t="inlineStr">
        <is>
          <t>RIOMIKI28T1</t>
        </is>
      </c>
      <c r="B2499" t="inlineStr">
        <is>
          <t>RIO ORIGINAL KIDS</t>
        </is>
      </c>
      <c r="C2499" t="inlineStr">
        <is>
          <t>Manufactura / Kids / P. Superiores</t>
        </is>
      </c>
      <c r="D2499" t="n">
        <v>2</v>
      </c>
      <c r="E2499" t="n">
        <v>76.84202372999999</v>
      </c>
      <c r="F2499" t="n">
        <v>0.90555649135</v>
      </c>
      <c r="G2499" t="n">
        <v>0</v>
      </c>
      <c r="H2499" t="n">
        <v>3.617969464</v>
      </c>
      <c r="I2499" t="n">
        <v>0.2</v>
      </c>
      <c r="J2499" t="n">
        <v>8</v>
      </c>
      <c r="K2499" t="inlineStr">
        <is>
          <t>Sin stock</t>
        </is>
      </c>
    </row>
    <row r="2500">
      <c r="A2500" t="inlineStr">
        <is>
          <t>MLMMJDA14TS</t>
        </is>
      </c>
      <c r="B2500" t="inlineStr">
        <is>
          <t>MOTION LOOP MAFE DAMA</t>
        </is>
      </c>
      <c r="C2500" t="inlineStr">
        <is>
          <t>Manufactura / Dama / P. Superiores</t>
        </is>
      </c>
      <c r="D2500" t="n">
        <v>2</v>
      </c>
      <c r="E2500" t="n">
        <v>76.55000000000001</v>
      </c>
      <c r="F2500" t="n">
        <v>0.99300133265</v>
      </c>
      <c r="G2500" t="n">
        <v>7</v>
      </c>
      <c r="H2500" t="n">
        <v>0.2661111111</v>
      </c>
      <c r="I2500" t="n">
        <v>0.2</v>
      </c>
      <c r="J2500" t="n">
        <v>1</v>
      </c>
      <c r="K2500" t="inlineStr"/>
    </row>
    <row r="2501">
      <c r="A2501" t="inlineStr">
        <is>
          <t>ACAMIDA121TM</t>
        </is>
      </c>
      <c r="B2501" t="inlineStr">
        <is>
          <t>ANDRE ACTIVE DAMA</t>
        </is>
      </c>
      <c r="C2501" t="inlineStr">
        <is>
          <t>Manufactura / Dama / P. Superiores</t>
        </is>
      </c>
      <c r="D2501" t="n">
        <v>2</v>
      </c>
      <c r="E2501" t="n">
        <v>76.50160932</v>
      </c>
      <c r="F2501" t="n">
        <v>0.79308859825</v>
      </c>
      <c r="G2501" t="n">
        <v>1</v>
      </c>
      <c r="H2501" t="n">
        <v>7.89</v>
      </c>
      <c r="I2501" t="n">
        <v>0.2</v>
      </c>
      <c r="J2501" t="n">
        <v>7</v>
      </c>
      <c r="K2501" t="inlineStr"/>
    </row>
    <row r="2502">
      <c r="A2502" t="inlineStr">
        <is>
          <t>CAP25MC</t>
        </is>
      </c>
      <c r="B2502" t="inlineStr">
        <is>
          <t>MESH CAP</t>
        </is>
      </c>
      <c r="C2502" t="inlineStr">
        <is>
          <t>Equipamiento / Gorras</t>
        </is>
      </c>
      <c r="D2502" t="n">
        <v>3</v>
      </c>
      <c r="E2502" t="n">
        <v>76.31983228999999</v>
      </c>
      <c r="F2502" t="n">
        <v>0.8679072771333334</v>
      </c>
      <c r="G2502" t="n">
        <v>0</v>
      </c>
      <c r="H2502" t="n">
        <v>3.36</v>
      </c>
      <c r="I2502" t="n">
        <v>0.3</v>
      </c>
      <c r="J2502" t="n">
        <v>8</v>
      </c>
      <c r="K2502" t="inlineStr">
        <is>
          <t>Sin stock</t>
        </is>
      </c>
    </row>
    <row r="2503">
      <c r="A2503" t="inlineStr">
        <is>
          <t>VIVMIDA30TL</t>
        </is>
      </c>
      <c r="B2503" t="inlineStr">
        <is>
          <t>VIVI ORIGINAL DAMA</t>
        </is>
      </c>
      <c r="C2503" t="inlineStr">
        <is>
          <t>Manufactura / Dama / P. Superiores</t>
        </is>
      </c>
      <c r="D2503" t="n">
        <v>2</v>
      </c>
      <c r="E2503" t="n">
        <v>76.23063993</v>
      </c>
      <c r="F2503" t="n">
        <v>0.8801027115</v>
      </c>
      <c r="G2503" t="n">
        <v>1</v>
      </c>
      <c r="H2503" t="n">
        <v>4.303181706</v>
      </c>
      <c r="I2503" t="n">
        <v>0.2</v>
      </c>
      <c r="J2503" t="n">
        <v>3</v>
      </c>
      <c r="K2503" t="inlineStr"/>
    </row>
    <row r="2504">
      <c r="A2504" t="inlineStr">
        <is>
          <t>EXPSTDA43TS</t>
        </is>
      </c>
      <c r="B2504" t="inlineStr">
        <is>
          <t>CLASICA RETRO 2.0 DAMA</t>
        </is>
      </c>
      <c r="C2504" t="inlineStr">
        <is>
          <t>Manufactura / Dama / P. Superiores</t>
        </is>
      </c>
      <c r="D2504" t="n">
        <v>2</v>
      </c>
      <c r="E2504" t="n">
        <v>76.17650943000001</v>
      </c>
      <c r="F2504" t="n">
        <v>0.7051535629500001</v>
      </c>
      <c r="G2504" t="n">
        <v>0</v>
      </c>
      <c r="H2504" t="n">
        <v>11.23</v>
      </c>
      <c r="I2504" t="n">
        <v>0.2</v>
      </c>
      <c r="J2504" t="n">
        <v>8</v>
      </c>
      <c r="K2504" t="inlineStr">
        <is>
          <t>Sin stock</t>
        </is>
      </c>
    </row>
    <row r="2505">
      <c r="A2505" t="inlineStr">
        <is>
          <t>RIOMIKI30T6</t>
        </is>
      </c>
      <c r="B2505" t="inlineStr">
        <is>
          <t>RIO ORIGINAL KIDS</t>
        </is>
      </c>
      <c r="C2505" t="inlineStr">
        <is>
          <t>Manufactura / Kids / P. Superiores</t>
        </is>
      </c>
      <c r="D2505" t="n">
        <v>2</v>
      </c>
      <c r="E2505" t="n">
        <v>76.10425721999999</v>
      </c>
      <c r="F2505" t="n">
        <v>0.9032026009</v>
      </c>
      <c r="G2505" t="n">
        <v>0</v>
      </c>
      <c r="H2505" t="n">
        <v>3.617969464</v>
      </c>
      <c r="I2505" t="n">
        <v>0.2</v>
      </c>
      <c r="J2505" t="n">
        <v>7</v>
      </c>
      <c r="K2505" t="inlineStr">
        <is>
          <t>Sin stock</t>
        </is>
      </c>
    </row>
    <row r="2506">
      <c r="A2506" t="inlineStr">
        <is>
          <t>SHOUNCA13TL</t>
        </is>
      </c>
      <c r="B2506" t="inlineStr">
        <is>
          <t>SHORT PLAYA CAB</t>
        </is>
      </c>
      <c r="C2506" t="inlineStr">
        <is>
          <t>Manufactura / Caballero / P. Inferiores</t>
        </is>
      </c>
      <c r="D2506" t="n">
        <v>2</v>
      </c>
      <c r="E2506" t="n">
        <v>76.02214305000001</v>
      </c>
      <c r="F2506" t="n">
        <v>0.73691205385</v>
      </c>
      <c r="G2506" t="n">
        <v>0</v>
      </c>
      <c r="H2506" t="n">
        <v>9.99</v>
      </c>
      <c r="I2506" t="n">
        <v>0.2</v>
      </c>
      <c r="J2506" t="n">
        <v>9</v>
      </c>
      <c r="K2506" t="inlineStr">
        <is>
          <t>Sin stock</t>
        </is>
      </c>
    </row>
    <row r="2507">
      <c r="A2507" t="inlineStr">
        <is>
          <t>ZOEMIKI70T4</t>
        </is>
      </c>
      <c r="B2507" t="inlineStr">
        <is>
          <t>ZOE ORIGINAL KIDS</t>
        </is>
      </c>
      <c r="C2507" t="inlineStr">
        <is>
          <t>Manufactura / Kids / P. Superiores</t>
        </is>
      </c>
      <c r="D2507" t="n">
        <v>2</v>
      </c>
      <c r="E2507" t="n">
        <v>76</v>
      </c>
      <c r="F2507" t="n">
        <v>0.8915789474</v>
      </c>
      <c r="G2507" t="n">
        <v>12</v>
      </c>
      <c r="H2507" t="n">
        <v>4.12</v>
      </c>
      <c r="I2507" t="n">
        <v>0.2</v>
      </c>
      <c r="J2507" t="n">
        <v>0</v>
      </c>
      <c r="K2507" t="inlineStr"/>
    </row>
    <row r="2508">
      <c r="A2508" t="inlineStr">
        <is>
          <t>DANMIKI48T6</t>
        </is>
      </c>
      <c r="B2508" t="inlineStr">
        <is>
          <t>DANI ORIGINAL KIDS</t>
        </is>
      </c>
      <c r="C2508" t="inlineStr">
        <is>
          <t>Manufactura / Kids / P. Superiores</t>
        </is>
      </c>
      <c r="D2508" t="n">
        <v>3</v>
      </c>
      <c r="E2508" t="n">
        <v>75.83427286</v>
      </c>
      <c r="F2508" t="n">
        <v>0.8573763893</v>
      </c>
      <c r="G2508" t="n">
        <v>0</v>
      </c>
      <c r="H2508" t="n">
        <v>3.549999999999999</v>
      </c>
      <c r="I2508" t="n">
        <v>0.3</v>
      </c>
      <c r="J2508" t="n">
        <v>4</v>
      </c>
      <c r="K2508" t="inlineStr">
        <is>
          <t>Sin stock</t>
        </is>
      </c>
    </row>
    <row r="2509">
      <c r="A2509" t="inlineStr">
        <is>
          <t>P04</t>
        </is>
      </c>
      <c r="B2509" t="inlineStr">
        <is>
          <t>PARCHES</t>
        </is>
      </c>
      <c r="C2509" t="inlineStr">
        <is>
          <t>Equipamiento / Accesorios</t>
        </is>
      </c>
      <c r="D2509" t="n">
        <v>16</v>
      </c>
      <c r="E2509" t="n">
        <v>74.657988899</v>
      </c>
      <c r="F2509" t="n">
        <v>0.7911874230866667</v>
      </c>
      <c r="G2509" t="n">
        <v>16</v>
      </c>
      <c r="H2509" t="n">
        <v>0.98</v>
      </c>
      <c r="I2509" t="n">
        <v>1.6</v>
      </c>
      <c r="J2509" t="n">
        <v>2</v>
      </c>
      <c r="K2509" t="inlineStr"/>
    </row>
    <row r="2510">
      <c r="A2510" t="inlineStr">
        <is>
          <t>MIKFNDA24T2XL</t>
        </is>
      </c>
      <c r="B2510" t="inlineStr">
        <is>
          <t>MIKA SPORT LITE DAMA</t>
        </is>
      </c>
      <c r="C2510" t="inlineStr">
        <is>
          <t>Manufactura / Dama / P. Superiores</t>
        </is>
      </c>
      <c r="D2510" t="n">
        <v>2</v>
      </c>
      <c r="E2510" t="n">
        <v>74.543075</v>
      </c>
      <c r="F2510" t="n">
        <v>0.85243293145</v>
      </c>
      <c r="G2510" t="n">
        <v>19</v>
      </c>
      <c r="H2510" t="n">
        <v>5.484675344</v>
      </c>
      <c r="I2510" t="n">
        <v>0.2</v>
      </c>
      <c r="J2510" t="n">
        <v>7</v>
      </c>
      <c r="K2510" t="inlineStr"/>
    </row>
    <row r="2511">
      <c r="A2511" t="inlineStr">
        <is>
          <t>RIOMIKI28T6</t>
        </is>
      </c>
      <c r="B2511" t="inlineStr">
        <is>
          <t>RIO ORIGINAL KIDS</t>
        </is>
      </c>
      <c r="C2511" t="inlineStr">
        <is>
          <t>Manufactura / Kids / P. Superiores</t>
        </is>
      </c>
      <c r="D2511" t="n">
        <v>3</v>
      </c>
      <c r="E2511" t="n">
        <v>74.31284386999999</v>
      </c>
      <c r="F2511" t="n">
        <v>0.9025816514</v>
      </c>
      <c r="G2511" t="n">
        <v>0</v>
      </c>
      <c r="H2511" t="n">
        <v>3.617969464</v>
      </c>
      <c r="I2511" t="n">
        <v>0.3</v>
      </c>
      <c r="J2511" t="n">
        <v>0</v>
      </c>
      <c r="K2511" t="inlineStr">
        <is>
          <t>Sin stock</t>
        </is>
      </c>
    </row>
    <row r="2512">
      <c r="A2512" t="inlineStr">
        <is>
          <t>DANMIKI50T6</t>
        </is>
      </c>
      <c r="B2512" t="inlineStr">
        <is>
          <t>DANI ORIGINAL KIDS</t>
        </is>
      </c>
      <c r="C2512" t="inlineStr">
        <is>
          <t>Manufactura / Kids / P. Superiores</t>
        </is>
      </c>
      <c r="D2512" t="n">
        <v>3</v>
      </c>
      <c r="E2512" t="n">
        <v>74.25559928</v>
      </c>
      <c r="F2512" t="n">
        <v>0.8546055389333334</v>
      </c>
      <c r="G2512" t="n">
        <v>1</v>
      </c>
      <c r="H2512" t="n">
        <v>3.549999999999999</v>
      </c>
      <c r="I2512" t="n">
        <v>0.3</v>
      </c>
      <c r="J2512" t="n">
        <v>1</v>
      </c>
      <c r="K2512" t="inlineStr"/>
    </row>
    <row r="2513">
      <c r="A2513" t="inlineStr">
        <is>
          <t>CLAMIKI53T12</t>
        </is>
      </c>
      <c r="B2513" t="inlineStr">
        <is>
          <t>CLASICA ORIGINAL KIDS</t>
        </is>
      </c>
      <c r="C2513" t="inlineStr">
        <is>
          <t>Manufactura / Kids / P. Superiores</t>
        </is>
      </c>
      <c r="D2513" t="n">
        <v>2</v>
      </c>
      <c r="E2513" t="n">
        <v>74.22648627</v>
      </c>
      <c r="F2513" t="n">
        <v>0.9403670998</v>
      </c>
      <c r="G2513" t="n">
        <v>5</v>
      </c>
      <c r="H2513" t="n">
        <v>2.053774806</v>
      </c>
      <c r="I2513" t="n">
        <v>0.2</v>
      </c>
      <c r="J2513" t="n">
        <v>2</v>
      </c>
      <c r="K2513" t="inlineStr"/>
    </row>
    <row r="2514">
      <c r="A2514" t="inlineStr">
        <is>
          <t>201STCA30TXL</t>
        </is>
      </c>
      <c r="B2514" t="inlineStr">
        <is>
          <t>RETRO VZLA CAB</t>
        </is>
      </c>
      <c r="C2514" t="inlineStr">
        <is>
          <t>Manufactura / Caballero / P. Superiores</t>
        </is>
      </c>
      <c r="D2514" t="n">
        <v>2</v>
      </c>
      <c r="E2514" t="n">
        <v>74.10141705999999</v>
      </c>
      <c r="F2514" t="n">
        <v>0.6512469515</v>
      </c>
      <c r="G2514" t="n">
        <v>0</v>
      </c>
      <c r="H2514" t="n">
        <v>12.9</v>
      </c>
      <c r="I2514" t="n">
        <v>0.2</v>
      </c>
      <c r="J2514" t="n">
        <v>7</v>
      </c>
      <c r="K2514" t="inlineStr">
        <is>
          <t>Sin stock</t>
        </is>
      </c>
    </row>
    <row r="2515">
      <c r="A2515" t="inlineStr">
        <is>
          <t>CLAMIKI12T4</t>
        </is>
      </c>
      <c r="B2515" t="inlineStr">
        <is>
          <t>CLASICA ORIGINAL KIDS</t>
        </is>
      </c>
      <c r="C2515" t="inlineStr">
        <is>
          <t>Manufactura / Kids / P. Superiores</t>
        </is>
      </c>
      <c r="D2515" t="n">
        <v>3</v>
      </c>
      <c r="E2515" t="n">
        <v>74</v>
      </c>
      <c r="F2515" t="n">
        <v>0.9444925728</v>
      </c>
      <c r="G2515" t="n">
        <v>5</v>
      </c>
      <c r="H2515" t="n">
        <v>2.053774806</v>
      </c>
      <c r="I2515" t="n">
        <v>0.3</v>
      </c>
      <c r="J2515" t="n">
        <v>0</v>
      </c>
      <c r="K2515" t="inlineStr"/>
    </row>
    <row r="2516">
      <c r="A2516" t="inlineStr">
        <is>
          <t>MANMIGE30TP</t>
        </is>
      </c>
      <c r="B2516" t="inlineStr">
        <is>
          <t>MANGAS GENERAL</t>
        </is>
      </c>
      <c r="C2516" t="inlineStr">
        <is>
          <t>Manufactura / General</t>
        </is>
      </c>
      <c r="D2516" t="n">
        <v>4</v>
      </c>
      <c r="E2516" t="n">
        <v>73.16619931</v>
      </c>
      <c r="F2516" t="n">
        <v>0.948843067025</v>
      </c>
      <c r="G2516" t="n">
        <v>15</v>
      </c>
      <c r="H2516" t="n">
        <v>0.92</v>
      </c>
      <c r="I2516" t="n">
        <v>0.4</v>
      </c>
      <c r="J2516" t="n">
        <v>4</v>
      </c>
      <c r="K2516" t="inlineStr"/>
    </row>
    <row r="2517">
      <c r="A2517" t="inlineStr">
        <is>
          <t>MARMIKI14T6</t>
        </is>
      </c>
      <c r="B2517" t="inlineStr">
        <is>
          <t>MAR ORIGINAL KIDS</t>
        </is>
      </c>
      <c r="C2517" t="inlineStr">
        <is>
          <t>Manufactura / Kids / P. Superiores</t>
        </is>
      </c>
      <c r="D2517" t="n">
        <v>2</v>
      </c>
      <c r="E2517" t="n">
        <v>73.11648778</v>
      </c>
      <c r="F2517" t="n">
        <v>0.9133257425</v>
      </c>
      <c r="G2517" t="n">
        <v>0</v>
      </c>
      <c r="H2517" t="n">
        <v>3.168013332</v>
      </c>
      <c r="I2517" t="n">
        <v>0.2</v>
      </c>
      <c r="J2517" t="n">
        <v>9</v>
      </c>
      <c r="K2517" t="inlineStr">
        <is>
          <t>Sin stock</t>
        </is>
      </c>
    </row>
    <row r="2518">
      <c r="A2518" t="inlineStr">
        <is>
          <t>RUNTBMBFCA205TL</t>
        </is>
      </c>
      <c r="B2518" t="inlineStr">
        <is>
          <t>RUNNING TANK BIOMOVE CAB</t>
        </is>
      </c>
      <c r="C2518" t="inlineStr">
        <is>
          <t>Manufactura / Caballero / P. Superiores</t>
        </is>
      </c>
      <c r="D2518" t="n">
        <v>3</v>
      </c>
      <c r="E2518" t="n">
        <v>73</v>
      </c>
      <c r="F2518" t="n">
        <v>0.9933924517</v>
      </c>
      <c r="G2518" t="n">
        <v>26</v>
      </c>
      <c r="H2518" t="n">
        <v>0.4823510283999999</v>
      </c>
      <c r="I2518" t="n">
        <v>0.3</v>
      </c>
      <c r="J2518" t="n">
        <v>1</v>
      </c>
      <c r="K2518" t="inlineStr"/>
    </row>
    <row r="2519">
      <c r="A2519" t="inlineStr">
        <is>
          <t>SHOUNKI50T1</t>
        </is>
      </c>
      <c r="B2519" t="inlineStr">
        <is>
          <t>SHORT PLAYA KIDS</t>
        </is>
      </c>
      <c r="C2519" t="inlineStr">
        <is>
          <t>Manufactura / Kids / P. Inferiores</t>
        </is>
      </c>
      <c r="D2519" t="n">
        <v>2</v>
      </c>
      <c r="E2519" t="n">
        <v>72.98121433</v>
      </c>
      <c r="F2519" t="n">
        <v>0.8321533437999999</v>
      </c>
      <c r="G2519" t="n">
        <v>17</v>
      </c>
      <c r="H2519" t="n">
        <v>6.09</v>
      </c>
      <c r="I2519" t="n">
        <v>0.2</v>
      </c>
      <c r="J2519" t="n">
        <v>6</v>
      </c>
      <c r="K2519" t="inlineStr"/>
    </row>
    <row r="2520">
      <c r="A2520" t="inlineStr">
        <is>
          <t>TMOFIDA31TXL</t>
        </is>
      </c>
      <c r="B2520" t="inlineStr">
        <is>
          <t>TOP MOVA</t>
        </is>
      </c>
      <c r="C2520" t="inlineStr">
        <is>
          <t>Manufactura / Dama / P. Superiores</t>
        </is>
      </c>
      <c r="D2520" t="n">
        <v>1</v>
      </c>
      <c r="E2520" t="n">
        <v>72.83378798</v>
      </c>
      <c r="F2520" t="n">
        <v>0.8634841423</v>
      </c>
      <c r="G2520" t="n">
        <v>9</v>
      </c>
      <c r="H2520" t="n">
        <v>9.942967033</v>
      </c>
      <c r="I2520" t="n">
        <v>0.1</v>
      </c>
      <c r="J2520" t="n">
        <v>6</v>
      </c>
      <c r="K2520" t="inlineStr"/>
    </row>
    <row r="2521">
      <c r="A2521" t="inlineStr">
        <is>
          <t>MARMIKI52T10</t>
        </is>
      </c>
      <c r="B2521" t="inlineStr">
        <is>
          <t>MAR ORIGINAL KIDS</t>
        </is>
      </c>
      <c r="C2521" t="inlineStr">
        <is>
          <t>Manufactura / Kids / P. Superiores</t>
        </is>
      </c>
      <c r="D2521" t="n">
        <v>2</v>
      </c>
      <c r="E2521" t="n">
        <v>72.82745558000001</v>
      </c>
      <c r="F2521" t="n">
        <v>0.9129994778</v>
      </c>
      <c r="G2521" t="n">
        <v>0</v>
      </c>
      <c r="H2521" t="n">
        <v>3.168013332</v>
      </c>
      <c r="I2521" t="n">
        <v>0.2</v>
      </c>
      <c r="J2521" t="n">
        <v>9</v>
      </c>
      <c r="K2521" t="inlineStr">
        <is>
          <t>Sin stock</t>
        </is>
      </c>
    </row>
    <row r="2522">
      <c r="A2522" t="inlineStr">
        <is>
          <t>SABSTCA30TL</t>
        </is>
      </c>
      <c r="B2522" t="inlineStr">
        <is>
          <t>RETRO VZLA CAB</t>
        </is>
      </c>
      <c r="C2522" t="inlineStr">
        <is>
          <t>Manufactura / Caballero / P. Superiores</t>
        </is>
      </c>
      <c r="D2522" t="n">
        <v>2</v>
      </c>
      <c r="E2522" t="n">
        <v>72.59001918999999</v>
      </c>
      <c r="F2522" t="n">
        <v>0.6444244366</v>
      </c>
      <c r="G2522" t="n">
        <v>0</v>
      </c>
      <c r="H2522" t="n">
        <v>12.9</v>
      </c>
      <c r="I2522" t="n">
        <v>0.2</v>
      </c>
      <c r="J2522" t="n">
        <v>7</v>
      </c>
      <c r="K2522" t="inlineStr">
        <is>
          <t>Sin stock</t>
        </is>
      </c>
    </row>
    <row r="2523">
      <c r="A2523" t="inlineStr">
        <is>
          <t>CLAMICA11T2XL</t>
        </is>
      </c>
      <c r="B2523" t="inlineStr">
        <is>
          <t>CLASICA ORIGINAL CAB</t>
        </is>
      </c>
      <c r="C2523" t="inlineStr">
        <is>
          <t>Manufactura / Caballero / P. Superiores</t>
        </is>
      </c>
      <c r="D2523" t="n">
        <v>5</v>
      </c>
      <c r="E2523" t="n">
        <v>72.43821224</v>
      </c>
      <c r="F2523" t="n">
        <v>0.8642436491000001</v>
      </c>
      <c r="G2523" t="n">
        <v>1</v>
      </c>
      <c r="H2523" t="n">
        <v>4.598442536</v>
      </c>
      <c r="I2523" t="n">
        <v>0.5</v>
      </c>
      <c r="J2523" t="n">
        <v>5</v>
      </c>
      <c r="K2523" t="inlineStr"/>
    </row>
    <row r="2524">
      <c r="A2524" t="inlineStr">
        <is>
          <t>CLAMEDA13TS</t>
        </is>
      </c>
      <c r="B2524" t="inlineStr">
        <is>
          <t>CLÁSICA SPORT DAMA</t>
        </is>
      </c>
      <c r="C2524" t="inlineStr">
        <is>
          <t>Manufactura / Dama / P. Superiores</t>
        </is>
      </c>
      <c r="D2524" t="n">
        <v>3</v>
      </c>
      <c r="E2524" t="n">
        <v>72.39329845</v>
      </c>
      <c r="F2524" t="n">
        <v>0.8193795527500001</v>
      </c>
      <c r="G2524" t="n">
        <v>0</v>
      </c>
      <c r="H2524" t="n">
        <v>6.536105769</v>
      </c>
      <c r="I2524" t="n">
        <v>0.3</v>
      </c>
      <c r="J2524" t="n">
        <v>8</v>
      </c>
      <c r="K2524" t="inlineStr">
        <is>
          <t>Sin stock</t>
        </is>
      </c>
    </row>
    <row r="2525">
      <c r="A2525" t="inlineStr">
        <is>
          <t>CLAMIKI11T6</t>
        </is>
      </c>
      <c r="B2525" t="inlineStr">
        <is>
          <t>CLASICA ORIGINAL KIDS</t>
        </is>
      </c>
      <c r="C2525" t="inlineStr">
        <is>
          <t>Manufactura / Kids / P. Superiores</t>
        </is>
      </c>
      <c r="D2525" t="n">
        <v>2</v>
      </c>
      <c r="E2525" t="n">
        <v>72.15000000000001</v>
      </c>
      <c r="F2525" t="n">
        <v>0.942305645275</v>
      </c>
      <c r="G2525" t="n">
        <v>2</v>
      </c>
      <c r="H2525" t="n">
        <v>2.053774806</v>
      </c>
      <c r="I2525" t="n">
        <v>0.2</v>
      </c>
      <c r="J2525" t="n">
        <v>0</v>
      </c>
      <c r="K2525" t="inlineStr"/>
    </row>
    <row r="2526">
      <c r="A2526" t="inlineStr">
        <is>
          <t>GOOSTKI16T8</t>
        </is>
      </c>
      <c r="B2526" t="inlineStr">
        <is>
          <t>RETRO VZLA KIDS</t>
        </is>
      </c>
      <c r="C2526" t="inlineStr">
        <is>
          <t>Manufactura / Dama / P. Superiores</t>
        </is>
      </c>
      <c r="D2526" t="n">
        <v>2</v>
      </c>
      <c r="E2526" t="n">
        <v>72.078867</v>
      </c>
      <c r="F2526" t="n">
        <v>0.70927315455</v>
      </c>
      <c r="G2526" t="n">
        <v>3</v>
      </c>
      <c r="H2526" t="n">
        <v>10.18</v>
      </c>
      <c r="I2526" t="n">
        <v>0.2</v>
      </c>
      <c r="J2526" t="n">
        <v>3</v>
      </c>
      <c r="K2526" t="inlineStr"/>
    </row>
    <row r="2527">
      <c r="A2527" t="inlineStr">
        <is>
          <t>DALSSTDA30TL</t>
        </is>
      </c>
      <c r="B2527" t="inlineStr">
        <is>
          <t>MANGA LARGA DAILY 2.0 DAMA</t>
        </is>
      </c>
      <c r="C2527" t="inlineStr">
        <is>
          <t>Manufactura / Dama / P. Superiores</t>
        </is>
      </c>
      <c r="D2527" t="n">
        <v>1</v>
      </c>
      <c r="E2527" t="n">
        <v>71.51969026</v>
      </c>
      <c r="F2527" t="n">
        <v>0.8280193894</v>
      </c>
      <c r="G2527" t="n">
        <v>3</v>
      </c>
      <c r="H2527" t="n">
        <v>12.3</v>
      </c>
      <c r="I2527" t="n">
        <v>0.1</v>
      </c>
      <c r="J2527" t="n">
        <v>3</v>
      </c>
      <c r="K2527" t="inlineStr"/>
    </row>
    <row r="2528">
      <c r="A2528" t="inlineStr">
        <is>
          <t>GOOSTKI16T14</t>
        </is>
      </c>
      <c r="B2528" t="inlineStr">
        <is>
          <t>RETRO VZLA KIDS</t>
        </is>
      </c>
      <c r="C2528" t="inlineStr">
        <is>
          <t>Manufactura / Dama / P. Superiores</t>
        </is>
      </c>
      <c r="D2528" t="n">
        <v>4</v>
      </c>
      <c r="E2528" t="n">
        <v>71.28019302</v>
      </c>
      <c r="F2528" t="n">
        <v>0.5730732542</v>
      </c>
      <c r="G2528" t="n">
        <v>3</v>
      </c>
      <c r="H2528" t="n">
        <v>10.18</v>
      </c>
      <c r="I2528" t="n">
        <v>0.4</v>
      </c>
      <c r="J2528" t="n">
        <v>4</v>
      </c>
      <c r="K2528" t="inlineStr"/>
    </row>
    <row r="2529">
      <c r="A2529" t="inlineStr">
        <is>
          <t>MARMIKI14T12</t>
        </is>
      </c>
      <c r="B2529" t="inlineStr">
        <is>
          <t>MAR ORIGINAL KIDS</t>
        </is>
      </c>
      <c r="C2529" t="inlineStr">
        <is>
          <t>Manufactura / Kids / P. Superiores</t>
        </is>
      </c>
      <c r="D2529" t="n">
        <v>2</v>
      </c>
      <c r="E2529" t="n">
        <v>71.24685645</v>
      </c>
      <c r="F2529" t="n">
        <v>0.91103426875</v>
      </c>
      <c r="G2529" t="n">
        <v>0</v>
      </c>
      <c r="H2529" t="n">
        <v>3.168013332</v>
      </c>
      <c r="I2529" t="n">
        <v>0.2</v>
      </c>
      <c r="J2529" t="n">
        <v>8</v>
      </c>
      <c r="K2529" t="inlineStr">
        <is>
          <t>Sin stock</t>
        </is>
      </c>
    </row>
    <row r="2530">
      <c r="A2530" t="inlineStr">
        <is>
          <t>GEOMACADA43TXL</t>
        </is>
      </c>
      <c r="B2530" t="inlineStr">
        <is>
          <t>ADVANCE GEO MAYA DAMA</t>
        </is>
      </c>
      <c r="C2530" t="inlineStr">
        <is>
          <t>Manufactura / Dama / P. Superiores</t>
        </is>
      </c>
      <c r="D2530" t="n">
        <v>1</v>
      </c>
      <c r="E2530" t="n">
        <v>71.22450084</v>
      </c>
      <c r="F2530" t="n">
        <v>0.8549656385</v>
      </c>
      <c r="G2530" t="n">
        <v>12</v>
      </c>
      <c r="H2530" t="n">
        <v>10.33</v>
      </c>
      <c r="I2530" t="n">
        <v>0.1</v>
      </c>
      <c r="J2530" t="n">
        <v>2</v>
      </c>
      <c r="K2530" t="inlineStr"/>
    </row>
    <row r="2531">
      <c r="A2531" t="inlineStr">
        <is>
          <t>MARMIKI24T4</t>
        </is>
      </c>
      <c r="B2531" t="inlineStr">
        <is>
          <t>MAR ORIGINAL KIDS</t>
        </is>
      </c>
      <c r="C2531" t="inlineStr">
        <is>
          <t>Manufactura / Kids / P. Superiores</t>
        </is>
      </c>
      <c r="D2531" t="n">
        <v>3</v>
      </c>
      <c r="E2531" t="n">
        <v>71.08190182</v>
      </c>
      <c r="F2531" t="n">
        <v>0.9108602302</v>
      </c>
      <c r="G2531" t="n">
        <v>0</v>
      </c>
      <c r="H2531" t="n">
        <v>3.168013332</v>
      </c>
      <c r="I2531" t="n">
        <v>0.3</v>
      </c>
      <c r="J2531" t="n">
        <v>0</v>
      </c>
      <c r="K2531" t="inlineStr">
        <is>
          <t>Sin stock</t>
        </is>
      </c>
    </row>
    <row r="2532">
      <c r="A2532" t="inlineStr">
        <is>
          <t>201STDA43TS</t>
        </is>
      </c>
      <c r="B2532" t="inlineStr">
        <is>
          <t>RETRO VZLA DAMA</t>
        </is>
      </c>
      <c r="C2532" t="inlineStr">
        <is>
          <t>Manufactura / Dama / P. Superiores</t>
        </is>
      </c>
      <c r="D2532" t="n">
        <v>3</v>
      </c>
      <c r="E2532" t="n">
        <v>71.07542223999999</v>
      </c>
      <c r="F2532" t="n">
        <v>0.6839976564</v>
      </c>
      <c r="G2532" t="n">
        <v>0</v>
      </c>
      <c r="H2532" t="n">
        <v>11.23</v>
      </c>
      <c r="I2532" t="n">
        <v>0.3</v>
      </c>
      <c r="J2532" t="n">
        <v>4</v>
      </c>
      <c r="K2532" t="inlineStr">
        <is>
          <t>Sin stock</t>
        </is>
      </c>
    </row>
    <row r="2533">
      <c r="A2533" t="inlineStr">
        <is>
          <t>MARMICA39TL</t>
        </is>
      </c>
      <c r="B2533" t="inlineStr">
        <is>
          <t>MAR ORIGINAL CAB</t>
        </is>
      </c>
      <c r="C2533" t="inlineStr">
        <is>
          <t>Manufactura / Caballero / P. Superiores</t>
        </is>
      </c>
      <c r="D2533" t="n">
        <v>14</v>
      </c>
      <c r="E2533" t="n">
        <v>71.00134180000001</v>
      </c>
      <c r="F2533" t="n">
        <v>0.9303343106</v>
      </c>
      <c r="G2533" t="n">
        <v>0</v>
      </c>
      <c r="H2533" t="n">
        <v>4.946357428</v>
      </c>
      <c r="I2533" t="n">
        <v>1.4</v>
      </c>
      <c r="J2533" t="n">
        <v>3</v>
      </c>
      <c r="K2533" t="inlineStr">
        <is>
          <t>Sin stock</t>
        </is>
      </c>
    </row>
    <row r="2534">
      <c r="A2534" t="inlineStr">
        <is>
          <t>HELBFDA30TXL</t>
        </is>
      </c>
      <c r="B2534" t="inlineStr">
        <is>
          <t>HELEN BIO MOVE DAMA</t>
        </is>
      </c>
      <c r="C2534" t="inlineStr">
        <is>
          <t>Manufactura / Dama / P. Superiores</t>
        </is>
      </c>
      <c r="D2534" t="n">
        <v>1</v>
      </c>
      <c r="E2534" t="n">
        <v>70.66399903999999</v>
      </c>
      <c r="F2534" t="n">
        <v>0.8961165861</v>
      </c>
      <c r="G2534" t="n">
        <v>33</v>
      </c>
      <c r="H2534" t="n">
        <v>7.34081746</v>
      </c>
      <c r="I2534" t="n">
        <v>0.1</v>
      </c>
      <c r="J2534" t="n">
        <v>5</v>
      </c>
      <c r="K2534" t="inlineStr"/>
    </row>
    <row r="2535">
      <c r="A2535" t="inlineStr">
        <is>
          <t>DANMIKI43T6</t>
        </is>
      </c>
      <c r="B2535" t="inlineStr">
        <is>
          <t>DANI ORIGINAL KIDS</t>
        </is>
      </c>
      <c r="C2535" t="inlineStr">
        <is>
          <t>Manufactura / Kids / P. Superiores</t>
        </is>
      </c>
      <c r="D2535" t="n">
        <v>3</v>
      </c>
      <c r="E2535" t="n">
        <v>70.64533285</v>
      </c>
      <c r="F2535" t="n">
        <v>0.8478976453333334</v>
      </c>
      <c r="G2535" t="n">
        <v>0</v>
      </c>
      <c r="H2535" t="n">
        <v>3.549999999999999</v>
      </c>
      <c r="I2535" t="n">
        <v>0.3</v>
      </c>
      <c r="J2535" t="n">
        <v>4</v>
      </c>
      <c r="K2535" t="inlineStr">
        <is>
          <t>Sin stock</t>
        </is>
      </c>
    </row>
    <row r="2536">
      <c r="A2536" t="inlineStr">
        <is>
          <t>MANMIGE09TG</t>
        </is>
      </c>
      <c r="B2536" t="inlineStr">
        <is>
          <t>MANGAS GENERAL</t>
        </is>
      </c>
      <c r="C2536" t="inlineStr">
        <is>
          <t>Manufactura / General</t>
        </is>
      </c>
      <c r="D2536" t="n">
        <v>5</v>
      </c>
      <c r="E2536" t="n">
        <v>70.56852871</v>
      </c>
      <c r="F2536" t="n">
        <v>0.93397710944</v>
      </c>
      <c r="G2536" t="n">
        <v>3</v>
      </c>
      <c r="H2536" t="n">
        <v>0.9200000000000002</v>
      </c>
      <c r="I2536" t="n">
        <v>0.5</v>
      </c>
      <c r="J2536" t="n">
        <v>0</v>
      </c>
      <c r="K2536" t="inlineStr"/>
    </row>
    <row r="2537">
      <c r="A2537" t="inlineStr">
        <is>
          <t>MARMIKI09T6</t>
        </is>
      </c>
      <c r="B2537" t="inlineStr">
        <is>
          <t>MAR ORIGINAL KIDS</t>
        </is>
      </c>
      <c r="C2537" t="inlineStr">
        <is>
          <t>Manufactura / Kids / P. Superiores</t>
        </is>
      </c>
      <c r="D2537" t="n">
        <v>2</v>
      </c>
      <c r="E2537" t="n">
        <v>70.54902138</v>
      </c>
      <c r="F2537" t="n">
        <v>0.91003302605</v>
      </c>
      <c r="G2537" t="n">
        <v>0</v>
      </c>
      <c r="H2537" t="n">
        <v>3.168013332</v>
      </c>
      <c r="I2537" t="n">
        <v>0.2</v>
      </c>
      <c r="J2537" t="n">
        <v>9</v>
      </c>
      <c r="K2537" t="inlineStr">
        <is>
          <t>Sin stock</t>
        </is>
      </c>
    </row>
    <row r="2538">
      <c r="A2538" t="inlineStr">
        <is>
          <t>MARMIKI28T4</t>
        </is>
      </c>
      <c r="B2538" t="inlineStr">
        <is>
          <t>MAR ORIGINAL KIDS</t>
        </is>
      </c>
      <c r="C2538" t="inlineStr">
        <is>
          <t>Manufactura / Kids / P. Superiores</t>
        </is>
      </c>
      <c r="D2538" t="n">
        <v>2</v>
      </c>
      <c r="E2538" t="n">
        <v>70.49132831999999</v>
      </c>
      <c r="F2538" t="n">
        <v>0.9096853348</v>
      </c>
      <c r="G2538" t="n">
        <v>0</v>
      </c>
      <c r="H2538" t="n">
        <v>3.168013332</v>
      </c>
      <c r="I2538" t="n">
        <v>0.2</v>
      </c>
      <c r="J2538" t="n">
        <v>7</v>
      </c>
      <c r="K2538" t="inlineStr">
        <is>
          <t>Sin stock</t>
        </is>
      </c>
    </row>
    <row r="2539">
      <c r="A2539" t="inlineStr">
        <is>
          <t>RIOMIKI30T8</t>
        </is>
      </c>
      <c r="B2539" t="inlineStr">
        <is>
          <t>RIO ORIGINAL KIDS</t>
        </is>
      </c>
      <c r="C2539" t="inlineStr">
        <is>
          <t>Manufactura / Kids / P. Superiores</t>
        </is>
      </c>
      <c r="D2539" t="n">
        <v>2</v>
      </c>
      <c r="E2539" t="n">
        <v>70.39600039000001</v>
      </c>
      <c r="F2539" t="n">
        <v>0.8971816986000001</v>
      </c>
      <c r="G2539" t="n">
        <v>0</v>
      </c>
      <c r="H2539" t="n">
        <v>3.617969464</v>
      </c>
      <c r="I2539" t="n">
        <v>0.2</v>
      </c>
      <c r="J2539" t="n">
        <v>4</v>
      </c>
      <c r="K2539" t="inlineStr">
        <is>
          <t>Sin stock</t>
        </is>
      </c>
    </row>
    <row r="2540">
      <c r="A2540" t="inlineStr">
        <is>
          <t>MARMIKI05T12</t>
        </is>
      </c>
      <c r="B2540" t="inlineStr">
        <is>
          <t>MAR ORIGINAL KIDS</t>
        </is>
      </c>
      <c r="C2540" t="inlineStr">
        <is>
          <t>Manufactura / Kids / P. Superiores</t>
        </is>
      </c>
      <c r="D2540" t="n">
        <v>2</v>
      </c>
      <c r="E2540" t="n">
        <v>70.25809149</v>
      </c>
      <c r="F2540" t="n">
        <v>0.9098145095000001</v>
      </c>
      <c r="G2540" t="n">
        <v>0</v>
      </c>
      <c r="H2540" t="n">
        <v>3.168013332</v>
      </c>
      <c r="I2540" t="n">
        <v>0.2</v>
      </c>
      <c r="J2540" t="n">
        <v>8</v>
      </c>
      <c r="K2540" t="inlineStr">
        <is>
          <t>Sin stock</t>
        </is>
      </c>
    </row>
    <row r="2541">
      <c r="A2541" t="inlineStr">
        <is>
          <t>ZOEMIDA09TL</t>
        </is>
      </c>
      <c r="B2541" t="inlineStr">
        <is>
          <t>ZOE ORIGINAL DAMA</t>
        </is>
      </c>
      <c r="C2541" t="inlineStr">
        <is>
          <t>Manufactura / Dama / P. Superiores</t>
        </is>
      </c>
      <c r="D2541" t="n">
        <v>2</v>
      </c>
      <c r="E2541" t="n">
        <v>70.20605212999999</v>
      </c>
      <c r="F2541" t="n">
        <v>0.8823553308500001</v>
      </c>
      <c r="G2541" t="n">
        <v>0</v>
      </c>
      <c r="H2541" t="n">
        <v>4.116585696</v>
      </c>
      <c r="I2541" t="n">
        <v>0.2</v>
      </c>
      <c r="J2541" t="n">
        <v>9</v>
      </c>
      <c r="K2541" t="inlineStr">
        <is>
          <t>Sin stock</t>
        </is>
      </c>
    </row>
    <row r="2542">
      <c r="A2542" t="inlineStr">
        <is>
          <t>AQUSTDA43TL</t>
        </is>
      </c>
      <c r="B2542" t="inlineStr">
        <is>
          <t>RETRO VZLA DAMA</t>
        </is>
      </c>
      <c r="C2542" t="inlineStr">
        <is>
          <t>Manufactura / Dama / P. Superiores</t>
        </is>
      </c>
      <c r="D2542" t="n">
        <v>2</v>
      </c>
      <c r="E2542" t="n">
        <v>70.05108143999999</v>
      </c>
      <c r="F2542" t="n">
        <v>0.67937046965</v>
      </c>
      <c r="G2542" t="n">
        <v>0</v>
      </c>
      <c r="H2542" t="n">
        <v>11.23</v>
      </c>
      <c r="I2542" t="n">
        <v>0.2</v>
      </c>
      <c r="J2542" t="n">
        <v>7</v>
      </c>
      <c r="K2542" t="inlineStr">
        <is>
          <t>Sin stock</t>
        </is>
      </c>
    </row>
    <row r="2543">
      <c r="A2543" t="inlineStr">
        <is>
          <t>ANDMIDA30TM</t>
        </is>
      </c>
      <c r="B2543" t="inlineStr">
        <is>
          <t>ANDRE ORIGINAL DAMA</t>
        </is>
      </c>
      <c r="C2543" t="inlineStr">
        <is>
          <t>Manufactura / Dama / P. Superiores</t>
        </is>
      </c>
      <c r="D2543" t="n">
        <v>2</v>
      </c>
      <c r="E2543" t="n">
        <v>70.00138403</v>
      </c>
      <c r="F2543" t="n">
        <v>0.9064505553</v>
      </c>
      <c r="G2543" t="n">
        <v>1</v>
      </c>
      <c r="H2543" t="n">
        <v>3.274295302</v>
      </c>
      <c r="I2543" t="n">
        <v>0.2</v>
      </c>
      <c r="J2543" t="n">
        <v>0</v>
      </c>
      <c r="K2543" t="inlineStr"/>
    </row>
    <row r="2544">
      <c r="A2544" t="inlineStr">
        <is>
          <t>RUNTBMBFCA209TS</t>
        </is>
      </c>
      <c r="B2544" t="inlineStr">
        <is>
          <t>RUNNING TANK BIOMOVE CAB</t>
        </is>
      </c>
      <c r="C2544" t="inlineStr">
        <is>
          <t>Manufactura / Caballero / P. Superiores</t>
        </is>
      </c>
      <c r="D2544" t="n">
        <v>3</v>
      </c>
      <c r="E2544" t="n">
        <v>70</v>
      </c>
      <c r="F2544" t="n">
        <v>0.993109271</v>
      </c>
      <c r="G2544" t="n">
        <v>29</v>
      </c>
      <c r="H2544" t="n">
        <v>0.4823510283999999</v>
      </c>
      <c r="I2544" t="n">
        <v>0.3</v>
      </c>
      <c r="J2544" t="n">
        <v>0</v>
      </c>
      <c r="K2544" t="inlineStr"/>
    </row>
    <row r="2545">
      <c r="A2545" t="inlineStr">
        <is>
          <t>RUNTBMBFCA205TXL</t>
        </is>
      </c>
      <c r="B2545" t="inlineStr">
        <is>
          <t>RUNNING TANK BIOMOVE CAB</t>
        </is>
      </c>
      <c r="C2545" t="inlineStr">
        <is>
          <t>Manufactura / Caballero / P. Superiores</t>
        </is>
      </c>
      <c r="D2545" t="n">
        <v>1</v>
      </c>
      <c r="E2545" t="n">
        <v>70</v>
      </c>
      <c r="F2545" t="n">
        <v>0.993109271</v>
      </c>
      <c r="G2545" t="n">
        <v>15</v>
      </c>
      <c r="H2545" t="n">
        <v>0.4823510284</v>
      </c>
      <c r="I2545" t="n">
        <v>0.1</v>
      </c>
      <c r="J2545" t="n">
        <v>0</v>
      </c>
      <c r="K2545" t="inlineStr"/>
    </row>
    <row r="2546">
      <c r="A2546" t="inlineStr">
        <is>
          <t>BAN61EQ</t>
        </is>
      </c>
      <c r="B2546" t="inlineStr">
        <is>
          <t>CUADRO BAND</t>
        </is>
      </c>
      <c r="C2546" t="inlineStr">
        <is>
          <t>Equipamiento / Accesorios</t>
        </is>
      </c>
      <c r="D2546" t="n">
        <v>25</v>
      </c>
      <c r="E2546" t="n">
        <v>69.90985566400001</v>
      </c>
      <c r="F2546" t="n">
        <v>0.8850292875962963</v>
      </c>
      <c r="G2546" t="n">
        <v>0</v>
      </c>
      <c r="H2546" t="n">
        <v>0.3159183673</v>
      </c>
      <c r="I2546" t="n">
        <v>2.5</v>
      </c>
      <c r="J2546" t="n">
        <v>0</v>
      </c>
      <c r="K2546" t="inlineStr">
        <is>
          <t>Sin stock</t>
        </is>
      </c>
    </row>
    <row r="2547">
      <c r="A2547" t="inlineStr">
        <is>
          <t>MARMIKI39T12</t>
        </is>
      </c>
      <c r="B2547" t="inlineStr">
        <is>
          <t>MAR ORIGINAL KIDS</t>
        </is>
      </c>
      <c r="C2547" t="inlineStr">
        <is>
          <t>Manufactura / Kids / P. Superiores</t>
        </is>
      </c>
      <c r="D2547" t="n">
        <v>2</v>
      </c>
      <c r="E2547" t="n">
        <v>69.71110308999999</v>
      </c>
      <c r="F2547" t="n">
        <v>0.9081998469</v>
      </c>
      <c r="G2547" t="n">
        <v>0</v>
      </c>
      <c r="H2547" t="n">
        <v>3.168013332</v>
      </c>
      <c r="I2547" t="n">
        <v>0.2</v>
      </c>
      <c r="J2547" t="n">
        <v>9</v>
      </c>
      <c r="K2547" t="inlineStr">
        <is>
          <t>Sin stock</t>
        </is>
      </c>
    </row>
    <row r="2548">
      <c r="A2548" t="inlineStr">
        <is>
          <t>MARMIKI70T10</t>
        </is>
      </c>
      <c r="B2548" t="inlineStr">
        <is>
          <t>MAR ORIGINAL KIDS</t>
        </is>
      </c>
      <c r="C2548" t="inlineStr">
        <is>
          <t>Manufactura / Kids / P. Superiores</t>
        </is>
      </c>
      <c r="D2548" t="n">
        <v>2</v>
      </c>
      <c r="E2548" t="n">
        <v>69.70380255000001</v>
      </c>
      <c r="F2548" t="n">
        <v>0.9089366452500001</v>
      </c>
      <c r="G2548" t="n">
        <v>0</v>
      </c>
      <c r="H2548" t="n">
        <v>3.168013332</v>
      </c>
      <c r="I2548" t="n">
        <v>0.2</v>
      </c>
      <c r="J2548" t="n">
        <v>6</v>
      </c>
      <c r="K2548" t="inlineStr">
        <is>
          <t>Sin stock</t>
        </is>
      </c>
    </row>
    <row r="2549">
      <c r="A2549" t="inlineStr">
        <is>
          <t>ZOEMIKI43T4</t>
        </is>
      </c>
      <c r="B2549" t="inlineStr">
        <is>
          <t>ZOE ORIGINAL KIDS</t>
        </is>
      </c>
      <c r="C2549" t="inlineStr">
        <is>
          <t>Manufactura / Kids / P. Superiores</t>
        </is>
      </c>
      <c r="D2549" t="n">
        <v>2</v>
      </c>
      <c r="E2549" t="n">
        <v>69.67763523000001</v>
      </c>
      <c r="F2549" t="n">
        <v>0.8795508744</v>
      </c>
      <c r="G2549" t="n">
        <v>18</v>
      </c>
      <c r="H2549" t="n">
        <v>4.12</v>
      </c>
      <c r="I2549" t="n">
        <v>0.2</v>
      </c>
      <c r="J2549" t="n">
        <v>2</v>
      </c>
      <c r="K2549" t="inlineStr"/>
    </row>
    <row r="2550">
      <c r="A2550" t="inlineStr">
        <is>
          <t>ZOEMIDA09TS</t>
        </is>
      </c>
      <c r="B2550" t="inlineStr">
        <is>
          <t>ZOE ORIGINAL DAMA</t>
        </is>
      </c>
      <c r="C2550" t="inlineStr">
        <is>
          <t>Manufactura / Dama / P. Superiores</t>
        </is>
      </c>
      <c r="D2550" t="n">
        <v>2</v>
      </c>
      <c r="E2550" t="n">
        <v>69.51039141999999</v>
      </c>
      <c r="F2550" t="n">
        <v>0.8815522867000001</v>
      </c>
      <c r="G2550" t="n">
        <v>0</v>
      </c>
      <c r="H2550" t="n">
        <v>4.116585696</v>
      </c>
      <c r="I2550" t="n">
        <v>0.2</v>
      </c>
      <c r="J2550" t="n">
        <v>8</v>
      </c>
      <c r="K2550" t="inlineStr">
        <is>
          <t>Sin stock</t>
        </is>
      </c>
    </row>
    <row r="2551">
      <c r="A2551" t="inlineStr">
        <is>
          <t>MARMIKI24T12</t>
        </is>
      </c>
      <c r="B2551" t="inlineStr">
        <is>
          <t>MAR ORIGINAL KIDS</t>
        </is>
      </c>
      <c r="C2551" t="inlineStr">
        <is>
          <t>Manufactura / Kids / P. Superiores</t>
        </is>
      </c>
      <c r="D2551" t="n">
        <v>2</v>
      </c>
      <c r="E2551" t="n">
        <v>69.38513574</v>
      </c>
      <c r="F2551" t="n">
        <v>0.9078453275</v>
      </c>
      <c r="G2551" t="n">
        <v>0</v>
      </c>
      <c r="H2551" t="n">
        <v>3.168013332</v>
      </c>
      <c r="I2551" t="n">
        <v>0.2</v>
      </c>
      <c r="J2551" t="n">
        <v>9</v>
      </c>
      <c r="K2551" t="inlineStr">
        <is>
          <t>Sin stock</t>
        </is>
      </c>
    </row>
    <row r="2552">
      <c r="A2552" t="inlineStr">
        <is>
          <t>MIAMIDA66TS</t>
        </is>
      </c>
      <c r="B2552" t="inlineStr">
        <is>
          <t>MIA ORIGINAL DAMA</t>
        </is>
      </c>
      <c r="C2552" t="inlineStr">
        <is>
          <t>Manufactura / Dama / P. Superiores</t>
        </is>
      </c>
      <c r="D2552" t="n">
        <v>2</v>
      </c>
      <c r="E2552" t="n">
        <v>69.25994624</v>
      </c>
      <c r="F2552" t="n">
        <v>0.88622287505</v>
      </c>
      <c r="G2552" t="n">
        <v>0</v>
      </c>
      <c r="H2552" t="n">
        <v>3.94</v>
      </c>
      <c r="I2552" t="n">
        <v>0.2</v>
      </c>
      <c r="J2552" t="n">
        <v>7</v>
      </c>
      <c r="K2552" t="inlineStr">
        <is>
          <t>Sin stock</t>
        </is>
      </c>
    </row>
    <row r="2553">
      <c r="A2553" t="inlineStr">
        <is>
          <t>CLAMIKI13T2</t>
        </is>
      </c>
      <c r="B2553" t="inlineStr">
        <is>
          <t>CLASICA ORIGINAL KIDS</t>
        </is>
      </c>
      <c r="C2553" t="inlineStr">
        <is>
          <t>Manufactura / Kids / P. Superiores</t>
        </is>
      </c>
      <c r="D2553" t="n">
        <v>2</v>
      </c>
      <c r="E2553" t="n">
        <v>68.86301245999999</v>
      </c>
      <c r="F2553" t="n">
        <v>0.94001809065</v>
      </c>
      <c r="G2553" t="n">
        <v>12</v>
      </c>
      <c r="H2553" t="n">
        <v>2.053774806</v>
      </c>
      <c r="I2553" t="n">
        <v>0.2</v>
      </c>
      <c r="J2553" t="n">
        <v>1</v>
      </c>
      <c r="K2553" t="inlineStr"/>
    </row>
    <row r="2554">
      <c r="A2554" t="inlineStr">
        <is>
          <t>DANMIKI43T8</t>
        </is>
      </c>
      <c r="B2554" t="inlineStr">
        <is>
          <t>DANI ORIGINAL KIDS</t>
        </is>
      </c>
      <c r="C2554" t="inlineStr">
        <is>
          <t>Manufactura / Kids / P. Superiores</t>
        </is>
      </c>
      <c r="D2554" t="n">
        <v>3</v>
      </c>
      <c r="E2554" t="n">
        <v>68.81587777</v>
      </c>
      <c r="F2554" t="n">
        <v>0.8452392043</v>
      </c>
      <c r="G2554" t="n">
        <v>0</v>
      </c>
      <c r="H2554" t="n">
        <v>3.55</v>
      </c>
      <c r="I2554" t="n">
        <v>0.3</v>
      </c>
      <c r="J2554" t="n">
        <v>4</v>
      </c>
      <c r="K2554" t="inlineStr">
        <is>
          <t>Sin stock</t>
        </is>
      </c>
    </row>
    <row r="2555">
      <c r="A2555" t="inlineStr">
        <is>
          <t>ZOEMIKI12T12</t>
        </is>
      </c>
      <c r="B2555" t="inlineStr">
        <is>
          <t>ZOE ORIGINAL KIDS</t>
        </is>
      </c>
      <c r="C2555" t="inlineStr">
        <is>
          <t>Manufactura / Kids / P. Superiores</t>
        </is>
      </c>
      <c r="D2555" t="n">
        <v>2</v>
      </c>
      <c r="E2555" t="n">
        <v>68.63347247999999</v>
      </c>
      <c r="F2555" t="n">
        <v>0.8790103727</v>
      </c>
      <c r="G2555" t="n">
        <v>0</v>
      </c>
      <c r="H2555" t="n">
        <v>4.12</v>
      </c>
      <c r="I2555" t="n">
        <v>0.2</v>
      </c>
      <c r="J2555" t="n">
        <v>7</v>
      </c>
      <c r="K2555" t="inlineStr">
        <is>
          <t>Sin stock</t>
        </is>
      </c>
    </row>
    <row r="2556">
      <c r="A2556" t="inlineStr">
        <is>
          <t>ZOEMIKI11T8</t>
        </is>
      </c>
      <c r="B2556" t="inlineStr">
        <is>
          <t>ZOE ORIGINAL KIDS</t>
        </is>
      </c>
      <c r="C2556" t="inlineStr">
        <is>
          <t>Manufactura / Kids / P. Superiores</t>
        </is>
      </c>
      <c r="D2556" t="n">
        <v>2</v>
      </c>
      <c r="E2556" t="n">
        <v>68.48439759999999</v>
      </c>
      <c r="F2556" t="n">
        <v>0.8789326743</v>
      </c>
      <c r="G2556" t="n">
        <v>12</v>
      </c>
      <c r="H2556" t="n">
        <v>4.12</v>
      </c>
      <c r="I2556" t="n">
        <v>0.2</v>
      </c>
      <c r="J2556" t="n">
        <v>7</v>
      </c>
      <c r="K2556" t="inlineStr"/>
    </row>
    <row r="2557">
      <c r="A2557" t="inlineStr">
        <is>
          <t>MARMIKI52T6</t>
        </is>
      </c>
      <c r="B2557" t="inlineStr">
        <is>
          <t>MAR ORIGINAL KIDS</t>
        </is>
      </c>
      <c r="C2557" t="inlineStr">
        <is>
          <t>Manufactura / Kids / P. Superiores</t>
        </is>
      </c>
      <c r="D2557" t="n">
        <v>2</v>
      </c>
      <c r="E2557" t="n">
        <v>68.48251783000001</v>
      </c>
      <c r="F2557" t="n">
        <v>0.90722111845</v>
      </c>
      <c r="G2557" t="n">
        <v>0</v>
      </c>
      <c r="H2557" t="n">
        <v>3.168013332</v>
      </c>
      <c r="I2557" t="n">
        <v>0.2</v>
      </c>
      <c r="J2557" t="n">
        <v>8</v>
      </c>
      <c r="K2557" t="inlineStr">
        <is>
          <t>Sin stock</t>
        </is>
      </c>
    </row>
    <row r="2558">
      <c r="A2558" t="inlineStr">
        <is>
          <t>SHONRKI16T10</t>
        </is>
      </c>
      <c r="B2558" t="inlineStr">
        <is>
          <t>SHORT SPORT KIDS</t>
        </is>
      </c>
      <c r="C2558" t="inlineStr">
        <is>
          <t>Manufactura / Kids / P. Inferiores</t>
        </is>
      </c>
      <c r="D2558" t="n">
        <v>2</v>
      </c>
      <c r="E2558" t="n">
        <v>68.34242449</v>
      </c>
      <c r="F2558" t="n">
        <v>0.8105619149000001</v>
      </c>
      <c r="G2558" t="n">
        <v>9</v>
      </c>
      <c r="H2558" t="n">
        <v>6.465724382</v>
      </c>
      <c r="I2558" t="n">
        <v>0.2</v>
      </c>
      <c r="J2558" t="n">
        <v>0</v>
      </c>
      <c r="K2558" t="inlineStr"/>
    </row>
    <row r="2559">
      <c r="A2559" t="inlineStr">
        <is>
          <t>ZOEMIDA12TL</t>
        </is>
      </c>
      <c r="B2559" t="inlineStr">
        <is>
          <t>ZOE ORIGINAL DAMA</t>
        </is>
      </c>
      <c r="C2559" t="inlineStr">
        <is>
          <t>Manufactura / Dama / P. Superiores</t>
        </is>
      </c>
      <c r="D2559" t="n">
        <v>2</v>
      </c>
      <c r="E2559" t="n">
        <v>68.04302336000001</v>
      </c>
      <c r="F2559" t="n">
        <v>0.8791356046250001</v>
      </c>
      <c r="G2559" t="n">
        <v>0</v>
      </c>
      <c r="H2559" t="n">
        <v>4.116585696</v>
      </c>
      <c r="I2559" t="n">
        <v>0.2</v>
      </c>
      <c r="J2559" t="n">
        <v>9</v>
      </c>
      <c r="K2559" t="inlineStr">
        <is>
          <t>Sin stock</t>
        </is>
      </c>
    </row>
    <row r="2560">
      <c r="A2560" t="inlineStr">
        <is>
          <t>SARSPKI31T14</t>
        </is>
      </c>
      <c r="B2560" t="inlineStr">
        <is>
          <t>FALDA SARA KIDS</t>
        </is>
      </c>
      <c r="C2560" t="inlineStr">
        <is>
          <t>Manufactura / Kids / P. Inferiores</t>
        </is>
      </c>
      <c r="D2560" t="n">
        <v>2</v>
      </c>
      <c r="E2560" t="n">
        <v>68.00442808</v>
      </c>
      <c r="F2560" t="n">
        <v>0.82890516285</v>
      </c>
      <c r="G2560" t="n">
        <v>0</v>
      </c>
      <c r="H2560" t="n">
        <v>5.753743316</v>
      </c>
      <c r="I2560" t="n">
        <v>0.2</v>
      </c>
      <c r="J2560" t="n">
        <v>4</v>
      </c>
      <c r="K2560" t="inlineStr">
        <is>
          <t>Sin stock</t>
        </is>
      </c>
    </row>
    <row r="2561">
      <c r="A2561" t="inlineStr">
        <is>
          <t>GEOMACADA03TL</t>
        </is>
      </c>
      <c r="B2561" t="inlineStr">
        <is>
          <t>ADVANCE GEO MAYA DAMA</t>
        </is>
      </c>
      <c r="C2561" t="inlineStr">
        <is>
          <t>Manufactura / Dama / P. Superiores</t>
        </is>
      </c>
      <c r="D2561" t="n">
        <v>1</v>
      </c>
      <c r="E2561" t="n">
        <v>68</v>
      </c>
      <c r="F2561" t="n">
        <v>0.8480882353</v>
      </c>
      <c r="G2561" t="n">
        <v>9</v>
      </c>
      <c r="H2561" t="n">
        <v>10.33</v>
      </c>
      <c r="I2561" t="n">
        <v>0.1</v>
      </c>
      <c r="J2561" t="n">
        <v>0</v>
      </c>
      <c r="K2561" t="inlineStr"/>
    </row>
    <row r="2562">
      <c r="A2562" t="inlineStr">
        <is>
          <t>GEODOCACA03T2XL</t>
        </is>
      </c>
      <c r="B2562" t="inlineStr">
        <is>
          <t>ADVANCE GEO DOMINIC CAB</t>
        </is>
      </c>
      <c r="C2562" t="inlineStr">
        <is>
          <t>Manufactura / Caballero / P. Superiores</t>
        </is>
      </c>
      <c r="D2562" t="n">
        <v>1</v>
      </c>
      <c r="E2562" t="n">
        <v>67.99999928619266</v>
      </c>
      <c r="F2562" t="n">
        <v>0.8036764685</v>
      </c>
      <c r="G2562" t="n">
        <v>18</v>
      </c>
      <c r="H2562" t="n">
        <v>13.35</v>
      </c>
      <c r="I2562" t="n">
        <v>0.1</v>
      </c>
      <c r="J2562" t="n">
        <v>1</v>
      </c>
      <c r="K2562" t="inlineStr"/>
    </row>
    <row r="2563">
      <c r="A2563" t="inlineStr">
        <is>
          <t>GOOSTCA16TXL</t>
        </is>
      </c>
      <c r="B2563" t="inlineStr">
        <is>
          <t>RETRO VZLA CAB</t>
        </is>
      </c>
      <c r="C2563" t="inlineStr">
        <is>
          <t>Manufactura / Caballero / P. Superiores</t>
        </is>
      </c>
      <c r="D2563" t="n">
        <v>2</v>
      </c>
      <c r="E2563" t="n">
        <v>67.92689636</v>
      </c>
      <c r="F2563" t="n">
        <v>0.6196582635</v>
      </c>
      <c r="G2563" t="n">
        <v>0</v>
      </c>
      <c r="H2563" t="n">
        <v>12.9</v>
      </c>
      <c r="I2563" t="n">
        <v>0.2</v>
      </c>
      <c r="J2563" t="n">
        <v>9</v>
      </c>
      <c r="K2563" t="inlineStr">
        <is>
          <t>Sin stock</t>
        </is>
      </c>
    </row>
    <row r="2564">
      <c r="A2564" t="inlineStr">
        <is>
          <t>CLAMIKI04T4</t>
        </is>
      </c>
      <c r="B2564" t="inlineStr">
        <is>
          <t>CLASICA ORIGINAL KIDS</t>
        </is>
      </c>
      <c r="C2564" t="inlineStr">
        <is>
          <t>Manufactura / Kids / P. Superiores</t>
        </is>
      </c>
      <c r="D2564" t="n">
        <v>2</v>
      </c>
      <c r="E2564" t="n">
        <v>67.16619145</v>
      </c>
      <c r="F2564" t="n">
        <v>0.93844028005</v>
      </c>
      <c r="G2564" t="n">
        <v>0</v>
      </c>
      <c r="H2564" t="n">
        <v>2.053774806</v>
      </c>
      <c r="I2564" t="n">
        <v>0.2</v>
      </c>
      <c r="J2564" t="n">
        <v>5</v>
      </c>
      <c r="K2564" t="inlineStr">
        <is>
          <t>Sin stock</t>
        </is>
      </c>
    </row>
    <row r="2565">
      <c r="A2565" t="inlineStr">
        <is>
          <t>MAYFNDA13TXL</t>
        </is>
      </c>
      <c r="B2565" t="inlineStr">
        <is>
          <t>MAYA SPORT LITE DAMA</t>
        </is>
      </c>
      <c r="C2565" t="inlineStr">
        <is>
          <t>Manufactura / Dama / P. Superiores</t>
        </is>
      </c>
      <c r="D2565" t="n">
        <v>2</v>
      </c>
      <c r="E2565" t="n">
        <v>67.15420232</v>
      </c>
      <c r="F2565" t="n">
        <v>0.8821720888</v>
      </c>
      <c r="G2565" t="n">
        <v>5</v>
      </c>
      <c r="H2565" t="n">
        <v>3.87</v>
      </c>
      <c r="I2565" t="n">
        <v>0.2</v>
      </c>
      <c r="J2565" t="n">
        <v>2</v>
      </c>
      <c r="K2565" t="inlineStr"/>
    </row>
    <row r="2566">
      <c r="A2566" t="inlineStr">
        <is>
          <t>MARMIKI09T4</t>
        </is>
      </c>
      <c r="B2566" t="inlineStr">
        <is>
          <t>MAR ORIGINAL KIDS</t>
        </is>
      </c>
      <c r="C2566" t="inlineStr">
        <is>
          <t>Manufactura / Kids / P. Superiores</t>
        </is>
      </c>
      <c r="D2566" t="n">
        <v>2</v>
      </c>
      <c r="E2566" t="n">
        <v>67.11449988999999</v>
      </c>
      <c r="F2566" t="n">
        <v>0.9053258445000001</v>
      </c>
      <c r="G2566" t="n">
        <v>0</v>
      </c>
      <c r="H2566" t="n">
        <v>3.168013332</v>
      </c>
      <c r="I2566" t="n">
        <v>0.2</v>
      </c>
      <c r="J2566" t="n">
        <v>8</v>
      </c>
      <c r="K2566" t="inlineStr">
        <is>
          <t>Sin stock</t>
        </is>
      </c>
    </row>
    <row r="2567">
      <c r="A2567" t="inlineStr">
        <is>
          <t>DALSTDA30TM</t>
        </is>
      </c>
      <c r="B2567" t="inlineStr">
        <is>
          <t>CLASICA DAILY 2.0 DAMA</t>
        </is>
      </c>
      <c r="C2567" t="inlineStr">
        <is>
          <t>Manufactura / Dama / P. Superiores</t>
        </is>
      </c>
      <c r="D2567" t="n">
        <v>1</v>
      </c>
      <c r="E2567" t="n">
        <v>67.00126992</v>
      </c>
      <c r="F2567" t="n">
        <v>0.8504505958</v>
      </c>
      <c r="G2567" t="n">
        <v>0</v>
      </c>
      <c r="H2567" t="n">
        <v>10.02</v>
      </c>
      <c r="I2567" t="n">
        <v>0.1</v>
      </c>
      <c r="J2567" t="n">
        <v>5</v>
      </c>
      <c r="K2567" t="inlineStr">
        <is>
          <t>Sin stock</t>
        </is>
      </c>
    </row>
    <row r="2568">
      <c r="A2568" t="inlineStr">
        <is>
          <t>PANNTCA43T3XL</t>
        </is>
      </c>
      <c r="B2568" t="inlineStr">
        <is>
          <t>EXPLORE PANTS CAB</t>
        </is>
      </c>
      <c r="C2568" t="inlineStr">
        <is>
          <t>Manufactura / Caballero / P. Inferiores</t>
        </is>
      </c>
      <c r="D2568" t="n">
        <v>1</v>
      </c>
      <c r="E2568" t="n">
        <v>67</v>
      </c>
      <c r="F2568" t="n">
        <v>0.7658217161</v>
      </c>
      <c r="G2568" t="n">
        <v>31</v>
      </c>
      <c r="H2568" t="n">
        <v>15.68994502</v>
      </c>
      <c r="I2568" t="n">
        <v>0.1</v>
      </c>
      <c r="J2568" t="n">
        <v>0</v>
      </c>
      <c r="K2568" t="inlineStr"/>
    </row>
    <row r="2569">
      <c r="A2569" t="inlineStr">
        <is>
          <t>PANNTCA66T3XL</t>
        </is>
      </c>
      <c r="B2569" t="inlineStr">
        <is>
          <t>EXPLORE PANTS CAB</t>
        </is>
      </c>
      <c r="C2569" t="inlineStr">
        <is>
          <t>Manufactura / Caballero / P. Inferiores</t>
        </is>
      </c>
      <c r="D2569" t="n">
        <v>1</v>
      </c>
      <c r="E2569" t="n">
        <v>67</v>
      </c>
      <c r="F2569" t="n">
        <v>0.7658217161</v>
      </c>
      <c r="G2569" t="n">
        <v>5</v>
      </c>
      <c r="H2569" t="n">
        <v>15.68994502</v>
      </c>
      <c r="I2569" t="n">
        <v>0.1</v>
      </c>
      <c r="J2569" t="n">
        <v>0</v>
      </c>
      <c r="K2569" t="inlineStr"/>
    </row>
    <row r="2570">
      <c r="A2570" t="inlineStr">
        <is>
          <t>MARMIKI30T1</t>
        </is>
      </c>
      <c r="B2570" t="inlineStr">
        <is>
          <t>MAR ORIGINAL KIDS</t>
        </is>
      </c>
      <c r="C2570" t="inlineStr">
        <is>
          <t>Manufactura / Kids / P. Superiores</t>
        </is>
      </c>
      <c r="D2570" t="n">
        <v>2</v>
      </c>
      <c r="E2570" t="n">
        <v>66.98822045999999</v>
      </c>
      <c r="F2570" t="n">
        <v>0.912220340825</v>
      </c>
      <c r="G2570" t="n">
        <v>0</v>
      </c>
      <c r="H2570" t="n">
        <v>3.168013332</v>
      </c>
      <c r="I2570" t="n">
        <v>0.2</v>
      </c>
      <c r="J2570" t="n">
        <v>7</v>
      </c>
      <c r="K2570" t="inlineStr">
        <is>
          <t>Sin stock</t>
        </is>
      </c>
    </row>
    <row r="2571">
      <c r="A2571" t="inlineStr">
        <is>
          <t>GOOSTDA43TXL</t>
        </is>
      </c>
      <c r="B2571" t="inlineStr">
        <is>
          <t>RETRO VZLA DAMA</t>
        </is>
      </c>
      <c r="C2571" t="inlineStr">
        <is>
          <t>Manufactura / Dama / P. Superiores</t>
        </is>
      </c>
      <c r="D2571" t="n">
        <v>2</v>
      </c>
      <c r="E2571" t="n">
        <v>66.93561478999999</v>
      </c>
      <c r="F2571" t="n">
        <v>0.6643978922</v>
      </c>
      <c r="G2571" t="n">
        <v>1</v>
      </c>
      <c r="H2571" t="n">
        <v>11.23</v>
      </c>
      <c r="I2571" t="n">
        <v>0.2</v>
      </c>
      <c r="J2571" t="n">
        <v>2</v>
      </c>
      <c r="K2571" t="inlineStr"/>
    </row>
    <row r="2572">
      <c r="A2572" t="inlineStr">
        <is>
          <t>SHOUNKI23T2</t>
        </is>
      </c>
      <c r="B2572" t="inlineStr">
        <is>
          <t>SHORT PLAYA KIDS</t>
        </is>
      </c>
      <c r="C2572" t="inlineStr">
        <is>
          <t>Manufactura / Kids / P. Inferiores</t>
        </is>
      </c>
      <c r="D2572" t="n">
        <v>2</v>
      </c>
      <c r="E2572" t="n">
        <v>66.82840193999999</v>
      </c>
      <c r="F2572" t="n">
        <v>0.8148860773</v>
      </c>
      <c r="G2572" t="n">
        <v>1</v>
      </c>
      <c r="H2572" t="n">
        <v>6.09</v>
      </c>
      <c r="I2572" t="n">
        <v>0.2</v>
      </c>
      <c r="J2572" t="n">
        <v>4</v>
      </c>
      <c r="K2572" t="inlineStr"/>
    </row>
    <row r="2573">
      <c r="A2573" t="inlineStr">
        <is>
          <t>ZOEMIDA43TXL</t>
        </is>
      </c>
      <c r="B2573" t="inlineStr">
        <is>
          <t>ZOE ORIGINAL DAMA</t>
        </is>
      </c>
      <c r="C2573" t="inlineStr">
        <is>
          <t>Manufactura / Dama / P. Superiores</t>
        </is>
      </c>
      <c r="D2573" t="n">
        <v>3</v>
      </c>
      <c r="E2573" t="n">
        <v>66.8094317</v>
      </c>
      <c r="F2573" t="n">
        <v>0.8762184444000001</v>
      </c>
      <c r="G2573" t="n">
        <v>0</v>
      </c>
      <c r="H2573" t="n">
        <v>4.116585696</v>
      </c>
      <c r="I2573" t="n">
        <v>0.3</v>
      </c>
      <c r="J2573" t="n">
        <v>7</v>
      </c>
      <c r="K2573" t="inlineStr">
        <is>
          <t>Sin stock</t>
        </is>
      </c>
    </row>
    <row r="2574">
      <c r="A2574" t="inlineStr">
        <is>
          <t>MAFMIDA01TXL</t>
        </is>
      </c>
      <c r="B2574" t="inlineStr">
        <is>
          <t>MAFE ORIGINAL DAMA</t>
        </is>
      </c>
      <c r="C2574" t="inlineStr">
        <is>
          <t>Manufactura / Dama / P. Superiores</t>
        </is>
      </c>
      <c r="D2574" t="n">
        <v>2</v>
      </c>
      <c r="E2574" t="n">
        <v>66.74251581999999</v>
      </c>
      <c r="F2574" t="n">
        <v>0.8604983194</v>
      </c>
      <c r="G2574" t="n">
        <v>6</v>
      </c>
      <c r="H2574" t="n">
        <v>4.54817671</v>
      </c>
      <c r="I2574" t="n">
        <v>0.2</v>
      </c>
      <c r="J2574" t="n">
        <v>5</v>
      </c>
      <c r="K2574" t="inlineStr"/>
    </row>
    <row r="2575">
      <c r="A2575" t="inlineStr">
        <is>
          <t>MARMIKI52T8</t>
        </is>
      </c>
      <c r="B2575" t="inlineStr">
        <is>
          <t>MAR ORIGINAL KIDS</t>
        </is>
      </c>
      <c r="C2575" t="inlineStr">
        <is>
          <t>Manufactura / Kids / P. Superiores</t>
        </is>
      </c>
      <c r="D2575" t="n">
        <v>2</v>
      </c>
      <c r="E2575" t="n">
        <v>66.68774239999999</v>
      </c>
      <c r="F2575" t="n">
        <v>0.9047780452</v>
      </c>
      <c r="G2575" t="n">
        <v>0</v>
      </c>
      <c r="H2575" t="n">
        <v>3.168013332</v>
      </c>
      <c r="I2575" t="n">
        <v>0.2</v>
      </c>
      <c r="J2575" t="n">
        <v>9</v>
      </c>
      <c r="K2575" t="inlineStr">
        <is>
          <t>Sin stock</t>
        </is>
      </c>
    </row>
    <row r="2576">
      <c r="A2576" t="inlineStr">
        <is>
          <t>DANMIKI48T12</t>
        </is>
      </c>
      <c r="B2576" t="inlineStr">
        <is>
          <t>DANI ORIGINAL KIDS</t>
        </is>
      </c>
      <c r="C2576" t="inlineStr">
        <is>
          <t>Manufactura / Kids / P. Superiores</t>
        </is>
      </c>
      <c r="D2576" t="n">
        <v>3</v>
      </c>
      <c r="E2576" t="n">
        <v>66.61356335000001</v>
      </c>
      <c r="F2576" t="n">
        <v>0.8397002937</v>
      </c>
      <c r="G2576" t="n">
        <v>0</v>
      </c>
      <c r="H2576" t="n">
        <v>3.549999999999999</v>
      </c>
      <c r="I2576" t="n">
        <v>0.3</v>
      </c>
      <c r="J2576" t="n">
        <v>8</v>
      </c>
      <c r="K2576" t="inlineStr">
        <is>
          <t>Sin stock</t>
        </is>
      </c>
    </row>
    <row r="2577">
      <c r="A2577" t="inlineStr">
        <is>
          <t>DALSSTKI43T4</t>
        </is>
      </c>
      <c r="B2577" t="inlineStr">
        <is>
          <t>MANGA LARGA DAILY 2.0 KIDS</t>
        </is>
      </c>
      <c r="C2577" t="inlineStr">
        <is>
          <t>Manufactura / Kids / P. Superiores</t>
        </is>
      </c>
      <c r="D2577" t="n">
        <v>1</v>
      </c>
      <c r="E2577" t="n">
        <v>66.51747933</v>
      </c>
      <c r="F2577" t="n">
        <v>0.8481602114</v>
      </c>
      <c r="G2577" t="n">
        <v>1</v>
      </c>
      <c r="H2577" t="n">
        <v>10.1</v>
      </c>
      <c r="I2577" t="n">
        <v>0.1</v>
      </c>
      <c r="J2577" t="n">
        <v>5</v>
      </c>
      <c r="K2577" t="inlineStr"/>
    </row>
    <row r="2578">
      <c r="A2578" t="inlineStr">
        <is>
          <t>SHONTCA12TXL</t>
        </is>
      </c>
      <c r="B2578" t="inlineStr">
        <is>
          <t>EXPLORE SHORT CAB</t>
        </is>
      </c>
      <c r="C2578" t="inlineStr">
        <is>
          <t>Manufactura / Caballero / P. Inferiores</t>
        </is>
      </c>
      <c r="D2578" t="n">
        <v>1</v>
      </c>
      <c r="E2578" t="n">
        <v>66.38872354999999</v>
      </c>
      <c r="F2578" t="n">
        <v>0.831748535</v>
      </c>
      <c r="G2578" t="n">
        <v>0</v>
      </c>
      <c r="H2578" t="n">
        <v>11.17</v>
      </c>
      <c r="I2578" t="n">
        <v>0.1</v>
      </c>
      <c r="J2578" t="n">
        <v>2</v>
      </c>
      <c r="K2578" t="inlineStr">
        <is>
          <t>Sin stock</t>
        </is>
      </c>
    </row>
    <row r="2579">
      <c r="A2579" t="inlineStr">
        <is>
          <t>DALSTKI30T6</t>
        </is>
      </c>
      <c r="B2579" t="inlineStr">
        <is>
          <t>CLASICA DAILY 2.0 KIDS</t>
        </is>
      </c>
      <c r="C2579" t="inlineStr">
        <is>
          <t>Manufactura / Kids / P. Superiores</t>
        </is>
      </c>
      <c r="D2579" t="n">
        <v>2</v>
      </c>
      <c r="E2579" t="n">
        <v>66.37148832</v>
      </c>
      <c r="F2579" t="n">
        <v>0.7283137044</v>
      </c>
      <c r="G2579" t="n">
        <v>2</v>
      </c>
      <c r="H2579" t="n">
        <v>8.699999999999999</v>
      </c>
      <c r="I2579" t="n">
        <v>0.2</v>
      </c>
      <c r="J2579" t="n">
        <v>5</v>
      </c>
      <c r="K2579" t="inlineStr"/>
    </row>
    <row r="2580">
      <c r="A2580" t="inlineStr">
        <is>
          <t>MARMIDA14TM</t>
        </is>
      </c>
      <c r="B2580" t="inlineStr">
        <is>
          <t>MAR ORIGINAL DAMA</t>
        </is>
      </c>
      <c r="C2580" t="inlineStr">
        <is>
          <t>Manufactura / Dama / P. Superiores</t>
        </is>
      </c>
      <c r="D2580" t="n">
        <v>2</v>
      </c>
      <c r="E2580" t="n">
        <v>66.32438892</v>
      </c>
      <c r="F2580" t="n">
        <v>0.8615419283500001</v>
      </c>
      <c r="G2580" t="n">
        <v>0</v>
      </c>
      <c r="H2580" t="n">
        <v>4.278324149</v>
      </c>
      <c r="I2580" t="n">
        <v>0.2</v>
      </c>
      <c r="J2580" t="n">
        <v>9</v>
      </c>
      <c r="K2580" t="inlineStr">
        <is>
          <t>Sin stock</t>
        </is>
      </c>
    </row>
    <row r="2581">
      <c r="A2581" t="inlineStr">
        <is>
          <t>CGCSDA16TM</t>
        </is>
      </c>
      <c r="B2581" t="inlineStr">
        <is>
          <t>CLASICA GC SUBLIMADO DAMA</t>
        </is>
      </c>
      <c r="C2581" t="inlineStr">
        <is>
          <t>Manufactura / Dama / P. Superiores</t>
        </is>
      </c>
      <c r="D2581" t="n">
        <v>15</v>
      </c>
      <c r="E2581" t="n">
        <v>66.19827089699973</v>
      </c>
      <c r="F2581" t="n">
        <v>0</v>
      </c>
      <c r="G2581" t="n">
        <v>0</v>
      </c>
      <c r="H2581" t="n">
        <v>0</v>
      </c>
      <c r="I2581" t="n">
        <v>1.5</v>
      </c>
      <c r="J2581" t="n">
        <v>2</v>
      </c>
      <c r="K2581" t="inlineStr">
        <is>
          <t>Sin stock</t>
        </is>
      </c>
    </row>
    <row r="2582">
      <c r="A2582" t="inlineStr">
        <is>
          <t>ANDMIDA52TM</t>
        </is>
      </c>
      <c r="B2582" t="inlineStr">
        <is>
          <t>ANDRE ORIGINAL DAMA</t>
        </is>
      </c>
      <c r="C2582" t="inlineStr">
        <is>
          <t>Manufactura / Dama / P. Superiores</t>
        </is>
      </c>
      <c r="D2582" t="n">
        <v>3</v>
      </c>
      <c r="E2582" t="n">
        <v>66.00360782999999</v>
      </c>
      <c r="F2582" t="n">
        <v>0.9007196266499999</v>
      </c>
      <c r="G2582" t="n">
        <v>0</v>
      </c>
      <c r="H2582" t="n">
        <v>3.274295302</v>
      </c>
      <c r="I2582" t="n">
        <v>0.3</v>
      </c>
      <c r="J2582" t="n">
        <v>9</v>
      </c>
      <c r="K2582" t="inlineStr">
        <is>
          <t>Sin stock</t>
        </is>
      </c>
    </row>
    <row r="2583">
      <c r="A2583" t="inlineStr">
        <is>
          <t>CLAMIKI43T2</t>
        </is>
      </c>
      <c r="B2583" t="inlineStr">
        <is>
          <t>CLASICA ORIGINAL KIDS</t>
        </is>
      </c>
      <c r="C2583" t="inlineStr">
        <is>
          <t>Manufactura / Kids / P. Superiores</t>
        </is>
      </c>
      <c r="D2583" t="n">
        <v>2</v>
      </c>
      <c r="E2583" t="n">
        <v>65.75306589</v>
      </c>
      <c r="F2583" t="n">
        <v>0.9374723679</v>
      </c>
      <c r="G2583" t="n">
        <v>64</v>
      </c>
      <c r="H2583" t="n">
        <v>2.053774806</v>
      </c>
      <c r="I2583" t="n">
        <v>0.2</v>
      </c>
      <c r="J2583" t="n">
        <v>5</v>
      </c>
      <c r="K2583" t="inlineStr"/>
    </row>
    <row r="2584">
      <c r="A2584" t="inlineStr">
        <is>
          <t>RUNTBMBFCA206TL</t>
        </is>
      </c>
      <c r="B2584" t="inlineStr">
        <is>
          <t>RUNNING TANK BIOMOVE CAB</t>
        </is>
      </c>
      <c r="C2584" t="inlineStr">
        <is>
          <t>Manufactura / Caballero / P. Superiores</t>
        </is>
      </c>
      <c r="D2584" t="n">
        <v>2</v>
      </c>
      <c r="E2584" t="n">
        <v>65.7</v>
      </c>
      <c r="F2584" t="n">
        <v>0.9926582796</v>
      </c>
      <c r="G2584" t="n">
        <v>27</v>
      </c>
      <c r="H2584" t="n">
        <v>0.4823510284</v>
      </c>
      <c r="I2584" t="n">
        <v>0.2</v>
      </c>
      <c r="J2584" t="n">
        <v>0</v>
      </c>
      <c r="K2584" t="inlineStr"/>
    </row>
    <row r="2585">
      <c r="A2585" t="inlineStr">
        <is>
          <t>ANDMIDA52TS</t>
        </is>
      </c>
      <c r="B2585" t="inlineStr">
        <is>
          <t>ANDRE ORIGINAL DAMA</t>
        </is>
      </c>
      <c r="C2585" t="inlineStr">
        <is>
          <t>Manufactura / Dama / P. Superiores</t>
        </is>
      </c>
      <c r="D2585" t="n">
        <v>2</v>
      </c>
      <c r="E2585" t="n">
        <v>65.64444845</v>
      </c>
      <c r="F2585" t="n">
        <v>0.9001446588999999</v>
      </c>
      <c r="G2585" t="n">
        <v>0</v>
      </c>
      <c r="H2585" t="n">
        <v>3.274295302</v>
      </c>
      <c r="I2585" t="n">
        <v>0.2</v>
      </c>
      <c r="J2585" t="n">
        <v>9</v>
      </c>
      <c r="K2585" t="inlineStr">
        <is>
          <t>Sin stock</t>
        </is>
      </c>
    </row>
    <row r="2586">
      <c r="A2586" t="inlineStr">
        <is>
          <t>CLAMIKI11T8</t>
        </is>
      </c>
      <c r="B2586" t="inlineStr">
        <is>
          <t>CLASICA ORIGINAL KIDS</t>
        </is>
      </c>
      <c r="C2586" t="inlineStr">
        <is>
          <t>Manufactura / Kids / P. Superiores</t>
        </is>
      </c>
      <c r="D2586" t="n">
        <v>3</v>
      </c>
      <c r="E2586" t="n">
        <v>64.95868272999999</v>
      </c>
      <c r="F2586" t="n">
        <v>0.93551753875</v>
      </c>
      <c r="G2586" t="n">
        <v>3</v>
      </c>
      <c r="H2586" t="n">
        <v>2.053774806</v>
      </c>
      <c r="I2586" t="n">
        <v>0.3</v>
      </c>
      <c r="J2586" t="n">
        <v>1</v>
      </c>
      <c r="K2586" t="inlineStr"/>
    </row>
    <row r="2587">
      <c r="A2587" t="inlineStr">
        <is>
          <t>CLAMIDA53TXS</t>
        </is>
      </c>
      <c r="B2587" t="inlineStr">
        <is>
          <t>CLASICA ORIGINAL DAMA</t>
        </is>
      </c>
      <c r="C2587" t="inlineStr">
        <is>
          <t>Manufactura / Dama / P. Superiores</t>
        </is>
      </c>
      <c r="D2587" t="n">
        <v>3</v>
      </c>
      <c r="E2587" t="n">
        <v>64.43770116</v>
      </c>
      <c r="F2587" t="n">
        <v>0.8535856669499999</v>
      </c>
      <c r="G2587" t="n">
        <v>0</v>
      </c>
      <c r="H2587" t="n">
        <v>3.923227589</v>
      </c>
      <c r="I2587" t="n">
        <v>0.3</v>
      </c>
      <c r="J2587" t="n">
        <v>1</v>
      </c>
      <c r="K2587" t="inlineStr">
        <is>
          <t>Sin stock</t>
        </is>
      </c>
    </row>
    <row r="2588">
      <c r="A2588" t="inlineStr">
        <is>
          <t>DALSTKI30T10</t>
        </is>
      </c>
      <c r="B2588" t="inlineStr">
        <is>
          <t>CLASICA DAILY 2.0 KIDS</t>
        </is>
      </c>
      <c r="C2588" t="inlineStr">
        <is>
          <t>Manufactura / Kids / P. Superiores</t>
        </is>
      </c>
      <c r="D2588" t="n">
        <v>3</v>
      </c>
      <c r="E2588" t="n">
        <v>64.41490526999999</v>
      </c>
      <c r="F2588" t="n">
        <v>0.72984697965</v>
      </c>
      <c r="G2588" t="n">
        <v>7</v>
      </c>
      <c r="H2588" t="n">
        <v>8.699999999999999</v>
      </c>
      <c r="I2588" t="n">
        <v>0.3</v>
      </c>
      <c r="J2588" t="n">
        <v>4</v>
      </c>
      <c r="K2588" t="inlineStr"/>
    </row>
    <row r="2589">
      <c r="A2589" t="inlineStr">
        <is>
          <t>WAVSTKI43T12</t>
        </is>
      </c>
      <c r="B2589" t="inlineStr">
        <is>
          <t>CLASICA RETRO 2.0 KIDS</t>
        </is>
      </c>
      <c r="C2589" t="inlineStr">
        <is>
          <t>Manufactura / Kids / P. Superiores</t>
        </is>
      </c>
      <c r="D2589" t="n">
        <v>2</v>
      </c>
      <c r="E2589" t="n">
        <v>63.97382991</v>
      </c>
      <c r="F2589" t="n">
        <v>0.96867050775</v>
      </c>
      <c r="G2589" t="n">
        <v>0</v>
      </c>
      <c r="H2589" t="n">
        <v>1</v>
      </c>
      <c r="I2589" t="n">
        <v>0.2</v>
      </c>
      <c r="J2589" t="n">
        <v>8</v>
      </c>
      <c r="K2589" t="inlineStr">
        <is>
          <t>Sin stock</t>
        </is>
      </c>
    </row>
    <row r="2590">
      <c r="A2590" t="inlineStr">
        <is>
          <t>PETMIPE48TS</t>
        </is>
      </c>
      <c r="B2590" t="inlineStr">
        <is>
          <t>BANDANA PET</t>
        </is>
      </c>
      <c r="C2590" t="inlineStr">
        <is>
          <t>Manufactura / General</t>
        </is>
      </c>
      <c r="D2590" t="n">
        <v>5</v>
      </c>
      <c r="E2590" t="n">
        <v>63.88132263</v>
      </c>
      <c r="F2590" t="n">
        <v>0.9786021460000001</v>
      </c>
      <c r="G2590" t="n">
        <v>2</v>
      </c>
      <c r="H2590" t="n">
        <v>0.3252662283</v>
      </c>
      <c r="I2590" t="n">
        <v>0.5</v>
      </c>
      <c r="J2590" t="n">
        <v>0</v>
      </c>
      <c r="K2590" t="inlineStr"/>
    </row>
    <row r="2591">
      <c r="A2591" t="inlineStr">
        <is>
          <t>CLAMIKI11T2</t>
        </is>
      </c>
      <c r="B2591" t="inlineStr">
        <is>
          <t>CLASICA ORIGINAL KIDS</t>
        </is>
      </c>
      <c r="C2591" t="inlineStr">
        <is>
          <t>Manufactura / Kids / P. Superiores</t>
        </is>
      </c>
      <c r="D2591" t="n">
        <v>2</v>
      </c>
      <c r="E2591" t="n">
        <v>63.7192829</v>
      </c>
      <c r="F2591" t="n">
        <v>0.9330880584500001</v>
      </c>
      <c r="G2591" t="n">
        <v>0</v>
      </c>
      <c r="H2591" t="n">
        <v>2.053774806</v>
      </c>
      <c r="I2591" t="n">
        <v>0.2</v>
      </c>
      <c r="J2591" t="n">
        <v>3</v>
      </c>
      <c r="K2591" t="inlineStr">
        <is>
          <t>Sin stock</t>
        </is>
      </c>
    </row>
    <row r="2592">
      <c r="A2592" t="inlineStr">
        <is>
          <t>CLAMIKI53T2</t>
        </is>
      </c>
      <c r="B2592" t="inlineStr">
        <is>
          <t>CLASICA ORIGINAL KIDS</t>
        </is>
      </c>
      <c r="C2592" t="inlineStr">
        <is>
          <t>Manufactura / Kids / P. Superiores</t>
        </is>
      </c>
      <c r="D2592" t="n">
        <v>3</v>
      </c>
      <c r="E2592" t="n">
        <v>63.63302852</v>
      </c>
      <c r="F2592" t="n">
        <v>0.9351439547</v>
      </c>
      <c r="G2592" t="n">
        <v>2</v>
      </c>
      <c r="H2592" t="n">
        <v>2.053774806</v>
      </c>
      <c r="I2592" t="n">
        <v>0.3</v>
      </c>
      <c r="J2592" t="n">
        <v>0</v>
      </c>
      <c r="K2592" t="inlineStr"/>
    </row>
    <row r="2593">
      <c r="A2593" t="inlineStr">
        <is>
          <t>DALSSTDA16TL</t>
        </is>
      </c>
      <c r="B2593" t="inlineStr">
        <is>
          <t>MANGA LARGA DAILY 2.0 DAMA</t>
        </is>
      </c>
      <c r="C2593" t="inlineStr">
        <is>
          <t>Manufactura / Dama / P. Superiores</t>
        </is>
      </c>
      <c r="D2593" t="n">
        <v>1</v>
      </c>
      <c r="E2593" t="n">
        <v>63.17038856</v>
      </c>
      <c r="F2593" t="n">
        <v>0.8052885176</v>
      </c>
      <c r="G2593" t="n">
        <v>3</v>
      </c>
      <c r="H2593" t="n">
        <v>12.3</v>
      </c>
      <c r="I2593" t="n">
        <v>0.1</v>
      </c>
      <c r="J2593" t="n">
        <v>7</v>
      </c>
      <c r="K2593" t="inlineStr"/>
    </row>
    <row r="2594">
      <c r="A2594" t="inlineStr">
        <is>
          <t>DALSSTDA16TXL</t>
        </is>
      </c>
      <c r="B2594" t="inlineStr">
        <is>
          <t>MANGA LARGA DAILY 2.0 DAMA</t>
        </is>
      </c>
      <c r="C2594" t="inlineStr">
        <is>
          <t>Manufactura / Dama / P. Superiores</t>
        </is>
      </c>
      <c r="D2594" t="n">
        <v>1</v>
      </c>
      <c r="E2594" t="n">
        <v>63.17038856</v>
      </c>
      <c r="F2594" t="n">
        <v>0.8052885176</v>
      </c>
      <c r="G2594" t="n">
        <v>8</v>
      </c>
      <c r="H2594" t="n">
        <v>12.3</v>
      </c>
      <c r="I2594" t="n">
        <v>0.1</v>
      </c>
      <c r="J2594" t="n">
        <v>7</v>
      </c>
      <c r="K2594" t="inlineStr"/>
    </row>
    <row r="2595">
      <c r="A2595" t="inlineStr">
        <is>
          <t>CLAMIKI11T4</t>
        </is>
      </c>
      <c r="B2595" t="inlineStr">
        <is>
          <t>CLASICA ORIGINAL KIDS</t>
        </is>
      </c>
      <c r="C2595" t="inlineStr">
        <is>
          <t>Manufactura / Kids / P. Superiores</t>
        </is>
      </c>
      <c r="D2595" t="n">
        <v>2</v>
      </c>
      <c r="E2595" t="n">
        <v>63.05730497</v>
      </c>
      <c r="F2595" t="n">
        <v>0.93283747555</v>
      </c>
      <c r="G2595" t="n">
        <v>1</v>
      </c>
      <c r="H2595" t="n">
        <v>2.053774806</v>
      </c>
      <c r="I2595" t="n">
        <v>0.2</v>
      </c>
      <c r="J2595" t="n">
        <v>1</v>
      </c>
      <c r="K2595" t="inlineStr"/>
    </row>
    <row r="2596">
      <c r="A2596" t="inlineStr">
        <is>
          <t>CAP69FC</t>
        </is>
      </c>
      <c r="B2596" t="inlineStr">
        <is>
          <t>FIT CAP</t>
        </is>
      </c>
      <c r="C2596" t="inlineStr">
        <is>
          <t>Equipamiento / Gorras</t>
        </is>
      </c>
      <c r="D2596" t="n">
        <v>2</v>
      </c>
      <c r="E2596" t="n">
        <v>63.01623576</v>
      </c>
      <c r="F2596" t="n">
        <v>0.870421094425</v>
      </c>
      <c r="G2596" t="n">
        <v>0</v>
      </c>
      <c r="H2596" t="n">
        <v>4.11</v>
      </c>
      <c r="I2596" t="n">
        <v>0.2</v>
      </c>
      <c r="J2596" t="n">
        <v>8</v>
      </c>
      <c r="K2596" t="inlineStr">
        <is>
          <t>Sin stock</t>
        </is>
      </c>
    </row>
    <row r="2597">
      <c r="A2597" t="inlineStr">
        <is>
          <t>CLAMIKI30T10</t>
        </is>
      </c>
      <c r="B2597" t="inlineStr">
        <is>
          <t>CLASICA ORIGINAL KIDS</t>
        </is>
      </c>
      <c r="C2597" t="inlineStr">
        <is>
          <t>Manufactura / Kids / P. Superiores</t>
        </is>
      </c>
      <c r="D2597" t="n">
        <v>2</v>
      </c>
      <c r="E2597" t="n">
        <v>62.98851085</v>
      </c>
      <c r="F2597" t="n">
        <v>0.9335450095</v>
      </c>
      <c r="G2597" t="n">
        <v>35</v>
      </c>
      <c r="H2597" t="n">
        <v>2.053774806</v>
      </c>
      <c r="I2597" t="n">
        <v>0.2</v>
      </c>
      <c r="J2597" t="n">
        <v>5</v>
      </c>
      <c r="K2597" t="inlineStr"/>
    </row>
    <row r="2598">
      <c r="A2598" t="inlineStr">
        <is>
          <t>RUNTBMBFCA209T2XL</t>
        </is>
      </c>
      <c r="B2598" t="inlineStr">
        <is>
          <t>RUNNING TANK BIOMOVE CAB</t>
        </is>
      </c>
      <c r="C2598" t="inlineStr">
        <is>
          <t>Manufactura / Caballero / P. Superiores</t>
        </is>
      </c>
      <c r="D2598" t="n">
        <v>1</v>
      </c>
      <c r="E2598" t="n">
        <v>62.93</v>
      </c>
      <c r="F2598" t="n">
        <v>0.9923351179</v>
      </c>
      <c r="G2598" t="n">
        <v>15</v>
      </c>
      <c r="H2598" t="n">
        <v>0.4823510284</v>
      </c>
      <c r="I2598" t="n">
        <v>0.1</v>
      </c>
      <c r="J2598" t="n">
        <v>1</v>
      </c>
      <c r="K2598" t="inlineStr"/>
    </row>
    <row r="2599">
      <c r="A2599" t="inlineStr">
        <is>
          <t>MIAMIDA43TS</t>
        </is>
      </c>
      <c r="B2599" t="inlineStr">
        <is>
          <t>MIA ORIGINAL DAMA</t>
        </is>
      </c>
      <c r="C2599" t="inlineStr">
        <is>
          <t>Manufactura / Dama / P. Superiores</t>
        </is>
      </c>
      <c r="D2599" t="n">
        <v>2</v>
      </c>
      <c r="E2599" t="n">
        <v>62.92461399</v>
      </c>
      <c r="F2599" t="n">
        <v>0.8738893665</v>
      </c>
      <c r="G2599" t="n">
        <v>5</v>
      </c>
      <c r="H2599" t="n">
        <v>3.94</v>
      </c>
      <c r="I2599" t="n">
        <v>0.2</v>
      </c>
      <c r="J2599" t="n">
        <v>7</v>
      </c>
      <c r="K2599" t="inlineStr"/>
    </row>
    <row r="2600">
      <c r="A2600" t="inlineStr">
        <is>
          <t>TOA05SP</t>
        </is>
      </c>
      <c r="B2600" t="inlineStr">
        <is>
          <t>TOALLA SPORT</t>
        </is>
      </c>
      <c r="C2600" t="inlineStr">
        <is>
          <t>Equipamiento / Toallas</t>
        </is>
      </c>
      <c r="D2600" t="n">
        <v>3</v>
      </c>
      <c r="E2600" t="n">
        <v>62.51851439000001</v>
      </c>
      <c r="F2600" t="n">
        <v>0.9119460301000001</v>
      </c>
      <c r="G2600" t="n">
        <v>0</v>
      </c>
      <c r="H2600" t="n">
        <v>1.8</v>
      </c>
      <c r="I2600" t="n">
        <v>0.3</v>
      </c>
      <c r="J2600" t="n">
        <v>4</v>
      </c>
      <c r="K2600" t="inlineStr">
        <is>
          <t>Sin stock</t>
        </is>
      </c>
    </row>
    <row r="2601">
      <c r="A2601" t="inlineStr">
        <is>
          <t>PANNTKI31T8</t>
        </is>
      </c>
      <c r="B2601" t="inlineStr">
        <is>
          <t>EXPLORE PANTS KIDS</t>
        </is>
      </c>
      <c r="C2601" t="inlineStr">
        <is>
          <t>Manufactura / Kids / P. Inferiores</t>
        </is>
      </c>
      <c r="D2601" t="n">
        <v>1</v>
      </c>
      <c r="E2601" t="n">
        <v>62.1950652</v>
      </c>
      <c r="F2601" t="n">
        <v>0.7752233243</v>
      </c>
      <c r="G2601" t="n">
        <v>2</v>
      </c>
      <c r="H2601" t="n">
        <v>13.98</v>
      </c>
      <c r="I2601" t="n">
        <v>0.1</v>
      </c>
      <c r="J2601" t="n">
        <v>2</v>
      </c>
      <c r="K2601" t="inlineStr"/>
    </row>
    <row r="2602">
      <c r="A2602" t="inlineStr">
        <is>
          <t>JACCA67T2XL</t>
        </is>
      </c>
      <c r="B2602" t="inlineStr">
        <is>
          <t>JACKET CAB</t>
        </is>
      </c>
      <c r="C2602" t="inlineStr">
        <is>
          <t>Equipamiento / Ropa</t>
        </is>
      </c>
      <c r="D2602" t="n">
        <v>1</v>
      </c>
      <c r="E2602" t="n">
        <v>62.19096128</v>
      </c>
      <c r="F2602" t="n">
        <v>0.6743896715</v>
      </c>
      <c r="G2602" t="n">
        <v>1</v>
      </c>
      <c r="H2602" t="n">
        <v>20.25001933</v>
      </c>
      <c r="I2602" t="n">
        <v>0.1</v>
      </c>
      <c r="J2602" t="n">
        <v>7</v>
      </c>
      <c r="K2602" t="inlineStr"/>
    </row>
    <row r="2603">
      <c r="A2603" t="inlineStr">
        <is>
          <t>SHR2VICA66TL</t>
        </is>
      </c>
      <c r="B2603" t="inlineStr">
        <is>
          <t>SHORT R2 CAB</t>
        </is>
      </c>
      <c r="C2603" t="inlineStr">
        <is>
          <t>Manufactura / Dama / P. Inferiores</t>
        </is>
      </c>
      <c r="D2603" t="n">
        <v>1</v>
      </c>
      <c r="E2603" t="n">
        <v>62</v>
      </c>
      <c r="F2603" t="n">
        <v>0.8529032258</v>
      </c>
      <c r="G2603" t="n">
        <v>7</v>
      </c>
      <c r="H2603" t="n">
        <v>9.119999999999999</v>
      </c>
      <c r="I2603" t="n">
        <v>0.1</v>
      </c>
      <c r="J2603" t="n">
        <v>1</v>
      </c>
      <c r="K2603" t="inlineStr"/>
    </row>
    <row r="2604">
      <c r="A2604" t="inlineStr">
        <is>
          <t>SRR2VIU123TS</t>
        </is>
      </c>
      <c r="B2604" t="inlineStr">
        <is>
          <t>R2 RUNNING 3,5"</t>
        </is>
      </c>
      <c r="C2604" t="inlineStr">
        <is>
          <t>Manufactura / General</t>
        </is>
      </c>
      <c r="D2604" t="n">
        <v>2</v>
      </c>
      <c r="E2604" t="n">
        <v>62</v>
      </c>
      <c r="F2604" t="n">
        <v>0.9001612903</v>
      </c>
      <c r="G2604" t="n">
        <v>12</v>
      </c>
      <c r="H2604" t="n">
        <v>6.19</v>
      </c>
      <c r="I2604" t="n">
        <v>0.2</v>
      </c>
      <c r="J2604" t="n">
        <v>0</v>
      </c>
      <c r="K2604" t="inlineStr"/>
    </row>
    <row r="2605">
      <c r="A2605" t="inlineStr">
        <is>
          <t>SSR2VIU43TL</t>
        </is>
      </c>
      <c r="B2605" t="inlineStr">
        <is>
          <t>R2 SPORT  5"</t>
        </is>
      </c>
      <c r="C2605" t="inlineStr">
        <is>
          <t>Manufactura / General</t>
        </is>
      </c>
      <c r="D2605" t="n">
        <v>1</v>
      </c>
      <c r="E2605" t="n">
        <v>62</v>
      </c>
      <c r="F2605" t="n">
        <v>0.9179032258000001</v>
      </c>
      <c r="G2605" t="n">
        <v>19</v>
      </c>
      <c r="H2605" t="n">
        <v>5.09</v>
      </c>
      <c r="I2605" t="n">
        <v>0.1</v>
      </c>
      <c r="J2605" t="n">
        <v>0</v>
      </c>
      <c r="K2605" t="inlineStr"/>
    </row>
    <row r="2606">
      <c r="A2606" t="inlineStr">
        <is>
          <t>MAYFNDA16TXL</t>
        </is>
      </c>
      <c r="B2606" t="inlineStr">
        <is>
          <t>MAYA SPORT LITE DAMA</t>
        </is>
      </c>
      <c r="C2606" t="inlineStr">
        <is>
          <t>Manufactura / Dama / P. Superiores</t>
        </is>
      </c>
      <c r="D2606" t="n">
        <v>2</v>
      </c>
      <c r="E2606" t="n">
        <v>61.90605791</v>
      </c>
      <c r="F2606" t="n">
        <v>0.8733680043499999</v>
      </c>
      <c r="G2606" t="n">
        <v>1</v>
      </c>
      <c r="H2606" t="n">
        <v>3.87</v>
      </c>
      <c r="I2606" t="n">
        <v>0.2</v>
      </c>
      <c r="J2606" t="n">
        <v>7</v>
      </c>
      <c r="K2606" t="inlineStr"/>
    </row>
    <row r="2607">
      <c r="A2607" t="inlineStr">
        <is>
          <t>201STDA30TM</t>
        </is>
      </c>
      <c r="B2607" t="inlineStr">
        <is>
          <t>RETRO VZLA DAMA</t>
        </is>
      </c>
      <c r="C2607" t="inlineStr">
        <is>
          <t>Manufactura / Dama / P. Superiores</t>
        </is>
      </c>
      <c r="D2607" t="n">
        <v>2</v>
      </c>
      <c r="E2607" t="n">
        <v>61.74378773000001</v>
      </c>
      <c r="F2607" t="n">
        <v>0.61424540375</v>
      </c>
      <c r="G2607" t="n">
        <v>0</v>
      </c>
      <c r="H2607" t="n">
        <v>11.23</v>
      </c>
      <c r="I2607" t="n">
        <v>0.2</v>
      </c>
      <c r="J2607" t="n">
        <v>5</v>
      </c>
      <c r="K2607" t="inlineStr">
        <is>
          <t>Sin stock</t>
        </is>
      </c>
    </row>
    <row r="2608">
      <c r="A2608" t="inlineStr">
        <is>
          <t>SHOSUKI108T14</t>
        </is>
      </c>
      <c r="B2608" t="inlineStr">
        <is>
          <t>SHORT PLAYA ESTAMPADO KIDS</t>
        </is>
      </c>
      <c r="C2608" t="inlineStr">
        <is>
          <t>Manufactura / Kids / P. Superiores</t>
        </is>
      </c>
      <c r="D2608" t="n">
        <v>2</v>
      </c>
      <c r="E2608" t="n">
        <v>61.66579288</v>
      </c>
      <c r="F2608" t="n">
        <v>0.7639183650000001</v>
      </c>
      <c r="G2608" t="n">
        <v>0</v>
      </c>
      <c r="H2608" t="n">
        <v>7.21</v>
      </c>
      <c r="I2608" t="n">
        <v>0.2</v>
      </c>
      <c r="J2608" t="n">
        <v>7</v>
      </c>
      <c r="K2608" t="inlineStr">
        <is>
          <t>Sin stock</t>
        </is>
      </c>
    </row>
    <row r="2609">
      <c r="A2609" t="inlineStr">
        <is>
          <t>DOMBFCA205T2XL</t>
        </is>
      </c>
      <c r="B2609" t="inlineStr">
        <is>
          <t>DOMINIC BIO MOVE CAB</t>
        </is>
      </c>
      <c r="C2609" t="inlineStr">
        <is>
          <t>Manufactura / Caballero / P. Superiores</t>
        </is>
      </c>
      <c r="D2609" t="n">
        <v>1</v>
      </c>
      <c r="E2609" t="n">
        <v>61.61810564</v>
      </c>
      <c r="F2609" t="n">
        <v>0.7750661132</v>
      </c>
      <c r="G2609" t="n">
        <v>15</v>
      </c>
      <c r="H2609" t="n">
        <v>13.86</v>
      </c>
      <c r="I2609" t="n">
        <v>0.1</v>
      </c>
      <c r="J2609" t="n">
        <v>3</v>
      </c>
      <c r="K2609" t="inlineStr"/>
    </row>
    <row r="2610">
      <c r="A2610" t="inlineStr">
        <is>
          <t>DALSTKI43T4</t>
        </is>
      </c>
      <c r="B2610" t="inlineStr">
        <is>
          <t>CLASICA DAILY 2.0 KIDS</t>
        </is>
      </c>
      <c r="C2610" t="inlineStr">
        <is>
          <t>Manufactura / Kids / P. Superiores</t>
        </is>
      </c>
      <c r="D2610" t="n">
        <v>2</v>
      </c>
      <c r="E2610" t="n">
        <v>61.56531139</v>
      </c>
      <c r="F2610" t="n">
        <v>0.7164678385000001</v>
      </c>
      <c r="G2610" t="n">
        <v>1</v>
      </c>
      <c r="H2610" t="n">
        <v>8.699999999999999</v>
      </c>
      <c r="I2610" t="n">
        <v>0.2</v>
      </c>
      <c r="J2610" t="n">
        <v>2</v>
      </c>
      <c r="K2610" t="inlineStr"/>
    </row>
    <row r="2611">
      <c r="A2611" t="inlineStr">
        <is>
          <t>SHOUNKI13T14</t>
        </is>
      </c>
      <c r="B2611" t="inlineStr">
        <is>
          <t>SHORT PLAYA KIDS</t>
        </is>
      </c>
      <c r="C2611" t="inlineStr">
        <is>
          <t>Manufactura / Kids / P. Inferiores</t>
        </is>
      </c>
      <c r="D2611" t="n">
        <v>2</v>
      </c>
      <c r="E2611" t="n">
        <v>61.4933033</v>
      </c>
      <c r="F2611" t="n">
        <v>0.80124420325</v>
      </c>
      <c r="G2611" t="n">
        <v>0</v>
      </c>
      <c r="H2611" t="n">
        <v>6.09</v>
      </c>
      <c r="I2611" t="n">
        <v>0.2</v>
      </c>
      <c r="J2611" t="n">
        <v>7</v>
      </c>
      <c r="K2611" t="inlineStr">
        <is>
          <t>Sin stock</t>
        </is>
      </c>
    </row>
    <row r="2612">
      <c r="A2612" t="inlineStr">
        <is>
          <t>RIOMICA70T3XL</t>
        </is>
      </c>
      <c r="B2612" t="inlineStr">
        <is>
          <t>RIO ORIGINAL CAB</t>
        </is>
      </c>
      <c r="C2612" t="inlineStr">
        <is>
          <t>Manufactura / Caballero / P. Superiores</t>
        </is>
      </c>
      <c r="D2612" t="n">
        <v>1</v>
      </c>
      <c r="E2612" t="n">
        <v>61.24212292</v>
      </c>
      <c r="F2612" t="n">
        <v>0.9030185434</v>
      </c>
      <c r="G2612" t="n">
        <v>4</v>
      </c>
      <c r="H2612" t="n">
        <v>5.939350288</v>
      </c>
      <c r="I2612" t="n">
        <v>0.1</v>
      </c>
      <c r="J2612" t="n">
        <v>5</v>
      </c>
      <c r="K2612" t="inlineStr"/>
    </row>
    <row r="2613">
      <c r="A2613" t="inlineStr">
        <is>
          <t>CLAMIKI13T12</t>
        </is>
      </c>
      <c r="B2613" t="inlineStr">
        <is>
          <t>CLASICA ORIGINAL KIDS</t>
        </is>
      </c>
      <c r="C2613" t="inlineStr">
        <is>
          <t>Manufactura / Kids / P. Superiores</t>
        </is>
      </c>
      <c r="D2613" t="n">
        <v>2</v>
      </c>
      <c r="E2613" t="n">
        <v>61.18541992</v>
      </c>
      <c r="F2613" t="n">
        <v>0.9320239682</v>
      </c>
      <c r="G2613" t="n">
        <v>2</v>
      </c>
      <c r="H2613" t="n">
        <v>2.053774806</v>
      </c>
      <c r="I2613" t="n">
        <v>0.2</v>
      </c>
      <c r="J2613" t="n">
        <v>0</v>
      </c>
      <c r="K2613" t="inlineStr"/>
    </row>
    <row r="2614">
      <c r="A2614" t="inlineStr">
        <is>
          <t>VIVMIDA48TL</t>
        </is>
      </c>
      <c r="B2614" t="inlineStr">
        <is>
          <t>VIVI ORIGINAL DAMA</t>
        </is>
      </c>
      <c r="C2614" t="inlineStr">
        <is>
          <t>Manufactura / Dama / P. Superiores</t>
        </is>
      </c>
      <c r="D2614" t="n">
        <v>2</v>
      </c>
      <c r="E2614" t="n">
        <v>61.12435986</v>
      </c>
      <c r="F2614" t="n">
        <v>0.85878482185</v>
      </c>
      <c r="G2614" t="n">
        <v>21</v>
      </c>
      <c r="H2614" t="n">
        <v>4.303181706</v>
      </c>
      <c r="I2614" t="n">
        <v>0.2</v>
      </c>
      <c r="J2614" t="n">
        <v>8</v>
      </c>
      <c r="K2614" t="inlineStr"/>
    </row>
    <row r="2615">
      <c r="A2615" t="inlineStr">
        <is>
          <t>CLAMIKI50T14</t>
        </is>
      </c>
      <c r="B2615" t="inlineStr">
        <is>
          <t>CLASICA ORIGINAL KIDS</t>
        </is>
      </c>
      <c r="C2615" t="inlineStr">
        <is>
          <t>Manufactura / Kids / P. Superiores</t>
        </is>
      </c>
      <c r="D2615" t="n">
        <v>2</v>
      </c>
      <c r="E2615" t="n">
        <v>60.93609825</v>
      </c>
      <c r="F2615" t="n">
        <v>0.9321710125</v>
      </c>
      <c r="G2615" t="n">
        <v>2</v>
      </c>
      <c r="H2615" t="n">
        <v>2.053774806</v>
      </c>
      <c r="I2615" t="n">
        <v>0.2</v>
      </c>
      <c r="J2615" t="n">
        <v>7</v>
      </c>
      <c r="K2615" t="inlineStr"/>
    </row>
    <row r="2616">
      <c r="A2616" t="inlineStr">
        <is>
          <t>DALSTDA16TS</t>
        </is>
      </c>
      <c r="B2616" t="inlineStr">
        <is>
          <t>CLASICA DAILY 2.0 DAMA</t>
        </is>
      </c>
      <c r="C2616" t="inlineStr">
        <is>
          <t>Manufactura / Dama / P. Superiores</t>
        </is>
      </c>
      <c r="D2616" t="n">
        <v>2</v>
      </c>
      <c r="E2616" t="n">
        <v>60.5739038</v>
      </c>
      <c r="F2616" t="n">
        <v>0.62700380405</v>
      </c>
      <c r="G2616" t="n">
        <v>2</v>
      </c>
      <c r="H2616" t="n">
        <v>10.02</v>
      </c>
      <c r="I2616" t="n">
        <v>0.2</v>
      </c>
      <c r="J2616" t="n">
        <v>7</v>
      </c>
      <c r="K2616" t="inlineStr"/>
    </row>
    <row r="2617">
      <c r="A2617" t="inlineStr">
        <is>
          <t>DALSTDA43TS</t>
        </is>
      </c>
      <c r="B2617" t="inlineStr">
        <is>
          <t>CLASICA DAILY 2.0 DAMA</t>
        </is>
      </c>
      <c r="C2617" t="inlineStr">
        <is>
          <t>Manufactura / Dama / P. Superiores</t>
        </is>
      </c>
      <c r="D2617" t="n">
        <v>1</v>
      </c>
      <c r="E2617" t="n">
        <v>60.50461097</v>
      </c>
      <c r="F2617" t="n">
        <v>0.8343927869</v>
      </c>
      <c r="G2617" t="n">
        <v>0</v>
      </c>
      <c r="H2617" t="n">
        <v>10.02</v>
      </c>
      <c r="I2617" t="n">
        <v>0.1</v>
      </c>
      <c r="J2617" t="n">
        <v>4</v>
      </c>
      <c r="K2617" t="inlineStr">
        <is>
          <t>Sin stock</t>
        </is>
      </c>
    </row>
    <row r="2618">
      <c r="A2618" t="inlineStr">
        <is>
          <t>ZOEMIDA05TXL</t>
        </is>
      </c>
      <c r="B2618" t="inlineStr">
        <is>
          <t>ZOE ORIGINAL DAMA</t>
        </is>
      </c>
      <c r="C2618" t="inlineStr">
        <is>
          <t>Manufactura / Dama / P. Superiores</t>
        </is>
      </c>
      <c r="D2618" t="n">
        <v>1</v>
      </c>
      <c r="E2618" t="n">
        <v>60.34463038</v>
      </c>
      <c r="F2618" t="n">
        <v>0.9317820713</v>
      </c>
      <c r="G2618" t="n">
        <v>0</v>
      </c>
      <c r="H2618" t="n">
        <v>4.116585696</v>
      </c>
      <c r="I2618" t="n">
        <v>0.1</v>
      </c>
      <c r="J2618" t="n">
        <v>4</v>
      </c>
      <c r="K2618" t="inlineStr">
        <is>
          <t>Sin stock</t>
        </is>
      </c>
    </row>
    <row r="2619">
      <c r="A2619" t="inlineStr">
        <is>
          <t>DALSSTKI16T6</t>
        </is>
      </c>
      <c r="B2619" t="inlineStr">
        <is>
          <t>MANGA LARGA DAILY 2.0 KIDS</t>
        </is>
      </c>
      <c r="C2619" t="inlineStr">
        <is>
          <t>Manufactura / Kids / P. Superiores</t>
        </is>
      </c>
      <c r="D2619" t="n">
        <v>1</v>
      </c>
      <c r="E2619" t="n">
        <v>60.29900123</v>
      </c>
      <c r="F2619" t="n">
        <v>0.8325013716</v>
      </c>
      <c r="G2619" t="n">
        <v>0</v>
      </c>
      <c r="H2619" t="n">
        <v>10.1</v>
      </c>
      <c r="I2619" t="n">
        <v>0.1</v>
      </c>
      <c r="J2619" t="n">
        <v>7</v>
      </c>
      <c r="K2619" t="inlineStr">
        <is>
          <t>Sin stock</t>
        </is>
      </c>
    </row>
    <row r="2620">
      <c r="A2620" t="inlineStr">
        <is>
          <t>SABMEDA51TS</t>
        </is>
      </c>
      <c r="B2620" t="inlineStr">
        <is>
          <t>SABRI SPORT DAMA</t>
        </is>
      </c>
      <c r="C2620" t="inlineStr">
        <is>
          <t>Manufactura / Dama / P. Superiores</t>
        </is>
      </c>
      <c r="D2620" t="n">
        <v>2</v>
      </c>
      <c r="E2620" t="n">
        <v>60.20651635</v>
      </c>
      <c r="F2620" t="n">
        <v>0.8479541883499999</v>
      </c>
      <c r="G2620" t="n">
        <v>0</v>
      </c>
      <c r="H2620" t="n">
        <v>4.51</v>
      </c>
      <c r="I2620" t="n">
        <v>0.2</v>
      </c>
      <c r="J2620" t="n">
        <v>7</v>
      </c>
      <c r="K2620" t="inlineStr">
        <is>
          <t>Sin stock</t>
        </is>
      </c>
    </row>
    <row r="2621">
      <c r="A2621" t="inlineStr">
        <is>
          <t>SHR2VICA70TM</t>
        </is>
      </c>
      <c r="B2621" t="inlineStr">
        <is>
          <t>SHORT R2 CAB</t>
        </is>
      </c>
      <c r="C2621" t="inlineStr">
        <is>
          <t>Manufactura / Dama / P. Inferiores</t>
        </is>
      </c>
      <c r="D2621" t="n">
        <v>1</v>
      </c>
      <c r="E2621" t="n">
        <v>60.10318706</v>
      </c>
      <c r="F2621" t="n">
        <v>0.8482609584</v>
      </c>
      <c r="G2621" t="n">
        <v>1</v>
      </c>
      <c r="H2621" t="n">
        <v>9.119999999999999</v>
      </c>
      <c r="I2621" t="n">
        <v>0.1</v>
      </c>
      <c r="J2621" t="n">
        <v>2</v>
      </c>
      <c r="K2621" t="inlineStr"/>
    </row>
    <row r="2622">
      <c r="A2622" t="inlineStr">
        <is>
          <t>MAFMIDA13TM</t>
        </is>
      </c>
      <c r="B2622" t="inlineStr">
        <is>
          <t>MAFE ORIGINAL DAMA</t>
        </is>
      </c>
      <c r="C2622" t="inlineStr">
        <is>
          <t>Manufactura / Dama / P. Superiores</t>
        </is>
      </c>
      <c r="D2622" t="n">
        <v>2</v>
      </c>
      <c r="E2622" t="n">
        <v>60</v>
      </c>
      <c r="F2622" t="n">
        <v>0.8483941097</v>
      </c>
      <c r="G2622" t="n">
        <v>0</v>
      </c>
      <c r="H2622" t="n">
        <v>4.54817671</v>
      </c>
      <c r="I2622" t="n">
        <v>0.2</v>
      </c>
      <c r="J2622" t="n">
        <v>1</v>
      </c>
      <c r="K2622" t="inlineStr">
        <is>
          <t>Sin stock</t>
        </is>
      </c>
    </row>
    <row r="2623">
      <c r="A2623" t="inlineStr">
        <is>
          <t>MAFMEDA30TM</t>
        </is>
      </c>
      <c r="B2623" t="inlineStr">
        <is>
          <t>MAFE SPORT DAMA</t>
        </is>
      </c>
      <c r="C2623" t="inlineStr">
        <is>
          <t>Manufactura / Dama / P. Superiores</t>
        </is>
      </c>
      <c r="D2623" t="n">
        <v>1</v>
      </c>
      <c r="E2623" t="n">
        <v>59.99999428754961</v>
      </c>
      <c r="F2623" t="n">
        <v>0.9108333248</v>
      </c>
      <c r="G2623" t="n">
        <v>1</v>
      </c>
      <c r="H2623" t="n">
        <v>5.35</v>
      </c>
      <c r="I2623" t="n">
        <v>0.1</v>
      </c>
      <c r="J2623" t="n">
        <v>0</v>
      </c>
      <c r="K2623" t="inlineStr"/>
    </row>
    <row r="2624">
      <c r="A2624" t="inlineStr">
        <is>
          <t>TOA09CL</t>
        </is>
      </c>
      <c r="B2624" t="inlineStr">
        <is>
          <t>TOALLA CLIP ORIGINAL</t>
        </is>
      </c>
      <c r="C2624" t="inlineStr">
        <is>
          <t>Equipamiento / Toallas</t>
        </is>
      </c>
      <c r="D2624" t="n">
        <v>3</v>
      </c>
      <c r="E2624" t="n">
        <v>59.98652819</v>
      </c>
      <c r="F2624" t="n">
        <v>0.7398361074333333</v>
      </c>
      <c r="G2624" t="n">
        <v>0</v>
      </c>
      <c r="H2624" t="n">
        <v>5.11</v>
      </c>
      <c r="I2624" t="n">
        <v>0.3</v>
      </c>
      <c r="J2624" t="n">
        <v>7</v>
      </c>
      <c r="K2624" t="inlineStr">
        <is>
          <t>Sin stock</t>
        </is>
      </c>
    </row>
    <row r="2625">
      <c r="A2625" t="inlineStr">
        <is>
          <t>SABMEDA63TM</t>
        </is>
      </c>
      <c r="B2625" t="inlineStr">
        <is>
          <t>SABRI SPORT DAMA</t>
        </is>
      </c>
      <c r="C2625" t="inlineStr">
        <is>
          <t>Manufactura / Dama / P. Superiores</t>
        </is>
      </c>
      <c r="D2625" t="n">
        <v>2</v>
      </c>
      <c r="E2625" t="n">
        <v>59.75806495</v>
      </c>
      <c r="F2625" t="n">
        <v>0.8488448138</v>
      </c>
      <c r="G2625" t="n">
        <v>2</v>
      </c>
      <c r="H2625" t="n">
        <v>4.51</v>
      </c>
      <c r="I2625" t="n">
        <v>0.2</v>
      </c>
      <c r="J2625" t="n">
        <v>7</v>
      </c>
      <c r="K2625" t="inlineStr"/>
    </row>
    <row r="2626">
      <c r="A2626" t="inlineStr">
        <is>
          <t>SHR2VICA70TS</t>
        </is>
      </c>
      <c r="B2626" t="inlineStr">
        <is>
          <t>SHORT R2 CAB</t>
        </is>
      </c>
      <c r="C2626" t="inlineStr">
        <is>
          <t>Manufactura / Dama / P. Inferiores</t>
        </is>
      </c>
      <c r="D2626" t="n">
        <v>1</v>
      </c>
      <c r="E2626" t="n">
        <v>59.74444024</v>
      </c>
      <c r="F2626" t="n">
        <v>0.8473498126</v>
      </c>
      <c r="G2626" t="n">
        <v>1</v>
      </c>
      <c r="H2626" t="n">
        <v>9.119999999999999</v>
      </c>
      <c r="I2626" t="n">
        <v>0.1</v>
      </c>
      <c r="J2626" t="n">
        <v>2</v>
      </c>
      <c r="K2626" t="inlineStr"/>
    </row>
    <row r="2627">
      <c r="A2627" t="inlineStr">
        <is>
          <t>DALSTKI43T12</t>
        </is>
      </c>
      <c r="B2627" t="inlineStr">
        <is>
          <t>CLASICA DAILY 2.0 KIDS</t>
        </is>
      </c>
      <c r="C2627" t="inlineStr">
        <is>
          <t>Manufactura / Kids / P. Superiores</t>
        </is>
      </c>
      <c r="D2627" t="n">
        <v>2</v>
      </c>
      <c r="E2627" t="n">
        <v>59.73415259</v>
      </c>
      <c r="F2627" t="n">
        <v>0.7079029695500001</v>
      </c>
      <c r="G2627" t="n">
        <v>5</v>
      </c>
      <c r="H2627" t="n">
        <v>8.699999999999999</v>
      </c>
      <c r="I2627" t="n">
        <v>0.2</v>
      </c>
      <c r="J2627" t="n">
        <v>6</v>
      </c>
      <c r="K2627" t="inlineStr"/>
    </row>
    <row r="2628">
      <c r="A2628" t="inlineStr">
        <is>
          <t>PANNTDA12T2XL</t>
        </is>
      </c>
      <c r="B2628" t="inlineStr">
        <is>
          <t>EXPLORE PANTS DAMA</t>
        </is>
      </c>
      <c r="C2628" t="inlineStr">
        <is>
          <t>Manufactura / Dama / P. Inferiores</t>
        </is>
      </c>
      <c r="D2628" t="n">
        <v>1</v>
      </c>
      <c r="E2628" t="n">
        <v>59.36335348</v>
      </c>
      <c r="F2628" t="n">
        <v>0.7407004659</v>
      </c>
      <c r="G2628" t="n">
        <v>0</v>
      </c>
      <c r="H2628" t="n">
        <v>15.3928899</v>
      </c>
      <c r="I2628" t="n">
        <v>0.1</v>
      </c>
      <c r="J2628" t="n">
        <v>9</v>
      </c>
      <c r="K2628" t="inlineStr">
        <is>
          <t>Sin stock</t>
        </is>
      </c>
    </row>
    <row r="2629">
      <c r="A2629" t="inlineStr">
        <is>
          <t>SHR2VIDA43TXS</t>
        </is>
      </c>
      <c r="B2629" t="inlineStr">
        <is>
          <t>SHORT R2 DAMA</t>
        </is>
      </c>
      <c r="C2629" t="inlineStr">
        <is>
          <t>Manufactura / Dama / P. Inferiores</t>
        </is>
      </c>
      <c r="D2629" t="n">
        <v>1</v>
      </c>
      <c r="E2629" t="n">
        <v>59.32451346</v>
      </c>
      <c r="F2629" t="n">
        <v>0.7662132413</v>
      </c>
      <c r="G2629" t="n">
        <v>1</v>
      </c>
      <c r="H2629" t="n">
        <v>13.86928571</v>
      </c>
      <c r="I2629" t="n">
        <v>0.1</v>
      </c>
      <c r="J2629" t="n">
        <v>2</v>
      </c>
      <c r="K2629" t="inlineStr"/>
    </row>
    <row r="2630">
      <c r="A2630" t="inlineStr">
        <is>
          <t>CLAMIDA11TXS</t>
        </is>
      </c>
      <c r="B2630" t="inlineStr">
        <is>
          <t>CLASICA ORIGINAL DAMA</t>
        </is>
      </c>
      <c r="C2630" t="inlineStr">
        <is>
          <t>Manufactura / Dama / P. Superiores</t>
        </is>
      </c>
      <c r="D2630" t="n">
        <v>4</v>
      </c>
      <c r="E2630" t="n">
        <v>59.2321936</v>
      </c>
      <c r="F2630" t="n">
        <v>0.882734520675</v>
      </c>
      <c r="G2630" t="n">
        <v>1</v>
      </c>
      <c r="H2630" t="n">
        <v>3.923227589</v>
      </c>
      <c r="I2630" t="n">
        <v>0.4</v>
      </c>
      <c r="J2630" t="n">
        <v>0</v>
      </c>
      <c r="K2630" t="inlineStr"/>
    </row>
    <row r="2631">
      <c r="A2631" t="inlineStr">
        <is>
          <t>CLAMEKI43T14</t>
        </is>
      </c>
      <c r="B2631" t="inlineStr">
        <is>
          <t>CLASICA SPORT KIDS</t>
        </is>
      </c>
      <c r="C2631" t="inlineStr">
        <is>
          <t>Manufactura / Kids / P. Superiores</t>
        </is>
      </c>
      <c r="D2631" t="n">
        <v>2</v>
      </c>
      <c r="E2631" t="n">
        <v>59.19945582</v>
      </c>
      <c r="F2631" t="n">
        <v>0.8658771454999999</v>
      </c>
      <c r="G2631" t="n">
        <v>0</v>
      </c>
      <c r="H2631" t="n">
        <v>3.97</v>
      </c>
      <c r="I2631" t="n">
        <v>0.2</v>
      </c>
      <c r="J2631" t="n">
        <v>7</v>
      </c>
      <c r="K2631" t="inlineStr">
        <is>
          <t>Sin stock</t>
        </is>
      </c>
    </row>
    <row r="2632">
      <c r="A2632" t="inlineStr">
        <is>
          <t>MIKFNDA24TXL</t>
        </is>
      </c>
      <c r="B2632" t="inlineStr">
        <is>
          <t>MIKA SPORT LITE DAMA</t>
        </is>
      </c>
      <c r="C2632" t="inlineStr">
        <is>
          <t>Manufactura / Dama / P. Superiores</t>
        </is>
      </c>
      <c r="D2632" t="n">
        <v>2</v>
      </c>
      <c r="E2632" t="n">
        <v>59.11247407</v>
      </c>
      <c r="F2632" t="n">
        <v>0.8143429148000001</v>
      </c>
      <c r="G2632" t="n">
        <v>28</v>
      </c>
      <c r="H2632" t="n">
        <v>5.484675344</v>
      </c>
      <c r="I2632" t="n">
        <v>0.2</v>
      </c>
      <c r="J2632" t="n">
        <v>9</v>
      </c>
      <c r="K2632" t="inlineStr"/>
    </row>
    <row r="2633">
      <c r="A2633" t="inlineStr">
        <is>
          <t>TOA63WA</t>
        </is>
      </c>
      <c r="B2633" t="inlineStr">
        <is>
          <t>TOALLA WAFFLE</t>
        </is>
      </c>
      <c r="C2633" t="inlineStr">
        <is>
          <t>Equipamiento / Toallas</t>
        </is>
      </c>
      <c r="D2633" t="n">
        <v>3</v>
      </c>
      <c r="E2633" t="n">
        <v>59.06324216</v>
      </c>
      <c r="F2633" t="n">
        <v>0.6778625715666666</v>
      </c>
      <c r="G2633" t="n">
        <v>0</v>
      </c>
      <c r="H2633" t="n">
        <v>5.5</v>
      </c>
      <c r="I2633" t="n">
        <v>0.3</v>
      </c>
      <c r="J2633" t="n">
        <v>7</v>
      </c>
      <c r="K2633" t="inlineStr">
        <is>
          <t>Sin stock</t>
        </is>
      </c>
    </row>
    <row r="2634">
      <c r="A2634" t="inlineStr">
        <is>
          <t>CLAMEDA12TXL</t>
        </is>
      </c>
      <c r="B2634" t="inlineStr">
        <is>
          <t>CLÁSICA SPORT DAMA</t>
        </is>
      </c>
      <c r="C2634" t="inlineStr">
        <is>
          <t>Manufactura / Dama / P. Superiores</t>
        </is>
      </c>
      <c r="D2634" t="n">
        <v>1</v>
      </c>
      <c r="E2634" t="n">
        <v>59.06222822</v>
      </c>
      <c r="F2634" t="n">
        <v>0.8893352661</v>
      </c>
      <c r="G2634" t="n">
        <v>0</v>
      </c>
      <c r="H2634" t="n">
        <v>6.536105769</v>
      </c>
      <c r="I2634" t="n">
        <v>0.1</v>
      </c>
      <c r="J2634" t="n">
        <v>6</v>
      </c>
      <c r="K2634" t="inlineStr">
        <is>
          <t>Sin stock</t>
        </is>
      </c>
    </row>
    <row r="2635">
      <c r="A2635" t="inlineStr">
        <is>
          <t>BUFMIGE53TUN</t>
        </is>
      </c>
      <c r="B2635" t="inlineStr">
        <is>
          <t>FLEX COVER</t>
        </is>
      </c>
      <c r="C2635" t="inlineStr">
        <is>
          <t>Manufactura / General</t>
        </is>
      </c>
      <c r="D2635" t="n">
        <v>5</v>
      </c>
      <c r="E2635" t="n">
        <v>58.960169911</v>
      </c>
      <c r="F2635" t="n">
        <v>0.8080005590600001</v>
      </c>
      <c r="G2635" t="n">
        <v>29</v>
      </c>
      <c r="H2635" t="n">
        <v>2.21</v>
      </c>
      <c r="I2635" t="n">
        <v>0.5</v>
      </c>
      <c r="J2635" t="n">
        <v>2</v>
      </c>
      <c r="K2635" t="inlineStr"/>
    </row>
    <row r="2636">
      <c r="A2636" t="inlineStr">
        <is>
          <t>CLAMEKI13T6</t>
        </is>
      </c>
      <c r="B2636" t="inlineStr">
        <is>
          <t>CLASICA SPORT KIDS</t>
        </is>
      </c>
      <c r="C2636" t="inlineStr">
        <is>
          <t>Manufactura / Kids / P. Superiores</t>
        </is>
      </c>
      <c r="D2636" t="n">
        <v>2</v>
      </c>
      <c r="E2636" t="n">
        <v>58.89571419000001</v>
      </c>
      <c r="F2636" t="n">
        <v>0.86497875225</v>
      </c>
      <c r="G2636" t="n">
        <v>3</v>
      </c>
      <c r="H2636" t="n">
        <v>3.97</v>
      </c>
      <c r="I2636" t="n">
        <v>0.2</v>
      </c>
      <c r="J2636" t="n">
        <v>0</v>
      </c>
      <c r="K2636" t="inlineStr"/>
    </row>
    <row r="2637">
      <c r="A2637" t="inlineStr">
        <is>
          <t>GEOMACADA03TM</t>
        </is>
      </c>
      <c r="B2637" t="inlineStr">
        <is>
          <t>ADVANCE GEO MAYA DAMA</t>
        </is>
      </c>
      <c r="C2637" t="inlineStr">
        <is>
          <t>Manufactura / Dama / P. Superiores</t>
        </is>
      </c>
      <c r="D2637" t="n">
        <v>4</v>
      </c>
      <c r="E2637" t="n">
        <v>58.62</v>
      </c>
      <c r="F2637" t="n">
        <v>0.8237802798</v>
      </c>
      <c r="G2637" t="n">
        <v>29</v>
      </c>
      <c r="H2637" t="n">
        <v>10.33</v>
      </c>
      <c r="I2637" t="n">
        <v>0.4</v>
      </c>
      <c r="J2637" t="n">
        <v>0</v>
      </c>
      <c r="K2637" t="inlineStr"/>
    </row>
    <row r="2638">
      <c r="A2638" t="inlineStr">
        <is>
          <t>MIAMIDA16TL</t>
        </is>
      </c>
      <c r="B2638" t="inlineStr">
        <is>
          <t>MIA ORIGINAL DAMA</t>
        </is>
      </c>
      <c r="C2638" t="inlineStr">
        <is>
          <t>Manufactura / Dama / P. Superiores</t>
        </is>
      </c>
      <c r="D2638" t="n">
        <v>2</v>
      </c>
      <c r="E2638" t="n">
        <v>58.60241798</v>
      </c>
      <c r="F2638" t="n">
        <v>0.8654808164500001</v>
      </c>
      <c r="G2638" t="n">
        <v>0</v>
      </c>
      <c r="H2638" t="n">
        <v>3.94</v>
      </c>
      <c r="I2638" t="n">
        <v>0.2</v>
      </c>
      <c r="J2638" t="n">
        <v>8</v>
      </c>
      <c r="K2638" t="inlineStr">
        <is>
          <t>Sin stock</t>
        </is>
      </c>
    </row>
    <row r="2639">
      <c r="A2639" t="inlineStr">
        <is>
          <t>SHOUNCA12T4XL</t>
        </is>
      </c>
      <c r="B2639" t="inlineStr">
        <is>
          <t>SHORT PLAYA CAB</t>
        </is>
      </c>
      <c r="C2639" t="inlineStr">
        <is>
          <t>Manufactura / Caballero / P. Inferiores</t>
        </is>
      </c>
      <c r="D2639" t="n">
        <v>1</v>
      </c>
      <c r="E2639" t="n">
        <v>58.49528352</v>
      </c>
      <c r="F2639" t="n">
        <v>0.8292170001</v>
      </c>
      <c r="G2639" t="n">
        <v>0</v>
      </c>
      <c r="H2639" t="n">
        <v>9.99</v>
      </c>
      <c r="I2639" t="n">
        <v>0.1</v>
      </c>
      <c r="J2639" t="n">
        <v>4</v>
      </c>
      <c r="K2639" t="inlineStr">
        <is>
          <t>Sin stock</t>
        </is>
      </c>
    </row>
    <row r="2640">
      <c r="A2640" t="inlineStr">
        <is>
          <t>ZOEMIKI28T14</t>
        </is>
      </c>
      <c r="B2640" t="inlineStr">
        <is>
          <t>ZOE ORIGINAL KIDS</t>
        </is>
      </c>
      <c r="C2640" t="inlineStr">
        <is>
          <t>Manufactura / Kids / P. Superiores</t>
        </is>
      </c>
      <c r="D2640" t="n">
        <v>2</v>
      </c>
      <c r="E2640" t="n">
        <v>58.48764318</v>
      </c>
      <c r="F2640" t="n">
        <v>0.8589239537</v>
      </c>
      <c r="G2640" t="n">
        <v>0</v>
      </c>
      <c r="H2640" t="n">
        <v>4.12</v>
      </c>
      <c r="I2640" t="n">
        <v>0.2</v>
      </c>
      <c r="J2640" t="n">
        <v>9</v>
      </c>
      <c r="K2640" t="inlineStr">
        <is>
          <t>Sin stock</t>
        </is>
      </c>
    </row>
    <row r="2641">
      <c r="A2641" t="inlineStr">
        <is>
          <t>DALSSTCA30T2XL</t>
        </is>
      </c>
      <c r="B2641" t="inlineStr">
        <is>
          <t>MANGA LARGA DAILY 2.0 CAB</t>
        </is>
      </c>
      <c r="C2641" t="inlineStr">
        <is>
          <t>Manufactura / Caballero / P. Superiores</t>
        </is>
      </c>
      <c r="D2641" t="n">
        <v>1</v>
      </c>
      <c r="E2641" t="n">
        <v>58.44224272</v>
      </c>
      <c r="F2641" t="n">
        <v>0.7568539581</v>
      </c>
      <c r="G2641" t="n">
        <v>0</v>
      </c>
      <c r="H2641" t="n">
        <v>14.21</v>
      </c>
      <c r="I2641" t="n">
        <v>0.1</v>
      </c>
      <c r="J2641" t="n">
        <v>5</v>
      </c>
      <c r="K2641" t="inlineStr">
        <is>
          <t>Sin stock</t>
        </is>
      </c>
    </row>
    <row r="2642">
      <c r="A2642" t="inlineStr">
        <is>
          <t>SHOSUKI54T1</t>
        </is>
      </c>
      <c r="B2642" t="inlineStr">
        <is>
          <t>SHORT PLAYA ESTAMPADO KIDS</t>
        </is>
      </c>
      <c r="C2642" t="inlineStr">
        <is>
          <t>Manufactura / Kids / P. Superiores</t>
        </is>
      </c>
      <c r="D2642" t="n">
        <v>2</v>
      </c>
      <c r="E2642" t="n">
        <v>58.12401953</v>
      </c>
      <c r="F2642" t="n">
        <v>0.7516504346999999</v>
      </c>
      <c r="G2642" t="n">
        <v>0</v>
      </c>
      <c r="H2642" t="n">
        <v>7.21</v>
      </c>
      <c r="I2642" t="n">
        <v>0.2</v>
      </c>
      <c r="J2642" t="n">
        <v>7</v>
      </c>
      <c r="K2642" t="inlineStr">
        <is>
          <t>Sin stock</t>
        </is>
      </c>
    </row>
    <row r="2643">
      <c r="A2643" t="inlineStr">
        <is>
          <t>TALGTADA12TXL</t>
        </is>
      </c>
      <c r="B2643" t="inlineStr">
        <is>
          <t>URBAN COTTON TOP SAY YES DAMA</t>
        </is>
      </c>
      <c r="C2643" t="inlineStr">
        <is>
          <t>Manufactura / Dama / P. Superiores</t>
        </is>
      </c>
      <c r="D2643" t="n">
        <v>1</v>
      </c>
      <c r="E2643" t="n">
        <v>57.98071163</v>
      </c>
      <c r="F2643" t="n">
        <v>0.8854794443</v>
      </c>
      <c r="G2643" t="n">
        <v>1</v>
      </c>
      <c r="H2643" t="n">
        <v>6.639983317</v>
      </c>
      <c r="I2643" t="n">
        <v>0.1</v>
      </c>
      <c r="J2643" t="n">
        <v>5</v>
      </c>
      <c r="K2643" t="inlineStr"/>
    </row>
    <row r="2644">
      <c r="A2644" t="inlineStr">
        <is>
          <t>RIOMICA48TL</t>
        </is>
      </c>
      <c r="B2644" t="inlineStr">
        <is>
          <t>RIO ORIGINAL CAB</t>
        </is>
      </c>
      <c r="C2644" t="inlineStr">
        <is>
          <t>Manufactura / Caballero / P. Superiores</t>
        </is>
      </c>
      <c r="D2644" t="n">
        <v>1</v>
      </c>
      <c r="E2644" t="n">
        <v>57.95552893</v>
      </c>
      <c r="F2644" t="n">
        <v>0.8975188321999999</v>
      </c>
      <c r="G2644" t="n">
        <v>0</v>
      </c>
      <c r="H2644" t="n">
        <v>5.939350288</v>
      </c>
      <c r="I2644" t="n">
        <v>0.1</v>
      </c>
      <c r="J2644" t="n">
        <v>5</v>
      </c>
      <c r="K2644" t="inlineStr">
        <is>
          <t>Sin stock</t>
        </is>
      </c>
    </row>
    <row r="2645">
      <c r="A2645" t="inlineStr">
        <is>
          <t>TALGOTADA12TXL</t>
        </is>
      </c>
      <c r="B2645" t="inlineStr">
        <is>
          <t>URBAN COTTON TOP VINTAGE GRIS DAMA</t>
        </is>
      </c>
      <c r="C2645" t="inlineStr">
        <is>
          <t>Manufactura / Dama / P. Superiores</t>
        </is>
      </c>
      <c r="D2645" t="n">
        <v>1</v>
      </c>
      <c r="E2645" t="n">
        <v>57.77010624</v>
      </c>
      <c r="F2645" t="n">
        <v>0.8400964410666667</v>
      </c>
      <c r="G2645" t="n">
        <v>1</v>
      </c>
      <c r="H2645" t="n">
        <v>7.819069274</v>
      </c>
      <c r="I2645" t="n">
        <v>0.1</v>
      </c>
      <c r="J2645" t="n">
        <v>2</v>
      </c>
      <c r="K2645" t="inlineStr"/>
    </row>
    <row r="2646">
      <c r="A2646" t="inlineStr">
        <is>
          <t>TALGOTACA167TL</t>
        </is>
      </c>
      <c r="B2646" t="inlineStr">
        <is>
          <t>URBAN COTTON OVERSIZED VINTAGE GRIS CAB</t>
        </is>
      </c>
      <c r="C2646" t="inlineStr">
        <is>
          <t>Manufactura / Caballero / P. Superiores</t>
        </is>
      </c>
      <c r="D2646" t="n">
        <v>5</v>
      </c>
      <c r="E2646" t="n">
        <v>57.74970648</v>
      </c>
      <c r="F2646" t="n">
        <v>0.7894050261</v>
      </c>
      <c r="G2646" t="n">
        <v>24</v>
      </c>
      <c r="H2646" t="n">
        <v>12.16179793</v>
      </c>
      <c r="I2646" t="n">
        <v>0.5</v>
      </c>
      <c r="J2646" t="n">
        <v>4</v>
      </c>
      <c r="K2646" t="inlineStr"/>
    </row>
    <row r="2647">
      <c r="A2647" t="inlineStr">
        <is>
          <t>MAFMEDA16TL</t>
        </is>
      </c>
      <c r="B2647" t="inlineStr">
        <is>
          <t>MAFE SPORT DAMA</t>
        </is>
      </c>
      <c r="C2647" t="inlineStr">
        <is>
          <t>Manufactura / Dama / P. Superiores</t>
        </is>
      </c>
      <c r="D2647" t="n">
        <v>2</v>
      </c>
      <c r="E2647" t="n">
        <v>57.72111482</v>
      </c>
      <c r="F2647" t="n">
        <v>0.81271841105</v>
      </c>
      <c r="G2647" t="n">
        <v>0</v>
      </c>
      <c r="H2647" t="n">
        <v>5.35</v>
      </c>
      <c r="I2647" t="n">
        <v>0.2</v>
      </c>
      <c r="J2647" t="n">
        <v>9</v>
      </c>
      <c r="K2647" t="inlineStr">
        <is>
          <t>Sin stock</t>
        </is>
      </c>
    </row>
    <row r="2648">
      <c r="A2648" t="inlineStr">
        <is>
          <t>NAHFNCA24T2XL</t>
        </is>
      </c>
      <c r="B2648" t="inlineStr">
        <is>
          <t>NOAH SPORT LITE CAB</t>
        </is>
      </c>
      <c r="C2648" t="inlineStr">
        <is>
          <t>Manufactura / Caballero / P. Superiores</t>
        </is>
      </c>
      <c r="D2648" t="n">
        <v>1</v>
      </c>
      <c r="E2648" t="n">
        <v>57.70585832</v>
      </c>
      <c r="F2648" t="n">
        <v>0.6948071504</v>
      </c>
      <c r="G2648" t="n">
        <v>12</v>
      </c>
      <c r="H2648" t="n">
        <v>17.61141534</v>
      </c>
      <c r="I2648" t="n">
        <v>0.1</v>
      </c>
      <c r="J2648" t="n">
        <v>3</v>
      </c>
      <c r="K2648" t="inlineStr"/>
    </row>
    <row r="2649">
      <c r="A2649" t="inlineStr">
        <is>
          <t>ANDMIDA13TXS</t>
        </is>
      </c>
      <c r="B2649" t="inlineStr">
        <is>
          <t>ANDRE ORIGINAL DAMA</t>
        </is>
      </c>
      <c r="C2649" t="inlineStr">
        <is>
          <t>Manufactura / Dama / P. Superiores</t>
        </is>
      </c>
      <c r="D2649" t="n">
        <v>2</v>
      </c>
      <c r="E2649" t="n">
        <v>57.22860107</v>
      </c>
      <c r="F2649" t="n">
        <v>0.8855594099499999</v>
      </c>
      <c r="G2649" t="n">
        <v>5</v>
      </c>
      <c r="H2649" t="n">
        <v>3.274295302</v>
      </c>
      <c r="I2649" t="n">
        <v>0.2</v>
      </c>
      <c r="J2649" t="n">
        <v>9</v>
      </c>
      <c r="K2649" t="inlineStr"/>
    </row>
    <row r="2650">
      <c r="A2650" t="inlineStr">
        <is>
          <t>MARMIKI24T10</t>
        </is>
      </c>
      <c r="B2650" t="inlineStr">
        <is>
          <t>MAR ORIGINAL KIDS</t>
        </is>
      </c>
      <c r="C2650" t="inlineStr">
        <is>
          <t>Manufactura / Kids / P. Superiores</t>
        </is>
      </c>
      <c r="D2650" t="n">
        <v>2</v>
      </c>
      <c r="E2650" t="n">
        <v>57.20370704</v>
      </c>
      <c r="F2650" t="n">
        <v>0.8875592834</v>
      </c>
      <c r="G2650" t="n">
        <v>0</v>
      </c>
      <c r="H2650" t="n">
        <v>3.168013332</v>
      </c>
      <c r="I2650" t="n">
        <v>0.2</v>
      </c>
      <c r="J2650" t="n">
        <v>9</v>
      </c>
      <c r="K2650" t="inlineStr">
        <is>
          <t>Sin stock</t>
        </is>
      </c>
    </row>
    <row r="2651">
      <c r="A2651" t="inlineStr">
        <is>
          <t>TALGTACA166T2XL</t>
        </is>
      </c>
      <c r="B2651" t="inlineStr">
        <is>
          <t>URBAN COTTON OVERSIZED VINTAGE VERDE CAB</t>
        </is>
      </c>
      <c r="C2651" t="inlineStr">
        <is>
          <t>Manufactura / Caballero / P. Superiores</t>
        </is>
      </c>
      <c r="D2651" t="n">
        <v>2</v>
      </c>
      <c r="E2651" t="n">
        <v>57.03882271</v>
      </c>
      <c r="F2651" t="n">
        <v>0.7517838049666667</v>
      </c>
      <c r="G2651" t="n">
        <v>10</v>
      </c>
      <c r="H2651" t="n">
        <v>12.16396667</v>
      </c>
      <c r="I2651" t="n">
        <v>0.2</v>
      </c>
      <c r="J2651" t="n">
        <v>2</v>
      </c>
      <c r="K2651" t="inlineStr"/>
    </row>
    <row r="2652">
      <c r="A2652" t="inlineStr">
        <is>
          <t>MARMICA16T4XL</t>
        </is>
      </c>
      <c r="B2652" t="inlineStr">
        <is>
          <t>MAR ORIGINAL CAB</t>
        </is>
      </c>
      <c r="C2652" t="inlineStr">
        <is>
          <t>Manufactura / Caballero / P. Superiores</t>
        </is>
      </c>
      <c r="D2652" t="n">
        <v>1</v>
      </c>
      <c r="E2652" t="n">
        <v>57.00001437</v>
      </c>
      <c r="F2652" t="n">
        <v>0.9132218214</v>
      </c>
      <c r="G2652" t="n">
        <v>1</v>
      </c>
      <c r="H2652" t="n">
        <v>4.946357428</v>
      </c>
      <c r="I2652" t="n">
        <v>0.1</v>
      </c>
      <c r="J2652" t="n">
        <v>3</v>
      </c>
      <c r="K2652" t="inlineStr"/>
    </row>
    <row r="2653">
      <c r="A2653" t="inlineStr">
        <is>
          <t>RIOMICA66T4XL</t>
        </is>
      </c>
      <c r="B2653" t="inlineStr">
        <is>
          <t>RIO ORIGINAL CAB</t>
        </is>
      </c>
      <c r="C2653" t="inlineStr">
        <is>
          <t>Manufactura / Caballero / P. Superiores</t>
        </is>
      </c>
      <c r="D2653" t="n">
        <v>1</v>
      </c>
      <c r="E2653" t="n">
        <v>57</v>
      </c>
      <c r="F2653" t="n">
        <v>0.8958008721</v>
      </c>
      <c r="G2653" t="n">
        <v>2</v>
      </c>
      <c r="H2653" t="n">
        <v>5.939350288</v>
      </c>
      <c r="I2653" t="n">
        <v>0.1</v>
      </c>
      <c r="J2653" t="n">
        <v>0</v>
      </c>
      <c r="K2653" t="inlineStr"/>
    </row>
    <row r="2654">
      <c r="A2654" t="inlineStr">
        <is>
          <t>SHR2VIDA123TM</t>
        </is>
      </c>
      <c r="B2654" t="inlineStr">
        <is>
          <t>SHORT R2 DAMA</t>
        </is>
      </c>
      <c r="C2654" t="inlineStr">
        <is>
          <t>Manufactura / Dama / P. Inferiores</t>
        </is>
      </c>
      <c r="D2654" t="n">
        <v>2</v>
      </c>
      <c r="E2654" t="n">
        <v>57</v>
      </c>
      <c r="F2654" t="n">
        <v>0.7566791980000001</v>
      </c>
      <c r="G2654" t="n">
        <v>2</v>
      </c>
      <c r="H2654" t="n">
        <v>13.86928571</v>
      </c>
      <c r="I2654" t="n">
        <v>0.2</v>
      </c>
      <c r="J2654" t="n">
        <v>0</v>
      </c>
      <c r="K2654" t="inlineStr"/>
    </row>
    <row r="2655">
      <c r="A2655" t="inlineStr">
        <is>
          <t>RIOMICA34TXL</t>
        </is>
      </c>
      <c r="B2655" t="inlineStr">
        <is>
          <t>RIO ORIGINAL CAB</t>
        </is>
      </c>
      <c r="C2655" t="inlineStr">
        <is>
          <t>Manufactura / Caballero / P. Superiores</t>
        </is>
      </c>
      <c r="D2655" t="n">
        <v>1</v>
      </c>
      <c r="E2655" t="n">
        <v>57</v>
      </c>
      <c r="F2655" t="n">
        <v>0.8958008721</v>
      </c>
      <c r="G2655" t="n">
        <v>0</v>
      </c>
      <c r="H2655" t="n">
        <v>5.939350288</v>
      </c>
      <c r="I2655" t="n">
        <v>0.1</v>
      </c>
      <c r="J2655" t="n">
        <v>0</v>
      </c>
      <c r="K2655" t="inlineStr">
        <is>
          <t>Sin stock</t>
        </is>
      </c>
    </row>
    <row r="2656">
      <c r="A2656" t="inlineStr">
        <is>
          <t>SHR2VICA70TL</t>
        </is>
      </c>
      <c r="B2656" t="inlineStr">
        <is>
          <t>SHORT R2 CAB</t>
        </is>
      </c>
      <c r="C2656" t="inlineStr">
        <is>
          <t>Manufactura / Dama / P. Inferiores</t>
        </is>
      </c>
      <c r="D2656" t="n">
        <v>1</v>
      </c>
      <c r="E2656" t="n">
        <v>57</v>
      </c>
      <c r="F2656" t="n">
        <v>0.84</v>
      </c>
      <c r="G2656" t="n">
        <v>1</v>
      </c>
      <c r="H2656" t="n">
        <v>9.119999999999999</v>
      </c>
      <c r="I2656" t="n">
        <v>0.1</v>
      </c>
      <c r="J2656" t="n">
        <v>0</v>
      </c>
      <c r="K2656" t="inlineStr"/>
    </row>
    <row r="2657">
      <c r="A2657" t="inlineStr">
        <is>
          <t>SHOUNKI57T12</t>
        </is>
      </c>
      <c r="B2657" t="inlineStr">
        <is>
          <t>SHORT PLAYA KIDS</t>
        </is>
      </c>
      <c r="C2657" t="inlineStr">
        <is>
          <t>Manufactura / Kids / P. Inferiores</t>
        </is>
      </c>
      <c r="D2657" t="n">
        <v>1</v>
      </c>
      <c r="E2657" t="n">
        <v>56.68227573</v>
      </c>
      <c r="F2657" t="n">
        <v>0.8925590068</v>
      </c>
      <c r="G2657" t="n">
        <v>0</v>
      </c>
      <c r="H2657" t="n">
        <v>6.09</v>
      </c>
      <c r="I2657" t="n">
        <v>0.1</v>
      </c>
      <c r="J2657" t="n">
        <v>4</v>
      </c>
      <c r="K2657" t="inlineStr">
        <is>
          <t>Sin stock</t>
        </is>
      </c>
    </row>
    <row r="2658">
      <c r="A2658" t="inlineStr">
        <is>
          <t>SHONRCA30T4XL</t>
        </is>
      </c>
      <c r="B2658" t="inlineStr">
        <is>
          <t>SHORT SPORT CAB</t>
        </is>
      </c>
      <c r="C2658" t="inlineStr">
        <is>
          <t>Manufactura / Caballero / P. Inferiores</t>
        </is>
      </c>
      <c r="D2658" t="n">
        <v>1</v>
      </c>
      <c r="E2658" t="n">
        <v>56.67444658</v>
      </c>
      <c r="F2658" t="n">
        <v>0.812059063</v>
      </c>
      <c r="G2658" t="n">
        <v>0</v>
      </c>
      <c r="H2658" t="n">
        <v>10.6514486</v>
      </c>
      <c r="I2658" t="n">
        <v>0.1</v>
      </c>
      <c r="J2658" t="n">
        <v>4</v>
      </c>
      <c r="K2658" t="inlineStr">
        <is>
          <t>Sin stock</t>
        </is>
      </c>
    </row>
    <row r="2659">
      <c r="A2659" t="inlineStr">
        <is>
          <t>MARMICA48T4XL</t>
        </is>
      </c>
      <c r="B2659" t="inlineStr">
        <is>
          <t>MAR ORIGINAL CAB</t>
        </is>
      </c>
      <c r="C2659" t="inlineStr">
        <is>
          <t>Manufactura / Caballero / P. Superiores</t>
        </is>
      </c>
      <c r="D2659" t="n">
        <v>1</v>
      </c>
      <c r="E2659" t="n">
        <v>56.53120882</v>
      </c>
      <c r="F2659" t="n">
        <v>0.9125021819</v>
      </c>
      <c r="G2659" t="n">
        <v>0</v>
      </c>
      <c r="H2659" t="n">
        <v>4.946357428</v>
      </c>
      <c r="I2659" t="n">
        <v>0.1</v>
      </c>
      <c r="J2659" t="n">
        <v>5</v>
      </c>
      <c r="K2659" t="inlineStr">
        <is>
          <t>Sin stock</t>
        </is>
      </c>
    </row>
    <row r="2660">
      <c r="A2660" t="inlineStr">
        <is>
          <t>MARMICA13T3XL</t>
        </is>
      </c>
      <c r="B2660" t="inlineStr">
        <is>
          <t>MAR ORIGINAL CAB</t>
        </is>
      </c>
      <c r="C2660" t="inlineStr">
        <is>
          <t>Manufactura / Caballero / P. Superiores</t>
        </is>
      </c>
      <c r="D2660" t="n">
        <v>1</v>
      </c>
      <c r="E2660" t="n">
        <v>56.48976944</v>
      </c>
      <c r="F2660" t="n">
        <v>0.9124379958</v>
      </c>
      <c r="G2660" t="n">
        <v>2</v>
      </c>
      <c r="H2660" t="n">
        <v>4.946357428</v>
      </c>
      <c r="I2660" t="n">
        <v>0.1</v>
      </c>
      <c r="J2660" t="n">
        <v>3</v>
      </c>
      <c r="K2660" t="inlineStr"/>
    </row>
    <row r="2661">
      <c r="A2661" t="inlineStr">
        <is>
          <t>CLAMIKI43T6</t>
        </is>
      </c>
      <c r="B2661" t="inlineStr">
        <is>
          <t>CLASICA ORIGINAL KIDS</t>
        </is>
      </c>
      <c r="C2661" t="inlineStr">
        <is>
          <t>Manufactura / Kids / P. Superiores</t>
        </is>
      </c>
      <c r="D2661" t="n">
        <v>2</v>
      </c>
      <c r="E2661" t="n">
        <v>56.38365946</v>
      </c>
      <c r="F2661" t="n">
        <v>0.9264972703000001</v>
      </c>
      <c r="G2661" t="n">
        <v>58</v>
      </c>
      <c r="H2661" t="n">
        <v>2.053774806</v>
      </c>
      <c r="I2661" t="n">
        <v>0.2</v>
      </c>
      <c r="J2661" t="n">
        <v>3</v>
      </c>
      <c r="K2661" t="inlineStr"/>
    </row>
    <row r="2662">
      <c r="A2662" t="inlineStr">
        <is>
          <t>ZOEMIKI01T6</t>
        </is>
      </c>
      <c r="B2662" t="inlineStr">
        <is>
          <t>ZOE ORIGINAL KIDS</t>
        </is>
      </c>
      <c r="C2662" t="inlineStr">
        <is>
          <t>Manufactura / Kids / P. Superiores</t>
        </is>
      </c>
      <c r="D2662" t="n">
        <v>1</v>
      </c>
      <c r="E2662" t="n">
        <v>56.34166104</v>
      </c>
      <c r="F2662" t="n">
        <v>0.9268747154</v>
      </c>
      <c r="G2662" t="n">
        <v>15</v>
      </c>
      <c r="H2662" t="n">
        <v>4.12</v>
      </c>
      <c r="I2662" t="n">
        <v>0.1</v>
      </c>
      <c r="J2662" t="n">
        <v>6</v>
      </c>
      <c r="K2662" t="inlineStr"/>
    </row>
    <row r="2663">
      <c r="A2663" t="inlineStr">
        <is>
          <t>CLAMICA12T3XL</t>
        </is>
      </c>
      <c r="B2663" t="inlineStr">
        <is>
          <t>CLASICA ORIGINAL CAB</t>
        </is>
      </c>
      <c r="C2663" t="inlineStr">
        <is>
          <t>Manufactura / Caballero / P. Superiores</t>
        </is>
      </c>
      <c r="D2663" t="n">
        <v>3</v>
      </c>
      <c r="E2663" t="n">
        <v>56.30650581</v>
      </c>
      <c r="F2663" t="n">
        <v>0.83578859015</v>
      </c>
      <c r="G2663" t="n">
        <v>0</v>
      </c>
      <c r="H2663" t="n">
        <v>4.598442536</v>
      </c>
      <c r="I2663" t="n">
        <v>0.3</v>
      </c>
      <c r="J2663" t="n">
        <v>3</v>
      </c>
      <c r="K2663" t="inlineStr">
        <is>
          <t>Sin stock</t>
        </is>
      </c>
    </row>
    <row r="2664">
      <c r="A2664" t="inlineStr">
        <is>
          <t>TOA43CL</t>
        </is>
      </c>
      <c r="B2664" t="inlineStr">
        <is>
          <t>TOALLA CLIP ORIGINAL</t>
        </is>
      </c>
      <c r="C2664" t="inlineStr">
        <is>
          <t>Equipamiento / Toallas</t>
        </is>
      </c>
      <c r="D2664" t="n">
        <v>3</v>
      </c>
      <c r="E2664" t="n">
        <v>55.94194071</v>
      </c>
      <c r="F2664" t="n">
        <v>0.7259362993666666</v>
      </c>
      <c r="G2664" t="n">
        <v>0</v>
      </c>
      <c r="H2664" t="n">
        <v>5.11</v>
      </c>
      <c r="I2664" t="n">
        <v>0.3</v>
      </c>
      <c r="J2664" t="n">
        <v>8</v>
      </c>
      <c r="K2664" t="inlineStr">
        <is>
          <t>Sin stock</t>
        </is>
      </c>
    </row>
    <row r="2665">
      <c r="A2665" t="inlineStr">
        <is>
          <t>DAMSTCA30TL</t>
        </is>
      </c>
      <c r="B2665" t="inlineStr">
        <is>
          <t>MANGA LARGA DAILY CAB</t>
        </is>
      </c>
      <c r="C2665" t="inlineStr">
        <is>
          <t>Manufactura / Caballero / P. Superiores</t>
        </is>
      </c>
      <c r="D2665" t="n">
        <v>1</v>
      </c>
      <c r="E2665" t="n">
        <v>55.8</v>
      </c>
      <c r="F2665" t="n">
        <v>0.747311828</v>
      </c>
      <c r="G2665" t="n">
        <v>0</v>
      </c>
      <c r="H2665" t="n">
        <v>14.1</v>
      </c>
      <c r="I2665" t="n">
        <v>0.1</v>
      </c>
      <c r="J2665" t="n">
        <v>1</v>
      </c>
      <c r="K2665" t="inlineStr">
        <is>
          <t>Sin stock</t>
        </is>
      </c>
    </row>
    <row r="2666">
      <c r="A2666" t="inlineStr">
        <is>
          <t>RIOMICA11T4XL</t>
        </is>
      </c>
      <c r="B2666" t="inlineStr">
        <is>
          <t>RIO ORIGINAL CAB</t>
        </is>
      </c>
      <c r="C2666" t="inlineStr">
        <is>
          <t>Manufactura / Caballero / P. Superiores</t>
        </is>
      </c>
      <c r="D2666" t="n">
        <v>1</v>
      </c>
      <c r="E2666" t="n">
        <v>55.78949464</v>
      </c>
      <c r="F2666" t="n">
        <v>0.8935399877</v>
      </c>
      <c r="G2666" t="n">
        <v>2</v>
      </c>
      <c r="H2666" t="n">
        <v>5.939350288</v>
      </c>
      <c r="I2666" t="n">
        <v>0.1</v>
      </c>
      <c r="J2666" t="n">
        <v>7</v>
      </c>
      <c r="K2666" t="inlineStr"/>
    </row>
    <row r="2667">
      <c r="A2667" t="inlineStr">
        <is>
          <t>HEA74EQ</t>
        </is>
      </c>
      <c r="B2667" t="inlineStr">
        <is>
          <t>HEADBAND</t>
        </is>
      </c>
      <c r="C2667" t="inlineStr">
        <is>
          <t>Equipamiento / Accesorios</t>
        </is>
      </c>
      <c r="D2667" t="n">
        <v>4</v>
      </c>
      <c r="E2667" t="n">
        <v>55.73170159999999</v>
      </c>
      <c r="F2667" t="n">
        <v>0.71432710955</v>
      </c>
      <c r="G2667" t="n">
        <v>13</v>
      </c>
      <c r="H2667" t="n">
        <v>4.26</v>
      </c>
      <c r="I2667" t="n">
        <v>0.4</v>
      </c>
      <c r="J2667" t="n">
        <v>2</v>
      </c>
      <c r="K2667" t="inlineStr"/>
    </row>
    <row r="2668">
      <c r="A2668" t="inlineStr">
        <is>
          <t>AVESTKI16T10</t>
        </is>
      </c>
      <c r="B2668" t="inlineStr">
        <is>
          <t>CLASICA RETRO KIDS</t>
        </is>
      </c>
      <c r="C2668" t="inlineStr">
        <is>
          <t>Manufactura / Dama / P. Superiores</t>
        </is>
      </c>
      <c r="D2668" t="n">
        <v>2</v>
      </c>
      <c r="E2668" t="n">
        <v>55.48998616</v>
      </c>
      <c r="F2668" t="n">
        <v>0.963929453</v>
      </c>
      <c r="G2668" t="n">
        <v>0</v>
      </c>
      <c r="H2668" t="n">
        <v>1</v>
      </c>
      <c r="I2668" t="n">
        <v>0.2</v>
      </c>
      <c r="J2668" t="n">
        <v>8</v>
      </c>
      <c r="K2668" t="inlineStr">
        <is>
          <t>Sin stock</t>
        </is>
      </c>
    </row>
    <row r="2669">
      <c r="A2669" t="inlineStr">
        <is>
          <t>TALGTADA170TXL</t>
        </is>
      </c>
      <c r="B2669" t="inlineStr">
        <is>
          <t>URBAN COTTON TOP GRAY BLOCK DAMA</t>
        </is>
      </c>
      <c r="C2669" t="inlineStr">
        <is>
          <t>Manufactura / Dama / P. Superiores</t>
        </is>
      </c>
      <c r="D2669" t="n">
        <v>1</v>
      </c>
      <c r="E2669" t="n">
        <v>55.30829213</v>
      </c>
      <c r="F2669" t="n">
        <v>0.858758601</v>
      </c>
      <c r="G2669" t="n">
        <v>1</v>
      </c>
      <c r="H2669" t="n">
        <v>7.811820557</v>
      </c>
      <c r="I2669" t="n">
        <v>0.1</v>
      </c>
      <c r="J2669" t="n">
        <v>7</v>
      </c>
      <c r="K2669" t="inlineStr"/>
    </row>
    <row r="2670">
      <c r="A2670" t="inlineStr">
        <is>
          <t>TALGOTADA12TL</t>
        </is>
      </c>
      <c r="B2670" t="inlineStr">
        <is>
          <t>URBAN COTTON TOP VINTAGE GRIS DAMA</t>
        </is>
      </c>
      <c r="C2670" t="inlineStr">
        <is>
          <t>Manufactura / Dama / P. Superiores</t>
        </is>
      </c>
      <c r="D2670" t="n">
        <v>2</v>
      </c>
      <c r="E2670" t="n">
        <v>55.30829213</v>
      </c>
      <c r="F2670" t="n">
        <v>0.8586275408</v>
      </c>
      <c r="G2670" t="n">
        <v>1</v>
      </c>
      <c r="H2670" t="n">
        <v>7.819069274</v>
      </c>
      <c r="I2670" t="n">
        <v>0.2</v>
      </c>
      <c r="J2670" t="n">
        <v>4</v>
      </c>
      <c r="K2670" t="inlineStr"/>
    </row>
    <row r="2671">
      <c r="A2671" t="inlineStr">
        <is>
          <t>RIOMICA30T3XL</t>
        </is>
      </c>
      <c r="B2671" t="inlineStr">
        <is>
          <t>RIO ORIGINAL CAB</t>
        </is>
      </c>
      <c r="C2671" t="inlineStr">
        <is>
          <t>Manufactura / Caballero / P. Superiores</t>
        </is>
      </c>
      <c r="D2671" t="n">
        <v>1</v>
      </c>
      <c r="E2671" t="n">
        <v>55.10531904</v>
      </c>
      <c r="F2671" t="n">
        <v>0.8922182034</v>
      </c>
      <c r="G2671" t="n">
        <v>1</v>
      </c>
      <c r="H2671" t="n">
        <v>5.939350288</v>
      </c>
      <c r="I2671" t="n">
        <v>0.1</v>
      </c>
      <c r="J2671" t="n">
        <v>7</v>
      </c>
      <c r="K2671" t="inlineStr"/>
    </row>
    <row r="2672">
      <c r="A2672" t="inlineStr">
        <is>
          <t>MANSPGE43TG</t>
        </is>
      </c>
      <c r="B2672" t="inlineStr">
        <is>
          <t>MANGAS SPORT</t>
        </is>
      </c>
      <c r="C2672" t="inlineStr">
        <is>
          <t>Manufactura / General</t>
        </is>
      </c>
      <c r="D2672" t="n">
        <v>4</v>
      </c>
      <c r="E2672" t="n">
        <v>55.07308123999999</v>
      </c>
      <c r="F2672" t="n">
        <v>0.94317919315</v>
      </c>
      <c r="G2672" t="n">
        <v>0</v>
      </c>
      <c r="H2672" t="n">
        <v>1</v>
      </c>
      <c r="I2672" t="n">
        <v>0.4</v>
      </c>
      <c r="J2672" t="n">
        <v>4</v>
      </c>
      <c r="K2672" t="inlineStr">
        <is>
          <t>Sin stock</t>
        </is>
      </c>
    </row>
    <row r="2673">
      <c r="A2673" t="inlineStr">
        <is>
          <t>MLAALDA170TM</t>
        </is>
      </c>
      <c r="B2673" t="inlineStr">
        <is>
          <t>MANGA LARGA ALGODON DAMA</t>
        </is>
      </c>
      <c r="C2673" t="inlineStr">
        <is>
          <t>Manufactura / Dama / P. Superiores</t>
        </is>
      </c>
      <c r="D2673" t="n">
        <v>1</v>
      </c>
      <c r="E2673" t="n">
        <v>55.06798014</v>
      </c>
      <c r="F2673" t="n">
        <v>0.7766397102</v>
      </c>
      <c r="G2673" t="n">
        <v>0</v>
      </c>
      <c r="H2673" t="n">
        <v>12.3</v>
      </c>
      <c r="I2673" t="n">
        <v>0.1</v>
      </c>
      <c r="J2673" t="n">
        <v>8</v>
      </c>
      <c r="K2673" t="inlineStr">
        <is>
          <t>Sin stock</t>
        </is>
      </c>
    </row>
    <row r="2674">
      <c r="A2674" t="inlineStr">
        <is>
          <t>CLAMEKI66T6</t>
        </is>
      </c>
      <c r="B2674" t="inlineStr">
        <is>
          <t>CLASICA SPORT KIDS</t>
        </is>
      </c>
      <c r="C2674" t="inlineStr">
        <is>
          <t>Manufactura / Kids / P. Superiores</t>
        </is>
      </c>
      <c r="D2674" t="n">
        <v>2</v>
      </c>
      <c r="E2674" t="n">
        <v>55.00287016</v>
      </c>
      <c r="F2674" t="n">
        <v>0.8555233840500001</v>
      </c>
      <c r="G2674" t="n">
        <v>3</v>
      </c>
      <c r="H2674" t="n">
        <v>3.97</v>
      </c>
      <c r="I2674" t="n">
        <v>0.2</v>
      </c>
      <c r="J2674" t="n">
        <v>3</v>
      </c>
      <c r="K2674" t="inlineStr"/>
    </row>
    <row r="2675">
      <c r="A2675" t="inlineStr">
        <is>
          <t>TMOFIDA12TXS</t>
        </is>
      </c>
      <c r="B2675" t="inlineStr">
        <is>
          <t>TOP MOVA</t>
        </is>
      </c>
      <c r="C2675" t="inlineStr">
        <is>
          <t>Manufactura / Dama / P. Superiores</t>
        </is>
      </c>
      <c r="D2675" t="n">
        <v>4</v>
      </c>
      <c r="E2675" t="n">
        <v>55</v>
      </c>
      <c r="F2675" t="n">
        <v>0.8192187812</v>
      </c>
      <c r="G2675" t="n">
        <v>26</v>
      </c>
      <c r="H2675" t="n">
        <v>9.942967033</v>
      </c>
      <c r="I2675" t="n">
        <v>0.4</v>
      </c>
      <c r="J2675" t="n">
        <v>0</v>
      </c>
      <c r="K2675" t="inlineStr"/>
    </row>
    <row r="2676">
      <c r="A2676" t="inlineStr">
        <is>
          <t>TMOFIDA09TM</t>
        </is>
      </c>
      <c r="B2676" t="inlineStr">
        <is>
          <t>TOP MOVA</t>
        </is>
      </c>
      <c r="C2676" t="inlineStr">
        <is>
          <t>Manufactura / Dama / P. Superiores</t>
        </is>
      </c>
      <c r="D2676" t="n">
        <v>1</v>
      </c>
      <c r="E2676" t="n">
        <v>55</v>
      </c>
      <c r="F2676" t="n">
        <v>0.8192187812</v>
      </c>
      <c r="G2676" t="n">
        <v>2</v>
      </c>
      <c r="H2676" t="n">
        <v>9.942967033</v>
      </c>
      <c r="I2676" t="n">
        <v>0.1</v>
      </c>
      <c r="J2676" t="n">
        <v>0</v>
      </c>
      <c r="K2676" t="inlineStr"/>
    </row>
    <row r="2677">
      <c r="A2677" t="inlineStr">
        <is>
          <t>SHONRCA43T4XL</t>
        </is>
      </c>
      <c r="B2677" t="inlineStr">
        <is>
          <t>SHORT SPORT CAB</t>
        </is>
      </c>
      <c r="C2677" t="inlineStr">
        <is>
          <t>Manufactura / Caballero / P. Inferiores</t>
        </is>
      </c>
      <c r="D2677" t="n">
        <v>1</v>
      </c>
      <c r="E2677" t="n">
        <v>54.9501129</v>
      </c>
      <c r="F2677" t="n">
        <v>0.8061614793</v>
      </c>
      <c r="G2677" t="n">
        <v>0</v>
      </c>
      <c r="H2677" t="n">
        <v>10.6514486</v>
      </c>
      <c r="I2677" t="n">
        <v>0.1</v>
      </c>
      <c r="J2677" t="n">
        <v>4</v>
      </c>
      <c r="K2677" t="inlineStr">
        <is>
          <t>Sin stock</t>
        </is>
      </c>
    </row>
    <row r="2678">
      <c r="A2678" t="inlineStr">
        <is>
          <t>POLPLCA50TS</t>
        </is>
      </c>
      <c r="B2678" t="inlineStr">
        <is>
          <t>CLASSIC POLO</t>
        </is>
      </c>
      <c r="C2678" t="inlineStr">
        <is>
          <t>Manufactura / Caballero / P. Superiores</t>
        </is>
      </c>
      <c r="D2678" t="n">
        <v>4</v>
      </c>
      <c r="E2678" t="n">
        <v>54.81642134</v>
      </c>
      <c r="F2678" t="n">
        <v>0.866098519</v>
      </c>
      <c r="G2678" t="n">
        <v>73</v>
      </c>
      <c r="H2678" t="n">
        <v>7.34</v>
      </c>
      <c r="I2678" t="n">
        <v>0.4</v>
      </c>
      <c r="J2678" t="n">
        <v>2</v>
      </c>
      <c r="K2678" t="inlineStr"/>
    </row>
    <row r="2679">
      <c r="A2679" t="inlineStr">
        <is>
          <t>MARMIDA31TM</t>
        </is>
      </c>
      <c r="B2679" t="inlineStr">
        <is>
          <t>MAR ORIGINAL DAMA</t>
        </is>
      </c>
      <c r="C2679" t="inlineStr">
        <is>
          <t>Manufactura / Dama / P. Superiores</t>
        </is>
      </c>
      <c r="D2679" t="n">
        <v>1</v>
      </c>
      <c r="E2679" t="n">
        <v>54.78960105</v>
      </c>
      <c r="F2679" t="n">
        <v>0.9219135736</v>
      </c>
      <c r="G2679" t="n">
        <v>0</v>
      </c>
      <c r="H2679" t="n">
        <v>4.278324149</v>
      </c>
      <c r="I2679" t="n">
        <v>0.1</v>
      </c>
      <c r="J2679" t="n">
        <v>5</v>
      </c>
      <c r="K2679" t="inlineStr">
        <is>
          <t>Sin stock</t>
        </is>
      </c>
    </row>
    <row r="2680">
      <c r="A2680" t="inlineStr">
        <is>
          <t>CLAMECA12TL</t>
        </is>
      </c>
      <c r="B2680" t="inlineStr">
        <is>
          <t>CLASICA SPORT CAB</t>
        </is>
      </c>
      <c r="C2680" t="inlineStr">
        <is>
          <t>Manufactura / Caballero / P. Superiores</t>
        </is>
      </c>
      <c r="D2680" t="n">
        <v>1</v>
      </c>
      <c r="E2680" t="n">
        <v>54.49820536</v>
      </c>
      <c r="F2680" t="n">
        <v>0.8109782638</v>
      </c>
      <c r="G2680" t="n">
        <v>0</v>
      </c>
      <c r="H2680" t="n">
        <v>10.3013454</v>
      </c>
      <c r="I2680" t="n">
        <v>0.1</v>
      </c>
      <c r="J2680" t="n">
        <v>2</v>
      </c>
      <c r="K2680" t="inlineStr">
        <is>
          <t>Sin stock</t>
        </is>
      </c>
    </row>
    <row r="2681">
      <c r="A2681" t="inlineStr">
        <is>
          <t>RIOMIDA05TXL</t>
        </is>
      </c>
      <c r="B2681" t="inlineStr">
        <is>
          <t>RIO ORIGINAL DAMA</t>
        </is>
      </c>
      <c r="C2681" t="inlineStr">
        <is>
          <t>Manufactura / Dama / P. Superiores</t>
        </is>
      </c>
      <c r="D2681" t="n">
        <v>1</v>
      </c>
      <c r="E2681" t="n">
        <v>54.4641472</v>
      </c>
      <c r="F2681" t="n">
        <v>0.8983031488</v>
      </c>
      <c r="G2681" t="n">
        <v>0</v>
      </c>
      <c r="H2681" t="n">
        <v>5.538832275</v>
      </c>
      <c r="I2681" t="n">
        <v>0.1</v>
      </c>
      <c r="J2681" t="n">
        <v>9</v>
      </c>
      <c r="K2681" t="inlineStr">
        <is>
          <t>Sin stock</t>
        </is>
      </c>
    </row>
    <row r="2682">
      <c r="A2682" t="inlineStr">
        <is>
          <t>MLAALDA170TL</t>
        </is>
      </c>
      <c r="B2682" t="inlineStr">
        <is>
          <t>MANGA LARGA ALGODON DAMA</t>
        </is>
      </c>
      <c r="C2682" t="inlineStr">
        <is>
          <t>Manufactura / Dama / P. Superiores</t>
        </is>
      </c>
      <c r="D2682" t="n">
        <v>1</v>
      </c>
      <c r="E2682" t="n">
        <v>54.19685745</v>
      </c>
      <c r="F2682" t="n">
        <v>0.7754429974333333</v>
      </c>
      <c r="G2682" t="n">
        <v>0</v>
      </c>
      <c r="H2682" t="n">
        <v>12.3</v>
      </c>
      <c r="I2682" t="n">
        <v>0.1</v>
      </c>
      <c r="J2682" t="n">
        <v>8</v>
      </c>
      <c r="K2682" t="inlineStr">
        <is>
          <t>Sin stock</t>
        </is>
      </c>
    </row>
    <row r="2683">
      <c r="A2683" t="inlineStr">
        <is>
          <t>DALSSTDA30TS</t>
        </is>
      </c>
      <c r="B2683" t="inlineStr">
        <is>
          <t>MANGA LARGA DAILY 2.0 DAMA</t>
        </is>
      </c>
      <c r="C2683" t="inlineStr">
        <is>
          <t>Manufactura / Dama / P. Superiores</t>
        </is>
      </c>
      <c r="D2683" t="n">
        <v>1</v>
      </c>
      <c r="E2683" t="n">
        <v>54.15107784</v>
      </c>
      <c r="F2683" t="n">
        <v>0.7728577068</v>
      </c>
      <c r="G2683" t="n">
        <v>2</v>
      </c>
      <c r="H2683" t="n">
        <v>12.3</v>
      </c>
      <c r="I2683" t="n">
        <v>0.1</v>
      </c>
      <c r="J2683" t="n">
        <v>9</v>
      </c>
      <c r="K2683" t="inlineStr"/>
    </row>
    <row r="2684">
      <c r="A2684" t="inlineStr">
        <is>
          <t>DAMSTDA43TM</t>
        </is>
      </c>
      <c r="B2684" t="inlineStr">
        <is>
          <t>MANGA LARGA DAILY DAMA</t>
        </is>
      </c>
      <c r="C2684" t="inlineStr">
        <is>
          <t>Manufactura / Dama / P. Superiores</t>
        </is>
      </c>
      <c r="D2684" t="n">
        <v>1</v>
      </c>
      <c r="E2684" t="n">
        <v>54.15107784</v>
      </c>
      <c r="F2684" t="n">
        <v>0.7728577068</v>
      </c>
      <c r="G2684" t="n">
        <v>0</v>
      </c>
      <c r="H2684" t="n">
        <v>12.3</v>
      </c>
      <c r="I2684" t="n">
        <v>0.1</v>
      </c>
      <c r="J2684" t="n">
        <v>9</v>
      </c>
      <c r="K2684" t="inlineStr">
        <is>
          <t>Sin stock</t>
        </is>
      </c>
    </row>
    <row r="2685">
      <c r="A2685" t="inlineStr">
        <is>
          <t>ANTIVIBRADOR</t>
        </is>
      </c>
      <c r="B2685" t="inlineStr">
        <is>
          <t>ANTIVIBRADOR</t>
        </is>
      </c>
      <c r="C2685" t="inlineStr">
        <is>
          <t>Equipamiento / Accesorios</t>
        </is>
      </c>
      <c r="D2685" t="n">
        <v>5</v>
      </c>
      <c r="E2685" t="n">
        <v>54.070707752</v>
      </c>
      <c r="F2685" t="n">
        <v>0.55120172666</v>
      </c>
      <c r="G2685" t="n">
        <v>10</v>
      </c>
      <c r="H2685" t="n">
        <v>4.66</v>
      </c>
      <c r="I2685" t="n">
        <v>0.5</v>
      </c>
      <c r="J2685" t="n">
        <v>3</v>
      </c>
      <c r="K2685" t="inlineStr"/>
    </row>
    <row r="2686">
      <c r="A2686" t="inlineStr">
        <is>
          <t>TALGTADA166TL</t>
        </is>
      </c>
      <c r="B2686" t="inlineStr">
        <is>
          <t>URBAN COTTON TOP SAY YES DAMA</t>
        </is>
      </c>
      <c r="C2686" t="inlineStr">
        <is>
          <t>Manufactura / Dama / P. Superiores</t>
        </is>
      </c>
      <c r="D2686" t="n">
        <v>1</v>
      </c>
      <c r="E2686" t="n">
        <v>54.02281623</v>
      </c>
      <c r="F2686" t="n">
        <v>0.8770892785</v>
      </c>
      <c r="G2686" t="n">
        <v>1</v>
      </c>
      <c r="H2686" t="n">
        <v>6.639983317</v>
      </c>
      <c r="I2686" t="n">
        <v>0.1</v>
      </c>
      <c r="J2686" t="n">
        <v>2</v>
      </c>
      <c r="K2686" t="inlineStr"/>
    </row>
    <row r="2687">
      <c r="A2687" t="inlineStr">
        <is>
          <t>DALSTDA30TL</t>
        </is>
      </c>
      <c r="B2687" t="inlineStr">
        <is>
          <t>CLASICA DAILY 2.0 DAMA</t>
        </is>
      </c>
      <c r="C2687" t="inlineStr">
        <is>
          <t>Manufactura / Dama / P. Superiores</t>
        </is>
      </c>
      <c r="D2687" t="n">
        <v>1</v>
      </c>
      <c r="E2687" t="n">
        <v>54</v>
      </c>
      <c r="F2687" t="n">
        <v>0.8144444444</v>
      </c>
      <c r="G2687" t="n">
        <v>2</v>
      </c>
      <c r="H2687" t="n">
        <v>10.02</v>
      </c>
      <c r="I2687" t="n">
        <v>0.1</v>
      </c>
      <c r="J2687" t="n">
        <v>0</v>
      </c>
      <c r="K2687" t="inlineStr"/>
    </row>
    <row r="2688">
      <c r="A2688" t="inlineStr">
        <is>
          <t>SHR2VICA43TS</t>
        </is>
      </c>
      <c r="B2688" t="inlineStr">
        <is>
          <t>SHORT R2 CAB</t>
        </is>
      </c>
      <c r="C2688" t="inlineStr">
        <is>
          <t>Manufactura / Dama / P. Inferiores</t>
        </is>
      </c>
      <c r="D2688" t="n">
        <v>1</v>
      </c>
      <c r="E2688" t="n">
        <v>53.76999802</v>
      </c>
      <c r="F2688" t="n">
        <v>0.8303886863</v>
      </c>
      <c r="G2688" t="n">
        <v>1</v>
      </c>
      <c r="H2688" t="n">
        <v>9.119999999999999</v>
      </c>
      <c r="I2688" t="n">
        <v>0.1</v>
      </c>
      <c r="J2688" t="n">
        <v>2</v>
      </c>
      <c r="K2688" t="inlineStr"/>
    </row>
    <row r="2689">
      <c r="A2689" t="inlineStr">
        <is>
          <t>SABMEDA51TL</t>
        </is>
      </c>
      <c r="B2689" t="inlineStr">
        <is>
          <t>SABRI SPORT DAMA</t>
        </is>
      </c>
      <c r="C2689" t="inlineStr">
        <is>
          <t>Manufactura / Dama / P. Superiores</t>
        </is>
      </c>
      <c r="D2689" t="n">
        <v>2</v>
      </c>
      <c r="E2689" t="n">
        <v>53.75863557</v>
      </c>
      <c r="F2689" t="n">
        <v>0.8321110416999999</v>
      </c>
      <c r="G2689" t="n">
        <v>0</v>
      </c>
      <c r="H2689" t="n">
        <v>4.51</v>
      </c>
      <c r="I2689" t="n">
        <v>0.2</v>
      </c>
      <c r="J2689" t="n">
        <v>7</v>
      </c>
      <c r="K2689" t="inlineStr">
        <is>
          <t>Sin stock</t>
        </is>
      </c>
    </row>
    <row r="2690">
      <c r="A2690" t="inlineStr">
        <is>
          <t>CLAMIKI05T14</t>
        </is>
      </c>
      <c r="B2690" t="inlineStr">
        <is>
          <t>CLASICA ORIGINAL KIDS</t>
        </is>
      </c>
      <c r="C2690" t="inlineStr">
        <is>
          <t>Manufactura / Kids / P. Superiores</t>
        </is>
      </c>
      <c r="D2690" t="n">
        <v>2</v>
      </c>
      <c r="E2690" t="n">
        <v>53.61803386</v>
      </c>
      <c r="F2690" t="n">
        <v>0.9233895595999999</v>
      </c>
      <c r="G2690" t="n">
        <v>0</v>
      </c>
      <c r="H2690" t="n">
        <v>2.053774806</v>
      </c>
      <c r="I2690" t="n">
        <v>0.2</v>
      </c>
      <c r="J2690" t="n">
        <v>8</v>
      </c>
      <c r="K2690" t="inlineStr">
        <is>
          <t>Sin stock</t>
        </is>
      </c>
    </row>
    <row r="2691">
      <c r="A2691" t="inlineStr">
        <is>
          <t>CLAMIKI48T1</t>
        </is>
      </c>
      <c r="B2691" t="inlineStr">
        <is>
          <t>CLASICA ORIGINAL KIDS</t>
        </is>
      </c>
      <c r="C2691" t="inlineStr">
        <is>
          <t>Manufactura / Kids / P. Superiores</t>
        </is>
      </c>
      <c r="D2691" t="n">
        <v>2</v>
      </c>
      <c r="E2691" t="n">
        <v>53.55427864</v>
      </c>
      <c r="F2691" t="n">
        <v>0.9231914130000001</v>
      </c>
      <c r="G2691" t="n">
        <v>0</v>
      </c>
      <c r="H2691" t="n">
        <v>2.053774806</v>
      </c>
      <c r="I2691" t="n">
        <v>0.2</v>
      </c>
      <c r="J2691" t="n">
        <v>7</v>
      </c>
      <c r="K2691" t="inlineStr">
        <is>
          <t>Sin stock</t>
        </is>
      </c>
    </row>
    <row r="2692">
      <c r="A2692" t="inlineStr">
        <is>
          <t>MARMICA34T4XL</t>
        </is>
      </c>
      <c r="B2692" t="inlineStr">
        <is>
          <t>MAR ORIGINAL CAB</t>
        </is>
      </c>
      <c r="C2692" t="inlineStr">
        <is>
          <t>Manufactura / Caballero / P. Superiores</t>
        </is>
      </c>
      <c r="D2692" t="n">
        <v>1</v>
      </c>
      <c r="E2692" t="n">
        <v>53.49548341</v>
      </c>
      <c r="F2692" t="n">
        <v>0.907536915</v>
      </c>
      <c r="G2692" t="n">
        <v>0</v>
      </c>
      <c r="H2692" t="n">
        <v>4.946357428</v>
      </c>
      <c r="I2692" t="n">
        <v>0.1</v>
      </c>
      <c r="J2692" t="n">
        <v>5</v>
      </c>
      <c r="K2692" t="inlineStr">
        <is>
          <t>Sin stock</t>
        </is>
      </c>
    </row>
    <row r="2693">
      <c r="A2693" t="inlineStr">
        <is>
          <t>SRR2VIU123TL</t>
        </is>
      </c>
      <c r="B2693" t="inlineStr">
        <is>
          <t>R2 RUNNING 3,5"</t>
        </is>
      </c>
      <c r="C2693" t="inlineStr">
        <is>
          <t>Manufactura / General</t>
        </is>
      </c>
      <c r="D2693" t="n">
        <v>1</v>
      </c>
      <c r="E2693" t="n">
        <v>53.45</v>
      </c>
      <c r="F2693" t="n">
        <v>0.8841908326</v>
      </c>
      <c r="G2693" t="n">
        <v>6</v>
      </c>
      <c r="H2693" t="n">
        <v>6.19</v>
      </c>
      <c r="I2693" t="n">
        <v>0.1</v>
      </c>
      <c r="J2693" t="n">
        <v>0</v>
      </c>
      <c r="K2693" t="inlineStr"/>
    </row>
    <row r="2694">
      <c r="A2694" t="inlineStr">
        <is>
          <t>SRR2VIU123TXS</t>
        </is>
      </c>
      <c r="B2694" t="inlineStr">
        <is>
          <t>R2 RUNNING 3,5"</t>
        </is>
      </c>
      <c r="C2694" t="inlineStr">
        <is>
          <t>Manufactura / General</t>
        </is>
      </c>
      <c r="D2694" t="n">
        <v>1</v>
      </c>
      <c r="E2694" t="n">
        <v>53.45</v>
      </c>
      <c r="F2694" t="n">
        <v>0.8841908326</v>
      </c>
      <c r="G2694" t="n">
        <v>1</v>
      </c>
      <c r="H2694" t="n">
        <v>6.19</v>
      </c>
      <c r="I2694" t="n">
        <v>0.1</v>
      </c>
      <c r="J2694" t="n">
        <v>0</v>
      </c>
      <c r="K2694" t="inlineStr"/>
    </row>
    <row r="2695">
      <c r="A2695" t="inlineStr">
        <is>
          <t>SSR2VIU66TXL</t>
        </is>
      </c>
      <c r="B2695" t="inlineStr">
        <is>
          <t>R2 SPORT  5"</t>
        </is>
      </c>
      <c r="C2695" t="inlineStr">
        <is>
          <t>Manufactura / General</t>
        </is>
      </c>
      <c r="D2695" t="n">
        <v>1</v>
      </c>
      <c r="E2695" t="n">
        <v>53.45</v>
      </c>
      <c r="F2695" t="n">
        <v>0.9047708138</v>
      </c>
      <c r="G2695" t="n">
        <v>14</v>
      </c>
      <c r="H2695" t="n">
        <v>5.09</v>
      </c>
      <c r="I2695" t="n">
        <v>0.1</v>
      </c>
      <c r="J2695" t="n">
        <v>1</v>
      </c>
      <c r="K2695" t="inlineStr"/>
    </row>
    <row r="2696">
      <c r="A2696" t="inlineStr">
        <is>
          <t>SSR2VIU70TXL</t>
        </is>
      </c>
      <c r="B2696" t="inlineStr">
        <is>
          <t>R2 SPORT  5"</t>
        </is>
      </c>
      <c r="C2696" t="inlineStr">
        <is>
          <t>Manufactura / General</t>
        </is>
      </c>
      <c r="D2696" t="n">
        <v>1</v>
      </c>
      <c r="E2696" t="n">
        <v>53.45</v>
      </c>
      <c r="F2696" t="n">
        <v>0.9047708138</v>
      </c>
      <c r="G2696" t="n">
        <v>1</v>
      </c>
      <c r="H2696" t="n">
        <v>5.09</v>
      </c>
      <c r="I2696" t="n">
        <v>0.1</v>
      </c>
      <c r="J2696" t="n">
        <v>1</v>
      </c>
      <c r="K2696" t="inlineStr"/>
    </row>
    <row r="2697">
      <c r="A2697" t="inlineStr">
        <is>
          <t>SRR2VIU43TXS</t>
        </is>
      </c>
      <c r="B2697" t="inlineStr">
        <is>
          <t>R2 RUNNING 3,5"</t>
        </is>
      </c>
      <c r="C2697" t="inlineStr">
        <is>
          <t>Manufactura / General</t>
        </is>
      </c>
      <c r="D2697" t="n">
        <v>1</v>
      </c>
      <c r="E2697" t="n">
        <v>53.45</v>
      </c>
      <c r="F2697" t="n">
        <v>0.8841908326</v>
      </c>
      <c r="G2697" t="n">
        <v>1</v>
      </c>
      <c r="H2697" t="n">
        <v>6.19</v>
      </c>
      <c r="I2697" t="n">
        <v>0.1</v>
      </c>
      <c r="J2697" t="n">
        <v>0</v>
      </c>
      <c r="K2697" t="inlineStr"/>
    </row>
    <row r="2698">
      <c r="A2698" t="inlineStr">
        <is>
          <t>SSR2VIU66TS</t>
        </is>
      </c>
      <c r="B2698" t="inlineStr">
        <is>
          <t>R2 SPORT  5"</t>
        </is>
      </c>
      <c r="C2698" t="inlineStr">
        <is>
          <t>Manufactura / General</t>
        </is>
      </c>
      <c r="D2698" t="n">
        <v>2</v>
      </c>
      <c r="E2698" t="n">
        <v>53.45</v>
      </c>
      <c r="F2698" t="n">
        <v>0.9047708138</v>
      </c>
      <c r="G2698" t="n">
        <v>16</v>
      </c>
      <c r="H2698" t="n">
        <v>5.09</v>
      </c>
      <c r="I2698" t="n">
        <v>0.2</v>
      </c>
      <c r="J2698" t="n">
        <v>0</v>
      </c>
      <c r="K2698" t="inlineStr"/>
    </row>
    <row r="2699">
      <c r="A2699" t="inlineStr">
        <is>
          <t>SSR2VIU70TL</t>
        </is>
      </c>
      <c r="B2699" t="inlineStr">
        <is>
          <t>R2 SPORT  5"</t>
        </is>
      </c>
      <c r="C2699" t="inlineStr">
        <is>
          <t>Manufactura / General</t>
        </is>
      </c>
      <c r="D2699" t="n">
        <v>1</v>
      </c>
      <c r="E2699" t="n">
        <v>53.45</v>
      </c>
      <c r="F2699" t="n">
        <v>0.9047708138</v>
      </c>
      <c r="G2699" t="n">
        <v>2</v>
      </c>
      <c r="H2699" t="n">
        <v>5.09</v>
      </c>
      <c r="I2699" t="n">
        <v>0.1</v>
      </c>
      <c r="J2699" t="n">
        <v>1</v>
      </c>
      <c r="K2699" t="inlineStr"/>
    </row>
    <row r="2700">
      <c r="A2700" t="inlineStr">
        <is>
          <t>SRR2VIU13TM</t>
        </is>
      </c>
      <c r="B2700" t="inlineStr">
        <is>
          <t>R2 RUNNING 3,5"</t>
        </is>
      </c>
      <c r="C2700" t="inlineStr">
        <is>
          <t>Manufactura / General</t>
        </is>
      </c>
      <c r="D2700" t="n">
        <v>1</v>
      </c>
      <c r="E2700" t="n">
        <v>53.45</v>
      </c>
      <c r="F2700" t="n">
        <v>0.8841908326</v>
      </c>
      <c r="G2700" t="n">
        <v>2</v>
      </c>
      <c r="H2700" t="n">
        <v>6.19</v>
      </c>
      <c r="I2700" t="n">
        <v>0.1</v>
      </c>
      <c r="J2700" t="n">
        <v>0</v>
      </c>
      <c r="K2700" t="inlineStr"/>
    </row>
    <row r="2701">
      <c r="A2701" t="inlineStr">
        <is>
          <t>OVEFTGE43TL</t>
        </is>
      </c>
      <c r="B2701" t="inlineStr">
        <is>
          <t>UNIHOODIE</t>
        </is>
      </c>
      <c r="C2701" t="inlineStr">
        <is>
          <t>Manufactura / General</t>
        </is>
      </c>
      <c r="D2701" t="n">
        <v>1</v>
      </c>
      <c r="E2701" t="n">
        <v>53.22917854</v>
      </c>
      <c r="F2701" t="n">
        <v>0.6191938227</v>
      </c>
      <c r="G2701" t="n">
        <v>0</v>
      </c>
      <c r="H2701" t="n">
        <v>20.27</v>
      </c>
      <c r="I2701" t="n">
        <v>0.1</v>
      </c>
      <c r="J2701" t="n">
        <v>8</v>
      </c>
      <c r="K2701" t="inlineStr">
        <is>
          <t>Sin stock</t>
        </is>
      </c>
    </row>
    <row r="2702">
      <c r="A2702" t="inlineStr">
        <is>
          <t>ZOEMIDA50TXL</t>
        </is>
      </c>
      <c r="B2702" t="inlineStr">
        <is>
          <t>ZOE ORIGINAL DAMA</t>
        </is>
      </c>
      <c r="C2702" t="inlineStr">
        <is>
          <t>Manufactura / Dama / P. Superiores</t>
        </is>
      </c>
      <c r="D2702" t="n">
        <v>1</v>
      </c>
      <c r="E2702" t="n">
        <v>53.17171376</v>
      </c>
      <c r="F2702" t="n">
        <v>0.9225794054000001</v>
      </c>
      <c r="G2702" t="n">
        <v>0</v>
      </c>
      <c r="H2702" t="n">
        <v>4.116585696</v>
      </c>
      <c r="I2702" t="n">
        <v>0.1</v>
      </c>
      <c r="J2702" t="n">
        <v>4</v>
      </c>
      <c r="K2702" t="inlineStr">
        <is>
          <t>Sin stock</t>
        </is>
      </c>
    </row>
    <row r="2703">
      <c r="A2703" t="inlineStr">
        <is>
          <t>DACSTCA43T2XL</t>
        </is>
      </c>
      <c r="B2703" t="inlineStr">
        <is>
          <t>CLASICA DAILY CAB</t>
        </is>
      </c>
      <c r="C2703" t="inlineStr">
        <is>
          <t>Manufactura / Caballero / P. Superiores</t>
        </is>
      </c>
      <c r="D2703" t="n">
        <v>1</v>
      </c>
      <c r="E2703" t="n">
        <v>53.02118126</v>
      </c>
      <c r="F2703" t="n">
        <v>0.8251642121</v>
      </c>
      <c r="G2703" t="n">
        <v>0</v>
      </c>
      <c r="H2703" t="n">
        <v>9.27</v>
      </c>
      <c r="I2703" t="n">
        <v>0.1</v>
      </c>
      <c r="J2703" t="n">
        <v>5</v>
      </c>
      <c r="K2703" t="inlineStr">
        <is>
          <t>Sin stock</t>
        </is>
      </c>
    </row>
    <row r="2704">
      <c r="A2704" t="inlineStr">
        <is>
          <t>SHOUNCA68TXL</t>
        </is>
      </c>
      <c r="B2704" t="inlineStr">
        <is>
          <t>SHORT PLAYA CAB</t>
        </is>
      </c>
      <c r="C2704" t="inlineStr">
        <is>
          <t>Manufactura / Caballero / P. Inferiores</t>
        </is>
      </c>
      <c r="D2704" t="n">
        <v>1</v>
      </c>
      <c r="E2704" t="n">
        <v>53.00001029507543</v>
      </c>
      <c r="F2704" t="n">
        <v>0.8115094706</v>
      </c>
      <c r="G2704" t="n">
        <v>0</v>
      </c>
      <c r="H2704" t="n">
        <v>9.99</v>
      </c>
      <c r="I2704" t="n">
        <v>0.1</v>
      </c>
      <c r="J2704" t="n">
        <v>1</v>
      </c>
      <c r="K2704" t="inlineStr">
        <is>
          <t>Sin stock</t>
        </is>
      </c>
    </row>
    <row r="2705">
      <c r="A2705" t="inlineStr">
        <is>
          <t>PANNTKI33T6</t>
        </is>
      </c>
      <c r="B2705" t="inlineStr">
        <is>
          <t>EXPLORE PANTS KIDS</t>
        </is>
      </c>
      <c r="C2705" t="inlineStr">
        <is>
          <t>Manufactura / Kids / P. Inferiores</t>
        </is>
      </c>
      <c r="D2705" t="n">
        <v>3</v>
      </c>
      <c r="E2705" t="n">
        <v>53</v>
      </c>
      <c r="F2705" t="n">
        <v>0.7362264151</v>
      </c>
      <c r="G2705" t="n">
        <v>16</v>
      </c>
      <c r="H2705" t="n">
        <v>13.98</v>
      </c>
      <c r="I2705" t="n">
        <v>0.3</v>
      </c>
      <c r="J2705" t="n">
        <v>0</v>
      </c>
      <c r="K2705" t="inlineStr"/>
    </row>
    <row r="2706">
      <c r="A2706" t="inlineStr">
        <is>
          <t>RIOMICA13T3XL</t>
        </is>
      </c>
      <c r="B2706" t="inlineStr">
        <is>
          <t>RIO ORIGINAL CAB</t>
        </is>
      </c>
      <c r="C2706" t="inlineStr">
        <is>
          <t>Manufactura / Caballero / P. Superiores</t>
        </is>
      </c>
      <c r="D2706" t="n">
        <v>1</v>
      </c>
      <c r="E2706" t="n">
        <v>52.61221996</v>
      </c>
      <c r="F2706" t="n">
        <v>0.8871108215</v>
      </c>
      <c r="G2706" t="n">
        <v>1</v>
      </c>
      <c r="H2706" t="n">
        <v>5.939350288</v>
      </c>
      <c r="I2706" t="n">
        <v>0.1</v>
      </c>
      <c r="J2706" t="n">
        <v>5</v>
      </c>
      <c r="K2706" t="inlineStr"/>
    </row>
    <row r="2707">
      <c r="A2707" t="inlineStr">
        <is>
          <t>SHOUNCA01TXL</t>
        </is>
      </c>
      <c r="B2707" t="inlineStr">
        <is>
          <t>SHORT PLAYA CAB</t>
        </is>
      </c>
      <c r="C2707" t="inlineStr">
        <is>
          <t>Manufactura / Caballero / P. Inferiores</t>
        </is>
      </c>
      <c r="D2707" t="n">
        <v>1</v>
      </c>
      <c r="E2707" t="n">
        <v>52.43441617</v>
      </c>
      <c r="F2707" t="n">
        <v>0.8094762805</v>
      </c>
      <c r="G2707" t="n">
        <v>0</v>
      </c>
      <c r="H2707" t="n">
        <v>9.99</v>
      </c>
      <c r="I2707" t="n">
        <v>0.1</v>
      </c>
      <c r="J2707" t="n">
        <v>7</v>
      </c>
      <c r="K2707" t="inlineStr">
        <is>
          <t>Sin stock</t>
        </is>
      </c>
    </row>
    <row r="2708">
      <c r="A2708" t="inlineStr">
        <is>
          <t>SHOUNCA50TXL</t>
        </is>
      </c>
      <c r="B2708" t="inlineStr">
        <is>
          <t>SHORT PLAYA CAB</t>
        </is>
      </c>
      <c r="C2708" t="inlineStr">
        <is>
          <t>Manufactura / Caballero / P. Inferiores</t>
        </is>
      </c>
      <c r="D2708" t="n">
        <v>1</v>
      </c>
      <c r="E2708" t="n">
        <v>52.43441617</v>
      </c>
      <c r="F2708" t="n">
        <v>0.8094762805</v>
      </c>
      <c r="G2708" t="n">
        <v>0</v>
      </c>
      <c r="H2708" t="n">
        <v>9.99</v>
      </c>
      <c r="I2708" t="n">
        <v>0.1</v>
      </c>
      <c r="J2708" t="n">
        <v>7</v>
      </c>
      <c r="K2708" t="inlineStr">
        <is>
          <t>Sin stock</t>
        </is>
      </c>
    </row>
    <row r="2709">
      <c r="A2709" t="inlineStr">
        <is>
          <t>DALSTDA16TXL</t>
        </is>
      </c>
      <c r="B2709" t="inlineStr">
        <is>
          <t>CLASICA DAILY 2.0 DAMA</t>
        </is>
      </c>
      <c r="C2709" t="inlineStr">
        <is>
          <t>Manufactura / Dama / P. Superiores</t>
        </is>
      </c>
      <c r="D2709" t="n">
        <v>1</v>
      </c>
      <c r="E2709" t="n">
        <v>52.36968971</v>
      </c>
      <c r="F2709" t="n">
        <v>0.8086679517000001</v>
      </c>
      <c r="G2709" t="n">
        <v>2</v>
      </c>
      <c r="H2709" t="n">
        <v>10.02</v>
      </c>
      <c r="I2709" t="n">
        <v>0.1</v>
      </c>
      <c r="J2709" t="n">
        <v>5</v>
      </c>
      <c r="K2709" t="inlineStr"/>
    </row>
    <row r="2710">
      <c r="A2710" t="inlineStr">
        <is>
          <t>RIOMICA09TXL</t>
        </is>
      </c>
      <c r="B2710" t="inlineStr">
        <is>
          <t>RIO ORIGINAL CAB</t>
        </is>
      </c>
      <c r="C2710" t="inlineStr">
        <is>
          <t>Manufactura / Caballero / P. Superiores</t>
        </is>
      </c>
      <c r="D2710" t="n">
        <v>1</v>
      </c>
      <c r="E2710" t="n">
        <v>52.21714621</v>
      </c>
      <c r="F2710" t="n">
        <v>0.8862567045999999</v>
      </c>
      <c r="G2710" t="n">
        <v>0</v>
      </c>
      <c r="H2710" t="n">
        <v>5.939350288</v>
      </c>
      <c r="I2710" t="n">
        <v>0.1</v>
      </c>
      <c r="J2710" t="n">
        <v>9</v>
      </c>
      <c r="K2710" t="inlineStr">
        <is>
          <t>Sin stock</t>
        </is>
      </c>
    </row>
    <row r="2711">
      <c r="A2711" t="inlineStr">
        <is>
          <t>RIOMICA24TL</t>
        </is>
      </c>
      <c r="B2711" t="inlineStr">
        <is>
          <t>RIO ORIGINAL CAB</t>
        </is>
      </c>
      <c r="C2711" t="inlineStr">
        <is>
          <t>Manufactura / Caballero / P. Superiores</t>
        </is>
      </c>
      <c r="D2711" t="n">
        <v>1</v>
      </c>
      <c r="E2711" t="n">
        <v>52.21714621</v>
      </c>
      <c r="F2711" t="n">
        <v>0.8862567045999999</v>
      </c>
      <c r="G2711" t="n">
        <v>0</v>
      </c>
      <c r="H2711" t="n">
        <v>5.939350288</v>
      </c>
      <c r="I2711" t="n">
        <v>0.1</v>
      </c>
      <c r="J2711" t="n">
        <v>9</v>
      </c>
      <c r="K2711" t="inlineStr">
        <is>
          <t>Sin stock</t>
        </is>
      </c>
    </row>
    <row r="2712">
      <c r="A2712" t="inlineStr">
        <is>
          <t>VIVMIDA12TXS</t>
        </is>
      </c>
      <c r="B2712" t="inlineStr">
        <is>
          <t>VIVI ORIGINAL DAMA</t>
        </is>
      </c>
      <c r="C2712" t="inlineStr">
        <is>
          <t>Manufactura / Dama / P. Superiores</t>
        </is>
      </c>
      <c r="D2712" t="n">
        <v>4</v>
      </c>
      <c r="E2712" t="n">
        <v>52.09052981000001</v>
      </c>
      <c r="F2712" t="n">
        <v>0.8337555077500001</v>
      </c>
      <c r="G2712" t="n">
        <v>1</v>
      </c>
      <c r="H2712" t="n">
        <v>4.303181706</v>
      </c>
      <c r="I2712" t="n">
        <v>0.4</v>
      </c>
      <c r="J2712" t="n">
        <v>0</v>
      </c>
      <c r="K2712" t="inlineStr"/>
    </row>
    <row r="2713">
      <c r="A2713" t="inlineStr">
        <is>
          <t>OVEFTGE31TXL</t>
        </is>
      </c>
      <c r="B2713" t="inlineStr">
        <is>
          <t>UNIHOODIE</t>
        </is>
      </c>
      <c r="C2713" t="inlineStr">
        <is>
          <t>Manufactura / General</t>
        </is>
      </c>
      <c r="D2713" t="n">
        <v>2</v>
      </c>
      <c r="E2713" t="n">
        <v>52.06772406</v>
      </c>
      <c r="F2713" t="n">
        <v>0.6106993273</v>
      </c>
      <c r="G2713" t="n">
        <v>3</v>
      </c>
      <c r="H2713" t="n">
        <v>20.27</v>
      </c>
      <c r="I2713" t="n">
        <v>0.2</v>
      </c>
      <c r="J2713" t="n">
        <v>7</v>
      </c>
      <c r="K2713" t="inlineStr"/>
    </row>
    <row r="2714">
      <c r="A2714" t="inlineStr">
        <is>
          <t>PETMIPE09TS</t>
        </is>
      </c>
      <c r="B2714" t="inlineStr">
        <is>
          <t>BANDANA PET</t>
        </is>
      </c>
      <c r="C2714" t="inlineStr">
        <is>
          <t>Manufactura / General</t>
        </is>
      </c>
      <c r="D2714" t="n">
        <v>9</v>
      </c>
      <c r="E2714" t="n">
        <v>52.035239075</v>
      </c>
      <c r="F2714" t="n">
        <v>0.9673359538599999</v>
      </c>
      <c r="G2714" t="n">
        <v>4</v>
      </c>
      <c r="H2714" t="n">
        <v>0.3252662283</v>
      </c>
      <c r="I2714" t="n">
        <v>0.9</v>
      </c>
      <c r="J2714" t="n">
        <v>0</v>
      </c>
      <c r="K2714" t="inlineStr"/>
    </row>
    <row r="2715">
      <c r="A2715" t="inlineStr">
        <is>
          <t>MANMIGE66TG</t>
        </is>
      </c>
      <c r="B2715" t="inlineStr">
        <is>
          <t>MANGAS GENERAL</t>
        </is>
      </c>
      <c r="C2715" t="inlineStr">
        <is>
          <t>Manufactura / General</t>
        </is>
      </c>
      <c r="D2715" t="n">
        <v>3</v>
      </c>
      <c r="E2715" t="n">
        <v>51.98985471</v>
      </c>
      <c r="F2715" t="n">
        <v>0.9448376348333333</v>
      </c>
      <c r="G2715" t="n">
        <v>2</v>
      </c>
      <c r="H2715" t="n">
        <v>0.92</v>
      </c>
      <c r="I2715" t="n">
        <v>0.3</v>
      </c>
      <c r="J2715" t="n">
        <v>5</v>
      </c>
      <c r="K2715" t="inlineStr"/>
    </row>
    <row r="2716">
      <c r="A2716" t="inlineStr">
        <is>
          <t>DAMSTDA16TM</t>
        </is>
      </c>
      <c r="B2716" t="inlineStr">
        <is>
          <t>MANGA LARGA DAILY DAMA</t>
        </is>
      </c>
      <c r="C2716" t="inlineStr">
        <is>
          <t>Manufactura / Dama / P. Superiores</t>
        </is>
      </c>
      <c r="D2716" t="n">
        <v>1</v>
      </c>
      <c r="E2716" t="n">
        <v>51.87323944</v>
      </c>
      <c r="F2716" t="n">
        <v>0.7628835188999999</v>
      </c>
      <c r="G2716" t="n">
        <v>0</v>
      </c>
      <c r="H2716" t="n">
        <v>12.3</v>
      </c>
      <c r="I2716" t="n">
        <v>0.1</v>
      </c>
      <c r="J2716" t="n">
        <v>8</v>
      </c>
      <c r="K2716" t="inlineStr">
        <is>
          <t>Sin stock</t>
        </is>
      </c>
    </row>
    <row r="2717">
      <c r="A2717" t="inlineStr">
        <is>
          <t>ZOEMIDA11TS</t>
        </is>
      </c>
      <c r="B2717" t="inlineStr">
        <is>
          <t>ZOE ORIGINAL DAMA</t>
        </is>
      </c>
      <c r="C2717" t="inlineStr">
        <is>
          <t>Manufactura / Dama / P. Superiores</t>
        </is>
      </c>
      <c r="D2717" t="n">
        <v>1</v>
      </c>
      <c r="E2717" t="n">
        <v>51.85644835</v>
      </c>
      <c r="F2717" t="n">
        <v>0.9206157416</v>
      </c>
      <c r="G2717" t="n">
        <v>0</v>
      </c>
      <c r="H2717" t="n">
        <v>4.116585696</v>
      </c>
      <c r="I2717" t="n">
        <v>0.1</v>
      </c>
      <c r="J2717" t="n">
        <v>6</v>
      </c>
      <c r="K2717" t="inlineStr">
        <is>
          <t>Sin stock</t>
        </is>
      </c>
    </row>
    <row r="2718">
      <c r="A2718" t="inlineStr">
        <is>
          <t>ZOEMIDA53TXS</t>
        </is>
      </c>
      <c r="B2718" t="inlineStr">
        <is>
          <t>ZOE ORIGINAL DAMA</t>
        </is>
      </c>
      <c r="C2718" t="inlineStr">
        <is>
          <t>Manufactura / Dama / P. Superiores</t>
        </is>
      </c>
      <c r="D2718" t="n">
        <v>1</v>
      </c>
      <c r="E2718" t="n">
        <v>51.85644835</v>
      </c>
      <c r="F2718" t="n">
        <v>0.9206157416</v>
      </c>
      <c r="G2718" t="n">
        <v>0</v>
      </c>
      <c r="H2718" t="n">
        <v>4.116585696</v>
      </c>
      <c r="I2718" t="n">
        <v>0.1</v>
      </c>
      <c r="J2718" t="n">
        <v>6</v>
      </c>
      <c r="K2718" t="inlineStr">
        <is>
          <t>Sin stock</t>
        </is>
      </c>
    </row>
    <row r="2719">
      <c r="A2719" t="inlineStr">
        <is>
          <t>CLAMIKI05T12</t>
        </is>
      </c>
      <c r="B2719" t="inlineStr">
        <is>
          <t>CLASICA ORIGINAL KIDS</t>
        </is>
      </c>
      <c r="C2719" t="inlineStr">
        <is>
          <t>Manufactura / Kids / P. Superiores</t>
        </is>
      </c>
      <c r="D2719" t="n">
        <v>2</v>
      </c>
      <c r="E2719" t="n">
        <v>51.72392364</v>
      </c>
      <c r="F2719" t="n">
        <v>0.92044050915</v>
      </c>
      <c r="G2719" t="n">
        <v>0</v>
      </c>
      <c r="H2719" t="n">
        <v>2.053774806</v>
      </c>
      <c r="I2719" t="n">
        <v>0.2</v>
      </c>
      <c r="J2719" t="n">
        <v>8</v>
      </c>
      <c r="K2719" t="inlineStr">
        <is>
          <t>Sin stock</t>
        </is>
      </c>
    </row>
    <row r="2720">
      <c r="A2720" t="inlineStr">
        <is>
          <t>MLAALDA167TL</t>
        </is>
      </c>
      <c r="B2720" t="inlineStr">
        <is>
          <t>MANGA LARGA ALGODON DAMA</t>
        </is>
      </c>
      <c r="C2720" t="inlineStr">
        <is>
          <t>Manufactura / Dama / P. Superiores</t>
        </is>
      </c>
      <c r="D2720" t="n">
        <v>1</v>
      </c>
      <c r="E2720" t="n">
        <v>51.57127738</v>
      </c>
      <c r="F2720" t="n">
        <v>0.7614951456</v>
      </c>
      <c r="G2720" t="n">
        <v>0</v>
      </c>
      <c r="H2720" t="n">
        <v>12.3</v>
      </c>
      <c r="I2720" t="n">
        <v>0.1</v>
      </c>
      <c r="J2720" t="n">
        <v>8</v>
      </c>
      <c r="K2720" t="inlineStr">
        <is>
          <t>Sin stock</t>
        </is>
      </c>
    </row>
    <row r="2721">
      <c r="A2721" t="inlineStr">
        <is>
          <t>MLAALDA12TL</t>
        </is>
      </c>
      <c r="B2721" t="inlineStr">
        <is>
          <t>MANGA LARGA ALGODON DAMA</t>
        </is>
      </c>
      <c r="C2721" t="inlineStr">
        <is>
          <t>Manufactura / Dama / P. Superiores</t>
        </is>
      </c>
      <c r="D2721" t="n">
        <v>1</v>
      </c>
      <c r="E2721" t="n">
        <v>51.54685337</v>
      </c>
      <c r="F2721" t="n">
        <v>0.7613821369</v>
      </c>
      <c r="G2721" t="n">
        <v>0</v>
      </c>
      <c r="H2721" t="n">
        <v>12.3</v>
      </c>
      <c r="I2721" t="n">
        <v>0.1</v>
      </c>
      <c r="J2721" t="n">
        <v>8</v>
      </c>
      <c r="K2721" t="inlineStr">
        <is>
          <t>Sin stock</t>
        </is>
      </c>
    </row>
    <row r="2722">
      <c r="A2722" t="inlineStr">
        <is>
          <t>MLAALDA167TM</t>
        </is>
      </c>
      <c r="B2722" t="inlineStr">
        <is>
          <t>MANGA LARGA ALGODON DAMA</t>
        </is>
      </c>
      <c r="C2722" t="inlineStr">
        <is>
          <t>Manufactura / Dama / P. Superiores</t>
        </is>
      </c>
      <c r="D2722" t="n">
        <v>1</v>
      </c>
      <c r="E2722" t="n">
        <v>51.54685337</v>
      </c>
      <c r="F2722" t="n">
        <v>0.7613821369</v>
      </c>
      <c r="G2722" t="n">
        <v>0</v>
      </c>
      <c r="H2722" t="n">
        <v>12.3</v>
      </c>
      <c r="I2722" t="n">
        <v>0.1</v>
      </c>
      <c r="J2722" t="n">
        <v>8</v>
      </c>
      <c r="K2722" t="inlineStr">
        <is>
          <t>Sin stock</t>
        </is>
      </c>
    </row>
    <row r="2723">
      <c r="A2723" t="inlineStr">
        <is>
          <t>MLAALDA166TL</t>
        </is>
      </c>
      <c r="B2723" t="inlineStr">
        <is>
          <t>MANGA LARGA ALGODON DAMA</t>
        </is>
      </c>
      <c r="C2723" t="inlineStr">
        <is>
          <t>Manufactura / Dama / P. Superiores</t>
        </is>
      </c>
      <c r="D2723" t="n">
        <v>1</v>
      </c>
      <c r="E2723" t="n">
        <v>51.54685337</v>
      </c>
      <c r="F2723" t="n">
        <v>0.7613821369</v>
      </c>
      <c r="G2723" t="n">
        <v>0</v>
      </c>
      <c r="H2723" t="n">
        <v>12.3</v>
      </c>
      <c r="I2723" t="n">
        <v>0.1</v>
      </c>
      <c r="J2723" t="n">
        <v>8</v>
      </c>
      <c r="K2723" t="inlineStr">
        <is>
          <t>Sin stock</t>
        </is>
      </c>
    </row>
    <row r="2724">
      <c r="A2724" t="inlineStr">
        <is>
          <t>DANMIKI11T10</t>
        </is>
      </c>
      <c r="B2724" t="inlineStr">
        <is>
          <t>DANI ORIGINAL KIDS</t>
        </is>
      </c>
      <c r="C2724" t="inlineStr">
        <is>
          <t>Manufactura / Kids / P. Superiores</t>
        </is>
      </c>
      <c r="D2724" t="n">
        <v>2</v>
      </c>
      <c r="E2724" t="n">
        <v>51.46895494</v>
      </c>
      <c r="F2724" t="n">
        <v>0.780815365</v>
      </c>
      <c r="G2724" t="n">
        <v>0</v>
      </c>
      <c r="H2724" t="n">
        <v>3.55</v>
      </c>
      <c r="I2724" t="n">
        <v>0.2</v>
      </c>
      <c r="J2724" t="n">
        <v>5</v>
      </c>
      <c r="K2724" t="inlineStr">
        <is>
          <t>Sin stock</t>
        </is>
      </c>
    </row>
    <row r="2725">
      <c r="A2725" t="inlineStr">
        <is>
          <t>TMOFIDA10TS</t>
        </is>
      </c>
      <c r="B2725" t="inlineStr">
        <is>
          <t>TOP MOVA</t>
        </is>
      </c>
      <c r="C2725" t="inlineStr">
        <is>
          <t>Manufactura / Dama / P. Superiores</t>
        </is>
      </c>
      <c r="D2725" t="n">
        <v>5</v>
      </c>
      <c r="E2725" t="n">
        <v>51.31455885</v>
      </c>
      <c r="F2725" t="n">
        <v>0.80623497</v>
      </c>
      <c r="G2725" t="n">
        <v>24</v>
      </c>
      <c r="H2725" t="n">
        <v>9.942967033</v>
      </c>
      <c r="I2725" t="n">
        <v>0.5</v>
      </c>
      <c r="J2725" t="n">
        <v>0</v>
      </c>
      <c r="K2725" t="inlineStr"/>
    </row>
    <row r="2726">
      <c r="A2726" t="inlineStr">
        <is>
          <t>RIOMICA01T3XL</t>
        </is>
      </c>
      <c r="B2726" t="inlineStr">
        <is>
          <t>RIO ORIGINAL CAB</t>
        </is>
      </c>
      <c r="C2726" t="inlineStr">
        <is>
          <t>Manufactura / Caballero / P. Superiores</t>
        </is>
      </c>
      <c r="D2726" t="n">
        <v>1</v>
      </c>
      <c r="E2726" t="n">
        <v>51.21164427</v>
      </c>
      <c r="F2726" t="n">
        <v>0.8840234409</v>
      </c>
      <c r="G2726" t="n">
        <v>1</v>
      </c>
      <c r="H2726" t="n">
        <v>5.939350288</v>
      </c>
      <c r="I2726" t="n">
        <v>0.1</v>
      </c>
      <c r="J2726" t="n">
        <v>9</v>
      </c>
      <c r="K2726" t="inlineStr"/>
    </row>
    <row r="2727">
      <c r="A2727" t="inlineStr">
        <is>
          <t>DANMIKI13T8</t>
        </is>
      </c>
      <c r="B2727" t="inlineStr">
        <is>
          <t>DANI ORIGINAL KIDS</t>
        </is>
      </c>
      <c r="C2727" t="inlineStr">
        <is>
          <t>Manufactura / Kids / P. Superiores</t>
        </is>
      </c>
      <c r="D2727" t="n">
        <v>2</v>
      </c>
      <c r="E2727" t="n">
        <v>51.17225188</v>
      </c>
      <c r="F2727" t="n">
        <v>0.8592045679</v>
      </c>
      <c r="G2727" t="n">
        <v>0</v>
      </c>
      <c r="H2727" t="n">
        <v>3.55</v>
      </c>
      <c r="I2727" t="n">
        <v>0.2</v>
      </c>
      <c r="J2727" t="n">
        <v>1</v>
      </c>
      <c r="K2727" t="inlineStr">
        <is>
          <t>Sin stock</t>
        </is>
      </c>
    </row>
    <row r="2728">
      <c r="A2728" t="inlineStr">
        <is>
          <t>CLAMICA11TXL</t>
        </is>
      </c>
      <c r="B2728" t="inlineStr">
        <is>
          <t>CLASICA ORIGINAL CAB</t>
        </is>
      </c>
      <c r="C2728" t="inlineStr">
        <is>
          <t>Manufactura / Caballero / P. Superiores</t>
        </is>
      </c>
      <c r="D2728" t="n">
        <v>31</v>
      </c>
      <c r="E2728" t="n">
        <v>51.09397092</v>
      </c>
      <c r="F2728" t="n">
        <v>0.9100002906</v>
      </c>
      <c r="G2728" t="n">
        <v>0</v>
      </c>
      <c r="H2728" t="n">
        <v>4.598442536</v>
      </c>
      <c r="I2728" t="n">
        <v>3.1</v>
      </c>
      <c r="J2728" t="n">
        <v>4</v>
      </c>
      <c r="K2728" t="inlineStr">
        <is>
          <t>Sin stock</t>
        </is>
      </c>
    </row>
    <row r="2729">
      <c r="A2729" t="inlineStr">
        <is>
          <t>DANMIKI66T12</t>
        </is>
      </c>
      <c r="B2729" t="inlineStr">
        <is>
          <t>DANI ORIGINAL KIDS</t>
        </is>
      </c>
      <c r="C2729" t="inlineStr">
        <is>
          <t>Manufactura / Kids / P. Superiores</t>
        </is>
      </c>
      <c r="D2729" t="n">
        <v>2</v>
      </c>
      <c r="E2729" t="n">
        <v>51.07933769</v>
      </c>
      <c r="F2729" t="n">
        <v>0.85925469175</v>
      </c>
      <c r="G2729" t="n">
        <v>1</v>
      </c>
      <c r="H2729" t="n">
        <v>3.55</v>
      </c>
      <c r="I2729" t="n">
        <v>0.2</v>
      </c>
      <c r="J2729" t="n">
        <v>7</v>
      </c>
      <c r="K2729" t="inlineStr"/>
    </row>
    <row r="2730">
      <c r="A2730" t="inlineStr">
        <is>
          <t>CLAMIKI28T6</t>
        </is>
      </c>
      <c r="B2730" t="inlineStr">
        <is>
          <t>CLASICA ORIGINAL KIDS</t>
        </is>
      </c>
      <c r="C2730" t="inlineStr">
        <is>
          <t>Manufactura / Kids / P. Superiores</t>
        </is>
      </c>
      <c r="D2730" t="n">
        <v>3</v>
      </c>
      <c r="E2730" t="n">
        <v>50.68347086</v>
      </c>
      <c r="F2730" t="n">
        <v>0.9186200826499999</v>
      </c>
      <c r="G2730" t="n">
        <v>0</v>
      </c>
      <c r="H2730" t="n">
        <v>2.053774806</v>
      </c>
      <c r="I2730" t="n">
        <v>0.3</v>
      </c>
      <c r="J2730" t="n">
        <v>1</v>
      </c>
      <c r="K2730" t="inlineStr">
        <is>
          <t>Sin stock</t>
        </is>
      </c>
    </row>
    <row r="2731">
      <c r="A2731" t="inlineStr">
        <is>
          <t>MLASTDA43TL</t>
        </is>
      </c>
      <c r="B2731" t="inlineStr">
        <is>
          <t>MANGA LARGA ALGODON STRETCH DAMA</t>
        </is>
      </c>
      <c r="C2731" t="inlineStr">
        <is>
          <t>Manufactura / Dama / P. Superiores</t>
        </is>
      </c>
      <c r="D2731" t="n">
        <v>1</v>
      </c>
      <c r="E2731" t="n">
        <v>50.59643484</v>
      </c>
      <c r="F2731" t="n">
        <v>0.7568998678</v>
      </c>
      <c r="G2731" t="n">
        <v>0</v>
      </c>
      <c r="H2731" t="n">
        <v>12.3</v>
      </c>
      <c r="I2731" t="n">
        <v>0.1</v>
      </c>
      <c r="J2731" t="n">
        <v>6</v>
      </c>
      <c r="K2731" t="inlineStr">
        <is>
          <t>Sin stock</t>
        </is>
      </c>
    </row>
    <row r="2732">
      <c r="A2732" t="inlineStr">
        <is>
          <t>CLASTDA43TL</t>
        </is>
      </c>
      <c r="B2732" t="inlineStr">
        <is>
          <t>CLASICA ALGODON STRETCH DAMA</t>
        </is>
      </c>
      <c r="C2732" t="inlineStr">
        <is>
          <t>Manufactura / Dama / P. Superiores</t>
        </is>
      </c>
      <c r="D2732" t="n">
        <v>3</v>
      </c>
      <c r="E2732" t="n">
        <v>50.59643484</v>
      </c>
      <c r="F2732" t="n">
        <v>0.8167855101</v>
      </c>
      <c r="G2732" t="n">
        <v>0</v>
      </c>
      <c r="H2732" t="n">
        <v>9.27</v>
      </c>
      <c r="I2732" t="n">
        <v>0.3</v>
      </c>
      <c r="J2732" t="n">
        <v>6</v>
      </c>
      <c r="K2732" t="inlineStr">
        <is>
          <t>Sin stock</t>
        </is>
      </c>
    </row>
    <row r="2733">
      <c r="A2733" t="inlineStr">
        <is>
          <t>CLAMICA05TS</t>
        </is>
      </c>
      <c r="B2733" t="inlineStr">
        <is>
          <t>CLASICA ORIGINAL CAB</t>
        </is>
      </c>
      <c r="C2733" t="inlineStr">
        <is>
          <t>Manufactura / Caballero / P. Superiores</t>
        </is>
      </c>
      <c r="D2733" t="n">
        <v>1</v>
      </c>
      <c r="E2733" t="n">
        <v>50.51168042</v>
      </c>
      <c r="F2733" t="n">
        <v>0.9089627884</v>
      </c>
      <c r="G2733" t="n">
        <v>0</v>
      </c>
      <c r="H2733" t="n">
        <v>4.598442536</v>
      </c>
      <c r="I2733" t="n">
        <v>0.1</v>
      </c>
      <c r="J2733" t="n">
        <v>4</v>
      </c>
      <c r="K2733" t="inlineStr">
        <is>
          <t>Sin stock</t>
        </is>
      </c>
    </row>
    <row r="2734">
      <c r="A2734" t="inlineStr">
        <is>
          <t>MARMIKI52T12</t>
        </is>
      </c>
      <c r="B2734" t="inlineStr">
        <is>
          <t>MAR ORIGINAL KIDS</t>
        </is>
      </c>
      <c r="C2734" t="inlineStr">
        <is>
          <t>Manufactura / Kids / P. Superiores</t>
        </is>
      </c>
      <c r="D2734" t="n">
        <v>2</v>
      </c>
      <c r="E2734" t="n">
        <v>50.42345582999999</v>
      </c>
      <c r="F2734" t="n">
        <v>0.86060746785</v>
      </c>
      <c r="G2734" t="n">
        <v>0</v>
      </c>
      <c r="H2734" t="n">
        <v>3.168013332</v>
      </c>
      <c r="I2734" t="n">
        <v>0.2</v>
      </c>
      <c r="J2734" t="n">
        <v>8</v>
      </c>
      <c r="K2734" t="inlineStr">
        <is>
          <t>Sin stock</t>
        </is>
      </c>
    </row>
    <row r="2735">
      <c r="A2735" t="inlineStr">
        <is>
          <t>MARMICA24T3XL</t>
        </is>
      </c>
      <c r="B2735" t="inlineStr">
        <is>
          <t>MAR ORIGINAL CAB</t>
        </is>
      </c>
      <c r="C2735" t="inlineStr">
        <is>
          <t>Manufactura / Caballero / P. Superiores</t>
        </is>
      </c>
      <c r="D2735" t="n">
        <v>1</v>
      </c>
      <c r="E2735" t="n">
        <v>50.3824288</v>
      </c>
      <c r="F2735" t="n">
        <v>0.9018237599</v>
      </c>
      <c r="G2735" t="n">
        <v>0</v>
      </c>
      <c r="H2735" t="n">
        <v>4.946357428</v>
      </c>
      <c r="I2735" t="n">
        <v>0.1</v>
      </c>
      <c r="J2735" t="n">
        <v>2</v>
      </c>
      <c r="K2735" t="inlineStr">
        <is>
          <t>Sin stock</t>
        </is>
      </c>
    </row>
    <row r="2736">
      <c r="A2736" t="inlineStr">
        <is>
          <t>CLAMICA30T2XL</t>
        </is>
      </c>
      <c r="B2736" t="inlineStr">
        <is>
          <t>CLASICA ORIGINAL CAB</t>
        </is>
      </c>
      <c r="C2736" t="inlineStr">
        <is>
          <t>Manufactura / Caballero / P. Superiores</t>
        </is>
      </c>
      <c r="D2736" t="n">
        <v>1</v>
      </c>
      <c r="E2736" t="n">
        <v>50.25038513</v>
      </c>
      <c r="F2736" t="n">
        <v>0.9084894071</v>
      </c>
      <c r="G2736" t="n">
        <v>1</v>
      </c>
      <c r="H2736" t="n">
        <v>4.598442536</v>
      </c>
      <c r="I2736" t="n">
        <v>0.1</v>
      </c>
      <c r="J2736" t="n">
        <v>4</v>
      </c>
      <c r="K2736" t="inlineStr"/>
    </row>
    <row r="2737">
      <c r="A2737" t="inlineStr">
        <is>
          <t>CLAMICA50TM</t>
        </is>
      </c>
      <c r="B2737" t="inlineStr">
        <is>
          <t>CLASICA ORIGINAL CAB</t>
        </is>
      </c>
      <c r="C2737" t="inlineStr">
        <is>
          <t>Manufactura / Caballero / P. Superiores</t>
        </is>
      </c>
      <c r="D2737" t="n">
        <v>2</v>
      </c>
      <c r="E2737" t="n">
        <v>50.25038513</v>
      </c>
      <c r="F2737" t="n">
        <v>0.9084894071</v>
      </c>
      <c r="G2737" t="n">
        <v>0</v>
      </c>
      <c r="H2737" t="n">
        <v>4.598442536</v>
      </c>
      <c r="I2737" t="n">
        <v>0.2</v>
      </c>
      <c r="J2737" t="n">
        <v>4</v>
      </c>
      <c r="K2737" t="inlineStr">
        <is>
          <t>Sin stock</t>
        </is>
      </c>
    </row>
    <row r="2738">
      <c r="A2738" t="inlineStr">
        <is>
          <t>RIOMIDA14TXL</t>
        </is>
      </c>
      <c r="B2738" t="inlineStr">
        <is>
          <t>RIO ORIGINAL DAMA</t>
        </is>
      </c>
      <c r="C2738" t="inlineStr">
        <is>
          <t>Manufactura / Dama / P. Superiores</t>
        </is>
      </c>
      <c r="D2738" t="n">
        <v>1</v>
      </c>
      <c r="E2738" t="n">
        <v>50.22347961</v>
      </c>
      <c r="F2738" t="n">
        <v>0.8897162778</v>
      </c>
      <c r="G2738" t="n">
        <v>0</v>
      </c>
      <c r="H2738" t="n">
        <v>5.538832275</v>
      </c>
      <c r="I2738" t="n">
        <v>0.1</v>
      </c>
      <c r="J2738" t="n">
        <v>8</v>
      </c>
      <c r="K2738" t="inlineStr">
        <is>
          <t>Sin stock</t>
        </is>
      </c>
    </row>
    <row r="2739">
      <c r="A2739" t="inlineStr">
        <is>
          <t>RIOMIDA24TXS</t>
        </is>
      </c>
      <c r="B2739" t="inlineStr">
        <is>
          <t>RIO ORIGINAL DAMA</t>
        </is>
      </c>
      <c r="C2739" t="inlineStr">
        <is>
          <t>Manufactura / Dama / P. Superiores</t>
        </is>
      </c>
      <c r="D2739" t="n">
        <v>1</v>
      </c>
      <c r="E2739" t="n">
        <v>50.22347961</v>
      </c>
      <c r="F2739" t="n">
        <v>0.8897162778</v>
      </c>
      <c r="G2739" t="n">
        <v>0</v>
      </c>
      <c r="H2739" t="n">
        <v>5.538832275</v>
      </c>
      <c r="I2739" t="n">
        <v>0.1</v>
      </c>
      <c r="J2739" t="n">
        <v>8</v>
      </c>
      <c r="K2739" t="inlineStr">
        <is>
          <t>Sin stock</t>
        </is>
      </c>
    </row>
    <row r="2740">
      <c r="A2740" t="inlineStr">
        <is>
          <t>MARMIDA31TXS</t>
        </is>
      </c>
      <c r="B2740" t="inlineStr">
        <is>
          <t>MAR ORIGINAL DAMA</t>
        </is>
      </c>
      <c r="C2740" t="inlineStr">
        <is>
          <t>Manufactura / Dama / P. Superiores</t>
        </is>
      </c>
      <c r="D2740" t="n">
        <v>1</v>
      </c>
      <c r="E2740" t="n">
        <v>50.19189037</v>
      </c>
      <c r="F2740" t="n">
        <v>0.9147606492</v>
      </c>
      <c r="G2740" t="n">
        <v>0</v>
      </c>
      <c r="H2740" t="n">
        <v>4.278324149</v>
      </c>
      <c r="I2740" t="n">
        <v>0.1</v>
      </c>
      <c r="J2740" t="n">
        <v>7</v>
      </c>
      <c r="K2740" t="inlineStr">
        <is>
          <t>Sin stock</t>
        </is>
      </c>
    </row>
    <row r="2741">
      <c r="A2741" t="inlineStr">
        <is>
          <t>DANMIKI30T10</t>
        </is>
      </c>
      <c r="B2741" t="inlineStr">
        <is>
          <t>DANI ORIGINAL KIDS</t>
        </is>
      </c>
      <c r="C2741" t="inlineStr">
        <is>
          <t>Manufactura / Kids / P. Superiores</t>
        </is>
      </c>
      <c r="D2741" t="n">
        <v>2</v>
      </c>
      <c r="E2741" t="n">
        <v>50</v>
      </c>
      <c r="F2741" t="n">
        <v>0.858</v>
      </c>
      <c r="G2741" t="n">
        <v>0</v>
      </c>
      <c r="H2741" t="n">
        <v>3.55</v>
      </c>
      <c r="I2741" t="n">
        <v>0.2</v>
      </c>
      <c r="J2741" t="n">
        <v>0</v>
      </c>
      <c r="K2741" t="inlineStr">
        <is>
          <t>Sin stock</t>
        </is>
      </c>
    </row>
    <row r="2742">
      <c r="A2742" t="inlineStr">
        <is>
          <t>CLAMIDA34TS</t>
        </is>
      </c>
      <c r="B2742" t="inlineStr">
        <is>
          <t>CLASICA ORIGINAL DAMA</t>
        </is>
      </c>
      <c r="C2742" t="inlineStr">
        <is>
          <t>Manufactura / Dama / P. Superiores</t>
        </is>
      </c>
      <c r="D2742" t="n">
        <v>7</v>
      </c>
      <c r="E2742" t="n">
        <v>49.93578408</v>
      </c>
      <c r="F2742" t="n">
        <v>0.9214345452</v>
      </c>
      <c r="G2742" t="n">
        <v>0</v>
      </c>
      <c r="H2742" t="n">
        <v>3.923227589</v>
      </c>
      <c r="I2742" t="n">
        <v>0.7</v>
      </c>
      <c r="J2742" t="n">
        <v>0</v>
      </c>
      <c r="K2742" t="inlineStr">
        <is>
          <t>Sin stock</t>
        </is>
      </c>
    </row>
    <row r="2743">
      <c r="A2743" t="inlineStr">
        <is>
          <t>DAMSTDA43TS</t>
        </is>
      </c>
      <c r="B2743" t="inlineStr">
        <is>
          <t>MANGA LARGA DAILY DAMA</t>
        </is>
      </c>
      <c r="C2743" t="inlineStr">
        <is>
          <t>Manufactura / Dama / P. Superiores</t>
        </is>
      </c>
      <c r="D2743" t="n">
        <v>1</v>
      </c>
      <c r="E2743" t="n">
        <v>49.81397132</v>
      </c>
      <c r="F2743" t="n">
        <v>0.7530813209</v>
      </c>
      <c r="G2743" t="n">
        <v>0</v>
      </c>
      <c r="H2743" t="n">
        <v>12.3</v>
      </c>
      <c r="I2743" t="n">
        <v>0.1</v>
      </c>
      <c r="J2743" t="n">
        <v>9</v>
      </c>
      <c r="K2743" t="inlineStr">
        <is>
          <t>Sin stock</t>
        </is>
      </c>
    </row>
    <row r="2744">
      <c r="A2744" t="inlineStr">
        <is>
          <t>MARMIDA16T2XL</t>
        </is>
      </c>
      <c r="B2744" t="inlineStr">
        <is>
          <t>MAR ORIGINAL DAMA</t>
        </is>
      </c>
      <c r="C2744" t="inlineStr">
        <is>
          <t>Manufactura / Dama / P. Superiores</t>
        </is>
      </c>
      <c r="D2744" t="n">
        <v>1</v>
      </c>
      <c r="E2744" t="n">
        <v>49.68371105</v>
      </c>
      <c r="F2744" t="n">
        <v>0.9138887966</v>
      </c>
      <c r="G2744" t="n">
        <v>0</v>
      </c>
      <c r="H2744" t="n">
        <v>4.278324149</v>
      </c>
      <c r="I2744" t="n">
        <v>0.1</v>
      </c>
      <c r="J2744" t="n">
        <v>7</v>
      </c>
      <c r="K2744" t="inlineStr">
        <is>
          <t>Sin stock</t>
        </is>
      </c>
    </row>
    <row r="2745">
      <c r="A2745" t="inlineStr">
        <is>
          <t>RIOMICA14T3XL</t>
        </is>
      </c>
      <c r="B2745" t="inlineStr">
        <is>
          <t>RIO ORIGINAL CAB</t>
        </is>
      </c>
      <c r="C2745" t="inlineStr">
        <is>
          <t>Manufactura / Caballero / P. Superiores</t>
        </is>
      </c>
      <c r="D2745" t="n">
        <v>1</v>
      </c>
      <c r="E2745" t="n">
        <v>49.61698385</v>
      </c>
      <c r="F2745" t="n">
        <v>0.8802960231</v>
      </c>
      <c r="G2745" t="n">
        <v>0</v>
      </c>
      <c r="H2745" t="n">
        <v>5.939350288</v>
      </c>
      <c r="I2745" t="n">
        <v>0.1</v>
      </c>
      <c r="J2745" t="n">
        <v>9</v>
      </c>
      <c r="K2745" t="inlineStr">
        <is>
          <t>Sin stock</t>
        </is>
      </c>
    </row>
    <row r="2746">
      <c r="A2746" t="inlineStr">
        <is>
          <t>RIOMIDA52TL</t>
        </is>
      </c>
      <c r="B2746" t="inlineStr">
        <is>
          <t>RIO ORIGINAL DAMA</t>
        </is>
      </c>
      <c r="C2746" t="inlineStr">
        <is>
          <t>Manufactura / Dama / P. Superiores</t>
        </is>
      </c>
      <c r="D2746" t="n">
        <v>1</v>
      </c>
      <c r="E2746" t="n">
        <v>49.61698385</v>
      </c>
      <c r="F2746" t="n">
        <v>0.888368219</v>
      </c>
      <c r="G2746" t="n">
        <v>0</v>
      </c>
      <c r="H2746" t="n">
        <v>5.538832275</v>
      </c>
      <c r="I2746" t="n">
        <v>0.1</v>
      </c>
      <c r="J2746" t="n">
        <v>9</v>
      </c>
      <c r="K2746" t="inlineStr">
        <is>
          <t>Sin stock</t>
        </is>
      </c>
    </row>
    <row r="2747">
      <c r="A2747" t="inlineStr">
        <is>
          <t>RIOMIDA09TXS</t>
        </is>
      </c>
      <c r="B2747" t="inlineStr">
        <is>
          <t>RIO ORIGINAL DAMA</t>
        </is>
      </c>
      <c r="C2747" t="inlineStr">
        <is>
          <t>Manufactura / Dama / P. Superiores</t>
        </is>
      </c>
      <c r="D2747" t="n">
        <v>1</v>
      </c>
      <c r="E2747" t="n">
        <v>49.61698385</v>
      </c>
      <c r="F2747" t="n">
        <v>0.888368219</v>
      </c>
      <c r="G2747" t="n">
        <v>0</v>
      </c>
      <c r="H2747" t="n">
        <v>5.538832275</v>
      </c>
      <c r="I2747" t="n">
        <v>0.1</v>
      </c>
      <c r="J2747" t="n">
        <v>9</v>
      </c>
      <c r="K2747" t="inlineStr">
        <is>
          <t>Sin stock</t>
        </is>
      </c>
    </row>
    <row r="2748">
      <c r="A2748" t="inlineStr">
        <is>
          <t>RIOMIKI34T1</t>
        </is>
      </c>
      <c r="B2748" t="inlineStr">
        <is>
          <t>RIO ORIGINAL KIDS</t>
        </is>
      </c>
      <c r="C2748" t="inlineStr">
        <is>
          <t>Manufactura / Kids / P. Superiores</t>
        </is>
      </c>
      <c r="D2748" t="n">
        <v>2</v>
      </c>
      <c r="E2748" t="n">
        <v>49.60256583</v>
      </c>
      <c r="F2748" t="n">
        <v>0.9270608404</v>
      </c>
      <c r="G2748" t="n">
        <v>0</v>
      </c>
      <c r="H2748" t="n">
        <v>3.617969464</v>
      </c>
      <c r="I2748" t="n">
        <v>0.2</v>
      </c>
      <c r="J2748" t="n">
        <v>6</v>
      </c>
      <c r="K2748" t="inlineStr">
        <is>
          <t>Sin stock</t>
        </is>
      </c>
    </row>
    <row r="2749">
      <c r="A2749" t="inlineStr">
        <is>
          <t>BUFMIGE66TUN</t>
        </is>
      </c>
      <c r="B2749" t="inlineStr">
        <is>
          <t>FLEX COVER</t>
        </is>
      </c>
      <c r="C2749" t="inlineStr">
        <is>
          <t>Manufactura / General</t>
        </is>
      </c>
      <c r="D2749" t="n">
        <v>5</v>
      </c>
      <c r="E2749" t="n">
        <v>49.48970662</v>
      </c>
      <c r="F2749" t="n">
        <v>0.8207871734</v>
      </c>
      <c r="G2749" t="n">
        <v>16</v>
      </c>
      <c r="H2749" t="n">
        <v>2.21</v>
      </c>
      <c r="I2749" t="n">
        <v>0.5</v>
      </c>
      <c r="J2749" t="n">
        <v>0</v>
      </c>
      <c r="K2749" t="inlineStr"/>
    </row>
    <row r="2750">
      <c r="A2750" t="inlineStr">
        <is>
          <t>MARMIDA09TXL</t>
        </is>
      </c>
      <c r="B2750" t="inlineStr">
        <is>
          <t>MAR ORIGINAL DAMA</t>
        </is>
      </c>
      <c r="C2750" t="inlineStr">
        <is>
          <t>Manufactura / Dama / P. Superiores</t>
        </is>
      </c>
      <c r="D2750" t="n">
        <v>1</v>
      </c>
      <c r="E2750" t="n">
        <v>49.42116894</v>
      </c>
      <c r="F2750" t="n">
        <v>0.9134313445</v>
      </c>
      <c r="G2750" t="n">
        <v>0</v>
      </c>
      <c r="H2750" t="n">
        <v>4.278324149</v>
      </c>
      <c r="I2750" t="n">
        <v>0.1</v>
      </c>
      <c r="J2750" t="n">
        <v>9</v>
      </c>
      <c r="K2750" t="inlineStr">
        <is>
          <t>Sin stock</t>
        </is>
      </c>
    </row>
    <row r="2751">
      <c r="A2751" t="inlineStr">
        <is>
          <t>SABMEDA43TXL</t>
        </is>
      </c>
      <c r="B2751" t="inlineStr">
        <is>
          <t>SABRI SPORT DAMA</t>
        </is>
      </c>
      <c r="C2751" t="inlineStr">
        <is>
          <t>Manufactura / Dama / P. Superiores</t>
        </is>
      </c>
      <c r="D2751" t="n">
        <v>1</v>
      </c>
      <c r="E2751" t="n">
        <v>49.31065053</v>
      </c>
      <c r="F2751" t="n">
        <v>0.9085390286</v>
      </c>
      <c r="G2751" t="n">
        <v>21</v>
      </c>
      <c r="H2751" t="n">
        <v>4.51</v>
      </c>
      <c r="I2751" t="n">
        <v>0.1</v>
      </c>
      <c r="J2751" t="n">
        <v>5</v>
      </c>
      <c r="K2751" t="inlineStr"/>
    </row>
    <row r="2752">
      <c r="A2752" t="inlineStr">
        <is>
          <t>RIOMIDA30TS</t>
        </is>
      </c>
      <c r="B2752" t="inlineStr">
        <is>
          <t>RIO ORIGINAL DAMA</t>
        </is>
      </c>
      <c r="C2752" t="inlineStr">
        <is>
          <t>Manufactura / Dama / P. Superiores</t>
        </is>
      </c>
      <c r="D2752" t="n">
        <v>1</v>
      </c>
      <c r="E2752" t="n">
        <v>49.16095416</v>
      </c>
      <c r="F2752" t="n">
        <v>0.8873326938</v>
      </c>
      <c r="G2752" t="n">
        <v>0</v>
      </c>
      <c r="H2752" t="n">
        <v>5.538832275</v>
      </c>
      <c r="I2752" t="n">
        <v>0.1</v>
      </c>
      <c r="J2752" t="n">
        <v>8</v>
      </c>
      <c r="K2752" t="inlineStr">
        <is>
          <t>Sin stock</t>
        </is>
      </c>
    </row>
    <row r="2753">
      <c r="A2753" t="inlineStr">
        <is>
          <t>RIOMICA09T3XL</t>
        </is>
      </c>
      <c r="B2753" t="inlineStr">
        <is>
          <t>RIO ORIGINAL CAB</t>
        </is>
      </c>
      <c r="C2753" t="inlineStr">
        <is>
          <t>Manufactura / Caballero / P. Superiores</t>
        </is>
      </c>
      <c r="D2753" t="n">
        <v>1</v>
      </c>
      <c r="E2753" t="n">
        <v>49.06282132</v>
      </c>
      <c r="F2753" t="n">
        <v>0.8789439717</v>
      </c>
      <c r="G2753" t="n">
        <v>0</v>
      </c>
      <c r="H2753" t="n">
        <v>5.939350288</v>
      </c>
      <c r="I2753" t="n">
        <v>0.1</v>
      </c>
      <c r="J2753" t="n">
        <v>9</v>
      </c>
      <c r="K2753" t="inlineStr">
        <is>
          <t>Sin stock</t>
        </is>
      </c>
    </row>
    <row r="2754">
      <c r="A2754" t="inlineStr">
        <is>
          <t>PETMIPE01TM</t>
        </is>
      </c>
      <c r="B2754" t="inlineStr">
        <is>
          <t>BANDANA PET</t>
        </is>
      </c>
      <c r="C2754" t="inlineStr">
        <is>
          <t>Manufactura / General</t>
        </is>
      </c>
      <c r="D2754" t="n">
        <v>5</v>
      </c>
      <c r="E2754" t="n">
        <v>48.938399066</v>
      </c>
      <c r="F2754" t="n">
        <v>0.9746705058666666</v>
      </c>
      <c r="G2754" t="n">
        <v>47</v>
      </c>
      <c r="H2754" t="n">
        <v>0.3252662283</v>
      </c>
      <c r="I2754" t="n">
        <v>0.5</v>
      </c>
      <c r="J2754" t="n">
        <v>0</v>
      </c>
      <c r="K2754" t="inlineStr"/>
    </row>
    <row r="2755">
      <c r="A2755" t="inlineStr">
        <is>
          <t>DANMIKI11T6</t>
        </is>
      </c>
      <c r="B2755" t="inlineStr">
        <is>
          <t>DANI ORIGINAL KIDS</t>
        </is>
      </c>
      <c r="C2755" t="inlineStr">
        <is>
          <t>Manufactura / Kids / P. Superiores</t>
        </is>
      </c>
      <c r="D2755" t="n">
        <v>2</v>
      </c>
      <c r="E2755" t="n">
        <v>48.83803803</v>
      </c>
      <c r="F2755" t="n">
        <v>0.8508252177</v>
      </c>
      <c r="G2755" t="n">
        <v>6</v>
      </c>
      <c r="H2755" t="n">
        <v>3.55</v>
      </c>
      <c r="I2755" t="n">
        <v>0.2</v>
      </c>
      <c r="J2755" t="n">
        <v>4</v>
      </c>
      <c r="K2755" t="inlineStr"/>
    </row>
    <row r="2756">
      <c r="A2756" t="inlineStr">
        <is>
          <t>ANDMIDA01TXS</t>
        </is>
      </c>
      <c r="B2756" t="inlineStr">
        <is>
          <t>ANDRE ORIGINAL DAMA</t>
        </is>
      </c>
      <c r="C2756" t="inlineStr">
        <is>
          <t>Manufactura / Dama / P. Superiores</t>
        </is>
      </c>
      <c r="D2756" t="n">
        <v>1</v>
      </c>
      <c r="E2756" t="n">
        <v>48.61050641</v>
      </c>
      <c r="F2756" t="n">
        <v>0.9326422302</v>
      </c>
      <c r="G2756" t="n">
        <v>1</v>
      </c>
      <c r="H2756" t="n">
        <v>3.274295302</v>
      </c>
      <c r="I2756" t="n">
        <v>0.1</v>
      </c>
      <c r="J2756" t="n">
        <v>6</v>
      </c>
      <c r="K2756" t="inlineStr"/>
    </row>
    <row r="2757">
      <c r="A2757" t="inlineStr">
        <is>
          <t>DALSSTCA30TXL</t>
        </is>
      </c>
      <c r="B2757" t="inlineStr">
        <is>
          <t>MANGA LARGA DAILY 2.0 CAB</t>
        </is>
      </c>
      <c r="C2757" t="inlineStr">
        <is>
          <t>Manufactura / Caballero / P. Superiores</t>
        </is>
      </c>
      <c r="D2757" t="n">
        <v>1</v>
      </c>
      <c r="E2757" t="n">
        <v>48.58667785</v>
      </c>
      <c r="F2757" t="n">
        <v>0.7075329982</v>
      </c>
      <c r="G2757" t="n">
        <v>2</v>
      </c>
      <c r="H2757" t="n">
        <v>14.21</v>
      </c>
      <c r="I2757" t="n">
        <v>0.1</v>
      </c>
      <c r="J2757" t="n">
        <v>5</v>
      </c>
      <c r="K2757" t="inlineStr"/>
    </row>
    <row r="2758">
      <c r="A2758" t="inlineStr">
        <is>
          <t>CAP40SC</t>
        </is>
      </c>
      <c r="B2758" t="inlineStr">
        <is>
          <t>CAP SOLID</t>
        </is>
      </c>
      <c r="C2758" t="inlineStr">
        <is>
          <t>Equipamiento / Gorras</t>
        </is>
      </c>
      <c r="D2758" t="n">
        <v>2</v>
      </c>
      <c r="E2758" t="n">
        <v>48.18485613</v>
      </c>
      <c r="F2758" t="n">
        <v>0</v>
      </c>
      <c r="G2758" t="n">
        <v>0</v>
      </c>
      <c r="H2758" t="n">
        <v>0</v>
      </c>
      <c r="I2758" t="n">
        <v>0.2</v>
      </c>
      <c r="J2758" t="n">
        <v>9</v>
      </c>
      <c r="K2758" t="inlineStr">
        <is>
          <t>Sin stock</t>
        </is>
      </c>
    </row>
    <row r="2759">
      <c r="A2759" t="inlineStr">
        <is>
          <t>CLADFCA30TM</t>
        </is>
      </c>
      <c r="B2759" t="inlineStr">
        <is>
          <t>CLASICA ADVANCE CAB</t>
        </is>
      </c>
      <c r="C2759" t="inlineStr">
        <is>
          <t>Manufactura / Caballero / P. Superiores</t>
        </is>
      </c>
      <c r="D2759" t="n">
        <v>1</v>
      </c>
      <c r="E2759" t="n">
        <v>47.97587683</v>
      </c>
      <c r="F2759" t="n">
        <v>0.6767125267</v>
      </c>
      <c r="G2759" t="n">
        <v>0</v>
      </c>
      <c r="H2759" t="n">
        <v>15.51</v>
      </c>
      <c r="I2759" t="n">
        <v>0.1</v>
      </c>
      <c r="J2759" t="n">
        <v>7</v>
      </c>
      <c r="K2759" t="inlineStr">
        <is>
          <t>Sin stock</t>
        </is>
      </c>
    </row>
    <row r="2760">
      <c r="A2760" t="inlineStr">
        <is>
          <t>ZOEMIKI12T14</t>
        </is>
      </c>
      <c r="B2760" t="inlineStr">
        <is>
          <t>ZOE ORIGINAL KIDS</t>
        </is>
      </c>
      <c r="C2760" t="inlineStr">
        <is>
          <t>Manufactura / Kids / P. Superiores</t>
        </is>
      </c>
      <c r="D2760" t="n">
        <v>1</v>
      </c>
      <c r="E2760" t="n">
        <v>47.78023509</v>
      </c>
      <c r="F2760" t="n">
        <v>0.9137718767</v>
      </c>
      <c r="G2760" t="n">
        <v>1</v>
      </c>
      <c r="H2760" t="n">
        <v>4.12</v>
      </c>
      <c r="I2760" t="n">
        <v>0.1</v>
      </c>
      <c r="J2760" t="n">
        <v>4</v>
      </c>
      <c r="K2760" t="inlineStr"/>
    </row>
    <row r="2761">
      <c r="A2761" t="inlineStr">
        <is>
          <t>TALGTADA166TS</t>
        </is>
      </c>
      <c r="B2761" t="inlineStr">
        <is>
          <t>URBAN COTTON TOP SAY YES DAMA</t>
        </is>
      </c>
      <c r="C2761" t="inlineStr">
        <is>
          <t>Manufactura / Dama / P. Superiores</t>
        </is>
      </c>
      <c r="D2761" t="n">
        <v>3</v>
      </c>
      <c r="E2761" t="n">
        <v>47.61961656</v>
      </c>
      <c r="F2761" t="n">
        <v>0.8605620163</v>
      </c>
      <c r="G2761" t="n">
        <v>21</v>
      </c>
      <c r="H2761" t="n">
        <v>6.639983317</v>
      </c>
      <c r="I2761" t="n">
        <v>0.3</v>
      </c>
      <c r="J2761" t="n">
        <v>3</v>
      </c>
      <c r="K2761" t="inlineStr"/>
    </row>
    <row r="2762">
      <c r="A2762" t="inlineStr">
        <is>
          <t>CLAMICA01TXL</t>
        </is>
      </c>
      <c r="B2762" t="inlineStr">
        <is>
          <t>CLASICA ORIGINAL CAB</t>
        </is>
      </c>
      <c r="C2762" t="inlineStr">
        <is>
          <t>Manufactura / Caballero / P. Superiores</t>
        </is>
      </c>
      <c r="D2762" t="n">
        <v>1</v>
      </c>
      <c r="E2762" t="n">
        <v>47.56015363</v>
      </c>
      <c r="F2762" t="n">
        <v>0.9033131269</v>
      </c>
      <c r="G2762" t="n">
        <v>4</v>
      </c>
      <c r="H2762" t="n">
        <v>4.598442536</v>
      </c>
      <c r="I2762" t="n">
        <v>0.1</v>
      </c>
      <c r="J2762" t="n">
        <v>4</v>
      </c>
      <c r="K2762" t="inlineStr"/>
    </row>
    <row r="2763">
      <c r="A2763" t="inlineStr">
        <is>
          <t>SHR2VICA43TXL</t>
        </is>
      </c>
      <c r="B2763" t="inlineStr">
        <is>
          <t>SHORT R2 CAB</t>
        </is>
      </c>
      <c r="C2763" t="inlineStr">
        <is>
          <t>Manufactura / Dama / P. Inferiores</t>
        </is>
      </c>
      <c r="D2763" t="n">
        <v>1</v>
      </c>
      <c r="E2763" t="n">
        <v>47.50976661</v>
      </c>
      <c r="F2763" t="n">
        <v>0.8080394695000001</v>
      </c>
      <c r="G2763" t="n">
        <v>1</v>
      </c>
      <c r="H2763" t="n">
        <v>9.119999999999999</v>
      </c>
      <c r="I2763" t="n">
        <v>0.1</v>
      </c>
      <c r="J2763" t="n">
        <v>3</v>
      </c>
      <c r="K2763" t="inlineStr"/>
    </row>
    <row r="2764">
      <c r="A2764" t="inlineStr">
        <is>
          <t>MARMIDA05TS</t>
        </is>
      </c>
      <c r="B2764" t="inlineStr">
        <is>
          <t>MAR ORIGINAL DAMA</t>
        </is>
      </c>
      <c r="C2764" t="inlineStr">
        <is>
          <t>Manufactura / Dama / P. Superiores</t>
        </is>
      </c>
      <c r="D2764" t="n">
        <v>1</v>
      </c>
      <c r="E2764" t="n">
        <v>47.42233168</v>
      </c>
      <c r="F2764" t="n">
        <v>0.9097825013</v>
      </c>
      <c r="G2764" t="n">
        <v>0</v>
      </c>
      <c r="H2764" t="n">
        <v>4.278324149</v>
      </c>
      <c r="I2764" t="n">
        <v>0.1</v>
      </c>
      <c r="J2764" t="n">
        <v>8</v>
      </c>
      <c r="K2764" t="inlineStr">
        <is>
          <t>Sin stock</t>
        </is>
      </c>
    </row>
    <row r="2765">
      <c r="A2765" t="inlineStr">
        <is>
          <t>SMLBLIDA16TXS</t>
        </is>
      </c>
      <c r="B2765" t="inlineStr">
        <is>
          <t>SPOTS MANGA LARGA DAMA</t>
        </is>
      </c>
      <c r="C2765" t="inlineStr">
        <is>
          <t>Manufactura / Dama / P. Superiores</t>
        </is>
      </c>
      <c r="D2765" t="n">
        <v>2</v>
      </c>
      <c r="E2765" t="n">
        <v>47.41</v>
      </c>
      <c r="F2765" t="n">
        <v>0.7281164311</v>
      </c>
      <c r="G2765" t="n">
        <v>10</v>
      </c>
      <c r="H2765" t="n">
        <v>12.89</v>
      </c>
      <c r="I2765" t="n">
        <v>0.2</v>
      </c>
      <c r="J2765" t="n">
        <v>0</v>
      </c>
      <c r="K2765" t="inlineStr"/>
    </row>
    <row r="2766">
      <c r="A2766" t="inlineStr">
        <is>
          <t>SMLBLICA16TL</t>
        </is>
      </c>
      <c r="B2766" t="inlineStr">
        <is>
          <t>SPOTS MANGA LARGA CAB</t>
        </is>
      </c>
      <c r="C2766" t="inlineStr">
        <is>
          <t>Manufactura / Caballero / P. Superiores</t>
        </is>
      </c>
      <c r="D2766" t="n">
        <v>2</v>
      </c>
      <c r="E2766" t="n">
        <v>47.41</v>
      </c>
      <c r="F2766" t="n">
        <v>0.7281164311</v>
      </c>
      <c r="G2766" t="n">
        <v>18</v>
      </c>
      <c r="H2766" t="n">
        <v>12.89</v>
      </c>
      <c r="I2766" t="n">
        <v>0.2</v>
      </c>
      <c r="J2766" t="n">
        <v>1</v>
      </c>
      <c r="K2766" t="inlineStr"/>
    </row>
    <row r="2767">
      <c r="A2767" t="inlineStr">
        <is>
          <t>COTFTKI43T6</t>
        </is>
      </c>
      <c r="B2767" t="inlineStr">
        <is>
          <t>COTTON SWEATER KIDS</t>
        </is>
      </c>
      <c r="C2767" t="inlineStr">
        <is>
          <t>Manufactura / Kids / P. Superiores</t>
        </is>
      </c>
      <c r="D2767" t="n">
        <v>2</v>
      </c>
      <c r="E2767" t="n">
        <v>47.39060675</v>
      </c>
      <c r="F2767" t="n">
        <v>0</v>
      </c>
      <c r="G2767" t="n">
        <v>0</v>
      </c>
      <c r="H2767" t="n">
        <v>0</v>
      </c>
      <c r="I2767" t="n">
        <v>0.2</v>
      </c>
      <c r="J2767" t="n">
        <v>4</v>
      </c>
      <c r="K2767" t="inlineStr">
        <is>
          <t>Sin stock</t>
        </is>
      </c>
    </row>
    <row r="2768">
      <c r="A2768" t="inlineStr">
        <is>
          <t>TRISTDA43TXS</t>
        </is>
      </c>
      <c r="B2768" t="inlineStr">
        <is>
          <t>RETRO VZLA DAMA</t>
        </is>
      </c>
      <c r="C2768" t="inlineStr">
        <is>
          <t>Manufactura / Dama / P. Superiores</t>
        </is>
      </c>
      <c r="D2768" t="n">
        <v>1</v>
      </c>
      <c r="E2768" t="n">
        <v>47.3895352</v>
      </c>
      <c r="F2768" t="n">
        <v>0.7630278509</v>
      </c>
      <c r="G2768" t="n">
        <v>2</v>
      </c>
      <c r="H2768" t="n">
        <v>11.23</v>
      </c>
      <c r="I2768" t="n">
        <v>0.1</v>
      </c>
      <c r="J2768" t="n">
        <v>2</v>
      </c>
      <c r="K2768" t="inlineStr"/>
    </row>
    <row r="2769">
      <c r="A2769" t="inlineStr">
        <is>
          <t>MARMIDA05TXL</t>
        </is>
      </c>
      <c r="B2769" t="inlineStr">
        <is>
          <t>MAR ORIGINAL DAMA</t>
        </is>
      </c>
      <c r="C2769" t="inlineStr">
        <is>
          <t>Manufactura / Dama / P. Superiores</t>
        </is>
      </c>
      <c r="D2769" t="n">
        <v>2</v>
      </c>
      <c r="E2769" t="n">
        <v>47.38220438</v>
      </c>
      <c r="F2769" t="n">
        <v>0.9097060974</v>
      </c>
      <c r="G2769" t="n">
        <v>0</v>
      </c>
      <c r="H2769" t="n">
        <v>4.278324149</v>
      </c>
      <c r="I2769" t="n">
        <v>0.2</v>
      </c>
      <c r="J2769" t="n">
        <v>8</v>
      </c>
      <c r="K2769" t="inlineStr">
        <is>
          <t>Sin stock</t>
        </is>
      </c>
    </row>
    <row r="2770">
      <c r="A2770" t="inlineStr">
        <is>
          <t>SHONTDA33TXS</t>
        </is>
      </c>
      <c r="B2770" t="inlineStr">
        <is>
          <t>EXPLORE SHORT DAMA</t>
        </is>
      </c>
      <c r="C2770" t="inlineStr">
        <is>
          <t>Manufactura / Dama / P. Inferiores</t>
        </is>
      </c>
      <c r="D2770" t="n">
        <v>1</v>
      </c>
      <c r="E2770" t="n">
        <v>47.38220438</v>
      </c>
      <c r="F2770" t="n">
        <v>0.7842832014</v>
      </c>
      <c r="G2770" t="n">
        <v>11</v>
      </c>
      <c r="H2770" t="n">
        <v>10.22113744</v>
      </c>
      <c r="I2770" t="n">
        <v>0.1</v>
      </c>
      <c r="J2770" t="n">
        <v>9</v>
      </c>
      <c r="K2770" t="inlineStr"/>
    </row>
    <row r="2771">
      <c r="A2771" t="inlineStr">
        <is>
          <t>SHONTCA33TXL</t>
        </is>
      </c>
      <c r="B2771" t="inlineStr">
        <is>
          <t>EXPLORE SHORT CAB</t>
        </is>
      </c>
      <c r="C2771" t="inlineStr">
        <is>
          <t>Manufactura / Caballero / P. Inferiores</t>
        </is>
      </c>
      <c r="D2771" t="n">
        <v>1</v>
      </c>
      <c r="E2771" t="n">
        <v>47.38220438</v>
      </c>
      <c r="F2771" t="n">
        <v>0.7642574856</v>
      </c>
      <c r="G2771" t="n">
        <v>0</v>
      </c>
      <c r="H2771" t="n">
        <v>11.17</v>
      </c>
      <c r="I2771" t="n">
        <v>0.1</v>
      </c>
      <c r="J2771" t="n">
        <v>9</v>
      </c>
      <c r="K2771" t="inlineStr">
        <is>
          <t>Sin stock</t>
        </is>
      </c>
    </row>
    <row r="2772">
      <c r="A2772" t="inlineStr">
        <is>
          <t>CGCSKI16T10</t>
        </is>
      </c>
      <c r="B2772" t="inlineStr">
        <is>
          <t>CLASICA GC SUBLIMADO KIDS</t>
        </is>
      </c>
      <c r="C2772" t="inlineStr">
        <is>
          <t>Manufactura / Kids / P. Superiores</t>
        </is>
      </c>
      <c r="D2772" t="n">
        <v>1</v>
      </c>
      <c r="E2772" t="n">
        <v>47.11308912</v>
      </c>
      <c r="F2772" t="n">
        <v>0</v>
      </c>
      <c r="G2772" t="n">
        <v>0</v>
      </c>
      <c r="H2772" t="n">
        <v>0</v>
      </c>
      <c r="I2772" t="n">
        <v>0.1</v>
      </c>
      <c r="J2772" t="n">
        <v>2</v>
      </c>
      <c r="K2772" t="inlineStr">
        <is>
          <t>Sin stock</t>
        </is>
      </c>
    </row>
    <row r="2773">
      <c r="A2773" t="inlineStr">
        <is>
          <t>CGCSKI16T12</t>
        </is>
      </c>
      <c r="B2773" t="inlineStr">
        <is>
          <t>CLASICA GC SUBLIMADO KIDS</t>
        </is>
      </c>
      <c r="C2773" t="inlineStr">
        <is>
          <t>Manufactura / Kids / P. Superiores</t>
        </is>
      </c>
      <c r="D2773" t="n">
        <v>1</v>
      </c>
      <c r="E2773" t="n">
        <v>47.11308912</v>
      </c>
      <c r="F2773" t="n">
        <v>0</v>
      </c>
      <c r="G2773" t="n">
        <v>0</v>
      </c>
      <c r="H2773" t="n">
        <v>0</v>
      </c>
      <c r="I2773" t="n">
        <v>0.1</v>
      </c>
      <c r="J2773" t="n">
        <v>2</v>
      </c>
      <c r="K2773" t="inlineStr">
        <is>
          <t>Sin stock</t>
        </is>
      </c>
    </row>
    <row r="2774">
      <c r="A2774" t="inlineStr">
        <is>
          <t>CGCSKI16T8</t>
        </is>
      </c>
      <c r="B2774" t="inlineStr">
        <is>
          <t>CLASICA GC SUBLIMADO KIDS</t>
        </is>
      </c>
      <c r="C2774" t="inlineStr">
        <is>
          <t>Manufactura / Kids / P. Superiores</t>
        </is>
      </c>
      <c r="D2774" t="n">
        <v>1</v>
      </c>
      <c r="E2774" t="n">
        <v>47.11308912</v>
      </c>
      <c r="F2774" t="n">
        <v>0</v>
      </c>
      <c r="G2774" t="n">
        <v>0</v>
      </c>
      <c r="H2774" t="n">
        <v>0</v>
      </c>
      <c r="I2774" t="n">
        <v>0.1</v>
      </c>
      <c r="J2774" t="n">
        <v>2</v>
      </c>
      <c r="K2774" t="inlineStr">
        <is>
          <t>Sin stock</t>
        </is>
      </c>
    </row>
    <row r="2775">
      <c r="A2775" t="inlineStr">
        <is>
          <t>RIOMIKI70T6</t>
        </is>
      </c>
      <c r="B2775" t="inlineStr">
        <is>
          <t>RIO ORIGINAL KIDS</t>
        </is>
      </c>
      <c r="C2775" t="inlineStr">
        <is>
          <t>Manufactura / Kids / P. Superiores</t>
        </is>
      </c>
      <c r="D2775" t="n">
        <v>1</v>
      </c>
      <c r="E2775" t="n">
        <v>47.10933269</v>
      </c>
      <c r="F2775" t="n">
        <v>0.9234326730000001</v>
      </c>
      <c r="G2775" t="n">
        <v>1</v>
      </c>
      <c r="H2775" t="n">
        <v>3.617969464</v>
      </c>
      <c r="I2775" t="n">
        <v>0.1</v>
      </c>
      <c r="J2775" t="n">
        <v>3</v>
      </c>
      <c r="K2775" t="inlineStr"/>
    </row>
    <row r="2776">
      <c r="A2776" t="inlineStr">
        <is>
          <t>OVEFTGE30TS</t>
        </is>
      </c>
      <c r="B2776" t="inlineStr">
        <is>
          <t>UNIHOODIE</t>
        </is>
      </c>
      <c r="C2776" t="inlineStr">
        <is>
          <t>Manufactura / General</t>
        </is>
      </c>
      <c r="D2776" t="n">
        <v>1</v>
      </c>
      <c r="E2776" t="n">
        <v>46.9452512</v>
      </c>
      <c r="F2776" t="n">
        <v>0.568220438</v>
      </c>
      <c r="G2776" t="n">
        <v>0</v>
      </c>
      <c r="H2776" t="n">
        <v>20.27</v>
      </c>
      <c r="I2776" t="n">
        <v>0.1</v>
      </c>
      <c r="J2776" t="n">
        <v>9</v>
      </c>
      <c r="K2776" t="inlineStr">
        <is>
          <t>Sin stock</t>
        </is>
      </c>
    </row>
    <row r="2777">
      <c r="A2777" t="inlineStr">
        <is>
          <t>P05</t>
        </is>
      </c>
      <c r="B2777" t="inlineStr">
        <is>
          <t>PARCHES</t>
        </is>
      </c>
      <c r="C2777" t="inlineStr">
        <is>
          <t>Equipamiento / Accesorios</t>
        </is>
      </c>
      <c r="D2777" t="n">
        <v>11</v>
      </c>
      <c r="E2777" t="n">
        <v>46.93163441913494</v>
      </c>
      <c r="F2777" t="n">
        <v>0.78042277927</v>
      </c>
      <c r="G2777" t="n">
        <v>605</v>
      </c>
      <c r="H2777" t="n">
        <v>0.98</v>
      </c>
      <c r="I2777" t="n">
        <v>1.1</v>
      </c>
      <c r="J2777" t="n">
        <v>0</v>
      </c>
      <c r="K2777" t="inlineStr"/>
    </row>
    <row r="2778">
      <c r="A2778" t="inlineStr">
        <is>
          <t>GOOSTDA16TM</t>
        </is>
      </c>
      <c r="B2778" t="inlineStr">
        <is>
          <t>RETRO VZLA DAMA</t>
        </is>
      </c>
      <c r="C2778" t="inlineStr">
        <is>
          <t>Manufactura / Dama / P. Superiores</t>
        </is>
      </c>
      <c r="D2778" t="n">
        <v>1</v>
      </c>
      <c r="E2778" t="n">
        <v>46.91089857</v>
      </c>
      <c r="F2778" t="n">
        <v>0.7606100002</v>
      </c>
      <c r="G2778" t="n">
        <v>1</v>
      </c>
      <c r="H2778" t="n">
        <v>11.23</v>
      </c>
      <c r="I2778" t="n">
        <v>0.1</v>
      </c>
      <c r="J2778" t="n">
        <v>3</v>
      </c>
      <c r="K2778" t="inlineStr"/>
    </row>
    <row r="2779">
      <c r="A2779" t="inlineStr">
        <is>
          <t>CLASTCA16T4XL</t>
        </is>
      </c>
      <c r="B2779" t="inlineStr">
        <is>
          <t>CLASICA ALGODON STRETCH CAB</t>
        </is>
      </c>
      <c r="C2779" t="inlineStr">
        <is>
          <t>Manufactura / Caballero / P. Superiores</t>
        </is>
      </c>
      <c r="D2779" t="n">
        <v>1</v>
      </c>
      <c r="E2779" t="n">
        <v>46.61930487</v>
      </c>
      <c r="F2779" t="n">
        <v>0.8011553363</v>
      </c>
      <c r="G2779" t="n">
        <v>0</v>
      </c>
      <c r="H2779" t="n">
        <v>9.27</v>
      </c>
      <c r="I2779" t="n">
        <v>0.1</v>
      </c>
      <c r="J2779" t="n">
        <v>4</v>
      </c>
      <c r="K2779" t="inlineStr">
        <is>
          <t>Sin stock</t>
        </is>
      </c>
    </row>
    <row r="2780">
      <c r="A2780" t="inlineStr">
        <is>
          <t>SHOUNCA29T3XL</t>
        </is>
      </c>
      <c r="B2780" t="inlineStr">
        <is>
          <t>SHORT PLAYA CAB</t>
        </is>
      </c>
      <c r="C2780" t="inlineStr">
        <is>
          <t>Manufactura / Caballero / P. Inferiores</t>
        </is>
      </c>
      <c r="D2780" t="n">
        <v>1</v>
      </c>
      <c r="E2780" t="n">
        <v>46.56719514</v>
      </c>
      <c r="F2780" t="n">
        <v>0.7854712965</v>
      </c>
      <c r="G2780" t="n">
        <v>0</v>
      </c>
      <c r="H2780" t="n">
        <v>9.99</v>
      </c>
      <c r="I2780" t="n">
        <v>0.1</v>
      </c>
      <c r="J2780" t="n">
        <v>2</v>
      </c>
      <c r="K2780" t="inlineStr">
        <is>
          <t>Sin stock</t>
        </is>
      </c>
    </row>
    <row r="2781">
      <c r="A2781" t="inlineStr">
        <is>
          <t>AQUSTDA16TM</t>
        </is>
      </c>
      <c r="B2781" t="inlineStr">
        <is>
          <t>RETRO VZLA DAMA</t>
        </is>
      </c>
      <c r="C2781" t="inlineStr">
        <is>
          <t>Manufactura / Dama / P. Superiores</t>
        </is>
      </c>
      <c r="D2781" t="n">
        <v>1</v>
      </c>
      <c r="E2781" t="n">
        <v>46.49676477</v>
      </c>
      <c r="F2781" t="n">
        <v>0.7584778198</v>
      </c>
      <c r="G2781" t="n">
        <v>0</v>
      </c>
      <c r="H2781" t="n">
        <v>11.23</v>
      </c>
      <c r="I2781" t="n">
        <v>0.1</v>
      </c>
      <c r="J2781" t="n">
        <v>7</v>
      </c>
      <c r="K2781" t="inlineStr">
        <is>
          <t>Sin stock</t>
        </is>
      </c>
    </row>
    <row r="2782">
      <c r="A2782" t="inlineStr">
        <is>
          <t>CRESTDA30TS</t>
        </is>
      </c>
      <c r="B2782" t="inlineStr">
        <is>
          <t>RETRO VZLA DAMA</t>
        </is>
      </c>
      <c r="C2782" t="inlineStr">
        <is>
          <t>Manufactura / Dama / P. Superiores</t>
        </is>
      </c>
      <c r="D2782" t="n">
        <v>1</v>
      </c>
      <c r="E2782" t="n">
        <v>46.49676477</v>
      </c>
      <c r="F2782" t="n">
        <v>0.7584778198</v>
      </c>
      <c r="G2782" t="n">
        <v>1</v>
      </c>
      <c r="H2782" t="n">
        <v>11.23</v>
      </c>
      <c r="I2782" t="n">
        <v>0.1</v>
      </c>
      <c r="J2782" t="n">
        <v>7</v>
      </c>
      <c r="K2782" t="inlineStr"/>
    </row>
    <row r="2783">
      <c r="A2783" t="inlineStr">
        <is>
          <t>TALGOTACA12TL</t>
        </is>
      </c>
      <c r="B2783" t="inlineStr">
        <is>
          <t>URBAN COTTON OVERSIZED SUNSET CAB</t>
        </is>
      </c>
      <c r="C2783" t="inlineStr">
        <is>
          <t>Manufactura / Caballero / P. Superiores</t>
        </is>
      </c>
      <c r="D2783" t="n">
        <v>4</v>
      </c>
      <c r="E2783" t="n">
        <v>46.49676287</v>
      </c>
      <c r="F2783" t="n">
        <v>0.7492642503</v>
      </c>
      <c r="G2783" t="n">
        <v>18</v>
      </c>
      <c r="H2783" t="n">
        <v>12.16112582</v>
      </c>
      <c r="I2783" t="n">
        <v>0.4</v>
      </c>
      <c r="J2783" t="n">
        <v>2</v>
      </c>
      <c r="K2783" t="inlineStr"/>
    </row>
    <row r="2784">
      <c r="A2784" t="inlineStr">
        <is>
          <t>DALSSTCA43TM</t>
        </is>
      </c>
      <c r="B2784" t="inlineStr">
        <is>
          <t>MANGA LARGA DAILY 2.0 CAB</t>
        </is>
      </c>
      <c r="C2784" t="inlineStr">
        <is>
          <t>Manufactura / Caballero / P. Superiores</t>
        </is>
      </c>
      <c r="D2784" t="n">
        <v>1</v>
      </c>
      <c r="E2784" t="n">
        <v>46.44223724</v>
      </c>
      <c r="F2784" t="n">
        <v>0.6940285213</v>
      </c>
      <c r="G2784" t="n">
        <v>1</v>
      </c>
      <c r="H2784" t="n">
        <v>14.21</v>
      </c>
      <c r="I2784" t="n">
        <v>0.1</v>
      </c>
      <c r="J2784" t="n">
        <v>8</v>
      </c>
      <c r="K2784" t="inlineStr"/>
    </row>
    <row r="2785">
      <c r="A2785" t="inlineStr">
        <is>
          <t>SHONTDA12TXS</t>
        </is>
      </c>
      <c r="B2785" t="inlineStr">
        <is>
          <t>EXPLORE SHORT DAMA</t>
        </is>
      </c>
      <c r="C2785" t="inlineStr">
        <is>
          <t>Manufactura / Dama / P. Inferiores</t>
        </is>
      </c>
      <c r="D2785" t="n">
        <v>3</v>
      </c>
      <c r="E2785" t="n">
        <v>46.39605672</v>
      </c>
      <c r="F2785" t="n">
        <v>0.7796981433</v>
      </c>
      <c r="G2785" t="n">
        <v>43</v>
      </c>
      <c r="H2785" t="n">
        <v>10.22113744</v>
      </c>
      <c r="I2785" t="n">
        <v>0.3</v>
      </c>
      <c r="J2785" t="n">
        <v>2</v>
      </c>
      <c r="K2785" t="inlineStr"/>
    </row>
    <row r="2786">
      <c r="A2786" t="inlineStr">
        <is>
          <t>SHONTDA66TXS</t>
        </is>
      </c>
      <c r="B2786" t="inlineStr">
        <is>
          <t>EXPLORE SHORT DAMA</t>
        </is>
      </c>
      <c r="C2786" t="inlineStr">
        <is>
          <t>Manufactura / Dama / P. Inferiores</t>
        </is>
      </c>
      <c r="D2786" t="n">
        <v>4</v>
      </c>
      <c r="E2786" t="n">
        <v>46.39605672</v>
      </c>
      <c r="F2786" t="n">
        <v>0.7796981433</v>
      </c>
      <c r="G2786" t="n">
        <v>40</v>
      </c>
      <c r="H2786" t="n">
        <v>10.22113744</v>
      </c>
      <c r="I2786" t="n">
        <v>0.4</v>
      </c>
      <c r="J2786" t="n">
        <v>1</v>
      </c>
      <c r="K2786" t="inlineStr"/>
    </row>
    <row r="2787">
      <c r="A2787" t="inlineStr">
        <is>
          <t>CRESTDA30TL</t>
        </is>
      </c>
      <c r="B2787" t="inlineStr">
        <is>
          <t>RETRO VZLA DAMA</t>
        </is>
      </c>
      <c r="C2787" t="inlineStr">
        <is>
          <t>Manufactura / Dama / P. Superiores</t>
        </is>
      </c>
      <c r="D2787" t="n">
        <v>1</v>
      </c>
      <c r="E2787" t="n">
        <v>46.33793796</v>
      </c>
      <c r="F2787" t="n">
        <v>0.7576499841</v>
      </c>
      <c r="G2787" t="n">
        <v>0</v>
      </c>
      <c r="H2787" t="n">
        <v>11.23</v>
      </c>
      <c r="I2787" t="n">
        <v>0.1</v>
      </c>
      <c r="J2787" t="n">
        <v>3</v>
      </c>
      <c r="K2787" t="inlineStr">
        <is>
          <t>Sin stock</t>
        </is>
      </c>
    </row>
    <row r="2788">
      <c r="A2788" t="inlineStr">
        <is>
          <t>CRESTDA30TXL</t>
        </is>
      </c>
      <c r="B2788" t="inlineStr">
        <is>
          <t>RETRO VZLA DAMA</t>
        </is>
      </c>
      <c r="C2788" t="inlineStr">
        <is>
          <t>Manufactura / Dama / P. Superiores</t>
        </is>
      </c>
      <c r="D2788" t="n">
        <v>1</v>
      </c>
      <c r="E2788" t="n">
        <v>46.33793796</v>
      </c>
      <c r="F2788" t="n">
        <v>0.7576499841</v>
      </c>
      <c r="G2788" t="n">
        <v>0</v>
      </c>
      <c r="H2788" t="n">
        <v>11.23</v>
      </c>
      <c r="I2788" t="n">
        <v>0.1</v>
      </c>
      <c r="J2788" t="n">
        <v>3</v>
      </c>
      <c r="K2788" t="inlineStr">
        <is>
          <t>Sin stock</t>
        </is>
      </c>
    </row>
    <row r="2789">
      <c r="A2789" t="inlineStr">
        <is>
          <t>TRISTDA16TS</t>
        </is>
      </c>
      <c r="B2789" t="inlineStr">
        <is>
          <t>RETRO VZLA DAMA</t>
        </is>
      </c>
      <c r="C2789" t="inlineStr">
        <is>
          <t>Manufactura / Dama / P. Superiores</t>
        </is>
      </c>
      <c r="D2789" t="n">
        <v>1</v>
      </c>
      <c r="E2789" t="n">
        <v>46.27908498</v>
      </c>
      <c r="F2789" t="n">
        <v>0.7573417883</v>
      </c>
      <c r="G2789" t="n">
        <v>2</v>
      </c>
      <c r="H2789" t="n">
        <v>11.23</v>
      </c>
      <c r="I2789" t="n">
        <v>0.1</v>
      </c>
      <c r="J2789" t="n">
        <v>4</v>
      </c>
      <c r="K2789" t="inlineStr"/>
    </row>
    <row r="2790">
      <c r="A2790" t="inlineStr">
        <is>
          <t>DANMIKI13T6</t>
        </is>
      </c>
      <c r="B2790" t="inlineStr">
        <is>
          <t>DANI ORIGINAL KIDS</t>
        </is>
      </c>
      <c r="C2790" t="inlineStr">
        <is>
          <t>Manufactura / Kids / P. Superiores</t>
        </is>
      </c>
      <c r="D2790" t="n">
        <v>2</v>
      </c>
      <c r="E2790" t="n">
        <v>46.14264857</v>
      </c>
      <c r="F2790" t="n">
        <v>0.8450464690999999</v>
      </c>
      <c r="G2790" t="n">
        <v>1</v>
      </c>
      <c r="H2790" t="n">
        <v>3.55</v>
      </c>
      <c r="I2790" t="n">
        <v>0.2</v>
      </c>
      <c r="J2790" t="n">
        <v>1</v>
      </c>
      <c r="K2790" t="inlineStr"/>
    </row>
    <row r="2791">
      <c r="A2791" t="inlineStr">
        <is>
          <t>DALSTCA30T2XL</t>
        </is>
      </c>
      <c r="B2791" t="inlineStr">
        <is>
          <t>CLASICA DAILY 2.0 CAB</t>
        </is>
      </c>
      <c r="C2791" t="inlineStr">
        <is>
          <t>Manufactura / Caballero / P. Superiores</t>
        </is>
      </c>
      <c r="D2791" t="n">
        <v>1</v>
      </c>
      <c r="E2791" t="n">
        <v>45.93400139</v>
      </c>
      <c r="F2791" t="n">
        <v>0.7452867235</v>
      </c>
      <c r="G2791" t="n">
        <v>0</v>
      </c>
      <c r="H2791" t="n">
        <v>11.7</v>
      </c>
      <c r="I2791" t="n">
        <v>0.1</v>
      </c>
      <c r="J2791" t="n">
        <v>7</v>
      </c>
      <c r="K2791" t="inlineStr">
        <is>
          <t>Sin stock</t>
        </is>
      </c>
    </row>
    <row r="2792">
      <c r="A2792" t="inlineStr">
        <is>
          <t>RIOMICA53TM</t>
        </is>
      </c>
      <c r="B2792" t="inlineStr">
        <is>
          <t>RIO ORIGINAL CAB</t>
        </is>
      </c>
      <c r="C2792" t="inlineStr">
        <is>
          <t>Manufactura / Caballero / P. Superiores</t>
        </is>
      </c>
      <c r="D2792" t="n">
        <v>1</v>
      </c>
      <c r="E2792" t="n">
        <v>45.93400139</v>
      </c>
      <c r="F2792" t="n">
        <v>0.8706981733</v>
      </c>
      <c r="G2792" t="n">
        <v>0</v>
      </c>
      <c r="H2792" t="n">
        <v>5.939350288</v>
      </c>
      <c r="I2792" t="n">
        <v>0.1</v>
      </c>
      <c r="J2792" t="n">
        <v>7</v>
      </c>
      <c r="K2792" t="inlineStr">
        <is>
          <t>Sin stock</t>
        </is>
      </c>
    </row>
    <row r="2793">
      <c r="A2793" t="inlineStr">
        <is>
          <t>PETMIPE09TXS</t>
        </is>
      </c>
      <c r="B2793" t="inlineStr">
        <is>
          <t>BANDANA PET</t>
        </is>
      </c>
      <c r="C2793" t="inlineStr">
        <is>
          <t>Manufactura / General</t>
        </is>
      </c>
      <c r="D2793" t="n">
        <v>6</v>
      </c>
      <c r="E2793" t="n">
        <v>45.904036571</v>
      </c>
      <c r="F2793" t="n">
        <v>0.969511817975</v>
      </c>
      <c r="G2793" t="n">
        <v>12</v>
      </c>
      <c r="H2793" t="n">
        <v>0.3252662283</v>
      </c>
      <c r="I2793" t="n">
        <v>0.6</v>
      </c>
      <c r="J2793" t="n">
        <v>0</v>
      </c>
      <c r="K2793" t="inlineStr"/>
    </row>
    <row r="2794">
      <c r="A2794" t="inlineStr">
        <is>
          <t>201STDA30TXL</t>
        </is>
      </c>
      <c r="B2794" t="inlineStr">
        <is>
          <t>RETRO VZLA DAMA</t>
        </is>
      </c>
      <c r="C2794" t="inlineStr">
        <is>
          <t>Manufactura / Dama / P. Superiores</t>
        </is>
      </c>
      <c r="D2794" t="n">
        <v>1</v>
      </c>
      <c r="E2794" t="n">
        <v>45.73997319</v>
      </c>
      <c r="F2794" t="n">
        <v>0.75448171</v>
      </c>
      <c r="G2794" t="n">
        <v>1</v>
      </c>
      <c r="H2794" t="n">
        <v>11.23</v>
      </c>
      <c r="I2794" t="n">
        <v>0.1</v>
      </c>
      <c r="J2794" t="n">
        <v>3</v>
      </c>
      <c r="K2794" t="inlineStr"/>
    </row>
    <row r="2795">
      <c r="A2795" t="inlineStr">
        <is>
          <t>AQUSTDA16TXL</t>
        </is>
      </c>
      <c r="B2795" t="inlineStr">
        <is>
          <t>RETRO VZLA DAMA</t>
        </is>
      </c>
      <c r="C2795" t="inlineStr">
        <is>
          <t>Manufactura / Dama / P. Superiores</t>
        </is>
      </c>
      <c r="D2795" t="n">
        <v>1</v>
      </c>
      <c r="E2795" t="n">
        <v>45.73997319</v>
      </c>
      <c r="F2795" t="n">
        <v>0.75448171</v>
      </c>
      <c r="G2795" t="n">
        <v>0</v>
      </c>
      <c r="H2795" t="n">
        <v>11.23</v>
      </c>
      <c r="I2795" t="n">
        <v>0.1</v>
      </c>
      <c r="J2795" t="n">
        <v>3</v>
      </c>
      <c r="K2795" t="inlineStr">
        <is>
          <t>Sin stock</t>
        </is>
      </c>
    </row>
    <row r="2796">
      <c r="A2796" t="inlineStr">
        <is>
          <t>GOOSTDA43TM</t>
        </is>
      </c>
      <c r="B2796" t="inlineStr">
        <is>
          <t>RETRO VZLA DAMA</t>
        </is>
      </c>
      <c r="C2796" t="inlineStr">
        <is>
          <t>Manufactura / Dama / P. Superiores</t>
        </is>
      </c>
      <c r="D2796" t="n">
        <v>1</v>
      </c>
      <c r="E2796" t="n">
        <v>45.72625991</v>
      </c>
      <c r="F2796" t="n">
        <v>0.7544080792</v>
      </c>
      <c r="G2796" t="n">
        <v>1</v>
      </c>
      <c r="H2796" t="n">
        <v>11.23</v>
      </c>
      <c r="I2796" t="n">
        <v>0.1</v>
      </c>
      <c r="J2796" t="n">
        <v>3</v>
      </c>
      <c r="K2796" t="inlineStr"/>
    </row>
    <row r="2797">
      <c r="A2797" t="inlineStr">
        <is>
          <t>201STCA30TM</t>
        </is>
      </c>
      <c r="B2797" t="inlineStr">
        <is>
          <t>RETRO VZLA CAB</t>
        </is>
      </c>
      <c r="C2797" t="inlineStr">
        <is>
          <t>Manufactura / Caballero / P. Superiores</t>
        </is>
      </c>
      <c r="D2797" t="n">
        <v>1</v>
      </c>
      <c r="E2797" t="n">
        <v>45.61392782</v>
      </c>
      <c r="F2797" t="n">
        <v>0.7171916426</v>
      </c>
      <c r="G2797" t="n">
        <v>0</v>
      </c>
      <c r="H2797" t="n">
        <v>12.9</v>
      </c>
      <c r="I2797" t="n">
        <v>0.1</v>
      </c>
      <c r="J2797" t="n">
        <v>2</v>
      </c>
      <c r="K2797" t="inlineStr">
        <is>
          <t>Sin stock</t>
        </is>
      </c>
    </row>
    <row r="2798">
      <c r="A2798" t="inlineStr">
        <is>
          <t>SABSTCA30TS</t>
        </is>
      </c>
      <c r="B2798" t="inlineStr">
        <is>
          <t>RETRO VZLA CAB</t>
        </is>
      </c>
      <c r="C2798" t="inlineStr">
        <is>
          <t>Manufactura / Caballero / P. Superiores</t>
        </is>
      </c>
      <c r="D2798" t="n">
        <v>1</v>
      </c>
      <c r="E2798" t="n">
        <v>45.61392782</v>
      </c>
      <c r="F2798" t="n">
        <v>0.7171916426</v>
      </c>
      <c r="G2798" t="n">
        <v>0</v>
      </c>
      <c r="H2798" t="n">
        <v>12.9</v>
      </c>
      <c r="I2798" t="n">
        <v>0.1</v>
      </c>
      <c r="J2798" t="n">
        <v>2</v>
      </c>
      <c r="K2798" t="inlineStr">
        <is>
          <t>Sin stock</t>
        </is>
      </c>
    </row>
    <row r="2799">
      <c r="A2799" t="inlineStr">
        <is>
          <t>MARMICA28TXL</t>
        </is>
      </c>
      <c r="B2799" t="inlineStr">
        <is>
          <t>MAR ORIGINAL CAB</t>
        </is>
      </c>
      <c r="C2799" t="inlineStr">
        <is>
          <t>Manufactura / Caballero / P. Superiores</t>
        </is>
      </c>
      <c r="D2799" t="n">
        <v>1</v>
      </c>
      <c r="E2799" t="n">
        <v>45.57314988</v>
      </c>
      <c r="F2799" t="n">
        <v>0.891463341</v>
      </c>
      <c r="G2799" t="n">
        <v>0</v>
      </c>
      <c r="H2799" t="n">
        <v>4.946357428</v>
      </c>
      <c r="I2799" t="n">
        <v>0.1</v>
      </c>
      <c r="J2799" t="n">
        <v>8</v>
      </c>
      <c r="K2799" t="inlineStr">
        <is>
          <t>Sin stock</t>
        </is>
      </c>
    </row>
    <row r="2800">
      <c r="A2800" t="inlineStr">
        <is>
          <t>MARMIDA52TL</t>
        </is>
      </c>
      <c r="B2800" t="inlineStr">
        <is>
          <t>MAR ORIGINAL DAMA</t>
        </is>
      </c>
      <c r="C2800" t="inlineStr">
        <is>
          <t>Manufactura / Dama / P. Superiores</t>
        </is>
      </c>
      <c r="D2800" t="n">
        <v>1</v>
      </c>
      <c r="E2800" t="n">
        <v>45.57314988</v>
      </c>
      <c r="F2800" t="n">
        <v>0.9061218248</v>
      </c>
      <c r="G2800" t="n">
        <v>0</v>
      </c>
      <c r="H2800" t="n">
        <v>4.278324149</v>
      </c>
      <c r="I2800" t="n">
        <v>0.1</v>
      </c>
      <c r="J2800" t="n">
        <v>8</v>
      </c>
      <c r="K2800" t="inlineStr">
        <is>
          <t>Sin stock</t>
        </is>
      </c>
    </row>
    <row r="2801">
      <c r="A2801" t="inlineStr">
        <is>
          <t>DANMIKI16T6</t>
        </is>
      </c>
      <c r="B2801" t="inlineStr">
        <is>
          <t>DANI ORIGINAL KIDS</t>
        </is>
      </c>
      <c r="C2801" t="inlineStr">
        <is>
          <t>Manufactura / Kids / P. Superiores</t>
        </is>
      </c>
      <c r="D2801" t="n">
        <v>2</v>
      </c>
      <c r="E2801" t="n">
        <v>45.53739016</v>
      </c>
      <c r="F2801" t="n">
        <v>0.8432848867</v>
      </c>
      <c r="G2801" t="n">
        <v>2</v>
      </c>
      <c r="H2801" t="n">
        <v>3.55</v>
      </c>
      <c r="I2801" t="n">
        <v>0.2</v>
      </c>
      <c r="J2801" t="n">
        <v>7</v>
      </c>
      <c r="K2801" t="inlineStr"/>
    </row>
    <row r="2802">
      <c r="A2802" t="inlineStr">
        <is>
          <t>SHONTDA33TL</t>
        </is>
      </c>
      <c r="B2802" t="inlineStr">
        <is>
          <t>EXPLORE SHORT DAMA</t>
        </is>
      </c>
      <c r="C2802" t="inlineStr">
        <is>
          <t>Manufactura / Dama / P. Inferiores</t>
        </is>
      </c>
      <c r="D2802" t="n">
        <v>1</v>
      </c>
      <c r="E2802" t="n">
        <v>45.45435843</v>
      </c>
      <c r="F2802" t="n">
        <v>0.7751340511</v>
      </c>
      <c r="G2802" t="n">
        <v>9</v>
      </c>
      <c r="H2802" t="n">
        <v>10.22113744</v>
      </c>
      <c r="I2802" t="n">
        <v>0.1</v>
      </c>
      <c r="J2802" t="n">
        <v>7</v>
      </c>
      <c r="K2802" t="inlineStr"/>
    </row>
    <row r="2803">
      <c r="A2803" t="inlineStr">
        <is>
          <t>MARMICA14TXL</t>
        </is>
      </c>
      <c r="B2803" t="inlineStr">
        <is>
          <t>MAR ORIGINAL CAB</t>
        </is>
      </c>
      <c r="C2803" t="inlineStr">
        <is>
          <t>Manufactura / Caballero / P. Superiores</t>
        </is>
      </c>
      <c r="D2803" t="n">
        <v>1</v>
      </c>
      <c r="E2803" t="n">
        <v>45.45003157</v>
      </c>
      <c r="F2803" t="n">
        <v>0.8911693291</v>
      </c>
      <c r="G2803" t="n">
        <v>0</v>
      </c>
      <c r="H2803" t="n">
        <v>4.946357428</v>
      </c>
      <c r="I2803" t="n">
        <v>0.1</v>
      </c>
      <c r="J2803" t="n">
        <v>9</v>
      </c>
      <c r="K2803" t="inlineStr">
        <is>
          <t>Sin stock</t>
        </is>
      </c>
    </row>
    <row r="2804">
      <c r="A2804" t="inlineStr">
        <is>
          <t>RIOMICA24TM</t>
        </is>
      </c>
      <c r="B2804" t="inlineStr">
        <is>
          <t>RIO ORIGINAL CAB</t>
        </is>
      </c>
      <c r="C2804" t="inlineStr">
        <is>
          <t>Manufactura / Caballero / P. Superiores</t>
        </is>
      </c>
      <c r="D2804" t="n">
        <v>1</v>
      </c>
      <c r="E2804" t="n">
        <v>45.14977</v>
      </c>
      <c r="F2804" t="n">
        <v>0.8684522582</v>
      </c>
      <c r="G2804" t="n">
        <v>0</v>
      </c>
      <c r="H2804" t="n">
        <v>5.939350288</v>
      </c>
      <c r="I2804" t="n">
        <v>0.1</v>
      </c>
      <c r="J2804" t="n">
        <v>9</v>
      </c>
      <c r="K2804" t="inlineStr">
        <is>
          <t>Sin stock</t>
        </is>
      </c>
    </row>
    <row r="2805">
      <c r="A2805" t="inlineStr">
        <is>
          <t>RIOMICA39TXL</t>
        </is>
      </c>
      <c r="B2805" t="inlineStr">
        <is>
          <t>RIO ORIGINAL CAB</t>
        </is>
      </c>
      <c r="C2805" t="inlineStr">
        <is>
          <t>Manufactura / Caballero / P. Superiores</t>
        </is>
      </c>
      <c r="D2805" t="n">
        <v>1</v>
      </c>
      <c r="E2805" t="n">
        <v>45.14977</v>
      </c>
      <c r="F2805" t="n">
        <v>0.8684522582</v>
      </c>
      <c r="G2805" t="n">
        <v>0</v>
      </c>
      <c r="H2805" t="n">
        <v>5.939350288</v>
      </c>
      <c r="I2805" t="n">
        <v>0.1</v>
      </c>
      <c r="J2805" t="n">
        <v>9</v>
      </c>
      <c r="K2805" t="inlineStr">
        <is>
          <t>Sin stock</t>
        </is>
      </c>
    </row>
    <row r="2806">
      <c r="A2806" t="inlineStr">
        <is>
          <t>GOOSTDA16TXS</t>
        </is>
      </c>
      <c r="B2806" t="inlineStr">
        <is>
          <t>RETRO VZLA DAMA</t>
        </is>
      </c>
      <c r="C2806" t="inlineStr">
        <is>
          <t>Manufactura / Dama / P. Superiores</t>
        </is>
      </c>
      <c r="D2806" t="n">
        <v>1</v>
      </c>
      <c r="E2806" t="n">
        <v>45.13431465</v>
      </c>
      <c r="F2806" t="n">
        <v>0.7511870938</v>
      </c>
      <c r="G2806" t="n">
        <v>0</v>
      </c>
      <c r="H2806" t="n">
        <v>11.23</v>
      </c>
      <c r="I2806" t="n">
        <v>0.1</v>
      </c>
      <c r="J2806" t="n">
        <v>6</v>
      </c>
      <c r="K2806" t="inlineStr">
        <is>
          <t>Sin stock</t>
        </is>
      </c>
    </row>
    <row r="2807">
      <c r="A2807" t="inlineStr">
        <is>
          <t>OVEFTGE43TM</t>
        </is>
      </c>
      <c r="B2807" t="inlineStr">
        <is>
          <t>UNIHOODIE</t>
        </is>
      </c>
      <c r="C2807" t="inlineStr">
        <is>
          <t>Manufactura / General</t>
        </is>
      </c>
      <c r="D2807" t="n">
        <v>1</v>
      </c>
      <c r="E2807" t="n">
        <v>45.13229585</v>
      </c>
      <c r="F2807" t="n">
        <v>0.5508759389</v>
      </c>
      <c r="G2807" t="n">
        <v>0</v>
      </c>
      <c r="H2807" t="n">
        <v>20.27</v>
      </c>
      <c r="I2807" t="n">
        <v>0.1</v>
      </c>
      <c r="J2807" t="n">
        <v>7</v>
      </c>
      <c r="K2807" t="inlineStr">
        <is>
          <t>Sin stock</t>
        </is>
      </c>
    </row>
    <row r="2808">
      <c r="A2808" t="inlineStr">
        <is>
          <t>MANMIGE66TP</t>
        </is>
      </c>
      <c r="B2808" t="inlineStr">
        <is>
          <t>MANGAS GENERAL</t>
        </is>
      </c>
      <c r="C2808" t="inlineStr">
        <is>
          <t>Manufactura / General</t>
        </is>
      </c>
      <c r="D2808" t="n">
        <v>3</v>
      </c>
      <c r="E2808" t="n">
        <v>45.07104289</v>
      </c>
      <c r="F2808" t="n">
        <v>0.9369716874999999</v>
      </c>
      <c r="G2808" t="n">
        <v>31</v>
      </c>
      <c r="H2808" t="n">
        <v>0.92</v>
      </c>
      <c r="I2808" t="n">
        <v>0.3</v>
      </c>
      <c r="J2808" t="n">
        <v>0</v>
      </c>
      <c r="K2808" t="inlineStr"/>
    </row>
    <row r="2809">
      <c r="A2809" t="inlineStr">
        <is>
          <t>MARMICA09T3XL</t>
        </is>
      </c>
      <c r="B2809" t="inlineStr">
        <is>
          <t>MAR ORIGINAL CAB</t>
        </is>
      </c>
      <c r="C2809" t="inlineStr">
        <is>
          <t>Manufactura / Caballero / P. Superiores</t>
        </is>
      </c>
      <c r="D2809" t="n">
        <v>1</v>
      </c>
      <c r="E2809" t="n">
        <v>45.02281952</v>
      </c>
      <c r="F2809" t="n">
        <v>0.8901366578</v>
      </c>
      <c r="G2809" t="n">
        <v>0</v>
      </c>
      <c r="H2809" t="n">
        <v>4.946357428</v>
      </c>
      <c r="I2809" t="n">
        <v>0.1</v>
      </c>
      <c r="J2809" t="n">
        <v>9</v>
      </c>
      <c r="K2809" t="inlineStr">
        <is>
          <t>Sin stock</t>
        </is>
      </c>
    </row>
    <row r="2810">
      <c r="A2810" t="inlineStr">
        <is>
          <t>CCBHMCA151T2XL</t>
        </is>
      </c>
      <c r="B2810" t="inlineStr">
        <is>
          <t>CLUB CLASICA CABALLERO</t>
        </is>
      </c>
      <c r="C2810" t="inlineStr">
        <is>
          <t>Manufactura / Caballero / P. Superiores</t>
        </is>
      </c>
      <c r="D2810" t="n">
        <v>2</v>
      </c>
      <c r="E2810" t="n">
        <v>45</v>
      </c>
      <c r="F2810" t="n">
        <v>0.9777777778</v>
      </c>
      <c r="G2810" t="n">
        <v>16</v>
      </c>
      <c r="H2810" t="n">
        <v>1</v>
      </c>
      <c r="I2810" t="n">
        <v>0.2</v>
      </c>
      <c r="J2810" t="n">
        <v>1</v>
      </c>
      <c r="K2810" t="inlineStr"/>
    </row>
    <row r="2811">
      <c r="A2811" t="inlineStr">
        <is>
          <t>ZOEMIDA66TXL</t>
        </is>
      </c>
      <c r="B2811" t="inlineStr">
        <is>
          <t>ZOE ORIGINAL DAMA</t>
        </is>
      </c>
      <c r="C2811" t="inlineStr">
        <is>
          <t>Manufactura / Dama / P. Superiores</t>
        </is>
      </c>
      <c r="D2811" t="n">
        <v>1</v>
      </c>
      <c r="E2811" t="n">
        <v>45</v>
      </c>
      <c r="F2811" t="n">
        <v>0.9085203179</v>
      </c>
      <c r="G2811" t="n">
        <v>0</v>
      </c>
      <c r="H2811" t="n">
        <v>4.116585696</v>
      </c>
      <c r="I2811" t="n">
        <v>0.1</v>
      </c>
      <c r="J2811" t="n">
        <v>1</v>
      </c>
      <c r="K2811" t="inlineStr">
        <is>
          <t>Sin stock</t>
        </is>
      </c>
    </row>
    <row r="2812">
      <c r="A2812" t="inlineStr">
        <is>
          <t>CLAMICA39T2XL</t>
        </is>
      </c>
      <c r="B2812" t="inlineStr">
        <is>
          <t>CLASICA ORIGINAL CAB</t>
        </is>
      </c>
      <c r="C2812" t="inlineStr">
        <is>
          <t>Manufactura / Caballero / P. Superiores</t>
        </is>
      </c>
      <c r="D2812" t="n">
        <v>1</v>
      </c>
      <c r="E2812" t="n">
        <v>44.98496864</v>
      </c>
      <c r="F2812" t="n">
        <v>0.8977782429</v>
      </c>
      <c r="G2812" t="n">
        <v>0</v>
      </c>
      <c r="H2812" t="n">
        <v>4.598442536</v>
      </c>
      <c r="I2812" t="n">
        <v>0.1</v>
      </c>
      <c r="J2812" t="n">
        <v>7</v>
      </c>
      <c r="K2812" t="inlineStr">
        <is>
          <t>Sin stock</t>
        </is>
      </c>
    </row>
    <row r="2813">
      <c r="A2813" t="inlineStr">
        <is>
          <t>CRESTCA16TXL</t>
        </is>
      </c>
      <c r="B2813" t="inlineStr">
        <is>
          <t>RETRO VZLA CAB</t>
        </is>
      </c>
      <c r="C2813" t="inlineStr">
        <is>
          <t>Manufactura / Caballero / P. Superiores</t>
        </is>
      </c>
      <c r="D2813" t="n">
        <v>1</v>
      </c>
      <c r="E2813" t="n">
        <v>44.98496864</v>
      </c>
      <c r="F2813" t="n">
        <v>0.713237546</v>
      </c>
      <c r="G2813" t="n">
        <v>0</v>
      </c>
      <c r="H2813" t="n">
        <v>12.9</v>
      </c>
      <c r="I2813" t="n">
        <v>0.1</v>
      </c>
      <c r="J2813" t="n">
        <v>7</v>
      </c>
      <c r="K2813" t="inlineStr">
        <is>
          <t>Sin stock</t>
        </is>
      </c>
    </row>
    <row r="2814">
      <c r="A2814" t="inlineStr">
        <is>
          <t>TRISTDA43TM</t>
        </is>
      </c>
      <c r="B2814" t="inlineStr">
        <is>
          <t>RETRO VZLA DAMA</t>
        </is>
      </c>
      <c r="C2814" t="inlineStr">
        <is>
          <t>Manufactura / Dama / P. Superiores</t>
        </is>
      </c>
      <c r="D2814" t="n">
        <v>1</v>
      </c>
      <c r="E2814" t="n">
        <v>44.98496864</v>
      </c>
      <c r="F2814" t="n">
        <v>0.7503610575</v>
      </c>
      <c r="G2814" t="n">
        <v>1</v>
      </c>
      <c r="H2814" t="n">
        <v>11.23</v>
      </c>
      <c r="I2814" t="n">
        <v>0.1</v>
      </c>
      <c r="J2814" t="n">
        <v>7</v>
      </c>
      <c r="K2814" t="inlineStr"/>
    </row>
    <row r="2815">
      <c r="A2815" t="inlineStr">
        <is>
          <t>CRESTCA30TXL</t>
        </is>
      </c>
      <c r="B2815" t="inlineStr">
        <is>
          <t>RETRO VZLA CAB</t>
        </is>
      </c>
      <c r="C2815" t="inlineStr">
        <is>
          <t>Manufactura / Caballero / P. Superiores</t>
        </is>
      </c>
      <c r="D2815" t="n">
        <v>1</v>
      </c>
      <c r="E2815" t="n">
        <v>44.98496864</v>
      </c>
      <c r="F2815" t="n">
        <v>0.713237546</v>
      </c>
      <c r="G2815" t="n">
        <v>1</v>
      </c>
      <c r="H2815" t="n">
        <v>12.9</v>
      </c>
      <c r="I2815" t="n">
        <v>0.1</v>
      </c>
      <c r="J2815" t="n">
        <v>7</v>
      </c>
      <c r="K2815" t="inlineStr"/>
    </row>
    <row r="2816">
      <c r="A2816" t="inlineStr">
        <is>
          <t>AQUSTDA16TS</t>
        </is>
      </c>
      <c r="B2816" t="inlineStr">
        <is>
          <t>RETRO VZLA DAMA</t>
        </is>
      </c>
      <c r="C2816" t="inlineStr">
        <is>
          <t>Manufactura / Dama / P. Superiores</t>
        </is>
      </c>
      <c r="D2816" t="n">
        <v>1</v>
      </c>
      <c r="E2816" t="n">
        <v>44.98496864</v>
      </c>
      <c r="F2816" t="n">
        <v>0.7503610575</v>
      </c>
      <c r="G2816" t="n">
        <v>1</v>
      </c>
      <c r="H2816" t="n">
        <v>11.23</v>
      </c>
      <c r="I2816" t="n">
        <v>0.1</v>
      </c>
      <c r="J2816" t="n">
        <v>7</v>
      </c>
      <c r="K2816" t="inlineStr"/>
    </row>
    <row r="2817">
      <c r="A2817" t="inlineStr">
        <is>
          <t>CLAMICA43T4XL</t>
        </is>
      </c>
      <c r="B2817" t="inlineStr">
        <is>
          <t>CLASICA ORIGINAL CAB</t>
        </is>
      </c>
      <c r="C2817" t="inlineStr">
        <is>
          <t>Manufactura / Caballero / P. Superiores</t>
        </is>
      </c>
      <c r="D2817" t="n">
        <v>1</v>
      </c>
      <c r="E2817" t="n">
        <v>44.94606041</v>
      </c>
      <c r="F2817" t="n">
        <v>0.8976897531</v>
      </c>
      <c r="G2817" t="n">
        <v>0</v>
      </c>
      <c r="H2817" t="n">
        <v>4.598442536</v>
      </c>
      <c r="I2817" t="n">
        <v>0.1</v>
      </c>
      <c r="J2817" t="n">
        <v>3</v>
      </c>
      <c r="K2817" t="inlineStr">
        <is>
          <t>Sin stock</t>
        </is>
      </c>
    </row>
    <row r="2818">
      <c r="A2818" t="inlineStr">
        <is>
          <t>CLAMICA66T4XL</t>
        </is>
      </c>
      <c r="B2818" t="inlineStr">
        <is>
          <t>CLASICA ORIGINAL CAB</t>
        </is>
      </c>
      <c r="C2818" t="inlineStr">
        <is>
          <t>Manufactura / Caballero / P. Superiores</t>
        </is>
      </c>
      <c r="D2818" t="n">
        <v>1</v>
      </c>
      <c r="E2818" t="n">
        <v>44.94606041</v>
      </c>
      <c r="F2818" t="n">
        <v>0.8976897531</v>
      </c>
      <c r="G2818" t="n">
        <v>0</v>
      </c>
      <c r="H2818" t="n">
        <v>4.598442536</v>
      </c>
      <c r="I2818" t="n">
        <v>0.1</v>
      </c>
      <c r="J2818" t="n">
        <v>3</v>
      </c>
      <c r="K2818" t="inlineStr">
        <is>
          <t>Sin stock</t>
        </is>
      </c>
    </row>
    <row r="2819">
      <c r="A2819" t="inlineStr">
        <is>
          <t>MLCMJCA50TL</t>
        </is>
      </c>
      <c r="B2819" t="inlineStr">
        <is>
          <t>MOTION LOOP CLASICA CAB</t>
        </is>
      </c>
      <c r="C2819" t="inlineStr">
        <is>
          <t>Manufactura / Caballero / P. Superiores</t>
        </is>
      </c>
      <c r="D2819" t="n">
        <v>2</v>
      </c>
      <c r="E2819" t="n">
        <v>44.83</v>
      </c>
      <c r="F2819" t="n">
        <v>0.9553267298</v>
      </c>
      <c r="G2819" t="n">
        <v>3</v>
      </c>
      <c r="H2819" t="n">
        <v>2.002702703</v>
      </c>
      <c r="I2819" t="n">
        <v>0.2</v>
      </c>
      <c r="J2819" t="n">
        <v>0</v>
      </c>
      <c r="K2819" t="inlineStr"/>
    </row>
    <row r="2820">
      <c r="A2820" t="inlineStr">
        <is>
          <t>MLCMJCA66TXL</t>
        </is>
      </c>
      <c r="B2820" t="inlineStr">
        <is>
          <t>MOTION LOOP CLASICA CAB</t>
        </is>
      </c>
      <c r="C2820" t="inlineStr">
        <is>
          <t>Manufactura / Caballero / P. Superiores</t>
        </is>
      </c>
      <c r="D2820" t="n">
        <v>1</v>
      </c>
      <c r="E2820" t="n">
        <v>44.83</v>
      </c>
      <c r="F2820" t="n">
        <v>0.9553267298</v>
      </c>
      <c r="G2820" t="n">
        <v>5</v>
      </c>
      <c r="H2820" t="n">
        <v>2.002702703</v>
      </c>
      <c r="I2820" t="n">
        <v>0.1</v>
      </c>
      <c r="J2820" t="n">
        <v>1</v>
      </c>
      <c r="K2820" t="inlineStr"/>
    </row>
    <row r="2821">
      <c r="A2821" t="inlineStr">
        <is>
          <t>MLCMJCA14TL</t>
        </is>
      </c>
      <c r="B2821" t="inlineStr">
        <is>
          <t>MOTION LOOP CLASICA CAB</t>
        </is>
      </c>
      <c r="C2821" t="inlineStr">
        <is>
          <t>Manufactura / Caballero / P. Superiores</t>
        </is>
      </c>
      <c r="D2821" t="n">
        <v>1</v>
      </c>
      <c r="E2821" t="n">
        <v>44.83</v>
      </c>
      <c r="F2821" t="n">
        <v>0.9553267298</v>
      </c>
      <c r="G2821" t="n">
        <v>5</v>
      </c>
      <c r="H2821" t="n">
        <v>2.002702703</v>
      </c>
      <c r="I2821" t="n">
        <v>0.1</v>
      </c>
      <c r="J2821" t="n">
        <v>1</v>
      </c>
      <c r="K2821" t="inlineStr"/>
    </row>
    <row r="2822">
      <c r="A2822" t="inlineStr">
        <is>
          <t>SHOSUKI23T14</t>
        </is>
      </c>
      <c r="B2822" t="inlineStr">
        <is>
          <t>SHORT PLAYA ESTAMPADO KIDS</t>
        </is>
      </c>
      <c r="C2822" t="inlineStr">
        <is>
          <t>Manufactura / Kids / P. Superiores</t>
        </is>
      </c>
      <c r="D2822" t="n">
        <v>1</v>
      </c>
      <c r="E2822" t="n">
        <v>44.83</v>
      </c>
      <c r="F2822" t="n">
        <v>0.8391701985</v>
      </c>
      <c r="G2822" t="n">
        <v>0</v>
      </c>
      <c r="H2822" t="n">
        <v>7.21</v>
      </c>
      <c r="I2822" t="n">
        <v>0.1</v>
      </c>
      <c r="J2822" t="n">
        <v>0</v>
      </c>
      <c r="K2822" t="inlineStr">
        <is>
          <t>Sin stock</t>
        </is>
      </c>
    </row>
    <row r="2823">
      <c r="A2823" t="inlineStr">
        <is>
          <t>MLCMJCA50T2XL</t>
        </is>
      </c>
      <c r="B2823" t="inlineStr">
        <is>
          <t>MOTION LOOP CLASICA CAB</t>
        </is>
      </c>
      <c r="C2823" t="inlineStr">
        <is>
          <t>Manufactura / Caballero / P. Superiores</t>
        </is>
      </c>
      <c r="D2823" t="n">
        <v>1</v>
      </c>
      <c r="E2823" t="n">
        <v>44.83</v>
      </c>
      <c r="F2823" t="n">
        <v>0.9553267298</v>
      </c>
      <c r="G2823" t="n">
        <v>1</v>
      </c>
      <c r="H2823" t="n">
        <v>2.002702703</v>
      </c>
      <c r="I2823" t="n">
        <v>0.1</v>
      </c>
      <c r="J2823" t="n">
        <v>0</v>
      </c>
      <c r="K2823" t="inlineStr"/>
    </row>
    <row r="2824">
      <c r="A2824" t="inlineStr">
        <is>
          <t>MLCMJCA12TXL</t>
        </is>
      </c>
      <c r="B2824" t="inlineStr">
        <is>
          <t>MOTION LOOP CLASICA CAB</t>
        </is>
      </c>
      <c r="C2824" t="inlineStr">
        <is>
          <t>Manufactura / Caballero / P. Superiores</t>
        </is>
      </c>
      <c r="D2824" t="n">
        <v>1</v>
      </c>
      <c r="E2824" t="n">
        <v>44.83</v>
      </c>
      <c r="F2824" t="n">
        <v>0.9553267298</v>
      </c>
      <c r="G2824" t="n">
        <v>5</v>
      </c>
      <c r="H2824" t="n">
        <v>2.002702703</v>
      </c>
      <c r="I2824" t="n">
        <v>0.1</v>
      </c>
      <c r="J2824" t="n">
        <v>1</v>
      </c>
      <c r="K2824" t="inlineStr"/>
    </row>
    <row r="2825">
      <c r="A2825" t="inlineStr">
        <is>
          <t>MLCMJCA14TS</t>
        </is>
      </c>
      <c r="B2825" t="inlineStr">
        <is>
          <t>MOTION LOOP CLASICA CAB</t>
        </is>
      </c>
      <c r="C2825" t="inlineStr">
        <is>
          <t>Manufactura / Caballero / P. Superiores</t>
        </is>
      </c>
      <c r="D2825" t="n">
        <v>1</v>
      </c>
      <c r="E2825" t="n">
        <v>44.83</v>
      </c>
      <c r="F2825" t="n">
        <v>0.9553267298</v>
      </c>
      <c r="G2825" t="n">
        <v>9</v>
      </c>
      <c r="H2825" t="n">
        <v>2.002702703</v>
      </c>
      <c r="I2825" t="n">
        <v>0.1</v>
      </c>
      <c r="J2825" t="n">
        <v>1</v>
      </c>
      <c r="K2825" t="inlineStr"/>
    </row>
    <row r="2826">
      <c r="A2826" t="inlineStr">
        <is>
          <t>CLAMIDA50TXS</t>
        </is>
      </c>
      <c r="B2826" t="inlineStr">
        <is>
          <t>CLASICA ORIGINAL DAMA</t>
        </is>
      </c>
      <c r="C2826" t="inlineStr">
        <is>
          <t>Manufactura / Dama / P. Superiores</t>
        </is>
      </c>
      <c r="D2826" t="n">
        <v>2</v>
      </c>
      <c r="E2826" t="n">
        <v>44.75335596</v>
      </c>
      <c r="F2826" t="n">
        <v>0.9123366839</v>
      </c>
      <c r="G2826" t="n">
        <v>0</v>
      </c>
      <c r="H2826" t="n">
        <v>3.923227589</v>
      </c>
      <c r="I2826" t="n">
        <v>0.2</v>
      </c>
      <c r="J2826" t="n">
        <v>2</v>
      </c>
      <c r="K2826" t="inlineStr">
        <is>
          <t>Sin stock</t>
        </is>
      </c>
    </row>
    <row r="2827">
      <c r="A2827" t="inlineStr">
        <is>
          <t>GOOSTDA43TS</t>
        </is>
      </c>
      <c r="B2827" t="inlineStr">
        <is>
          <t>RETRO VZLA DAMA</t>
        </is>
      </c>
      <c r="C2827" t="inlineStr">
        <is>
          <t>Manufactura / Dama / P. Superiores</t>
        </is>
      </c>
      <c r="D2827" t="n">
        <v>1</v>
      </c>
      <c r="E2827" t="n">
        <v>44.63704325</v>
      </c>
      <c r="F2827" t="n">
        <v>0.7484152358</v>
      </c>
      <c r="G2827" t="n">
        <v>0</v>
      </c>
      <c r="H2827" t="n">
        <v>11.23</v>
      </c>
      <c r="I2827" t="n">
        <v>0.1</v>
      </c>
      <c r="J2827" t="n">
        <v>5</v>
      </c>
      <c r="K2827" t="inlineStr">
        <is>
          <t>Sin stock</t>
        </is>
      </c>
    </row>
    <row r="2828">
      <c r="A2828" t="inlineStr">
        <is>
          <t>MARMIDA24TXL</t>
        </is>
      </c>
      <c r="B2828" t="inlineStr">
        <is>
          <t>MAR ORIGINAL DAMA</t>
        </is>
      </c>
      <c r="C2828" t="inlineStr">
        <is>
          <t>Manufactura / Dama / P. Superiores</t>
        </is>
      </c>
      <c r="D2828" t="n">
        <v>1</v>
      </c>
      <c r="E2828" t="n">
        <v>44.60901246</v>
      </c>
      <c r="F2828" t="n">
        <v>0.9040928298000001</v>
      </c>
      <c r="G2828" t="n">
        <v>0</v>
      </c>
      <c r="H2828" t="n">
        <v>4.278324149</v>
      </c>
      <c r="I2828" t="n">
        <v>0.1</v>
      </c>
      <c r="J2828" t="n">
        <v>8</v>
      </c>
      <c r="K2828" t="inlineStr">
        <is>
          <t>Sin stock</t>
        </is>
      </c>
    </row>
    <row r="2829">
      <c r="A2829" t="inlineStr">
        <is>
          <t>RIOMIDA24TM</t>
        </is>
      </c>
      <c r="B2829" t="inlineStr">
        <is>
          <t>RIO ORIGINAL DAMA</t>
        </is>
      </c>
      <c r="C2829" t="inlineStr">
        <is>
          <t>Manufactura / Dama / P. Superiores</t>
        </is>
      </c>
      <c r="D2829" t="n">
        <v>1</v>
      </c>
      <c r="E2829" t="n">
        <v>44.59903491</v>
      </c>
      <c r="F2829" t="n">
        <v>0.8758082482</v>
      </c>
      <c r="G2829" t="n">
        <v>0</v>
      </c>
      <c r="H2829" t="n">
        <v>5.538832275</v>
      </c>
      <c r="I2829" t="n">
        <v>0.1</v>
      </c>
      <c r="J2829" t="n">
        <v>9</v>
      </c>
      <c r="K2829" t="inlineStr">
        <is>
          <t>Sin stock</t>
        </is>
      </c>
    </row>
    <row r="2830">
      <c r="A2830" t="inlineStr">
        <is>
          <t>RIOMIDA09TM</t>
        </is>
      </c>
      <c r="B2830" t="inlineStr">
        <is>
          <t>RIO ORIGINAL DAMA</t>
        </is>
      </c>
      <c r="C2830" t="inlineStr">
        <is>
          <t>Manufactura / Dama / P. Superiores</t>
        </is>
      </c>
      <c r="D2830" t="n">
        <v>1</v>
      </c>
      <c r="E2830" t="n">
        <v>44.59903491</v>
      </c>
      <c r="F2830" t="n">
        <v>0.8758082482</v>
      </c>
      <c r="G2830" t="n">
        <v>0</v>
      </c>
      <c r="H2830" t="n">
        <v>5.538832275</v>
      </c>
      <c r="I2830" t="n">
        <v>0.1</v>
      </c>
      <c r="J2830" t="n">
        <v>9</v>
      </c>
      <c r="K2830" t="inlineStr">
        <is>
          <t>Sin stock</t>
        </is>
      </c>
    </row>
    <row r="2831">
      <c r="A2831" t="inlineStr">
        <is>
          <t>MARMIDA39TXL</t>
        </is>
      </c>
      <c r="B2831" t="inlineStr">
        <is>
          <t>MAR ORIGINAL DAMA</t>
        </is>
      </c>
      <c r="C2831" t="inlineStr">
        <is>
          <t>Manufactura / Dama / P. Superiores</t>
        </is>
      </c>
      <c r="D2831" t="n">
        <v>1</v>
      </c>
      <c r="E2831" t="n">
        <v>44.53937942</v>
      </c>
      <c r="F2831" t="n">
        <v>0.9039428882</v>
      </c>
      <c r="G2831" t="n">
        <v>0</v>
      </c>
      <c r="H2831" t="n">
        <v>4.278324149</v>
      </c>
      <c r="I2831" t="n">
        <v>0.1</v>
      </c>
      <c r="J2831" t="n">
        <v>5</v>
      </c>
      <c r="K2831" t="inlineStr">
        <is>
          <t>Sin stock</t>
        </is>
      </c>
    </row>
    <row r="2832">
      <c r="A2832" t="inlineStr">
        <is>
          <t>DALSTCA16T2XL</t>
        </is>
      </c>
      <c r="B2832" t="inlineStr">
        <is>
          <t>CLASICA DAILY 2.0 CAB</t>
        </is>
      </c>
      <c r="C2832" t="inlineStr">
        <is>
          <t>Manufactura / Caballero / P. Superiores</t>
        </is>
      </c>
      <c r="D2832" t="n">
        <v>1</v>
      </c>
      <c r="E2832" t="n">
        <v>44.48259614</v>
      </c>
      <c r="F2832" t="n">
        <v>0.7369757835</v>
      </c>
      <c r="G2832" t="n">
        <v>3</v>
      </c>
      <c r="H2832" t="n">
        <v>11.7</v>
      </c>
      <c r="I2832" t="n">
        <v>0.1</v>
      </c>
      <c r="J2832" t="n">
        <v>7</v>
      </c>
      <c r="K2832" t="inlineStr"/>
    </row>
    <row r="2833">
      <c r="A2833" t="inlineStr">
        <is>
          <t>AQUSTDA43TXS</t>
        </is>
      </c>
      <c r="B2833" t="inlineStr">
        <is>
          <t>RETRO VZLA DAMA</t>
        </is>
      </c>
      <c r="C2833" t="inlineStr">
        <is>
          <t>Manufactura / Dama / P. Superiores</t>
        </is>
      </c>
      <c r="D2833" t="n">
        <v>1</v>
      </c>
      <c r="E2833" t="n">
        <v>44.28278423</v>
      </c>
      <c r="F2833" t="n">
        <v>0.7464025761999999</v>
      </c>
      <c r="G2833" t="n">
        <v>1</v>
      </c>
      <c r="H2833" t="n">
        <v>11.23</v>
      </c>
      <c r="I2833" t="n">
        <v>0.1</v>
      </c>
      <c r="J2833" t="n">
        <v>5</v>
      </c>
      <c r="K2833" t="inlineStr"/>
    </row>
    <row r="2834">
      <c r="A2834" t="inlineStr">
        <is>
          <t>TOA63CL</t>
        </is>
      </c>
      <c r="B2834" t="inlineStr">
        <is>
          <t>TOALLA CLIP ORIGINAL</t>
        </is>
      </c>
      <c r="C2834" t="inlineStr">
        <is>
          <t>Equipamiento / Toallas</t>
        </is>
      </c>
      <c r="D2834" t="n">
        <v>2</v>
      </c>
      <c r="E2834" t="n">
        <v>44.24942762</v>
      </c>
      <c r="F2834" t="n">
        <v>0.76903077015</v>
      </c>
      <c r="G2834" t="n">
        <v>1</v>
      </c>
      <c r="H2834" t="n">
        <v>5.11</v>
      </c>
      <c r="I2834" t="n">
        <v>0.2</v>
      </c>
      <c r="J2834" t="n">
        <v>7</v>
      </c>
      <c r="K2834" t="inlineStr"/>
    </row>
    <row r="2835">
      <c r="A2835" t="inlineStr">
        <is>
          <t>CLAMICA34TL</t>
        </is>
      </c>
      <c r="B2835" t="inlineStr">
        <is>
          <t>CLASICA ORIGINAL CAB</t>
        </is>
      </c>
      <c r="C2835" t="inlineStr">
        <is>
          <t>Manufactura / Caballero / P. Superiores</t>
        </is>
      </c>
      <c r="D2835" t="n">
        <v>1</v>
      </c>
      <c r="E2835" t="n">
        <v>44.05912997</v>
      </c>
      <c r="F2835" t="n">
        <v>0.8956302011</v>
      </c>
      <c r="G2835" t="n">
        <v>0</v>
      </c>
      <c r="H2835" t="n">
        <v>4.598442536</v>
      </c>
      <c r="I2835" t="n">
        <v>0.1</v>
      </c>
      <c r="J2835" t="n">
        <v>7</v>
      </c>
      <c r="K2835" t="inlineStr">
        <is>
          <t>Sin stock</t>
        </is>
      </c>
    </row>
    <row r="2836">
      <c r="A2836" t="inlineStr">
        <is>
          <t>AQUSTCA16TXL</t>
        </is>
      </c>
      <c r="B2836" t="inlineStr">
        <is>
          <t>RETRO VZLA CAB</t>
        </is>
      </c>
      <c r="C2836" t="inlineStr">
        <is>
          <t>Manufactura / Caballero / P. Superiores</t>
        </is>
      </c>
      <c r="D2836" t="n">
        <v>1</v>
      </c>
      <c r="E2836" t="n">
        <v>44.05912997</v>
      </c>
      <c r="F2836" t="n">
        <v>0.7072116493</v>
      </c>
      <c r="G2836" t="n">
        <v>0</v>
      </c>
      <c r="H2836" t="n">
        <v>12.9</v>
      </c>
      <c r="I2836" t="n">
        <v>0.1</v>
      </c>
      <c r="J2836" t="n">
        <v>7</v>
      </c>
      <c r="K2836" t="inlineStr">
        <is>
          <t>Sin stock</t>
        </is>
      </c>
    </row>
    <row r="2837">
      <c r="A2837" t="inlineStr">
        <is>
          <t>CLAMECA43T3XL</t>
        </is>
      </c>
      <c r="B2837" t="inlineStr">
        <is>
          <t>CLASICA SPORT CAB</t>
        </is>
      </c>
      <c r="C2837" t="inlineStr">
        <is>
          <t>Manufactura / Caballero / P. Superiores</t>
        </is>
      </c>
      <c r="D2837" t="n">
        <v>1</v>
      </c>
      <c r="E2837" t="n">
        <v>44.00175039</v>
      </c>
      <c r="F2837" t="n">
        <v>0.765887827</v>
      </c>
      <c r="G2837" t="n">
        <v>0</v>
      </c>
      <c r="H2837" t="n">
        <v>10.3013454</v>
      </c>
      <c r="I2837" t="n">
        <v>0.1</v>
      </c>
      <c r="J2837" t="n">
        <v>8</v>
      </c>
      <c r="K2837" t="inlineStr">
        <is>
          <t>Sin stock</t>
        </is>
      </c>
    </row>
    <row r="2838">
      <c r="A2838" t="inlineStr">
        <is>
          <t>PETMIPE66TXS</t>
        </is>
      </c>
      <c r="B2838" t="inlineStr">
        <is>
          <t>BANDANA PET</t>
        </is>
      </c>
      <c r="C2838" t="inlineStr">
        <is>
          <t>Manufactura / General</t>
        </is>
      </c>
      <c r="D2838" t="n">
        <v>6</v>
      </c>
      <c r="E2838" t="n">
        <v>43.89303826</v>
      </c>
      <c r="F2838" t="n">
        <v>0.9761013079333333</v>
      </c>
      <c r="G2838" t="n">
        <v>19</v>
      </c>
      <c r="H2838" t="n">
        <v>0.3252662283</v>
      </c>
      <c r="I2838" t="n">
        <v>0.6</v>
      </c>
      <c r="J2838" t="n">
        <v>2</v>
      </c>
      <c r="K2838" t="inlineStr"/>
    </row>
    <row r="2839">
      <c r="A2839" t="inlineStr">
        <is>
          <t>TALGOTADA170TL</t>
        </is>
      </c>
      <c r="B2839" t="inlineStr">
        <is>
          <t>URBAN COTTON TOP VINTAGE GRIS DAMA</t>
        </is>
      </c>
      <c r="C2839" t="inlineStr">
        <is>
          <t>Manufactura / Dama / P. Superiores</t>
        </is>
      </c>
      <c r="D2839" t="n">
        <v>3</v>
      </c>
      <c r="E2839" t="n">
        <v>43.80441455</v>
      </c>
      <c r="F2839" t="n">
        <v>0.8277434902333334</v>
      </c>
      <c r="G2839" t="n">
        <v>0</v>
      </c>
      <c r="H2839" t="n">
        <v>7.819069274</v>
      </c>
      <c r="I2839" t="n">
        <v>0.3</v>
      </c>
      <c r="J2839" t="n">
        <v>5</v>
      </c>
      <c r="K2839" t="inlineStr">
        <is>
          <t>Sin stock</t>
        </is>
      </c>
    </row>
    <row r="2840">
      <c r="A2840" t="inlineStr">
        <is>
          <t>TRISTDA43TS</t>
        </is>
      </c>
      <c r="B2840" t="inlineStr">
        <is>
          <t>RETRO VZLA DAMA</t>
        </is>
      </c>
      <c r="C2840" t="inlineStr">
        <is>
          <t>Manufactura / Dama / P. Superiores</t>
        </is>
      </c>
      <c r="D2840" t="n">
        <v>1</v>
      </c>
      <c r="E2840" t="n">
        <v>43.77800407</v>
      </c>
      <c r="F2840" t="n">
        <v>0.7434784834</v>
      </c>
      <c r="G2840" t="n">
        <v>4</v>
      </c>
      <c r="H2840" t="n">
        <v>11.23</v>
      </c>
      <c r="I2840" t="n">
        <v>0.1</v>
      </c>
      <c r="J2840" t="n">
        <v>5</v>
      </c>
      <c r="K2840" t="inlineStr"/>
    </row>
    <row r="2841">
      <c r="A2841" t="inlineStr">
        <is>
          <t>CLAMIDA04TL</t>
        </is>
      </c>
      <c r="B2841" t="inlineStr">
        <is>
          <t>CLASICA ORIGINAL DAMA</t>
        </is>
      </c>
      <c r="C2841" t="inlineStr">
        <is>
          <t>Manufactura / Dama / P. Superiores</t>
        </is>
      </c>
      <c r="D2841" t="n">
        <v>1</v>
      </c>
      <c r="E2841" t="n">
        <v>43.62614996</v>
      </c>
      <c r="F2841" t="n">
        <v>0.9100716522</v>
      </c>
      <c r="G2841" t="n">
        <v>0</v>
      </c>
      <c r="H2841" t="n">
        <v>3.923227589</v>
      </c>
      <c r="I2841" t="n">
        <v>0.1</v>
      </c>
      <c r="J2841" t="n">
        <v>8</v>
      </c>
      <c r="K2841" t="inlineStr">
        <is>
          <t>Sin stock</t>
        </is>
      </c>
    </row>
    <row r="2842">
      <c r="A2842" t="inlineStr">
        <is>
          <t>CLAMICA04T2XL</t>
        </is>
      </c>
      <c r="B2842" t="inlineStr">
        <is>
          <t>CLASICA ORIGINAL CAB</t>
        </is>
      </c>
      <c r="C2842" t="inlineStr">
        <is>
          <t>Manufactura / Caballero / P. Superiores</t>
        </is>
      </c>
      <c r="D2842" t="n">
        <v>1</v>
      </c>
      <c r="E2842" t="n">
        <v>43.27041439</v>
      </c>
      <c r="F2842" t="n">
        <v>0.8937277907</v>
      </c>
      <c r="G2842" t="n">
        <v>13</v>
      </c>
      <c r="H2842" t="n">
        <v>4.598442536</v>
      </c>
      <c r="I2842" t="n">
        <v>0.1</v>
      </c>
      <c r="J2842" t="n">
        <v>8</v>
      </c>
      <c r="K2842" t="inlineStr"/>
    </row>
    <row r="2843">
      <c r="A2843" t="inlineStr">
        <is>
          <t>MARMIDA14TXL</t>
        </is>
      </c>
      <c r="B2843" t="inlineStr">
        <is>
          <t>MAR ORIGINAL DAMA</t>
        </is>
      </c>
      <c r="C2843" t="inlineStr">
        <is>
          <t>Manufactura / Dama / P. Superiores</t>
        </is>
      </c>
      <c r="D2843" t="n">
        <v>2</v>
      </c>
      <c r="E2843" t="n">
        <v>43.14607198</v>
      </c>
      <c r="F2843" t="n">
        <v>0.9008409352</v>
      </c>
      <c r="G2843" t="n">
        <v>0</v>
      </c>
      <c r="H2843" t="n">
        <v>4.278324149</v>
      </c>
      <c r="I2843" t="n">
        <v>0.2</v>
      </c>
      <c r="J2843" t="n">
        <v>8</v>
      </c>
      <c r="K2843" t="inlineStr">
        <is>
          <t>Sin stock</t>
        </is>
      </c>
    </row>
    <row r="2844">
      <c r="A2844" t="inlineStr">
        <is>
          <t>MARMICA53TS</t>
        </is>
      </c>
      <c r="B2844" t="inlineStr">
        <is>
          <t>MAR ORIGINAL CAB</t>
        </is>
      </c>
      <c r="C2844" t="inlineStr">
        <is>
          <t>Manufactura / Caballero / P. Superiores</t>
        </is>
      </c>
      <c r="D2844" t="n">
        <v>1</v>
      </c>
      <c r="E2844" t="n">
        <v>43.14020257</v>
      </c>
      <c r="F2844" t="n">
        <v>0.8853422763</v>
      </c>
      <c r="G2844" t="n">
        <v>0</v>
      </c>
      <c r="H2844" t="n">
        <v>4.946357428</v>
      </c>
      <c r="I2844" t="n">
        <v>0.1</v>
      </c>
      <c r="J2844" t="n">
        <v>6</v>
      </c>
      <c r="K2844" t="inlineStr">
        <is>
          <t>Sin stock</t>
        </is>
      </c>
    </row>
    <row r="2845">
      <c r="A2845" t="inlineStr">
        <is>
          <t>MAYFNDA16T2XL</t>
        </is>
      </c>
      <c r="B2845" t="inlineStr">
        <is>
          <t>MAYA SPORT LITE DAMA</t>
        </is>
      </c>
      <c r="C2845" t="inlineStr">
        <is>
          <t>Manufactura / Dama / P. Superiores</t>
        </is>
      </c>
      <c r="D2845" t="n">
        <v>1</v>
      </c>
      <c r="E2845" t="n">
        <v>43.1245717</v>
      </c>
      <c r="F2845" t="n">
        <v>0.9102599783</v>
      </c>
      <c r="G2845" t="n">
        <v>0</v>
      </c>
      <c r="H2845" t="n">
        <v>3.87</v>
      </c>
      <c r="I2845" t="n">
        <v>0.1</v>
      </c>
      <c r="J2845" t="n">
        <v>5</v>
      </c>
      <c r="K2845" t="inlineStr">
        <is>
          <t>Sin stock</t>
        </is>
      </c>
    </row>
    <row r="2846">
      <c r="A2846" t="inlineStr">
        <is>
          <t>VIVMIDA34TXL</t>
        </is>
      </c>
      <c r="B2846" t="inlineStr">
        <is>
          <t>VIVI ORIGINAL DAMA</t>
        </is>
      </c>
      <c r="C2846" t="inlineStr">
        <is>
          <t>Manufactura / Dama / P. Superiores</t>
        </is>
      </c>
      <c r="D2846" t="n">
        <v>1</v>
      </c>
      <c r="E2846" t="n">
        <v>43.01325686</v>
      </c>
      <c r="F2846" t="n">
        <v>0.89995685</v>
      </c>
      <c r="G2846" t="n">
        <v>0</v>
      </c>
      <c r="H2846" t="n">
        <v>4.303181706</v>
      </c>
      <c r="I2846" t="n">
        <v>0.1</v>
      </c>
      <c r="J2846" t="n">
        <v>2</v>
      </c>
      <c r="K2846" t="inlineStr">
        <is>
          <t>Sin stock</t>
        </is>
      </c>
    </row>
    <row r="2847">
      <c r="A2847" t="inlineStr">
        <is>
          <t>CLAMICA13T2XL</t>
        </is>
      </c>
      <c r="B2847" t="inlineStr">
        <is>
          <t>CLASICA ORIGINAL CAB</t>
        </is>
      </c>
      <c r="C2847" t="inlineStr">
        <is>
          <t>Manufactura / Caballero / P. Superiores</t>
        </is>
      </c>
      <c r="D2847" t="n">
        <v>1</v>
      </c>
      <c r="E2847" t="n">
        <v>43</v>
      </c>
      <c r="F2847" t="n">
        <v>0.8930594759</v>
      </c>
      <c r="G2847" t="n">
        <v>0</v>
      </c>
      <c r="H2847" t="n">
        <v>4.598442536</v>
      </c>
      <c r="I2847" t="n">
        <v>0.1</v>
      </c>
      <c r="J2847" t="n">
        <v>1</v>
      </c>
      <c r="K2847" t="inlineStr">
        <is>
          <t>Sin stock</t>
        </is>
      </c>
    </row>
    <row r="2848">
      <c r="A2848" t="inlineStr">
        <is>
          <t>CLAMICA50TXL</t>
        </is>
      </c>
      <c r="B2848" t="inlineStr">
        <is>
          <t>CLASICA ORIGINAL CAB</t>
        </is>
      </c>
      <c r="C2848" t="inlineStr">
        <is>
          <t>Manufactura / Caballero / P. Superiores</t>
        </is>
      </c>
      <c r="D2848" t="n">
        <v>1</v>
      </c>
      <c r="E2848" t="n">
        <v>43</v>
      </c>
      <c r="F2848" t="n">
        <v>0.8930594759</v>
      </c>
      <c r="G2848" t="n">
        <v>4</v>
      </c>
      <c r="H2848" t="n">
        <v>4.598442536</v>
      </c>
      <c r="I2848" t="n">
        <v>0.1</v>
      </c>
      <c r="J2848" t="n">
        <v>1</v>
      </c>
      <c r="K2848" t="inlineStr"/>
    </row>
    <row r="2849">
      <c r="A2849" t="inlineStr">
        <is>
          <t>CLAMIDA09TXS</t>
        </is>
      </c>
      <c r="B2849" t="inlineStr">
        <is>
          <t>CLASICA ORIGINAL DAMA</t>
        </is>
      </c>
      <c r="C2849" t="inlineStr">
        <is>
          <t>Manufactura / Dama / P. Superiores</t>
        </is>
      </c>
      <c r="D2849" t="n">
        <v>16</v>
      </c>
      <c r="E2849" t="n">
        <v>42.98995197</v>
      </c>
      <c r="F2849" t="n">
        <v>0.9043304573333333</v>
      </c>
      <c r="G2849" t="n">
        <v>0</v>
      </c>
      <c r="H2849" t="n">
        <v>3.923227589</v>
      </c>
      <c r="I2849" t="n">
        <v>1.6</v>
      </c>
      <c r="J2849" t="n">
        <v>3</v>
      </c>
      <c r="K2849" t="inlineStr">
        <is>
          <t>Sin stock</t>
        </is>
      </c>
    </row>
    <row r="2850">
      <c r="A2850" t="inlineStr">
        <is>
          <t>RIOMIKI39T4</t>
        </is>
      </c>
      <c r="B2850" t="inlineStr">
        <is>
          <t>RIO ORIGINAL KIDS</t>
        </is>
      </c>
      <c r="C2850" t="inlineStr">
        <is>
          <t>Manufactura / Kids / P. Superiores</t>
        </is>
      </c>
      <c r="D2850" t="n">
        <v>1</v>
      </c>
      <c r="E2850" t="n">
        <v>42.9346983</v>
      </c>
      <c r="F2850" t="n">
        <v>0.915733204</v>
      </c>
      <c r="G2850" t="n">
        <v>0</v>
      </c>
      <c r="H2850" t="n">
        <v>3.617969464</v>
      </c>
      <c r="I2850" t="n">
        <v>0.1</v>
      </c>
      <c r="J2850" t="n">
        <v>9</v>
      </c>
      <c r="K2850" t="inlineStr">
        <is>
          <t>Sin stock</t>
        </is>
      </c>
    </row>
    <row r="2851">
      <c r="A2851" t="inlineStr">
        <is>
          <t>RIOMIKI05T12</t>
        </is>
      </c>
      <c r="B2851" t="inlineStr">
        <is>
          <t>RIO ORIGINAL KIDS</t>
        </is>
      </c>
      <c r="C2851" t="inlineStr">
        <is>
          <t>Manufactura / Kids / P. Superiores</t>
        </is>
      </c>
      <c r="D2851" t="n">
        <v>1</v>
      </c>
      <c r="E2851" t="n">
        <v>42.9346983</v>
      </c>
      <c r="F2851" t="n">
        <v>0.915733204</v>
      </c>
      <c r="G2851" t="n">
        <v>0</v>
      </c>
      <c r="H2851" t="n">
        <v>3.617969464</v>
      </c>
      <c r="I2851" t="n">
        <v>0.1</v>
      </c>
      <c r="J2851" t="n">
        <v>9</v>
      </c>
      <c r="K2851" t="inlineStr">
        <is>
          <t>Sin stock</t>
        </is>
      </c>
    </row>
    <row r="2852">
      <c r="A2852" t="inlineStr">
        <is>
          <t>ZOEMIKI11T6</t>
        </is>
      </c>
      <c r="B2852" t="inlineStr">
        <is>
          <t>ZOE ORIGINAL KIDS</t>
        </is>
      </c>
      <c r="C2852" t="inlineStr">
        <is>
          <t>Manufactura / Kids / P. Superiores</t>
        </is>
      </c>
      <c r="D2852" t="n">
        <v>1</v>
      </c>
      <c r="E2852" t="n">
        <v>42.9185336</v>
      </c>
      <c r="F2852" t="n">
        <v>0.904004176</v>
      </c>
      <c r="G2852" t="n">
        <v>14</v>
      </c>
      <c r="H2852" t="n">
        <v>4.12</v>
      </c>
      <c r="I2852" t="n">
        <v>0.1</v>
      </c>
      <c r="J2852" t="n">
        <v>5</v>
      </c>
      <c r="K2852" t="inlineStr"/>
    </row>
    <row r="2853">
      <c r="A2853" t="inlineStr">
        <is>
          <t>MARMICA14TS</t>
        </is>
      </c>
      <c r="B2853" t="inlineStr">
        <is>
          <t>MAR ORIGINAL CAB</t>
        </is>
      </c>
      <c r="C2853" t="inlineStr">
        <is>
          <t>Manufactura / Caballero / P. Superiores</t>
        </is>
      </c>
      <c r="D2853" t="n">
        <v>2</v>
      </c>
      <c r="E2853" t="n">
        <v>42.7152521</v>
      </c>
      <c r="F2853" t="n">
        <v>0.8842016098</v>
      </c>
      <c r="G2853" t="n">
        <v>0</v>
      </c>
      <c r="H2853" t="n">
        <v>4.946357428</v>
      </c>
      <c r="I2853" t="n">
        <v>0.2</v>
      </c>
      <c r="J2853" t="n">
        <v>3</v>
      </c>
      <c r="K2853" t="inlineStr">
        <is>
          <t>Sin stock</t>
        </is>
      </c>
    </row>
    <row r="2854">
      <c r="A2854" t="inlineStr">
        <is>
          <t>SHOUNCA13TXL</t>
        </is>
      </c>
      <c r="B2854" t="inlineStr">
        <is>
          <t>SHORT PLAYA CAB</t>
        </is>
      </c>
      <c r="C2854" t="inlineStr">
        <is>
          <t>Manufactura / Caballero / P. Inferiores</t>
        </is>
      </c>
      <c r="D2854" t="n">
        <v>1</v>
      </c>
      <c r="E2854" t="n">
        <v>42.67479931</v>
      </c>
      <c r="F2854" t="n">
        <v>0.7659039958</v>
      </c>
      <c r="G2854" t="n">
        <v>0</v>
      </c>
      <c r="H2854" t="n">
        <v>9.99</v>
      </c>
      <c r="I2854" t="n">
        <v>0.1</v>
      </c>
      <c r="J2854" t="n">
        <v>9</v>
      </c>
      <c r="K2854" t="inlineStr">
        <is>
          <t>Sin stock</t>
        </is>
      </c>
    </row>
    <row r="2855">
      <c r="A2855" t="inlineStr">
        <is>
          <t>GEMBADA16TS</t>
        </is>
      </c>
      <c r="B2855" t="inlineStr">
        <is>
          <t>VESTIDO GEMMA DAMA</t>
        </is>
      </c>
      <c r="C2855" t="inlineStr">
        <is>
          <t>Manufactura / Dama / Conjuntos</t>
        </is>
      </c>
      <c r="D2855" t="n">
        <v>2</v>
      </c>
      <c r="E2855" t="n">
        <v>42.61565517</v>
      </c>
      <c r="F2855" t="n">
        <v>0.4370613358</v>
      </c>
      <c r="G2855" t="n">
        <v>11</v>
      </c>
      <c r="H2855" t="n">
        <v>23.99</v>
      </c>
      <c r="I2855" t="n">
        <v>0.2</v>
      </c>
      <c r="J2855" t="n">
        <v>2</v>
      </c>
      <c r="K2855" t="inlineStr"/>
    </row>
    <row r="2856">
      <c r="A2856" t="inlineStr">
        <is>
          <t>RIOMIKI14T12</t>
        </is>
      </c>
      <c r="B2856" t="inlineStr">
        <is>
          <t>RIO ORIGINAL KIDS</t>
        </is>
      </c>
      <c r="C2856" t="inlineStr">
        <is>
          <t>Manufactura / Kids / P. Superiores</t>
        </is>
      </c>
      <c r="D2856" t="n">
        <v>1</v>
      </c>
      <c r="E2856" t="n">
        <v>42.54884098</v>
      </c>
      <c r="F2856" t="n">
        <v>0.9149690243</v>
      </c>
      <c r="G2856" t="n">
        <v>0</v>
      </c>
      <c r="H2856" t="n">
        <v>3.617969464</v>
      </c>
      <c r="I2856" t="n">
        <v>0.1</v>
      </c>
      <c r="J2856" t="n">
        <v>9</v>
      </c>
      <c r="K2856" t="inlineStr">
        <is>
          <t>Sin stock</t>
        </is>
      </c>
    </row>
    <row r="2857">
      <c r="A2857" t="inlineStr">
        <is>
          <t>RIOMIKI09T12</t>
        </is>
      </c>
      <c r="B2857" t="inlineStr">
        <is>
          <t>RIO ORIGINAL KIDS</t>
        </is>
      </c>
      <c r="C2857" t="inlineStr">
        <is>
          <t>Manufactura / Kids / P. Superiores</t>
        </is>
      </c>
      <c r="D2857" t="n">
        <v>1</v>
      </c>
      <c r="E2857" t="n">
        <v>42.54730766</v>
      </c>
      <c r="F2857" t="n">
        <v>0.9149659599</v>
      </c>
      <c r="G2857" t="n">
        <v>0</v>
      </c>
      <c r="H2857" t="n">
        <v>3.617969464</v>
      </c>
      <c r="I2857" t="n">
        <v>0.1</v>
      </c>
      <c r="J2857" t="n">
        <v>9</v>
      </c>
      <c r="K2857" t="inlineStr">
        <is>
          <t>Sin stock</t>
        </is>
      </c>
    </row>
    <row r="2858">
      <c r="A2858" t="inlineStr">
        <is>
          <t>CLAMICA13T3XL</t>
        </is>
      </c>
      <c r="B2858" t="inlineStr">
        <is>
          <t>CLASICA ORIGINAL CAB</t>
        </is>
      </c>
      <c r="C2858" t="inlineStr">
        <is>
          <t>Manufactura / Caballero / P. Superiores</t>
        </is>
      </c>
      <c r="D2858" t="n">
        <v>1</v>
      </c>
      <c r="E2858" t="n">
        <v>42.54730766</v>
      </c>
      <c r="F2858" t="n">
        <v>0.8950984854</v>
      </c>
      <c r="G2858" t="n">
        <v>2</v>
      </c>
      <c r="H2858" t="n">
        <v>4.598442536</v>
      </c>
      <c r="I2858" t="n">
        <v>0.1</v>
      </c>
      <c r="J2858" t="n">
        <v>7</v>
      </c>
      <c r="K2858" t="inlineStr"/>
    </row>
    <row r="2859">
      <c r="A2859" t="inlineStr">
        <is>
          <t>CLAMIDA09TM</t>
        </is>
      </c>
      <c r="B2859" t="inlineStr">
        <is>
          <t>CLASICA ORIGINAL DAMA</t>
        </is>
      </c>
      <c r="C2859" t="inlineStr">
        <is>
          <t>Manufactura / Dama / P. Superiores</t>
        </is>
      </c>
      <c r="D2859" t="n">
        <v>26</v>
      </c>
      <c r="E2859" t="n">
        <v>42.54730766</v>
      </c>
      <c r="F2859" t="n">
        <v>0.907791402</v>
      </c>
      <c r="G2859" t="n">
        <v>0</v>
      </c>
      <c r="H2859" t="n">
        <v>3.923227589</v>
      </c>
      <c r="I2859" t="n">
        <v>2.6</v>
      </c>
      <c r="J2859" t="n">
        <v>3</v>
      </c>
      <c r="K2859" t="inlineStr">
        <is>
          <t>Sin stock</t>
        </is>
      </c>
    </row>
    <row r="2860">
      <c r="A2860" t="inlineStr">
        <is>
          <t>CLAMIDA53TL</t>
        </is>
      </c>
      <c r="B2860" t="inlineStr">
        <is>
          <t>CLASICA ORIGINAL DAMA</t>
        </is>
      </c>
      <c r="C2860" t="inlineStr">
        <is>
          <t>Manufactura / Dama / P. Superiores</t>
        </is>
      </c>
      <c r="D2860" t="n">
        <v>1</v>
      </c>
      <c r="E2860" t="n">
        <v>42.4200521</v>
      </c>
      <c r="F2860" t="n">
        <v>0.9075147862</v>
      </c>
      <c r="G2860" t="n">
        <v>0</v>
      </c>
      <c r="H2860" t="n">
        <v>3.923227589</v>
      </c>
      <c r="I2860" t="n">
        <v>0.1</v>
      </c>
      <c r="J2860" t="n">
        <v>8</v>
      </c>
      <c r="K2860" t="inlineStr">
        <is>
          <t>Sin stock</t>
        </is>
      </c>
    </row>
    <row r="2861">
      <c r="A2861" t="inlineStr">
        <is>
          <t>VIVMIDA66TM</t>
        </is>
      </c>
      <c r="B2861" t="inlineStr">
        <is>
          <t>VIVI ORIGINAL DAMA</t>
        </is>
      </c>
      <c r="C2861" t="inlineStr">
        <is>
          <t>Manufactura / Dama / P. Superiores</t>
        </is>
      </c>
      <c r="D2861" t="n">
        <v>1</v>
      </c>
      <c r="E2861" t="n">
        <v>42.41694022</v>
      </c>
      <c r="F2861" t="n">
        <v>0.8985503979</v>
      </c>
      <c r="G2861" t="n">
        <v>31</v>
      </c>
      <c r="H2861" t="n">
        <v>4.303181706</v>
      </c>
      <c r="I2861" t="n">
        <v>0.1</v>
      </c>
      <c r="J2861" t="n">
        <v>5</v>
      </c>
      <c r="K2861" t="inlineStr"/>
    </row>
    <row r="2862">
      <c r="A2862" t="inlineStr">
        <is>
          <t>CLAMICA30T3XL</t>
        </is>
      </c>
      <c r="B2862" t="inlineStr">
        <is>
          <t>CLASICA ORIGINAL CAB</t>
        </is>
      </c>
      <c r="C2862" t="inlineStr">
        <is>
          <t>Manufactura / Caballero / P. Superiores</t>
        </is>
      </c>
      <c r="D2862" t="n">
        <v>1</v>
      </c>
      <c r="E2862" t="n">
        <v>42.39428148</v>
      </c>
      <c r="F2862" t="n">
        <v>0.8915315374</v>
      </c>
      <c r="G2862" t="n">
        <v>0</v>
      </c>
      <c r="H2862" t="n">
        <v>4.598442536</v>
      </c>
      <c r="I2862" t="n">
        <v>0.1</v>
      </c>
      <c r="J2862" t="n">
        <v>3</v>
      </c>
      <c r="K2862" t="inlineStr">
        <is>
          <t>Sin stock</t>
        </is>
      </c>
    </row>
    <row r="2863">
      <c r="A2863" t="inlineStr">
        <is>
          <t>SHOUNCA68T3XL</t>
        </is>
      </c>
      <c r="B2863" t="inlineStr">
        <is>
          <t>SHORT PLAYA CAB</t>
        </is>
      </c>
      <c r="C2863" t="inlineStr">
        <is>
          <t>Manufactura / Caballero / P. Inferiores</t>
        </is>
      </c>
      <c r="D2863" t="n">
        <v>1</v>
      </c>
      <c r="E2863" t="n">
        <v>42.32304812</v>
      </c>
      <c r="F2863" t="n">
        <v>0.7639583999</v>
      </c>
      <c r="G2863" t="n">
        <v>0</v>
      </c>
      <c r="H2863" t="n">
        <v>9.99</v>
      </c>
      <c r="I2863" t="n">
        <v>0.1</v>
      </c>
      <c r="J2863" t="n">
        <v>8</v>
      </c>
      <c r="K2863" t="inlineStr">
        <is>
          <t>Sin stock</t>
        </is>
      </c>
    </row>
    <row r="2864">
      <c r="A2864" t="inlineStr">
        <is>
          <t>CLAMECA16T3XL</t>
        </is>
      </c>
      <c r="B2864" t="inlineStr">
        <is>
          <t>CLASICA SPORT CAB</t>
        </is>
      </c>
      <c r="C2864" t="inlineStr">
        <is>
          <t>Manufactura / Caballero / P. Superiores</t>
        </is>
      </c>
      <c r="D2864" t="n">
        <v>1</v>
      </c>
      <c r="E2864" t="n">
        <v>42.16478759</v>
      </c>
      <c r="F2864" t="n">
        <v>0.7556884313</v>
      </c>
      <c r="G2864" t="n">
        <v>0</v>
      </c>
      <c r="H2864" t="n">
        <v>10.3013454</v>
      </c>
      <c r="I2864" t="n">
        <v>0.1</v>
      </c>
      <c r="J2864" t="n">
        <v>9</v>
      </c>
      <c r="K2864" t="inlineStr">
        <is>
          <t>Sin stock</t>
        </is>
      </c>
    </row>
    <row r="2865">
      <c r="A2865" t="inlineStr">
        <is>
          <t>CLAMIDA52TL</t>
        </is>
      </c>
      <c r="B2865" t="inlineStr">
        <is>
          <t>CLASICA ORIGINAL DAMA</t>
        </is>
      </c>
      <c r="C2865" t="inlineStr">
        <is>
          <t>Manufactura / Dama / P. Superiores</t>
        </is>
      </c>
      <c r="D2865" t="n">
        <v>17</v>
      </c>
      <c r="E2865" t="n">
        <v>42.16325426</v>
      </c>
      <c r="F2865" t="n">
        <v>0.9069514994</v>
      </c>
      <c r="G2865" t="n">
        <v>0</v>
      </c>
      <c r="H2865" t="n">
        <v>3.923227589</v>
      </c>
      <c r="I2865" t="n">
        <v>1.7</v>
      </c>
      <c r="J2865" t="n">
        <v>2</v>
      </c>
      <c r="K2865" t="inlineStr">
        <is>
          <t>Sin stock</t>
        </is>
      </c>
    </row>
    <row r="2866">
      <c r="A2866" t="inlineStr">
        <is>
          <t>ZOEMIDA01TXL</t>
        </is>
      </c>
      <c r="B2866" t="inlineStr">
        <is>
          <t>ZOE ORIGINAL DAMA</t>
        </is>
      </c>
      <c r="C2866" t="inlineStr">
        <is>
          <t>Manufactura / Dama / P. Superiores</t>
        </is>
      </c>
      <c r="D2866" t="n">
        <v>1</v>
      </c>
      <c r="E2866" t="n">
        <v>42.11358131</v>
      </c>
      <c r="F2866" t="n">
        <v>0.9022504008</v>
      </c>
      <c r="G2866" t="n">
        <v>0</v>
      </c>
      <c r="H2866" t="n">
        <v>4.116585696</v>
      </c>
      <c r="I2866" t="n">
        <v>0.1</v>
      </c>
      <c r="J2866" t="n">
        <v>7</v>
      </c>
      <c r="K2866" t="inlineStr">
        <is>
          <t>Sin stock</t>
        </is>
      </c>
    </row>
    <row r="2867">
      <c r="A2867" t="inlineStr">
        <is>
          <t>CLAMICA50T4XL</t>
        </is>
      </c>
      <c r="B2867" t="inlineStr">
        <is>
          <t>CLASICA ORIGINAL CAB</t>
        </is>
      </c>
      <c r="C2867" t="inlineStr">
        <is>
          <t>Manufactura / Caballero / P. Superiores</t>
        </is>
      </c>
      <c r="D2867" t="n">
        <v>1</v>
      </c>
      <c r="E2867" t="n">
        <v>42.06769519</v>
      </c>
      <c r="F2867" t="n">
        <v>0.8906894586</v>
      </c>
      <c r="G2867" t="n">
        <v>0</v>
      </c>
      <c r="H2867" t="n">
        <v>4.598442536</v>
      </c>
      <c r="I2867" t="n">
        <v>0.1</v>
      </c>
      <c r="J2867" t="n">
        <v>8</v>
      </c>
      <c r="K2867" t="inlineStr">
        <is>
          <t>Sin stock</t>
        </is>
      </c>
    </row>
    <row r="2868">
      <c r="A2868" t="inlineStr">
        <is>
          <t>SABMIDA43TXL</t>
        </is>
      </c>
      <c r="B2868" t="inlineStr">
        <is>
          <t>SABRI ORIGINAL DAMA</t>
        </is>
      </c>
      <c r="C2868" t="inlineStr">
        <is>
          <t>Manufactura / Dama / P. Superiores</t>
        </is>
      </c>
      <c r="D2868" t="n">
        <v>1</v>
      </c>
      <c r="E2868" t="n">
        <v>42</v>
      </c>
      <c r="F2868" t="n">
        <v>0.8926190476</v>
      </c>
      <c r="G2868" t="n">
        <v>0</v>
      </c>
      <c r="H2868" t="n">
        <v>4.51</v>
      </c>
      <c r="I2868" t="n">
        <v>0.1</v>
      </c>
      <c r="J2868" t="n">
        <v>5</v>
      </c>
      <c r="K2868" t="inlineStr">
        <is>
          <t>Sin stock</t>
        </is>
      </c>
    </row>
    <row r="2869">
      <c r="A2869" t="inlineStr">
        <is>
          <t>SHOUNCA187T3XL</t>
        </is>
      </c>
      <c r="B2869" t="inlineStr">
        <is>
          <t>SHORT PLAYA CAB</t>
        </is>
      </c>
      <c r="C2869" t="inlineStr">
        <is>
          <t>Manufactura / Caballero / P. Inferiores</t>
        </is>
      </c>
      <c r="D2869" t="n">
        <v>1</v>
      </c>
      <c r="E2869" t="n">
        <v>41.91512003</v>
      </c>
      <c r="F2869" t="n">
        <v>0.7616611859</v>
      </c>
      <c r="G2869" t="n">
        <v>0</v>
      </c>
      <c r="H2869" t="n">
        <v>9.99</v>
      </c>
      <c r="I2869" t="n">
        <v>0.1</v>
      </c>
      <c r="J2869" t="n">
        <v>2</v>
      </c>
      <c r="K2869" t="inlineStr">
        <is>
          <t>Sin stock</t>
        </is>
      </c>
    </row>
    <row r="2870">
      <c r="A2870" t="inlineStr">
        <is>
          <t>CLAMIKI53T4</t>
        </is>
      </c>
      <c r="B2870" t="inlineStr">
        <is>
          <t>CLASICA ORIGINAL KIDS</t>
        </is>
      </c>
      <c r="C2870" t="inlineStr">
        <is>
          <t>Manufactura / Kids / P. Superiores</t>
        </is>
      </c>
      <c r="D2870" t="n">
        <v>1</v>
      </c>
      <c r="E2870" t="n">
        <v>41.83957626</v>
      </c>
      <c r="F2870" t="n">
        <v>0.9509131069</v>
      </c>
      <c r="G2870" t="n">
        <v>0</v>
      </c>
      <c r="H2870" t="n">
        <v>2.053774806</v>
      </c>
      <c r="I2870" t="n">
        <v>0.1</v>
      </c>
      <c r="J2870" t="n">
        <v>4</v>
      </c>
      <c r="K2870" t="inlineStr">
        <is>
          <t>Sin stock</t>
        </is>
      </c>
    </row>
    <row r="2871">
      <c r="A2871" t="inlineStr">
        <is>
          <t>MANMIGE11TG</t>
        </is>
      </c>
      <c r="B2871" t="inlineStr">
        <is>
          <t>MANGAS GENERAL</t>
        </is>
      </c>
      <c r="C2871" t="inlineStr">
        <is>
          <t>Manufactura / General</t>
        </is>
      </c>
      <c r="D2871" t="n">
        <v>3</v>
      </c>
      <c r="E2871" t="n">
        <v>41.82834552</v>
      </c>
      <c r="F2871" t="n">
        <v>0.9334422867333334</v>
      </c>
      <c r="G2871" t="n">
        <v>2</v>
      </c>
      <c r="H2871" t="n">
        <v>0.92</v>
      </c>
      <c r="I2871" t="n">
        <v>0.3</v>
      </c>
      <c r="J2871" t="n">
        <v>1</v>
      </c>
      <c r="K2871" t="inlineStr"/>
    </row>
    <row r="2872">
      <c r="A2872" t="inlineStr">
        <is>
          <t>PCLMECA43TM</t>
        </is>
      </c>
      <c r="B2872" t="inlineStr">
        <is>
          <t>CLASICA PADEL SPORT CAB</t>
        </is>
      </c>
      <c r="C2872" t="inlineStr">
        <is>
          <t>Manufactura / Caballero / P. Superiores</t>
        </is>
      </c>
      <c r="D2872" t="n">
        <v>1</v>
      </c>
      <c r="E2872" t="n">
        <v>41.80535763</v>
      </c>
      <c r="F2872" t="n">
        <v>0</v>
      </c>
      <c r="G2872" t="n">
        <v>0</v>
      </c>
      <c r="H2872" t="n">
        <v>0</v>
      </c>
      <c r="I2872" t="n">
        <v>0.1</v>
      </c>
      <c r="J2872" t="n">
        <v>9</v>
      </c>
      <c r="K2872" t="inlineStr">
        <is>
          <t>Sin stock</t>
        </is>
      </c>
    </row>
    <row r="2873">
      <c r="A2873" t="inlineStr">
        <is>
          <t>DALSSTDA43TXL</t>
        </is>
      </c>
      <c r="B2873" t="inlineStr">
        <is>
          <t>MANGA LARGA DAILY 2.0 DAMA</t>
        </is>
      </c>
      <c r="C2873" t="inlineStr">
        <is>
          <t>Manufactura / Dama / P. Superiores</t>
        </is>
      </c>
      <c r="D2873" t="n">
        <v>1</v>
      </c>
      <c r="E2873" t="n">
        <v>41.57688812999999</v>
      </c>
      <c r="F2873" t="n">
        <v>0.7800234573666667</v>
      </c>
      <c r="G2873" t="n">
        <v>6</v>
      </c>
      <c r="H2873" t="n">
        <v>12.3</v>
      </c>
      <c r="I2873" t="n">
        <v>0.1</v>
      </c>
      <c r="J2873" t="n">
        <v>7</v>
      </c>
      <c r="K2873" t="inlineStr"/>
    </row>
    <row r="2874">
      <c r="A2874" t="inlineStr">
        <is>
          <t>SHOSUKI36T1</t>
        </is>
      </c>
      <c r="B2874" t="inlineStr">
        <is>
          <t>SHORT PLAYA ESTAMPADO KIDS</t>
        </is>
      </c>
      <c r="C2874" t="inlineStr">
        <is>
          <t>Manufactura / Kids / P. Superiores</t>
        </is>
      </c>
      <c r="D2874" t="n">
        <v>1</v>
      </c>
      <c r="E2874" t="n">
        <v>41.38</v>
      </c>
      <c r="F2874" t="n">
        <v>0.8257612373</v>
      </c>
      <c r="G2874" t="n">
        <v>0</v>
      </c>
      <c r="H2874" t="n">
        <v>7.21</v>
      </c>
      <c r="I2874" t="n">
        <v>0.1</v>
      </c>
      <c r="J2874" t="n">
        <v>0</v>
      </c>
      <c r="K2874" t="inlineStr">
        <is>
          <t>Sin stock</t>
        </is>
      </c>
    </row>
    <row r="2875">
      <c r="A2875" t="inlineStr">
        <is>
          <t>MLMMJDA12TXS</t>
        </is>
      </c>
      <c r="B2875" t="inlineStr">
        <is>
          <t>MOTION LOOP MAFE DAMA</t>
        </is>
      </c>
      <c r="C2875" t="inlineStr">
        <is>
          <t>Manufactura / Dama / P. Superiores</t>
        </is>
      </c>
      <c r="D2875" t="n">
        <v>1</v>
      </c>
      <c r="E2875" t="n">
        <v>41.38</v>
      </c>
      <c r="F2875" t="n">
        <v>0.9935690887</v>
      </c>
      <c r="G2875" t="n">
        <v>5</v>
      </c>
      <c r="H2875" t="n">
        <v>0.2661111111</v>
      </c>
      <c r="I2875" t="n">
        <v>0.1</v>
      </c>
      <c r="J2875" t="n">
        <v>1</v>
      </c>
      <c r="K2875" t="inlineStr"/>
    </row>
    <row r="2876">
      <c r="A2876" t="inlineStr">
        <is>
          <t>MLMMJDA14TL</t>
        </is>
      </c>
      <c r="B2876" t="inlineStr">
        <is>
          <t>MOTION LOOP MAFE DAMA</t>
        </is>
      </c>
      <c r="C2876" t="inlineStr">
        <is>
          <t>Manufactura / Dama / P. Superiores</t>
        </is>
      </c>
      <c r="D2876" t="n">
        <v>1</v>
      </c>
      <c r="E2876" t="n">
        <v>41.38</v>
      </c>
      <c r="F2876" t="n">
        <v>0.9935690887</v>
      </c>
      <c r="G2876" t="n">
        <v>3</v>
      </c>
      <c r="H2876" t="n">
        <v>0.2661111111</v>
      </c>
      <c r="I2876" t="n">
        <v>0.1</v>
      </c>
      <c r="J2876" t="n">
        <v>1</v>
      </c>
      <c r="K2876" t="inlineStr"/>
    </row>
    <row r="2877">
      <c r="A2877" t="inlineStr">
        <is>
          <t>SHOSUKI112T4</t>
        </is>
      </c>
      <c r="B2877" t="inlineStr">
        <is>
          <t>SHORT PLAYA ESTAMPADO KIDS</t>
        </is>
      </c>
      <c r="C2877" t="inlineStr">
        <is>
          <t>Manufactura / Kids / P. Superiores</t>
        </is>
      </c>
      <c r="D2877" t="n">
        <v>1</v>
      </c>
      <c r="E2877" t="n">
        <v>41.38</v>
      </c>
      <c r="F2877" t="n">
        <v>0.8257612373</v>
      </c>
      <c r="G2877" t="n">
        <v>0</v>
      </c>
      <c r="H2877" t="n">
        <v>7.21</v>
      </c>
      <c r="I2877" t="n">
        <v>0.1</v>
      </c>
      <c r="J2877" t="n">
        <v>0</v>
      </c>
      <c r="K2877" t="inlineStr">
        <is>
          <t>Sin stock</t>
        </is>
      </c>
    </row>
    <row r="2878">
      <c r="A2878" t="inlineStr">
        <is>
          <t>SHOSUKI111T14</t>
        </is>
      </c>
      <c r="B2878" t="inlineStr">
        <is>
          <t>SHORT PLAYA ESTAMPADO KIDS</t>
        </is>
      </c>
      <c r="C2878" t="inlineStr">
        <is>
          <t>Manufactura / Kids / P. Superiores</t>
        </is>
      </c>
      <c r="D2878" t="n">
        <v>1</v>
      </c>
      <c r="E2878" t="n">
        <v>41.38</v>
      </c>
      <c r="F2878" t="n">
        <v>0.8257612373</v>
      </c>
      <c r="G2878" t="n">
        <v>0</v>
      </c>
      <c r="H2878" t="n">
        <v>7.21</v>
      </c>
      <c r="I2878" t="n">
        <v>0.1</v>
      </c>
      <c r="J2878" t="n">
        <v>0</v>
      </c>
      <c r="K2878" t="inlineStr">
        <is>
          <t>Sin stock</t>
        </is>
      </c>
    </row>
    <row r="2879">
      <c r="A2879" t="inlineStr">
        <is>
          <t>MLMMJDA12TM</t>
        </is>
      </c>
      <c r="B2879" t="inlineStr">
        <is>
          <t>MOTION LOOP MAFE DAMA</t>
        </is>
      </c>
      <c r="C2879" t="inlineStr">
        <is>
          <t>Manufactura / Dama / P. Superiores</t>
        </is>
      </c>
      <c r="D2879" t="n">
        <v>1</v>
      </c>
      <c r="E2879" t="n">
        <v>41.38</v>
      </c>
      <c r="F2879" t="n">
        <v>0.9935690887</v>
      </c>
      <c r="G2879" t="n">
        <v>10</v>
      </c>
      <c r="H2879" t="n">
        <v>0.2661111111</v>
      </c>
      <c r="I2879" t="n">
        <v>0.1</v>
      </c>
      <c r="J2879" t="n">
        <v>1</v>
      </c>
      <c r="K2879" t="inlineStr"/>
    </row>
    <row r="2880">
      <c r="A2880" t="inlineStr">
        <is>
          <t>ACDMIDA120TL</t>
        </is>
      </c>
      <c r="B2880" t="inlineStr">
        <is>
          <t>DANI ACTIVE DAMA</t>
        </is>
      </c>
      <c r="C2880" t="inlineStr">
        <is>
          <t>Manufactura / Dama / P. Superiores</t>
        </is>
      </c>
      <c r="D2880" t="n">
        <v>1</v>
      </c>
      <c r="E2880" t="n">
        <v>41.38</v>
      </c>
      <c r="F2880" t="n">
        <v>0.7626872885</v>
      </c>
      <c r="G2880" t="n">
        <v>0</v>
      </c>
      <c r="H2880" t="n">
        <v>9.82</v>
      </c>
      <c r="I2880" t="n">
        <v>0.1</v>
      </c>
      <c r="J2880" t="n">
        <v>1</v>
      </c>
      <c r="K2880" t="inlineStr">
        <is>
          <t>Sin stock</t>
        </is>
      </c>
    </row>
    <row r="2881">
      <c r="A2881" t="inlineStr">
        <is>
          <t>MLMMJDA14TXS</t>
        </is>
      </c>
      <c r="B2881" t="inlineStr">
        <is>
          <t>MOTION LOOP MAFE DAMA</t>
        </is>
      </c>
      <c r="C2881" t="inlineStr">
        <is>
          <t>Manufactura / Dama / P. Superiores</t>
        </is>
      </c>
      <c r="D2881" t="n">
        <v>2</v>
      </c>
      <c r="E2881" t="n">
        <v>41.38</v>
      </c>
      <c r="F2881" t="n">
        <v>0.9935690887</v>
      </c>
      <c r="G2881" t="n">
        <v>3</v>
      </c>
      <c r="H2881" t="n">
        <v>0.2661111111</v>
      </c>
      <c r="I2881" t="n">
        <v>0.2</v>
      </c>
      <c r="J2881" t="n">
        <v>1</v>
      </c>
      <c r="K2881" t="inlineStr"/>
    </row>
    <row r="2882">
      <c r="A2882" t="inlineStr">
        <is>
          <t>ADUMMDA16TXL</t>
        </is>
      </c>
      <c r="B2882" t="inlineStr">
        <is>
          <t>ACTIVE DUO DAMA</t>
        </is>
      </c>
      <c r="C2882" t="inlineStr">
        <is>
          <t>Manufactura / Caballero / P. Superiores</t>
        </is>
      </c>
      <c r="D2882" t="n">
        <v>1</v>
      </c>
      <c r="E2882" t="n">
        <v>41.34747903</v>
      </c>
      <c r="F2882" t="n">
        <v>0.9228180271999999</v>
      </c>
      <c r="G2882" t="n">
        <v>16</v>
      </c>
      <c r="H2882" t="n">
        <v>3.19128</v>
      </c>
      <c r="I2882" t="n">
        <v>0.1</v>
      </c>
      <c r="J2882" t="n">
        <v>9</v>
      </c>
      <c r="K2882" t="inlineStr"/>
    </row>
    <row r="2883">
      <c r="A2883" t="inlineStr">
        <is>
          <t>ACAMIDA120TM</t>
        </is>
      </c>
      <c r="B2883" t="inlineStr">
        <is>
          <t>ANDRE ACTIVE DAMA</t>
        </is>
      </c>
      <c r="C2883" t="inlineStr">
        <is>
          <t>Manufactura / Dama / P. Superiores</t>
        </is>
      </c>
      <c r="D2883" t="n">
        <v>1</v>
      </c>
      <c r="E2883" t="n">
        <v>41.25250293</v>
      </c>
      <c r="F2883" t="n">
        <v>0.8087388779</v>
      </c>
      <c r="G2883" t="n">
        <v>0</v>
      </c>
      <c r="H2883" t="n">
        <v>7.89</v>
      </c>
      <c r="I2883" t="n">
        <v>0.1</v>
      </c>
      <c r="J2883" t="n">
        <v>9</v>
      </c>
      <c r="K2883" t="inlineStr">
        <is>
          <t>Sin stock</t>
        </is>
      </c>
    </row>
    <row r="2884">
      <c r="A2884" t="inlineStr">
        <is>
          <t>ZOEMIDA66TS</t>
        </is>
      </c>
      <c r="B2884" t="inlineStr">
        <is>
          <t>ZOE ORIGINAL DAMA</t>
        </is>
      </c>
      <c r="C2884" t="inlineStr">
        <is>
          <t>Manufactura / Dama / P. Superiores</t>
        </is>
      </c>
      <c r="D2884" t="n">
        <v>1</v>
      </c>
      <c r="E2884" t="n">
        <v>41.15303174</v>
      </c>
      <c r="F2884" t="n">
        <v>0.8999688353</v>
      </c>
      <c r="G2884" t="n">
        <v>0</v>
      </c>
      <c r="H2884" t="n">
        <v>4.116585696</v>
      </c>
      <c r="I2884" t="n">
        <v>0.1</v>
      </c>
      <c r="J2884" t="n">
        <v>6</v>
      </c>
      <c r="K2884" t="inlineStr">
        <is>
          <t>Sin stock</t>
        </is>
      </c>
    </row>
    <row r="2885">
      <c r="A2885" t="inlineStr">
        <is>
          <t>PANNTKI12T1</t>
        </is>
      </c>
      <c r="B2885" t="inlineStr">
        <is>
          <t>EXPLORE PANTS KIDS</t>
        </is>
      </c>
      <c r="C2885" t="inlineStr">
        <is>
          <t>Manufactura / Kids / P. Inferiores</t>
        </is>
      </c>
      <c r="D2885" t="n">
        <v>1</v>
      </c>
      <c r="E2885" t="n">
        <v>40.9704158</v>
      </c>
      <c r="F2885" t="n">
        <v>0.6587781762</v>
      </c>
      <c r="G2885" t="n">
        <v>0</v>
      </c>
      <c r="H2885" t="n">
        <v>13.98</v>
      </c>
      <c r="I2885" t="n">
        <v>0.1</v>
      </c>
      <c r="J2885" t="n">
        <v>9</v>
      </c>
      <c r="K2885" t="inlineStr">
        <is>
          <t>Sin stock</t>
        </is>
      </c>
    </row>
    <row r="2886">
      <c r="A2886" t="inlineStr">
        <is>
          <t>RIOMIKI39T10</t>
        </is>
      </c>
      <c r="B2886" t="inlineStr">
        <is>
          <t>RIO ORIGINAL KIDS</t>
        </is>
      </c>
      <c r="C2886" t="inlineStr">
        <is>
          <t>Manufactura / Kids / P. Superiores</t>
        </is>
      </c>
      <c r="D2886" t="n">
        <v>1</v>
      </c>
      <c r="E2886" t="n">
        <v>40.92282016</v>
      </c>
      <c r="F2886" t="n">
        <v>0.911590417</v>
      </c>
      <c r="G2886" t="n">
        <v>0</v>
      </c>
      <c r="H2886" t="n">
        <v>3.617969464</v>
      </c>
      <c r="I2886" t="n">
        <v>0.1</v>
      </c>
      <c r="J2886" t="n">
        <v>8</v>
      </c>
      <c r="K2886" t="inlineStr">
        <is>
          <t>Sin stock</t>
        </is>
      </c>
    </row>
    <row r="2887">
      <c r="A2887" t="inlineStr">
        <is>
          <t>CLAMECA66TXL</t>
        </is>
      </c>
      <c r="B2887" t="inlineStr">
        <is>
          <t>CLASICA SPORT CAB</t>
        </is>
      </c>
      <c r="C2887" t="inlineStr">
        <is>
          <t>Manufactura / Caballero / P. Superiores</t>
        </is>
      </c>
      <c r="D2887" t="n">
        <v>1</v>
      </c>
      <c r="E2887" t="n">
        <v>40.92282016</v>
      </c>
      <c r="F2887" t="n">
        <v>0.748273815</v>
      </c>
      <c r="G2887" t="n">
        <v>0</v>
      </c>
      <c r="H2887" t="n">
        <v>10.3013454</v>
      </c>
      <c r="I2887" t="n">
        <v>0.1</v>
      </c>
      <c r="J2887" t="n">
        <v>8</v>
      </c>
      <c r="K2887" t="inlineStr">
        <is>
          <t>Sin stock</t>
        </is>
      </c>
    </row>
    <row r="2888">
      <c r="A2888" t="inlineStr">
        <is>
          <t>CLAMEDA13TM</t>
        </is>
      </c>
      <c r="B2888" t="inlineStr">
        <is>
          <t>CLÁSICA SPORT DAMA</t>
        </is>
      </c>
      <c r="C2888" t="inlineStr">
        <is>
          <t>Manufactura / Dama / P. Superiores</t>
        </is>
      </c>
      <c r="D2888" t="n">
        <v>1</v>
      </c>
      <c r="E2888" t="n">
        <v>40.92282016</v>
      </c>
      <c r="F2888" t="n">
        <v>0.8402821276</v>
      </c>
      <c r="G2888" t="n">
        <v>0</v>
      </c>
      <c r="H2888" t="n">
        <v>6.536105769</v>
      </c>
      <c r="I2888" t="n">
        <v>0.1</v>
      </c>
      <c r="J2888" t="n">
        <v>8</v>
      </c>
      <c r="K2888" t="inlineStr">
        <is>
          <t>Sin stock</t>
        </is>
      </c>
    </row>
    <row r="2889">
      <c r="A2889" t="inlineStr">
        <is>
          <t>CLAMICA39TL</t>
        </is>
      </c>
      <c r="B2889" t="inlineStr">
        <is>
          <t>CLASICA ORIGINAL CAB</t>
        </is>
      </c>
      <c r="C2889" t="inlineStr">
        <is>
          <t>Manufactura / Caballero / P. Superiores</t>
        </is>
      </c>
      <c r="D2889" t="n">
        <v>2</v>
      </c>
      <c r="E2889" t="n">
        <v>40.92282016</v>
      </c>
      <c r="F2889" t="n">
        <v>0.8876313383</v>
      </c>
      <c r="G2889" t="n">
        <v>0</v>
      </c>
      <c r="H2889" t="n">
        <v>4.598442536</v>
      </c>
      <c r="I2889" t="n">
        <v>0.2</v>
      </c>
      <c r="J2889" t="n">
        <v>8</v>
      </c>
      <c r="K2889" t="inlineStr">
        <is>
          <t>Sin stock</t>
        </is>
      </c>
    </row>
    <row r="2890">
      <c r="A2890" t="inlineStr">
        <is>
          <t>ACCMICA120TS</t>
        </is>
      </c>
      <c r="B2890" t="inlineStr">
        <is>
          <t>CLASICA ACTIVE CAB</t>
        </is>
      </c>
      <c r="C2890" t="inlineStr">
        <is>
          <t>Manufactura / Caballero / P. Superiores</t>
        </is>
      </c>
      <c r="D2890" t="n">
        <v>2</v>
      </c>
      <c r="E2890" t="n">
        <v>40.81617281</v>
      </c>
      <c r="F2890" t="n">
        <v>0.6878688245</v>
      </c>
      <c r="G2890" t="n">
        <v>5</v>
      </c>
      <c r="H2890" t="n">
        <v>12.74</v>
      </c>
      <c r="I2890" t="n">
        <v>0.2</v>
      </c>
      <c r="J2890" t="n">
        <v>7</v>
      </c>
      <c r="K2890" t="inlineStr"/>
    </row>
    <row r="2891">
      <c r="A2891" t="inlineStr">
        <is>
          <t>RIOMIKI09T10</t>
        </is>
      </c>
      <c r="B2891" t="inlineStr">
        <is>
          <t>RIO ORIGINAL KIDS</t>
        </is>
      </c>
      <c r="C2891" t="inlineStr">
        <is>
          <t>Manufactura / Kids / P. Superiores</t>
        </is>
      </c>
      <c r="D2891" t="n">
        <v>1</v>
      </c>
      <c r="E2891" t="n">
        <v>40.8123027</v>
      </c>
      <c r="F2891" t="n">
        <v>0.9113510088</v>
      </c>
      <c r="G2891" t="n">
        <v>0</v>
      </c>
      <c r="H2891" t="n">
        <v>3.617969464</v>
      </c>
      <c r="I2891" t="n">
        <v>0.1</v>
      </c>
      <c r="J2891" t="n">
        <v>9</v>
      </c>
      <c r="K2891" t="inlineStr">
        <is>
          <t>Sin stock</t>
        </is>
      </c>
    </row>
    <row r="2892">
      <c r="A2892" t="inlineStr">
        <is>
          <t>CLAMIDA48TXS</t>
        </is>
      </c>
      <c r="B2892" t="inlineStr">
        <is>
          <t>CLASICA ORIGINAL DAMA</t>
        </is>
      </c>
      <c r="C2892" t="inlineStr">
        <is>
          <t>Manufactura / Dama / P. Superiores</t>
        </is>
      </c>
      <c r="D2892" t="n">
        <v>1</v>
      </c>
      <c r="E2892" t="n">
        <v>40.80915299</v>
      </c>
      <c r="F2892" t="n">
        <v>0.903864028</v>
      </c>
      <c r="G2892" t="n">
        <v>0</v>
      </c>
      <c r="H2892" t="n">
        <v>3.923227589</v>
      </c>
      <c r="I2892" t="n">
        <v>0.1</v>
      </c>
      <c r="J2892" t="n">
        <v>5</v>
      </c>
      <c r="K2892" t="inlineStr">
        <is>
          <t>Sin stock</t>
        </is>
      </c>
    </row>
    <row r="2893">
      <c r="A2893" t="inlineStr">
        <is>
          <t>MARMICA70T3XL</t>
        </is>
      </c>
      <c r="B2893" t="inlineStr">
        <is>
          <t>MAR ORIGINAL CAB</t>
        </is>
      </c>
      <c r="C2893" t="inlineStr">
        <is>
          <t>Manufactura / Caballero / P. Superiores</t>
        </is>
      </c>
      <c r="D2893" t="n">
        <v>1</v>
      </c>
      <c r="E2893" t="n">
        <v>40.72216009</v>
      </c>
      <c r="F2893" t="n">
        <v>0.8785340114999999</v>
      </c>
      <c r="G2893" t="n">
        <v>0</v>
      </c>
      <c r="H2893" t="n">
        <v>4.946357428</v>
      </c>
      <c r="I2893" t="n">
        <v>0.1</v>
      </c>
      <c r="J2893" t="n">
        <v>4</v>
      </c>
      <c r="K2893" t="inlineStr">
        <is>
          <t>Sin stock</t>
        </is>
      </c>
    </row>
    <row r="2894">
      <c r="A2894" t="inlineStr">
        <is>
          <t>CLAMEKI30T6</t>
        </is>
      </c>
      <c r="B2894" t="inlineStr">
        <is>
          <t>CLASICA SPORT KIDS</t>
        </is>
      </c>
      <c r="C2894" t="inlineStr">
        <is>
          <t>Manufactura / Kids / P. Superiores</t>
        </is>
      </c>
      <c r="D2894" t="n">
        <v>1</v>
      </c>
      <c r="E2894" t="n">
        <v>40.63298701</v>
      </c>
      <c r="F2894" t="n">
        <v>0.902296132</v>
      </c>
      <c r="G2894" t="n">
        <v>2</v>
      </c>
      <c r="H2894" t="n">
        <v>3.97</v>
      </c>
      <c r="I2894" t="n">
        <v>0.1</v>
      </c>
      <c r="J2894" t="n">
        <v>3</v>
      </c>
      <c r="K2894" t="inlineStr"/>
    </row>
    <row r="2895">
      <c r="A2895" t="inlineStr">
        <is>
          <t>ETN95E500ML</t>
        </is>
      </c>
      <c r="B2895" t="inlineStr">
        <is>
          <t>KAMBUKKA ETNA 500 ML</t>
        </is>
      </c>
      <c r="C2895" t="inlineStr">
        <is>
          <t>Equipamiento / Cava</t>
        </is>
      </c>
      <c r="D2895" t="n">
        <v>2</v>
      </c>
      <c r="E2895" t="n">
        <v>40.61333093</v>
      </c>
      <c r="F2895" t="n">
        <v>0.3280545291666667</v>
      </c>
      <c r="G2895" t="n">
        <v>44</v>
      </c>
      <c r="H2895" t="n">
        <v>24.5</v>
      </c>
      <c r="I2895" t="n">
        <v>0.2</v>
      </c>
      <c r="J2895" t="n">
        <v>9</v>
      </c>
      <c r="K2895" t="inlineStr"/>
    </row>
    <row r="2896">
      <c r="A2896" t="inlineStr">
        <is>
          <t>SHPEUNCA211TS</t>
        </is>
      </c>
      <c r="B2896" t="inlineStr">
        <is>
          <t>SHORT PLAYA ESTAMPADO CAB</t>
        </is>
      </c>
      <c r="C2896" t="inlineStr">
        <is>
          <t>Manufactura / Caballero / P. Inferiores</t>
        </is>
      </c>
      <c r="D2896" t="n">
        <v>1</v>
      </c>
      <c r="E2896" t="n">
        <v>40.61025176</v>
      </c>
      <c r="F2896" t="n">
        <v>0.7017994355</v>
      </c>
      <c r="G2896" t="n">
        <v>0</v>
      </c>
      <c r="H2896" t="n">
        <v>12.11</v>
      </c>
      <c r="I2896" t="n">
        <v>0.1</v>
      </c>
      <c r="J2896" t="n">
        <v>4</v>
      </c>
      <c r="K2896" t="inlineStr">
        <is>
          <t>Sin stock</t>
        </is>
      </c>
    </row>
    <row r="2897">
      <c r="A2897" t="inlineStr">
        <is>
          <t>MARMICA39TS</t>
        </is>
      </c>
      <c r="B2897" t="inlineStr">
        <is>
          <t>MAR ORIGINAL CAB</t>
        </is>
      </c>
      <c r="C2897" t="inlineStr">
        <is>
          <t>Manufactura / Caballero / P. Superiores</t>
        </is>
      </c>
      <c r="D2897" t="n">
        <v>2</v>
      </c>
      <c r="E2897" t="n">
        <v>40.51747022</v>
      </c>
      <c r="F2897" t="n">
        <v>0.8779203785</v>
      </c>
      <c r="G2897" t="n">
        <v>0</v>
      </c>
      <c r="H2897" t="n">
        <v>4.946357428</v>
      </c>
      <c r="I2897" t="n">
        <v>0.2</v>
      </c>
      <c r="J2897" t="n">
        <v>3</v>
      </c>
      <c r="K2897" t="inlineStr">
        <is>
          <t>Sin stock</t>
        </is>
      </c>
    </row>
    <row r="2898">
      <c r="A2898" t="inlineStr">
        <is>
          <t>CLASTDA30TM</t>
        </is>
      </c>
      <c r="B2898" t="inlineStr">
        <is>
          <t>CLASICA ALGODON STRETCH DAMA</t>
        </is>
      </c>
      <c r="C2898" t="inlineStr">
        <is>
          <t>Manufactura / Dama / P. Superiores</t>
        </is>
      </c>
      <c r="D2898" t="n">
        <v>1</v>
      </c>
      <c r="E2898" t="n">
        <v>40.50207604</v>
      </c>
      <c r="F2898" t="n">
        <v>0.7711228434</v>
      </c>
      <c r="G2898" t="n">
        <v>0</v>
      </c>
      <c r="H2898" t="n">
        <v>9.27</v>
      </c>
      <c r="I2898" t="n">
        <v>0.1</v>
      </c>
      <c r="J2898" t="n">
        <v>8</v>
      </c>
      <c r="K2898" t="inlineStr">
        <is>
          <t>Sin stock</t>
        </is>
      </c>
    </row>
    <row r="2899">
      <c r="A2899" t="inlineStr">
        <is>
          <t>CLAMIDA09TS</t>
        </is>
      </c>
      <c r="B2899" t="inlineStr">
        <is>
          <t>CLASICA ORIGINAL DAMA</t>
        </is>
      </c>
      <c r="C2899" t="inlineStr">
        <is>
          <t>Manufactura / Dama / P. Superiores</t>
        </is>
      </c>
      <c r="D2899" t="n">
        <v>26</v>
      </c>
      <c r="E2899" t="n">
        <v>40.50207604</v>
      </c>
      <c r="F2899" t="n">
        <v>0.9031351483</v>
      </c>
      <c r="G2899" t="n">
        <v>0</v>
      </c>
      <c r="H2899" t="n">
        <v>3.923227589</v>
      </c>
      <c r="I2899" t="n">
        <v>2.6</v>
      </c>
      <c r="J2899" t="n">
        <v>3</v>
      </c>
      <c r="K2899" t="inlineStr">
        <is>
          <t>Sin stock</t>
        </is>
      </c>
    </row>
    <row r="2900">
      <c r="A2900" t="inlineStr">
        <is>
          <t>MARMICA14T3XL</t>
        </is>
      </c>
      <c r="B2900" t="inlineStr">
        <is>
          <t>MAR ORIGINAL CAB</t>
        </is>
      </c>
      <c r="C2900" t="inlineStr">
        <is>
          <t>Manufactura / Caballero / P. Superiores</t>
        </is>
      </c>
      <c r="D2900" t="n">
        <v>1</v>
      </c>
      <c r="E2900" t="n">
        <v>40.46951385</v>
      </c>
      <c r="F2900" t="n">
        <v>0.8777757142</v>
      </c>
      <c r="G2900" t="n">
        <v>0</v>
      </c>
      <c r="H2900" t="n">
        <v>4.946357428</v>
      </c>
      <c r="I2900" t="n">
        <v>0.1</v>
      </c>
      <c r="J2900" t="n">
        <v>9</v>
      </c>
      <c r="K2900" t="inlineStr">
        <is>
          <t>Sin stock</t>
        </is>
      </c>
    </row>
    <row r="2901">
      <c r="A2901" t="inlineStr">
        <is>
          <t>RIOMIKI05T6</t>
        </is>
      </c>
      <c r="B2901" t="inlineStr">
        <is>
          <t>RIO ORIGINAL KIDS</t>
        </is>
      </c>
      <c r="C2901" t="inlineStr">
        <is>
          <t>Manufactura / Kids / P. Superiores</t>
        </is>
      </c>
      <c r="D2901" t="n">
        <v>1</v>
      </c>
      <c r="E2901" t="n">
        <v>40.42865518</v>
      </c>
      <c r="F2901" t="n">
        <v>0.9105097746</v>
      </c>
      <c r="G2901" t="n">
        <v>0</v>
      </c>
      <c r="H2901" t="n">
        <v>3.617969464</v>
      </c>
      <c r="I2901" t="n">
        <v>0.1</v>
      </c>
      <c r="J2901" t="n">
        <v>9</v>
      </c>
      <c r="K2901" t="inlineStr">
        <is>
          <t>Sin stock</t>
        </is>
      </c>
    </row>
    <row r="2902">
      <c r="A2902" t="inlineStr">
        <is>
          <t>VIVMIDA70TL</t>
        </is>
      </c>
      <c r="B2902" t="inlineStr">
        <is>
          <t>VIVI ORIGINAL DAMA</t>
        </is>
      </c>
      <c r="C2902" t="inlineStr">
        <is>
          <t>Manufactura / Dama / P. Superiores</t>
        </is>
      </c>
      <c r="D2902" t="n">
        <v>1</v>
      </c>
      <c r="E2902" t="n">
        <v>40.12930949</v>
      </c>
      <c r="F2902" t="n">
        <v>0.8927671131</v>
      </c>
      <c r="G2902" t="n">
        <v>9</v>
      </c>
      <c r="H2902" t="n">
        <v>4.303181706</v>
      </c>
      <c r="I2902" t="n">
        <v>0.1</v>
      </c>
      <c r="J2902" t="n">
        <v>7</v>
      </c>
      <c r="K2902" t="inlineStr"/>
    </row>
    <row r="2903">
      <c r="A2903" t="inlineStr">
        <is>
          <t>P06</t>
        </is>
      </c>
      <c r="B2903" t="inlineStr">
        <is>
          <t>PARCHES</t>
        </is>
      </c>
      <c r="C2903" t="inlineStr">
        <is>
          <t>Equipamiento / Accesorios</t>
        </is>
      </c>
      <c r="D2903" t="n">
        <v>9</v>
      </c>
      <c r="E2903" t="n">
        <v>40.072486493</v>
      </c>
      <c r="F2903" t="n">
        <v>0.7614154772</v>
      </c>
      <c r="G2903" t="n">
        <v>21</v>
      </c>
      <c r="H2903" t="n">
        <v>0.98</v>
      </c>
      <c r="I2903" t="n">
        <v>0.9</v>
      </c>
      <c r="J2903" t="n">
        <v>3</v>
      </c>
      <c r="K2903" t="inlineStr"/>
    </row>
    <row r="2904">
      <c r="A2904" t="inlineStr">
        <is>
          <t>MARMIDA52TXS</t>
        </is>
      </c>
      <c r="B2904" t="inlineStr">
        <is>
          <t>MAR ORIGINAL DAMA</t>
        </is>
      </c>
      <c r="C2904" t="inlineStr">
        <is>
          <t>Manufactura / Dama / P. Superiores</t>
        </is>
      </c>
      <c r="D2904" t="n">
        <v>1</v>
      </c>
      <c r="E2904" t="n">
        <v>40.06439975</v>
      </c>
      <c r="F2904" t="n">
        <v>0.8932138214000001</v>
      </c>
      <c r="G2904" t="n">
        <v>0</v>
      </c>
      <c r="H2904" t="n">
        <v>4.278324149</v>
      </c>
      <c r="I2904" t="n">
        <v>0.1</v>
      </c>
      <c r="J2904" t="n">
        <v>9</v>
      </c>
      <c r="K2904" t="inlineStr">
        <is>
          <t>Sin stock</t>
        </is>
      </c>
    </row>
    <row r="2905">
      <c r="A2905" t="inlineStr">
        <is>
          <t>CLAMIDA24TL</t>
        </is>
      </c>
      <c r="B2905" t="inlineStr">
        <is>
          <t>CLASICA ORIGINAL DAMA</t>
        </is>
      </c>
      <c r="C2905" t="inlineStr">
        <is>
          <t>Manufactura / Dama / P. Superiores</t>
        </is>
      </c>
      <c r="D2905" t="n">
        <v>1</v>
      </c>
      <c r="E2905" t="n">
        <v>40.05707075</v>
      </c>
      <c r="F2905" t="n">
        <v>0.9020590494</v>
      </c>
      <c r="G2905" t="n">
        <v>0</v>
      </c>
      <c r="H2905" t="n">
        <v>3.923227589</v>
      </c>
      <c r="I2905" t="n">
        <v>0.1</v>
      </c>
      <c r="J2905" t="n">
        <v>8</v>
      </c>
      <c r="K2905" t="inlineStr">
        <is>
          <t>Sin stock</t>
        </is>
      </c>
    </row>
    <row r="2906">
      <c r="A2906" t="inlineStr">
        <is>
          <t>SABSTCA30T2XL</t>
        </is>
      </c>
      <c r="B2906" t="inlineStr">
        <is>
          <t>RETRO VZLA CAB</t>
        </is>
      </c>
      <c r="C2906" t="inlineStr">
        <is>
          <t>Manufactura / Caballero / P. Superiores</t>
        </is>
      </c>
      <c r="D2906" t="n">
        <v>1</v>
      </c>
      <c r="E2906" t="n">
        <v>40.00158756</v>
      </c>
      <c r="F2906" t="n">
        <v>0.6775127992</v>
      </c>
      <c r="G2906" t="n">
        <v>1</v>
      </c>
      <c r="H2906" t="n">
        <v>12.9</v>
      </c>
      <c r="I2906" t="n">
        <v>0.1</v>
      </c>
      <c r="J2906" t="n">
        <v>8</v>
      </c>
      <c r="K2906" t="inlineStr"/>
    </row>
    <row r="2907">
      <c r="A2907" t="inlineStr">
        <is>
          <t>SABSTCA43TXL</t>
        </is>
      </c>
      <c r="B2907" t="inlineStr">
        <is>
          <t>RETRO VZLA CAB</t>
        </is>
      </c>
      <c r="C2907" t="inlineStr">
        <is>
          <t>Manufactura / Caballero / P. Superiores</t>
        </is>
      </c>
      <c r="D2907" t="n">
        <v>1</v>
      </c>
      <c r="E2907" t="n">
        <v>40.00067647</v>
      </c>
      <c r="F2907" t="n">
        <v>0.6775054539000001</v>
      </c>
      <c r="G2907" t="n">
        <v>0</v>
      </c>
      <c r="H2907" t="n">
        <v>12.9</v>
      </c>
      <c r="I2907" t="n">
        <v>0.1</v>
      </c>
      <c r="J2907" t="n">
        <v>9</v>
      </c>
      <c r="K2907" t="inlineStr">
        <is>
          <t>Sin stock</t>
        </is>
      </c>
    </row>
    <row r="2908">
      <c r="A2908" t="inlineStr">
        <is>
          <t>RIOMIKI09T2</t>
        </is>
      </c>
      <c r="B2908" t="inlineStr">
        <is>
          <t>RIO ORIGINAL KIDS</t>
        </is>
      </c>
      <c r="C2908" t="inlineStr">
        <is>
          <t>Manufactura / Kids / P. Superiores</t>
        </is>
      </c>
      <c r="D2908" t="n">
        <v>1</v>
      </c>
      <c r="E2908" t="n">
        <v>39.97713538</v>
      </c>
      <c r="F2908" t="n">
        <v>0.9094990316</v>
      </c>
      <c r="G2908" t="n">
        <v>4</v>
      </c>
      <c r="H2908" t="n">
        <v>3.617969464</v>
      </c>
      <c r="I2908" t="n">
        <v>0.1</v>
      </c>
      <c r="J2908" t="n">
        <v>9</v>
      </c>
      <c r="K2908" t="inlineStr"/>
    </row>
    <row r="2909">
      <c r="A2909" t="inlineStr">
        <is>
          <t>CRESTCA30TS</t>
        </is>
      </c>
      <c r="B2909" t="inlineStr">
        <is>
          <t>RETRO VZLA CAB</t>
        </is>
      </c>
      <c r="C2909" t="inlineStr">
        <is>
          <t>Manufactura / Caballero / P. Superiores</t>
        </is>
      </c>
      <c r="D2909" t="n">
        <v>1</v>
      </c>
      <c r="E2909" t="n">
        <v>39.83562648</v>
      </c>
      <c r="F2909" t="n">
        <v>0.67616927</v>
      </c>
      <c r="G2909" t="n">
        <v>0</v>
      </c>
      <c r="H2909" t="n">
        <v>12.9</v>
      </c>
      <c r="I2909" t="n">
        <v>0.1</v>
      </c>
      <c r="J2909" t="n">
        <v>8</v>
      </c>
      <c r="K2909" t="inlineStr">
        <is>
          <t>Sin stock</t>
        </is>
      </c>
    </row>
    <row r="2910">
      <c r="A2910" t="inlineStr">
        <is>
          <t>MAFMEDA63TXL</t>
        </is>
      </c>
      <c r="B2910" t="inlineStr">
        <is>
          <t>MAFE SPORT DAMA</t>
        </is>
      </c>
      <c r="C2910" t="inlineStr">
        <is>
          <t>Manufactura / Dama / P. Superiores</t>
        </is>
      </c>
      <c r="D2910" t="n">
        <v>1</v>
      </c>
      <c r="E2910" t="n">
        <v>39.73437863</v>
      </c>
      <c r="F2910" t="n">
        <v>0.8653558912</v>
      </c>
      <c r="G2910" t="n">
        <v>2</v>
      </c>
      <c r="H2910" t="n">
        <v>5.35</v>
      </c>
      <c r="I2910" t="n">
        <v>0.1</v>
      </c>
      <c r="J2910" t="n">
        <v>4</v>
      </c>
      <c r="K2910" t="inlineStr"/>
    </row>
    <row r="2911">
      <c r="A2911" t="inlineStr">
        <is>
          <t>TRISTCA43TL</t>
        </is>
      </c>
      <c r="B2911" t="inlineStr">
        <is>
          <t>RETRO VZLA CAB</t>
        </is>
      </c>
      <c r="C2911" t="inlineStr">
        <is>
          <t>Manufactura / Caballero / P. Superiores</t>
        </is>
      </c>
      <c r="D2911" t="n">
        <v>1</v>
      </c>
      <c r="E2911" t="n">
        <v>39.66014003</v>
      </c>
      <c r="F2911" t="n">
        <v>0.6747363981</v>
      </c>
      <c r="G2911" t="n">
        <v>0</v>
      </c>
      <c r="H2911" t="n">
        <v>12.9</v>
      </c>
      <c r="I2911" t="n">
        <v>0.1</v>
      </c>
      <c r="J2911" t="n">
        <v>8</v>
      </c>
      <c r="K2911" t="inlineStr">
        <is>
          <t>Sin stock</t>
        </is>
      </c>
    </row>
    <row r="2912">
      <c r="A2912" t="inlineStr">
        <is>
          <t>SHOUNCA29TS</t>
        </is>
      </c>
      <c r="B2912" t="inlineStr">
        <is>
          <t>SHORT PLAYA CAB</t>
        </is>
      </c>
      <c r="C2912" t="inlineStr">
        <is>
          <t>Manufactura / Caballero / P. Inferiores</t>
        </is>
      </c>
      <c r="D2912" t="n">
        <v>1</v>
      </c>
      <c r="E2912" t="n">
        <v>39.57918837</v>
      </c>
      <c r="F2912" t="n">
        <v>0.7475946220999999</v>
      </c>
      <c r="G2912" t="n">
        <v>0</v>
      </c>
      <c r="H2912" t="n">
        <v>9.99</v>
      </c>
      <c r="I2912" t="n">
        <v>0.1</v>
      </c>
      <c r="J2912" t="n">
        <v>7</v>
      </c>
      <c r="K2912" t="inlineStr">
        <is>
          <t>Sin stock</t>
        </is>
      </c>
    </row>
    <row r="2913">
      <c r="A2913" t="inlineStr">
        <is>
          <t>DANMIKI43T10</t>
        </is>
      </c>
      <c r="B2913" t="inlineStr">
        <is>
          <t>DANI ORIGINAL KIDS</t>
        </is>
      </c>
      <c r="C2913" t="inlineStr">
        <is>
          <t>Manufactura / Kids / P. Superiores</t>
        </is>
      </c>
      <c r="D2913" t="n">
        <v>2</v>
      </c>
      <c r="E2913" t="n">
        <v>39.54934898</v>
      </c>
      <c r="F2913" t="n">
        <v>0.8204774495</v>
      </c>
      <c r="G2913" t="n">
        <v>0</v>
      </c>
      <c r="H2913" t="n">
        <v>3.55</v>
      </c>
      <c r="I2913" t="n">
        <v>0.2</v>
      </c>
      <c r="J2913" t="n">
        <v>4</v>
      </c>
      <c r="K2913" t="inlineStr">
        <is>
          <t>Sin stock</t>
        </is>
      </c>
    </row>
    <row r="2914">
      <c r="A2914" t="inlineStr">
        <is>
          <t>DALSTKI30T4</t>
        </is>
      </c>
      <c r="B2914" t="inlineStr">
        <is>
          <t>CLASICA DAILY 2.0 KIDS</t>
        </is>
      </c>
      <c r="C2914" t="inlineStr">
        <is>
          <t>Manufactura / Kids / P. Superiores</t>
        </is>
      </c>
      <c r="D2914" t="n">
        <v>1</v>
      </c>
      <c r="E2914" t="n">
        <v>39.54793509</v>
      </c>
      <c r="F2914" t="n">
        <v>0.7800137989</v>
      </c>
      <c r="G2914" t="n">
        <v>0</v>
      </c>
      <c r="H2914" t="n">
        <v>8.699999999999999</v>
      </c>
      <c r="I2914" t="n">
        <v>0.1</v>
      </c>
      <c r="J2914" t="n">
        <v>4</v>
      </c>
      <c r="K2914" t="inlineStr">
        <is>
          <t>Sin stock</t>
        </is>
      </c>
    </row>
    <row r="2915">
      <c r="A2915" t="inlineStr">
        <is>
          <t>SABMEDA63TXL</t>
        </is>
      </c>
      <c r="B2915" t="inlineStr">
        <is>
          <t>SABRI SPORT DAMA</t>
        </is>
      </c>
      <c r="C2915" t="inlineStr">
        <is>
          <t>Manufactura / Dama / P. Superiores</t>
        </is>
      </c>
      <c r="D2915" t="n">
        <v>1</v>
      </c>
      <c r="E2915" t="n">
        <v>39.44852043</v>
      </c>
      <c r="F2915" t="n">
        <v>0.8856737857</v>
      </c>
      <c r="G2915" t="n">
        <v>1</v>
      </c>
      <c r="H2915" t="n">
        <v>4.51</v>
      </c>
      <c r="I2915" t="n">
        <v>0.1</v>
      </c>
      <c r="J2915" t="n">
        <v>5</v>
      </c>
      <c r="K2915" t="inlineStr"/>
    </row>
    <row r="2916">
      <c r="A2916" t="inlineStr">
        <is>
          <t>AQUSTCA16TS</t>
        </is>
      </c>
      <c r="B2916" t="inlineStr">
        <is>
          <t>RETRO VZLA CAB</t>
        </is>
      </c>
      <c r="C2916" t="inlineStr">
        <is>
          <t>Manufactura / Caballero / P. Superiores</t>
        </is>
      </c>
      <c r="D2916" t="n">
        <v>1</v>
      </c>
      <c r="E2916" t="n">
        <v>39.33534153</v>
      </c>
      <c r="F2916" t="n">
        <v>0.672050642</v>
      </c>
      <c r="G2916" t="n">
        <v>0</v>
      </c>
      <c r="H2916" t="n">
        <v>12.9</v>
      </c>
      <c r="I2916" t="n">
        <v>0.1</v>
      </c>
      <c r="J2916" t="n">
        <v>8</v>
      </c>
      <c r="K2916" t="inlineStr">
        <is>
          <t>Sin stock</t>
        </is>
      </c>
    </row>
    <row r="2917">
      <c r="A2917" t="inlineStr">
        <is>
          <t>TRISTDA16TM</t>
        </is>
      </c>
      <c r="B2917" t="inlineStr">
        <is>
          <t>RETRO VZLA DAMA</t>
        </is>
      </c>
      <c r="C2917" t="inlineStr">
        <is>
          <t>Manufactura / Dama / P. Superiores</t>
        </is>
      </c>
      <c r="D2917" t="n">
        <v>1</v>
      </c>
      <c r="E2917" t="n">
        <v>39.33534153</v>
      </c>
      <c r="F2917" t="n">
        <v>0.7145061015</v>
      </c>
      <c r="G2917" t="n">
        <v>0</v>
      </c>
      <c r="H2917" t="n">
        <v>11.23</v>
      </c>
      <c r="I2917" t="n">
        <v>0.1</v>
      </c>
      <c r="J2917" t="n">
        <v>8</v>
      </c>
      <c r="K2917" t="inlineStr">
        <is>
          <t>Sin stock</t>
        </is>
      </c>
    </row>
    <row r="2918">
      <c r="A2918" t="inlineStr">
        <is>
          <t>MAMSUDA15TXS</t>
        </is>
      </c>
      <c r="B2918" t="inlineStr">
        <is>
          <t>MAFE MOTION DAMA</t>
        </is>
      </c>
      <c r="C2918" t="inlineStr">
        <is>
          <t>Manufactura / Dama / P. Superiores</t>
        </is>
      </c>
      <c r="D2918" t="n">
        <v>1</v>
      </c>
      <c r="E2918" t="n">
        <v>39.24222716</v>
      </c>
      <c r="F2918" t="n">
        <v>0</v>
      </c>
      <c r="G2918" t="n">
        <v>0</v>
      </c>
      <c r="H2918" t="n">
        <v>0</v>
      </c>
      <c r="I2918" t="n">
        <v>0.1</v>
      </c>
      <c r="J2918" t="n">
        <v>7</v>
      </c>
      <c r="K2918" t="inlineStr">
        <is>
          <t>Sin stock</t>
        </is>
      </c>
    </row>
    <row r="2919">
      <c r="A2919" t="inlineStr">
        <is>
          <t>SHOUNKI50T12</t>
        </is>
      </c>
      <c r="B2919" t="inlineStr">
        <is>
          <t>SHORT PLAYA KIDS</t>
        </is>
      </c>
      <c r="C2919" t="inlineStr">
        <is>
          <t>Manufactura / Kids / P. Inferiores</t>
        </is>
      </c>
      <c r="D2919" t="n">
        <v>1</v>
      </c>
      <c r="E2919" t="n">
        <v>39.24222716</v>
      </c>
      <c r="F2919" t="n">
        <v>0.8448100314</v>
      </c>
      <c r="G2919" t="n">
        <v>0</v>
      </c>
      <c r="H2919" t="n">
        <v>6.09</v>
      </c>
      <c r="I2919" t="n">
        <v>0.1</v>
      </c>
      <c r="J2919" t="n">
        <v>7</v>
      </c>
      <c r="K2919" t="inlineStr">
        <is>
          <t>Sin stock</t>
        </is>
      </c>
    </row>
    <row r="2920">
      <c r="A2920" t="inlineStr">
        <is>
          <t>SUC50EQV</t>
        </is>
      </c>
      <c r="B2920" t="inlineStr">
        <is>
          <t>SUNNY CORD ORIGINAL</t>
        </is>
      </c>
      <c r="C2920" t="inlineStr">
        <is>
          <t>Equipamiento / Accesorios</t>
        </is>
      </c>
      <c r="D2920" t="n">
        <v>13</v>
      </c>
      <c r="E2920" t="n">
        <v>39.201910488</v>
      </c>
      <c r="F2920" t="n">
        <v>0.8478714720545455</v>
      </c>
      <c r="G2920" t="n">
        <v>0</v>
      </c>
      <c r="H2920" t="n">
        <v>0.51</v>
      </c>
      <c r="I2920" t="n">
        <v>1.3</v>
      </c>
      <c r="J2920" t="n">
        <v>2</v>
      </c>
      <c r="K2920" t="inlineStr">
        <is>
          <t>Sin stock</t>
        </is>
      </c>
    </row>
    <row r="2921">
      <c r="A2921" t="inlineStr">
        <is>
          <t>RIOMIKI39T6</t>
        </is>
      </c>
      <c r="B2921" t="inlineStr">
        <is>
          <t>RIO ORIGINAL KIDS</t>
        </is>
      </c>
      <c r="C2921" t="inlineStr">
        <is>
          <t>Manufactura / Kids / P. Superiores</t>
        </is>
      </c>
      <c r="D2921" t="n">
        <v>1</v>
      </c>
      <c r="E2921" t="n">
        <v>39.13957788</v>
      </c>
      <c r="F2921" t="n">
        <v>0.9075623791</v>
      </c>
      <c r="G2921" t="n">
        <v>0</v>
      </c>
      <c r="H2921" t="n">
        <v>3.617969464</v>
      </c>
      <c r="I2921" t="n">
        <v>0.1</v>
      </c>
      <c r="J2921" t="n">
        <v>9</v>
      </c>
      <c r="K2921" t="inlineStr">
        <is>
          <t>Sin stock</t>
        </is>
      </c>
    </row>
    <row r="2922">
      <c r="A2922" t="inlineStr">
        <is>
          <t>CLAMICA09TS</t>
        </is>
      </c>
      <c r="B2922" t="inlineStr">
        <is>
          <t>CLASICA ORIGINAL CAB</t>
        </is>
      </c>
      <c r="C2922" t="inlineStr">
        <is>
          <t>Manufactura / Caballero / P. Superiores</t>
        </is>
      </c>
      <c r="D2922" t="n">
        <v>13</v>
      </c>
      <c r="E2922" t="n">
        <v>39.13957788</v>
      </c>
      <c r="F2922" t="n">
        <v>0.8825116983</v>
      </c>
      <c r="G2922" t="n">
        <v>0</v>
      </c>
      <c r="H2922" t="n">
        <v>4.598442536</v>
      </c>
      <c r="I2922" t="n">
        <v>1.3</v>
      </c>
      <c r="J2922" t="n">
        <v>3</v>
      </c>
      <c r="K2922" t="inlineStr">
        <is>
          <t>Sin stock</t>
        </is>
      </c>
    </row>
    <row r="2923">
      <c r="A2923" t="inlineStr">
        <is>
          <t>CLMSUCA151TM</t>
        </is>
      </c>
      <c r="B2923" t="inlineStr">
        <is>
          <t>CLASICA MOTION CAB</t>
        </is>
      </c>
      <c r="C2923" t="inlineStr">
        <is>
          <t>Manufactura / Caballero / P. Superiores</t>
        </is>
      </c>
      <c r="D2923" t="n">
        <v>1</v>
      </c>
      <c r="E2923" t="n">
        <v>39.09148223</v>
      </c>
      <c r="F2923" t="n">
        <v>0.6863766913</v>
      </c>
      <c r="G2923" t="n">
        <v>0</v>
      </c>
      <c r="H2923" t="n">
        <v>12.26</v>
      </c>
      <c r="I2923" t="n">
        <v>0.1</v>
      </c>
      <c r="J2923" t="n">
        <v>7</v>
      </c>
      <c r="K2923" t="inlineStr">
        <is>
          <t>Sin stock</t>
        </is>
      </c>
    </row>
    <row r="2924">
      <c r="A2924" t="inlineStr">
        <is>
          <t>DALSTDA43TL</t>
        </is>
      </c>
      <c r="B2924" t="inlineStr">
        <is>
          <t>CLASICA DAILY 2.0 DAMA</t>
        </is>
      </c>
      <c r="C2924" t="inlineStr">
        <is>
          <t>Manufactura / Dama / P. Superiores</t>
        </is>
      </c>
      <c r="D2924" t="n">
        <v>1</v>
      </c>
      <c r="E2924" t="n">
        <v>38.93973991</v>
      </c>
      <c r="F2924" t="n">
        <v>0.7426793291</v>
      </c>
      <c r="G2924" t="n">
        <v>1</v>
      </c>
      <c r="H2924" t="n">
        <v>10.02</v>
      </c>
      <c r="I2924" t="n">
        <v>0.1</v>
      </c>
      <c r="J2924" t="n">
        <v>2</v>
      </c>
      <c r="K2924" t="inlineStr"/>
    </row>
    <row r="2925">
      <c r="A2925" t="inlineStr">
        <is>
          <t>SHOUNKI69T10</t>
        </is>
      </c>
      <c r="B2925" t="inlineStr">
        <is>
          <t>SHORT PLAYA KIDS</t>
        </is>
      </c>
      <c r="C2925" t="inlineStr">
        <is>
          <t>Manufactura / Kids / P. Inferiores</t>
        </is>
      </c>
      <c r="D2925" t="n">
        <v>1</v>
      </c>
      <c r="E2925" t="n">
        <v>38.79</v>
      </c>
      <c r="F2925" t="n">
        <v>0.8430007734</v>
      </c>
      <c r="G2925" t="n">
        <v>36</v>
      </c>
      <c r="H2925" t="n">
        <v>6.09</v>
      </c>
      <c r="I2925" t="n">
        <v>0.1</v>
      </c>
      <c r="J2925" t="n">
        <v>1</v>
      </c>
      <c r="K2925" t="inlineStr"/>
    </row>
    <row r="2926">
      <c r="A2926" t="inlineStr">
        <is>
          <t>SHOUNKI186T4</t>
        </is>
      </c>
      <c r="B2926" t="inlineStr">
        <is>
          <t>SHORT PLAYA KIDS</t>
        </is>
      </c>
      <c r="C2926" t="inlineStr">
        <is>
          <t>Manufactura / Kids / P. Inferiores</t>
        </is>
      </c>
      <c r="D2926" t="n">
        <v>1</v>
      </c>
      <c r="E2926" t="n">
        <v>38.79</v>
      </c>
      <c r="F2926" t="n">
        <v>0.8430007734</v>
      </c>
      <c r="G2926" t="n">
        <v>19</v>
      </c>
      <c r="H2926" t="n">
        <v>6.09</v>
      </c>
      <c r="I2926" t="n">
        <v>0.1</v>
      </c>
      <c r="J2926" t="n">
        <v>1</v>
      </c>
      <c r="K2926" t="inlineStr"/>
    </row>
    <row r="2927">
      <c r="A2927" t="inlineStr">
        <is>
          <t>SHOUNKI38T2</t>
        </is>
      </c>
      <c r="B2927" t="inlineStr">
        <is>
          <t>SHORT PLAYA KIDS</t>
        </is>
      </c>
      <c r="C2927" t="inlineStr">
        <is>
          <t>Manufactura / Kids / P. Inferiores</t>
        </is>
      </c>
      <c r="D2927" t="n">
        <v>1</v>
      </c>
      <c r="E2927" t="n">
        <v>38.79</v>
      </c>
      <c r="F2927" t="n">
        <v>0.8430007734</v>
      </c>
      <c r="G2927" t="n">
        <v>19</v>
      </c>
      <c r="H2927" t="n">
        <v>6.09</v>
      </c>
      <c r="I2927" t="n">
        <v>0.1</v>
      </c>
      <c r="J2927" t="n">
        <v>1</v>
      </c>
      <c r="K2927" t="inlineStr"/>
    </row>
    <row r="2928">
      <c r="A2928" t="inlineStr">
        <is>
          <t>SHOUNKI170T10</t>
        </is>
      </c>
      <c r="B2928" t="inlineStr">
        <is>
          <t>SHORT PLAYA KIDS</t>
        </is>
      </c>
      <c r="C2928" t="inlineStr">
        <is>
          <t>Manufactura / Kids / P. Inferiores</t>
        </is>
      </c>
      <c r="D2928" t="n">
        <v>1</v>
      </c>
      <c r="E2928" t="n">
        <v>38.79</v>
      </c>
      <c r="F2928" t="n">
        <v>0.8430007734</v>
      </c>
      <c r="G2928" t="n">
        <v>29</v>
      </c>
      <c r="H2928" t="n">
        <v>6.09</v>
      </c>
      <c r="I2928" t="n">
        <v>0.1</v>
      </c>
      <c r="J2928" t="n">
        <v>1</v>
      </c>
      <c r="K2928" t="inlineStr"/>
    </row>
    <row r="2929">
      <c r="A2929" t="inlineStr">
        <is>
          <t>DAMSTKI43T14</t>
        </is>
      </c>
      <c r="B2929" t="inlineStr">
        <is>
          <t>MANGA LARGA DAILY KIDS</t>
        </is>
      </c>
      <c r="C2929" t="inlineStr">
        <is>
          <t>Manufactura / Kids / P. Superiores</t>
        </is>
      </c>
      <c r="D2929" t="n">
        <v>2</v>
      </c>
      <c r="E2929" t="n">
        <v>38.73859338</v>
      </c>
      <c r="F2929" t="n">
        <v>0.443382547</v>
      </c>
      <c r="G2929" t="n">
        <v>0</v>
      </c>
      <c r="H2929" t="n">
        <v>10.1</v>
      </c>
      <c r="I2929" t="n">
        <v>0.2</v>
      </c>
      <c r="J2929" t="n">
        <v>7</v>
      </c>
      <c r="K2929" t="inlineStr">
        <is>
          <t>Sin stock</t>
        </is>
      </c>
    </row>
    <row r="2930">
      <c r="A2930" t="inlineStr">
        <is>
          <t>SABSTKI30T8</t>
        </is>
      </c>
      <c r="B2930" t="inlineStr">
        <is>
          <t>RETRO VZLA KIDS</t>
        </is>
      </c>
      <c r="C2930" t="inlineStr">
        <is>
          <t>Manufactura / Dama / P. Superiores</t>
        </is>
      </c>
      <c r="D2930" t="n">
        <v>1</v>
      </c>
      <c r="E2930" t="n">
        <v>38.72409249</v>
      </c>
      <c r="F2930" t="n">
        <v>0.7371145624</v>
      </c>
      <c r="G2930" t="n">
        <v>4</v>
      </c>
      <c r="H2930" t="n">
        <v>10.18</v>
      </c>
      <c r="I2930" t="n">
        <v>0.1</v>
      </c>
      <c r="J2930" t="n">
        <v>5</v>
      </c>
      <c r="K2930" t="inlineStr"/>
    </row>
    <row r="2931">
      <c r="A2931" t="inlineStr">
        <is>
          <t>GOOSTCA16T2XL</t>
        </is>
      </c>
      <c r="B2931" t="inlineStr">
        <is>
          <t>RETRO VZLA CAB</t>
        </is>
      </c>
      <c r="C2931" t="inlineStr">
        <is>
          <t>Manufactura / Caballero / P. Superiores</t>
        </is>
      </c>
      <c r="D2931" t="n">
        <v>1</v>
      </c>
      <c r="E2931" t="n">
        <v>38.71212245</v>
      </c>
      <c r="F2931" t="n">
        <v>0.6667710478</v>
      </c>
      <c r="G2931" t="n">
        <v>0</v>
      </c>
      <c r="H2931" t="n">
        <v>12.9</v>
      </c>
      <c r="I2931" t="n">
        <v>0.1</v>
      </c>
      <c r="J2931" t="n">
        <v>8</v>
      </c>
      <c r="K2931" t="inlineStr">
        <is>
          <t>Sin stock</t>
        </is>
      </c>
    </row>
    <row r="2932">
      <c r="A2932" t="inlineStr">
        <is>
          <t>SABSTCA43TL</t>
        </is>
      </c>
      <c r="B2932" t="inlineStr">
        <is>
          <t>RETRO VZLA CAB</t>
        </is>
      </c>
      <c r="C2932" t="inlineStr">
        <is>
          <t>Manufactura / Caballero / P. Superiores</t>
        </is>
      </c>
      <c r="D2932" t="n">
        <v>1</v>
      </c>
      <c r="E2932" t="n">
        <v>38.56370594</v>
      </c>
      <c r="F2932" t="n">
        <v>0.6654885809</v>
      </c>
      <c r="G2932" t="n">
        <v>0</v>
      </c>
      <c r="H2932" t="n">
        <v>12.9</v>
      </c>
      <c r="I2932" t="n">
        <v>0.1</v>
      </c>
      <c r="J2932" t="n">
        <v>8</v>
      </c>
      <c r="K2932" t="inlineStr">
        <is>
          <t>Sin stock</t>
        </is>
      </c>
    </row>
    <row r="2933">
      <c r="A2933" t="inlineStr">
        <is>
          <t>RIOMIKI70T4</t>
        </is>
      </c>
      <c r="B2933" t="inlineStr">
        <is>
          <t>RIO ORIGINAL KIDS</t>
        </is>
      </c>
      <c r="C2933" t="inlineStr">
        <is>
          <t>Manufactura / Kids / P. Superiores</t>
        </is>
      </c>
      <c r="D2933" t="n">
        <v>1</v>
      </c>
      <c r="E2933" t="n">
        <v>38.3565437</v>
      </c>
      <c r="F2933" t="n">
        <v>0.9056753003</v>
      </c>
      <c r="G2933" t="n">
        <v>0</v>
      </c>
      <c r="H2933" t="n">
        <v>3.617969464</v>
      </c>
      <c r="I2933" t="n">
        <v>0.1</v>
      </c>
      <c r="J2933" t="n">
        <v>9</v>
      </c>
      <c r="K2933" t="inlineStr">
        <is>
          <t>Sin stock</t>
        </is>
      </c>
    </row>
    <row r="2934">
      <c r="A2934" t="inlineStr">
        <is>
          <t>CLAMECA51T2XL</t>
        </is>
      </c>
      <c r="B2934" t="inlineStr">
        <is>
          <t>CLASICA SPORT CAB</t>
        </is>
      </c>
      <c r="C2934" t="inlineStr">
        <is>
          <t>Manufactura / Caballero / P. Superiores</t>
        </is>
      </c>
      <c r="D2934" t="n">
        <v>1</v>
      </c>
      <c r="E2934" t="n">
        <v>38.3565437</v>
      </c>
      <c r="F2934" t="n">
        <v>0.7314318652</v>
      </c>
      <c r="G2934" t="n">
        <v>0</v>
      </c>
      <c r="H2934" t="n">
        <v>10.3013454</v>
      </c>
      <c r="I2934" t="n">
        <v>0.1</v>
      </c>
      <c r="J2934" t="n">
        <v>9</v>
      </c>
      <c r="K2934" t="inlineStr">
        <is>
          <t>Sin stock</t>
        </is>
      </c>
    </row>
    <row r="2935">
      <c r="A2935" t="inlineStr">
        <is>
          <t>TOA64CL</t>
        </is>
      </c>
      <c r="B2935" t="inlineStr">
        <is>
          <t>TOALLA CLIP ORIGINAL</t>
        </is>
      </c>
      <c r="C2935" t="inlineStr">
        <is>
          <t>Equipamiento / Toallas</t>
        </is>
      </c>
      <c r="D2935" t="n">
        <v>2</v>
      </c>
      <c r="E2935" t="n">
        <v>38.35190769</v>
      </c>
      <c r="F2935" t="n">
        <v>0.726377970325</v>
      </c>
      <c r="G2935" t="n">
        <v>0</v>
      </c>
      <c r="H2935" t="n">
        <v>5.11</v>
      </c>
      <c r="I2935" t="n">
        <v>0.2</v>
      </c>
      <c r="J2935" t="n">
        <v>1</v>
      </c>
      <c r="K2935" t="inlineStr">
        <is>
          <t>Sin stock</t>
        </is>
      </c>
    </row>
    <row r="2936">
      <c r="A2936" t="inlineStr">
        <is>
          <t>AQUSTCA16TM</t>
        </is>
      </c>
      <c r="B2936" t="inlineStr">
        <is>
          <t>RETRO VZLA CAB</t>
        </is>
      </c>
      <c r="C2936" t="inlineStr">
        <is>
          <t>Manufactura / Caballero / P. Superiores</t>
        </is>
      </c>
      <c r="D2936" t="n">
        <v>2</v>
      </c>
      <c r="E2936" t="n">
        <v>38.24334446</v>
      </c>
      <c r="F2936" t="n">
        <v>0.6626864051</v>
      </c>
      <c r="G2936" t="n">
        <v>1</v>
      </c>
      <c r="H2936" t="n">
        <v>12.9</v>
      </c>
      <c r="I2936" t="n">
        <v>0.2</v>
      </c>
      <c r="J2936" t="n">
        <v>8</v>
      </c>
      <c r="K2936" t="inlineStr"/>
    </row>
    <row r="2937">
      <c r="A2937" t="inlineStr">
        <is>
          <t>MLCMJCA50TM</t>
        </is>
      </c>
      <c r="B2937" t="inlineStr">
        <is>
          <t>MOTION LOOP CLASICA CAB</t>
        </is>
      </c>
      <c r="C2937" t="inlineStr">
        <is>
          <t>Manufactura / Caballero / P. Superiores</t>
        </is>
      </c>
      <c r="D2937" t="n">
        <v>1</v>
      </c>
      <c r="E2937" t="n">
        <v>38.11</v>
      </c>
      <c r="F2937" t="n">
        <v>0.9474494174</v>
      </c>
      <c r="G2937" t="n">
        <v>8</v>
      </c>
      <c r="H2937" t="n">
        <v>2.002702703</v>
      </c>
      <c r="I2937" t="n">
        <v>0.1</v>
      </c>
      <c r="J2937" t="n">
        <v>1</v>
      </c>
      <c r="K2937" t="inlineStr"/>
    </row>
    <row r="2938">
      <c r="A2938" t="inlineStr">
        <is>
          <t>MLCMJCA14TM</t>
        </is>
      </c>
      <c r="B2938" t="inlineStr">
        <is>
          <t>MOTION LOOP CLASICA CAB</t>
        </is>
      </c>
      <c r="C2938" t="inlineStr">
        <is>
          <t>Manufactura / Caballero / P. Superiores</t>
        </is>
      </c>
      <c r="D2938" t="n">
        <v>1</v>
      </c>
      <c r="E2938" t="n">
        <v>38.11</v>
      </c>
      <c r="F2938" t="n">
        <v>0.9474494174</v>
      </c>
      <c r="G2938" t="n">
        <v>9</v>
      </c>
      <c r="H2938" t="n">
        <v>2.002702703</v>
      </c>
      <c r="I2938" t="n">
        <v>0.1</v>
      </c>
      <c r="J2938" t="n">
        <v>1</v>
      </c>
      <c r="K2938" t="inlineStr"/>
    </row>
    <row r="2939">
      <c r="A2939" t="inlineStr">
        <is>
          <t>SHOUNCA23TS</t>
        </is>
      </c>
      <c r="B2939" t="inlineStr">
        <is>
          <t>SHORT PLAYA CAB</t>
        </is>
      </c>
      <c r="C2939" t="inlineStr">
        <is>
          <t>Manufactura / Caballero / P. Inferiores</t>
        </is>
      </c>
      <c r="D2939" t="n">
        <v>1</v>
      </c>
      <c r="E2939" t="n">
        <v>38.05677407</v>
      </c>
      <c r="F2939" t="n">
        <v>0.7374974562</v>
      </c>
      <c r="G2939" t="n">
        <v>0</v>
      </c>
      <c r="H2939" t="n">
        <v>9.99</v>
      </c>
      <c r="I2939" t="n">
        <v>0.1</v>
      </c>
      <c r="J2939" t="n">
        <v>7</v>
      </c>
      <c r="K2939" t="inlineStr">
        <is>
          <t>Sin stock</t>
        </is>
      </c>
    </row>
    <row r="2940">
      <c r="A2940" t="inlineStr">
        <is>
          <t>CLAMIDA11TXL</t>
        </is>
      </c>
      <c r="B2940" t="inlineStr">
        <is>
          <t>CLASICA ORIGINAL DAMA</t>
        </is>
      </c>
      <c r="C2940" t="inlineStr">
        <is>
          <t>Manufactura / Dama / P. Superiores</t>
        </is>
      </c>
      <c r="D2940" t="n">
        <v>1</v>
      </c>
      <c r="E2940" t="n">
        <v>38</v>
      </c>
      <c r="F2940" t="n">
        <v>0.8967571687</v>
      </c>
      <c r="G2940" t="n">
        <v>0</v>
      </c>
      <c r="H2940" t="n">
        <v>3.923227589</v>
      </c>
      <c r="I2940" t="n">
        <v>0.1</v>
      </c>
      <c r="J2940" t="n">
        <v>0</v>
      </c>
      <c r="K2940" t="inlineStr">
        <is>
          <t>Sin stock</t>
        </is>
      </c>
    </row>
    <row r="2941">
      <c r="A2941" t="inlineStr">
        <is>
          <t>ZOEMIKI70T6</t>
        </is>
      </c>
      <c r="B2941" t="inlineStr">
        <is>
          <t>ZOE ORIGINAL KIDS</t>
        </is>
      </c>
      <c r="C2941" t="inlineStr">
        <is>
          <t>Manufactura / Kids / P. Superiores</t>
        </is>
      </c>
      <c r="D2941" t="n">
        <v>1</v>
      </c>
      <c r="E2941" t="n">
        <v>38</v>
      </c>
      <c r="F2941" t="n">
        <v>0.8915789474</v>
      </c>
      <c r="G2941" t="n">
        <v>12</v>
      </c>
      <c r="H2941" t="n">
        <v>4.12</v>
      </c>
      <c r="I2941" t="n">
        <v>0.1</v>
      </c>
      <c r="J2941" t="n">
        <v>1</v>
      </c>
      <c r="K2941" t="inlineStr"/>
    </row>
    <row r="2942">
      <c r="A2942" t="inlineStr">
        <is>
          <t>CLAMIDA30TXS</t>
        </is>
      </c>
      <c r="B2942" t="inlineStr">
        <is>
          <t>CLASICA ORIGINAL DAMA</t>
        </is>
      </c>
      <c r="C2942" t="inlineStr">
        <is>
          <t>Manufactura / Dama / P. Superiores</t>
        </is>
      </c>
      <c r="D2942" t="n">
        <v>2</v>
      </c>
      <c r="E2942" t="n">
        <v>38</v>
      </c>
      <c r="F2942" t="n">
        <v>0.8967571687</v>
      </c>
      <c r="G2942" t="n">
        <v>17</v>
      </c>
      <c r="H2942" t="n">
        <v>3.923227589</v>
      </c>
      <c r="I2942" t="n">
        <v>0.2</v>
      </c>
      <c r="J2942" t="n">
        <v>0</v>
      </c>
      <c r="K2942" t="inlineStr"/>
    </row>
    <row r="2943">
      <c r="A2943" t="inlineStr">
        <is>
          <t>RIOMIKI52T1</t>
        </is>
      </c>
      <c r="B2943" t="inlineStr">
        <is>
          <t>RIO ORIGINAL KIDS</t>
        </is>
      </c>
      <c r="C2943" t="inlineStr">
        <is>
          <t>Manufactura / Kids / P. Superiores</t>
        </is>
      </c>
      <c r="D2943" t="n">
        <v>1</v>
      </c>
      <c r="E2943" t="n">
        <v>37.97289618</v>
      </c>
      <c r="F2943" t="n">
        <v>0.9047223197000001</v>
      </c>
      <c r="G2943" t="n">
        <v>0</v>
      </c>
      <c r="H2943" t="n">
        <v>3.617969464</v>
      </c>
      <c r="I2943" t="n">
        <v>0.1</v>
      </c>
      <c r="J2943" t="n">
        <v>9</v>
      </c>
      <c r="K2943" t="inlineStr">
        <is>
          <t>Sin stock</t>
        </is>
      </c>
    </row>
    <row r="2944">
      <c r="A2944" t="inlineStr">
        <is>
          <t>TRISTCA16TL</t>
        </is>
      </c>
      <c r="B2944" t="inlineStr">
        <is>
          <t>RETRO VZLA CAB</t>
        </is>
      </c>
      <c r="C2944" t="inlineStr">
        <is>
          <t>Manufactura / Caballero / P. Superiores</t>
        </is>
      </c>
      <c r="D2944" t="n">
        <v>1</v>
      </c>
      <c r="E2944" t="n">
        <v>37.94606367</v>
      </c>
      <c r="F2944" t="n">
        <v>0.6600437897</v>
      </c>
      <c r="G2944" t="n">
        <v>0</v>
      </c>
      <c r="H2944" t="n">
        <v>12.9</v>
      </c>
      <c r="I2944" t="n">
        <v>0.1</v>
      </c>
      <c r="J2944" t="n">
        <v>8</v>
      </c>
      <c r="K2944" t="inlineStr">
        <is>
          <t>Sin stock</t>
        </is>
      </c>
    </row>
    <row r="2945">
      <c r="A2945" t="inlineStr">
        <is>
          <t>MANMIGE05TP</t>
        </is>
      </c>
      <c r="B2945" t="inlineStr">
        <is>
          <t>MANGAS GENERAL</t>
        </is>
      </c>
      <c r="C2945" t="inlineStr">
        <is>
          <t>Manufactura / General</t>
        </is>
      </c>
      <c r="D2945" t="n">
        <v>2</v>
      </c>
      <c r="E2945" t="n">
        <v>37.94524664</v>
      </c>
      <c r="F2945" t="n">
        <v>0.9511391704000001</v>
      </c>
      <c r="G2945" t="n">
        <v>12</v>
      </c>
      <c r="H2945" t="n">
        <v>0.92</v>
      </c>
      <c r="I2945" t="n">
        <v>0.2</v>
      </c>
      <c r="J2945" t="n">
        <v>7</v>
      </c>
      <c r="K2945" t="inlineStr"/>
    </row>
    <row r="2946">
      <c r="A2946" t="inlineStr">
        <is>
          <t>CLAMIKI30T8</t>
        </is>
      </c>
      <c r="B2946" t="inlineStr">
        <is>
          <t>CLASICA ORIGINAL KIDS</t>
        </is>
      </c>
      <c r="C2946" t="inlineStr">
        <is>
          <t>Manufactura / Kids / P. Superiores</t>
        </is>
      </c>
      <c r="D2946" t="n">
        <v>1</v>
      </c>
      <c r="E2946" t="n">
        <v>37.94306935</v>
      </c>
      <c r="F2946" t="n">
        <v>0.9458722017</v>
      </c>
      <c r="G2946" t="n">
        <v>1</v>
      </c>
      <c r="H2946" t="n">
        <v>2.053774806</v>
      </c>
      <c r="I2946" t="n">
        <v>0.1</v>
      </c>
      <c r="J2946" t="n">
        <v>3</v>
      </c>
      <c r="K2946" t="inlineStr"/>
    </row>
    <row r="2947">
      <c r="A2947" t="inlineStr">
        <is>
          <t>SHONTDA33TXL</t>
        </is>
      </c>
      <c r="B2947" t="inlineStr">
        <is>
          <t>EXPLORE SHORT DAMA</t>
        </is>
      </c>
      <c r="C2947" t="inlineStr">
        <is>
          <t>Manufactura / Dama / P. Inferiores</t>
        </is>
      </c>
      <c r="D2947" t="n">
        <v>1</v>
      </c>
      <c r="E2947" t="n">
        <v>37.93</v>
      </c>
      <c r="F2947" t="n">
        <v>0.7305263</v>
      </c>
      <c r="G2947" t="n">
        <v>16</v>
      </c>
      <c r="H2947" t="n">
        <v>10.22113744</v>
      </c>
      <c r="I2947" t="n">
        <v>0.1</v>
      </c>
      <c r="J2947" t="n">
        <v>0</v>
      </c>
      <c r="K2947" t="inlineStr"/>
    </row>
    <row r="2948">
      <c r="A2948" t="inlineStr">
        <is>
          <t>MLMMJDA14TXL</t>
        </is>
      </c>
      <c r="B2948" t="inlineStr">
        <is>
          <t>MOTION LOOP MAFE DAMA</t>
        </is>
      </c>
      <c r="C2948" t="inlineStr">
        <is>
          <t>Manufactura / Dama / P. Superiores</t>
        </is>
      </c>
      <c r="D2948" t="n">
        <v>1</v>
      </c>
      <c r="E2948" t="n">
        <v>37.93</v>
      </c>
      <c r="F2948" t="n">
        <v>0.9929841521</v>
      </c>
      <c r="G2948" t="n">
        <v>0</v>
      </c>
      <c r="H2948" t="n">
        <v>0.2661111111</v>
      </c>
      <c r="I2948" t="n">
        <v>0.1</v>
      </c>
      <c r="J2948" t="n">
        <v>0</v>
      </c>
      <c r="K2948" t="inlineStr">
        <is>
          <t>Sin stock</t>
        </is>
      </c>
    </row>
    <row r="2949">
      <c r="A2949" t="inlineStr">
        <is>
          <t>MARMICA48TL</t>
        </is>
      </c>
      <c r="B2949" t="inlineStr">
        <is>
          <t>MAR ORIGINAL CAB</t>
        </is>
      </c>
      <c r="C2949" t="inlineStr">
        <is>
          <t>Manufactura / Caballero / P. Superiores</t>
        </is>
      </c>
      <c r="D2949" t="n">
        <v>10</v>
      </c>
      <c r="E2949" t="n">
        <v>37.79378002</v>
      </c>
      <c r="F2949" t="n">
        <v>0.8691224475</v>
      </c>
      <c r="G2949" t="n">
        <v>0</v>
      </c>
      <c r="H2949" t="n">
        <v>4.946357428</v>
      </c>
      <c r="I2949" t="n">
        <v>1</v>
      </c>
      <c r="J2949" t="n">
        <v>5</v>
      </c>
      <c r="K2949" t="inlineStr">
        <is>
          <t>Sin stock</t>
        </is>
      </c>
    </row>
    <row r="2950">
      <c r="A2950" t="inlineStr">
        <is>
          <t>MARMIKI14T2</t>
        </is>
      </c>
      <c r="B2950" t="inlineStr">
        <is>
          <t>MAR ORIGINAL KIDS</t>
        </is>
      </c>
      <c r="C2950" t="inlineStr">
        <is>
          <t>Manufactura / Kids / P. Superiores</t>
        </is>
      </c>
      <c r="D2950" t="n">
        <v>1</v>
      </c>
      <c r="E2950" t="n">
        <v>37.68016596</v>
      </c>
      <c r="F2950" t="n">
        <v>0.9159235834</v>
      </c>
      <c r="G2950" t="n">
        <v>0</v>
      </c>
      <c r="H2950" t="n">
        <v>3.168013332</v>
      </c>
      <c r="I2950" t="n">
        <v>0.1</v>
      </c>
      <c r="J2950" t="n">
        <v>9</v>
      </c>
      <c r="K2950" t="inlineStr">
        <is>
          <t>Sin stock</t>
        </is>
      </c>
    </row>
    <row r="2951">
      <c r="A2951" t="inlineStr">
        <is>
          <t>ANMSUDA152TXL</t>
        </is>
      </c>
      <c r="B2951" t="inlineStr">
        <is>
          <t>ANDRE MOTION DAMA</t>
        </is>
      </c>
      <c r="C2951" t="inlineStr">
        <is>
          <t>Manufactura / Dama / P. Superiores</t>
        </is>
      </c>
      <c r="D2951" t="n">
        <v>1</v>
      </c>
      <c r="E2951" t="n">
        <v>37.56466964</v>
      </c>
      <c r="F2951" t="n">
        <v>0.7178199595</v>
      </c>
      <c r="G2951" t="n">
        <v>12</v>
      </c>
      <c r="H2951" t="n">
        <v>10.6</v>
      </c>
      <c r="I2951" t="n">
        <v>0.1</v>
      </c>
      <c r="J2951" t="n">
        <v>4</v>
      </c>
      <c r="K2951" t="inlineStr"/>
    </row>
    <row r="2952">
      <c r="A2952" t="inlineStr">
        <is>
          <t>BAN43EL</t>
        </is>
      </c>
      <c r="B2952" t="inlineStr">
        <is>
          <t>CUADRO BAND ELASTIC</t>
        </is>
      </c>
      <c r="C2952" t="inlineStr">
        <is>
          <t>Equipamiento / Accesorios</t>
        </is>
      </c>
      <c r="D2952" t="n">
        <v>15</v>
      </c>
      <c r="E2952" t="n">
        <v>37.540696184</v>
      </c>
      <c r="F2952" t="n">
        <v>0.8722158195230769</v>
      </c>
      <c r="G2952" t="n">
        <v>33</v>
      </c>
      <c r="H2952" t="n">
        <v>0.3</v>
      </c>
      <c r="I2952" t="n">
        <v>1.5</v>
      </c>
      <c r="J2952" t="n">
        <v>0</v>
      </c>
      <c r="K2952" t="inlineStr"/>
    </row>
    <row r="2953">
      <c r="A2953" t="inlineStr">
        <is>
          <t>SHONRCA66T4XL</t>
        </is>
      </c>
      <c r="B2953" t="inlineStr">
        <is>
          <t>SHORT SPORT CAB</t>
        </is>
      </c>
      <c r="C2953" t="inlineStr">
        <is>
          <t>Manufactura / Caballero / P. Inferiores</t>
        </is>
      </c>
      <c r="D2953" t="n">
        <v>1</v>
      </c>
      <c r="E2953" t="n">
        <v>37.21106945</v>
      </c>
      <c r="F2953" t="n">
        <v>0.7137559131</v>
      </c>
      <c r="G2953" t="n">
        <v>0</v>
      </c>
      <c r="H2953" t="n">
        <v>10.6514486</v>
      </c>
      <c r="I2953" t="n">
        <v>0.1</v>
      </c>
      <c r="J2953" t="n">
        <v>7</v>
      </c>
      <c r="K2953" t="inlineStr">
        <is>
          <t>Sin stock</t>
        </is>
      </c>
    </row>
    <row r="2954">
      <c r="A2954" t="inlineStr">
        <is>
          <t>LARIMJDA43TXL</t>
        </is>
      </c>
      <c r="B2954" t="inlineStr">
        <is>
          <t>LARISA ORIGINAL DAMA</t>
        </is>
      </c>
      <c r="C2954" t="inlineStr">
        <is>
          <t>Manufactura / Dama / P. Superiores</t>
        </is>
      </c>
      <c r="D2954" t="n">
        <v>1</v>
      </c>
      <c r="E2954" t="n">
        <v>37.07</v>
      </c>
      <c r="F2954" t="n">
        <v>0.95236044</v>
      </c>
      <c r="G2954" t="n">
        <v>15</v>
      </c>
      <c r="H2954" t="n">
        <v>1.765998491</v>
      </c>
      <c r="I2954" t="n">
        <v>0.1</v>
      </c>
      <c r="J2954" t="n">
        <v>1</v>
      </c>
      <c r="K2954" t="inlineStr"/>
    </row>
    <row r="2955">
      <c r="A2955" t="inlineStr">
        <is>
          <t>LARIMJDA12TL</t>
        </is>
      </c>
      <c r="B2955" t="inlineStr">
        <is>
          <t>LARISA ORIGINAL DAMA</t>
        </is>
      </c>
      <c r="C2955" t="inlineStr">
        <is>
          <t>Manufactura / Dama / P. Superiores</t>
        </is>
      </c>
      <c r="D2955" t="n">
        <v>1</v>
      </c>
      <c r="E2955" t="n">
        <v>37.07</v>
      </c>
      <c r="F2955" t="n">
        <v>0.95236044</v>
      </c>
      <c r="G2955" t="n">
        <v>15</v>
      </c>
      <c r="H2955" t="n">
        <v>1.765998491</v>
      </c>
      <c r="I2955" t="n">
        <v>0.1</v>
      </c>
      <c r="J2955" t="n">
        <v>1</v>
      </c>
      <c r="K2955" t="inlineStr"/>
    </row>
    <row r="2956">
      <c r="A2956" t="inlineStr">
        <is>
          <t>CLAMIKI13T10</t>
        </is>
      </c>
      <c r="B2956" t="inlineStr">
        <is>
          <t>CLASICA ORIGINAL KIDS</t>
        </is>
      </c>
      <c r="C2956" t="inlineStr">
        <is>
          <t>Manufactura / Kids / P. Superiores</t>
        </is>
      </c>
      <c r="D2956" t="n">
        <v>3</v>
      </c>
      <c r="E2956" t="n">
        <v>37</v>
      </c>
      <c r="F2956" t="n">
        <v>0.9444925728</v>
      </c>
      <c r="G2956" t="n">
        <v>3</v>
      </c>
      <c r="H2956" t="n">
        <v>2.053774806</v>
      </c>
      <c r="I2956" t="n">
        <v>0.3</v>
      </c>
      <c r="J2956" t="n">
        <v>0</v>
      </c>
      <c r="K2956" t="inlineStr"/>
    </row>
    <row r="2957">
      <c r="A2957" t="inlineStr">
        <is>
          <t>WAVSTKI16T6</t>
        </is>
      </c>
      <c r="B2957" t="inlineStr">
        <is>
          <t>CLASICA RETRO 2.0 KIDS</t>
        </is>
      </c>
      <c r="C2957" t="inlineStr">
        <is>
          <t>Manufactura / Kids / P. Superiores</t>
        </is>
      </c>
      <c r="D2957" t="n">
        <v>1</v>
      </c>
      <c r="E2957" t="n">
        <v>36.9658929</v>
      </c>
      <c r="F2957" t="n">
        <v>0.9729480361</v>
      </c>
      <c r="G2957" t="n">
        <v>0</v>
      </c>
      <c r="H2957" t="n">
        <v>1</v>
      </c>
      <c r="I2957" t="n">
        <v>0.1</v>
      </c>
      <c r="J2957" t="n">
        <v>2</v>
      </c>
      <c r="K2957" t="inlineStr">
        <is>
          <t>Sin stock</t>
        </is>
      </c>
    </row>
    <row r="2958">
      <c r="A2958" t="inlineStr">
        <is>
          <t>EXPSTKI16T8</t>
        </is>
      </c>
      <c r="B2958" t="inlineStr">
        <is>
          <t>CLASICA RETRO 2.0 KIDS</t>
        </is>
      </c>
      <c r="C2958" t="inlineStr">
        <is>
          <t>Manufactura / Kids / P. Superiores</t>
        </is>
      </c>
      <c r="D2958" t="n">
        <v>1</v>
      </c>
      <c r="E2958" t="n">
        <v>36.9646123</v>
      </c>
      <c r="F2958" t="n">
        <v>0.9729470989</v>
      </c>
      <c r="G2958" t="n">
        <v>0</v>
      </c>
      <c r="H2958" t="n">
        <v>1</v>
      </c>
      <c r="I2958" t="n">
        <v>0.1</v>
      </c>
      <c r="J2958" t="n">
        <v>2</v>
      </c>
      <c r="K2958" t="inlineStr">
        <is>
          <t>Sin stock</t>
        </is>
      </c>
    </row>
    <row r="2959">
      <c r="A2959" t="inlineStr">
        <is>
          <t>P02</t>
        </is>
      </c>
      <c r="B2959" t="inlineStr">
        <is>
          <t>PARCHES</t>
        </is>
      </c>
      <c r="C2959" t="inlineStr">
        <is>
          <t>Equipamiento / Accesorios</t>
        </is>
      </c>
      <c r="D2959" t="n">
        <v>7</v>
      </c>
      <c r="E2959" t="n">
        <v>36.941851338</v>
      </c>
      <c r="F2959" t="n">
        <v>0.8216471084666667</v>
      </c>
      <c r="G2959" t="n">
        <v>14</v>
      </c>
      <c r="H2959" t="n">
        <v>0.98</v>
      </c>
      <c r="I2959" t="n">
        <v>0.7</v>
      </c>
      <c r="J2959" t="n">
        <v>0</v>
      </c>
      <c r="K2959" t="inlineStr"/>
    </row>
    <row r="2960">
      <c r="A2960" t="inlineStr">
        <is>
          <t>CLMSUCA15TS</t>
        </is>
      </c>
      <c r="B2960" t="inlineStr">
        <is>
          <t>CLASICA MOTION CAB</t>
        </is>
      </c>
      <c r="C2960" t="inlineStr">
        <is>
          <t>Manufactura / Caballero / P. Superiores</t>
        </is>
      </c>
      <c r="D2960" t="n">
        <v>1</v>
      </c>
      <c r="E2960" t="n">
        <v>36.90097938</v>
      </c>
      <c r="F2960" t="n">
        <v>0.6677594957</v>
      </c>
      <c r="G2960" t="n">
        <v>1</v>
      </c>
      <c r="H2960" t="n">
        <v>12.26</v>
      </c>
      <c r="I2960" t="n">
        <v>0.1</v>
      </c>
      <c r="J2960" t="n">
        <v>2</v>
      </c>
      <c r="K2960" t="inlineStr"/>
    </row>
    <row r="2961">
      <c r="A2961" t="inlineStr">
        <is>
          <t>CLAMEDA13TXL</t>
        </is>
      </c>
      <c r="B2961" t="inlineStr">
        <is>
          <t>CLÁSICA SPORT DAMA</t>
        </is>
      </c>
      <c r="C2961" t="inlineStr">
        <is>
          <t>Manufactura / Dama / P. Superiores</t>
        </is>
      </c>
      <c r="D2961" t="n">
        <v>1</v>
      </c>
      <c r="E2961" t="n">
        <v>36.78871651</v>
      </c>
      <c r="F2961" t="n">
        <v>0.8223339549000001</v>
      </c>
      <c r="G2961" t="n">
        <v>0</v>
      </c>
      <c r="H2961" t="n">
        <v>6.536105769</v>
      </c>
      <c r="I2961" t="n">
        <v>0.1</v>
      </c>
      <c r="J2961" t="n">
        <v>9</v>
      </c>
      <c r="K2961" t="inlineStr">
        <is>
          <t>Sin stock</t>
        </is>
      </c>
    </row>
    <row r="2962">
      <c r="A2962" t="inlineStr">
        <is>
          <t>CLAMIDA04TM</t>
        </is>
      </c>
      <c r="B2962" t="inlineStr">
        <is>
          <t>CLASICA ORIGINAL DAMA</t>
        </is>
      </c>
      <c r="C2962" t="inlineStr">
        <is>
          <t>Manufactura / Dama / P. Superiores</t>
        </is>
      </c>
      <c r="D2962" t="n">
        <v>1</v>
      </c>
      <c r="E2962" t="n">
        <v>36.78871651</v>
      </c>
      <c r="F2962" t="n">
        <v>0.8933578564</v>
      </c>
      <c r="G2962" t="n">
        <v>1</v>
      </c>
      <c r="H2962" t="n">
        <v>3.923227589</v>
      </c>
      <c r="I2962" t="n">
        <v>0.1</v>
      </c>
      <c r="J2962" t="n">
        <v>9</v>
      </c>
      <c r="K2962" t="inlineStr"/>
    </row>
    <row r="2963">
      <c r="A2963" t="inlineStr">
        <is>
          <t>ZOEMIDA28TXS</t>
        </is>
      </c>
      <c r="B2963" t="inlineStr">
        <is>
          <t>ZOE ORIGINAL DAMA</t>
        </is>
      </c>
      <c r="C2963" t="inlineStr">
        <is>
          <t>Manufactura / Dama / P. Superiores</t>
        </is>
      </c>
      <c r="D2963" t="n">
        <v>1</v>
      </c>
      <c r="E2963" t="n">
        <v>36.74537747</v>
      </c>
      <c r="F2963" t="n">
        <v>0.8879699712</v>
      </c>
      <c r="G2963" t="n">
        <v>0</v>
      </c>
      <c r="H2963" t="n">
        <v>4.116585696</v>
      </c>
      <c r="I2963" t="n">
        <v>0.1</v>
      </c>
      <c r="J2963" t="n">
        <v>9</v>
      </c>
      <c r="K2963" t="inlineStr">
        <is>
          <t>Sin stock</t>
        </is>
      </c>
    </row>
    <row r="2964">
      <c r="A2964" t="inlineStr">
        <is>
          <t>MARMIKI24T8</t>
        </is>
      </c>
      <c r="B2964" t="inlineStr">
        <is>
          <t>MAR ORIGINAL KIDS</t>
        </is>
      </c>
      <c r="C2964" t="inlineStr">
        <is>
          <t>Manufactura / Kids / P. Superiores</t>
        </is>
      </c>
      <c r="D2964" t="n">
        <v>1</v>
      </c>
      <c r="E2964" t="n">
        <v>36.74537747</v>
      </c>
      <c r="F2964" t="n">
        <v>0.9137847112</v>
      </c>
      <c r="G2964" t="n">
        <v>0</v>
      </c>
      <c r="H2964" t="n">
        <v>3.168013332</v>
      </c>
      <c r="I2964" t="n">
        <v>0.1</v>
      </c>
      <c r="J2964" t="n">
        <v>9</v>
      </c>
      <c r="K2964" t="inlineStr">
        <is>
          <t>Sin stock</t>
        </is>
      </c>
    </row>
    <row r="2965">
      <c r="A2965" t="inlineStr">
        <is>
          <t>MARMIKI24T6</t>
        </is>
      </c>
      <c r="B2965" t="inlineStr">
        <is>
          <t>MAR ORIGINAL KIDS</t>
        </is>
      </c>
      <c r="C2965" t="inlineStr">
        <is>
          <t>Manufactura / Kids / P. Superiores</t>
        </is>
      </c>
      <c r="D2965" t="n">
        <v>2</v>
      </c>
      <c r="E2965" t="n">
        <v>36.74537747</v>
      </c>
      <c r="F2965" t="n">
        <v>0.9137847112</v>
      </c>
      <c r="G2965" t="n">
        <v>0</v>
      </c>
      <c r="H2965" t="n">
        <v>3.168013332</v>
      </c>
      <c r="I2965" t="n">
        <v>0.2</v>
      </c>
      <c r="J2965" t="n">
        <v>0</v>
      </c>
      <c r="K2965" t="inlineStr">
        <is>
          <t>Sin stock</t>
        </is>
      </c>
    </row>
    <row r="2966">
      <c r="A2966" t="inlineStr">
        <is>
          <t>CLAMICA48TXL</t>
        </is>
      </c>
      <c r="B2966" t="inlineStr">
        <is>
          <t>CLASICA ORIGINAL CAB</t>
        </is>
      </c>
      <c r="C2966" t="inlineStr">
        <is>
          <t>Manufactura / Caballero / P. Superiores</t>
        </is>
      </c>
      <c r="D2966" t="n">
        <v>1</v>
      </c>
      <c r="E2966" t="n">
        <v>36.70929422</v>
      </c>
      <c r="F2966" t="n">
        <v>0.8747335617999999</v>
      </c>
      <c r="G2966" t="n">
        <v>5</v>
      </c>
      <c r="H2966" t="n">
        <v>4.598442536</v>
      </c>
      <c r="I2966" t="n">
        <v>0.1</v>
      </c>
      <c r="J2966" t="n">
        <v>7</v>
      </c>
      <c r="K2966" t="inlineStr"/>
    </row>
    <row r="2967">
      <c r="A2967" t="inlineStr">
        <is>
          <t>DAMSTKI43T4</t>
        </is>
      </c>
      <c r="B2967" t="inlineStr">
        <is>
          <t>MANGA LARGA DAILY KIDS</t>
        </is>
      </c>
      <c r="C2967" t="inlineStr">
        <is>
          <t>Manufactura / Kids / P. Superiores</t>
        </is>
      </c>
      <c r="D2967" t="n">
        <v>2</v>
      </c>
      <c r="E2967" t="n">
        <v>36.43723616</v>
      </c>
      <c r="F2967" t="n">
        <v>0.3882699142</v>
      </c>
      <c r="G2967" t="n">
        <v>0</v>
      </c>
      <c r="H2967" t="n">
        <v>10.1</v>
      </c>
      <c r="I2967" t="n">
        <v>0.2</v>
      </c>
      <c r="J2967" t="n">
        <v>7</v>
      </c>
      <c r="K2967" t="inlineStr">
        <is>
          <t>Sin stock</t>
        </is>
      </c>
    </row>
    <row r="2968">
      <c r="A2968" t="inlineStr">
        <is>
          <t>MLCMJCA12TL</t>
        </is>
      </c>
      <c r="B2968" t="inlineStr">
        <is>
          <t>MOTION LOOP CLASICA CAB</t>
        </is>
      </c>
      <c r="C2968" t="inlineStr">
        <is>
          <t>Manufactura / Caballero / P. Superiores</t>
        </is>
      </c>
      <c r="D2968" t="n">
        <v>2</v>
      </c>
      <c r="E2968" t="n">
        <v>36.4</v>
      </c>
      <c r="F2968" t="n">
        <v>0.944980695</v>
      </c>
      <c r="G2968" t="n">
        <v>4</v>
      </c>
      <c r="H2968" t="n">
        <v>2.002702703</v>
      </c>
      <c r="I2968" t="n">
        <v>0.2</v>
      </c>
      <c r="J2968" t="n">
        <v>0</v>
      </c>
      <c r="K2968" t="inlineStr"/>
    </row>
    <row r="2969">
      <c r="A2969" t="inlineStr">
        <is>
          <t>CLAMICA09TL</t>
        </is>
      </c>
      <c r="B2969" t="inlineStr">
        <is>
          <t>CLASICA ORIGINAL CAB</t>
        </is>
      </c>
      <c r="C2969" t="inlineStr">
        <is>
          <t>Manufactura / Caballero / P. Superiores</t>
        </is>
      </c>
      <c r="D2969" t="n">
        <v>1</v>
      </c>
      <c r="E2969" t="n">
        <v>36.33994769</v>
      </c>
      <c r="F2969" t="n">
        <v>0.8734603975</v>
      </c>
      <c r="G2969" t="n">
        <v>0</v>
      </c>
      <c r="H2969" t="n">
        <v>4.598442536</v>
      </c>
      <c r="I2969" t="n">
        <v>0.1</v>
      </c>
      <c r="J2969" t="n">
        <v>9</v>
      </c>
      <c r="K2969" t="inlineStr">
        <is>
          <t>Sin stock</t>
        </is>
      </c>
    </row>
    <row r="2970">
      <c r="A2970" t="inlineStr">
        <is>
          <t>RIOMIKI52T4</t>
        </is>
      </c>
      <c r="B2970" t="inlineStr">
        <is>
          <t>RIO ORIGINAL KIDS</t>
        </is>
      </c>
      <c r="C2970" t="inlineStr">
        <is>
          <t>Manufactura / Kids / P. Superiores</t>
        </is>
      </c>
      <c r="D2970" t="n">
        <v>1</v>
      </c>
      <c r="E2970" t="n">
        <v>36.33994769</v>
      </c>
      <c r="F2970" t="n">
        <v>0.9004409831</v>
      </c>
      <c r="G2970" t="n">
        <v>0</v>
      </c>
      <c r="H2970" t="n">
        <v>3.617969464</v>
      </c>
      <c r="I2970" t="n">
        <v>0.1</v>
      </c>
      <c r="J2970" t="n">
        <v>9</v>
      </c>
      <c r="K2970" t="inlineStr">
        <is>
          <t>Sin stock</t>
        </is>
      </c>
    </row>
    <row r="2971">
      <c r="A2971" t="inlineStr">
        <is>
          <t>ETN98E500ML</t>
        </is>
      </c>
      <c r="B2971" t="inlineStr">
        <is>
          <t>KAMBUKKA ETNA 500 ML</t>
        </is>
      </c>
      <c r="C2971" t="inlineStr">
        <is>
          <t>Equipamiento / Cava</t>
        </is>
      </c>
      <c r="D2971" t="n">
        <v>1</v>
      </c>
      <c r="E2971" t="n">
        <v>36.2468657</v>
      </c>
      <c r="F2971" t="n">
        <v>0.3240794886</v>
      </c>
      <c r="G2971" t="n">
        <v>0</v>
      </c>
      <c r="H2971" t="n">
        <v>24.5</v>
      </c>
      <c r="I2971" t="n">
        <v>0.1</v>
      </c>
      <c r="J2971" t="n">
        <v>9</v>
      </c>
      <c r="K2971" t="inlineStr">
        <is>
          <t>Sin stock</t>
        </is>
      </c>
    </row>
    <row r="2972">
      <c r="A2972" t="inlineStr">
        <is>
          <t>MARMIKI28T1</t>
        </is>
      </c>
      <c r="B2972" t="inlineStr">
        <is>
          <t>MAR ORIGINAL KIDS</t>
        </is>
      </c>
      <c r="C2972" t="inlineStr">
        <is>
          <t>Manufactura / Kids / P. Superiores</t>
        </is>
      </c>
      <c r="D2972" t="n">
        <v>1</v>
      </c>
      <c r="E2972" t="n">
        <v>36.12794106</v>
      </c>
      <c r="F2972" t="n">
        <v>0.9123112683</v>
      </c>
      <c r="G2972" t="n">
        <v>0</v>
      </c>
      <c r="H2972" t="n">
        <v>3.168013332</v>
      </c>
      <c r="I2972" t="n">
        <v>0.1</v>
      </c>
      <c r="J2972" t="n">
        <v>8</v>
      </c>
      <c r="K2972" t="inlineStr">
        <is>
          <t>Sin stock</t>
        </is>
      </c>
    </row>
    <row r="2973">
      <c r="A2973" t="inlineStr">
        <is>
          <t>WAVSTKI16T8</t>
        </is>
      </c>
      <c r="B2973" t="inlineStr">
        <is>
          <t>CLASICA RETRO 2.0 KIDS</t>
        </is>
      </c>
      <c r="C2973" t="inlineStr">
        <is>
          <t>Manufactura / Kids / P. Superiores</t>
        </is>
      </c>
      <c r="D2973" t="n">
        <v>1</v>
      </c>
      <c r="E2973" t="n">
        <v>36.08381454</v>
      </c>
      <c r="F2973" t="n">
        <v>0.9722867437</v>
      </c>
      <c r="G2973" t="n">
        <v>0</v>
      </c>
      <c r="H2973" t="n">
        <v>1</v>
      </c>
      <c r="I2973" t="n">
        <v>0.1</v>
      </c>
      <c r="J2973" t="n">
        <v>5</v>
      </c>
      <c r="K2973" t="inlineStr">
        <is>
          <t>Sin stock</t>
        </is>
      </c>
    </row>
    <row r="2974">
      <c r="A2974" t="inlineStr">
        <is>
          <t>MIAMIDA53TS</t>
        </is>
      </c>
      <c r="B2974" t="inlineStr">
        <is>
          <t>MIA ORIGINAL DAMA</t>
        </is>
      </c>
      <c r="C2974" t="inlineStr">
        <is>
          <t>Manufactura / Dama / P. Superiores</t>
        </is>
      </c>
      <c r="D2974" t="n">
        <v>1</v>
      </c>
      <c r="E2974" t="n">
        <v>36</v>
      </c>
      <c r="F2974" t="n">
        <v>0.8905555556</v>
      </c>
      <c r="G2974" t="n">
        <v>0</v>
      </c>
      <c r="H2974" t="n">
        <v>3.94</v>
      </c>
      <c r="I2974" t="n">
        <v>0.1</v>
      </c>
      <c r="J2974" t="n">
        <v>1</v>
      </c>
      <c r="K2974" t="inlineStr">
        <is>
          <t>Sin stock</t>
        </is>
      </c>
    </row>
    <row r="2975">
      <c r="A2975" t="inlineStr">
        <is>
          <t>RIOMIKI28T4</t>
        </is>
      </c>
      <c r="B2975" t="inlineStr">
        <is>
          <t>RIO ORIGINAL KIDS</t>
        </is>
      </c>
      <c r="C2975" t="inlineStr">
        <is>
          <t>Manufactura / Kids / P. Superiores</t>
        </is>
      </c>
      <c r="D2975" t="n">
        <v>1</v>
      </c>
      <c r="E2975" t="n">
        <v>35.97618833</v>
      </c>
      <c r="F2975" t="n">
        <v>0.8994343305</v>
      </c>
      <c r="G2975" t="n">
        <v>0</v>
      </c>
      <c r="H2975" t="n">
        <v>3.617969464</v>
      </c>
      <c r="I2975" t="n">
        <v>0.1</v>
      </c>
      <c r="J2975" t="n">
        <v>9</v>
      </c>
      <c r="K2975" t="inlineStr">
        <is>
          <t>Sin stock</t>
        </is>
      </c>
    </row>
    <row r="2976">
      <c r="A2976" t="inlineStr">
        <is>
          <t>ACCMICA120TL</t>
        </is>
      </c>
      <c r="B2976" t="inlineStr">
        <is>
          <t>CLASICA ACTIVE CAB</t>
        </is>
      </c>
      <c r="C2976" t="inlineStr">
        <is>
          <t>Manufactura / Caballero / P. Superiores</t>
        </is>
      </c>
      <c r="D2976" t="n">
        <v>1</v>
      </c>
      <c r="E2976" t="n">
        <v>35.97618833</v>
      </c>
      <c r="F2976" t="n">
        <v>0.6458768816</v>
      </c>
      <c r="G2976" t="n">
        <v>0</v>
      </c>
      <c r="H2976" t="n">
        <v>12.74</v>
      </c>
      <c r="I2976" t="n">
        <v>0.1</v>
      </c>
      <c r="J2976" t="n">
        <v>9</v>
      </c>
      <c r="K2976" t="inlineStr">
        <is>
          <t>Sin stock</t>
        </is>
      </c>
    </row>
    <row r="2977">
      <c r="A2977" t="inlineStr">
        <is>
          <t>RIOMIKI39T1</t>
        </is>
      </c>
      <c r="B2977" t="inlineStr">
        <is>
          <t>RIO ORIGINAL KIDS</t>
        </is>
      </c>
      <c r="C2977" t="inlineStr">
        <is>
          <t>Manufactura / Kids / P. Superiores</t>
        </is>
      </c>
      <c r="D2977" t="n">
        <v>1</v>
      </c>
      <c r="E2977" t="n">
        <v>35.79155191</v>
      </c>
      <c r="F2977" t="n">
        <v>0.8989155465000001</v>
      </c>
      <c r="G2977" t="n">
        <v>0</v>
      </c>
      <c r="H2977" t="n">
        <v>3.617969464</v>
      </c>
      <c r="I2977" t="n">
        <v>0.1</v>
      </c>
      <c r="J2977" t="n">
        <v>7</v>
      </c>
      <c r="K2977" t="inlineStr">
        <is>
          <t>Sin stock</t>
        </is>
      </c>
    </row>
    <row r="2978">
      <c r="A2978" t="inlineStr">
        <is>
          <t>PAUMIDA43TXS</t>
        </is>
      </c>
      <c r="B2978" t="inlineStr">
        <is>
          <t>PAULA ORIGINAL DAMA</t>
        </is>
      </c>
      <c r="C2978" t="inlineStr">
        <is>
          <t>Manufactura / Dama / P. Superiores</t>
        </is>
      </c>
      <c r="D2978" t="n">
        <v>1</v>
      </c>
      <c r="E2978" t="n">
        <v>35.75984513</v>
      </c>
      <c r="F2978" t="n">
        <v>0.9007266394</v>
      </c>
      <c r="G2978" t="n">
        <v>0</v>
      </c>
      <c r="H2978" t="n">
        <v>3.55</v>
      </c>
      <c r="I2978" t="n">
        <v>0.1</v>
      </c>
      <c r="J2978" t="n">
        <v>3</v>
      </c>
      <c r="K2978" t="inlineStr">
        <is>
          <t>Sin stock</t>
        </is>
      </c>
    </row>
    <row r="2979">
      <c r="A2979" t="inlineStr">
        <is>
          <t>MARMIKI09T1</t>
        </is>
      </c>
      <c r="B2979" t="inlineStr">
        <is>
          <t>MAR ORIGINAL KIDS</t>
        </is>
      </c>
      <c r="C2979" t="inlineStr">
        <is>
          <t>Manufactura / Kids / P. Superiores</t>
        </is>
      </c>
      <c r="D2979" t="n">
        <v>1</v>
      </c>
      <c r="E2979" t="n">
        <v>35.74680453</v>
      </c>
      <c r="F2979" t="n">
        <v>0.9113763209</v>
      </c>
      <c r="G2979" t="n">
        <v>0</v>
      </c>
      <c r="H2979" t="n">
        <v>3.168013332</v>
      </c>
      <c r="I2979" t="n">
        <v>0.1</v>
      </c>
      <c r="J2979" t="n">
        <v>8</v>
      </c>
      <c r="K2979" t="inlineStr">
        <is>
          <t>Sin stock</t>
        </is>
      </c>
    </row>
    <row r="2980">
      <c r="A2980" t="inlineStr">
        <is>
          <t>RIOMIKI14T10</t>
        </is>
      </c>
      <c r="B2980" t="inlineStr">
        <is>
          <t>RIO ORIGINAL KIDS</t>
        </is>
      </c>
      <c r="C2980" t="inlineStr">
        <is>
          <t>Manufactura / Kids / P. Superiores</t>
        </is>
      </c>
      <c r="D2980" t="n">
        <v>1</v>
      </c>
      <c r="E2980" t="n">
        <v>35.60458194</v>
      </c>
      <c r="F2980" t="n">
        <v>0.8983847228</v>
      </c>
      <c r="G2980" t="n">
        <v>0</v>
      </c>
      <c r="H2980" t="n">
        <v>3.617969464</v>
      </c>
      <c r="I2980" t="n">
        <v>0.1</v>
      </c>
      <c r="J2980" t="n">
        <v>9</v>
      </c>
      <c r="K2980" t="inlineStr">
        <is>
          <t>Sin stock</t>
        </is>
      </c>
    </row>
    <row r="2981">
      <c r="A2981" t="inlineStr">
        <is>
          <t>GOOSTCA43TXL</t>
        </is>
      </c>
      <c r="B2981" t="inlineStr">
        <is>
          <t>RETRO VZLA CAB</t>
        </is>
      </c>
      <c r="C2981" t="inlineStr">
        <is>
          <t>Manufactura / Caballero / P. Superiores</t>
        </is>
      </c>
      <c r="D2981" t="n">
        <v>1</v>
      </c>
      <c r="E2981" t="n">
        <v>35.53771112</v>
      </c>
      <c r="F2981" t="n">
        <v>0.6370053221</v>
      </c>
      <c r="G2981" t="n">
        <v>0</v>
      </c>
      <c r="H2981" t="n">
        <v>12.9</v>
      </c>
      <c r="I2981" t="n">
        <v>0.1</v>
      </c>
      <c r="J2981" t="n">
        <v>7</v>
      </c>
      <c r="K2981" t="inlineStr">
        <is>
          <t>Sin stock</t>
        </is>
      </c>
    </row>
    <row r="2982">
      <c r="A2982" t="inlineStr">
        <is>
          <t>AQUSTDA16TL</t>
        </is>
      </c>
      <c r="B2982" t="inlineStr">
        <is>
          <t>RETRO VZLA DAMA</t>
        </is>
      </c>
      <c r="C2982" t="inlineStr">
        <is>
          <t>Manufactura / Dama / P. Superiores</t>
        </is>
      </c>
      <c r="D2982" t="n">
        <v>1</v>
      </c>
      <c r="E2982" t="n">
        <v>35.53771112</v>
      </c>
      <c r="F2982" t="n">
        <v>0.6839976564</v>
      </c>
      <c r="G2982" t="n">
        <v>0</v>
      </c>
      <c r="H2982" t="n">
        <v>11.23</v>
      </c>
      <c r="I2982" t="n">
        <v>0.1</v>
      </c>
      <c r="J2982" t="n">
        <v>7</v>
      </c>
      <c r="K2982" t="inlineStr">
        <is>
          <t>Sin stock</t>
        </is>
      </c>
    </row>
    <row r="2983">
      <c r="A2983" t="inlineStr">
        <is>
          <t>201STCA30TS</t>
        </is>
      </c>
      <c r="B2983" t="inlineStr">
        <is>
          <t>RETRO VZLA CAB</t>
        </is>
      </c>
      <c r="C2983" t="inlineStr">
        <is>
          <t>Manufactura / Caballero / P. Superiores</t>
        </is>
      </c>
      <c r="D2983" t="n">
        <v>1</v>
      </c>
      <c r="E2983" t="n">
        <v>35.53771112</v>
      </c>
      <c r="F2983" t="n">
        <v>0.6370053221</v>
      </c>
      <c r="G2983" t="n">
        <v>0</v>
      </c>
      <c r="H2983" t="n">
        <v>12.9</v>
      </c>
      <c r="I2983" t="n">
        <v>0.1</v>
      </c>
      <c r="J2983" t="n">
        <v>7</v>
      </c>
      <c r="K2983" t="inlineStr">
        <is>
          <t>Sin stock</t>
        </is>
      </c>
    </row>
    <row r="2984">
      <c r="A2984" t="inlineStr">
        <is>
          <t>CLAMIDA53TM</t>
        </is>
      </c>
      <c r="B2984" t="inlineStr">
        <is>
          <t>CLASICA ORIGINAL DAMA</t>
        </is>
      </c>
      <c r="C2984" t="inlineStr">
        <is>
          <t>Manufactura / Dama / P. Superiores</t>
        </is>
      </c>
      <c r="D2984" t="n">
        <v>1</v>
      </c>
      <c r="E2984" t="n">
        <v>35.53771112</v>
      </c>
      <c r="F2984" t="n">
        <v>0.889603819</v>
      </c>
      <c r="G2984" t="n">
        <v>0</v>
      </c>
      <c r="H2984" t="n">
        <v>3.923227589</v>
      </c>
      <c r="I2984" t="n">
        <v>0.1</v>
      </c>
      <c r="J2984" t="n">
        <v>7</v>
      </c>
      <c r="K2984" t="inlineStr">
        <is>
          <t>Sin stock</t>
        </is>
      </c>
    </row>
    <row r="2985">
      <c r="A2985" t="inlineStr">
        <is>
          <t>MARMIKI05T1</t>
        </is>
      </c>
      <c r="B2985" t="inlineStr">
        <is>
          <t>MAR ORIGINAL KIDS</t>
        </is>
      </c>
      <c r="C2985" t="inlineStr">
        <is>
          <t>Manufactura / Kids / P. Superiores</t>
        </is>
      </c>
      <c r="D2985" t="n">
        <v>1</v>
      </c>
      <c r="E2985" t="n">
        <v>35.34242449</v>
      </c>
      <c r="F2985" t="n">
        <v>0.9103623088</v>
      </c>
      <c r="G2985" t="n">
        <v>0</v>
      </c>
      <c r="H2985" t="n">
        <v>3.168013332</v>
      </c>
      <c r="I2985" t="n">
        <v>0.1</v>
      </c>
      <c r="J2985" t="n">
        <v>8</v>
      </c>
      <c r="K2985" t="inlineStr">
        <is>
          <t>Sin stock</t>
        </is>
      </c>
    </row>
    <row r="2986">
      <c r="A2986" t="inlineStr">
        <is>
          <t>MARMIKI05T4</t>
        </is>
      </c>
      <c r="B2986" t="inlineStr">
        <is>
          <t>MAR ORIGINAL KIDS</t>
        </is>
      </c>
      <c r="C2986" t="inlineStr">
        <is>
          <t>Manufactura / Kids / P. Superiores</t>
        </is>
      </c>
      <c r="D2986" t="n">
        <v>1</v>
      </c>
      <c r="E2986" t="n">
        <v>35.34242449</v>
      </c>
      <c r="F2986" t="n">
        <v>0.9103623088</v>
      </c>
      <c r="G2986" t="n">
        <v>0</v>
      </c>
      <c r="H2986" t="n">
        <v>3.168013332</v>
      </c>
      <c r="I2986" t="n">
        <v>0.1</v>
      </c>
      <c r="J2986" t="n">
        <v>8</v>
      </c>
      <c r="K2986" t="inlineStr">
        <is>
          <t>Sin stock</t>
        </is>
      </c>
    </row>
    <row r="2987">
      <c r="A2987" t="inlineStr">
        <is>
          <t>SHOUNKI38T14</t>
        </is>
      </c>
      <c r="B2987" t="inlineStr">
        <is>
          <t>SHORT PLAYA KIDS</t>
        </is>
      </c>
      <c r="C2987" t="inlineStr">
        <is>
          <t>Manufactura / Kids / P. Inferiores</t>
        </is>
      </c>
      <c r="D2987" t="n">
        <v>1</v>
      </c>
      <c r="E2987" t="n">
        <v>35.34</v>
      </c>
      <c r="F2987" t="n">
        <v>0.8276740238</v>
      </c>
      <c r="G2987" t="n">
        <v>36</v>
      </c>
      <c r="H2987" t="n">
        <v>6.09</v>
      </c>
      <c r="I2987" t="n">
        <v>0.1</v>
      </c>
      <c r="J2987" t="n">
        <v>0</v>
      </c>
      <c r="K2987" t="inlineStr"/>
    </row>
    <row r="2988">
      <c r="A2988" t="inlineStr">
        <is>
          <t>MAYFNDA24T2XL</t>
        </is>
      </c>
      <c r="B2988" t="inlineStr">
        <is>
          <t>MAYA SPORT LITE DAMA</t>
        </is>
      </c>
      <c r="C2988" t="inlineStr">
        <is>
          <t>Manufactura / Dama / P. Superiores</t>
        </is>
      </c>
      <c r="D2988" t="n">
        <v>1</v>
      </c>
      <c r="E2988" t="n">
        <v>35.30084784</v>
      </c>
      <c r="F2988" t="n">
        <v>0.890370905</v>
      </c>
      <c r="G2988" t="n">
        <v>0</v>
      </c>
      <c r="H2988" t="n">
        <v>3.87</v>
      </c>
      <c r="I2988" t="n">
        <v>0.1</v>
      </c>
      <c r="J2988" t="n">
        <v>9</v>
      </c>
      <c r="K2988" t="inlineStr">
        <is>
          <t>Sin stock</t>
        </is>
      </c>
    </row>
    <row r="2989">
      <c r="A2989" t="inlineStr">
        <is>
          <t>MARMIKI39T1</t>
        </is>
      </c>
      <c r="B2989" t="inlineStr">
        <is>
          <t>MAR ORIGINAL KIDS</t>
        </is>
      </c>
      <c r="C2989" t="inlineStr">
        <is>
          <t>Manufactura / Kids / P. Superiores</t>
        </is>
      </c>
      <c r="D2989" t="n">
        <v>1</v>
      </c>
      <c r="E2989" t="n">
        <v>35.24700099</v>
      </c>
      <c r="F2989" t="n">
        <v>0.9101196345</v>
      </c>
      <c r="G2989" t="n">
        <v>0</v>
      </c>
      <c r="H2989" t="n">
        <v>3.168013332</v>
      </c>
      <c r="I2989" t="n">
        <v>0.1</v>
      </c>
      <c r="J2989" t="n">
        <v>9</v>
      </c>
      <c r="K2989" t="inlineStr">
        <is>
          <t>Sin stock</t>
        </is>
      </c>
    </row>
    <row r="2990">
      <c r="A2990" t="inlineStr">
        <is>
          <t>MAFMIDA13TS</t>
        </is>
      </c>
      <c r="B2990" t="inlineStr">
        <is>
          <t>MAFE ORIGINAL DAMA</t>
        </is>
      </c>
      <c r="C2990" t="inlineStr">
        <is>
          <t>Manufactura / Dama / P. Superiores</t>
        </is>
      </c>
      <c r="D2990" t="n">
        <v>1</v>
      </c>
      <c r="E2990" t="n">
        <v>35.21034901</v>
      </c>
      <c r="F2990" t="n">
        <v>0.8708284116</v>
      </c>
      <c r="G2990" t="n">
        <v>0</v>
      </c>
      <c r="H2990" t="n">
        <v>4.54817671</v>
      </c>
      <c r="I2990" t="n">
        <v>0.1</v>
      </c>
      <c r="J2990" t="n">
        <v>3</v>
      </c>
      <c r="K2990" t="inlineStr">
        <is>
          <t>Sin stock</t>
        </is>
      </c>
    </row>
    <row r="2991">
      <c r="A2991" t="inlineStr">
        <is>
          <t>ZOEMIDA28TS</t>
        </is>
      </c>
      <c r="B2991" t="inlineStr">
        <is>
          <t>ZOE ORIGINAL DAMA</t>
        </is>
      </c>
      <c r="C2991" t="inlineStr">
        <is>
          <t>Manufactura / Dama / P. Superiores</t>
        </is>
      </c>
      <c r="D2991" t="n">
        <v>1</v>
      </c>
      <c r="E2991" t="n">
        <v>35.19966621</v>
      </c>
      <c r="F2991" t="n">
        <v>0.8830504337</v>
      </c>
      <c r="G2991" t="n">
        <v>0</v>
      </c>
      <c r="H2991" t="n">
        <v>4.116585696</v>
      </c>
      <c r="I2991" t="n">
        <v>0.1</v>
      </c>
      <c r="J2991" t="n">
        <v>8</v>
      </c>
      <c r="K2991" t="inlineStr">
        <is>
          <t>Sin stock</t>
        </is>
      </c>
    </row>
    <row r="2992">
      <c r="A2992" t="inlineStr">
        <is>
          <t>CLAMIKI11T10</t>
        </is>
      </c>
      <c r="B2992" t="inlineStr">
        <is>
          <t>CLASICA ORIGINAL KIDS</t>
        </is>
      </c>
      <c r="C2992" t="inlineStr">
        <is>
          <t>Manufactura / Kids / P. Superiores</t>
        </is>
      </c>
      <c r="D2992" t="n">
        <v>1</v>
      </c>
      <c r="E2992" t="n">
        <v>35.15</v>
      </c>
      <c r="F2992" t="n">
        <v>0.9415766694333333</v>
      </c>
      <c r="G2992" t="n">
        <v>0</v>
      </c>
      <c r="H2992" t="n">
        <v>2.053774806</v>
      </c>
      <c r="I2992" t="n">
        <v>0.1</v>
      </c>
      <c r="J2992" t="n">
        <v>0</v>
      </c>
      <c r="K2992" t="inlineStr">
        <is>
          <t>Sin stock</t>
        </is>
      </c>
    </row>
    <row r="2993">
      <c r="A2993" t="inlineStr">
        <is>
          <t>ANDMIDA50TXS</t>
        </is>
      </c>
      <c r="B2993" t="inlineStr">
        <is>
          <t>ANDRE ORIGINAL DAMA</t>
        </is>
      </c>
      <c r="C2993" t="inlineStr">
        <is>
          <t>Manufactura / Dama / P. Superiores</t>
        </is>
      </c>
      <c r="D2993" t="n">
        <v>1</v>
      </c>
      <c r="E2993" t="n">
        <v>35.00138403</v>
      </c>
      <c r="F2993" t="n">
        <v>0.9064524049</v>
      </c>
      <c r="G2993" t="n">
        <v>0</v>
      </c>
      <c r="H2993" t="n">
        <v>3.274295302</v>
      </c>
      <c r="I2993" t="n">
        <v>0.1</v>
      </c>
      <c r="J2993" t="n">
        <v>8</v>
      </c>
      <c r="K2993" t="inlineStr">
        <is>
          <t>Sin stock</t>
        </is>
      </c>
    </row>
    <row r="2994">
      <c r="A2994" t="inlineStr">
        <is>
          <t>ANDMIDA05TXL</t>
        </is>
      </c>
      <c r="B2994" t="inlineStr">
        <is>
          <t>ANDRE ORIGINAL DAMA</t>
        </is>
      </c>
      <c r="C2994" t="inlineStr">
        <is>
          <t>Manufactura / Dama / P. Superiores</t>
        </is>
      </c>
      <c r="D2994" t="n">
        <v>1</v>
      </c>
      <c r="E2994" t="n">
        <v>35</v>
      </c>
      <c r="F2994" t="n">
        <v>0.9064487057</v>
      </c>
      <c r="G2994" t="n">
        <v>0</v>
      </c>
      <c r="H2994" t="n">
        <v>3.274295302</v>
      </c>
      <c r="I2994" t="n">
        <v>0.1</v>
      </c>
      <c r="J2994" t="n">
        <v>1</v>
      </c>
      <c r="K2994" t="inlineStr">
        <is>
          <t>Sin stock</t>
        </is>
      </c>
    </row>
    <row r="2995">
      <c r="A2995" t="inlineStr">
        <is>
          <t>ANDMIDA66TXL</t>
        </is>
      </c>
      <c r="B2995" t="inlineStr">
        <is>
          <t>ANDRE ORIGINAL DAMA</t>
        </is>
      </c>
      <c r="C2995" t="inlineStr">
        <is>
          <t>Manufactura / Dama / P. Superiores</t>
        </is>
      </c>
      <c r="D2995" t="n">
        <v>1</v>
      </c>
      <c r="E2995" t="n">
        <v>35</v>
      </c>
      <c r="F2995" t="n">
        <v>0.9064487057</v>
      </c>
      <c r="G2995" t="n">
        <v>14</v>
      </c>
      <c r="H2995" t="n">
        <v>3.274295302</v>
      </c>
      <c r="I2995" t="n">
        <v>0.1</v>
      </c>
      <c r="J2995" t="n">
        <v>0</v>
      </c>
      <c r="K2995" t="inlineStr"/>
    </row>
    <row r="2996">
      <c r="A2996" t="inlineStr">
        <is>
          <t>ZOEMIDA28TL</t>
        </is>
      </c>
      <c r="B2996" t="inlineStr">
        <is>
          <t>ZOE ORIGINAL DAMA</t>
        </is>
      </c>
      <c r="C2996" t="inlineStr">
        <is>
          <t>Manufactura / Dama / P. Superiores</t>
        </is>
      </c>
      <c r="D2996" t="n">
        <v>1</v>
      </c>
      <c r="E2996" t="n">
        <v>34.915667</v>
      </c>
      <c r="F2996" t="n">
        <v>0.8820991821</v>
      </c>
      <c r="G2996" t="n">
        <v>0</v>
      </c>
      <c r="H2996" t="n">
        <v>4.116585696</v>
      </c>
      <c r="I2996" t="n">
        <v>0.1</v>
      </c>
      <c r="J2996" t="n">
        <v>9</v>
      </c>
      <c r="K2996" t="inlineStr">
        <is>
          <t>Sin stock</t>
        </is>
      </c>
    </row>
    <row r="2997">
      <c r="A2997" t="inlineStr">
        <is>
          <t>MARMIKI52T1</t>
        </is>
      </c>
      <c r="B2997" t="inlineStr">
        <is>
          <t>MAR ORIGINAL KIDS</t>
        </is>
      </c>
      <c r="C2997" t="inlineStr">
        <is>
          <t>Manufactura / Kids / P. Superiores</t>
        </is>
      </c>
      <c r="D2997" t="n">
        <v>1</v>
      </c>
      <c r="E2997" t="n">
        <v>34.915667</v>
      </c>
      <c r="F2997" t="n">
        <v>0.9092667102000001</v>
      </c>
      <c r="G2997" t="n">
        <v>0</v>
      </c>
      <c r="H2997" t="n">
        <v>3.168013332</v>
      </c>
      <c r="I2997" t="n">
        <v>0.1</v>
      </c>
      <c r="J2997" t="n">
        <v>9</v>
      </c>
      <c r="K2997" t="inlineStr">
        <is>
          <t>Sin stock</t>
        </is>
      </c>
    </row>
    <row r="2998">
      <c r="A2998" t="inlineStr">
        <is>
          <t>SMCBNEDA16TXL</t>
        </is>
      </c>
      <c r="B2998" t="inlineStr">
        <is>
          <t>SPOTS MANGA CORTA DAMA</t>
        </is>
      </c>
      <c r="C2998" t="inlineStr">
        <is>
          <t>Manufactura / Dama / P. Superiores</t>
        </is>
      </c>
      <c r="D2998" t="n">
        <v>1</v>
      </c>
      <c r="E2998" t="n">
        <v>34.91</v>
      </c>
      <c r="F2998" t="n">
        <v>0.7565167574</v>
      </c>
      <c r="G2998" t="n">
        <v>5</v>
      </c>
      <c r="H2998" t="n">
        <v>8.5</v>
      </c>
      <c r="I2998" t="n">
        <v>0.1</v>
      </c>
      <c r="J2998" t="n">
        <v>0</v>
      </c>
      <c r="K2998" t="inlineStr"/>
    </row>
    <row r="2999">
      <c r="A2999" t="inlineStr">
        <is>
          <t>AQUSTCA43TL</t>
        </is>
      </c>
      <c r="B2999" t="inlineStr">
        <is>
          <t>RETRO VZLA CAB</t>
        </is>
      </c>
      <c r="C2999" t="inlineStr">
        <is>
          <t>Manufactura / Caballero / P. Superiores</t>
        </is>
      </c>
      <c r="D2999" t="n">
        <v>1</v>
      </c>
      <c r="E2999" t="n">
        <v>34.86957698</v>
      </c>
      <c r="F2999" t="n">
        <v>0.6300500001</v>
      </c>
      <c r="G2999" t="n">
        <v>0</v>
      </c>
      <c r="H2999" t="n">
        <v>12.9</v>
      </c>
      <c r="I2999" t="n">
        <v>0.1</v>
      </c>
      <c r="J2999" t="n">
        <v>9</v>
      </c>
      <c r="K2999" t="inlineStr">
        <is>
          <t>Sin stock</t>
        </is>
      </c>
    </row>
    <row r="3000">
      <c r="A3000" t="inlineStr">
        <is>
          <t>GOOSTCA43TL</t>
        </is>
      </c>
      <c r="B3000" t="inlineStr">
        <is>
          <t>RETRO VZLA CAB</t>
        </is>
      </c>
      <c r="C3000" t="inlineStr">
        <is>
          <t>Manufactura / Caballero / P. Superiores</t>
        </is>
      </c>
      <c r="D3000" t="n">
        <v>1</v>
      </c>
      <c r="E3000" t="n">
        <v>34.86957698</v>
      </c>
      <c r="F3000" t="n">
        <v>0.6300500001</v>
      </c>
      <c r="G3000" t="n">
        <v>0</v>
      </c>
      <c r="H3000" t="n">
        <v>12.9</v>
      </c>
      <c r="I3000" t="n">
        <v>0.1</v>
      </c>
      <c r="J3000" t="n">
        <v>9</v>
      </c>
      <c r="K3000" t="inlineStr">
        <is>
          <t>Sin stock</t>
        </is>
      </c>
    </row>
    <row r="3001">
      <c r="A3001" t="inlineStr">
        <is>
          <t>MIAMIDA16TM</t>
        </is>
      </c>
      <c r="B3001" t="inlineStr">
        <is>
          <t>MIA ORIGINAL DAMA</t>
        </is>
      </c>
      <c r="C3001" t="inlineStr">
        <is>
          <t>Manufactura / Dama / P. Superiores</t>
        </is>
      </c>
      <c r="D3001" t="n">
        <v>2</v>
      </c>
      <c r="E3001" t="n">
        <v>34.80336463</v>
      </c>
      <c r="F3001" t="n">
        <v>0.8867925545999999</v>
      </c>
      <c r="G3001" t="n">
        <v>0</v>
      </c>
      <c r="H3001" t="n">
        <v>3.94</v>
      </c>
      <c r="I3001" t="n">
        <v>0.2</v>
      </c>
      <c r="J3001" t="n">
        <v>3</v>
      </c>
      <c r="K3001" t="inlineStr">
        <is>
          <t>Sin stock</t>
        </is>
      </c>
    </row>
    <row r="3002">
      <c r="A3002" t="inlineStr">
        <is>
          <t>MIAMIDA30TM</t>
        </is>
      </c>
      <c r="B3002" t="inlineStr">
        <is>
          <t>MIA ORIGINAL DAMA</t>
        </is>
      </c>
      <c r="C3002" t="inlineStr">
        <is>
          <t>Manufactura / Dama / P. Superiores</t>
        </is>
      </c>
      <c r="D3002" t="n">
        <v>1</v>
      </c>
      <c r="E3002" t="n">
        <v>34.80336463</v>
      </c>
      <c r="F3002" t="n">
        <v>0.8867925545999999</v>
      </c>
      <c r="G3002" t="n">
        <v>0</v>
      </c>
      <c r="H3002" t="n">
        <v>3.94</v>
      </c>
      <c r="I3002" t="n">
        <v>0.1</v>
      </c>
      <c r="J3002" t="n">
        <v>7</v>
      </c>
      <c r="K3002" t="inlineStr">
        <is>
          <t>Sin stock</t>
        </is>
      </c>
    </row>
    <row r="3003">
      <c r="A3003" t="inlineStr">
        <is>
          <t>SUC03EQV</t>
        </is>
      </c>
      <c r="B3003" t="inlineStr">
        <is>
          <t>SUNNY CORD ORIGINAL</t>
        </is>
      </c>
      <c r="C3003" t="inlineStr">
        <is>
          <t>Equipamiento / Accesorios</t>
        </is>
      </c>
      <c r="D3003" t="n">
        <v>10</v>
      </c>
      <c r="E3003" t="n">
        <v>34.689854869</v>
      </c>
      <c r="F3003" t="n">
        <v>0.8529950965888889</v>
      </c>
      <c r="G3003" t="n">
        <v>116</v>
      </c>
      <c r="H3003" t="n">
        <v>0.51</v>
      </c>
      <c r="I3003" t="n">
        <v>1</v>
      </c>
      <c r="J3003" t="n">
        <v>0</v>
      </c>
      <c r="K3003" t="inlineStr"/>
    </row>
    <row r="3004">
      <c r="A3004" t="inlineStr">
        <is>
          <t>ANDMIDA16TL</t>
        </is>
      </c>
      <c r="B3004" t="inlineStr">
        <is>
          <t>ANDRE ORIGINAL DAMA</t>
        </is>
      </c>
      <c r="C3004" t="inlineStr">
        <is>
          <t>Manufactura / Dama / P. Superiores</t>
        </is>
      </c>
      <c r="D3004" t="n">
        <v>1</v>
      </c>
      <c r="E3004" t="n">
        <v>34.68068106</v>
      </c>
      <c r="F3004" t="n">
        <v>0.9055873414</v>
      </c>
      <c r="G3004" t="n">
        <v>0</v>
      </c>
      <c r="H3004" t="n">
        <v>3.274295302</v>
      </c>
      <c r="I3004" t="n">
        <v>0.1</v>
      </c>
      <c r="J3004" t="n">
        <v>2</v>
      </c>
      <c r="K3004" t="inlineStr">
        <is>
          <t>Sin stock</t>
        </is>
      </c>
    </row>
    <row r="3005">
      <c r="A3005" t="inlineStr">
        <is>
          <t>SHOSUKI104T4</t>
        </is>
      </c>
      <c r="B3005" t="inlineStr">
        <is>
          <t>SHORT PLAYA ESTAMPADO KIDS</t>
        </is>
      </c>
      <c r="C3005" t="inlineStr">
        <is>
          <t>Manufactura / Kids / P. Superiores</t>
        </is>
      </c>
      <c r="D3005" t="n">
        <v>1</v>
      </c>
      <c r="E3005" t="n">
        <v>34.62524472</v>
      </c>
      <c r="F3005" t="n">
        <v>0.7917704248</v>
      </c>
      <c r="G3005" t="n">
        <v>5</v>
      </c>
      <c r="H3005" t="n">
        <v>7.21</v>
      </c>
      <c r="I3005" t="n">
        <v>0.1</v>
      </c>
      <c r="J3005" t="n">
        <v>7</v>
      </c>
      <c r="K3005" t="inlineStr"/>
    </row>
    <row r="3006">
      <c r="A3006" t="inlineStr">
        <is>
          <t>MAFMEDA51TS</t>
        </is>
      </c>
      <c r="B3006" t="inlineStr">
        <is>
          <t>MAFE SPORT DAMA</t>
        </is>
      </c>
      <c r="C3006" t="inlineStr">
        <is>
          <t>Manufactura / Dama / P. Superiores</t>
        </is>
      </c>
      <c r="D3006" t="n">
        <v>1</v>
      </c>
      <c r="E3006" t="n">
        <v>34.59472442</v>
      </c>
      <c r="F3006" t="n">
        <v>0.8453521428</v>
      </c>
      <c r="G3006" t="n">
        <v>0</v>
      </c>
      <c r="H3006" t="n">
        <v>5.35</v>
      </c>
      <c r="I3006" t="n">
        <v>0.1</v>
      </c>
      <c r="J3006" t="n">
        <v>8</v>
      </c>
      <c r="K3006" t="inlineStr">
        <is>
          <t>Sin stock</t>
        </is>
      </c>
    </row>
    <row r="3007">
      <c r="A3007" t="inlineStr">
        <is>
          <t>TOA12CL</t>
        </is>
      </c>
      <c r="B3007" t="inlineStr">
        <is>
          <t>TOALLA CLIP ORIGINAL</t>
        </is>
      </c>
      <c r="C3007" t="inlineStr">
        <is>
          <t>Equipamiento / Toallas</t>
        </is>
      </c>
      <c r="D3007" t="n">
        <v>2</v>
      </c>
      <c r="E3007" t="n">
        <v>34.46461127</v>
      </c>
      <c r="F3007" t="n">
        <v>0.7196631855833333</v>
      </c>
      <c r="G3007" t="n">
        <v>0</v>
      </c>
      <c r="H3007" t="n">
        <v>5.11</v>
      </c>
      <c r="I3007" t="n">
        <v>0.2</v>
      </c>
      <c r="J3007" t="n">
        <v>2</v>
      </c>
      <c r="K3007" t="inlineStr">
        <is>
          <t>Sin stock</t>
        </is>
      </c>
    </row>
    <row r="3008">
      <c r="A3008" t="inlineStr">
        <is>
          <t>ANDMIDA70TM</t>
        </is>
      </c>
      <c r="B3008" t="inlineStr">
        <is>
          <t>ANDRE ORIGINAL DAMA</t>
        </is>
      </c>
      <c r="C3008" t="inlineStr">
        <is>
          <t>Manufactura / Dama / P. Superiores</t>
        </is>
      </c>
      <c r="D3008" t="n">
        <v>1</v>
      </c>
      <c r="E3008" t="n">
        <v>34.43650221</v>
      </c>
      <c r="F3008" t="n">
        <v>0.9049178897</v>
      </c>
      <c r="G3008" t="n">
        <v>0</v>
      </c>
      <c r="H3008" t="n">
        <v>3.274295302</v>
      </c>
      <c r="I3008" t="n">
        <v>0.1</v>
      </c>
      <c r="J3008" t="n">
        <v>9</v>
      </c>
      <c r="K3008" t="inlineStr">
        <is>
          <t>Sin stock</t>
        </is>
      </c>
    </row>
    <row r="3009">
      <c r="A3009" t="inlineStr">
        <is>
          <t>MANMIGE01TP</t>
        </is>
      </c>
      <c r="B3009" t="inlineStr">
        <is>
          <t>MANGAS GENERAL</t>
        </is>
      </c>
      <c r="C3009" t="inlineStr">
        <is>
          <t>Manufactura / General</t>
        </is>
      </c>
      <c r="D3009" t="n">
        <v>2</v>
      </c>
      <c r="E3009" t="n">
        <v>34.41871405</v>
      </c>
      <c r="F3009" t="n">
        <v>0.9465094812499999</v>
      </c>
      <c r="G3009" t="n">
        <v>14</v>
      </c>
      <c r="H3009" t="n">
        <v>0.92</v>
      </c>
      <c r="I3009" t="n">
        <v>0.2</v>
      </c>
      <c r="J3009" t="n">
        <v>2</v>
      </c>
      <c r="K3009" t="inlineStr"/>
    </row>
    <row r="3010">
      <c r="A3010" t="inlineStr">
        <is>
          <t>EXPSTKI30T10</t>
        </is>
      </c>
      <c r="B3010" t="inlineStr">
        <is>
          <t>CLASICA RETRO 2.0 KIDS</t>
        </is>
      </c>
      <c r="C3010" t="inlineStr">
        <is>
          <t>Manufactura / Kids / P. Superiores</t>
        </is>
      </c>
      <c r="D3010" t="n">
        <v>1</v>
      </c>
      <c r="E3010" t="n">
        <v>34.41842384</v>
      </c>
      <c r="F3010" t="n">
        <v>0.9709457933</v>
      </c>
      <c r="G3010" t="n">
        <v>0</v>
      </c>
      <c r="H3010" t="n">
        <v>1</v>
      </c>
      <c r="I3010" t="n">
        <v>0.1</v>
      </c>
      <c r="J3010" t="n">
        <v>8</v>
      </c>
      <c r="K3010" t="inlineStr">
        <is>
          <t>Sin stock</t>
        </is>
      </c>
    </row>
    <row r="3011">
      <c r="A3011" t="inlineStr">
        <is>
          <t>CLAMIDA48TXL</t>
        </is>
      </c>
      <c r="B3011" t="inlineStr">
        <is>
          <t>CLASICA ORIGINAL DAMA</t>
        </is>
      </c>
      <c r="C3011" t="inlineStr">
        <is>
          <t>Manufactura / Dama / P. Superiores</t>
        </is>
      </c>
      <c r="D3011" t="n">
        <v>1</v>
      </c>
      <c r="E3011" t="n">
        <v>34.4155505</v>
      </c>
      <c r="F3011" t="n">
        <v>0.8860042181</v>
      </c>
      <c r="G3011" t="n">
        <v>2</v>
      </c>
      <c r="H3011" t="n">
        <v>3.923227589</v>
      </c>
      <c r="I3011" t="n">
        <v>0.1</v>
      </c>
      <c r="J3011" t="n">
        <v>5</v>
      </c>
      <c r="K3011" t="inlineStr"/>
    </row>
    <row r="3012">
      <c r="A3012" t="inlineStr">
        <is>
          <t>MIAMIDA12TXL</t>
        </is>
      </c>
      <c r="B3012" t="inlineStr">
        <is>
          <t>MIA ORIGINAL DAMA</t>
        </is>
      </c>
      <c r="C3012" t="inlineStr">
        <is>
          <t>Manufactura / Dama / P. Superiores</t>
        </is>
      </c>
      <c r="D3012" t="n">
        <v>1</v>
      </c>
      <c r="E3012" t="n">
        <v>34.29420662</v>
      </c>
      <c r="F3012" t="n">
        <v>0.8851117903</v>
      </c>
      <c r="G3012" t="n">
        <v>0</v>
      </c>
      <c r="H3012" t="n">
        <v>3.94</v>
      </c>
      <c r="I3012" t="n">
        <v>0.1</v>
      </c>
      <c r="J3012" t="n">
        <v>6</v>
      </c>
      <c r="K3012" t="inlineStr">
        <is>
          <t>Sin stock</t>
        </is>
      </c>
    </row>
    <row r="3013">
      <c r="A3013" t="inlineStr">
        <is>
          <t>MIAMIDA30TXL</t>
        </is>
      </c>
      <c r="B3013" t="inlineStr">
        <is>
          <t>MIA ORIGINAL DAMA</t>
        </is>
      </c>
      <c r="C3013" t="inlineStr">
        <is>
          <t>Manufactura / Dama / P. Superiores</t>
        </is>
      </c>
      <c r="D3013" t="n">
        <v>1</v>
      </c>
      <c r="E3013" t="n">
        <v>34.29420662</v>
      </c>
      <c r="F3013" t="n">
        <v>0.8851117903</v>
      </c>
      <c r="G3013" t="n">
        <v>0</v>
      </c>
      <c r="H3013" t="n">
        <v>3.94</v>
      </c>
      <c r="I3013" t="n">
        <v>0.1</v>
      </c>
      <c r="J3013" t="n">
        <v>6</v>
      </c>
      <c r="K3013" t="inlineStr">
        <is>
          <t>Sin stock</t>
        </is>
      </c>
    </row>
    <row r="3014">
      <c r="A3014" t="inlineStr">
        <is>
          <t>AQUSTDA43TXL</t>
        </is>
      </c>
      <c r="B3014" t="inlineStr">
        <is>
          <t>RETRO VZLA DAMA</t>
        </is>
      </c>
      <c r="C3014" t="inlineStr">
        <is>
          <t>Manufactura / Dama / P. Superiores</t>
        </is>
      </c>
      <c r="D3014" t="n">
        <v>2</v>
      </c>
      <c r="E3014" t="n">
        <v>34.23416398</v>
      </c>
      <c r="F3014" t="n">
        <v>0.6719651163</v>
      </c>
      <c r="G3014" t="n">
        <v>1</v>
      </c>
      <c r="H3014" t="n">
        <v>11.23</v>
      </c>
      <c r="I3014" t="n">
        <v>0.2</v>
      </c>
      <c r="J3014" t="n">
        <v>1</v>
      </c>
      <c r="K3014" t="inlineStr"/>
    </row>
    <row r="3015">
      <c r="A3015" t="inlineStr">
        <is>
          <t>SHOUNKI23T6</t>
        </is>
      </c>
      <c r="B3015" t="inlineStr">
        <is>
          <t>SHORT PLAYA KIDS</t>
        </is>
      </c>
      <c r="C3015" t="inlineStr">
        <is>
          <t>Manufactura / Kids / P. Inferiores</t>
        </is>
      </c>
      <c r="D3015" t="n">
        <v>1</v>
      </c>
      <c r="E3015" t="n">
        <v>34.17266339</v>
      </c>
      <c r="F3015" t="n">
        <v>0.8217873763</v>
      </c>
      <c r="G3015" t="n">
        <v>4</v>
      </c>
      <c r="H3015" t="n">
        <v>6.09</v>
      </c>
      <c r="I3015" t="n">
        <v>0.1</v>
      </c>
      <c r="J3015" t="n">
        <v>4</v>
      </c>
      <c r="K3015" t="inlineStr"/>
    </row>
    <row r="3016">
      <c r="A3016" t="inlineStr">
        <is>
          <t>MAYFNDA70T2XL</t>
        </is>
      </c>
      <c r="B3016" t="inlineStr">
        <is>
          <t>MAYA SPORT LITE DAMA</t>
        </is>
      </c>
      <c r="C3016" t="inlineStr">
        <is>
          <t>Manufactura / Dama / P. Superiores</t>
        </is>
      </c>
      <c r="D3016" t="n">
        <v>1</v>
      </c>
      <c r="E3016" t="n">
        <v>34.15261117</v>
      </c>
      <c r="F3016" t="n">
        <v>0.8866850918</v>
      </c>
      <c r="G3016" t="n">
        <v>2</v>
      </c>
      <c r="H3016" t="n">
        <v>3.87</v>
      </c>
      <c r="I3016" t="n">
        <v>0.1</v>
      </c>
      <c r="J3016" t="n">
        <v>9</v>
      </c>
      <c r="K3016" t="inlineStr"/>
    </row>
    <row r="3017">
      <c r="A3017" t="inlineStr">
        <is>
          <t>MAYFNDA24TXL</t>
        </is>
      </c>
      <c r="B3017" t="inlineStr">
        <is>
          <t>MAYA SPORT LITE DAMA</t>
        </is>
      </c>
      <c r="C3017" t="inlineStr">
        <is>
          <t>Manufactura / Dama / P. Superiores</t>
        </is>
      </c>
      <c r="D3017" t="n">
        <v>1</v>
      </c>
      <c r="E3017" t="n">
        <v>34.15261117</v>
      </c>
      <c r="F3017" t="n">
        <v>0.8866850918</v>
      </c>
      <c r="G3017" t="n">
        <v>0</v>
      </c>
      <c r="H3017" t="n">
        <v>3.87</v>
      </c>
      <c r="I3017" t="n">
        <v>0.1</v>
      </c>
      <c r="J3017" t="n">
        <v>9</v>
      </c>
      <c r="K3017" t="inlineStr">
        <is>
          <t>Sin stock</t>
        </is>
      </c>
    </row>
    <row r="3018">
      <c r="A3018" t="inlineStr">
        <is>
          <t>SABMEDA63TS</t>
        </is>
      </c>
      <c r="B3018" t="inlineStr">
        <is>
          <t>SABRI SPORT DAMA</t>
        </is>
      </c>
      <c r="C3018" t="inlineStr">
        <is>
          <t>Manufactura / Dama / P. Superiores</t>
        </is>
      </c>
      <c r="D3018" t="n">
        <v>1</v>
      </c>
      <c r="E3018" t="n">
        <v>34.09261041</v>
      </c>
      <c r="F3018" t="n">
        <v>0.8677132685</v>
      </c>
      <c r="G3018" t="n">
        <v>0</v>
      </c>
      <c r="H3018" t="n">
        <v>4.51</v>
      </c>
      <c r="I3018" t="n">
        <v>0.1</v>
      </c>
      <c r="J3018" t="n">
        <v>7</v>
      </c>
      <c r="K3018" t="inlineStr">
        <is>
          <t>Sin stock</t>
        </is>
      </c>
    </row>
    <row r="3019">
      <c r="A3019" t="inlineStr">
        <is>
          <t>VIVMIDA04TXS</t>
        </is>
      </c>
      <c r="B3019" t="inlineStr">
        <is>
          <t>VIVI ORIGINAL DAMA</t>
        </is>
      </c>
      <c r="C3019" t="inlineStr">
        <is>
          <t>Manufactura / Dama / P. Superiores</t>
        </is>
      </c>
      <c r="D3019" t="n">
        <v>1</v>
      </c>
      <c r="E3019" t="n">
        <v>33.84445747</v>
      </c>
      <c r="F3019" t="n">
        <v>0.8728541679</v>
      </c>
      <c r="G3019" t="n">
        <v>0</v>
      </c>
      <c r="H3019" t="n">
        <v>4.303181706</v>
      </c>
      <c r="I3019" t="n">
        <v>0.1</v>
      </c>
      <c r="J3019" t="n">
        <v>9</v>
      </c>
      <c r="K3019" t="inlineStr">
        <is>
          <t>Sin stock</t>
        </is>
      </c>
    </row>
    <row r="3020">
      <c r="A3020" t="inlineStr">
        <is>
          <t>GOOSTCA43TS</t>
        </is>
      </c>
      <c r="B3020" t="inlineStr">
        <is>
          <t>RETRO VZLA CAB</t>
        </is>
      </c>
      <c r="C3020" t="inlineStr">
        <is>
          <t>Manufactura / Caballero / P. Superiores</t>
        </is>
      </c>
      <c r="D3020" t="n">
        <v>1</v>
      </c>
      <c r="E3020" t="n">
        <v>33.82825099</v>
      </c>
      <c r="F3020" t="n">
        <v>0.6186619283</v>
      </c>
      <c r="G3020" t="n">
        <v>0</v>
      </c>
      <c r="H3020" t="n">
        <v>12.9</v>
      </c>
      <c r="I3020" t="n">
        <v>0.1</v>
      </c>
      <c r="J3020" t="n">
        <v>7</v>
      </c>
      <c r="K3020" t="inlineStr">
        <is>
          <t>Sin stock</t>
        </is>
      </c>
    </row>
    <row r="3021">
      <c r="A3021" t="inlineStr">
        <is>
          <t>GOOSTDA16TS</t>
        </is>
      </c>
      <c r="B3021" t="inlineStr">
        <is>
          <t>RETRO VZLA DAMA</t>
        </is>
      </c>
      <c r="C3021" t="inlineStr">
        <is>
          <t>Manufactura / Dama / P. Superiores</t>
        </is>
      </c>
      <c r="D3021" t="n">
        <v>1</v>
      </c>
      <c r="E3021" t="n">
        <v>33.82825099</v>
      </c>
      <c r="F3021" t="n">
        <v>0.66802895</v>
      </c>
      <c r="G3021" t="n">
        <v>0</v>
      </c>
      <c r="H3021" t="n">
        <v>11.23</v>
      </c>
      <c r="I3021" t="n">
        <v>0.1</v>
      </c>
      <c r="J3021" t="n">
        <v>7</v>
      </c>
      <c r="K3021" t="inlineStr">
        <is>
          <t>Sin stock</t>
        </is>
      </c>
    </row>
    <row r="3022">
      <c r="A3022" t="inlineStr">
        <is>
          <t>SABMEDA63TL</t>
        </is>
      </c>
      <c r="B3022" t="inlineStr">
        <is>
          <t>SABRI SPORT DAMA</t>
        </is>
      </c>
      <c r="C3022" t="inlineStr">
        <is>
          <t>Manufactura / Dama / P. Superiores</t>
        </is>
      </c>
      <c r="D3022" t="n">
        <v>1</v>
      </c>
      <c r="E3022" t="n">
        <v>33.74742011</v>
      </c>
      <c r="F3022" t="n">
        <v>0.8663601547999999</v>
      </c>
      <c r="G3022" t="n">
        <v>2</v>
      </c>
      <c r="H3022" t="n">
        <v>4.51</v>
      </c>
      <c r="I3022" t="n">
        <v>0.1</v>
      </c>
      <c r="J3022" t="n">
        <v>7</v>
      </c>
      <c r="K3022" t="inlineStr"/>
    </row>
    <row r="3023">
      <c r="A3023" t="inlineStr">
        <is>
          <t>CLAMIKI04T2</t>
        </is>
      </c>
      <c r="B3023" t="inlineStr">
        <is>
          <t>CLASICA ORIGINAL KIDS</t>
        </is>
      </c>
      <c r="C3023" t="inlineStr">
        <is>
          <t>Manufactura / Kids / P. Superiores</t>
        </is>
      </c>
      <c r="D3023" t="n">
        <v>1</v>
      </c>
      <c r="E3023" t="n">
        <v>33.63596244</v>
      </c>
      <c r="F3023" t="n">
        <v>0.9389411018</v>
      </c>
      <c r="G3023" t="n">
        <v>1</v>
      </c>
      <c r="H3023" t="n">
        <v>2.053774806</v>
      </c>
      <c r="I3023" t="n">
        <v>0.1</v>
      </c>
      <c r="J3023" t="n">
        <v>7</v>
      </c>
      <c r="K3023" t="inlineStr"/>
    </row>
    <row r="3024">
      <c r="A3024" t="inlineStr">
        <is>
          <t>MANMIGE52TG</t>
        </is>
      </c>
      <c r="B3024" t="inlineStr">
        <is>
          <t>MANGAS GENERAL</t>
        </is>
      </c>
      <c r="C3024" t="inlineStr">
        <is>
          <t>Manufactura / General</t>
        </is>
      </c>
      <c r="D3024" t="n">
        <v>2</v>
      </c>
      <c r="E3024" t="n">
        <v>33.62347795</v>
      </c>
      <c r="F3024" t="n">
        <v>0.94514845515</v>
      </c>
      <c r="G3024" t="n">
        <v>1</v>
      </c>
      <c r="H3024" t="n">
        <v>0.92</v>
      </c>
      <c r="I3024" t="n">
        <v>0.2</v>
      </c>
      <c r="J3024" t="n">
        <v>1</v>
      </c>
      <c r="K3024" t="inlineStr"/>
    </row>
    <row r="3025">
      <c r="A3025" t="inlineStr">
        <is>
          <t>SHOSUKI109T6</t>
        </is>
      </c>
      <c r="B3025" t="inlineStr">
        <is>
          <t>SHORT PLAYA ESTAMPADO KIDS</t>
        </is>
      </c>
      <c r="C3025" t="inlineStr">
        <is>
          <t>Manufactura / Kids / P. Superiores</t>
        </is>
      </c>
      <c r="D3025" t="n">
        <v>1</v>
      </c>
      <c r="E3025" t="n">
        <v>33.4994525</v>
      </c>
      <c r="F3025" t="n">
        <v>0.7847726019</v>
      </c>
      <c r="G3025" t="n">
        <v>0</v>
      </c>
      <c r="H3025" t="n">
        <v>7.21</v>
      </c>
      <c r="I3025" t="n">
        <v>0.1</v>
      </c>
      <c r="J3025" t="n">
        <v>7</v>
      </c>
      <c r="K3025" t="inlineStr">
        <is>
          <t>Sin stock</t>
        </is>
      </c>
    </row>
    <row r="3026">
      <c r="A3026" t="inlineStr">
        <is>
          <t>VIVMIDA11TXS</t>
        </is>
      </c>
      <c r="B3026" t="inlineStr">
        <is>
          <t>VIVI ORIGINAL DAMA</t>
        </is>
      </c>
      <c r="C3026" t="inlineStr">
        <is>
          <t>Manufactura / Dama / P. Superiores</t>
        </is>
      </c>
      <c r="D3026" t="n">
        <v>3</v>
      </c>
      <c r="E3026" t="n">
        <v>33.46935759</v>
      </c>
      <c r="F3026" t="n">
        <v>0.8714292112000001</v>
      </c>
      <c r="G3026" t="n">
        <v>3</v>
      </c>
      <c r="H3026" t="n">
        <v>4.303181706</v>
      </c>
      <c r="I3026" t="n">
        <v>0.3</v>
      </c>
      <c r="J3026" t="n">
        <v>3</v>
      </c>
      <c r="K3026" t="inlineStr"/>
    </row>
    <row r="3027">
      <c r="A3027" t="inlineStr">
        <is>
          <t>CLASTKI16T6</t>
        </is>
      </c>
      <c r="B3027" t="inlineStr">
        <is>
          <t>CLASICA ALGODON STRETCH KIDS</t>
        </is>
      </c>
      <c r="C3027" t="inlineStr">
        <is>
          <t>Manufactura / Dama / P. Superiores</t>
        </is>
      </c>
      <c r="D3027" t="n">
        <v>1</v>
      </c>
      <c r="E3027" t="n">
        <v>33.46022369</v>
      </c>
      <c r="F3027" t="n">
        <v>0.7229546314999999</v>
      </c>
      <c r="G3027" t="n">
        <v>0</v>
      </c>
      <c r="H3027" t="n">
        <v>9.27</v>
      </c>
      <c r="I3027" t="n">
        <v>0.1</v>
      </c>
      <c r="J3027" t="n">
        <v>9</v>
      </c>
      <c r="K3027" t="inlineStr">
        <is>
          <t>Sin stock</t>
        </is>
      </c>
    </row>
    <row r="3028">
      <c r="A3028" t="inlineStr">
        <is>
          <t>CLAMIKI11T1</t>
        </is>
      </c>
      <c r="B3028" t="inlineStr">
        <is>
          <t>CLASICA ORIGINAL KIDS</t>
        </is>
      </c>
      <c r="C3028" t="inlineStr">
        <is>
          <t>Manufactura / Kids / P. Superiores</t>
        </is>
      </c>
      <c r="D3028" t="n">
        <v>1</v>
      </c>
      <c r="E3028" t="n">
        <v>33.27796396</v>
      </c>
      <c r="F3028" t="n">
        <v>0.938284241</v>
      </c>
      <c r="G3028" t="n">
        <v>0</v>
      </c>
      <c r="H3028" t="n">
        <v>2.053774806</v>
      </c>
      <c r="I3028" t="n">
        <v>0.1</v>
      </c>
      <c r="J3028" t="n">
        <v>7</v>
      </c>
      <c r="K3028" t="inlineStr">
        <is>
          <t>Sin stock</t>
        </is>
      </c>
    </row>
    <row r="3029">
      <c r="A3029" t="inlineStr">
        <is>
          <t>MARMIKI09T2</t>
        </is>
      </c>
      <c r="B3029" t="inlineStr">
        <is>
          <t>MAR ORIGINAL KIDS</t>
        </is>
      </c>
      <c r="C3029" t="inlineStr">
        <is>
          <t>Manufactura / Kids / P. Superiores</t>
        </is>
      </c>
      <c r="D3029" t="n">
        <v>1</v>
      </c>
      <c r="E3029" t="n">
        <v>33.12609362</v>
      </c>
      <c r="F3029" t="n">
        <v>0.9043650191</v>
      </c>
      <c r="G3029" t="n">
        <v>0</v>
      </c>
      <c r="H3029" t="n">
        <v>3.168013332</v>
      </c>
      <c r="I3029" t="n">
        <v>0.1</v>
      </c>
      <c r="J3029" t="n">
        <v>9</v>
      </c>
      <c r="K3029" t="inlineStr">
        <is>
          <t>Sin stock</t>
        </is>
      </c>
    </row>
    <row r="3030">
      <c r="A3030" t="inlineStr">
        <is>
          <t>MAFMEDA66TXS</t>
        </is>
      </c>
      <c r="B3030" t="inlineStr">
        <is>
          <t>MAFE SPORT DAMA</t>
        </is>
      </c>
      <c r="C3030" t="inlineStr">
        <is>
          <t>Manufactura / Dama / P. Superiores</t>
        </is>
      </c>
      <c r="D3030" t="n">
        <v>1</v>
      </c>
      <c r="E3030" t="n">
        <v>33.12609362</v>
      </c>
      <c r="F3030" t="n">
        <v>0.8384958981</v>
      </c>
      <c r="G3030" t="n">
        <v>2</v>
      </c>
      <c r="H3030" t="n">
        <v>5.35</v>
      </c>
      <c r="I3030" t="n">
        <v>0.1</v>
      </c>
      <c r="J3030" t="n">
        <v>9</v>
      </c>
      <c r="K3030" t="inlineStr"/>
    </row>
    <row r="3031">
      <c r="A3031" t="inlineStr">
        <is>
          <t>CRESTCA16TL</t>
        </is>
      </c>
      <c r="B3031" t="inlineStr">
        <is>
          <t>RETRO VZLA CAB</t>
        </is>
      </c>
      <c r="C3031" t="inlineStr">
        <is>
          <t>Manufactura / Caballero / P. Superiores</t>
        </is>
      </c>
      <c r="D3031" t="n">
        <v>1</v>
      </c>
      <c r="E3031" t="n">
        <v>33.03634888</v>
      </c>
      <c r="F3031" t="n">
        <v>0.6095210143000001</v>
      </c>
      <c r="G3031" t="n">
        <v>0</v>
      </c>
      <c r="H3031" t="n">
        <v>12.9</v>
      </c>
      <c r="I3031" t="n">
        <v>0.1</v>
      </c>
      <c r="J3031" t="n">
        <v>9</v>
      </c>
      <c r="K3031" t="inlineStr">
        <is>
          <t>Sin stock</t>
        </is>
      </c>
    </row>
    <row r="3032">
      <c r="A3032" t="inlineStr">
        <is>
          <t>SABSTCA43TS</t>
        </is>
      </c>
      <c r="B3032" t="inlineStr">
        <is>
          <t>RETRO VZLA CAB</t>
        </is>
      </c>
      <c r="C3032" t="inlineStr">
        <is>
          <t>Manufactura / Caballero / P. Superiores</t>
        </is>
      </c>
      <c r="D3032" t="n">
        <v>1</v>
      </c>
      <c r="E3032" t="n">
        <v>33.03634888</v>
      </c>
      <c r="F3032" t="n">
        <v>0.6095210143000001</v>
      </c>
      <c r="G3032" t="n">
        <v>0</v>
      </c>
      <c r="H3032" t="n">
        <v>12.9</v>
      </c>
      <c r="I3032" t="n">
        <v>0.1</v>
      </c>
      <c r="J3032" t="n">
        <v>9</v>
      </c>
      <c r="K3032" t="inlineStr">
        <is>
          <t>Sin stock</t>
        </is>
      </c>
    </row>
    <row r="3033">
      <c r="A3033" t="inlineStr">
        <is>
          <t>EXPSTCA16TL</t>
        </is>
      </c>
      <c r="B3033" t="inlineStr">
        <is>
          <t>CLASICA RETRO 2.0 CAB</t>
        </is>
      </c>
      <c r="C3033" t="inlineStr">
        <is>
          <t>Manufactura / Caballero / P. Superiores</t>
        </is>
      </c>
      <c r="D3033" t="n">
        <v>1</v>
      </c>
      <c r="E3033" t="n">
        <v>33.03634888</v>
      </c>
      <c r="F3033" t="n">
        <v>0.6600713946</v>
      </c>
      <c r="G3033" t="n">
        <v>0</v>
      </c>
      <c r="H3033" t="n">
        <v>11.23</v>
      </c>
      <c r="I3033" t="n">
        <v>0.1</v>
      </c>
      <c r="J3033" t="n">
        <v>9</v>
      </c>
      <c r="K3033" t="inlineStr">
        <is>
          <t>Sin stock</t>
        </is>
      </c>
    </row>
    <row r="3034">
      <c r="A3034" t="inlineStr">
        <is>
          <t>TRISTDA16TL</t>
        </is>
      </c>
      <c r="B3034" t="inlineStr">
        <is>
          <t>RETRO VZLA DAMA</t>
        </is>
      </c>
      <c r="C3034" t="inlineStr">
        <is>
          <t>Manufactura / Dama / P. Superiores</t>
        </is>
      </c>
      <c r="D3034" t="n">
        <v>1</v>
      </c>
      <c r="E3034" t="n">
        <v>33.03634888</v>
      </c>
      <c r="F3034" t="n">
        <v>0.6600713946</v>
      </c>
      <c r="G3034" t="n">
        <v>0</v>
      </c>
      <c r="H3034" t="n">
        <v>11.23</v>
      </c>
      <c r="I3034" t="n">
        <v>0.1</v>
      </c>
      <c r="J3034" t="n">
        <v>9</v>
      </c>
      <c r="K3034" t="inlineStr">
        <is>
          <t>Sin stock</t>
        </is>
      </c>
    </row>
    <row r="3035">
      <c r="A3035" t="inlineStr">
        <is>
          <t>PAUMIDA50TXS</t>
        </is>
      </c>
      <c r="B3035" t="inlineStr">
        <is>
          <t>PAULA ORIGINAL DAMA</t>
        </is>
      </c>
      <c r="C3035" t="inlineStr">
        <is>
          <t>Manufactura / Dama / P. Superiores</t>
        </is>
      </c>
      <c r="D3035" t="n">
        <v>1</v>
      </c>
      <c r="E3035" t="n">
        <v>33.02420504</v>
      </c>
      <c r="F3035" t="n">
        <v>0.8925030899</v>
      </c>
      <c r="G3035" t="n">
        <v>1</v>
      </c>
      <c r="H3035" t="n">
        <v>3.55</v>
      </c>
      <c r="I3035" t="n">
        <v>0.1</v>
      </c>
      <c r="J3035" t="n">
        <v>2</v>
      </c>
      <c r="K3035" t="inlineStr"/>
    </row>
    <row r="3036">
      <c r="A3036" t="inlineStr">
        <is>
          <t>MARMIDA12T2XL</t>
        </is>
      </c>
      <c r="B3036" t="inlineStr">
        <is>
          <t>MAR ORIGINAL DAMA</t>
        </is>
      </c>
      <c r="C3036" t="inlineStr">
        <is>
          <t>Manufactura / Dama / P. Superiores</t>
        </is>
      </c>
      <c r="D3036" t="n">
        <v>1</v>
      </c>
      <c r="E3036" t="n">
        <v>32.92723743</v>
      </c>
      <c r="F3036" t="n">
        <v>0.8700673217</v>
      </c>
      <c r="G3036" t="n">
        <v>2</v>
      </c>
      <c r="H3036" t="n">
        <v>4.278324149</v>
      </c>
      <c r="I3036" t="n">
        <v>0.1</v>
      </c>
      <c r="J3036" t="n">
        <v>4</v>
      </c>
      <c r="K3036" t="inlineStr"/>
    </row>
    <row r="3037">
      <c r="A3037" t="inlineStr">
        <is>
          <t>ANDSPDA16TXS</t>
        </is>
      </c>
      <c r="B3037" t="inlineStr">
        <is>
          <t>ANDRE SPORT DAMA</t>
        </is>
      </c>
      <c r="C3037" t="inlineStr">
        <is>
          <t>Manufactura / Dama / P. Superiores</t>
        </is>
      </c>
      <c r="D3037" t="n">
        <v>1</v>
      </c>
      <c r="E3037" t="n">
        <v>32.79475963</v>
      </c>
      <c r="F3037" t="n">
        <v>0</v>
      </c>
      <c r="G3037" t="n">
        <v>0</v>
      </c>
      <c r="H3037" t="n">
        <v>0</v>
      </c>
      <c r="I3037" t="n">
        <v>0.1</v>
      </c>
      <c r="J3037" t="n">
        <v>9</v>
      </c>
      <c r="K3037" t="inlineStr">
        <is>
          <t>Sin stock</t>
        </is>
      </c>
    </row>
    <row r="3038">
      <c r="A3038" t="inlineStr">
        <is>
          <t>SHOUNKI29T14</t>
        </is>
      </c>
      <c r="B3038" t="inlineStr">
        <is>
          <t>SHORT PLAYA KIDS</t>
        </is>
      </c>
      <c r="C3038" t="inlineStr">
        <is>
          <t>Manufactura / Kids / P. Inferiores</t>
        </is>
      </c>
      <c r="D3038" t="n">
        <v>1</v>
      </c>
      <c r="E3038" t="n">
        <v>32.55226736</v>
      </c>
      <c r="F3038" t="n">
        <v>0.8129162576</v>
      </c>
      <c r="G3038" t="n">
        <v>0</v>
      </c>
      <c r="H3038" t="n">
        <v>6.09</v>
      </c>
      <c r="I3038" t="n">
        <v>0.1</v>
      </c>
      <c r="J3038" t="n">
        <v>8</v>
      </c>
      <c r="K3038" t="inlineStr">
        <is>
          <t>Sin stock</t>
        </is>
      </c>
    </row>
    <row r="3039">
      <c r="A3039" t="inlineStr">
        <is>
          <t>ANDMIDA52TXS</t>
        </is>
      </c>
      <c r="B3039" t="inlineStr">
        <is>
          <t>ANDRE ORIGINAL DAMA</t>
        </is>
      </c>
      <c r="C3039" t="inlineStr">
        <is>
          <t>Manufactura / Dama / P. Superiores</t>
        </is>
      </c>
      <c r="D3039" t="n">
        <v>1</v>
      </c>
      <c r="E3039" t="n">
        <v>32.55226736</v>
      </c>
      <c r="F3039" t="n">
        <v>0.8970144499333333</v>
      </c>
      <c r="G3039" t="n">
        <v>0</v>
      </c>
      <c r="H3039" t="n">
        <v>3.274295302</v>
      </c>
      <c r="I3039" t="n">
        <v>0.1</v>
      </c>
      <c r="J3039" t="n">
        <v>8</v>
      </c>
      <c r="K3039" t="inlineStr">
        <is>
          <t>Sin stock</t>
        </is>
      </c>
    </row>
    <row r="3040">
      <c r="A3040" t="inlineStr">
        <is>
          <t>SARSPKI31T12</t>
        </is>
      </c>
      <c r="B3040" t="inlineStr">
        <is>
          <t>FALDA SARA KIDS</t>
        </is>
      </c>
      <c r="C3040" t="inlineStr">
        <is>
          <t>Manufactura / Kids / P. Inferiores</t>
        </is>
      </c>
      <c r="D3040" t="n">
        <v>1</v>
      </c>
      <c r="E3040" t="n">
        <v>32.55226736</v>
      </c>
      <c r="F3040" t="n">
        <v>0.8232460046</v>
      </c>
      <c r="G3040" t="n">
        <v>0</v>
      </c>
      <c r="H3040" t="n">
        <v>5.753743316</v>
      </c>
      <c r="I3040" t="n">
        <v>0.1</v>
      </c>
      <c r="J3040" t="n">
        <v>8</v>
      </c>
      <c r="K3040" t="inlineStr">
        <is>
          <t>Sin stock</t>
        </is>
      </c>
    </row>
    <row r="3041">
      <c r="A3041" t="inlineStr">
        <is>
          <t>DAMSTKI43T2</t>
        </is>
      </c>
      <c r="B3041" t="inlineStr">
        <is>
          <t>MANGA LARGA DAILY KIDS</t>
        </is>
      </c>
      <c r="C3041" t="inlineStr">
        <is>
          <t>Manufactura / Kids / P. Superiores</t>
        </is>
      </c>
      <c r="D3041" t="n">
        <v>1</v>
      </c>
      <c r="E3041" t="n">
        <v>32.54232339</v>
      </c>
      <c r="F3041" t="n">
        <v>0.6896349447</v>
      </c>
      <c r="G3041" t="n">
        <v>0</v>
      </c>
      <c r="H3041" t="n">
        <v>10.1</v>
      </c>
      <c r="I3041" t="n">
        <v>0.1</v>
      </c>
      <c r="J3041" t="n">
        <v>7</v>
      </c>
      <c r="K3041" t="inlineStr">
        <is>
          <t>Sin stock</t>
        </is>
      </c>
    </row>
    <row r="3042">
      <c r="A3042" t="inlineStr">
        <is>
          <t>CLAMEKI12T10</t>
        </is>
      </c>
      <c r="B3042" t="inlineStr">
        <is>
          <t>CLASICA SPORT KIDS</t>
        </is>
      </c>
      <c r="C3042" t="inlineStr">
        <is>
          <t>Manufactura / Kids / P. Superiores</t>
        </is>
      </c>
      <c r="D3042" t="n">
        <v>2</v>
      </c>
      <c r="E3042" t="n">
        <v>32.53279945</v>
      </c>
      <c r="F3042" t="n">
        <v>0.8779693089</v>
      </c>
      <c r="G3042" t="n">
        <v>23</v>
      </c>
      <c r="H3042" t="n">
        <v>3.97</v>
      </c>
      <c r="I3042" t="n">
        <v>0.2</v>
      </c>
      <c r="J3042" t="n">
        <v>2</v>
      </c>
      <c r="K3042" t="inlineStr"/>
    </row>
    <row r="3043">
      <c r="A3043" t="inlineStr">
        <is>
          <t>COW31C16OZ</t>
        </is>
      </c>
      <c r="B3043" t="inlineStr">
        <is>
          <t>CONTIGO WEST LOOP 3.0 16OZ</t>
        </is>
      </c>
      <c r="C3043" t="inlineStr">
        <is>
          <t>Equipamiento / Cava</t>
        </is>
      </c>
      <c r="D3043" t="n">
        <v>1</v>
      </c>
      <c r="E3043" t="n">
        <v>32.50130261</v>
      </c>
      <c r="F3043" t="n">
        <v>0.3077200546</v>
      </c>
      <c r="G3043" t="n">
        <v>0</v>
      </c>
      <c r="H3043" t="n">
        <v>22.5</v>
      </c>
      <c r="I3043" t="n">
        <v>0.1</v>
      </c>
      <c r="J3043" t="n">
        <v>8</v>
      </c>
      <c r="K3043" t="inlineStr">
        <is>
          <t>Sin stock</t>
        </is>
      </c>
    </row>
    <row r="3044">
      <c r="A3044" t="inlineStr">
        <is>
          <t>MANMIGE04TG</t>
        </is>
      </c>
      <c r="B3044" t="inlineStr">
        <is>
          <t>MANGAS GENERAL</t>
        </is>
      </c>
      <c r="C3044" t="inlineStr">
        <is>
          <t>Manufactura / General</t>
        </is>
      </c>
      <c r="D3044" t="n">
        <v>2</v>
      </c>
      <c r="E3044" t="n">
        <v>32.38554079</v>
      </c>
      <c r="F3044" t="n">
        <v>0.9431301864</v>
      </c>
      <c r="G3044" t="n">
        <v>3</v>
      </c>
      <c r="H3044" t="n">
        <v>0.92</v>
      </c>
      <c r="I3044" t="n">
        <v>0.2</v>
      </c>
      <c r="J3044" t="n">
        <v>2</v>
      </c>
      <c r="K3044" t="inlineStr"/>
    </row>
    <row r="3045">
      <c r="A3045" t="inlineStr">
        <is>
          <t>PETMIPE39TL</t>
        </is>
      </c>
      <c r="B3045" t="inlineStr">
        <is>
          <t>BANDANA PET</t>
        </is>
      </c>
      <c r="C3045" t="inlineStr">
        <is>
          <t>Manufactura / General</t>
        </is>
      </c>
      <c r="D3045" t="n">
        <v>3</v>
      </c>
      <c r="E3045" t="n">
        <v>32.241395319</v>
      </c>
      <c r="F3045" t="n">
        <v>0.9687738628</v>
      </c>
      <c r="G3045" t="n">
        <v>48</v>
      </c>
      <c r="H3045" t="n">
        <v>0.3252662283</v>
      </c>
      <c r="I3045" t="n">
        <v>0.3</v>
      </c>
      <c r="J3045" t="n">
        <v>0</v>
      </c>
      <c r="K3045" t="inlineStr"/>
    </row>
    <row r="3046">
      <c r="A3046" t="inlineStr">
        <is>
          <t>CLAMIKI13T6</t>
        </is>
      </c>
      <c r="B3046" t="inlineStr">
        <is>
          <t>CLASICA ORIGINAL KIDS</t>
        </is>
      </c>
      <c r="C3046" t="inlineStr">
        <is>
          <t>Manufactura / Kids / P. Superiores</t>
        </is>
      </c>
      <c r="D3046" t="n">
        <v>2</v>
      </c>
      <c r="E3046" t="n">
        <v>32.19855991</v>
      </c>
      <c r="F3046" t="n">
        <v>0.9376218276333333</v>
      </c>
      <c r="G3046" t="n">
        <v>6</v>
      </c>
      <c r="H3046" t="n">
        <v>2.053774806</v>
      </c>
      <c r="I3046" t="n">
        <v>0.2</v>
      </c>
      <c r="J3046" t="n">
        <v>0</v>
      </c>
      <c r="K3046" t="inlineStr"/>
    </row>
    <row r="3047">
      <c r="A3047" t="inlineStr">
        <is>
          <t>CLAMIKI50T12</t>
        </is>
      </c>
      <c r="B3047" t="inlineStr">
        <is>
          <t>CLASICA ORIGINAL KIDS</t>
        </is>
      </c>
      <c r="C3047" t="inlineStr">
        <is>
          <t>Manufactura / Kids / P. Superiores</t>
        </is>
      </c>
      <c r="D3047" t="n">
        <v>1</v>
      </c>
      <c r="E3047" t="n">
        <v>32.19855991</v>
      </c>
      <c r="F3047" t="n">
        <v>0.9362153211000001</v>
      </c>
      <c r="G3047" t="n">
        <v>0</v>
      </c>
      <c r="H3047" t="n">
        <v>2.053774806</v>
      </c>
      <c r="I3047" t="n">
        <v>0.1</v>
      </c>
      <c r="J3047" t="n">
        <v>7</v>
      </c>
      <c r="K3047" t="inlineStr">
        <is>
          <t>Sin stock</t>
        </is>
      </c>
    </row>
    <row r="3048">
      <c r="A3048" t="inlineStr">
        <is>
          <t>CRESTDA16TXS</t>
        </is>
      </c>
      <c r="B3048" t="inlineStr">
        <is>
          <t>RETRO VZLA DAMA</t>
        </is>
      </c>
      <c r="C3048" t="inlineStr">
        <is>
          <t>Manufactura / Dama / P. Superiores</t>
        </is>
      </c>
      <c r="D3048" t="n">
        <v>1</v>
      </c>
      <c r="E3048" t="n">
        <v>32.17835888</v>
      </c>
      <c r="F3048" t="n">
        <v>0.6510076837</v>
      </c>
      <c r="G3048" t="n">
        <v>0</v>
      </c>
      <c r="H3048" t="n">
        <v>11.23</v>
      </c>
      <c r="I3048" t="n">
        <v>0.1</v>
      </c>
      <c r="J3048" t="n">
        <v>3</v>
      </c>
      <c r="K3048" t="inlineStr">
        <is>
          <t>Sin stock</t>
        </is>
      </c>
    </row>
    <row r="3049">
      <c r="A3049" t="inlineStr">
        <is>
          <t>DACSTDA16TXS</t>
        </is>
      </c>
      <c r="B3049" t="inlineStr">
        <is>
          <t>CLASICA DAILY DAMA</t>
        </is>
      </c>
      <c r="C3049" t="inlineStr">
        <is>
          <t>Manufactura / Dama / P. Superiores</t>
        </is>
      </c>
      <c r="D3049" t="n">
        <v>1</v>
      </c>
      <c r="E3049" t="n">
        <v>32.15915036</v>
      </c>
      <c r="F3049" t="n">
        <v>0.7117461159</v>
      </c>
      <c r="G3049" t="n">
        <v>0</v>
      </c>
      <c r="H3049" t="n">
        <v>9.27</v>
      </c>
      <c r="I3049" t="n">
        <v>0.1</v>
      </c>
      <c r="J3049" t="n">
        <v>9</v>
      </c>
      <c r="K3049" t="inlineStr">
        <is>
          <t>Sin stock</t>
        </is>
      </c>
    </row>
    <row r="3050">
      <c r="A3050" t="inlineStr">
        <is>
          <t>DACSTCA16TM</t>
        </is>
      </c>
      <c r="B3050" t="inlineStr">
        <is>
          <t>CLASICA DAILY CAB</t>
        </is>
      </c>
      <c r="C3050" t="inlineStr">
        <is>
          <t>Manufactura / Caballero / P. Superiores</t>
        </is>
      </c>
      <c r="D3050" t="n">
        <v>1</v>
      </c>
      <c r="E3050" t="n">
        <v>32.15915036</v>
      </c>
      <c r="F3050" t="n">
        <v>0.7117461159</v>
      </c>
      <c r="G3050" t="n">
        <v>0</v>
      </c>
      <c r="H3050" t="n">
        <v>9.27</v>
      </c>
      <c r="I3050" t="n">
        <v>0.1</v>
      </c>
      <c r="J3050" t="n">
        <v>9</v>
      </c>
      <c r="K3050" t="inlineStr">
        <is>
          <t>Sin stock</t>
        </is>
      </c>
    </row>
    <row r="3051">
      <c r="A3051" t="inlineStr">
        <is>
          <t>ZOEMIDA09TM</t>
        </is>
      </c>
      <c r="B3051" t="inlineStr">
        <is>
          <t>ZOE ORIGINAL DAMA</t>
        </is>
      </c>
      <c r="C3051" t="inlineStr">
        <is>
          <t>Manufactura / Dama / P. Superiores</t>
        </is>
      </c>
      <c r="D3051" t="n">
        <v>1</v>
      </c>
      <c r="E3051" t="n">
        <v>32.09610354</v>
      </c>
      <c r="F3051" t="n">
        <v>0.8717418864000001</v>
      </c>
      <c r="G3051" t="n">
        <v>0</v>
      </c>
      <c r="H3051" t="n">
        <v>4.116585696</v>
      </c>
      <c r="I3051" t="n">
        <v>0.1</v>
      </c>
      <c r="J3051" t="n">
        <v>9</v>
      </c>
      <c r="K3051" t="inlineStr">
        <is>
          <t>Sin stock</t>
        </is>
      </c>
    </row>
    <row r="3052">
      <c r="A3052" t="inlineStr">
        <is>
          <t>CLMSUCA15TM</t>
        </is>
      </c>
      <c r="B3052" t="inlineStr">
        <is>
          <t>CLASICA MOTION CAB</t>
        </is>
      </c>
      <c r="C3052" t="inlineStr">
        <is>
          <t>Manufactura / Caballero / P. Superiores</t>
        </is>
      </c>
      <c r="D3052" t="n">
        <v>1</v>
      </c>
      <c r="E3052" t="n">
        <v>32.09610354</v>
      </c>
      <c r="F3052" t="n">
        <v>0.6180221695</v>
      </c>
      <c r="G3052" t="n">
        <v>0</v>
      </c>
      <c r="H3052" t="n">
        <v>12.26</v>
      </c>
      <c r="I3052" t="n">
        <v>0.1</v>
      </c>
      <c r="J3052" t="n">
        <v>9</v>
      </c>
      <c r="K3052" t="inlineStr">
        <is>
          <t>Sin stock</t>
        </is>
      </c>
    </row>
    <row r="3053">
      <c r="A3053" t="inlineStr">
        <is>
          <t>DALSTKI43T2</t>
        </is>
      </c>
      <c r="B3053" t="inlineStr">
        <is>
          <t>CLASICA DAILY 2.0 KIDS</t>
        </is>
      </c>
      <c r="C3053" t="inlineStr">
        <is>
          <t>Manufactura / Kids / P. Superiores</t>
        </is>
      </c>
      <c r="D3053" t="n">
        <v>2</v>
      </c>
      <c r="E3053" t="n">
        <v>32</v>
      </c>
      <c r="F3053" t="n">
        <v>0.728125</v>
      </c>
      <c r="G3053" t="n">
        <v>2</v>
      </c>
      <c r="H3053" t="n">
        <v>8.699999999999999</v>
      </c>
      <c r="I3053" t="n">
        <v>0.2</v>
      </c>
      <c r="J3053" t="n">
        <v>1</v>
      </c>
      <c r="K3053" t="inlineStr"/>
    </row>
    <row r="3054">
      <c r="A3054" t="inlineStr">
        <is>
          <t>DACSTCA16TL</t>
        </is>
      </c>
      <c r="B3054" t="inlineStr">
        <is>
          <t>CLASICA DAILY CAB</t>
        </is>
      </c>
      <c r="C3054" t="inlineStr">
        <is>
          <t>Manufactura / Caballero / P. Superiores</t>
        </is>
      </c>
      <c r="D3054" t="n">
        <v>1</v>
      </c>
      <c r="E3054" t="n">
        <v>31.86359196</v>
      </c>
      <c r="F3054" t="n">
        <v>0.7090723477999999</v>
      </c>
      <c r="G3054" t="n">
        <v>0</v>
      </c>
      <c r="H3054" t="n">
        <v>9.27</v>
      </c>
      <c r="I3054" t="n">
        <v>0.1</v>
      </c>
      <c r="J3054" t="n">
        <v>8</v>
      </c>
      <c r="K3054" t="inlineStr">
        <is>
          <t>Sin stock</t>
        </is>
      </c>
    </row>
    <row r="3055">
      <c r="A3055" t="inlineStr">
        <is>
          <t>DACSTCA43TL</t>
        </is>
      </c>
      <c r="B3055" t="inlineStr">
        <is>
          <t>CLASICA DAILY CAB</t>
        </is>
      </c>
      <c r="C3055" t="inlineStr">
        <is>
          <t>Manufactura / Caballero / P. Superiores</t>
        </is>
      </c>
      <c r="D3055" t="n">
        <v>1</v>
      </c>
      <c r="E3055" t="n">
        <v>31.86359196</v>
      </c>
      <c r="F3055" t="n">
        <v>0.7090723477999999</v>
      </c>
      <c r="G3055" t="n">
        <v>0</v>
      </c>
      <c r="H3055" t="n">
        <v>9.27</v>
      </c>
      <c r="I3055" t="n">
        <v>0.1</v>
      </c>
      <c r="J3055" t="n">
        <v>8</v>
      </c>
      <c r="K3055" t="inlineStr">
        <is>
          <t>Sin stock</t>
        </is>
      </c>
    </row>
    <row r="3056">
      <c r="A3056" t="inlineStr">
        <is>
          <t>ANDMIDA34TXS</t>
        </is>
      </c>
      <c r="B3056" t="inlineStr">
        <is>
          <t>ANDRE ORIGINAL DAMA</t>
        </is>
      </c>
      <c r="C3056" t="inlineStr">
        <is>
          <t>Manufactura / Dama / P. Superiores</t>
        </is>
      </c>
      <c r="D3056" t="n">
        <v>1</v>
      </c>
      <c r="E3056" t="n">
        <v>31.79999098</v>
      </c>
      <c r="F3056" t="n">
        <v>0.8970347097</v>
      </c>
      <c r="G3056" t="n">
        <v>0</v>
      </c>
      <c r="H3056" t="n">
        <v>3.274295302</v>
      </c>
      <c r="I3056" t="n">
        <v>0.1</v>
      </c>
      <c r="J3056" t="n">
        <v>9</v>
      </c>
      <c r="K3056" t="inlineStr">
        <is>
          <t>Sin stock</t>
        </is>
      </c>
    </row>
    <row r="3057">
      <c r="A3057" t="inlineStr">
        <is>
          <t>ANDMIDA13TM</t>
        </is>
      </c>
      <c r="B3057" t="inlineStr">
        <is>
          <t>ANDRE ORIGINAL DAMA</t>
        </is>
      </c>
      <c r="C3057" t="inlineStr">
        <is>
          <t>Manufactura / Dama / P. Superiores</t>
        </is>
      </c>
      <c r="D3057" t="n">
        <v>1</v>
      </c>
      <c r="E3057" t="n">
        <v>31.77326874</v>
      </c>
      <c r="F3057" t="n">
        <v>0.8969481129</v>
      </c>
      <c r="G3057" t="n">
        <v>0</v>
      </c>
      <c r="H3057" t="n">
        <v>3.274295302</v>
      </c>
      <c r="I3057" t="n">
        <v>0.1</v>
      </c>
      <c r="J3057" t="n">
        <v>7</v>
      </c>
      <c r="K3057" t="inlineStr">
        <is>
          <t>Sin stock</t>
        </is>
      </c>
    </row>
    <row r="3058">
      <c r="A3058" t="inlineStr">
        <is>
          <t>MARMIKI05T2</t>
        </is>
      </c>
      <c r="B3058" t="inlineStr">
        <is>
          <t>MAR ORIGINAL KIDS</t>
        </is>
      </c>
      <c r="C3058" t="inlineStr">
        <is>
          <t>Manufactura / Kids / P. Superiores</t>
        </is>
      </c>
      <c r="D3058" t="n">
        <v>1</v>
      </c>
      <c r="E3058" t="n">
        <v>31.7720754</v>
      </c>
      <c r="F3058" t="n">
        <v>0.9002893802</v>
      </c>
      <c r="G3058" t="n">
        <v>0</v>
      </c>
      <c r="H3058" t="n">
        <v>3.168013332</v>
      </c>
      <c r="I3058" t="n">
        <v>0.1</v>
      </c>
      <c r="J3058" t="n">
        <v>9</v>
      </c>
      <c r="K3058" t="inlineStr">
        <is>
          <t>Sin stock</t>
        </is>
      </c>
    </row>
    <row r="3059">
      <c r="A3059" t="inlineStr">
        <is>
          <t>SHONRKI16T2</t>
        </is>
      </c>
      <c r="B3059" t="inlineStr">
        <is>
          <t>SHORT SPORT KIDS</t>
        </is>
      </c>
      <c r="C3059" t="inlineStr">
        <is>
          <t>Manufactura / Kids / P. Inferiores</t>
        </is>
      </c>
      <c r="D3059" t="n">
        <v>1</v>
      </c>
      <c r="E3059" t="n">
        <v>31.7720754</v>
      </c>
      <c r="F3059" t="n">
        <v>0.7964966311</v>
      </c>
      <c r="G3059" t="n">
        <v>0</v>
      </c>
      <c r="H3059" t="n">
        <v>6.465724382</v>
      </c>
      <c r="I3059" t="n">
        <v>0.1</v>
      </c>
      <c r="J3059" t="n">
        <v>9</v>
      </c>
      <c r="K3059" t="inlineStr">
        <is>
          <t>Sin stock</t>
        </is>
      </c>
    </row>
    <row r="3060">
      <c r="A3060" t="inlineStr">
        <is>
          <t>MAFMEDA66TXL</t>
        </is>
      </c>
      <c r="B3060" t="inlineStr">
        <is>
          <t>MAFE SPORT DAMA</t>
        </is>
      </c>
      <c r="C3060" t="inlineStr">
        <is>
          <t>Manufactura / Dama / P. Superiores</t>
        </is>
      </c>
      <c r="D3060" t="n">
        <v>1</v>
      </c>
      <c r="E3060" t="n">
        <v>31.38450437</v>
      </c>
      <c r="F3060" t="n">
        <v>0.8295337108</v>
      </c>
      <c r="G3060" t="n">
        <v>1</v>
      </c>
      <c r="H3060" t="n">
        <v>5.35</v>
      </c>
      <c r="I3060" t="n">
        <v>0.1</v>
      </c>
      <c r="J3060" t="n">
        <v>9</v>
      </c>
      <c r="K3060" t="inlineStr"/>
    </row>
    <row r="3061">
      <c r="A3061" t="inlineStr">
        <is>
          <t>MAFMEDA51TXL</t>
        </is>
      </c>
      <c r="B3061" t="inlineStr">
        <is>
          <t>MAFE SPORT DAMA</t>
        </is>
      </c>
      <c r="C3061" t="inlineStr">
        <is>
          <t>Manufactura / Dama / P. Superiores</t>
        </is>
      </c>
      <c r="D3061" t="n">
        <v>1</v>
      </c>
      <c r="E3061" t="n">
        <v>31.38450437</v>
      </c>
      <c r="F3061" t="n">
        <v>0.8295337108</v>
      </c>
      <c r="G3061" t="n">
        <v>0</v>
      </c>
      <c r="H3061" t="n">
        <v>5.35</v>
      </c>
      <c r="I3061" t="n">
        <v>0.1</v>
      </c>
      <c r="J3061" t="n">
        <v>9</v>
      </c>
      <c r="K3061" t="inlineStr">
        <is>
          <t>Sin stock</t>
        </is>
      </c>
    </row>
    <row r="3062">
      <c r="A3062" t="inlineStr">
        <is>
          <t>MARMIKI09T14</t>
        </is>
      </c>
      <c r="B3062" t="inlineStr">
        <is>
          <t>MAR ORIGINAL KIDS</t>
        </is>
      </c>
      <c r="C3062" t="inlineStr">
        <is>
          <t>Manufactura / Kids / P. Superiores</t>
        </is>
      </c>
      <c r="D3062" t="n">
        <v>1</v>
      </c>
      <c r="E3062" t="n">
        <v>31.38450437</v>
      </c>
      <c r="F3062" t="n">
        <v>0.8990580417</v>
      </c>
      <c r="G3062" t="n">
        <v>0</v>
      </c>
      <c r="H3062" t="n">
        <v>3.168013332</v>
      </c>
      <c r="I3062" t="n">
        <v>0.1</v>
      </c>
      <c r="J3062" t="n">
        <v>9</v>
      </c>
      <c r="K3062" t="inlineStr">
        <is>
          <t>Sin stock</t>
        </is>
      </c>
    </row>
    <row r="3063">
      <c r="A3063" t="inlineStr">
        <is>
          <t>MARMIKI52T4</t>
        </is>
      </c>
      <c r="B3063" t="inlineStr">
        <is>
          <t>MAR ORIGINAL KIDS</t>
        </is>
      </c>
      <c r="C3063" t="inlineStr">
        <is>
          <t>Manufactura / Kids / P. Superiores</t>
        </is>
      </c>
      <c r="D3063" t="n">
        <v>1</v>
      </c>
      <c r="E3063" t="n">
        <v>31.38450437</v>
      </c>
      <c r="F3063" t="n">
        <v>0.8990580417</v>
      </c>
      <c r="G3063" t="n">
        <v>0</v>
      </c>
      <c r="H3063" t="n">
        <v>3.168013332</v>
      </c>
      <c r="I3063" t="n">
        <v>0.1</v>
      </c>
      <c r="J3063" t="n">
        <v>9</v>
      </c>
      <c r="K3063" t="inlineStr">
        <is>
          <t>Sin stock</t>
        </is>
      </c>
    </row>
    <row r="3064">
      <c r="A3064" t="inlineStr">
        <is>
          <t>CRESTKI16T14</t>
        </is>
      </c>
      <c r="B3064" t="inlineStr">
        <is>
          <t>RETRO VZLA KIDS</t>
        </is>
      </c>
      <c r="C3064" t="inlineStr">
        <is>
          <t>Manufactura / Dama / P. Superiores</t>
        </is>
      </c>
      <c r="D3064" t="n">
        <v>1</v>
      </c>
      <c r="E3064" t="n">
        <v>31.38450437</v>
      </c>
      <c r="F3064" t="n">
        <v>0.6756361076</v>
      </c>
      <c r="G3064" t="n">
        <v>2</v>
      </c>
      <c r="H3064" t="n">
        <v>10.18</v>
      </c>
      <c r="I3064" t="n">
        <v>0.1</v>
      </c>
      <c r="J3064" t="n">
        <v>9</v>
      </c>
      <c r="K3064" t="inlineStr"/>
    </row>
    <row r="3065">
      <c r="A3065" t="inlineStr">
        <is>
          <t>P03</t>
        </is>
      </c>
      <c r="B3065" t="inlineStr">
        <is>
          <t>PARCHES</t>
        </is>
      </c>
      <c r="C3065" t="inlineStr">
        <is>
          <t>Equipamiento / Accesorios</t>
        </is>
      </c>
      <c r="D3065" t="n">
        <v>9</v>
      </c>
      <c r="E3065" t="n">
        <v>31.276963187</v>
      </c>
      <c r="F3065" t="n">
        <v>0.743178388775</v>
      </c>
      <c r="G3065" t="n">
        <v>506</v>
      </c>
      <c r="H3065" t="n">
        <v>0.98</v>
      </c>
      <c r="I3065" t="n">
        <v>0.9</v>
      </c>
      <c r="J3065" t="n">
        <v>2</v>
      </c>
      <c r="K3065" t="inlineStr"/>
    </row>
    <row r="3066">
      <c r="A3066" t="inlineStr">
        <is>
          <t>MARMIKI04T6</t>
        </is>
      </c>
      <c r="B3066" t="inlineStr">
        <is>
          <t>MAR ORIGINAL KIDS</t>
        </is>
      </c>
      <c r="C3066" t="inlineStr">
        <is>
          <t>Manufactura / Kids / P. Superiores</t>
        </is>
      </c>
      <c r="D3066" t="n">
        <v>2</v>
      </c>
      <c r="E3066" t="n">
        <v>31.09549723</v>
      </c>
      <c r="F3066" t="n">
        <v>0.898119869</v>
      </c>
      <c r="G3066" t="n">
        <v>5</v>
      </c>
      <c r="H3066" t="n">
        <v>3.168013332</v>
      </c>
      <c r="I3066" t="n">
        <v>0.2</v>
      </c>
      <c r="J3066" t="n">
        <v>0</v>
      </c>
      <c r="K3066" t="inlineStr"/>
    </row>
    <row r="3067">
      <c r="A3067" t="inlineStr">
        <is>
          <t>VIVMIDA13TXS</t>
        </is>
      </c>
      <c r="B3067" t="inlineStr">
        <is>
          <t>VIVI ORIGINAL DAMA</t>
        </is>
      </c>
      <c r="C3067" t="inlineStr">
        <is>
          <t>Manufactura / Dama / P. Superiores</t>
        </is>
      </c>
      <c r="D3067" t="n">
        <v>1</v>
      </c>
      <c r="E3067" t="n">
        <v>31.09549723</v>
      </c>
      <c r="F3067" t="n">
        <v>0.8616139927000001</v>
      </c>
      <c r="G3067" t="n">
        <v>0</v>
      </c>
      <c r="H3067" t="n">
        <v>4.303181706</v>
      </c>
      <c r="I3067" t="n">
        <v>0.1</v>
      </c>
      <c r="J3067" t="n">
        <v>7</v>
      </c>
      <c r="K3067" t="inlineStr">
        <is>
          <t>Sin stock</t>
        </is>
      </c>
    </row>
    <row r="3068">
      <c r="A3068" t="inlineStr">
        <is>
          <t>ANDMIDA70TL</t>
        </is>
      </c>
      <c r="B3068" t="inlineStr">
        <is>
          <t>ANDRE ORIGINAL DAMA</t>
        </is>
      </c>
      <c r="C3068" t="inlineStr">
        <is>
          <t>Manufactura / Dama / P. Superiores</t>
        </is>
      </c>
      <c r="D3068" t="n">
        <v>1</v>
      </c>
      <c r="E3068" t="n">
        <v>31.09549723</v>
      </c>
      <c r="F3068" t="n">
        <v>0.8947019474</v>
      </c>
      <c r="G3068" t="n">
        <v>0</v>
      </c>
      <c r="H3068" t="n">
        <v>3.274295302</v>
      </c>
      <c r="I3068" t="n">
        <v>0.1</v>
      </c>
      <c r="J3068" t="n">
        <v>7</v>
      </c>
      <c r="K3068" t="inlineStr">
        <is>
          <t>Sin stock</t>
        </is>
      </c>
    </row>
    <row r="3069">
      <c r="A3069" t="inlineStr">
        <is>
          <t>MARMIKI39T8</t>
        </is>
      </c>
      <c r="B3069" t="inlineStr">
        <is>
          <t>MAR ORIGINAL KIDS</t>
        </is>
      </c>
      <c r="C3069" t="inlineStr">
        <is>
          <t>Manufactura / Kids / P. Superiores</t>
        </is>
      </c>
      <c r="D3069" t="n">
        <v>1</v>
      </c>
      <c r="E3069" t="n">
        <v>31.07035267</v>
      </c>
      <c r="F3069" t="n">
        <v>0.8980374196000001</v>
      </c>
      <c r="G3069" t="n">
        <v>0</v>
      </c>
      <c r="H3069" t="n">
        <v>3.168013332</v>
      </c>
      <c r="I3069" t="n">
        <v>0.1</v>
      </c>
      <c r="J3069" t="n">
        <v>9</v>
      </c>
      <c r="K3069" t="inlineStr">
        <is>
          <t>Sin stock</t>
        </is>
      </c>
    </row>
    <row r="3070">
      <c r="A3070" t="inlineStr">
        <is>
          <t>PETMIPE16TS</t>
        </is>
      </c>
      <c r="B3070" t="inlineStr">
        <is>
          <t>BANDANA PET</t>
        </is>
      </c>
      <c r="C3070" t="inlineStr">
        <is>
          <t>Manufactura / General</t>
        </is>
      </c>
      <c r="D3070" t="n">
        <v>4</v>
      </c>
      <c r="E3070" t="n">
        <v>30.933370117</v>
      </c>
      <c r="F3070" t="n">
        <v>0.9638654081666665</v>
      </c>
      <c r="G3070" t="n">
        <v>9</v>
      </c>
      <c r="H3070" t="n">
        <v>0.3252662283</v>
      </c>
      <c r="I3070" t="n">
        <v>0.4</v>
      </c>
      <c r="J3070" t="n">
        <v>0</v>
      </c>
      <c r="K3070" t="inlineStr"/>
    </row>
    <row r="3071">
      <c r="A3071" t="inlineStr">
        <is>
          <t>MARMIKI14T14</t>
        </is>
      </c>
      <c r="B3071" t="inlineStr">
        <is>
          <t>MAR ORIGINAL KIDS</t>
        </is>
      </c>
      <c r="C3071" t="inlineStr">
        <is>
          <t>Manufactura / Kids / P. Superiores</t>
        </is>
      </c>
      <c r="D3071" t="n">
        <v>1</v>
      </c>
      <c r="E3071" t="n">
        <v>30.74939118</v>
      </c>
      <c r="F3071" t="n">
        <v>0.8969731364</v>
      </c>
      <c r="G3071" t="n">
        <v>0</v>
      </c>
      <c r="H3071" t="n">
        <v>3.168013332</v>
      </c>
      <c r="I3071" t="n">
        <v>0.1</v>
      </c>
      <c r="J3071" t="n">
        <v>9</v>
      </c>
      <c r="K3071" t="inlineStr">
        <is>
          <t>Sin stock</t>
        </is>
      </c>
    </row>
    <row r="3072">
      <c r="A3072" t="inlineStr">
        <is>
          <t>ZOEMIKI48T8</t>
        </is>
      </c>
      <c r="B3072" t="inlineStr">
        <is>
          <t>ZOE ORIGINAL KIDS</t>
        </is>
      </c>
      <c r="C3072" t="inlineStr">
        <is>
          <t>Manufactura / Kids / P. Superiores</t>
        </is>
      </c>
      <c r="D3072" t="n">
        <v>1</v>
      </c>
      <c r="E3072" t="n">
        <v>30.69213547</v>
      </c>
      <c r="F3072" t="n">
        <v>0.8657636578</v>
      </c>
      <c r="G3072" t="n">
        <v>0</v>
      </c>
      <c r="H3072" t="n">
        <v>4.12</v>
      </c>
      <c r="I3072" t="n">
        <v>0.1</v>
      </c>
      <c r="J3072" t="n">
        <v>8</v>
      </c>
      <c r="K3072" t="inlineStr">
        <is>
          <t>Sin stock</t>
        </is>
      </c>
    </row>
    <row r="3073">
      <c r="A3073" t="inlineStr">
        <is>
          <t>PETMIPE01TS</t>
        </is>
      </c>
      <c r="B3073" t="inlineStr">
        <is>
          <t>BANDANA PET</t>
        </is>
      </c>
      <c r="C3073" t="inlineStr">
        <is>
          <t>Manufactura / General</t>
        </is>
      </c>
      <c r="D3073" t="n">
        <v>2</v>
      </c>
      <c r="E3073" t="n">
        <v>30.6162868</v>
      </c>
      <c r="F3073" t="n">
        <v>0.9785298995</v>
      </c>
      <c r="G3073" t="n">
        <v>10</v>
      </c>
      <c r="H3073" t="n">
        <v>0.3252662283</v>
      </c>
      <c r="I3073" t="n">
        <v>0.2</v>
      </c>
      <c r="J3073" t="n">
        <v>5</v>
      </c>
      <c r="K3073" t="inlineStr"/>
    </row>
    <row r="3074">
      <c r="A3074" t="inlineStr">
        <is>
          <t>PETMIPE04TXL</t>
        </is>
      </c>
      <c r="B3074" t="inlineStr">
        <is>
          <t>BANDANA PET</t>
        </is>
      </c>
      <c r="C3074" t="inlineStr">
        <is>
          <t>Manufactura / General</t>
        </is>
      </c>
      <c r="D3074" t="n">
        <v>3</v>
      </c>
      <c r="E3074" t="n">
        <v>30.500996015</v>
      </c>
      <c r="F3074" t="n">
        <v>0.9677997308</v>
      </c>
      <c r="G3074" t="n">
        <v>0</v>
      </c>
      <c r="H3074" t="n">
        <v>0.3252662283</v>
      </c>
      <c r="I3074" t="n">
        <v>0.3</v>
      </c>
      <c r="J3074" t="n">
        <v>0</v>
      </c>
      <c r="K3074" t="inlineStr">
        <is>
          <t>Sin stock</t>
        </is>
      </c>
    </row>
    <row r="3075">
      <c r="A3075" t="inlineStr">
        <is>
          <t>MIAMIDA12TM</t>
        </is>
      </c>
      <c r="B3075" t="inlineStr">
        <is>
          <t>MIA ORIGINAL DAMA</t>
        </is>
      </c>
      <c r="C3075" t="inlineStr">
        <is>
          <t>Manufactura / Dama / P. Superiores</t>
        </is>
      </c>
      <c r="D3075" t="n">
        <v>1</v>
      </c>
      <c r="E3075" t="n">
        <v>30.48489783</v>
      </c>
      <c r="F3075" t="n">
        <v>0.8707556764</v>
      </c>
      <c r="G3075" t="n">
        <v>0</v>
      </c>
      <c r="H3075" t="n">
        <v>3.94</v>
      </c>
      <c r="I3075" t="n">
        <v>0.1</v>
      </c>
      <c r="J3075" t="n">
        <v>8</v>
      </c>
      <c r="K3075" t="inlineStr">
        <is>
          <t>Sin stock</t>
        </is>
      </c>
    </row>
    <row r="3076">
      <c r="A3076" t="inlineStr">
        <is>
          <t>MIAMIDA34TM</t>
        </is>
      </c>
      <c r="B3076" t="inlineStr">
        <is>
          <t>MIA ORIGINAL DAMA</t>
        </is>
      </c>
      <c r="C3076" t="inlineStr">
        <is>
          <t>Manufactura / Dama / P. Superiores</t>
        </is>
      </c>
      <c r="D3076" t="n">
        <v>1</v>
      </c>
      <c r="E3076" t="n">
        <v>30.48489783</v>
      </c>
      <c r="F3076" t="n">
        <v>0.8707556764</v>
      </c>
      <c r="G3076" t="n">
        <v>0</v>
      </c>
      <c r="H3076" t="n">
        <v>3.94</v>
      </c>
      <c r="I3076" t="n">
        <v>0.1</v>
      </c>
      <c r="J3076" t="n">
        <v>8</v>
      </c>
      <c r="K3076" t="inlineStr">
        <is>
          <t>Sin stock</t>
        </is>
      </c>
    </row>
    <row r="3077">
      <c r="A3077" t="inlineStr">
        <is>
          <t>MAFMIDA04TS</t>
        </is>
      </c>
      <c r="B3077" t="inlineStr">
        <is>
          <t>MAFE ORIGINAL DAMA</t>
        </is>
      </c>
      <c r="C3077" t="inlineStr">
        <is>
          <t>Manufactura / Dama / P. Superiores</t>
        </is>
      </c>
      <c r="D3077" t="n">
        <v>1</v>
      </c>
      <c r="E3077" t="n">
        <v>30.44842674</v>
      </c>
      <c r="F3077" t="n">
        <v>0.8506268731</v>
      </c>
      <c r="G3077" t="n">
        <v>0</v>
      </c>
      <c r="H3077" t="n">
        <v>4.54817671</v>
      </c>
      <c r="I3077" t="n">
        <v>0.1</v>
      </c>
      <c r="J3077" t="n">
        <v>6</v>
      </c>
      <c r="K3077" t="inlineStr">
        <is>
          <t>Sin stock</t>
        </is>
      </c>
    </row>
    <row r="3078">
      <c r="A3078" t="inlineStr">
        <is>
          <t>VIVMIDA50TS</t>
        </is>
      </c>
      <c r="B3078" t="inlineStr">
        <is>
          <t>VIVI ORIGINAL DAMA</t>
        </is>
      </c>
      <c r="C3078" t="inlineStr">
        <is>
          <t>Manufactura / Dama / P. Superiores</t>
        </is>
      </c>
      <c r="D3078" t="n">
        <v>1</v>
      </c>
      <c r="E3078" t="n">
        <v>30.43975844</v>
      </c>
      <c r="F3078" t="n">
        <v>0.8586328563</v>
      </c>
      <c r="G3078" t="n">
        <v>9</v>
      </c>
      <c r="H3078" t="n">
        <v>4.303181706</v>
      </c>
      <c r="I3078" t="n">
        <v>0.1</v>
      </c>
      <c r="J3078" t="n">
        <v>7</v>
      </c>
      <c r="K3078" t="inlineStr"/>
    </row>
    <row r="3079">
      <c r="A3079" t="inlineStr">
        <is>
          <t>DALSTKI16T6</t>
        </is>
      </c>
      <c r="B3079" t="inlineStr">
        <is>
          <t>CLASICA DAILY 2.0 KIDS</t>
        </is>
      </c>
      <c r="C3079" t="inlineStr">
        <is>
          <t>Manufactura / Kids / P. Superiores</t>
        </is>
      </c>
      <c r="D3079" t="n">
        <v>1</v>
      </c>
      <c r="E3079" t="n">
        <v>30.40928521</v>
      </c>
      <c r="F3079" t="n">
        <v>0.7139031733</v>
      </c>
      <c r="G3079" t="n">
        <v>0</v>
      </c>
      <c r="H3079" t="n">
        <v>8.699999999999999</v>
      </c>
      <c r="I3079" t="n">
        <v>0.1</v>
      </c>
      <c r="J3079" t="n">
        <v>2</v>
      </c>
      <c r="K3079" t="inlineStr">
        <is>
          <t>Sin stock</t>
        </is>
      </c>
    </row>
    <row r="3080">
      <c r="A3080" t="inlineStr">
        <is>
          <t>MIAMIDA30TXS</t>
        </is>
      </c>
      <c r="B3080" t="inlineStr">
        <is>
          <t>MIA ORIGINAL DAMA</t>
        </is>
      </c>
      <c r="C3080" t="inlineStr">
        <is>
          <t>Manufactura / Dama / P. Superiores</t>
        </is>
      </c>
      <c r="D3080" t="n">
        <v>1</v>
      </c>
      <c r="E3080" t="n">
        <v>30.32472654</v>
      </c>
      <c r="F3080" t="n">
        <v>0.8700730246</v>
      </c>
      <c r="G3080" t="n">
        <v>1</v>
      </c>
      <c r="H3080" t="n">
        <v>3.94</v>
      </c>
      <c r="I3080" t="n">
        <v>0.1</v>
      </c>
      <c r="J3080" t="n">
        <v>6</v>
      </c>
      <c r="K3080" t="inlineStr"/>
    </row>
    <row r="3081">
      <c r="A3081" t="inlineStr">
        <is>
          <t>ZOEMIKI09T12</t>
        </is>
      </c>
      <c r="B3081" t="inlineStr">
        <is>
          <t>ZOE ORIGINAL KIDS</t>
        </is>
      </c>
      <c r="C3081" t="inlineStr">
        <is>
          <t>Manufactura / Kids / P. Superiores</t>
        </is>
      </c>
      <c r="D3081" t="n">
        <v>1</v>
      </c>
      <c r="E3081" t="n">
        <v>30.32150266</v>
      </c>
      <c r="F3081" t="n">
        <v>0.8641228291</v>
      </c>
      <c r="G3081" t="n">
        <v>0</v>
      </c>
      <c r="H3081" t="n">
        <v>4.12</v>
      </c>
      <c r="I3081" t="n">
        <v>0.1</v>
      </c>
      <c r="J3081" t="n">
        <v>9</v>
      </c>
      <c r="K3081" t="inlineStr">
        <is>
          <t>Sin stock</t>
        </is>
      </c>
    </row>
    <row r="3082">
      <c r="A3082" t="inlineStr">
        <is>
          <t>ZOEMIKI09T10</t>
        </is>
      </c>
      <c r="B3082" t="inlineStr">
        <is>
          <t>ZOE ORIGINAL KIDS</t>
        </is>
      </c>
      <c r="C3082" t="inlineStr">
        <is>
          <t>Manufactura / Kids / P. Superiores</t>
        </is>
      </c>
      <c r="D3082" t="n">
        <v>1</v>
      </c>
      <c r="E3082" t="n">
        <v>30.32150266</v>
      </c>
      <c r="F3082" t="n">
        <v>0.8641228291</v>
      </c>
      <c r="G3082" t="n">
        <v>0</v>
      </c>
      <c r="H3082" t="n">
        <v>4.12</v>
      </c>
      <c r="I3082" t="n">
        <v>0.1</v>
      </c>
      <c r="J3082" t="n">
        <v>9</v>
      </c>
      <c r="K3082" t="inlineStr">
        <is>
          <t>Sin stock</t>
        </is>
      </c>
    </row>
    <row r="3083">
      <c r="A3083" t="inlineStr">
        <is>
          <t>WAVSTKI30T10</t>
        </is>
      </c>
      <c r="B3083" t="inlineStr">
        <is>
          <t>CLASICA RETRO 2.0 KIDS</t>
        </is>
      </c>
      <c r="C3083" t="inlineStr">
        <is>
          <t>Manufactura / Kids / P. Superiores</t>
        </is>
      </c>
      <c r="D3083" t="n">
        <v>1</v>
      </c>
      <c r="E3083" t="n">
        <v>30.27895052</v>
      </c>
      <c r="F3083" t="n">
        <v>0.9669737563</v>
      </c>
      <c r="G3083" t="n">
        <v>0</v>
      </c>
      <c r="H3083" t="n">
        <v>1</v>
      </c>
      <c r="I3083" t="n">
        <v>0.1</v>
      </c>
      <c r="J3083" t="n">
        <v>5</v>
      </c>
      <c r="K3083" t="inlineStr">
        <is>
          <t>Sin stock</t>
        </is>
      </c>
    </row>
    <row r="3084">
      <c r="A3084" t="inlineStr">
        <is>
          <t>MIAMIDA11TXL</t>
        </is>
      </c>
      <c r="B3084" t="inlineStr">
        <is>
          <t>MIA ORIGINAL DAMA</t>
        </is>
      </c>
      <c r="C3084" t="inlineStr">
        <is>
          <t>Manufactura / Dama / P. Superiores</t>
        </is>
      </c>
      <c r="D3084" t="n">
        <v>1</v>
      </c>
      <c r="E3084" t="n">
        <v>30.00191321</v>
      </c>
      <c r="F3084" t="n">
        <v>0.8686750418</v>
      </c>
      <c r="G3084" t="n">
        <v>0</v>
      </c>
      <c r="H3084" t="n">
        <v>3.94</v>
      </c>
      <c r="I3084" t="n">
        <v>0.1</v>
      </c>
      <c r="J3084" t="n">
        <v>8</v>
      </c>
      <c r="K3084" t="inlineStr">
        <is>
          <t>Sin stock</t>
        </is>
      </c>
    </row>
    <row r="3085">
      <c r="A3085" t="inlineStr">
        <is>
          <t>ANDMIDA34TS</t>
        </is>
      </c>
      <c r="B3085" t="inlineStr">
        <is>
          <t>ANDRE ORIGINAL DAMA</t>
        </is>
      </c>
      <c r="C3085" t="inlineStr">
        <is>
          <t>Manufactura / Dama / P. Superiores</t>
        </is>
      </c>
      <c r="D3085" t="n">
        <v>1</v>
      </c>
      <c r="E3085" t="n">
        <v>29.95487275</v>
      </c>
      <c r="F3085" t="n">
        <v>0.8906923982</v>
      </c>
      <c r="G3085" t="n">
        <v>0</v>
      </c>
      <c r="H3085" t="n">
        <v>3.274295302</v>
      </c>
      <c r="I3085" t="n">
        <v>0.1</v>
      </c>
      <c r="J3085" t="n">
        <v>7</v>
      </c>
      <c r="K3085" t="inlineStr">
        <is>
          <t>Sin stock</t>
        </is>
      </c>
    </row>
    <row r="3086">
      <c r="A3086" t="inlineStr">
        <is>
          <t>CLMSUCA43TL</t>
        </is>
      </c>
      <c r="B3086" t="inlineStr">
        <is>
          <t>CLASICA MOTION CAB</t>
        </is>
      </c>
      <c r="C3086" t="inlineStr">
        <is>
          <t>Manufactura / Caballero / P. Superiores</t>
        </is>
      </c>
      <c r="D3086" t="n">
        <v>1</v>
      </c>
      <c r="E3086" t="n">
        <v>29.78312438</v>
      </c>
      <c r="F3086" t="n">
        <v>0.5883574925</v>
      </c>
      <c r="G3086" t="n">
        <v>0</v>
      </c>
      <c r="H3086" t="n">
        <v>12.26</v>
      </c>
      <c r="I3086" t="n">
        <v>0.1</v>
      </c>
      <c r="J3086" t="n">
        <v>9</v>
      </c>
      <c r="K3086" t="inlineStr">
        <is>
          <t>Sin stock</t>
        </is>
      </c>
    </row>
    <row r="3087">
      <c r="A3087" t="inlineStr">
        <is>
          <t>SHOSUKI111T1</t>
        </is>
      </c>
      <c r="B3087" t="inlineStr">
        <is>
          <t>SHORT PLAYA ESTAMPADO KIDS</t>
        </is>
      </c>
      <c r="C3087" t="inlineStr">
        <is>
          <t>Manufactura / Kids / P. Superiores</t>
        </is>
      </c>
      <c r="D3087" t="n">
        <v>1</v>
      </c>
      <c r="E3087" t="n">
        <v>29.74509485</v>
      </c>
      <c r="F3087" t="n">
        <v>0.7576070933</v>
      </c>
      <c r="G3087" t="n">
        <v>4</v>
      </c>
      <c r="H3087" t="n">
        <v>7.21</v>
      </c>
      <c r="I3087" t="n">
        <v>0.1</v>
      </c>
      <c r="J3087" t="n">
        <v>8</v>
      </c>
      <c r="K3087" t="inlineStr"/>
    </row>
    <row r="3088">
      <c r="A3088" t="inlineStr">
        <is>
          <t>ZOEMIKI05T10</t>
        </is>
      </c>
      <c r="B3088" t="inlineStr">
        <is>
          <t>ZOE ORIGINAL KIDS</t>
        </is>
      </c>
      <c r="C3088" t="inlineStr">
        <is>
          <t>Manufactura / Kids / P. Superiores</t>
        </is>
      </c>
      <c r="D3088" t="n">
        <v>1</v>
      </c>
      <c r="E3088" t="n">
        <v>29.63173086</v>
      </c>
      <c r="F3088" t="n">
        <v>0.8609598602</v>
      </c>
      <c r="G3088" t="n">
        <v>0</v>
      </c>
      <c r="H3088" t="n">
        <v>4.12</v>
      </c>
      <c r="I3088" t="n">
        <v>0.1</v>
      </c>
      <c r="J3088" t="n">
        <v>9</v>
      </c>
      <c r="K3088" t="inlineStr">
        <is>
          <t>Sin stock</t>
        </is>
      </c>
    </row>
    <row r="3089">
      <c r="A3089" t="inlineStr">
        <is>
          <t>MANMIGE05TG</t>
        </is>
      </c>
      <c r="B3089" t="inlineStr">
        <is>
          <t>MANGAS GENERAL</t>
        </is>
      </c>
      <c r="C3089" t="inlineStr">
        <is>
          <t>Manufactura / General</t>
        </is>
      </c>
      <c r="D3089" t="n">
        <v>2</v>
      </c>
      <c r="E3089" t="n">
        <v>29.56304681</v>
      </c>
      <c r="F3089" t="n">
        <v>0.9368427166</v>
      </c>
      <c r="G3089" t="n">
        <v>6</v>
      </c>
      <c r="H3089" t="n">
        <v>0.92</v>
      </c>
      <c r="I3089" t="n">
        <v>0.2</v>
      </c>
      <c r="J3089" t="n">
        <v>1</v>
      </c>
      <c r="K3089" t="inlineStr"/>
    </row>
    <row r="3090">
      <c r="A3090" t="inlineStr">
        <is>
          <t>VIVMIDA39TM</t>
        </is>
      </c>
      <c r="B3090" t="inlineStr">
        <is>
          <t>VIVI ORIGINAL DAMA</t>
        </is>
      </c>
      <c r="C3090" t="inlineStr">
        <is>
          <t>Manufactura / Dama / P. Superiores</t>
        </is>
      </c>
      <c r="D3090" t="n">
        <v>1</v>
      </c>
      <c r="E3090" t="n">
        <v>29.56223505</v>
      </c>
      <c r="F3090" t="n">
        <v>0.8544365235</v>
      </c>
      <c r="G3090" t="n">
        <v>0</v>
      </c>
      <c r="H3090" t="n">
        <v>4.303181706</v>
      </c>
      <c r="I3090" t="n">
        <v>0.1</v>
      </c>
      <c r="J3090" t="n">
        <v>9</v>
      </c>
      <c r="K3090" t="inlineStr">
        <is>
          <t>Sin stock</t>
        </is>
      </c>
    </row>
    <row r="3091">
      <c r="A3091" t="inlineStr">
        <is>
          <t>SHOSUKI104T10</t>
        </is>
      </c>
      <c r="B3091" t="inlineStr">
        <is>
          <t>SHORT PLAYA ESTAMPADO KIDS</t>
        </is>
      </c>
      <c r="C3091" t="inlineStr">
        <is>
          <t>Manufactura / Kids / P. Superiores</t>
        </is>
      </c>
      <c r="D3091" t="n">
        <v>1</v>
      </c>
      <c r="E3091" t="n">
        <v>29.50150615</v>
      </c>
      <c r="F3091" t="n">
        <v>0.7556056981</v>
      </c>
      <c r="G3091" t="n">
        <v>0</v>
      </c>
      <c r="H3091" t="n">
        <v>7.21</v>
      </c>
      <c r="I3091" t="n">
        <v>0.1</v>
      </c>
      <c r="J3091" t="n">
        <v>8</v>
      </c>
      <c r="K3091" t="inlineStr">
        <is>
          <t>Sin stock</t>
        </is>
      </c>
    </row>
    <row r="3092">
      <c r="A3092" t="inlineStr">
        <is>
          <t>ZOEMIKI48T14</t>
        </is>
      </c>
      <c r="B3092" t="inlineStr">
        <is>
          <t>ZOE ORIGINAL KIDS</t>
        </is>
      </c>
      <c r="C3092" t="inlineStr">
        <is>
          <t>Manufactura / Kids / P. Superiores</t>
        </is>
      </c>
      <c r="D3092" t="n">
        <v>1</v>
      </c>
      <c r="E3092" t="n">
        <v>29.31861167</v>
      </c>
      <c r="F3092" t="n">
        <v>0.8594749286</v>
      </c>
      <c r="G3092" t="n">
        <v>0</v>
      </c>
      <c r="H3092" t="n">
        <v>4.12</v>
      </c>
      <c r="I3092" t="n">
        <v>0.1</v>
      </c>
      <c r="J3092" t="n">
        <v>7</v>
      </c>
      <c r="K3092" t="inlineStr">
        <is>
          <t>Sin stock</t>
        </is>
      </c>
    </row>
    <row r="3093">
      <c r="A3093" t="inlineStr">
        <is>
          <t>PETMIPE43TM</t>
        </is>
      </c>
      <c r="B3093" t="inlineStr">
        <is>
          <t>BANDANA PET</t>
        </is>
      </c>
      <c r="C3093" t="inlineStr">
        <is>
          <t>Manufactura / General</t>
        </is>
      </c>
      <c r="D3093" t="n">
        <v>3</v>
      </c>
      <c r="E3093" t="n">
        <v>29.30590777</v>
      </c>
      <c r="F3093" t="n">
        <v>0.97671391945</v>
      </c>
      <c r="G3093" t="n">
        <v>0</v>
      </c>
      <c r="H3093" t="n">
        <v>0.3252662283</v>
      </c>
      <c r="I3093" t="n">
        <v>0.3</v>
      </c>
      <c r="J3093" t="n">
        <v>2</v>
      </c>
      <c r="K3093" t="inlineStr">
        <is>
          <t>Sin stock</t>
        </is>
      </c>
    </row>
    <row r="3094">
      <c r="A3094" t="inlineStr">
        <is>
          <t>MAFMEDA16TS</t>
        </is>
      </c>
      <c r="B3094" t="inlineStr">
        <is>
          <t>MAFE SPORT DAMA</t>
        </is>
      </c>
      <c r="C3094" t="inlineStr">
        <is>
          <t>Manufactura / Dama / P. Superiores</t>
        </is>
      </c>
      <c r="D3094" t="n">
        <v>1</v>
      </c>
      <c r="E3094" t="n">
        <v>29.13204654</v>
      </c>
      <c r="F3094" t="n">
        <v>0.8163534446</v>
      </c>
      <c r="G3094" t="n">
        <v>0</v>
      </c>
      <c r="H3094" t="n">
        <v>5.35</v>
      </c>
      <c r="I3094" t="n">
        <v>0.1</v>
      </c>
      <c r="J3094" t="n">
        <v>9</v>
      </c>
      <c r="K3094" t="inlineStr">
        <is>
          <t>Sin stock</t>
        </is>
      </c>
    </row>
    <row r="3095">
      <c r="A3095" t="inlineStr">
        <is>
          <t>DAMSTKI30T4</t>
        </is>
      </c>
      <c r="B3095" t="inlineStr">
        <is>
          <t>MANGA LARGA DAILY KIDS</t>
        </is>
      </c>
      <c r="C3095" t="inlineStr">
        <is>
          <t>Manufactura / Kids / P. Superiores</t>
        </is>
      </c>
      <c r="D3095" t="n">
        <v>1</v>
      </c>
      <c r="E3095" t="n">
        <v>29.04308135</v>
      </c>
      <c r="F3095" t="n">
        <v>0.6522407564</v>
      </c>
      <c r="G3095" t="n">
        <v>0</v>
      </c>
      <c r="H3095" t="n">
        <v>10.1</v>
      </c>
      <c r="I3095" t="n">
        <v>0.1</v>
      </c>
      <c r="J3095" t="n">
        <v>5</v>
      </c>
      <c r="K3095" t="inlineStr">
        <is>
          <t>Sin stock</t>
        </is>
      </c>
    </row>
    <row r="3096">
      <c r="A3096" t="inlineStr">
        <is>
          <t>CLAMIKI53T1</t>
        </is>
      </c>
      <c r="B3096" t="inlineStr">
        <is>
          <t>CLASICA ORIGINAL KIDS</t>
        </is>
      </c>
      <c r="C3096" t="inlineStr">
        <is>
          <t>Manufactura / Kids / P. Superiores</t>
        </is>
      </c>
      <c r="D3096" t="n">
        <v>1</v>
      </c>
      <c r="E3096" t="n">
        <v>29.00113979</v>
      </c>
      <c r="F3096" t="n">
        <v>0.9291829624</v>
      </c>
      <c r="G3096" t="n">
        <v>0</v>
      </c>
      <c r="H3096" t="n">
        <v>2.053774806</v>
      </c>
      <c r="I3096" t="n">
        <v>0.1</v>
      </c>
      <c r="J3096" t="n">
        <v>8</v>
      </c>
      <c r="K3096" t="inlineStr">
        <is>
          <t>Sin stock</t>
        </is>
      </c>
    </row>
    <row r="3097">
      <c r="A3097" t="inlineStr">
        <is>
          <t>CLAMIKI50T8</t>
        </is>
      </c>
      <c r="B3097" t="inlineStr">
        <is>
          <t>CLASICA ORIGINAL KIDS</t>
        </is>
      </c>
      <c r="C3097" t="inlineStr">
        <is>
          <t>Manufactura / Kids / P. Superiores</t>
        </is>
      </c>
      <c r="D3097" t="n">
        <v>1</v>
      </c>
      <c r="E3097" t="n">
        <v>29.00113979</v>
      </c>
      <c r="F3097" t="n">
        <v>0.9291829624</v>
      </c>
      <c r="G3097" t="n">
        <v>0</v>
      </c>
      <c r="H3097" t="n">
        <v>2.053774806</v>
      </c>
      <c r="I3097" t="n">
        <v>0.1</v>
      </c>
      <c r="J3097" t="n">
        <v>8</v>
      </c>
      <c r="K3097" t="inlineStr">
        <is>
          <t>Sin stock</t>
        </is>
      </c>
    </row>
    <row r="3098">
      <c r="A3098" t="inlineStr">
        <is>
          <t>DACSTDA43TM</t>
        </is>
      </c>
      <c r="B3098" t="inlineStr">
        <is>
          <t>CLASICA DAILY DAMA</t>
        </is>
      </c>
      <c r="C3098" t="inlineStr">
        <is>
          <t>Manufactura / Dama / P. Superiores</t>
        </is>
      </c>
      <c r="D3098" t="n">
        <v>1</v>
      </c>
      <c r="E3098" t="n">
        <v>28.90678272</v>
      </c>
      <c r="F3098" t="n">
        <v>0.6793140181</v>
      </c>
      <c r="G3098" t="n">
        <v>0</v>
      </c>
      <c r="H3098" t="n">
        <v>9.27</v>
      </c>
      <c r="I3098" t="n">
        <v>0.1</v>
      </c>
      <c r="J3098" t="n">
        <v>9</v>
      </c>
      <c r="K3098" t="inlineStr">
        <is>
          <t>Sin stock</t>
        </is>
      </c>
    </row>
    <row r="3099">
      <c r="A3099" t="inlineStr">
        <is>
          <t>WAVSTKI30T12</t>
        </is>
      </c>
      <c r="B3099" t="inlineStr">
        <is>
          <t>CLASICA RETRO 2.0 KIDS</t>
        </is>
      </c>
      <c r="C3099" t="inlineStr">
        <is>
          <t>Manufactura / Kids / P. Superiores</t>
        </is>
      </c>
      <c r="D3099" t="n">
        <v>1</v>
      </c>
      <c r="E3099" t="n">
        <v>28.90678272</v>
      </c>
      <c r="F3099" t="n">
        <v>0.9654060429</v>
      </c>
      <c r="G3099" t="n">
        <v>0</v>
      </c>
      <c r="H3099" t="n">
        <v>1</v>
      </c>
      <c r="I3099" t="n">
        <v>0.1</v>
      </c>
      <c r="J3099" t="n">
        <v>9</v>
      </c>
      <c r="K3099" t="inlineStr">
        <is>
          <t>Sin stock</t>
        </is>
      </c>
    </row>
    <row r="3100">
      <c r="A3100" t="inlineStr">
        <is>
          <t>SABMEDA51TM</t>
        </is>
      </c>
      <c r="B3100" t="inlineStr">
        <is>
          <t>SABRI SPORT DAMA</t>
        </is>
      </c>
      <c r="C3100" t="inlineStr">
        <is>
          <t>Manufactura / Dama / P. Superiores</t>
        </is>
      </c>
      <c r="D3100" t="n">
        <v>1</v>
      </c>
      <c r="E3100" t="n">
        <v>28.83200358</v>
      </c>
      <c r="F3100" t="n">
        <v>0.843576601</v>
      </c>
      <c r="G3100" t="n">
        <v>0</v>
      </c>
      <c r="H3100" t="n">
        <v>4.51</v>
      </c>
      <c r="I3100" t="n">
        <v>0.1</v>
      </c>
      <c r="J3100" t="n">
        <v>8</v>
      </c>
      <c r="K3100" t="inlineStr">
        <is>
          <t>Sin stock</t>
        </is>
      </c>
    </row>
    <row r="3101">
      <c r="A3101" t="inlineStr">
        <is>
          <t>BAN164CC</t>
        </is>
      </c>
      <c r="B3101" t="inlineStr">
        <is>
          <t>CUADRO BAND</t>
        </is>
      </c>
      <c r="C3101" t="inlineStr">
        <is>
          <t>Equipamiento / Accesorios</t>
        </is>
      </c>
      <c r="D3101" t="n">
        <v>2012</v>
      </c>
      <c r="E3101" t="n">
        <v>28.724376002</v>
      </c>
      <c r="F3101" t="n">
        <v>0.8713511776666666</v>
      </c>
      <c r="G3101" t="n">
        <v>13</v>
      </c>
      <c r="H3101" t="n">
        <v>0.3159183673</v>
      </c>
      <c r="I3101" t="n">
        <v>201.2</v>
      </c>
      <c r="J3101" t="n">
        <v>0</v>
      </c>
      <c r="K3101" t="inlineStr"/>
    </row>
    <row r="3102">
      <c r="A3102" t="inlineStr">
        <is>
          <t>DANMIKI16T10</t>
        </is>
      </c>
      <c r="B3102" t="inlineStr">
        <is>
          <t>DANI ORIGINAL KIDS</t>
        </is>
      </c>
      <c r="C3102" t="inlineStr">
        <is>
          <t>Manufactura / Kids / P. Superiores</t>
        </is>
      </c>
      <c r="D3102" t="n">
        <v>1</v>
      </c>
      <c r="E3102" t="n">
        <v>28.68948469</v>
      </c>
      <c r="F3102" t="n">
        <v>0.8762612839</v>
      </c>
      <c r="G3102" t="n">
        <v>0</v>
      </c>
      <c r="H3102" t="n">
        <v>3.55</v>
      </c>
      <c r="I3102" t="n">
        <v>0.1</v>
      </c>
      <c r="J3102" t="n">
        <v>7</v>
      </c>
      <c r="K3102" t="inlineStr">
        <is>
          <t>Sin stock</t>
        </is>
      </c>
    </row>
    <row r="3103">
      <c r="A3103" t="inlineStr">
        <is>
          <t>DANMIKI16T12</t>
        </is>
      </c>
      <c r="B3103" t="inlineStr">
        <is>
          <t>DANI ORIGINAL KIDS</t>
        </is>
      </c>
      <c r="C3103" t="inlineStr">
        <is>
          <t>Manufactura / Kids / P. Superiores</t>
        </is>
      </c>
      <c r="D3103" t="n">
        <v>1</v>
      </c>
      <c r="E3103" t="n">
        <v>28.68948469</v>
      </c>
      <c r="F3103" t="n">
        <v>0.8762612839</v>
      </c>
      <c r="G3103" t="n">
        <v>0</v>
      </c>
      <c r="H3103" t="n">
        <v>3.55</v>
      </c>
      <c r="I3103" t="n">
        <v>0.1</v>
      </c>
      <c r="J3103" t="n">
        <v>7</v>
      </c>
      <c r="K3103" t="inlineStr">
        <is>
          <t>Sin stock</t>
        </is>
      </c>
    </row>
    <row r="3104">
      <c r="A3104" t="inlineStr">
        <is>
          <t>DAMSTKI16T8</t>
        </is>
      </c>
      <c r="B3104" t="inlineStr">
        <is>
          <t>MANGA LARGA DAILY KIDS</t>
        </is>
      </c>
      <c r="C3104" t="inlineStr">
        <is>
          <t>Manufactura / Kids / P. Superiores</t>
        </is>
      </c>
      <c r="D3104" t="n">
        <v>1</v>
      </c>
      <c r="E3104" t="n">
        <v>28.53310183</v>
      </c>
      <c r="F3104" t="n">
        <v>0.6460251654</v>
      </c>
      <c r="G3104" t="n">
        <v>0</v>
      </c>
      <c r="H3104" t="n">
        <v>10.1</v>
      </c>
      <c r="I3104" t="n">
        <v>0.1</v>
      </c>
      <c r="J3104" t="n">
        <v>9</v>
      </c>
      <c r="K3104" t="inlineStr">
        <is>
          <t>Sin stock</t>
        </is>
      </c>
    </row>
    <row r="3105">
      <c r="A3105" t="inlineStr">
        <is>
          <t>CLAMIKI66T6</t>
        </is>
      </c>
      <c r="B3105" t="inlineStr">
        <is>
          <t>CLASICA ORIGINAL KIDS</t>
        </is>
      </c>
      <c r="C3105" t="inlineStr">
        <is>
          <t>Manufactura / Kids / P. Superiores</t>
        </is>
      </c>
      <c r="D3105" t="n">
        <v>1</v>
      </c>
      <c r="E3105" t="n">
        <v>28.51811447</v>
      </c>
      <c r="F3105" t="n">
        <v>0.9279834995</v>
      </c>
      <c r="G3105" t="n">
        <v>3</v>
      </c>
      <c r="H3105" t="n">
        <v>2.053774806</v>
      </c>
      <c r="I3105" t="n">
        <v>0.1</v>
      </c>
      <c r="J3105" t="n">
        <v>8</v>
      </c>
      <c r="K3105" t="inlineStr"/>
    </row>
    <row r="3106">
      <c r="A3106" t="inlineStr">
        <is>
          <t>DALSTKI43T6</t>
        </is>
      </c>
      <c r="B3106" t="inlineStr">
        <is>
          <t>CLASICA DAILY 2.0 KIDS</t>
        </is>
      </c>
      <c r="C3106" t="inlineStr">
        <is>
          <t>Manufactura / Kids / P. Superiores</t>
        </is>
      </c>
      <c r="D3106" t="n">
        <v>1</v>
      </c>
      <c r="E3106" t="n">
        <v>28.51811447</v>
      </c>
      <c r="F3106" t="n">
        <v>0.6949307427</v>
      </c>
      <c r="G3106" t="n">
        <v>2</v>
      </c>
      <c r="H3106" t="n">
        <v>8.699999999999999</v>
      </c>
      <c r="I3106" t="n">
        <v>0.1</v>
      </c>
      <c r="J3106" t="n">
        <v>8</v>
      </c>
      <c r="K3106" t="inlineStr"/>
    </row>
    <row r="3107">
      <c r="A3107" t="inlineStr">
        <is>
          <t>MIAMIDA05TM</t>
        </is>
      </c>
      <c r="B3107" t="inlineStr">
        <is>
          <t>MIA ORIGINAL DAMA</t>
        </is>
      </c>
      <c r="C3107" t="inlineStr">
        <is>
          <t>Manufactura / Dama / P. Superiores</t>
        </is>
      </c>
      <c r="D3107" t="n">
        <v>1</v>
      </c>
      <c r="E3107" t="n">
        <v>28.48380987</v>
      </c>
      <c r="F3107" t="n">
        <v>0.8616758074999999</v>
      </c>
      <c r="G3107" t="n">
        <v>0</v>
      </c>
      <c r="H3107" t="n">
        <v>3.94</v>
      </c>
      <c r="I3107" t="n">
        <v>0.1</v>
      </c>
      <c r="J3107" t="n">
        <v>9</v>
      </c>
      <c r="K3107" t="inlineStr">
        <is>
          <t>Sin stock</t>
        </is>
      </c>
    </row>
    <row r="3108">
      <c r="A3108" t="inlineStr">
        <is>
          <t>EXPSTKI30T14</t>
        </is>
      </c>
      <c r="B3108" t="inlineStr">
        <is>
          <t>CLASICA RETRO 2.0 KIDS</t>
        </is>
      </c>
      <c r="C3108" t="inlineStr">
        <is>
          <t>Manufactura / Kids / P. Superiores</t>
        </is>
      </c>
      <c r="D3108" t="n">
        <v>1</v>
      </c>
      <c r="E3108" t="n">
        <v>28.32181835</v>
      </c>
      <c r="F3108" t="n">
        <v>0.9646915326</v>
      </c>
      <c r="G3108" t="n">
        <v>0</v>
      </c>
      <c r="H3108" t="n">
        <v>1</v>
      </c>
      <c r="I3108" t="n">
        <v>0.1</v>
      </c>
      <c r="J3108" t="n">
        <v>9</v>
      </c>
      <c r="K3108" t="inlineStr">
        <is>
          <t>Sin stock</t>
        </is>
      </c>
    </row>
    <row r="3109">
      <c r="A3109" t="inlineStr">
        <is>
          <t>DANMIDA13TXL</t>
        </is>
      </c>
      <c r="B3109" t="inlineStr">
        <is>
          <t>DANI ORIGINAL DAMA</t>
        </is>
      </c>
      <c r="C3109" t="inlineStr">
        <is>
          <t>Manufactura / Dama / P. Superiores</t>
        </is>
      </c>
      <c r="D3109" t="n">
        <v>1</v>
      </c>
      <c r="E3109" t="n">
        <v>28.30796693</v>
      </c>
      <c r="F3109" t="n">
        <v>0.6820683018</v>
      </c>
      <c r="G3109" t="n">
        <v>0</v>
      </c>
      <c r="H3109" t="n">
        <v>9</v>
      </c>
      <c r="I3109" t="n">
        <v>0.1</v>
      </c>
      <c r="J3109" t="n">
        <v>5</v>
      </c>
      <c r="K3109" t="inlineStr">
        <is>
          <t>Sin stock</t>
        </is>
      </c>
    </row>
    <row r="3110">
      <c r="A3110" t="inlineStr">
        <is>
          <t>MIAMIDA16T2XL</t>
        </is>
      </c>
      <c r="B3110" t="inlineStr">
        <is>
          <t>MIA ORIGINAL DAMA</t>
        </is>
      </c>
      <c r="C3110" t="inlineStr">
        <is>
          <t>Manufactura / Dama / P. Superiores</t>
        </is>
      </c>
      <c r="D3110" t="n">
        <v>1</v>
      </c>
      <c r="E3110" t="n">
        <v>28.22201417</v>
      </c>
      <c r="F3110" t="n">
        <v>0.8603926716</v>
      </c>
      <c r="G3110" t="n">
        <v>0</v>
      </c>
      <c r="H3110" t="n">
        <v>3.94</v>
      </c>
      <c r="I3110" t="n">
        <v>0.1</v>
      </c>
      <c r="J3110" t="n">
        <v>8</v>
      </c>
      <c r="K3110" t="inlineStr">
        <is>
          <t>Sin stock</t>
        </is>
      </c>
    </row>
    <row r="3111">
      <c r="A3111" t="inlineStr">
        <is>
          <t>MIAMIDA05TXS</t>
        </is>
      </c>
      <c r="B3111" t="inlineStr">
        <is>
          <t>MIA ORIGINAL DAMA</t>
        </is>
      </c>
      <c r="C3111" t="inlineStr">
        <is>
          <t>Manufactura / Dama / P. Superiores</t>
        </is>
      </c>
      <c r="D3111" t="n">
        <v>1</v>
      </c>
      <c r="E3111" t="n">
        <v>28.22201417</v>
      </c>
      <c r="F3111" t="n">
        <v>0.8603926716</v>
      </c>
      <c r="G3111" t="n">
        <v>0</v>
      </c>
      <c r="H3111" t="n">
        <v>3.94</v>
      </c>
      <c r="I3111" t="n">
        <v>0.1</v>
      </c>
      <c r="J3111" t="n">
        <v>8</v>
      </c>
      <c r="K3111" t="inlineStr">
        <is>
          <t>Sin stock</t>
        </is>
      </c>
    </row>
    <row r="3112">
      <c r="A3112" t="inlineStr">
        <is>
          <t>DACSTKI30T6</t>
        </is>
      </c>
      <c r="B3112" t="inlineStr">
        <is>
          <t>CLASICA DAILY KIDS</t>
        </is>
      </c>
      <c r="C3112" t="inlineStr">
        <is>
          <t>Manufactura / Kids / P. Superiores</t>
        </is>
      </c>
      <c r="D3112" t="n">
        <v>1</v>
      </c>
      <c r="E3112" t="n">
        <v>28.04252728</v>
      </c>
      <c r="F3112" t="n">
        <v>0.6897569213</v>
      </c>
      <c r="G3112" t="n">
        <v>0</v>
      </c>
      <c r="H3112" t="n">
        <v>8.699999999999999</v>
      </c>
      <c r="I3112" t="n">
        <v>0.1</v>
      </c>
      <c r="J3112" t="n">
        <v>9</v>
      </c>
      <c r="K3112" t="inlineStr">
        <is>
          <t>Sin stock</t>
        </is>
      </c>
    </row>
    <row r="3113">
      <c r="A3113" t="inlineStr">
        <is>
          <t>CLAMIKI28T8</t>
        </is>
      </c>
      <c r="B3113" t="inlineStr">
        <is>
          <t>CLASICA ORIGINAL KIDS</t>
        </is>
      </c>
      <c r="C3113" t="inlineStr">
        <is>
          <t>Manufactura / Kids / P. Superiores</t>
        </is>
      </c>
      <c r="D3113" t="n">
        <v>1</v>
      </c>
      <c r="E3113" t="n">
        <v>28.04252728</v>
      </c>
      <c r="F3113" t="n">
        <v>0.9267621358</v>
      </c>
      <c r="G3113" t="n">
        <v>0</v>
      </c>
      <c r="H3113" t="n">
        <v>2.053774806</v>
      </c>
      <c r="I3113" t="n">
        <v>0.1</v>
      </c>
      <c r="J3113" t="n">
        <v>9</v>
      </c>
      <c r="K3113" t="inlineStr">
        <is>
          <t>Sin stock</t>
        </is>
      </c>
    </row>
    <row r="3114">
      <c r="A3114" t="inlineStr">
        <is>
          <t>MIAMIDA66TM</t>
        </is>
      </c>
      <c r="B3114" t="inlineStr">
        <is>
          <t>MIA ORIGINAL DAMA</t>
        </is>
      </c>
      <c r="C3114" t="inlineStr">
        <is>
          <t>Manufactura / Dama / P. Superiores</t>
        </is>
      </c>
      <c r="D3114" t="n">
        <v>1</v>
      </c>
      <c r="E3114" t="n">
        <v>28.04234359</v>
      </c>
      <c r="F3114" t="n">
        <v>0.8780681744000001</v>
      </c>
      <c r="G3114" t="n">
        <v>0</v>
      </c>
      <c r="H3114" t="n">
        <v>3.94</v>
      </c>
      <c r="I3114" t="n">
        <v>0.1</v>
      </c>
      <c r="J3114" t="n">
        <v>7</v>
      </c>
      <c r="K3114" t="inlineStr">
        <is>
          <t>Sin stock</t>
        </is>
      </c>
    </row>
    <row r="3115">
      <c r="A3115" t="inlineStr">
        <is>
          <t>DACSTKI30T2</t>
        </is>
      </c>
      <c r="B3115" t="inlineStr">
        <is>
          <t>CLASICA DAILY KIDS</t>
        </is>
      </c>
      <c r="C3115" t="inlineStr">
        <is>
          <t>Manufactura / Kids / P. Superiores</t>
        </is>
      </c>
      <c r="D3115" t="n">
        <v>1</v>
      </c>
      <c r="E3115" t="n">
        <v>27.95868273</v>
      </c>
      <c r="F3115" t="n">
        <v>0.6888265415</v>
      </c>
      <c r="G3115" t="n">
        <v>0</v>
      </c>
      <c r="H3115" t="n">
        <v>8.699999999999999</v>
      </c>
      <c r="I3115" t="n">
        <v>0.1</v>
      </c>
      <c r="J3115" t="n">
        <v>8</v>
      </c>
      <c r="K3115" t="inlineStr">
        <is>
          <t>Sin stock</t>
        </is>
      </c>
    </row>
    <row r="3116">
      <c r="A3116" t="inlineStr">
        <is>
          <t>CLAMIKI28T10</t>
        </is>
      </c>
      <c r="B3116" t="inlineStr">
        <is>
          <t>CLASICA ORIGINAL KIDS</t>
        </is>
      </c>
      <c r="C3116" t="inlineStr">
        <is>
          <t>Manufactura / Kids / P. Superiores</t>
        </is>
      </c>
      <c r="D3116" t="n">
        <v>1</v>
      </c>
      <c r="E3116" t="n">
        <v>27.72641049</v>
      </c>
      <c r="F3116" t="n">
        <v>0.9259271298</v>
      </c>
      <c r="G3116" t="n">
        <v>0</v>
      </c>
      <c r="H3116" t="n">
        <v>2.053774806</v>
      </c>
      <c r="I3116" t="n">
        <v>0.1</v>
      </c>
      <c r="J3116" t="n">
        <v>8</v>
      </c>
      <c r="K3116" t="inlineStr">
        <is>
          <t>Sin stock</t>
        </is>
      </c>
    </row>
    <row r="3117">
      <c r="A3117" t="inlineStr">
        <is>
          <t>ZOEMIKI53T2</t>
        </is>
      </c>
      <c r="B3117" t="inlineStr">
        <is>
          <t>ZOE ORIGINAL KIDS</t>
        </is>
      </c>
      <c r="C3117" t="inlineStr">
        <is>
          <t>Manufactura / Kids / P. Superiores</t>
        </is>
      </c>
      <c r="D3117" t="n">
        <v>1</v>
      </c>
      <c r="E3117" t="n">
        <v>27.59150356</v>
      </c>
      <c r="F3117" t="n">
        <v>0.8506786703</v>
      </c>
      <c r="G3117" t="n">
        <v>1</v>
      </c>
      <c r="H3117" t="n">
        <v>4.12</v>
      </c>
      <c r="I3117" t="n">
        <v>0.1</v>
      </c>
      <c r="J3117" t="n">
        <v>9</v>
      </c>
      <c r="K3117" t="inlineStr"/>
    </row>
    <row r="3118">
      <c r="A3118" t="inlineStr">
        <is>
          <t>MIAMIDA12TS</t>
        </is>
      </c>
      <c r="B3118" t="inlineStr">
        <is>
          <t>MIA ORIGINAL DAMA</t>
        </is>
      </c>
      <c r="C3118" t="inlineStr">
        <is>
          <t>Manufactura / Dama / P. Superiores</t>
        </is>
      </c>
      <c r="D3118" t="n">
        <v>1</v>
      </c>
      <c r="E3118" t="n">
        <v>27.54172612</v>
      </c>
      <c r="F3118" t="n">
        <v>0.8569443329999999</v>
      </c>
      <c r="G3118" t="n">
        <v>0</v>
      </c>
      <c r="H3118" t="n">
        <v>3.94</v>
      </c>
      <c r="I3118" t="n">
        <v>0.1</v>
      </c>
      <c r="J3118" t="n">
        <v>7</v>
      </c>
      <c r="K3118" t="inlineStr">
        <is>
          <t>Sin stock</t>
        </is>
      </c>
    </row>
    <row r="3119">
      <c r="A3119" t="inlineStr">
        <is>
          <t>MIAMIDA30TS</t>
        </is>
      </c>
      <c r="B3119" t="inlineStr">
        <is>
          <t>MIA ORIGINAL DAMA</t>
        </is>
      </c>
      <c r="C3119" t="inlineStr">
        <is>
          <t>Manufactura / Dama / P. Superiores</t>
        </is>
      </c>
      <c r="D3119" t="n">
        <v>1</v>
      </c>
      <c r="E3119" t="n">
        <v>27.43535449</v>
      </c>
      <c r="F3119" t="n">
        <v>0.8563896814</v>
      </c>
      <c r="G3119" t="n">
        <v>0</v>
      </c>
      <c r="H3119" t="n">
        <v>3.94</v>
      </c>
      <c r="I3119" t="n">
        <v>0.1</v>
      </c>
      <c r="J3119" t="n">
        <v>6</v>
      </c>
      <c r="K3119" t="inlineStr">
        <is>
          <t>Sin stock</t>
        </is>
      </c>
    </row>
    <row r="3120">
      <c r="A3120" t="inlineStr">
        <is>
          <t>PETMIPE43TXS</t>
        </is>
      </c>
      <c r="B3120" t="inlineStr">
        <is>
          <t>BANDANA PET</t>
        </is>
      </c>
      <c r="C3120" t="inlineStr">
        <is>
          <t>Manufactura / General</t>
        </is>
      </c>
      <c r="D3120" t="n">
        <v>5</v>
      </c>
      <c r="E3120" t="n">
        <v>27.30406003</v>
      </c>
      <c r="F3120" t="n">
        <v>0.97615902695</v>
      </c>
      <c r="G3120" t="n">
        <v>17</v>
      </c>
      <c r="H3120" t="n">
        <v>0.3252662283</v>
      </c>
      <c r="I3120" t="n">
        <v>0.5</v>
      </c>
      <c r="J3120" t="n">
        <v>0</v>
      </c>
      <c r="K3120" t="inlineStr"/>
    </row>
    <row r="3121">
      <c r="A3121" t="inlineStr">
        <is>
          <t>ZOEMIKI09T14</t>
        </is>
      </c>
      <c r="B3121" t="inlineStr">
        <is>
          <t>ZOE ORIGINAL KIDS</t>
        </is>
      </c>
      <c r="C3121" t="inlineStr">
        <is>
          <t>Manufactura / Kids / P. Superiores</t>
        </is>
      </c>
      <c r="D3121" t="n">
        <v>1</v>
      </c>
      <c r="E3121" t="n">
        <v>27.25498331</v>
      </c>
      <c r="F3121" t="n">
        <v>0.8488349836</v>
      </c>
      <c r="G3121" t="n">
        <v>0</v>
      </c>
      <c r="H3121" t="n">
        <v>4.12</v>
      </c>
      <c r="I3121" t="n">
        <v>0.1</v>
      </c>
      <c r="J3121" t="n">
        <v>9</v>
      </c>
      <c r="K3121" t="inlineStr">
        <is>
          <t>Sin stock</t>
        </is>
      </c>
    </row>
    <row r="3122">
      <c r="A3122" t="inlineStr">
        <is>
          <t>PETMIPE16TXS</t>
        </is>
      </c>
      <c r="B3122" t="inlineStr">
        <is>
          <t>BANDANA PET</t>
        </is>
      </c>
      <c r="C3122" t="inlineStr">
        <is>
          <t>Manufactura / General</t>
        </is>
      </c>
      <c r="D3122" t="n">
        <v>3</v>
      </c>
      <c r="E3122" t="n">
        <v>27.09241644</v>
      </c>
      <c r="F3122" t="n">
        <v>0.97596141645</v>
      </c>
      <c r="G3122" t="n">
        <v>16</v>
      </c>
      <c r="H3122" t="n">
        <v>0.3252662283</v>
      </c>
      <c r="I3122" t="n">
        <v>0.3</v>
      </c>
      <c r="J3122" t="n">
        <v>1</v>
      </c>
      <c r="K3122" t="inlineStr"/>
    </row>
    <row r="3123">
      <c r="A3123" t="inlineStr">
        <is>
          <t>CLAMIDA13TXL</t>
        </is>
      </c>
      <c r="B3123" t="inlineStr">
        <is>
          <t>CLASICA ORIGINAL DAMA</t>
        </is>
      </c>
      <c r="C3123" t="inlineStr">
        <is>
          <t>Manufactura / Dama / P. Superiores</t>
        </is>
      </c>
      <c r="D3123" t="n">
        <v>1</v>
      </c>
      <c r="E3123" t="n">
        <v>26.97290192</v>
      </c>
      <c r="F3123" t="n">
        <v>0.8545492954</v>
      </c>
      <c r="G3123" t="n">
        <v>1</v>
      </c>
      <c r="H3123" t="n">
        <v>3.923227589</v>
      </c>
      <c r="I3123" t="n">
        <v>0.1</v>
      </c>
      <c r="J3123" t="n">
        <v>2</v>
      </c>
      <c r="K3123" t="inlineStr"/>
    </row>
    <row r="3124">
      <c r="A3124" t="inlineStr">
        <is>
          <t>DACSTKI43T10</t>
        </is>
      </c>
      <c r="B3124" t="inlineStr">
        <is>
          <t>CLASICA DAILY KIDS</t>
        </is>
      </c>
      <c r="C3124" t="inlineStr">
        <is>
          <t>Manufactura / Kids / P. Superiores</t>
        </is>
      </c>
      <c r="D3124" t="n">
        <v>1</v>
      </c>
      <c r="E3124" t="n">
        <v>26.97187169</v>
      </c>
      <c r="F3124" t="n">
        <v>0.6774417401</v>
      </c>
      <c r="G3124" t="n">
        <v>0</v>
      </c>
      <c r="H3124" t="n">
        <v>8.699999999999999</v>
      </c>
      <c r="I3124" t="n">
        <v>0.1</v>
      </c>
      <c r="J3124" t="n">
        <v>8</v>
      </c>
      <c r="K3124" t="inlineStr">
        <is>
          <t>Sin stock</t>
        </is>
      </c>
    </row>
    <row r="3125">
      <c r="A3125" t="inlineStr">
        <is>
          <t>DACSTKI16T8</t>
        </is>
      </c>
      <c r="B3125" t="inlineStr">
        <is>
          <t>CLASICA DAILY KIDS</t>
        </is>
      </c>
      <c r="C3125" t="inlineStr">
        <is>
          <t>Manufactura / Kids / P. Superiores</t>
        </is>
      </c>
      <c r="D3125" t="n">
        <v>1</v>
      </c>
      <c r="E3125" t="n">
        <v>26.97187169</v>
      </c>
      <c r="F3125" t="n">
        <v>0.6774417401</v>
      </c>
      <c r="G3125" t="n">
        <v>0</v>
      </c>
      <c r="H3125" t="n">
        <v>8.699999999999999</v>
      </c>
      <c r="I3125" t="n">
        <v>0.1</v>
      </c>
      <c r="J3125" t="n">
        <v>8</v>
      </c>
      <c r="K3125" t="inlineStr">
        <is>
          <t>Sin stock</t>
        </is>
      </c>
    </row>
    <row r="3126">
      <c r="A3126" t="inlineStr">
        <is>
          <t>CLAMIKI28T12</t>
        </is>
      </c>
      <c r="B3126" t="inlineStr">
        <is>
          <t>CLASICA ORIGINAL KIDS</t>
        </is>
      </c>
      <c r="C3126" t="inlineStr">
        <is>
          <t>Manufactura / Kids / P. Superiores</t>
        </is>
      </c>
      <c r="D3126" t="n">
        <v>2</v>
      </c>
      <c r="E3126" t="n">
        <v>26.97187169</v>
      </c>
      <c r="F3126" t="n">
        <v>0.9238549394</v>
      </c>
      <c r="G3126" t="n">
        <v>0</v>
      </c>
      <c r="H3126" t="n">
        <v>2.053774806</v>
      </c>
      <c r="I3126" t="n">
        <v>0.2</v>
      </c>
      <c r="J3126" t="n">
        <v>1</v>
      </c>
      <c r="K3126" t="inlineStr">
        <is>
          <t>Sin stock</t>
        </is>
      </c>
    </row>
    <row r="3127">
      <c r="A3127" t="inlineStr">
        <is>
          <t>ANDMIDA48TM</t>
        </is>
      </c>
      <c r="B3127" t="inlineStr">
        <is>
          <t>ANDRE ORIGINAL DAMA</t>
        </is>
      </c>
      <c r="C3127" t="inlineStr">
        <is>
          <t>Manufactura / Dama / P. Superiores</t>
        </is>
      </c>
      <c r="D3127" t="n">
        <v>1</v>
      </c>
      <c r="E3127" t="n">
        <v>26.9523732</v>
      </c>
      <c r="F3127" t="n">
        <v>0.8785155104</v>
      </c>
      <c r="G3127" t="n">
        <v>0</v>
      </c>
      <c r="H3127" t="n">
        <v>3.274295302</v>
      </c>
      <c r="I3127" t="n">
        <v>0.1</v>
      </c>
      <c r="J3127" t="n">
        <v>8</v>
      </c>
      <c r="K3127" t="inlineStr">
        <is>
          <t>Sin stock</t>
        </is>
      </c>
    </row>
    <row r="3128">
      <c r="A3128" t="inlineStr">
        <is>
          <t>DAMSTKI16T14</t>
        </is>
      </c>
      <c r="B3128" t="inlineStr">
        <is>
          <t>MANGA LARGA DAILY KIDS</t>
        </is>
      </c>
      <c r="C3128" t="inlineStr">
        <is>
          <t>Manufactura / Kids / P. Superiores</t>
        </is>
      </c>
      <c r="D3128" t="n">
        <v>1</v>
      </c>
      <c r="E3128" t="n">
        <v>26.89902589</v>
      </c>
      <c r="F3128" t="n">
        <v>0.624521719</v>
      </c>
      <c r="G3128" t="n">
        <v>0</v>
      </c>
      <c r="H3128" t="n">
        <v>10.1</v>
      </c>
      <c r="I3128" t="n">
        <v>0.1</v>
      </c>
      <c r="J3128" t="n">
        <v>9</v>
      </c>
      <c r="K3128" t="inlineStr">
        <is>
          <t>Sin stock</t>
        </is>
      </c>
    </row>
    <row r="3129">
      <c r="A3129" t="inlineStr">
        <is>
          <t>AVESTKI30T2</t>
        </is>
      </c>
      <c r="B3129" t="inlineStr">
        <is>
          <t>CLASICA RETRO KIDS</t>
        </is>
      </c>
      <c r="C3129" t="inlineStr">
        <is>
          <t>Manufactura / Dama / P. Superiores</t>
        </is>
      </c>
      <c r="D3129" t="n">
        <v>1</v>
      </c>
      <c r="E3129" t="n">
        <v>26.64616217</v>
      </c>
      <c r="F3129" t="n">
        <v>0.9624711434</v>
      </c>
      <c r="G3129" t="n">
        <v>0</v>
      </c>
      <c r="H3129" t="n">
        <v>1</v>
      </c>
      <c r="I3129" t="n">
        <v>0.1</v>
      </c>
      <c r="J3129" t="n">
        <v>9</v>
      </c>
      <c r="K3129" t="inlineStr">
        <is>
          <t>Sin stock</t>
        </is>
      </c>
    </row>
    <row r="3130">
      <c r="A3130" t="inlineStr">
        <is>
          <t>CLAMIKI66T14</t>
        </is>
      </c>
      <c r="B3130" t="inlineStr">
        <is>
          <t>CLASICA ORIGINAL KIDS</t>
        </is>
      </c>
      <c r="C3130" t="inlineStr">
        <is>
          <t>Manufactura / Kids / P. Superiores</t>
        </is>
      </c>
      <c r="D3130" t="n">
        <v>2</v>
      </c>
      <c r="E3130" t="n">
        <v>26.62127735</v>
      </c>
      <c r="F3130" t="n">
        <v>0.9228521314</v>
      </c>
      <c r="G3130" t="n">
        <v>0</v>
      </c>
      <c r="H3130" t="n">
        <v>2.053774806</v>
      </c>
      <c r="I3130" t="n">
        <v>0.2</v>
      </c>
      <c r="J3130" t="n">
        <v>3</v>
      </c>
      <c r="K3130" t="inlineStr">
        <is>
          <t>Sin stock</t>
        </is>
      </c>
    </row>
    <row r="3131">
      <c r="A3131" t="inlineStr">
        <is>
          <t>DALSTKI30T2</t>
        </is>
      </c>
      <c r="B3131" t="inlineStr">
        <is>
          <t>CLASICA DAILY 2.0 KIDS</t>
        </is>
      </c>
      <c r="C3131" t="inlineStr">
        <is>
          <t>Manufactura / Kids / P. Superiores</t>
        </is>
      </c>
      <c r="D3131" t="n">
        <v>1</v>
      </c>
      <c r="E3131" t="n">
        <v>26.61422836</v>
      </c>
      <c r="F3131" t="n">
        <v>0.673107186</v>
      </c>
      <c r="G3131" t="n">
        <v>0</v>
      </c>
      <c r="H3131" t="n">
        <v>8.699999999999999</v>
      </c>
      <c r="I3131" t="n">
        <v>0.1</v>
      </c>
      <c r="J3131" t="n">
        <v>7</v>
      </c>
      <c r="K3131" t="inlineStr">
        <is>
          <t>Sin stock</t>
        </is>
      </c>
    </row>
    <row r="3132">
      <c r="A3132" t="inlineStr">
        <is>
          <t>CLAMIKI70T1</t>
        </is>
      </c>
      <c r="B3132" t="inlineStr">
        <is>
          <t>CLASICA ORIGINAL KIDS</t>
        </is>
      </c>
      <c r="C3132" t="inlineStr">
        <is>
          <t>Manufactura / Kids / P. Superiores</t>
        </is>
      </c>
      <c r="D3132" t="n">
        <v>1</v>
      </c>
      <c r="E3132" t="n">
        <v>26.61422836</v>
      </c>
      <c r="F3132" t="n">
        <v>0.9228316982</v>
      </c>
      <c r="G3132" t="n">
        <v>0</v>
      </c>
      <c r="H3132" t="n">
        <v>2.053774806</v>
      </c>
      <c r="I3132" t="n">
        <v>0.1</v>
      </c>
      <c r="J3132" t="n">
        <v>7</v>
      </c>
      <c r="K3132" t="inlineStr">
        <is>
          <t>Sin stock</t>
        </is>
      </c>
    </row>
    <row r="3133">
      <c r="A3133" t="inlineStr">
        <is>
          <t>CLAMIKI01T2</t>
        </is>
      </c>
      <c r="B3133" t="inlineStr">
        <is>
          <t>CLASICA ORIGINAL KIDS</t>
        </is>
      </c>
      <c r="C3133" t="inlineStr">
        <is>
          <t>Manufactura / Kids / P. Superiores</t>
        </is>
      </c>
      <c r="D3133" t="n">
        <v>1</v>
      </c>
      <c r="E3133" t="n">
        <v>26.40124562</v>
      </c>
      <c r="F3133" t="n">
        <v>0.9222091702</v>
      </c>
      <c r="G3133" t="n">
        <v>2</v>
      </c>
      <c r="H3133" t="n">
        <v>2.053774806</v>
      </c>
      <c r="I3133" t="n">
        <v>0.1</v>
      </c>
      <c r="J3133" t="n">
        <v>8</v>
      </c>
      <c r="K3133" t="inlineStr"/>
    </row>
    <row r="3134">
      <c r="A3134" t="inlineStr">
        <is>
          <t>AVESTKI16T8</t>
        </is>
      </c>
      <c r="B3134" t="inlineStr">
        <is>
          <t>CLASICA RETRO KIDS</t>
        </is>
      </c>
      <c r="C3134" t="inlineStr">
        <is>
          <t>Manufactura / Dama / P. Superiores</t>
        </is>
      </c>
      <c r="D3134" t="n">
        <v>1</v>
      </c>
      <c r="E3134" t="n">
        <v>26.40124562</v>
      </c>
      <c r="F3134" t="n">
        <v>0.9621229993</v>
      </c>
      <c r="G3134" t="n">
        <v>0</v>
      </c>
      <c r="H3134" t="n">
        <v>1</v>
      </c>
      <c r="I3134" t="n">
        <v>0.1</v>
      </c>
      <c r="J3134" t="n">
        <v>8</v>
      </c>
      <c r="K3134" t="inlineStr">
        <is>
          <t>Sin stock</t>
        </is>
      </c>
    </row>
    <row r="3135">
      <c r="A3135" t="inlineStr">
        <is>
          <t>DANMIKI66T8</t>
        </is>
      </c>
      <c r="B3135" t="inlineStr">
        <is>
          <t>DANI ORIGINAL KIDS</t>
        </is>
      </c>
      <c r="C3135" t="inlineStr">
        <is>
          <t>Manufactura / Kids / P. Superiores</t>
        </is>
      </c>
      <c r="D3135" t="n">
        <v>1</v>
      </c>
      <c r="E3135" t="n">
        <v>26.37712875</v>
      </c>
      <c r="F3135" t="n">
        <v>0.8654137062</v>
      </c>
      <c r="G3135" t="n">
        <v>10</v>
      </c>
      <c r="H3135" t="n">
        <v>3.55</v>
      </c>
      <c r="I3135" t="n">
        <v>0.1</v>
      </c>
      <c r="J3135" t="n">
        <v>4</v>
      </c>
      <c r="K3135" t="inlineStr"/>
    </row>
    <row r="3136">
      <c r="A3136" t="inlineStr">
        <is>
          <t>CLAMIKI34T2</t>
        </is>
      </c>
      <c r="B3136" t="inlineStr">
        <is>
          <t>CLASICA ORIGINAL KIDS</t>
        </is>
      </c>
      <c r="C3136" t="inlineStr">
        <is>
          <t>Manufactura / Kids / P. Superiores</t>
        </is>
      </c>
      <c r="D3136" t="n">
        <v>1</v>
      </c>
      <c r="E3136" t="n">
        <v>26.34045777</v>
      </c>
      <c r="F3136" t="n">
        <v>0.9220296464</v>
      </c>
      <c r="G3136" t="n">
        <v>1</v>
      </c>
      <c r="H3136" t="n">
        <v>2.053774806</v>
      </c>
      <c r="I3136" t="n">
        <v>0.1</v>
      </c>
      <c r="J3136" t="n">
        <v>2</v>
      </c>
      <c r="K3136" t="inlineStr"/>
    </row>
    <row r="3137">
      <c r="A3137" t="inlineStr">
        <is>
          <t>MAFMEDA13TS</t>
        </is>
      </c>
      <c r="B3137" t="inlineStr">
        <is>
          <t>MAFE SPORT DAMA</t>
        </is>
      </c>
      <c r="C3137" t="inlineStr">
        <is>
          <t>Manufactura / Dama / P. Superiores</t>
        </is>
      </c>
      <c r="D3137" t="n">
        <v>1</v>
      </c>
      <c r="E3137" t="n">
        <v>26.23676378</v>
      </c>
      <c r="F3137" t="n">
        <v>0.796087656</v>
      </c>
      <c r="G3137" t="n">
        <v>0</v>
      </c>
      <c r="H3137" t="n">
        <v>5.35</v>
      </c>
      <c r="I3137" t="n">
        <v>0.1</v>
      </c>
      <c r="J3137" t="n">
        <v>9</v>
      </c>
      <c r="K3137" t="inlineStr">
        <is>
          <t>Sin stock</t>
        </is>
      </c>
    </row>
    <row r="3138">
      <c r="A3138" t="inlineStr">
        <is>
          <t>CLAMICA50T3XL</t>
        </is>
      </c>
      <c r="B3138" t="inlineStr">
        <is>
          <t>CLASICA ORIGINAL CAB</t>
        </is>
      </c>
      <c r="C3138" t="inlineStr">
        <is>
          <t>Manufactura / Caballero / P. Superiores</t>
        </is>
      </c>
      <c r="D3138" t="n">
        <v>1</v>
      </c>
      <c r="E3138" t="n">
        <v>26.09890614</v>
      </c>
      <c r="F3138" t="n">
        <v>0.8238070779</v>
      </c>
      <c r="G3138" t="n">
        <v>0</v>
      </c>
      <c r="H3138" t="n">
        <v>4.598442536</v>
      </c>
      <c r="I3138" t="n">
        <v>0.1</v>
      </c>
      <c r="J3138" t="n">
        <v>6</v>
      </c>
      <c r="K3138" t="inlineStr">
        <is>
          <t>Sin stock</t>
        </is>
      </c>
    </row>
    <row r="3139">
      <c r="A3139" t="inlineStr">
        <is>
          <t>MANMIGE70TG</t>
        </is>
      </c>
      <c r="B3139" t="inlineStr">
        <is>
          <t>MANGAS GENERAL</t>
        </is>
      </c>
      <c r="C3139" t="inlineStr">
        <is>
          <t>Manufactura / General</t>
        </is>
      </c>
      <c r="D3139" t="n">
        <v>2</v>
      </c>
      <c r="E3139" t="n">
        <v>25.99374626</v>
      </c>
      <c r="F3139" t="n">
        <v>0.929213739</v>
      </c>
      <c r="G3139" t="n">
        <v>7</v>
      </c>
      <c r="H3139" t="n">
        <v>0.92</v>
      </c>
      <c r="I3139" t="n">
        <v>0.2</v>
      </c>
      <c r="J3139" t="n">
        <v>1</v>
      </c>
      <c r="K3139" t="inlineStr"/>
    </row>
    <row r="3140">
      <c r="A3140" t="inlineStr">
        <is>
          <t>SHOSUKI104T6</t>
        </is>
      </c>
      <c r="B3140" t="inlineStr">
        <is>
          <t>SHORT PLAYA ESTAMPADO KIDS</t>
        </is>
      </c>
      <c r="C3140" t="inlineStr">
        <is>
          <t>Manufactura / Kids / P. Superiores</t>
        </is>
      </c>
      <c r="D3140" t="n">
        <v>1</v>
      </c>
      <c r="E3140" t="n">
        <v>25.89059259</v>
      </c>
      <c r="F3140" t="n">
        <v>0.7215204721</v>
      </c>
      <c r="G3140" t="n">
        <v>0</v>
      </c>
      <c r="H3140" t="n">
        <v>7.21</v>
      </c>
      <c r="I3140" t="n">
        <v>0.1</v>
      </c>
      <c r="J3140" t="n">
        <v>9</v>
      </c>
      <c r="K3140" t="inlineStr">
        <is>
          <t>Sin stock</t>
        </is>
      </c>
    </row>
    <row r="3141">
      <c r="A3141" t="inlineStr">
        <is>
          <t>DALSTKI16T8</t>
        </is>
      </c>
      <c r="B3141" t="inlineStr">
        <is>
          <t>CLASICA DAILY 2.0 KIDS</t>
        </is>
      </c>
      <c r="C3141" t="inlineStr">
        <is>
          <t>Manufactura / Kids / P. Superiores</t>
        </is>
      </c>
      <c r="D3141" t="n">
        <v>1</v>
      </c>
      <c r="E3141" t="n">
        <v>25.76484056</v>
      </c>
      <c r="F3141" t="n">
        <v>0.6623305322</v>
      </c>
      <c r="G3141" t="n">
        <v>4</v>
      </c>
      <c r="H3141" t="n">
        <v>8.699999999999999</v>
      </c>
      <c r="I3141" t="n">
        <v>0.1</v>
      </c>
      <c r="J3141" t="n">
        <v>7</v>
      </c>
      <c r="K3141" t="inlineStr"/>
    </row>
    <row r="3142">
      <c r="A3142" t="inlineStr">
        <is>
          <t>MARMIKI39T6</t>
        </is>
      </c>
      <c r="B3142" t="inlineStr">
        <is>
          <t>MAR ORIGINAL KIDS</t>
        </is>
      </c>
      <c r="C3142" t="inlineStr">
        <is>
          <t>Manufactura / Kids / P. Superiores</t>
        </is>
      </c>
      <c r="D3142" t="n">
        <v>1</v>
      </c>
      <c r="E3142" t="n">
        <v>25.60556791</v>
      </c>
      <c r="F3142" t="n">
        <v>0.8762763887</v>
      </c>
      <c r="G3142" t="n">
        <v>0</v>
      </c>
      <c r="H3142" t="n">
        <v>3.168013332</v>
      </c>
      <c r="I3142" t="n">
        <v>0.1</v>
      </c>
      <c r="J3142" t="n">
        <v>7</v>
      </c>
      <c r="K3142" t="inlineStr">
        <is>
          <t>Sin stock</t>
        </is>
      </c>
    </row>
    <row r="3143">
      <c r="A3143" t="inlineStr">
        <is>
          <t>MIAMIDA66TXS</t>
        </is>
      </c>
      <c r="B3143" t="inlineStr">
        <is>
          <t>MIA ORIGINAL DAMA</t>
        </is>
      </c>
      <c r="C3143" t="inlineStr">
        <is>
          <t>Manufactura / Dama / P. Superiores</t>
        </is>
      </c>
      <c r="D3143" t="n">
        <v>1</v>
      </c>
      <c r="E3143" t="n">
        <v>25.60313881</v>
      </c>
      <c r="F3143" t="n">
        <v>0.8461126181</v>
      </c>
      <c r="G3143" t="n">
        <v>0</v>
      </c>
      <c r="H3143" t="n">
        <v>3.94</v>
      </c>
      <c r="I3143" t="n">
        <v>0.1</v>
      </c>
      <c r="J3143" t="n">
        <v>9</v>
      </c>
      <c r="K3143" t="inlineStr">
        <is>
          <t>Sin stock</t>
        </is>
      </c>
    </row>
    <row r="3144">
      <c r="A3144" t="inlineStr">
        <is>
          <t>PETMIPE34TXS</t>
        </is>
      </c>
      <c r="B3144" t="inlineStr">
        <is>
          <t>BANDANA PET</t>
        </is>
      </c>
      <c r="C3144" t="inlineStr">
        <is>
          <t>Manufactura / General</t>
        </is>
      </c>
      <c r="D3144" t="n">
        <v>2</v>
      </c>
      <c r="E3144" t="n">
        <v>25.46191357</v>
      </c>
      <c r="F3144" t="n">
        <v>0.97619239425</v>
      </c>
      <c r="G3144" t="n">
        <v>0</v>
      </c>
      <c r="H3144" t="n">
        <v>0.3252662283</v>
      </c>
      <c r="I3144" t="n">
        <v>0.2</v>
      </c>
      <c r="J3144" t="n">
        <v>4</v>
      </c>
      <c r="K3144" t="inlineStr">
        <is>
          <t>Sin stock</t>
        </is>
      </c>
    </row>
    <row r="3145">
      <c r="A3145" t="inlineStr">
        <is>
          <t>CLAMIKI09T10</t>
        </is>
      </c>
      <c r="B3145" t="inlineStr">
        <is>
          <t>CLASICA ORIGINAL KIDS</t>
        </is>
      </c>
      <c r="C3145" t="inlineStr">
        <is>
          <t>Manufactura / Kids / P. Superiores</t>
        </is>
      </c>
      <c r="D3145" t="n">
        <v>1</v>
      </c>
      <c r="E3145" t="n">
        <v>25.28046361</v>
      </c>
      <c r="F3145" t="n">
        <v>0.9187603978</v>
      </c>
      <c r="G3145" t="n">
        <v>0</v>
      </c>
      <c r="H3145" t="n">
        <v>2.053774806</v>
      </c>
      <c r="I3145" t="n">
        <v>0.1</v>
      </c>
      <c r="J3145" t="n">
        <v>9</v>
      </c>
      <c r="K3145" t="inlineStr">
        <is>
          <t>Sin stock</t>
        </is>
      </c>
    </row>
    <row r="3146">
      <c r="A3146" t="inlineStr">
        <is>
          <t>CLAMIKI16T1</t>
        </is>
      </c>
      <c r="B3146" t="inlineStr">
        <is>
          <t>CLASICA ORIGINAL KIDS</t>
        </is>
      </c>
      <c r="C3146" t="inlineStr">
        <is>
          <t>Manufactura / Kids / P. Superiores</t>
        </is>
      </c>
      <c r="D3146" t="n">
        <v>1</v>
      </c>
      <c r="E3146" t="n">
        <v>25.28046361</v>
      </c>
      <c r="F3146" t="n">
        <v>0.9187603978</v>
      </c>
      <c r="G3146" t="n">
        <v>0</v>
      </c>
      <c r="H3146" t="n">
        <v>2.053774806</v>
      </c>
      <c r="I3146" t="n">
        <v>0.1</v>
      </c>
      <c r="J3146" t="n">
        <v>9</v>
      </c>
      <c r="K3146" t="inlineStr">
        <is>
          <t>Sin stock</t>
        </is>
      </c>
    </row>
    <row r="3147">
      <c r="A3147" t="inlineStr">
        <is>
          <t>DALSTKI16T14</t>
        </is>
      </c>
      <c r="B3147" t="inlineStr">
        <is>
          <t>CLASICA DAILY 2.0 KIDS</t>
        </is>
      </c>
      <c r="C3147" t="inlineStr">
        <is>
          <t>Manufactura / Kids / P. Superiores</t>
        </is>
      </c>
      <c r="D3147" t="n">
        <v>1</v>
      </c>
      <c r="E3147" t="n">
        <v>25.22148854</v>
      </c>
      <c r="F3147" t="n">
        <v>0.6550560452999999</v>
      </c>
      <c r="G3147" t="n">
        <v>2</v>
      </c>
      <c r="H3147" t="n">
        <v>8.699999999999999</v>
      </c>
      <c r="I3147" t="n">
        <v>0.1</v>
      </c>
      <c r="J3147" t="n">
        <v>7</v>
      </c>
      <c r="K3147" t="inlineStr"/>
    </row>
    <row r="3148">
      <c r="A3148" t="inlineStr">
        <is>
          <t>MANMIGE04TP</t>
        </is>
      </c>
      <c r="B3148" t="inlineStr">
        <is>
          <t>MANGAS GENERAL</t>
        </is>
      </c>
      <c r="C3148" t="inlineStr">
        <is>
          <t>Manufactura / General</t>
        </is>
      </c>
      <c r="D3148" t="n">
        <v>2</v>
      </c>
      <c r="E3148" t="n">
        <v>25.12564993</v>
      </c>
      <c r="F3148" t="n">
        <v>0.92667927375</v>
      </c>
      <c r="G3148" t="n">
        <v>4</v>
      </c>
      <c r="H3148" t="n">
        <v>0.92</v>
      </c>
      <c r="I3148" t="n">
        <v>0.2</v>
      </c>
      <c r="J3148" t="n">
        <v>1</v>
      </c>
      <c r="K3148" t="inlineStr"/>
    </row>
    <row r="3149">
      <c r="A3149" t="inlineStr">
        <is>
          <t>BUFMIGE39TUN</t>
        </is>
      </c>
      <c r="B3149" t="inlineStr">
        <is>
          <t>FLEX COVER</t>
        </is>
      </c>
      <c r="C3149" t="inlineStr">
        <is>
          <t>Manufactura / General</t>
        </is>
      </c>
      <c r="D3149" t="n">
        <v>2</v>
      </c>
      <c r="E3149" t="n">
        <v>25.075285358</v>
      </c>
      <c r="F3149" t="n">
        <v>0.81114201555</v>
      </c>
      <c r="G3149" t="n">
        <v>5</v>
      </c>
      <c r="H3149" t="n">
        <v>2.21</v>
      </c>
      <c r="I3149" t="n">
        <v>0.2</v>
      </c>
      <c r="J3149" t="n">
        <v>3</v>
      </c>
      <c r="K3149" t="inlineStr"/>
    </row>
    <row r="3150">
      <c r="A3150" t="inlineStr">
        <is>
          <t>DANMIKI13T12</t>
        </is>
      </c>
      <c r="B3150" t="inlineStr">
        <is>
          <t>DANI ORIGINAL KIDS</t>
        </is>
      </c>
      <c r="C3150" t="inlineStr">
        <is>
          <t>Manufactura / Kids / P. Superiores</t>
        </is>
      </c>
      <c r="D3150" t="n">
        <v>1</v>
      </c>
      <c r="E3150" t="n">
        <v>25</v>
      </c>
      <c r="F3150" t="n">
        <v>0.858</v>
      </c>
      <c r="G3150" t="n">
        <v>0</v>
      </c>
      <c r="H3150" t="n">
        <v>3.55</v>
      </c>
      <c r="I3150" t="n">
        <v>0.1</v>
      </c>
      <c r="J3150" t="n">
        <v>1</v>
      </c>
      <c r="K3150" t="inlineStr">
        <is>
          <t>Sin stock</t>
        </is>
      </c>
    </row>
    <row r="3151">
      <c r="A3151" t="inlineStr">
        <is>
          <t>DANMIKI04T8</t>
        </is>
      </c>
      <c r="B3151" t="inlineStr">
        <is>
          <t>DANI ORIGINAL KIDS</t>
        </is>
      </c>
      <c r="C3151" t="inlineStr">
        <is>
          <t>Manufactura / Kids / P. Superiores</t>
        </is>
      </c>
      <c r="D3151" t="n">
        <v>1</v>
      </c>
      <c r="E3151" t="n">
        <v>25</v>
      </c>
      <c r="F3151" t="n">
        <v>0.858</v>
      </c>
      <c r="G3151" t="n">
        <v>0</v>
      </c>
      <c r="H3151" t="n">
        <v>3.55</v>
      </c>
      <c r="I3151" t="n">
        <v>0.1</v>
      </c>
      <c r="J3151" t="n">
        <v>0</v>
      </c>
      <c r="K3151" t="inlineStr">
        <is>
          <t>Sin stock</t>
        </is>
      </c>
    </row>
    <row r="3152">
      <c r="A3152" t="inlineStr">
        <is>
          <t>CLAMIKI04T6</t>
        </is>
      </c>
      <c r="B3152" t="inlineStr">
        <is>
          <t>CLASICA ORIGINAL KIDS</t>
        </is>
      </c>
      <c r="C3152" t="inlineStr">
        <is>
          <t>Manufactura / Kids / P. Superiores</t>
        </is>
      </c>
      <c r="D3152" t="n">
        <v>1</v>
      </c>
      <c r="E3152" t="n">
        <v>24.81975645</v>
      </c>
      <c r="F3152" t="n">
        <v>0.9172524191</v>
      </c>
      <c r="G3152" t="n">
        <v>0</v>
      </c>
      <c r="H3152" t="n">
        <v>2.053774806</v>
      </c>
      <c r="I3152" t="n">
        <v>0.1</v>
      </c>
      <c r="J3152" t="n">
        <v>7</v>
      </c>
      <c r="K3152" t="inlineStr">
        <is>
          <t>Sin stock</t>
        </is>
      </c>
    </row>
    <row r="3153">
      <c r="A3153" t="inlineStr">
        <is>
          <t>PETMIPE40TS</t>
        </is>
      </c>
      <c r="B3153" t="inlineStr">
        <is>
          <t>BANDANA PET</t>
        </is>
      </c>
      <c r="C3153" t="inlineStr">
        <is>
          <t>Manufactura / General</t>
        </is>
      </c>
      <c r="D3153" t="n">
        <v>2</v>
      </c>
      <c r="E3153" t="n">
        <v>24.78423386</v>
      </c>
      <c r="F3153" t="n">
        <v>0.97372585915</v>
      </c>
      <c r="G3153" t="n">
        <v>29</v>
      </c>
      <c r="H3153" t="n">
        <v>0.3252662283</v>
      </c>
      <c r="I3153" t="n">
        <v>0.2</v>
      </c>
      <c r="J3153" t="n">
        <v>0</v>
      </c>
      <c r="K3153" t="inlineStr"/>
    </row>
    <row r="3154">
      <c r="A3154" t="inlineStr">
        <is>
          <t>SHOSUKI54T6</t>
        </is>
      </c>
      <c r="B3154" t="inlineStr">
        <is>
          <t>SHORT PLAYA ESTAMPADO KIDS</t>
        </is>
      </c>
      <c r="C3154" t="inlineStr">
        <is>
          <t>Manufactura / Kids / P. Superiores</t>
        </is>
      </c>
      <c r="D3154" t="n">
        <v>1</v>
      </c>
      <c r="E3154" t="n">
        <v>24.77726166</v>
      </c>
      <c r="F3154" t="n">
        <v>0.7090073916</v>
      </c>
      <c r="G3154" t="n">
        <v>0</v>
      </c>
      <c r="H3154" t="n">
        <v>7.21</v>
      </c>
      <c r="I3154" t="n">
        <v>0.1</v>
      </c>
      <c r="J3154" t="n">
        <v>9</v>
      </c>
      <c r="K3154" t="inlineStr">
        <is>
          <t>Sin stock</t>
        </is>
      </c>
    </row>
    <row r="3155">
      <c r="A3155" t="inlineStr">
        <is>
          <t>MAFMIDA12TS</t>
        </is>
      </c>
      <c r="B3155" t="inlineStr">
        <is>
          <t>MAFE ORIGINAL DAMA</t>
        </is>
      </c>
      <c r="C3155" t="inlineStr">
        <is>
          <t>Manufactura / Dama / P. Superiores</t>
        </is>
      </c>
      <c r="D3155" t="n">
        <v>1</v>
      </c>
      <c r="E3155" t="n">
        <v>24.62262815</v>
      </c>
      <c r="F3155" t="n">
        <v>0.8152846771</v>
      </c>
      <c r="G3155" t="n">
        <v>1</v>
      </c>
      <c r="H3155" t="n">
        <v>4.54817671</v>
      </c>
      <c r="I3155" t="n">
        <v>0.1</v>
      </c>
      <c r="J3155" t="n">
        <v>3</v>
      </c>
      <c r="K3155" t="inlineStr"/>
    </row>
    <row r="3156">
      <c r="A3156" t="inlineStr">
        <is>
          <t>DANMIKI70T8</t>
        </is>
      </c>
      <c r="B3156" t="inlineStr">
        <is>
          <t>DANI ORIGINAL KIDS</t>
        </is>
      </c>
      <c r="C3156" t="inlineStr">
        <is>
          <t>Manufactura / Kids / P. Superiores</t>
        </is>
      </c>
      <c r="D3156" t="n">
        <v>1</v>
      </c>
      <c r="E3156" t="n">
        <v>24.61185686</v>
      </c>
      <c r="F3156" t="n">
        <v>0.8605026977333333</v>
      </c>
      <c r="G3156" t="n">
        <v>4</v>
      </c>
      <c r="H3156" t="n">
        <v>3.549999999999999</v>
      </c>
      <c r="I3156" t="n">
        <v>0.1</v>
      </c>
      <c r="J3156" t="n">
        <v>1</v>
      </c>
      <c r="K3156" t="inlineStr"/>
    </row>
    <row r="3157">
      <c r="A3157" t="inlineStr">
        <is>
          <t>BUFMIGE52TUN</t>
        </is>
      </c>
      <c r="B3157" t="inlineStr">
        <is>
          <t>FLEX COVER</t>
        </is>
      </c>
      <c r="C3157" t="inlineStr">
        <is>
          <t>Manufactura / General</t>
        </is>
      </c>
      <c r="D3157" t="n">
        <v>2</v>
      </c>
      <c r="E3157" t="n">
        <v>24.574724081</v>
      </c>
      <c r="F3157" t="n">
        <v>0.7964049064499999</v>
      </c>
      <c r="G3157" t="n">
        <v>5</v>
      </c>
      <c r="H3157" t="n">
        <v>2.21</v>
      </c>
      <c r="I3157" t="n">
        <v>0.2</v>
      </c>
      <c r="J3157" t="n">
        <v>4</v>
      </c>
      <c r="K3157" t="inlineStr"/>
    </row>
    <row r="3158">
      <c r="A3158" t="inlineStr">
        <is>
          <t>MARMICA05TM</t>
        </is>
      </c>
      <c r="B3158" t="inlineStr">
        <is>
          <t>MAR ORIGINAL CAB</t>
        </is>
      </c>
      <c r="C3158" t="inlineStr">
        <is>
          <t>Manufactura / Caballero / P. Superiores</t>
        </is>
      </c>
      <c r="D3158" t="n">
        <v>1</v>
      </c>
      <c r="E3158" t="n">
        <v>24.3992917</v>
      </c>
      <c r="F3158" t="n">
        <v>0.7972745485</v>
      </c>
      <c r="G3158" t="n">
        <v>0</v>
      </c>
      <c r="H3158" t="n">
        <v>4.946357428</v>
      </c>
      <c r="I3158" t="n">
        <v>0.1</v>
      </c>
      <c r="J3158" t="n">
        <v>8</v>
      </c>
      <c r="K3158" t="inlineStr">
        <is>
          <t>Sin stock</t>
        </is>
      </c>
    </row>
    <row r="3159">
      <c r="A3159" t="inlineStr">
        <is>
          <t>CLASTKI43T2</t>
        </is>
      </c>
      <c r="B3159" t="inlineStr">
        <is>
          <t>CLASICA ALGODON STRETCH KIDS</t>
        </is>
      </c>
      <c r="C3159" t="inlineStr">
        <is>
          <t>Manufactura / Dama / P. Superiores</t>
        </is>
      </c>
      <c r="D3159" t="n">
        <v>1</v>
      </c>
      <c r="E3159" t="n">
        <v>24.36731938</v>
      </c>
      <c r="F3159" t="n">
        <v>0.6195724341</v>
      </c>
      <c r="G3159" t="n">
        <v>0</v>
      </c>
      <c r="H3159" t="n">
        <v>9.27</v>
      </c>
      <c r="I3159" t="n">
        <v>0.1</v>
      </c>
      <c r="J3159" t="n">
        <v>6</v>
      </c>
      <c r="K3159" t="inlineStr">
        <is>
          <t>Sin stock</t>
        </is>
      </c>
    </row>
    <row r="3160">
      <c r="A3160" t="inlineStr">
        <is>
          <t>PETMIPE11TXL</t>
        </is>
      </c>
      <c r="B3160" t="inlineStr">
        <is>
          <t>BANDANA PET</t>
        </is>
      </c>
      <c r="C3160" t="inlineStr">
        <is>
          <t>Manufactura / General</t>
        </is>
      </c>
      <c r="D3160" t="n">
        <v>2</v>
      </c>
      <c r="E3160" t="n">
        <v>24.00040707</v>
      </c>
      <c r="F3160" t="n">
        <v>0.9721206996</v>
      </c>
      <c r="G3160" t="n">
        <v>0</v>
      </c>
      <c r="H3160" t="n">
        <v>0.3252662283</v>
      </c>
      <c r="I3160" t="n">
        <v>0.2</v>
      </c>
      <c r="J3160" t="n">
        <v>1</v>
      </c>
      <c r="K3160" t="inlineStr">
        <is>
          <t>Sin stock</t>
        </is>
      </c>
    </row>
    <row r="3161">
      <c r="A3161" t="inlineStr">
        <is>
          <t>PETMIPE30TS</t>
        </is>
      </c>
      <c r="B3161" t="inlineStr">
        <is>
          <t>BANDANA PET</t>
        </is>
      </c>
      <c r="C3161" t="inlineStr">
        <is>
          <t>Manufactura / General</t>
        </is>
      </c>
      <c r="D3161" t="n">
        <v>10</v>
      </c>
      <c r="E3161" t="n">
        <v>24</v>
      </c>
      <c r="F3161" t="n">
        <v>0.972894481</v>
      </c>
      <c r="G3161" t="n">
        <v>9</v>
      </c>
      <c r="H3161" t="n">
        <v>0.3252662283</v>
      </c>
      <c r="I3161" t="n">
        <v>1</v>
      </c>
      <c r="J3161" t="n">
        <v>0</v>
      </c>
      <c r="K3161" t="inlineStr"/>
    </row>
    <row r="3162">
      <c r="A3162" t="inlineStr">
        <is>
          <t>AVESTKI30T12</t>
        </is>
      </c>
      <c r="B3162" t="inlineStr">
        <is>
          <t>CLASICA RETRO KIDS</t>
        </is>
      </c>
      <c r="C3162" t="inlineStr">
        <is>
          <t>Manufactura / Dama / P. Superiores</t>
        </is>
      </c>
      <c r="D3162" t="n">
        <v>1</v>
      </c>
      <c r="E3162" t="n">
        <v>23.97972592</v>
      </c>
      <c r="F3162" t="n">
        <v>0.9582981055000001</v>
      </c>
      <c r="G3162" t="n">
        <v>0</v>
      </c>
      <c r="H3162" t="n">
        <v>1</v>
      </c>
      <c r="I3162" t="n">
        <v>0.1</v>
      </c>
      <c r="J3162" t="n">
        <v>7</v>
      </c>
      <c r="K3162" t="inlineStr">
        <is>
          <t>Sin stock</t>
        </is>
      </c>
    </row>
    <row r="3163">
      <c r="A3163" t="inlineStr">
        <is>
          <t>CLAMIKI09T8</t>
        </is>
      </c>
      <c r="B3163" t="inlineStr">
        <is>
          <t>CLASICA ORIGINAL KIDS</t>
        </is>
      </c>
      <c r="C3163" t="inlineStr">
        <is>
          <t>Manufactura / Kids / P. Superiores</t>
        </is>
      </c>
      <c r="D3163" t="n">
        <v>1</v>
      </c>
      <c r="E3163" t="n">
        <v>23.95133941</v>
      </c>
      <c r="F3163" t="n">
        <v>0.914252194</v>
      </c>
      <c r="G3163" t="n">
        <v>0</v>
      </c>
      <c r="H3163" t="n">
        <v>2.053774806</v>
      </c>
      <c r="I3163" t="n">
        <v>0.1</v>
      </c>
      <c r="J3163" t="n">
        <v>9</v>
      </c>
      <c r="K3163" t="inlineStr">
        <is>
          <t>Sin stock</t>
        </is>
      </c>
    </row>
    <row r="3164">
      <c r="A3164" t="inlineStr">
        <is>
          <t>CLAMIKI39T4</t>
        </is>
      </c>
      <c r="B3164" t="inlineStr">
        <is>
          <t>CLASICA ORIGINAL KIDS</t>
        </is>
      </c>
      <c r="C3164" t="inlineStr">
        <is>
          <t>Manufactura / Kids / P. Superiores</t>
        </is>
      </c>
      <c r="D3164" t="n">
        <v>1</v>
      </c>
      <c r="E3164" t="n">
        <v>23.71159917</v>
      </c>
      <c r="F3164" t="n">
        <v>0.9133852259</v>
      </c>
      <c r="G3164" t="n">
        <v>0</v>
      </c>
      <c r="H3164" t="n">
        <v>2.053774806</v>
      </c>
      <c r="I3164" t="n">
        <v>0.1</v>
      </c>
      <c r="J3164" t="n">
        <v>9</v>
      </c>
      <c r="K3164" t="inlineStr">
        <is>
          <t>Sin stock</t>
        </is>
      </c>
    </row>
    <row r="3165">
      <c r="A3165" t="inlineStr">
        <is>
          <t>DANMIKI52T10</t>
        </is>
      </c>
      <c r="B3165" t="inlineStr">
        <is>
          <t>DANI ORIGINAL KIDS</t>
        </is>
      </c>
      <c r="C3165" t="inlineStr">
        <is>
          <t>Manufactura / Kids / P. Superiores</t>
        </is>
      </c>
      <c r="D3165" t="n">
        <v>1</v>
      </c>
      <c r="E3165" t="n">
        <v>23.25160791</v>
      </c>
      <c r="F3165" t="n">
        <v>0.8473223868</v>
      </c>
      <c r="G3165" t="n">
        <v>0</v>
      </c>
      <c r="H3165" t="n">
        <v>3.55</v>
      </c>
      <c r="I3165" t="n">
        <v>0.1</v>
      </c>
      <c r="J3165" t="n">
        <v>8</v>
      </c>
      <c r="K3165" t="inlineStr">
        <is>
          <t>Sin stock</t>
        </is>
      </c>
    </row>
    <row r="3166">
      <c r="A3166" t="inlineStr">
        <is>
          <t>TRISTCA16TXL</t>
        </is>
      </c>
      <c r="B3166" t="inlineStr">
        <is>
          <t>RETRO VZLA CAB</t>
        </is>
      </c>
      <c r="C3166" t="inlineStr">
        <is>
          <t>Manufactura / Caballero / P. Superiores</t>
        </is>
      </c>
      <c r="D3166" t="n">
        <v>1</v>
      </c>
      <c r="E3166" t="n">
        <v>23.2483658</v>
      </c>
      <c r="F3166" t="n">
        <v>0.4451222889</v>
      </c>
      <c r="G3166" t="n">
        <v>0</v>
      </c>
      <c r="H3166" t="n">
        <v>12.9</v>
      </c>
      <c r="I3166" t="n">
        <v>0.1</v>
      </c>
      <c r="J3166" t="n">
        <v>7</v>
      </c>
      <c r="K3166" t="inlineStr">
        <is>
          <t>Sin stock</t>
        </is>
      </c>
    </row>
    <row r="3167">
      <c r="A3167" t="inlineStr">
        <is>
          <t>DANMIKI53T8</t>
        </is>
      </c>
      <c r="B3167" t="inlineStr">
        <is>
          <t>DANI ORIGINAL KIDS</t>
        </is>
      </c>
      <c r="C3167" t="inlineStr">
        <is>
          <t>Manufactura / Kids / P. Superiores</t>
        </is>
      </c>
      <c r="D3167" t="n">
        <v>1</v>
      </c>
      <c r="E3167" t="n">
        <v>23.15769763</v>
      </c>
      <c r="F3167" t="n">
        <v>0.8467032407</v>
      </c>
      <c r="G3167" t="n">
        <v>0</v>
      </c>
      <c r="H3167" t="n">
        <v>3.55</v>
      </c>
      <c r="I3167" t="n">
        <v>0.1</v>
      </c>
      <c r="J3167" t="n">
        <v>8</v>
      </c>
      <c r="K3167" t="inlineStr">
        <is>
          <t>Sin stock</t>
        </is>
      </c>
    </row>
    <row r="3168">
      <c r="A3168" t="inlineStr">
        <is>
          <t>MAFMIDA39TXL</t>
        </is>
      </c>
      <c r="B3168" t="inlineStr">
        <is>
          <t>MAFE ORIGINAL DAMA</t>
        </is>
      </c>
      <c r="C3168" t="inlineStr">
        <is>
          <t>Manufactura / Dama / P. Superiores</t>
        </is>
      </c>
      <c r="D3168" t="n">
        <v>1</v>
      </c>
      <c r="E3168" t="n">
        <v>22.97836546</v>
      </c>
      <c r="F3168" t="n">
        <v>0.8020670044</v>
      </c>
      <c r="G3168" t="n">
        <v>0</v>
      </c>
      <c r="H3168" t="n">
        <v>4.54817671</v>
      </c>
      <c r="I3168" t="n">
        <v>0.1</v>
      </c>
      <c r="J3168" t="n">
        <v>7</v>
      </c>
      <c r="K3168" t="inlineStr">
        <is>
          <t>Sin stock</t>
        </is>
      </c>
    </row>
    <row r="3169">
      <c r="A3169" t="inlineStr">
        <is>
          <t>MAFMIDA28TXL</t>
        </is>
      </c>
      <c r="B3169" t="inlineStr">
        <is>
          <t>MAFE ORIGINAL DAMA</t>
        </is>
      </c>
      <c r="C3169" t="inlineStr">
        <is>
          <t>Manufactura / Dama / P. Superiores</t>
        </is>
      </c>
      <c r="D3169" t="n">
        <v>1</v>
      </c>
      <c r="E3169" t="n">
        <v>22.97836546</v>
      </c>
      <c r="F3169" t="n">
        <v>0.8020670044</v>
      </c>
      <c r="G3169" t="n">
        <v>0</v>
      </c>
      <c r="H3169" t="n">
        <v>4.54817671</v>
      </c>
      <c r="I3169" t="n">
        <v>0.1</v>
      </c>
      <c r="J3169" t="n">
        <v>7</v>
      </c>
      <c r="K3169" t="inlineStr">
        <is>
          <t>Sin stock</t>
        </is>
      </c>
    </row>
    <row r="3170">
      <c r="A3170" t="inlineStr">
        <is>
          <t>SHONRDA43TM</t>
        </is>
      </c>
      <c r="B3170" t="inlineStr">
        <is>
          <t>SHORT SPORT DAMA</t>
        </is>
      </c>
      <c r="C3170" t="inlineStr">
        <is>
          <t>Manufactura / Dama / P. Inferiores</t>
        </is>
      </c>
      <c r="D3170" t="n">
        <v>1</v>
      </c>
      <c r="E3170" t="n">
        <v>22.78117488</v>
      </c>
      <c r="F3170" t="n">
        <v>0.5324451591</v>
      </c>
      <c r="G3170" t="n">
        <v>0</v>
      </c>
      <c r="H3170" t="n">
        <v>10.6514486</v>
      </c>
      <c r="I3170" t="n">
        <v>0.1</v>
      </c>
      <c r="J3170" t="n">
        <v>6</v>
      </c>
      <c r="K3170" t="inlineStr">
        <is>
          <t>Sin stock</t>
        </is>
      </c>
    </row>
    <row r="3171">
      <c r="A3171" t="inlineStr">
        <is>
          <t>DANMIKI09T8</t>
        </is>
      </c>
      <c r="B3171" t="inlineStr">
        <is>
          <t>DANI ORIGINAL KIDS</t>
        </is>
      </c>
      <c r="C3171" t="inlineStr">
        <is>
          <t>Manufactura / Kids / P. Superiores</t>
        </is>
      </c>
      <c r="D3171" t="n">
        <v>1</v>
      </c>
      <c r="E3171" t="n">
        <v>22.71425994</v>
      </c>
      <c r="F3171" t="n">
        <v>0.8437105145</v>
      </c>
      <c r="G3171" t="n">
        <v>0</v>
      </c>
      <c r="H3171" t="n">
        <v>3.55</v>
      </c>
      <c r="I3171" t="n">
        <v>0.1</v>
      </c>
      <c r="J3171" t="n">
        <v>9</v>
      </c>
      <c r="K3171" t="inlineStr">
        <is>
          <t>Sin stock</t>
        </is>
      </c>
    </row>
    <row r="3172">
      <c r="A3172" t="inlineStr">
        <is>
          <t>BAN30EL</t>
        </is>
      </c>
      <c r="B3172" t="inlineStr">
        <is>
          <t>CUADRO BAND ELASTIC</t>
        </is>
      </c>
      <c r="C3172" t="inlineStr">
        <is>
          <t>Equipamiento / Accesorios</t>
        </is>
      </c>
      <c r="D3172" t="n">
        <v>10</v>
      </c>
      <c r="E3172" t="n">
        <v>22.691648192</v>
      </c>
      <c r="F3172" t="n">
        <v>0.8632787502888889</v>
      </c>
      <c r="G3172" t="n">
        <v>116</v>
      </c>
      <c r="H3172" t="n">
        <v>0.3</v>
      </c>
      <c r="I3172" t="n">
        <v>1</v>
      </c>
      <c r="J3172" t="n">
        <v>0</v>
      </c>
      <c r="K3172" t="inlineStr"/>
    </row>
    <row r="3173">
      <c r="A3173" t="inlineStr">
        <is>
          <t>BUFMIGE13TUN</t>
        </is>
      </c>
      <c r="B3173" t="inlineStr">
        <is>
          <t>FLEX COVER</t>
        </is>
      </c>
      <c r="C3173" t="inlineStr">
        <is>
          <t>Manufactura / General</t>
        </is>
      </c>
      <c r="D3173" t="n">
        <v>2</v>
      </c>
      <c r="E3173" t="n">
        <v>22.523567771</v>
      </c>
      <c r="F3173" t="n">
        <v>0.79874193565</v>
      </c>
      <c r="G3173" t="n">
        <v>0</v>
      </c>
      <c r="H3173" t="n">
        <v>2.21</v>
      </c>
      <c r="I3173" t="n">
        <v>0.2</v>
      </c>
      <c r="J3173" t="n">
        <v>5</v>
      </c>
      <c r="K3173" t="inlineStr">
        <is>
          <t>Sin stock</t>
        </is>
      </c>
    </row>
    <row r="3174">
      <c r="A3174" t="inlineStr">
        <is>
          <t>BUFMIGE24TUN</t>
        </is>
      </c>
      <c r="B3174" t="inlineStr">
        <is>
          <t>FLEX COVER</t>
        </is>
      </c>
      <c r="C3174" t="inlineStr">
        <is>
          <t>Manufactura / General</t>
        </is>
      </c>
      <c r="D3174" t="n">
        <v>3</v>
      </c>
      <c r="E3174" t="n">
        <v>22.523567771</v>
      </c>
      <c r="F3174" t="n">
        <v>0.79874193565</v>
      </c>
      <c r="G3174" t="n">
        <v>11</v>
      </c>
      <c r="H3174" t="n">
        <v>2.21</v>
      </c>
      <c r="I3174" t="n">
        <v>0.3</v>
      </c>
      <c r="J3174" t="n">
        <v>5</v>
      </c>
      <c r="K3174" t="inlineStr"/>
    </row>
    <row r="3175">
      <c r="A3175" t="inlineStr">
        <is>
          <t>DANMIKI70T6</t>
        </is>
      </c>
      <c r="B3175" t="inlineStr">
        <is>
          <t>DANI ORIGINAL KIDS</t>
        </is>
      </c>
      <c r="C3175" t="inlineStr">
        <is>
          <t>Manufactura / Kids / P. Superiores</t>
        </is>
      </c>
      <c r="D3175" t="n">
        <v>1</v>
      </c>
      <c r="E3175" t="n">
        <v>22.5</v>
      </c>
      <c r="F3175" t="n">
        <v>0.8422222222</v>
      </c>
      <c r="G3175" t="n">
        <v>2</v>
      </c>
      <c r="H3175" t="n">
        <v>3.55</v>
      </c>
      <c r="I3175" t="n">
        <v>0.1</v>
      </c>
      <c r="J3175" t="n">
        <v>1</v>
      </c>
      <c r="K3175" t="inlineStr"/>
    </row>
    <row r="3176">
      <c r="A3176" t="inlineStr">
        <is>
          <t>PETMIPE66TXL</t>
        </is>
      </c>
      <c r="B3176" t="inlineStr">
        <is>
          <t>BANDANA PET</t>
        </is>
      </c>
      <c r="C3176" t="inlineStr">
        <is>
          <t>Manufactura / General</t>
        </is>
      </c>
      <c r="D3176" t="n">
        <v>2</v>
      </c>
      <c r="E3176" t="n">
        <v>22.40351946</v>
      </c>
      <c r="F3176" t="n">
        <v>0.9696647029500001</v>
      </c>
      <c r="G3176" t="n">
        <v>0</v>
      </c>
      <c r="H3176" t="n">
        <v>0.3252662283</v>
      </c>
      <c r="I3176" t="n">
        <v>0.2</v>
      </c>
      <c r="J3176" t="n">
        <v>2</v>
      </c>
      <c r="K3176" t="inlineStr">
        <is>
          <t>Sin stock</t>
        </is>
      </c>
    </row>
    <row r="3177">
      <c r="A3177" t="inlineStr">
        <is>
          <t>ACDMIDA120TXL</t>
        </is>
      </c>
      <c r="B3177" t="inlineStr">
        <is>
          <t>DANI ACTIVE DAMA</t>
        </is>
      </c>
      <c r="C3177" t="inlineStr">
        <is>
          <t>Manufactura / Dama / P. Superiores</t>
        </is>
      </c>
      <c r="D3177" t="n">
        <v>1</v>
      </c>
      <c r="E3177" t="n">
        <v>22.18909534</v>
      </c>
      <c r="F3177" t="n">
        <v>0.5574402719</v>
      </c>
      <c r="G3177" t="n">
        <v>2</v>
      </c>
      <c r="H3177" t="n">
        <v>9.82</v>
      </c>
      <c r="I3177" t="n">
        <v>0.1</v>
      </c>
      <c r="J3177" t="n">
        <v>9</v>
      </c>
      <c r="K3177" t="inlineStr"/>
    </row>
    <row r="3178">
      <c r="A3178" t="inlineStr">
        <is>
          <t>PETMIPE28TL</t>
        </is>
      </c>
      <c r="B3178" t="inlineStr">
        <is>
          <t>BANDANA PET</t>
        </is>
      </c>
      <c r="C3178" t="inlineStr">
        <is>
          <t>Manufactura / General</t>
        </is>
      </c>
      <c r="D3178" t="n">
        <v>2</v>
      </c>
      <c r="E3178" t="n">
        <v>22.083313791</v>
      </c>
      <c r="F3178" t="n">
        <v>0.9699432129</v>
      </c>
      <c r="G3178" t="n">
        <v>0</v>
      </c>
      <c r="H3178" t="n">
        <v>0.3252662283</v>
      </c>
      <c r="I3178" t="n">
        <v>0.2</v>
      </c>
      <c r="J3178" t="n">
        <v>0</v>
      </c>
      <c r="K3178" t="inlineStr">
        <is>
          <t>Sin stock</t>
        </is>
      </c>
    </row>
    <row r="3179">
      <c r="A3179" t="inlineStr">
        <is>
          <t>COTFTDA31TXL</t>
        </is>
      </c>
      <c r="B3179" t="inlineStr">
        <is>
          <t>COTTON SWEATER DAMA</t>
        </is>
      </c>
      <c r="C3179" t="inlineStr">
        <is>
          <t>Manufactura / Dama / P. Superiores</t>
        </is>
      </c>
      <c r="D3179" t="n">
        <v>1</v>
      </c>
      <c r="E3179" t="n">
        <v>22.07630558</v>
      </c>
      <c r="F3179" t="n">
        <v>0</v>
      </c>
      <c r="G3179" t="n">
        <v>0</v>
      </c>
      <c r="H3179" t="n">
        <v>0</v>
      </c>
      <c r="I3179" t="n">
        <v>0.1</v>
      </c>
      <c r="J3179" t="n">
        <v>9</v>
      </c>
      <c r="K3179" t="inlineStr">
        <is>
          <t>Sin stock</t>
        </is>
      </c>
    </row>
    <row r="3180">
      <c r="A3180" t="inlineStr">
        <is>
          <t>PETMIPE28TS</t>
        </is>
      </c>
      <c r="B3180" t="inlineStr">
        <is>
          <t>BANDANA PET</t>
        </is>
      </c>
      <c r="C3180" t="inlineStr">
        <is>
          <t>Manufactura / General</t>
        </is>
      </c>
      <c r="D3180" t="n">
        <v>3</v>
      </c>
      <c r="E3180" t="n">
        <v>22.009985259</v>
      </c>
      <c r="F3180" t="n">
        <v>0.96848149455</v>
      </c>
      <c r="G3180" t="n">
        <v>0</v>
      </c>
      <c r="H3180" t="n">
        <v>0.3252662283</v>
      </c>
      <c r="I3180" t="n">
        <v>0.3</v>
      </c>
      <c r="J3180" t="n">
        <v>2</v>
      </c>
      <c r="K3180" t="inlineStr">
        <is>
          <t>Sin stock</t>
        </is>
      </c>
    </row>
    <row r="3181">
      <c r="A3181" t="inlineStr">
        <is>
          <t>CLAMICA28TM</t>
        </is>
      </c>
      <c r="B3181" t="inlineStr">
        <is>
          <t>CLASICA ORIGINAL CAB</t>
        </is>
      </c>
      <c r="C3181" t="inlineStr">
        <is>
          <t>Manufactura / Caballero / P. Superiores</t>
        </is>
      </c>
      <c r="D3181" t="n">
        <v>2</v>
      </c>
      <c r="E3181" t="n">
        <v>21.81482818</v>
      </c>
      <c r="F3181" t="n">
        <v>0.7892056495000001</v>
      </c>
      <c r="G3181" t="n">
        <v>0</v>
      </c>
      <c r="H3181" t="n">
        <v>4.598442536</v>
      </c>
      <c r="I3181" t="n">
        <v>0.2</v>
      </c>
      <c r="J3181" t="n">
        <v>8</v>
      </c>
      <c r="K3181" t="inlineStr">
        <is>
          <t>Sin stock</t>
        </is>
      </c>
    </row>
    <row r="3182">
      <c r="A3182" t="inlineStr">
        <is>
          <t>CRESTDA16TS</t>
        </is>
      </c>
      <c r="B3182" t="inlineStr">
        <is>
          <t>RETRO VZLA DAMA</t>
        </is>
      </c>
      <c r="C3182" t="inlineStr">
        <is>
          <t>Manufactura / Dama / P. Superiores</t>
        </is>
      </c>
      <c r="D3182" t="n">
        <v>1</v>
      </c>
      <c r="E3182" t="n">
        <v>21.65594724</v>
      </c>
      <c r="F3182" t="n">
        <v>0.4814357519</v>
      </c>
      <c r="G3182" t="n">
        <v>0</v>
      </c>
      <c r="H3182" t="n">
        <v>11.23</v>
      </c>
      <c r="I3182" t="n">
        <v>0.1</v>
      </c>
      <c r="J3182" t="n">
        <v>8</v>
      </c>
      <c r="K3182" t="inlineStr">
        <is>
          <t>Sin stock</t>
        </is>
      </c>
    </row>
    <row r="3183">
      <c r="A3183" t="inlineStr">
        <is>
          <t>MANMIGE50TG</t>
        </is>
      </c>
      <c r="B3183" t="inlineStr">
        <is>
          <t>MANGAS GENERAL</t>
        </is>
      </c>
      <c r="C3183" t="inlineStr">
        <is>
          <t>Manufactura / General</t>
        </is>
      </c>
      <c r="D3183" t="n">
        <v>1</v>
      </c>
      <c r="E3183" t="n">
        <v>21.26870624</v>
      </c>
      <c r="F3183" t="n">
        <v>0.9567439604</v>
      </c>
      <c r="G3183" t="n">
        <v>13</v>
      </c>
      <c r="H3183" t="n">
        <v>0.92</v>
      </c>
      <c r="I3183" t="n">
        <v>0.1</v>
      </c>
      <c r="J3183" t="n">
        <v>7</v>
      </c>
      <c r="K3183" t="inlineStr"/>
    </row>
    <row r="3184">
      <c r="A3184" t="inlineStr">
        <is>
          <t>PETMIPE28TM</t>
        </is>
      </c>
      <c r="B3184" t="inlineStr">
        <is>
          <t>BANDANA PET</t>
        </is>
      </c>
      <c r="C3184" t="inlineStr">
        <is>
          <t>Manufactura / General</t>
        </is>
      </c>
      <c r="D3184" t="n">
        <v>4</v>
      </c>
      <c r="E3184" t="n">
        <v>21.057079338</v>
      </c>
      <c r="F3184" t="n">
        <v>0.9678621987</v>
      </c>
      <c r="G3184" t="n">
        <v>0</v>
      </c>
      <c r="H3184" t="n">
        <v>0.3252662283</v>
      </c>
      <c r="I3184" t="n">
        <v>0.4</v>
      </c>
      <c r="J3184" t="n">
        <v>0</v>
      </c>
      <c r="K3184" t="inlineStr">
        <is>
          <t>Sin stock</t>
        </is>
      </c>
    </row>
    <row r="3185">
      <c r="A3185" t="inlineStr">
        <is>
          <t>DANMIKI04T6</t>
        </is>
      </c>
      <c r="B3185" t="inlineStr">
        <is>
          <t>DANI ORIGINAL KIDS</t>
        </is>
      </c>
      <c r="C3185" t="inlineStr">
        <is>
          <t>Manufactura / Kids / P. Superiores</t>
        </is>
      </c>
      <c r="D3185" t="n">
        <v>1</v>
      </c>
      <c r="E3185" t="n">
        <v>20.97887715</v>
      </c>
      <c r="F3185" t="n">
        <v>0.8583555517</v>
      </c>
      <c r="G3185" t="n">
        <v>1</v>
      </c>
      <c r="H3185" t="n">
        <v>3.549999999999999</v>
      </c>
      <c r="I3185" t="n">
        <v>0.1</v>
      </c>
      <c r="J3185" t="n">
        <v>5</v>
      </c>
      <c r="K3185" t="inlineStr"/>
    </row>
    <row r="3186">
      <c r="A3186" t="inlineStr">
        <is>
          <t>201STDA30TXS</t>
        </is>
      </c>
      <c r="B3186" t="inlineStr">
        <is>
          <t>RETRO VZLA DAMA</t>
        </is>
      </c>
      <c r="C3186" t="inlineStr">
        <is>
          <t>Manufactura / Dama / P. Superiores</t>
        </is>
      </c>
      <c r="D3186" t="n">
        <v>1</v>
      </c>
      <c r="E3186" t="n">
        <v>20.65266712</v>
      </c>
      <c r="F3186" t="n">
        <v>0.4562445646</v>
      </c>
      <c r="G3186" t="n">
        <v>0</v>
      </c>
      <c r="H3186" t="n">
        <v>11.23</v>
      </c>
      <c r="I3186" t="n">
        <v>0.1</v>
      </c>
      <c r="J3186" t="n">
        <v>6</v>
      </c>
      <c r="K3186" t="inlineStr">
        <is>
          <t>Sin stock</t>
        </is>
      </c>
    </row>
    <row r="3187">
      <c r="A3187" t="inlineStr">
        <is>
          <t>DANMIKI28T8</t>
        </is>
      </c>
      <c r="B3187" t="inlineStr">
        <is>
          <t>DANI ORIGINAL KIDS</t>
        </is>
      </c>
      <c r="C3187" t="inlineStr">
        <is>
          <t>Manufactura / Kids / P. Superiores</t>
        </is>
      </c>
      <c r="D3187" t="n">
        <v>1</v>
      </c>
      <c r="E3187" t="n">
        <v>20.6476955</v>
      </c>
      <c r="F3187" t="n">
        <v>0.8280679798</v>
      </c>
      <c r="G3187" t="n">
        <v>0</v>
      </c>
      <c r="H3187" t="n">
        <v>3.55</v>
      </c>
      <c r="I3187" t="n">
        <v>0.1</v>
      </c>
      <c r="J3187" t="n">
        <v>9</v>
      </c>
      <c r="K3187" t="inlineStr">
        <is>
          <t>Sin stock</t>
        </is>
      </c>
    </row>
    <row r="3188">
      <c r="A3188" t="inlineStr">
        <is>
          <t>CLASTDA43TXL</t>
        </is>
      </c>
      <c r="B3188" t="inlineStr">
        <is>
          <t>CLASICA ALGODON STRETCH DAMA</t>
        </is>
      </c>
      <c r="C3188" t="inlineStr">
        <is>
          <t>Manufactura / Dama / P. Superiores</t>
        </is>
      </c>
      <c r="D3188" t="n">
        <v>3</v>
      </c>
      <c r="E3188" t="n">
        <v>20.62341972</v>
      </c>
      <c r="F3188" t="n">
        <v>0.5505110148</v>
      </c>
      <c r="G3188" t="n">
        <v>0</v>
      </c>
      <c r="H3188" t="n">
        <v>9.27</v>
      </c>
      <c r="I3188" t="n">
        <v>0.3</v>
      </c>
      <c r="J3188" t="n">
        <v>7</v>
      </c>
      <c r="K3188" t="inlineStr">
        <is>
          <t>Sin stock</t>
        </is>
      </c>
    </row>
    <row r="3189">
      <c r="A3189" t="inlineStr">
        <is>
          <t>DANMIKI48T14</t>
        </is>
      </c>
      <c r="B3189" t="inlineStr">
        <is>
          <t>DANI ORIGINAL KIDS</t>
        </is>
      </c>
      <c r="C3189" t="inlineStr">
        <is>
          <t>Manufactura / Kids / P. Superiores</t>
        </is>
      </c>
      <c r="D3189" t="n">
        <v>1</v>
      </c>
      <c r="E3189" t="n">
        <v>20.441012</v>
      </c>
      <c r="F3189" t="n">
        <v>0.8263295379</v>
      </c>
      <c r="G3189" t="n">
        <v>0</v>
      </c>
      <c r="H3189" t="n">
        <v>3.55</v>
      </c>
      <c r="I3189" t="n">
        <v>0.1</v>
      </c>
      <c r="J3189" t="n">
        <v>9</v>
      </c>
      <c r="K3189" t="inlineStr">
        <is>
          <t>Sin stock</t>
        </is>
      </c>
    </row>
    <row r="3190">
      <c r="A3190" t="inlineStr">
        <is>
          <t>PETMIPE50TM</t>
        </is>
      </c>
      <c r="B3190" t="inlineStr">
        <is>
          <t>BANDANA PET</t>
        </is>
      </c>
      <c r="C3190" t="inlineStr">
        <is>
          <t>Manufactura / General</t>
        </is>
      </c>
      <c r="D3190" t="n">
        <v>2</v>
      </c>
      <c r="E3190" t="n">
        <v>20.067137446</v>
      </c>
      <c r="F3190" t="n">
        <v>0.96758040345</v>
      </c>
      <c r="G3190" t="n">
        <v>0</v>
      </c>
      <c r="H3190" t="n">
        <v>0.3252662283</v>
      </c>
      <c r="I3190" t="n">
        <v>0.2</v>
      </c>
      <c r="J3190" t="n">
        <v>6</v>
      </c>
      <c r="K3190" t="inlineStr">
        <is>
          <t>Sin stock</t>
        </is>
      </c>
    </row>
    <row r="3191">
      <c r="A3191" t="inlineStr">
        <is>
          <t>EC174UN</t>
        </is>
      </c>
      <c r="B3191" t="inlineStr">
        <is>
          <t>ECO BAG</t>
        </is>
      </c>
      <c r="C3191" t="inlineStr">
        <is>
          <t>Equipamiento / Bolsos</t>
        </is>
      </c>
      <c r="D3191" t="n">
        <v>66</v>
      </c>
      <c r="E3191" t="n">
        <v>19.99363689</v>
      </c>
      <c r="F3191" t="n">
        <v>0.3716136939</v>
      </c>
      <c r="G3191" t="n">
        <v>138</v>
      </c>
      <c r="H3191" t="n">
        <v>5.5</v>
      </c>
      <c r="I3191" t="n">
        <v>6.6</v>
      </c>
      <c r="J3191" t="n">
        <v>0</v>
      </c>
      <c r="K3191" t="inlineStr"/>
    </row>
    <row r="3192">
      <c r="A3192" t="inlineStr">
        <is>
          <t>PETMIPE11TM</t>
        </is>
      </c>
      <c r="B3192" t="inlineStr">
        <is>
          <t>BANDANA PET</t>
        </is>
      </c>
      <c r="C3192" t="inlineStr">
        <is>
          <t>Manufactura / General</t>
        </is>
      </c>
      <c r="D3192" t="n">
        <v>2</v>
      </c>
      <c r="E3192" t="n">
        <v>19.686658069</v>
      </c>
      <c r="F3192" t="n">
        <v>0.96077404015</v>
      </c>
      <c r="G3192" t="n">
        <v>0</v>
      </c>
      <c r="H3192" t="n">
        <v>0.3252662283</v>
      </c>
      <c r="I3192" t="n">
        <v>0.2</v>
      </c>
      <c r="J3192" t="n">
        <v>6</v>
      </c>
      <c r="K3192" t="inlineStr">
        <is>
          <t>Sin stock</t>
        </is>
      </c>
    </row>
    <row r="3193">
      <c r="A3193" t="inlineStr">
        <is>
          <t>MANMIGE70TP</t>
        </is>
      </c>
      <c r="B3193" t="inlineStr">
        <is>
          <t>MANGAS GENERAL</t>
        </is>
      </c>
      <c r="C3193" t="inlineStr">
        <is>
          <t>Manufactura / General</t>
        </is>
      </c>
      <c r="D3193" t="n">
        <v>1</v>
      </c>
      <c r="E3193" t="n">
        <v>19.45797639</v>
      </c>
      <c r="F3193" t="n">
        <v>0.9527186187</v>
      </c>
      <c r="G3193" t="n">
        <v>12</v>
      </c>
      <c r="H3193" t="n">
        <v>0.92</v>
      </c>
      <c r="I3193" t="n">
        <v>0.1</v>
      </c>
      <c r="J3193" t="n">
        <v>3</v>
      </c>
      <c r="K3193" t="inlineStr"/>
    </row>
    <row r="3194">
      <c r="A3194" t="inlineStr">
        <is>
          <t>MANMIGE50TP</t>
        </is>
      </c>
      <c r="B3194" t="inlineStr">
        <is>
          <t>MANGAS GENERAL</t>
        </is>
      </c>
      <c r="C3194" t="inlineStr">
        <is>
          <t>Manufactura / General</t>
        </is>
      </c>
      <c r="D3194" t="n">
        <v>1</v>
      </c>
      <c r="E3194" t="n">
        <v>19.39149978</v>
      </c>
      <c r="F3194" t="n">
        <v>0.9453583731333334</v>
      </c>
      <c r="G3194" t="n">
        <v>7</v>
      </c>
      <c r="H3194" t="n">
        <v>0.92</v>
      </c>
      <c r="I3194" t="n">
        <v>0.1</v>
      </c>
      <c r="J3194" t="n">
        <v>2</v>
      </c>
      <c r="K3194" t="inlineStr"/>
    </row>
    <row r="3195">
      <c r="A3195" t="inlineStr">
        <is>
          <t>MANMIGE13TG</t>
        </is>
      </c>
      <c r="B3195" t="inlineStr">
        <is>
          <t>MANGAS GENERAL</t>
        </is>
      </c>
      <c r="C3195" t="inlineStr">
        <is>
          <t>Manufactura / General</t>
        </is>
      </c>
      <c r="D3195" t="n">
        <v>1</v>
      </c>
      <c r="E3195" t="n">
        <v>19.21432038</v>
      </c>
      <c r="F3195" t="n">
        <v>0.9521190455</v>
      </c>
      <c r="G3195" t="n">
        <v>2</v>
      </c>
      <c r="H3195" t="n">
        <v>0.92</v>
      </c>
      <c r="I3195" t="n">
        <v>0.1</v>
      </c>
      <c r="J3195" t="n">
        <v>4</v>
      </c>
      <c r="K3195" t="inlineStr"/>
    </row>
    <row r="3196">
      <c r="A3196" t="inlineStr">
        <is>
          <t>PETMIPE13TS</t>
        </is>
      </c>
      <c r="B3196" t="inlineStr">
        <is>
          <t>BANDANA PET</t>
        </is>
      </c>
      <c r="C3196" t="inlineStr">
        <is>
          <t>Manufactura / General</t>
        </is>
      </c>
      <c r="D3196" t="n">
        <v>3</v>
      </c>
      <c r="E3196" t="n">
        <v>18.97038431</v>
      </c>
      <c r="F3196" t="n">
        <v>0.94726446625</v>
      </c>
      <c r="G3196" t="n">
        <v>0</v>
      </c>
      <c r="H3196" t="n">
        <v>0.3252662283</v>
      </c>
      <c r="I3196" t="n">
        <v>0.3</v>
      </c>
      <c r="J3196" t="n">
        <v>7</v>
      </c>
      <c r="K3196" t="inlineStr">
        <is>
          <t>Sin stock</t>
        </is>
      </c>
    </row>
    <row r="3197">
      <c r="A3197" t="inlineStr">
        <is>
          <t>SUC43EQV</t>
        </is>
      </c>
      <c r="B3197" t="inlineStr">
        <is>
          <t>SUNNY CORD ORIGINAL</t>
        </is>
      </c>
      <c r="C3197" t="inlineStr">
        <is>
          <t>Equipamiento / Accesorios</t>
        </is>
      </c>
      <c r="D3197" t="n">
        <v>5</v>
      </c>
      <c r="E3197" t="n">
        <v>18.921555239</v>
      </c>
      <c r="F3197" t="n">
        <v>0.84512208115</v>
      </c>
      <c r="G3197" t="n">
        <v>0</v>
      </c>
      <c r="H3197" t="n">
        <v>0.51</v>
      </c>
      <c r="I3197" t="n">
        <v>0.5</v>
      </c>
      <c r="J3197" t="n">
        <v>3</v>
      </c>
      <c r="K3197" t="inlineStr">
        <is>
          <t>Sin stock</t>
        </is>
      </c>
    </row>
    <row r="3198">
      <c r="A3198" t="inlineStr">
        <is>
          <t>PETMIPE50TS</t>
        </is>
      </c>
      <c r="B3198" t="inlineStr">
        <is>
          <t>BANDANA PET</t>
        </is>
      </c>
      <c r="C3198" t="inlineStr">
        <is>
          <t>Manufactura / General</t>
        </is>
      </c>
      <c r="D3198" t="n">
        <v>2</v>
      </c>
      <c r="E3198" t="n">
        <v>18.88483485</v>
      </c>
      <c r="F3198" t="n">
        <v>0.9654319382500001</v>
      </c>
      <c r="G3198" t="n">
        <v>0</v>
      </c>
      <c r="H3198" t="n">
        <v>0.3252662283</v>
      </c>
      <c r="I3198" t="n">
        <v>0.2</v>
      </c>
      <c r="J3198" t="n">
        <v>7</v>
      </c>
      <c r="K3198" t="inlineStr">
        <is>
          <t>Sin stock</t>
        </is>
      </c>
    </row>
    <row r="3199">
      <c r="A3199" t="inlineStr">
        <is>
          <t>BAN09EL</t>
        </is>
      </c>
      <c r="B3199" t="inlineStr">
        <is>
          <t>CUADRO BAND ELASTIC</t>
        </is>
      </c>
      <c r="C3199" t="inlineStr">
        <is>
          <t>Equipamiento / Accesorios</t>
        </is>
      </c>
      <c r="D3199" t="n">
        <v>7</v>
      </c>
      <c r="E3199" t="n">
        <v>18.865254784</v>
      </c>
      <c r="F3199" t="n">
        <v>0.8868864906714286</v>
      </c>
      <c r="G3199" t="n">
        <v>142</v>
      </c>
      <c r="H3199" t="n">
        <v>0.3</v>
      </c>
      <c r="I3199" t="n">
        <v>0.7</v>
      </c>
      <c r="J3199" t="n">
        <v>0</v>
      </c>
      <c r="K3199" t="inlineStr"/>
    </row>
    <row r="3200">
      <c r="A3200" t="inlineStr">
        <is>
          <t>P07</t>
        </is>
      </c>
      <c r="B3200" t="inlineStr">
        <is>
          <t>PARCHES</t>
        </is>
      </c>
      <c r="C3200" t="inlineStr">
        <is>
          <t>Equipamiento / Accesorios</t>
        </is>
      </c>
      <c r="D3200" t="n">
        <v>4</v>
      </c>
      <c r="E3200" t="n">
        <v>18.528173289</v>
      </c>
      <c r="F3200" t="n">
        <v>0.767278835225</v>
      </c>
      <c r="G3200" t="n">
        <v>352</v>
      </c>
      <c r="H3200" t="n">
        <v>0.98</v>
      </c>
      <c r="I3200" t="n">
        <v>0.4</v>
      </c>
      <c r="J3200" t="n">
        <v>0</v>
      </c>
      <c r="K3200" t="inlineStr"/>
    </row>
    <row r="3201">
      <c r="A3201" t="inlineStr">
        <is>
          <t>TOA30CL</t>
        </is>
      </c>
      <c r="B3201" t="inlineStr">
        <is>
          <t>TOALLA CLIP ORIGINAL</t>
        </is>
      </c>
      <c r="C3201" t="inlineStr">
        <is>
          <t>Equipamiento / Toallas</t>
        </is>
      </c>
      <c r="D3201" t="n">
        <v>1</v>
      </c>
      <c r="E3201" t="n">
        <v>18.37665735</v>
      </c>
      <c r="F3201" t="n">
        <v>0.7256073120000001</v>
      </c>
      <c r="G3201" t="n">
        <v>0</v>
      </c>
      <c r="H3201" t="n">
        <v>5.11</v>
      </c>
      <c r="I3201" t="n">
        <v>0.1</v>
      </c>
      <c r="J3201" t="n">
        <v>7</v>
      </c>
      <c r="K3201" t="inlineStr">
        <is>
          <t>Sin stock</t>
        </is>
      </c>
    </row>
    <row r="3202">
      <c r="A3202" t="inlineStr">
        <is>
          <t>COTFTKI30T4</t>
        </is>
      </c>
      <c r="B3202" t="inlineStr">
        <is>
          <t>COTTON SWEATER KIDS</t>
        </is>
      </c>
      <c r="C3202" t="inlineStr">
        <is>
          <t>Manufactura / Kids / P. Superiores</t>
        </is>
      </c>
      <c r="D3202" t="n">
        <v>1</v>
      </c>
      <c r="E3202" t="n">
        <v>18.16997384</v>
      </c>
      <c r="F3202" t="n">
        <v>0</v>
      </c>
      <c r="G3202" t="n">
        <v>0</v>
      </c>
      <c r="H3202" t="n">
        <v>0</v>
      </c>
      <c r="I3202" t="n">
        <v>0.1</v>
      </c>
      <c r="J3202" t="n">
        <v>9</v>
      </c>
      <c r="K3202" t="inlineStr">
        <is>
          <t>Sin stock</t>
        </is>
      </c>
    </row>
    <row r="3203">
      <c r="A3203" t="inlineStr">
        <is>
          <t>COTFTKI43T12</t>
        </is>
      </c>
      <c r="B3203" t="inlineStr">
        <is>
          <t>COTTON SWEATER KIDS</t>
        </is>
      </c>
      <c r="C3203" t="inlineStr">
        <is>
          <t>Manufactura / Kids / P. Superiores</t>
        </is>
      </c>
      <c r="D3203" t="n">
        <v>1</v>
      </c>
      <c r="E3203" t="n">
        <v>18.16997384</v>
      </c>
      <c r="F3203" t="n">
        <v>0</v>
      </c>
      <c r="G3203" t="n">
        <v>0</v>
      </c>
      <c r="H3203" t="n">
        <v>0</v>
      </c>
      <c r="I3203" t="n">
        <v>0.1</v>
      </c>
      <c r="J3203" t="n">
        <v>9</v>
      </c>
      <c r="K3203" t="inlineStr">
        <is>
          <t>Sin stock</t>
        </is>
      </c>
    </row>
    <row r="3204">
      <c r="A3204" t="inlineStr">
        <is>
          <t>PETMIPE34TL</t>
        </is>
      </c>
      <c r="B3204" t="inlineStr">
        <is>
          <t>BANDANA PET</t>
        </is>
      </c>
      <c r="C3204" t="inlineStr">
        <is>
          <t>Manufactura / General</t>
        </is>
      </c>
      <c r="D3204" t="n">
        <v>2</v>
      </c>
      <c r="E3204" t="n">
        <v>17.988311196</v>
      </c>
      <c r="F3204" t="n">
        <v>0.96383044035</v>
      </c>
      <c r="G3204" t="n">
        <v>0</v>
      </c>
      <c r="H3204" t="n">
        <v>0.3252662283</v>
      </c>
      <c r="I3204" t="n">
        <v>0.2</v>
      </c>
      <c r="J3204" t="n">
        <v>7</v>
      </c>
      <c r="K3204" t="inlineStr">
        <is>
          <t>Sin stock</t>
        </is>
      </c>
    </row>
    <row r="3205">
      <c r="A3205" t="inlineStr">
        <is>
          <t>MANMIGE14TG</t>
        </is>
      </c>
      <c r="B3205" t="inlineStr">
        <is>
          <t>MANGAS GENERAL</t>
        </is>
      </c>
      <c r="C3205" t="inlineStr">
        <is>
          <t>Manufactura / General</t>
        </is>
      </c>
      <c r="D3205" t="n">
        <v>1</v>
      </c>
      <c r="E3205" t="n">
        <v>17.32182692</v>
      </c>
      <c r="F3205" t="n">
        <v>0.9468878194</v>
      </c>
      <c r="G3205" t="n">
        <v>8</v>
      </c>
      <c r="H3205" t="n">
        <v>0.92</v>
      </c>
      <c r="I3205" t="n">
        <v>0.1</v>
      </c>
      <c r="J3205" t="n">
        <v>8</v>
      </c>
      <c r="K3205" t="inlineStr"/>
    </row>
    <row r="3206">
      <c r="A3206" t="inlineStr">
        <is>
          <t>MANMEGE13TG</t>
        </is>
      </c>
      <c r="B3206" t="inlineStr">
        <is>
          <t>MANGAS SPORT MESH</t>
        </is>
      </c>
      <c r="C3206" t="inlineStr">
        <is>
          <t>Manufactura / General</t>
        </is>
      </c>
      <c r="D3206" t="n">
        <v>1</v>
      </c>
      <c r="E3206" t="n">
        <v>17.32182692</v>
      </c>
      <c r="F3206" t="n">
        <v>0.9353416931</v>
      </c>
      <c r="G3206" t="n">
        <v>0</v>
      </c>
      <c r="H3206" t="n">
        <v>1.12</v>
      </c>
      <c r="I3206" t="n">
        <v>0.1</v>
      </c>
      <c r="J3206" t="n">
        <v>8</v>
      </c>
      <c r="K3206" t="inlineStr">
        <is>
          <t>Sin stock</t>
        </is>
      </c>
    </row>
    <row r="3207">
      <c r="A3207" t="inlineStr">
        <is>
          <t>MANMIGE53TP</t>
        </is>
      </c>
      <c r="B3207" t="inlineStr">
        <is>
          <t>MANGAS GENERAL</t>
        </is>
      </c>
      <c r="C3207" t="inlineStr">
        <is>
          <t>Manufactura / General</t>
        </is>
      </c>
      <c r="D3207" t="n">
        <v>1</v>
      </c>
      <c r="E3207" t="n">
        <v>17.32182692</v>
      </c>
      <c r="F3207" t="n">
        <v>0.9468878194</v>
      </c>
      <c r="G3207" t="n">
        <v>4</v>
      </c>
      <c r="H3207" t="n">
        <v>0.92</v>
      </c>
      <c r="I3207" t="n">
        <v>0.1</v>
      </c>
      <c r="J3207" t="n">
        <v>8</v>
      </c>
      <c r="K3207" t="inlineStr"/>
    </row>
    <row r="3208">
      <c r="A3208" t="inlineStr">
        <is>
          <t>MANMIGE52TP</t>
        </is>
      </c>
      <c r="B3208" t="inlineStr">
        <is>
          <t>MANGAS GENERAL</t>
        </is>
      </c>
      <c r="C3208" t="inlineStr">
        <is>
          <t>Manufactura / General</t>
        </is>
      </c>
      <c r="D3208" t="n">
        <v>1</v>
      </c>
      <c r="E3208" t="n">
        <v>17.29736221</v>
      </c>
      <c r="F3208" t="n">
        <v>0.9468126996</v>
      </c>
      <c r="G3208" t="n">
        <v>0</v>
      </c>
      <c r="H3208" t="n">
        <v>0.92</v>
      </c>
      <c r="I3208" t="n">
        <v>0.1</v>
      </c>
      <c r="J3208" t="n">
        <v>8</v>
      </c>
      <c r="K3208" t="inlineStr">
        <is>
          <t>Sin stock</t>
        </is>
      </c>
    </row>
    <row r="3209">
      <c r="A3209" t="inlineStr">
        <is>
          <t>CLAMIDA04TXS</t>
        </is>
      </c>
      <c r="B3209" t="inlineStr">
        <is>
          <t>CLASICA ORIGINAL DAMA</t>
        </is>
      </c>
      <c r="C3209" t="inlineStr">
        <is>
          <t>Manufactura / Dama / P. Superiores</t>
        </is>
      </c>
      <c r="D3209" t="n">
        <v>1</v>
      </c>
      <c r="E3209" t="n">
        <v>16.91412549</v>
      </c>
      <c r="F3209" t="n">
        <v>0.7680502258</v>
      </c>
      <c r="G3209" t="n">
        <v>0</v>
      </c>
      <c r="H3209" t="n">
        <v>3.923227589</v>
      </c>
      <c r="I3209" t="n">
        <v>0.1</v>
      </c>
      <c r="J3209" t="n">
        <v>7</v>
      </c>
      <c r="K3209" t="inlineStr">
        <is>
          <t>Sin stock</t>
        </is>
      </c>
    </row>
    <row r="3210">
      <c r="A3210" t="inlineStr">
        <is>
          <t>PETMIPE43TXL</t>
        </is>
      </c>
      <c r="B3210" t="inlineStr">
        <is>
          <t>BANDANA PET</t>
        </is>
      </c>
      <c r="C3210" t="inlineStr">
        <is>
          <t>Manufactura / General</t>
        </is>
      </c>
      <c r="D3210" t="n">
        <v>2</v>
      </c>
      <c r="E3210" t="n">
        <v>16.859010519</v>
      </c>
      <c r="F3210" t="n">
        <v>0.9613006536499999</v>
      </c>
      <c r="G3210" t="n">
        <v>0</v>
      </c>
      <c r="H3210" t="n">
        <v>0.3252662283</v>
      </c>
      <c r="I3210" t="n">
        <v>0.2</v>
      </c>
      <c r="J3210" t="n">
        <v>7</v>
      </c>
      <c r="K3210" t="inlineStr">
        <is>
          <t>Sin stock</t>
        </is>
      </c>
    </row>
    <row r="3211">
      <c r="A3211" t="inlineStr">
        <is>
          <t>MANMIGE30TG</t>
        </is>
      </c>
      <c r="B3211" t="inlineStr">
        <is>
          <t>MANGAS GENERAL</t>
        </is>
      </c>
      <c r="C3211" t="inlineStr">
        <is>
          <t>Manufactura / General</t>
        </is>
      </c>
      <c r="D3211" t="n">
        <v>1</v>
      </c>
      <c r="E3211" t="n">
        <v>16.6932886</v>
      </c>
      <c r="F3211" t="n">
        <v>0.9448880312</v>
      </c>
      <c r="G3211" t="n">
        <v>0</v>
      </c>
      <c r="H3211" t="n">
        <v>0.92</v>
      </c>
      <c r="I3211" t="n">
        <v>0.1</v>
      </c>
      <c r="J3211" t="n">
        <v>2</v>
      </c>
      <c r="K3211" t="inlineStr">
        <is>
          <t>Sin stock</t>
        </is>
      </c>
    </row>
    <row r="3212">
      <c r="A3212" t="inlineStr">
        <is>
          <t>MANMIGE48TP</t>
        </is>
      </c>
      <c r="B3212" t="inlineStr">
        <is>
          <t>MANGAS GENERAL</t>
        </is>
      </c>
      <c r="C3212" t="inlineStr">
        <is>
          <t>Manufactura / General</t>
        </is>
      </c>
      <c r="D3212" t="n">
        <v>1</v>
      </c>
      <c r="E3212" t="n">
        <v>16.56304681</v>
      </c>
      <c r="F3212" t="n">
        <v>0.944454664</v>
      </c>
      <c r="G3212" t="n">
        <v>9</v>
      </c>
      <c r="H3212" t="n">
        <v>0.92</v>
      </c>
      <c r="I3212" t="n">
        <v>0.1</v>
      </c>
      <c r="J3212" t="n">
        <v>9</v>
      </c>
      <c r="K3212" t="inlineStr"/>
    </row>
    <row r="3213">
      <c r="A3213" t="inlineStr">
        <is>
          <t>BUFMIGE09TUN</t>
        </is>
      </c>
      <c r="B3213" t="inlineStr">
        <is>
          <t>FLEX COVER</t>
        </is>
      </c>
      <c r="C3213" t="inlineStr">
        <is>
          <t>Manufactura / General</t>
        </is>
      </c>
      <c r="D3213" t="n">
        <v>1</v>
      </c>
      <c r="E3213" t="n">
        <v>16.48276954</v>
      </c>
      <c r="F3213" t="n">
        <v>0.8659205909</v>
      </c>
      <c r="G3213" t="n">
        <v>3</v>
      </c>
      <c r="H3213" t="n">
        <v>2.21</v>
      </c>
      <c r="I3213" t="n">
        <v>0.1</v>
      </c>
      <c r="J3213" t="n">
        <v>4</v>
      </c>
      <c r="K3213" t="inlineStr"/>
    </row>
    <row r="3214">
      <c r="A3214" t="inlineStr">
        <is>
          <t>PETMIPE34TS</t>
        </is>
      </c>
      <c r="B3214" t="inlineStr">
        <is>
          <t>BANDANA PET</t>
        </is>
      </c>
      <c r="C3214" t="inlineStr">
        <is>
          <t>Manufactura / General</t>
        </is>
      </c>
      <c r="D3214" t="n">
        <v>1</v>
      </c>
      <c r="E3214" t="n">
        <v>16.08574081</v>
      </c>
      <c r="F3214" t="n">
        <v>0.9797792199000001</v>
      </c>
      <c r="G3214" t="n">
        <v>0</v>
      </c>
      <c r="H3214" t="n">
        <v>0.3252662283</v>
      </c>
      <c r="I3214" t="n">
        <v>0.1</v>
      </c>
      <c r="J3214" t="n">
        <v>4</v>
      </c>
      <c r="K3214" t="inlineStr">
        <is>
          <t>Sin stock</t>
        </is>
      </c>
    </row>
    <row r="3215">
      <c r="A3215" t="inlineStr">
        <is>
          <t>MANMIGE34TP</t>
        </is>
      </c>
      <c r="B3215" t="inlineStr">
        <is>
          <t>MANGAS GENERAL</t>
        </is>
      </c>
      <c r="C3215" t="inlineStr">
        <is>
          <t>Manufactura / General</t>
        </is>
      </c>
      <c r="D3215" t="n">
        <v>1</v>
      </c>
      <c r="E3215" t="n">
        <v>15.69225219</v>
      </c>
      <c r="F3215" t="n">
        <v>0.9413723416000001</v>
      </c>
      <c r="G3215" t="n">
        <v>3</v>
      </c>
      <c r="H3215" t="n">
        <v>0.92</v>
      </c>
      <c r="I3215" t="n">
        <v>0.1</v>
      </c>
      <c r="J3215" t="n">
        <v>9</v>
      </c>
      <c r="K3215" t="inlineStr"/>
    </row>
    <row r="3216">
      <c r="A3216" t="inlineStr">
        <is>
          <t>MANMEGE09TG</t>
        </is>
      </c>
      <c r="B3216" t="inlineStr">
        <is>
          <t>MANGAS SPORT MESH</t>
        </is>
      </c>
      <c r="C3216" t="inlineStr">
        <is>
          <t>Manufactura / General</t>
        </is>
      </c>
      <c r="D3216" t="n">
        <v>1</v>
      </c>
      <c r="E3216" t="n">
        <v>15.52373308</v>
      </c>
      <c r="F3216" t="n">
        <v>0.9278524054</v>
      </c>
      <c r="G3216" t="n">
        <v>0</v>
      </c>
      <c r="H3216" t="n">
        <v>1.12</v>
      </c>
      <c r="I3216" t="n">
        <v>0.1</v>
      </c>
      <c r="J3216" t="n">
        <v>5</v>
      </c>
      <c r="K3216" t="inlineStr">
        <is>
          <t>Sin stock</t>
        </is>
      </c>
    </row>
    <row r="3217">
      <c r="A3217" t="inlineStr">
        <is>
          <t>MANMIGE28TG</t>
        </is>
      </c>
      <c r="B3217" t="inlineStr">
        <is>
          <t>MANGAS GENERAL</t>
        </is>
      </c>
      <c r="C3217" t="inlineStr">
        <is>
          <t>Manufactura / General</t>
        </is>
      </c>
      <c r="D3217" t="n">
        <v>1</v>
      </c>
      <c r="E3217" t="n">
        <v>15.52373308</v>
      </c>
      <c r="F3217" t="n">
        <v>0.9407359045</v>
      </c>
      <c r="G3217" t="n">
        <v>1</v>
      </c>
      <c r="H3217" t="n">
        <v>0.92</v>
      </c>
      <c r="I3217" t="n">
        <v>0.1</v>
      </c>
      <c r="J3217" t="n">
        <v>5</v>
      </c>
      <c r="K3217" t="inlineStr"/>
    </row>
    <row r="3218">
      <c r="A3218" t="inlineStr">
        <is>
          <t>MANMIGE39TP</t>
        </is>
      </c>
      <c r="B3218" t="inlineStr">
        <is>
          <t>MANGAS GENERAL</t>
        </is>
      </c>
      <c r="C3218" t="inlineStr">
        <is>
          <t>Manufactura / General</t>
        </is>
      </c>
      <c r="D3218" t="n">
        <v>1</v>
      </c>
      <c r="E3218" t="n">
        <v>15.48175604</v>
      </c>
      <c r="F3218" t="n">
        <v>0.9405752165</v>
      </c>
      <c r="G3218" t="n">
        <v>2</v>
      </c>
      <c r="H3218" t="n">
        <v>0.92</v>
      </c>
      <c r="I3218" t="n">
        <v>0.1</v>
      </c>
      <c r="J3218" t="n">
        <v>2</v>
      </c>
      <c r="K3218" t="inlineStr"/>
    </row>
    <row r="3219">
      <c r="A3219" t="inlineStr">
        <is>
          <t>SABMIDA43TL</t>
        </is>
      </c>
      <c r="B3219" t="inlineStr">
        <is>
          <t>SABRI ORIGINAL DAMA</t>
        </is>
      </c>
      <c r="C3219" t="inlineStr">
        <is>
          <t>Manufactura / Dama / P. Superiores</t>
        </is>
      </c>
      <c r="D3219" t="n">
        <v>1</v>
      </c>
      <c r="E3219" t="n">
        <v>13.70039893</v>
      </c>
      <c r="F3219" t="n">
        <v>0.6708125052</v>
      </c>
      <c r="G3219" t="n">
        <v>0</v>
      </c>
      <c r="H3219" t="n">
        <v>4.51</v>
      </c>
      <c r="I3219" t="n">
        <v>0.1</v>
      </c>
      <c r="J3219" t="n">
        <v>8</v>
      </c>
      <c r="K3219" t="inlineStr">
        <is>
          <t>Sin stock</t>
        </is>
      </c>
    </row>
    <row r="3220">
      <c r="A3220" t="inlineStr">
        <is>
          <t>BUFMIGE48TUN</t>
        </is>
      </c>
      <c r="B3220" t="inlineStr">
        <is>
          <t>FLEX COVER</t>
        </is>
      </c>
      <c r="C3220" t="inlineStr">
        <is>
          <t>Manufactura / General</t>
        </is>
      </c>
      <c r="D3220" t="n">
        <v>1</v>
      </c>
      <c r="E3220" t="n">
        <v>13.66037191</v>
      </c>
      <c r="F3220" t="n">
        <v>0.8382181676</v>
      </c>
      <c r="G3220" t="n">
        <v>5</v>
      </c>
      <c r="H3220" t="n">
        <v>2.21</v>
      </c>
      <c r="I3220" t="n">
        <v>0.1</v>
      </c>
      <c r="J3220" t="n">
        <v>2</v>
      </c>
      <c r="K3220" t="inlineStr"/>
    </row>
    <row r="3221">
      <c r="A3221" t="inlineStr">
        <is>
          <t>BAN60EQ</t>
        </is>
      </c>
      <c r="B3221" t="inlineStr">
        <is>
          <t>CUADRO BAND</t>
        </is>
      </c>
      <c r="C3221" t="inlineStr">
        <is>
          <t>Equipamiento / Accesorios</t>
        </is>
      </c>
      <c r="D3221" t="n">
        <v>5</v>
      </c>
      <c r="E3221" t="n">
        <v>13.582989146</v>
      </c>
      <c r="F3221" t="n">
        <v>0.88351852698</v>
      </c>
      <c r="G3221" t="n">
        <v>0</v>
      </c>
      <c r="H3221" t="n">
        <v>0.3159183673</v>
      </c>
      <c r="I3221" t="n">
        <v>0.5</v>
      </c>
      <c r="J3221" t="n">
        <v>2</v>
      </c>
      <c r="K3221" t="inlineStr">
        <is>
          <t>Sin stock</t>
        </is>
      </c>
    </row>
    <row r="3222">
      <c r="A3222" t="inlineStr">
        <is>
          <t>MANMEGE30TG</t>
        </is>
      </c>
      <c r="B3222" t="inlineStr">
        <is>
          <t>MANGAS SPORT MESH</t>
        </is>
      </c>
      <c r="C3222" t="inlineStr">
        <is>
          <t>Manufactura / General</t>
        </is>
      </c>
      <c r="D3222" t="n">
        <v>1</v>
      </c>
      <c r="E3222" t="n">
        <v>13</v>
      </c>
      <c r="F3222" t="n">
        <v>0.9138461538</v>
      </c>
      <c r="G3222" t="n">
        <v>0</v>
      </c>
      <c r="H3222" t="n">
        <v>1.12</v>
      </c>
      <c r="I3222" t="n">
        <v>0.1</v>
      </c>
      <c r="J3222" t="n">
        <v>1</v>
      </c>
      <c r="K3222" t="inlineStr">
        <is>
          <t>Sin stock</t>
        </is>
      </c>
    </row>
    <row r="3223">
      <c r="A3223" t="inlineStr">
        <is>
          <t>MANMIGE01TG</t>
        </is>
      </c>
      <c r="B3223" t="inlineStr">
        <is>
          <t>MANGAS GENERAL</t>
        </is>
      </c>
      <c r="C3223" t="inlineStr">
        <is>
          <t>Manufactura / General</t>
        </is>
      </c>
      <c r="D3223" t="n">
        <v>2</v>
      </c>
      <c r="E3223" t="n">
        <v>12.99374626</v>
      </c>
      <c r="F3223" t="n">
        <v>0.9291967088</v>
      </c>
      <c r="G3223" t="n">
        <v>5</v>
      </c>
      <c r="H3223" t="n">
        <v>0.92</v>
      </c>
      <c r="I3223" t="n">
        <v>0.2</v>
      </c>
      <c r="J3223" t="n">
        <v>3</v>
      </c>
      <c r="K3223" t="inlineStr"/>
    </row>
    <row r="3224">
      <c r="A3224" t="inlineStr">
        <is>
          <t>DAMSTKI16T2</t>
        </is>
      </c>
      <c r="B3224" t="inlineStr">
        <is>
          <t>MANGA LARGA DAILY KIDS</t>
        </is>
      </c>
      <c r="C3224" t="inlineStr">
        <is>
          <t>Manufactura / Kids / P. Superiores</t>
        </is>
      </c>
      <c r="D3224" t="n">
        <v>1</v>
      </c>
      <c r="E3224" t="n">
        <v>12.64020925</v>
      </c>
      <c r="F3224" t="n">
        <v>0.2009625951</v>
      </c>
      <c r="G3224" t="n">
        <v>0</v>
      </c>
      <c r="H3224" t="n">
        <v>10.1</v>
      </c>
      <c r="I3224" t="n">
        <v>0.1</v>
      </c>
      <c r="J3224" t="n">
        <v>9</v>
      </c>
      <c r="K3224" t="inlineStr">
        <is>
          <t>Sin stock</t>
        </is>
      </c>
    </row>
    <row r="3225">
      <c r="A3225" t="inlineStr">
        <is>
          <t>PETMIPE66TM</t>
        </is>
      </c>
      <c r="B3225" t="inlineStr">
        <is>
          <t>BANDANA PET</t>
        </is>
      </c>
      <c r="C3225" t="inlineStr">
        <is>
          <t>Manufactura / General</t>
        </is>
      </c>
      <c r="D3225" t="n">
        <v>1</v>
      </c>
      <c r="E3225" t="n">
        <v>12.6</v>
      </c>
      <c r="F3225" t="n">
        <v>0.97418522</v>
      </c>
      <c r="G3225" t="n">
        <v>125</v>
      </c>
      <c r="H3225" t="n">
        <v>0.3252662283</v>
      </c>
      <c r="I3225" t="n">
        <v>0.1</v>
      </c>
      <c r="J3225" t="n">
        <v>0</v>
      </c>
      <c r="K3225" t="inlineStr"/>
    </row>
    <row r="3226">
      <c r="A3226" t="inlineStr">
        <is>
          <t>PETMIPE70TL</t>
        </is>
      </c>
      <c r="B3226" t="inlineStr">
        <is>
          <t>BANDANA PET</t>
        </is>
      </c>
      <c r="C3226" t="inlineStr">
        <is>
          <t>Manufactura / General</t>
        </is>
      </c>
      <c r="D3226" t="n">
        <v>1</v>
      </c>
      <c r="E3226" t="n">
        <v>12.6</v>
      </c>
      <c r="F3226" t="n">
        <v>0.97418522</v>
      </c>
      <c r="G3226" t="n">
        <v>0</v>
      </c>
      <c r="H3226" t="n">
        <v>0.3252662283</v>
      </c>
      <c r="I3226" t="n">
        <v>0.1</v>
      </c>
      <c r="J3226" t="n">
        <v>0</v>
      </c>
      <c r="K3226" t="inlineStr">
        <is>
          <t>Sin stock</t>
        </is>
      </c>
    </row>
    <row r="3227">
      <c r="A3227" t="inlineStr">
        <is>
          <t>CLAMIKI24T14</t>
        </is>
      </c>
      <c r="B3227" t="inlineStr">
        <is>
          <t>CLASICA ORIGINAL KIDS</t>
        </is>
      </c>
      <c r="C3227" t="inlineStr">
        <is>
          <t>Manufactura / Kids / P. Superiores</t>
        </is>
      </c>
      <c r="D3227" t="n">
        <v>1</v>
      </c>
      <c r="E3227" t="n">
        <v>12.51379995</v>
      </c>
      <c r="F3227" t="n">
        <v>0.8358792041999999</v>
      </c>
      <c r="G3227" t="n">
        <v>0</v>
      </c>
      <c r="H3227" t="n">
        <v>2.053774806</v>
      </c>
      <c r="I3227" t="n">
        <v>0.1</v>
      </c>
      <c r="J3227" t="n">
        <v>9</v>
      </c>
      <c r="K3227" t="inlineStr">
        <is>
          <t>Sin stock</t>
        </is>
      </c>
    </row>
    <row r="3228">
      <c r="A3228" t="inlineStr">
        <is>
          <t>MANMIGE11TP</t>
        </is>
      </c>
      <c r="B3228" t="inlineStr">
        <is>
          <t>MANGAS GENERAL</t>
        </is>
      </c>
      <c r="C3228" t="inlineStr">
        <is>
          <t>Manufactura / General</t>
        </is>
      </c>
      <c r="D3228" t="n">
        <v>1</v>
      </c>
      <c r="E3228" t="n">
        <v>12</v>
      </c>
      <c r="F3228" t="n">
        <v>0.9233333333</v>
      </c>
      <c r="G3228" t="n">
        <v>27</v>
      </c>
      <c r="H3228" t="n">
        <v>0.92</v>
      </c>
      <c r="I3228" t="n">
        <v>0.1</v>
      </c>
      <c r="J3228" t="n">
        <v>0</v>
      </c>
      <c r="K3228" t="inlineStr"/>
    </row>
    <row r="3229">
      <c r="A3229" t="inlineStr">
        <is>
          <t>PETMIPE39TM</t>
        </is>
      </c>
      <c r="B3229" t="inlineStr">
        <is>
          <t>BANDANA PET</t>
        </is>
      </c>
      <c r="C3229" t="inlineStr">
        <is>
          <t>Manufactura / General</t>
        </is>
      </c>
      <c r="D3229" t="n">
        <v>1</v>
      </c>
      <c r="E3229" t="n">
        <v>12</v>
      </c>
      <c r="F3229" t="n">
        <v>0.972894481</v>
      </c>
      <c r="G3229" t="n">
        <v>85</v>
      </c>
      <c r="H3229" t="n">
        <v>0.3252662283</v>
      </c>
      <c r="I3229" t="n">
        <v>0.1</v>
      </c>
      <c r="J3229" t="n">
        <v>0</v>
      </c>
      <c r="K3229" t="inlineStr"/>
    </row>
    <row r="3230">
      <c r="A3230" t="inlineStr">
        <is>
          <t>PETMIPE01TL</t>
        </is>
      </c>
      <c r="B3230" t="inlineStr">
        <is>
          <t>BANDANA PET</t>
        </is>
      </c>
      <c r="C3230" t="inlineStr">
        <is>
          <t>Manufactura / General</t>
        </is>
      </c>
      <c r="D3230" t="n">
        <v>1</v>
      </c>
      <c r="E3230" t="n">
        <v>12</v>
      </c>
      <c r="F3230" t="n">
        <v>0.972894481</v>
      </c>
      <c r="G3230" t="n">
        <v>110</v>
      </c>
      <c r="H3230" t="n">
        <v>0.3252662283</v>
      </c>
      <c r="I3230" t="n">
        <v>0.1</v>
      </c>
      <c r="J3230" t="n">
        <v>0</v>
      </c>
      <c r="K3230" t="inlineStr"/>
    </row>
    <row r="3231">
      <c r="A3231" t="inlineStr">
        <is>
          <t>PETMIPE66TL</t>
        </is>
      </c>
      <c r="B3231" t="inlineStr">
        <is>
          <t>BANDANA PET</t>
        </is>
      </c>
      <c r="C3231" t="inlineStr">
        <is>
          <t>Manufactura / General</t>
        </is>
      </c>
      <c r="D3231" t="n">
        <v>1</v>
      </c>
      <c r="E3231" t="n">
        <v>12</v>
      </c>
      <c r="F3231" t="n">
        <v>0.972894481</v>
      </c>
      <c r="G3231" t="n">
        <v>8</v>
      </c>
      <c r="H3231" t="n">
        <v>0.3252662283</v>
      </c>
      <c r="I3231" t="n">
        <v>0.1</v>
      </c>
      <c r="J3231" t="n">
        <v>0</v>
      </c>
      <c r="K3231" t="inlineStr"/>
    </row>
    <row r="3232">
      <c r="A3232" t="inlineStr">
        <is>
          <t>PETMIPE09TXL</t>
        </is>
      </c>
      <c r="B3232" t="inlineStr">
        <is>
          <t>BANDANA PET</t>
        </is>
      </c>
      <c r="C3232" t="inlineStr">
        <is>
          <t>Manufactura / General</t>
        </is>
      </c>
      <c r="D3232" t="n">
        <v>2</v>
      </c>
      <c r="E3232" t="n">
        <v>11.87152006</v>
      </c>
      <c r="F3232" t="n">
        <v>0.9726011305</v>
      </c>
      <c r="G3232" t="n">
        <v>0</v>
      </c>
      <c r="H3232" t="n">
        <v>0.3252662283</v>
      </c>
      <c r="I3232" t="n">
        <v>0.2</v>
      </c>
      <c r="J3232" t="n">
        <v>2</v>
      </c>
      <c r="K3232" t="inlineStr">
        <is>
          <t>Sin stock</t>
        </is>
      </c>
    </row>
    <row r="3233">
      <c r="A3233" t="inlineStr">
        <is>
          <t>PETMIPE53TS</t>
        </is>
      </c>
      <c r="B3233" t="inlineStr">
        <is>
          <t>BANDANA PET</t>
        </is>
      </c>
      <c r="C3233" t="inlineStr">
        <is>
          <t>Manufactura / General</t>
        </is>
      </c>
      <c r="D3233" t="n">
        <v>1</v>
      </c>
      <c r="E3233" t="n">
        <v>11.60112154</v>
      </c>
      <c r="F3233" t="n">
        <v>0.9719625187000001</v>
      </c>
      <c r="G3233" t="n">
        <v>0</v>
      </c>
      <c r="H3233" t="n">
        <v>0.3252662283</v>
      </c>
      <c r="I3233" t="n">
        <v>0.1</v>
      </c>
      <c r="J3233" t="n">
        <v>7</v>
      </c>
      <c r="K3233" t="inlineStr">
        <is>
          <t>Sin stock</t>
        </is>
      </c>
    </row>
    <row r="3234">
      <c r="A3234" t="inlineStr">
        <is>
          <t>SARSPKI13T6</t>
        </is>
      </c>
      <c r="B3234" t="inlineStr">
        <is>
          <t>FALDA SARA KIDS</t>
        </is>
      </c>
      <c r="C3234" t="inlineStr">
        <is>
          <t>Manufactura / Kids / P. Inferiores</t>
        </is>
      </c>
      <c r="D3234" t="n">
        <v>0</v>
      </c>
      <c r="E3234" t="n">
        <v>11.52161025</v>
      </c>
      <c r="F3234" t="n">
        <v>0.7893418652499999</v>
      </c>
      <c r="G3234" t="n">
        <v>0</v>
      </c>
      <c r="H3234" t="n">
        <v>5.753743316</v>
      </c>
      <c r="I3234" t="n">
        <v>0</v>
      </c>
      <c r="J3234" t="n">
        <v>6</v>
      </c>
      <c r="K3234" t="inlineStr">
        <is>
          <t>Sin stock</t>
        </is>
      </c>
    </row>
    <row r="3235">
      <c r="A3235" t="inlineStr">
        <is>
          <t>PETMIPE24TS</t>
        </is>
      </c>
      <c r="B3235" t="inlineStr">
        <is>
          <t>BANDANA PET</t>
        </is>
      </c>
      <c r="C3235" t="inlineStr">
        <is>
          <t>Manufactura / General</t>
        </is>
      </c>
      <c r="D3235" t="n">
        <v>1</v>
      </c>
      <c r="E3235" t="n">
        <v>11.48594751</v>
      </c>
      <c r="F3235" t="n">
        <v>0.971681376</v>
      </c>
      <c r="G3235" t="n">
        <v>0</v>
      </c>
      <c r="H3235" t="n">
        <v>0.3252662283</v>
      </c>
      <c r="I3235" t="n">
        <v>0.1</v>
      </c>
      <c r="J3235" t="n">
        <v>7</v>
      </c>
      <c r="K3235" t="inlineStr">
        <is>
          <t>Sin stock</t>
        </is>
      </c>
    </row>
    <row r="3236">
      <c r="A3236" t="inlineStr">
        <is>
          <t>PETMIPE40TXL</t>
        </is>
      </c>
      <c r="B3236" t="inlineStr">
        <is>
          <t>BANDANA PET</t>
        </is>
      </c>
      <c r="C3236" t="inlineStr">
        <is>
          <t>Manufactura / General</t>
        </is>
      </c>
      <c r="D3236" t="n">
        <v>1</v>
      </c>
      <c r="E3236" t="n">
        <v>11.36420347</v>
      </c>
      <c r="F3236" t="n">
        <v>0.9713780003</v>
      </c>
      <c r="G3236" t="n">
        <v>0</v>
      </c>
      <c r="H3236" t="n">
        <v>0.3252662283</v>
      </c>
      <c r="I3236" t="n">
        <v>0.1</v>
      </c>
      <c r="J3236" t="n">
        <v>7</v>
      </c>
      <c r="K3236" t="inlineStr">
        <is>
          <t>Sin stock</t>
        </is>
      </c>
    </row>
    <row r="3237">
      <c r="A3237" t="inlineStr">
        <is>
          <t>BUFMIGE04TUN</t>
        </is>
      </c>
      <c r="B3237" t="inlineStr">
        <is>
          <t>FLEX COVER</t>
        </is>
      </c>
      <c r="C3237" t="inlineStr">
        <is>
          <t>Manufactura / General</t>
        </is>
      </c>
      <c r="D3237" t="n">
        <v>2</v>
      </c>
      <c r="E3237" t="n">
        <v>11.24912898</v>
      </c>
      <c r="F3237" t="n">
        <v>0.8035403448</v>
      </c>
      <c r="G3237" t="n">
        <v>3</v>
      </c>
      <c r="H3237" t="n">
        <v>2.21</v>
      </c>
      <c r="I3237" t="n">
        <v>0.2</v>
      </c>
      <c r="J3237" t="n">
        <v>7</v>
      </c>
      <c r="K3237" t="inlineStr"/>
    </row>
    <row r="3238">
      <c r="A3238" t="inlineStr">
        <is>
          <t>P01</t>
        </is>
      </c>
      <c r="B3238" t="inlineStr">
        <is>
          <t>PARCHES</t>
        </is>
      </c>
      <c r="C3238" t="inlineStr">
        <is>
          <t>Equipamiento / Accesorios</t>
        </is>
      </c>
      <c r="D3238" t="n">
        <v>3</v>
      </c>
      <c r="E3238" t="n">
        <v>10.367056701</v>
      </c>
      <c r="F3238" t="n">
        <v>0.80054438205</v>
      </c>
      <c r="G3238" t="n">
        <v>13</v>
      </c>
      <c r="H3238" t="n">
        <v>0.98</v>
      </c>
      <c r="I3238" t="n">
        <v>0.3</v>
      </c>
      <c r="J3238" t="n">
        <v>2</v>
      </c>
      <c r="K3238" t="inlineStr"/>
    </row>
    <row r="3239">
      <c r="A3239" t="inlineStr">
        <is>
          <t>PETMIPE48TL</t>
        </is>
      </c>
      <c r="B3239" t="inlineStr">
        <is>
          <t>BANDANA PET</t>
        </is>
      </c>
      <c r="C3239" t="inlineStr">
        <is>
          <t>Manufactura / General</t>
        </is>
      </c>
      <c r="D3239" t="n">
        <v>1</v>
      </c>
      <c r="E3239" t="n">
        <v>10.08595653</v>
      </c>
      <c r="F3239" t="n">
        <v>0.967750582</v>
      </c>
      <c r="G3239" t="n">
        <v>0</v>
      </c>
      <c r="H3239" t="n">
        <v>0.3252662283</v>
      </c>
      <c r="I3239" t="n">
        <v>0.1</v>
      </c>
      <c r="J3239" t="n">
        <v>9</v>
      </c>
      <c r="K3239" t="inlineStr">
        <is>
          <t>Sin stock</t>
        </is>
      </c>
    </row>
    <row r="3240">
      <c r="A3240" t="inlineStr">
        <is>
          <t>BUFMIGE05TUN</t>
        </is>
      </c>
      <c r="B3240" t="inlineStr">
        <is>
          <t>FLEX COVER</t>
        </is>
      </c>
      <c r="C3240" t="inlineStr">
        <is>
          <t>Manufactura / General</t>
        </is>
      </c>
      <c r="D3240" t="n">
        <v>1</v>
      </c>
      <c r="E3240" t="n">
        <v>10.00040707</v>
      </c>
      <c r="F3240" t="n">
        <v>0.7790089958</v>
      </c>
      <c r="G3240" t="n">
        <v>7</v>
      </c>
      <c r="H3240" t="n">
        <v>2.21</v>
      </c>
      <c r="I3240" t="n">
        <v>0.1</v>
      </c>
      <c r="J3240" t="n">
        <v>8</v>
      </c>
      <c r="K3240" t="inlineStr"/>
    </row>
    <row r="3241">
      <c r="A3241" t="inlineStr">
        <is>
          <t>PETMIPE70TM</t>
        </is>
      </c>
      <c r="B3241" t="inlineStr">
        <is>
          <t>BANDANA PET</t>
        </is>
      </c>
      <c r="C3241" t="inlineStr">
        <is>
          <t>Manufactura / General</t>
        </is>
      </c>
      <c r="D3241" t="n">
        <v>1</v>
      </c>
      <c r="E3241" t="n">
        <v>9.625498657</v>
      </c>
      <c r="F3241" t="n">
        <v>0.9662078569</v>
      </c>
      <c r="G3241" t="n">
        <v>0</v>
      </c>
      <c r="H3241" t="n">
        <v>0.3252662283</v>
      </c>
      <c r="I3241" t="n">
        <v>0.1</v>
      </c>
      <c r="J3241" t="n">
        <v>8</v>
      </c>
      <c r="K3241" t="inlineStr">
        <is>
          <t>Sin stock</t>
        </is>
      </c>
    </row>
    <row r="3242">
      <c r="A3242" t="inlineStr">
        <is>
          <t>BAN04EL</t>
        </is>
      </c>
      <c r="B3242" t="inlineStr">
        <is>
          <t>CUADRO BAND ELASTIC</t>
        </is>
      </c>
      <c r="C3242" t="inlineStr">
        <is>
          <t>Equipamiento / Accesorios</t>
        </is>
      </c>
      <c r="D3242" t="n">
        <v>10</v>
      </c>
      <c r="E3242" t="n">
        <v>9.548828703</v>
      </c>
      <c r="F3242" t="n">
        <v>0.8704801832</v>
      </c>
      <c r="G3242" t="n">
        <v>76</v>
      </c>
      <c r="H3242" t="n">
        <v>0.3</v>
      </c>
      <c r="I3242" t="n">
        <v>1</v>
      </c>
      <c r="J3242" t="n">
        <v>0</v>
      </c>
      <c r="K3242" t="inlineStr"/>
    </row>
    <row r="3243">
      <c r="A3243" t="inlineStr">
        <is>
          <t>PETMIPE43TL</t>
        </is>
      </c>
      <c r="B3243" t="inlineStr">
        <is>
          <t>BANDANA PET</t>
        </is>
      </c>
      <c r="C3243" t="inlineStr">
        <is>
          <t>Manufactura / General</t>
        </is>
      </c>
      <c r="D3243" t="n">
        <v>1</v>
      </c>
      <c r="E3243" t="n">
        <v>9.407066678</v>
      </c>
      <c r="F3243" t="n">
        <v>0.9654232037</v>
      </c>
      <c r="G3243" t="n">
        <v>0</v>
      </c>
      <c r="H3243" t="n">
        <v>0.3252662283</v>
      </c>
      <c r="I3243" t="n">
        <v>0.1</v>
      </c>
      <c r="J3243" t="n">
        <v>8</v>
      </c>
      <c r="K3243" t="inlineStr">
        <is>
          <t>Sin stock</t>
        </is>
      </c>
    </row>
    <row r="3244">
      <c r="A3244" t="inlineStr">
        <is>
          <t>BAN163CC</t>
        </is>
      </c>
      <c r="B3244" t="inlineStr">
        <is>
          <t>CUADRO BAND</t>
        </is>
      </c>
      <c r="C3244" t="inlineStr">
        <is>
          <t>Equipamiento / Accesorios</t>
        </is>
      </c>
      <c r="D3244" t="n">
        <v>4</v>
      </c>
      <c r="E3244" t="n">
        <v>9.396044808999999</v>
      </c>
      <c r="F3244" t="n">
        <v>0.856962471125</v>
      </c>
      <c r="G3244" t="n">
        <v>19</v>
      </c>
      <c r="H3244" t="n">
        <v>0.3159183673</v>
      </c>
      <c r="I3244" t="n">
        <v>0.4</v>
      </c>
      <c r="J3244" t="n">
        <v>2</v>
      </c>
      <c r="K3244" t="inlineStr"/>
    </row>
    <row r="3245">
      <c r="A3245" t="inlineStr">
        <is>
          <t>PETMIPE11TS</t>
        </is>
      </c>
      <c r="B3245" t="inlineStr">
        <is>
          <t>BANDANA PET</t>
        </is>
      </c>
      <c r="C3245" t="inlineStr">
        <is>
          <t>Manufactura / General</t>
        </is>
      </c>
      <c r="D3245" t="n">
        <v>1</v>
      </c>
      <c r="E3245" t="n">
        <v>9.188328672999999</v>
      </c>
      <c r="F3245" t="n">
        <v>0.964600066</v>
      </c>
      <c r="G3245" t="n">
        <v>0</v>
      </c>
      <c r="H3245" t="n">
        <v>0.3252662283</v>
      </c>
      <c r="I3245" t="n">
        <v>0.1</v>
      </c>
      <c r="J3245" t="n">
        <v>9</v>
      </c>
      <c r="K3245" t="inlineStr">
        <is>
          <t>Sin stock</t>
        </is>
      </c>
    </row>
    <row r="3246">
      <c r="A3246" t="inlineStr">
        <is>
          <t>PETMIPE12TM</t>
        </is>
      </c>
      <c r="B3246" t="inlineStr">
        <is>
          <t>BANDANA PET</t>
        </is>
      </c>
      <c r="C3246" t="inlineStr">
        <is>
          <t>Manufactura / General</t>
        </is>
      </c>
      <c r="D3246" t="n">
        <v>1</v>
      </c>
      <c r="E3246" t="n">
        <v>9.177323555999999</v>
      </c>
      <c r="F3246" t="n">
        <v>0.9645576157</v>
      </c>
      <c r="G3246" t="n">
        <v>0</v>
      </c>
      <c r="H3246" t="n">
        <v>0.3252662283</v>
      </c>
      <c r="I3246" t="n">
        <v>0.1</v>
      </c>
      <c r="J3246" t="n">
        <v>7</v>
      </c>
      <c r="K3246" t="inlineStr">
        <is>
          <t>Sin stock</t>
        </is>
      </c>
    </row>
    <row r="3247">
      <c r="A3247" t="inlineStr">
        <is>
          <t>PETMIPE09TL</t>
        </is>
      </c>
      <c r="B3247" t="inlineStr">
        <is>
          <t>BANDANA PET</t>
        </is>
      </c>
      <c r="C3247" t="inlineStr">
        <is>
          <t>Manufactura / General</t>
        </is>
      </c>
      <c r="D3247" t="n">
        <v>1</v>
      </c>
      <c r="E3247" t="n">
        <v>9.133599284000001</v>
      </c>
      <c r="F3247" t="n">
        <v>0.9643879463</v>
      </c>
      <c r="G3247" t="n">
        <v>0</v>
      </c>
      <c r="H3247" t="n">
        <v>0.3252662283</v>
      </c>
      <c r="I3247" t="n">
        <v>0.1</v>
      </c>
      <c r="J3247" t="n">
        <v>4</v>
      </c>
      <c r="K3247" t="inlineStr">
        <is>
          <t>Sin stock</t>
        </is>
      </c>
    </row>
    <row r="3248">
      <c r="A3248" t="inlineStr">
        <is>
          <t>PETMIPE11TL</t>
        </is>
      </c>
      <c r="B3248" t="inlineStr">
        <is>
          <t>BANDANA PET</t>
        </is>
      </c>
      <c r="C3248" t="inlineStr">
        <is>
          <t>Manufactura / General</t>
        </is>
      </c>
      <c r="D3248" t="n">
        <v>1</v>
      </c>
      <c r="E3248" t="n">
        <v>9.133599284000001</v>
      </c>
      <c r="F3248" t="n">
        <v>0.9643879463</v>
      </c>
      <c r="G3248" t="n">
        <v>0</v>
      </c>
      <c r="H3248" t="n">
        <v>0.3252662283</v>
      </c>
      <c r="I3248" t="n">
        <v>0.1</v>
      </c>
      <c r="J3248" t="n">
        <v>8</v>
      </c>
      <c r="K3248" t="inlineStr">
        <is>
          <t>Sin stock</t>
        </is>
      </c>
    </row>
    <row r="3249">
      <c r="A3249" t="inlineStr">
        <is>
          <t>BAN28EL</t>
        </is>
      </c>
      <c r="B3249" t="inlineStr">
        <is>
          <t>CUADRO BAND ELASTIC</t>
        </is>
      </c>
      <c r="C3249" t="inlineStr">
        <is>
          <t>Equipamiento / Accesorios</t>
        </is>
      </c>
      <c r="D3249" t="n">
        <v>10</v>
      </c>
      <c r="E3249" t="n">
        <v>8.500471270999999</v>
      </c>
      <c r="F3249" t="n">
        <v>0.8683965480166668</v>
      </c>
      <c r="G3249" t="n">
        <v>63</v>
      </c>
      <c r="H3249" t="n">
        <v>0.3</v>
      </c>
      <c r="I3249" t="n">
        <v>1</v>
      </c>
      <c r="J3249" t="n">
        <v>0</v>
      </c>
      <c r="K3249" t="inlineStr"/>
    </row>
    <row r="3250">
      <c r="A3250" t="inlineStr">
        <is>
          <t>PETMIPE52TS</t>
        </is>
      </c>
      <c r="B3250" t="inlineStr">
        <is>
          <t>BANDANA PET</t>
        </is>
      </c>
      <c r="C3250" t="inlineStr">
        <is>
          <t>Manufactura / General</t>
        </is>
      </c>
      <c r="D3250" t="n">
        <v>1</v>
      </c>
      <c r="E3250" t="n">
        <v>8.457079338</v>
      </c>
      <c r="F3250" t="n">
        <v>0.9358984277333334</v>
      </c>
      <c r="G3250" t="n">
        <v>0</v>
      </c>
      <c r="H3250" t="n">
        <v>0.3252662283</v>
      </c>
      <c r="I3250" t="n">
        <v>0.1</v>
      </c>
      <c r="J3250" t="n">
        <v>7</v>
      </c>
      <c r="K3250" t="inlineStr">
        <is>
          <t>Sin stock</t>
        </is>
      </c>
    </row>
    <row r="3251">
      <c r="A3251" t="inlineStr">
        <is>
          <t>PETMIPE48TXL</t>
        </is>
      </c>
      <c r="B3251" t="inlineStr">
        <is>
          <t>BANDANA PET</t>
        </is>
      </c>
      <c r="C3251" t="inlineStr">
        <is>
          <t>Manufactura / General</t>
        </is>
      </c>
      <c r="D3251" t="n">
        <v>1</v>
      </c>
      <c r="E3251" t="n">
        <v>8.457079338</v>
      </c>
      <c r="F3251" t="n">
        <v>0.9615391773999999</v>
      </c>
      <c r="G3251" t="n">
        <v>0</v>
      </c>
      <c r="H3251" t="n">
        <v>0.3252662283</v>
      </c>
      <c r="I3251" t="n">
        <v>0.1</v>
      </c>
      <c r="J3251" t="n">
        <v>7</v>
      </c>
      <c r="K3251" t="inlineStr">
        <is>
          <t>Sin stock</t>
        </is>
      </c>
    </row>
    <row r="3252">
      <c r="A3252" t="inlineStr">
        <is>
          <t>BAN01EQ</t>
        </is>
      </c>
      <c r="B3252" t="inlineStr">
        <is>
          <t>CUADRO BAND</t>
        </is>
      </c>
      <c r="C3252" t="inlineStr">
        <is>
          <t>Equipamiento / Accesorios</t>
        </is>
      </c>
      <c r="D3252" t="n">
        <v>3</v>
      </c>
      <c r="E3252" t="n">
        <v>8.191040834999999</v>
      </c>
      <c r="F3252" t="n">
        <v>0.84706777585</v>
      </c>
      <c r="G3252" t="n">
        <v>0</v>
      </c>
      <c r="H3252" t="n">
        <v>0.3159183673</v>
      </c>
      <c r="I3252" t="n">
        <v>0.3</v>
      </c>
      <c r="J3252" t="n">
        <v>0</v>
      </c>
      <c r="K3252" t="inlineStr">
        <is>
          <t>Sin stock</t>
        </is>
      </c>
    </row>
    <row r="3253">
      <c r="A3253" t="inlineStr">
        <is>
          <t>BAN70EQ</t>
        </is>
      </c>
      <c r="B3253" t="inlineStr">
        <is>
          <t>CUADRO BAND</t>
        </is>
      </c>
      <c r="C3253" t="inlineStr">
        <is>
          <t>Equipamiento / Accesorios</t>
        </is>
      </c>
      <c r="D3253" t="n">
        <v>3</v>
      </c>
      <c r="E3253" t="n">
        <v>7.563449952</v>
      </c>
      <c r="F3253" t="n">
        <v>0.8710289684333334</v>
      </c>
      <c r="G3253" t="n">
        <v>28</v>
      </c>
      <c r="H3253" t="n">
        <v>0.3159183673</v>
      </c>
      <c r="I3253" t="n">
        <v>0.3</v>
      </c>
      <c r="J3253" t="n">
        <v>3</v>
      </c>
      <c r="K3253" t="inlineStr"/>
    </row>
    <row r="3254">
      <c r="A3254" t="inlineStr">
        <is>
          <t>PETMIPE52TXL</t>
        </is>
      </c>
      <c r="B3254" t="inlineStr">
        <is>
          <t>BANDANA PET</t>
        </is>
      </c>
      <c r="C3254" t="inlineStr">
        <is>
          <t>Manufactura / General</t>
        </is>
      </c>
      <c r="D3254" t="n">
        <v>1</v>
      </c>
      <c r="E3254" t="n">
        <v>7.533479646</v>
      </c>
      <c r="F3254" t="n">
        <v>0.9568239056</v>
      </c>
      <c r="G3254" t="n">
        <v>0</v>
      </c>
      <c r="H3254" t="n">
        <v>0.3252662283</v>
      </c>
      <c r="I3254" t="n">
        <v>0.1</v>
      </c>
      <c r="J3254" t="n">
        <v>4</v>
      </c>
      <c r="K3254" t="inlineStr">
        <is>
          <t>Sin stock</t>
        </is>
      </c>
    </row>
    <row r="3255">
      <c r="A3255" t="inlineStr">
        <is>
          <t>PETMIPE13TM</t>
        </is>
      </c>
      <c r="B3255" t="inlineStr">
        <is>
          <t>BANDANA PET</t>
        </is>
      </c>
      <c r="C3255" t="inlineStr">
        <is>
          <t>Manufactura / General</t>
        </is>
      </c>
      <c r="D3255" t="n">
        <v>1</v>
      </c>
      <c r="E3255" t="n">
        <v>6.969049294</v>
      </c>
      <c r="F3255" t="n">
        <v>0.95332703</v>
      </c>
      <c r="G3255" t="n">
        <v>0</v>
      </c>
      <c r="H3255" t="n">
        <v>0.3252662283</v>
      </c>
      <c r="I3255" t="n">
        <v>0.1</v>
      </c>
      <c r="J3255" t="n">
        <v>2</v>
      </c>
      <c r="K3255" t="inlineStr">
        <is>
          <t>Sin stock</t>
        </is>
      </c>
    </row>
    <row r="3256">
      <c r="A3256" t="inlineStr">
        <is>
          <t>PEB212TP</t>
        </is>
      </c>
      <c r="B3256" t="inlineStr">
        <is>
          <t>PACK ECO BAG PEQUEÑO</t>
        </is>
      </c>
      <c r="C3256" t="inlineStr">
        <is>
          <t>Materia Prima / Estampados</t>
        </is>
      </c>
      <c r="D3256" t="n">
        <v>1</v>
      </c>
      <c r="E3256" t="n">
        <v>6.725008969</v>
      </c>
      <c r="F3256" t="n">
        <v>0</v>
      </c>
      <c r="G3256" t="n">
        <v>0</v>
      </c>
      <c r="H3256" t="n">
        <v>0</v>
      </c>
      <c r="I3256" t="n">
        <v>0.1</v>
      </c>
      <c r="J3256" t="n">
        <v>4</v>
      </c>
      <c r="K3256" t="inlineStr">
        <is>
          <t>Sin stock</t>
        </is>
      </c>
    </row>
    <row r="3257">
      <c r="A3257" t="inlineStr">
        <is>
          <t>PETMIPE50TXL</t>
        </is>
      </c>
      <c r="B3257" t="inlineStr">
        <is>
          <t>BANDANA PET</t>
        </is>
      </c>
      <c r="C3257" t="inlineStr">
        <is>
          <t>Manufactura / General</t>
        </is>
      </c>
      <c r="D3257" t="n">
        <v>1</v>
      </c>
      <c r="E3257" t="n">
        <v>5.935755384</v>
      </c>
      <c r="F3257" t="n">
        <v>0.9452022182000001</v>
      </c>
      <c r="G3257" t="n">
        <v>0</v>
      </c>
      <c r="H3257" t="n">
        <v>0.3252662283</v>
      </c>
      <c r="I3257" t="n">
        <v>0.1</v>
      </c>
      <c r="J3257" t="n">
        <v>7</v>
      </c>
      <c r="K3257" t="inlineStr">
        <is>
          <t>Sin stock</t>
        </is>
      </c>
    </row>
    <row r="3258">
      <c r="A3258" t="inlineStr">
        <is>
          <t>BAN67EL</t>
        </is>
      </c>
      <c r="B3258" t="inlineStr">
        <is>
          <t>CUADRO BAND ELASTIC</t>
        </is>
      </c>
      <c r="C3258" t="inlineStr">
        <is>
          <t>Equipamiento / Accesorios</t>
        </is>
      </c>
      <c r="D3258" t="n">
        <v>2</v>
      </c>
      <c r="E3258" t="n">
        <v>5.93423854</v>
      </c>
      <c r="F3258" t="n">
        <v>0.8996264585499999</v>
      </c>
      <c r="G3258" t="n">
        <v>9</v>
      </c>
      <c r="H3258" t="n">
        <v>0.3</v>
      </c>
      <c r="I3258" t="n">
        <v>0.2</v>
      </c>
      <c r="J3258" t="n">
        <v>1</v>
      </c>
      <c r="K3258" t="inlineStr"/>
    </row>
    <row r="3259">
      <c r="A3259" t="inlineStr">
        <is>
          <t>BAN14EQ</t>
        </is>
      </c>
      <c r="B3259" t="inlineStr">
        <is>
          <t>CUADRO BAND</t>
        </is>
      </c>
      <c r="C3259" t="inlineStr">
        <is>
          <t>Equipamiento / Accesorios</t>
        </is>
      </c>
      <c r="D3259" t="n">
        <v>2</v>
      </c>
      <c r="E3259" t="n">
        <v>5.873674438</v>
      </c>
      <c r="F3259" t="n">
        <v>0.8921852458166667</v>
      </c>
      <c r="G3259" t="n">
        <v>0</v>
      </c>
      <c r="H3259" t="n">
        <v>0.3159183673</v>
      </c>
      <c r="I3259" t="n">
        <v>0.2</v>
      </c>
      <c r="J3259" t="n">
        <v>0</v>
      </c>
      <c r="K3259" t="inlineStr">
        <is>
          <t>Sin stock</t>
        </is>
      </c>
    </row>
    <row r="3260">
      <c r="A3260" t="inlineStr">
        <is>
          <t>BAN39EL</t>
        </is>
      </c>
      <c r="B3260" t="inlineStr">
        <is>
          <t>CUADRO BAND ELASTIC</t>
        </is>
      </c>
      <c r="C3260" t="inlineStr">
        <is>
          <t>Equipamiento / Accesorios</t>
        </is>
      </c>
      <c r="D3260" t="n">
        <v>8</v>
      </c>
      <c r="E3260" t="n">
        <v>3.627927076</v>
      </c>
      <c r="F3260" t="n">
        <v>0.8328582805</v>
      </c>
      <c r="G3260" t="n">
        <v>63</v>
      </c>
      <c r="H3260" t="n">
        <v>0.3</v>
      </c>
      <c r="I3260" t="n">
        <v>0.8</v>
      </c>
      <c r="J3260" t="n">
        <v>0</v>
      </c>
      <c r="K3260" t="inlineStr"/>
    </row>
    <row r="3261">
      <c r="A3261" t="inlineStr">
        <is>
          <t>BAN53EL</t>
        </is>
      </c>
      <c r="B3261" t="inlineStr">
        <is>
          <t>CUADRO BAND ELASTIC</t>
        </is>
      </c>
      <c r="C3261" t="inlineStr">
        <is>
          <t>Equipamiento / Accesorios</t>
        </is>
      </c>
      <c r="D3261" t="n">
        <v>1</v>
      </c>
      <c r="E3261" t="n">
        <v>1.840999756</v>
      </c>
      <c r="F3261" t="n">
        <v>0.8370450626</v>
      </c>
      <c r="G3261" t="n">
        <v>3</v>
      </c>
      <c r="H3261" t="n">
        <v>0.3</v>
      </c>
      <c r="I3261" t="n">
        <v>0.1</v>
      </c>
      <c r="J3261" t="n">
        <v>8</v>
      </c>
      <c r="K3261" t="inlineStr"/>
    </row>
    <row r="3262">
      <c r="A3262" t="inlineStr">
        <is>
          <t>BAN63EL</t>
        </is>
      </c>
      <c r="B3262" t="inlineStr">
        <is>
          <t>CUADRO BAND ELASTIC</t>
        </is>
      </c>
      <c r="C3262" t="inlineStr">
        <is>
          <t>Equipamiento / Accesorios</t>
        </is>
      </c>
      <c r="D3262" t="n">
        <v>1</v>
      </c>
      <c r="E3262" t="n">
        <v>1.691409231</v>
      </c>
      <c r="F3262" t="n">
        <v>0.8226331071</v>
      </c>
      <c r="G3262" t="n">
        <v>1</v>
      </c>
      <c r="H3262" t="n">
        <v>0.3</v>
      </c>
      <c r="I3262" t="n">
        <v>0.1</v>
      </c>
      <c r="J3262" t="n">
        <v>7</v>
      </c>
      <c r="K3262" t="inlineStr"/>
    </row>
    <row r="3263">
      <c r="A3263" t="inlineStr">
        <is>
          <t>EMP150TP</t>
        </is>
      </c>
      <c r="B3263" t="inlineStr">
        <is>
          <t>[EMP150TP] BOLSAS KRAFT (PEQUEÑO)</t>
        </is>
      </c>
      <c r="C3263" t="inlineStr">
        <is>
          <t>BOLSAS KRAFT</t>
        </is>
      </c>
      <c r="D3263" t="n">
        <v>0</v>
      </c>
      <c r="E3263" t="n">
        <v>0</v>
      </c>
      <c r="F3263" t="n">
        <v>0</v>
      </c>
      <c r="G3263" t="n">
        <v>47</v>
      </c>
      <c r="H3263" t="n">
        <v>0</v>
      </c>
      <c r="I3263" t="n">
        <v>0</v>
      </c>
      <c r="J3263" t="n">
        <v>10</v>
      </c>
      <c r="K3263" t="inlineStr">
        <is>
          <t>Sin ventas en periodo; Sin costo registrado</t>
        </is>
      </c>
    </row>
    <row r="3264">
      <c r="A3264" t="inlineStr">
        <is>
          <t>SARSPKI13T12</t>
        </is>
      </c>
      <c r="B3264" t="inlineStr">
        <is>
          <t>[SARSPKI13T12] FALDA SARA KIDS (Azul Rey, 12)</t>
        </is>
      </c>
      <c r="C3264" t="inlineStr">
        <is>
          <t>KIDS / FALDA SARA</t>
        </is>
      </c>
      <c r="D3264" t="n">
        <v>0</v>
      </c>
      <c r="E3264" t="n">
        <v>0</v>
      </c>
      <c r="F3264" t="n">
        <v>0</v>
      </c>
      <c r="G3264" t="n">
        <v>24</v>
      </c>
      <c r="H3264" t="n">
        <v>0</v>
      </c>
      <c r="I3264" t="n">
        <v>0</v>
      </c>
      <c r="J3264" t="n">
        <v>10</v>
      </c>
      <c r="K3264" t="inlineStr">
        <is>
          <t>Sin ventas en periodo; Sin costo registrado</t>
        </is>
      </c>
    </row>
    <row r="3265">
      <c r="A3265" t="inlineStr">
        <is>
          <t>UCOVTLCA167T3XL</t>
        </is>
      </c>
      <c r="B3265" t="inlineStr">
        <is>
          <t>[UCOVTLCA167T3XL] URBAN COTTON OVERSIZED VINTAGE GRIS CAB (3XL)</t>
        </is>
      </c>
      <c r="C3265" t="inlineStr">
        <is>
          <t>CAB / URBAN COTTON OVERSIZED VINTAGE GRIS</t>
        </is>
      </c>
      <c r="D3265" t="n">
        <v>0</v>
      </c>
      <c r="E3265" t="n">
        <v>0</v>
      </c>
      <c r="F3265" t="n">
        <v>0</v>
      </c>
      <c r="G3265" t="n">
        <v>15</v>
      </c>
      <c r="H3265" t="n">
        <v>0</v>
      </c>
      <c r="I3265" t="n">
        <v>0</v>
      </c>
      <c r="J3265" t="n">
        <v>10</v>
      </c>
      <c r="K3265" t="inlineStr">
        <is>
          <t>Sin ventas en periodo; Sin costo registrado</t>
        </is>
      </c>
    </row>
    <row r="3266">
      <c r="A3266" t="inlineStr">
        <is>
          <t>SARSPKI09T14</t>
        </is>
      </c>
      <c r="B3266" t="inlineStr">
        <is>
          <t>[SARSPKI09T14] FALDA SARA KIDS (Azul Cielo, 14)</t>
        </is>
      </c>
      <c r="C3266" t="inlineStr">
        <is>
          <t>KIDS / FALDA SARA</t>
        </is>
      </c>
      <c r="D3266" t="n">
        <v>0</v>
      </c>
      <c r="E3266" t="n">
        <v>0</v>
      </c>
      <c r="F3266" t="n">
        <v>0</v>
      </c>
      <c r="G3266" t="n">
        <v>15</v>
      </c>
      <c r="H3266" t="n">
        <v>0</v>
      </c>
      <c r="I3266" t="n">
        <v>0</v>
      </c>
      <c r="J3266" t="n">
        <v>10</v>
      </c>
      <c r="K3266" t="inlineStr">
        <is>
          <t>Sin ventas en periodo; Sin costo registrado</t>
        </is>
      </c>
    </row>
    <row r="3267">
      <c r="A3267" t="inlineStr">
        <is>
          <t>BACCCDA12TL</t>
        </is>
      </c>
      <c r="B3267" t="inlineStr">
        <is>
          <t>BASIC LINE CROP TEE DAMA</t>
        </is>
      </c>
      <c r="C3267" t="inlineStr">
        <is>
          <t>Manufactura / Dama / P. Superiores</t>
        </is>
      </c>
      <c r="D3267" t="n">
        <v>0</v>
      </c>
      <c r="E3267" t="n">
        <v>0</v>
      </c>
      <c r="F3267" t="n">
        <v>0.8717765578</v>
      </c>
      <c r="G3267" t="n">
        <v>0</v>
      </c>
      <c r="H3267" t="n">
        <v>6.196330833</v>
      </c>
      <c r="I3267" t="n">
        <v>0</v>
      </c>
      <c r="J3267" t="n">
        <v>2</v>
      </c>
      <c r="K3267" t="inlineStr"/>
    </row>
    <row r="3268">
      <c r="A3268" t="inlineStr">
        <is>
          <t>TSCC12EQ</t>
        </is>
      </c>
      <c r="B3268" t="inlineStr">
        <is>
          <t>TOALLA SPORT</t>
        </is>
      </c>
      <c r="C3268" t="inlineStr">
        <is>
          <t>Equipamiento / Toallas</t>
        </is>
      </c>
      <c r="D3268" t="n">
        <v>0</v>
      </c>
      <c r="E3268" t="n">
        <v>0</v>
      </c>
      <c r="F3268" t="n">
        <v>0.91</v>
      </c>
      <c r="G3268" t="n">
        <v>0</v>
      </c>
      <c r="H3268" t="n">
        <v>1.8</v>
      </c>
      <c r="I3268" t="n">
        <v>0</v>
      </c>
      <c r="J3268" t="n">
        <v>1</v>
      </c>
      <c r="K3268" t="inlineStr"/>
    </row>
    <row r="3269">
      <c r="A3269" t="inlineStr">
        <is>
          <t>UCOOTLCA12T3XL</t>
        </is>
      </c>
      <c r="B3269" t="inlineStr">
        <is>
          <t>[UCOOTLCA12T3XL] URBAN COTTON OVERSIZED OUTSIDE CAB (3XL)</t>
        </is>
      </c>
      <c r="C3269" t="inlineStr">
        <is>
          <t>CAB / URBAN COTTON OVERSIZED OUTSIDE</t>
        </is>
      </c>
      <c r="D3269" t="n">
        <v>0</v>
      </c>
      <c r="E3269" t="n">
        <v>0</v>
      </c>
      <c r="F3269" t="n">
        <v>0</v>
      </c>
      <c r="G3269" t="n">
        <v>14</v>
      </c>
      <c r="H3269" t="n">
        <v>0</v>
      </c>
      <c r="I3269" t="n">
        <v>0</v>
      </c>
      <c r="J3269" t="n">
        <v>10</v>
      </c>
      <c r="K3269" t="inlineStr">
        <is>
          <t>Sin ventas en periodo; Sin costo registrado</t>
        </is>
      </c>
    </row>
    <row r="3270">
      <c r="A3270" t="inlineStr">
        <is>
          <t>DANMIKI66T6</t>
        </is>
      </c>
      <c r="B3270" t="inlineStr">
        <is>
          <t>[DANMIKI66T6] DANI ORIGINAL KIDS (Verde Militar, 6)</t>
        </is>
      </c>
      <c r="C3270" t="inlineStr">
        <is>
          <t>KIDS / DANI ORIGINAL</t>
        </is>
      </c>
      <c r="D3270" t="n">
        <v>0</v>
      </c>
      <c r="E3270" t="n">
        <v>0</v>
      </c>
      <c r="F3270" t="n">
        <v>0</v>
      </c>
      <c r="G3270" t="n">
        <v>8</v>
      </c>
      <c r="H3270" t="n">
        <v>0</v>
      </c>
      <c r="I3270" t="n">
        <v>0</v>
      </c>
      <c r="J3270" t="n">
        <v>10</v>
      </c>
      <c r="K3270" t="inlineStr">
        <is>
          <t>Sin ventas en periodo; Sin costo registrado</t>
        </is>
      </c>
    </row>
    <row r="3271">
      <c r="A3271" t="inlineStr">
        <is>
          <t>UCOSTLCA12T3XL</t>
        </is>
      </c>
      <c r="B3271" t="inlineStr">
        <is>
          <t>[UCOSTLCA12T3XL] URBAN COTTON OVERSIZED SUNSET CAB (3XL)</t>
        </is>
      </c>
      <c r="C3271" t="inlineStr">
        <is>
          <t>CAB / URBAN COTTON OVERSIZED SUNSET</t>
        </is>
      </c>
      <c r="D3271" t="n">
        <v>0</v>
      </c>
      <c r="E3271" t="n">
        <v>0</v>
      </c>
      <c r="F3271" t="n">
        <v>0</v>
      </c>
      <c r="G3271" t="n">
        <v>11</v>
      </c>
      <c r="H3271" t="n">
        <v>0</v>
      </c>
      <c r="I3271" t="n">
        <v>0</v>
      </c>
      <c r="J3271" t="n">
        <v>10</v>
      </c>
      <c r="K3271" t="inlineStr">
        <is>
          <t>Sin ventas en periodo; Sin costo registrado</t>
        </is>
      </c>
    </row>
    <row r="3272">
      <c r="A3272" t="inlineStr">
        <is>
          <t>TRISTDA43TXL</t>
        </is>
      </c>
      <c r="B3272" t="inlineStr">
        <is>
          <t>[TRISTDA43TXL] RETRO VZLA DAMA (Negro/Tricolor, XL)</t>
        </is>
      </c>
      <c r="C3272" t="inlineStr">
        <is>
          <t>DAMA / RETRO VZLA</t>
        </is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10</v>
      </c>
      <c r="K3272" t="inlineStr">
        <is>
          <t>Sin ventas en periodo; Sin costo registrado</t>
        </is>
      </c>
    </row>
    <row r="3273">
      <c r="A3273" t="inlineStr">
        <is>
          <t>TRISTDA16TXS</t>
        </is>
      </c>
      <c r="B3273" t="inlineStr">
        <is>
          <t>RETRO VZLA DAMA</t>
        </is>
      </c>
      <c r="C3273" t="inlineStr">
        <is>
          <t>Manufactura / Dama / P. Superiores</t>
        </is>
      </c>
      <c r="D3273" t="n">
        <v>1</v>
      </c>
      <c r="E3273" t="n">
        <v>0</v>
      </c>
      <c r="F3273" t="n">
        <v>0</v>
      </c>
      <c r="G3273" t="n">
        <v>2</v>
      </c>
      <c r="H3273" t="n">
        <v>11.23</v>
      </c>
      <c r="I3273" t="n">
        <v>0.1</v>
      </c>
      <c r="J3273" t="n">
        <v>3</v>
      </c>
      <c r="K3273" t="inlineStr">
        <is>
          <t>Sin ventas en periodo</t>
        </is>
      </c>
    </row>
    <row r="3274">
      <c r="A3274" t="inlineStr">
        <is>
          <t>TRISTCA43TM</t>
        </is>
      </c>
      <c r="B3274" t="inlineStr">
        <is>
          <t>[TRISTCA43TM] RETRO VZLA CAB (Negro/Tricolor, M)</t>
        </is>
      </c>
      <c r="C3274" t="inlineStr">
        <is>
          <t>CAB / RETRO VZLA</t>
        </is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10</v>
      </c>
      <c r="K3274" t="inlineStr">
        <is>
          <t>Sin ventas en periodo; Sin costo registrado</t>
        </is>
      </c>
    </row>
    <row r="3275">
      <c r="A3275" t="inlineStr">
        <is>
          <t>TRISTCA43T2XL</t>
        </is>
      </c>
      <c r="B3275" t="inlineStr">
        <is>
          <t>[TRISTCA43T2XL] RETRO VZLA CAB (Negro/Tricolor, 2XL)</t>
        </is>
      </c>
      <c r="C3275" t="inlineStr">
        <is>
          <t>CAB / RETRO VZLA</t>
        </is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10</v>
      </c>
      <c r="K3275" t="inlineStr">
        <is>
          <t>Sin ventas en periodo; Sin costo registrado</t>
        </is>
      </c>
    </row>
    <row r="3276">
      <c r="A3276" t="inlineStr">
        <is>
          <t>UCOVTLCA166T3XL</t>
        </is>
      </c>
      <c r="B3276" t="inlineStr">
        <is>
          <t>[UCOVTLCA166T3XL] URBAN COTTON OVERSIZED VINTAGE VERDE CAB (3XL)</t>
        </is>
      </c>
      <c r="C3276" t="inlineStr">
        <is>
          <t>CAB / URBAN COTTON OVERSIZED VINTAGE VERDE</t>
        </is>
      </c>
      <c r="D3276" t="n">
        <v>0</v>
      </c>
      <c r="E3276" t="n">
        <v>0</v>
      </c>
      <c r="F3276" t="n">
        <v>0</v>
      </c>
      <c r="G3276" t="n">
        <v>11</v>
      </c>
      <c r="H3276" t="n">
        <v>0</v>
      </c>
      <c r="I3276" t="n">
        <v>0</v>
      </c>
      <c r="J3276" t="n">
        <v>10</v>
      </c>
      <c r="K3276" t="inlineStr">
        <is>
          <t>Sin ventas en periodo; Sin costo registrado</t>
        </is>
      </c>
    </row>
    <row r="3277">
      <c r="A3277" t="inlineStr">
        <is>
          <t>PANNTKI31T4</t>
        </is>
      </c>
      <c r="B3277" t="inlineStr">
        <is>
          <t>EXPLORE PANTS KIDS</t>
        </is>
      </c>
      <c r="C3277" t="inlineStr">
        <is>
          <t>Manufactura / Kids / P. Inferiores</t>
        </is>
      </c>
      <c r="D3277" t="n">
        <v>1</v>
      </c>
      <c r="E3277" t="n">
        <v>0</v>
      </c>
      <c r="F3277" t="n">
        <v>0</v>
      </c>
      <c r="G3277" t="n">
        <v>2</v>
      </c>
      <c r="H3277" t="n">
        <v>13.98</v>
      </c>
      <c r="I3277" t="n">
        <v>0.1</v>
      </c>
      <c r="J3277" t="n">
        <v>1</v>
      </c>
      <c r="K3277" t="inlineStr">
        <is>
          <t>Sin ventas en periodo</t>
        </is>
      </c>
    </row>
    <row r="3278">
      <c r="A3278" t="inlineStr">
        <is>
          <t>SARSPDA70TM</t>
        </is>
      </c>
      <c r="B3278" t="inlineStr">
        <is>
          <t>[SARSPDA70TM] FALDA SARA DAMA (Vinotinto, M)</t>
        </is>
      </c>
      <c r="C3278" t="inlineStr">
        <is>
          <t>DAMA / FALDA SARA</t>
        </is>
      </c>
      <c r="D3278" t="n">
        <v>0</v>
      </c>
      <c r="E3278" t="n">
        <v>0</v>
      </c>
      <c r="F3278" t="n">
        <v>0</v>
      </c>
      <c r="G3278" t="n">
        <v>13</v>
      </c>
      <c r="H3278" t="n">
        <v>0</v>
      </c>
      <c r="I3278" t="n">
        <v>0</v>
      </c>
      <c r="J3278" t="n">
        <v>10</v>
      </c>
      <c r="K3278" t="inlineStr">
        <is>
          <t>Sin ventas en periodo; Sin costo registrado</t>
        </is>
      </c>
    </row>
    <row r="3279">
      <c r="A3279" t="inlineStr">
        <is>
          <t>SARSPDA70TXL</t>
        </is>
      </c>
      <c r="B3279" t="inlineStr">
        <is>
          <t>[SARSPDA70TXL] FALDA SARA DAMA (Vinotinto, XL)</t>
        </is>
      </c>
      <c r="C3279" t="inlineStr">
        <is>
          <t>DAMA / FALDA SARA</t>
        </is>
      </c>
      <c r="D3279" t="n">
        <v>0</v>
      </c>
      <c r="E3279" t="n">
        <v>0</v>
      </c>
      <c r="F3279" t="n">
        <v>0</v>
      </c>
      <c r="G3279" t="n">
        <v>17</v>
      </c>
      <c r="H3279" t="n">
        <v>0</v>
      </c>
      <c r="I3279" t="n">
        <v>0</v>
      </c>
      <c r="J3279" t="n">
        <v>10</v>
      </c>
      <c r="K3279" t="inlineStr">
        <is>
          <t>Sin ventas en periodo; Sin costo registrado</t>
        </is>
      </c>
    </row>
    <row r="3280">
      <c r="A3280" t="inlineStr">
        <is>
          <t>SARSPKI09T10</t>
        </is>
      </c>
      <c r="B3280" t="inlineStr">
        <is>
          <t>[SARSPKI09T10] FALDA SARA KIDS (Azul Cielo, 10)</t>
        </is>
      </c>
      <c r="C3280" t="inlineStr">
        <is>
          <t>KIDS / FALDA SARA</t>
        </is>
      </c>
      <c r="D3280" t="n">
        <v>0</v>
      </c>
      <c r="E3280" t="n">
        <v>0</v>
      </c>
      <c r="F3280" t="n">
        <v>0</v>
      </c>
      <c r="G3280" t="n">
        <v>17</v>
      </c>
      <c r="H3280" t="n">
        <v>0</v>
      </c>
      <c r="I3280" t="n">
        <v>0</v>
      </c>
      <c r="J3280" t="n">
        <v>10</v>
      </c>
      <c r="K3280" t="inlineStr">
        <is>
          <t>Sin ventas en periodo; Sin costo registrado</t>
        </is>
      </c>
    </row>
    <row r="3281">
      <c r="A3281" t="inlineStr">
        <is>
          <t>SARSPDA70TL</t>
        </is>
      </c>
      <c r="B3281" t="inlineStr">
        <is>
          <t>[SARSPDA70TL] FALDA SARA DAMA (Vinotinto, L)</t>
        </is>
      </c>
      <c r="C3281" t="inlineStr">
        <is>
          <t>DAMA / FALDA SARA</t>
        </is>
      </c>
      <c r="D3281" t="n">
        <v>0</v>
      </c>
      <c r="E3281" t="n">
        <v>0</v>
      </c>
      <c r="F3281" t="n">
        <v>0</v>
      </c>
      <c r="G3281" t="n">
        <v>14</v>
      </c>
      <c r="H3281" t="n">
        <v>0</v>
      </c>
      <c r="I3281" t="n">
        <v>0</v>
      </c>
      <c r="J3281" t="n">
        <v>10</v>
      </c>
      <c r="K3281" t="inlineStr">
        <is>
          <t>Sin ventas en periodo; Sin costo registrado</t>
        </is>
      </c>
    </row>
    <row r="3282">
      <c r="A3282" t="inlineStr">
        <is>
          <t>DALSSTKI30T2</t>
        </is>
      </c>
      <c r="B3282" t="inlineStr">
        <is>
          <t>[DALSSTKI30T2] MANGA LARGA DAILY 2.0 KIDS (Gris Claro, 2)</t>
        </is>
      </c>
      <c r="C3282" t="inlineStr">
        <is>
          <t>KIDS / MANGA LARGA DAILY 2.0</t>
        </is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10</v>
      </c>
      <c r="K3282" t="inlineStr">
        <is>
          <t>Sin ventas en periodo; Sin costo registrado</t>
        </is>
      </c>
    </row>
    <row r="3283">
      <c r="A3283" t="inlineStr">
        <is>
          <t>MANMIGE34TG</t>
        </is>
      </c>
      <c r="B3283" t="inlineStr">
        <is>
          <t>[MANMIGE34TG] MANGAS GENERAL (Lila, G)</t>
        </is>
      </c>
      <c r="C3283" t="inlineStr">
        <is>
          <t>MANGAS GENERAL</t>
        </is>
      </c>
      <c r="D3283" t="n">
        <v>0</v>
      </c>
      <c r="E3283" t="n">
        <v>0</v>
      </c>
      <c r="F3283" t="n">
        <v>0</v>
      </c>
      <c r="G3283" t="n">
        <v>2</v>
      </c>
      <c r="H3283" t="n">
        <v>0</v>
      </c>
      <c r="I3283" t="n">
        <v>0</v>
      </c>
      <c r="J3283" t="n">
        <v>10</v>
      </c>
      <c r="K3283" t="inlineStr">
        <is>
          <t>Sin ventas en periodo; Sin costo registrado</t>
        </is>
      </c>
    </row>
    <row r="3284">
      <c r="A3284" t="inlineStr">
        <is>
          <t>DALSSTKI30T14</t>
        </is>
      </c>
      <c r="B3284" t="inlineStr">
        <is>
          <t>MANGA LARGA DAILY 2.0 KIDS</t>
        </is>
      </c>
      <c r="C3284" t="inlineStr">
        <is>
          <t>Manufactura / Kids / P. Superiores</t>
        </is>
      </c>
      <c r="D3284" t="n">
        <v>2</v>
      </c>
      <c r="E3284" t="n">
        <v>0</v>
      </c>
      <c r="F3284" t="n">
        <v>0</v>
      </c>
      <c r="G3284" t="n">
        <v>0</v>
      </c>
      <c r="H3284" t="n">
        <v>10.1</v>
      </c>
      <c r="I3284" t="n">
        <v>0.2</v>
      </c>
      <c r="J3284" t="n">
        <v>4</v>
      </c>
      <c r="K3284" t="inlineStr"/>
    </row>
    <row r="3285">
      <c r="A3285" t="inlineStr">
        <is>
          <t>UNIMJCA05TS</t>
        </is>
      </c>
      <c r="B3285" t="inlineStr">
        <is>
          <t xml:space="preserve">UNIFORME CAB </t>
        </is>
      </c>
      <c r="C3285" t="inlineStr">
        <is>
          <t>Manufactura / Caballero / P. Superiores</t>
        </is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0.1</v>
      </c>
      <c r="J3285" t="n">
        <v>0</v>
      </c>
      <c r="K3285" t="inlineStr"/>
    </row>
    <row r="3286">
      <c r="A3286" t="inlineStr">
        <is>
          <t>SARSPKI09T12</t>
        </is>
      </c>
      <c r="B3286" t="inlineStr">
        <is>
          <t>[SARSPKI09T12] FALDA SARA KIDS (Azul Cielo, 12)</t>
        </is>
      </c>
      <c r="C3286" t="inlineStr">
        <is>
          <t>KIDS / FALDA SARA</t>
        </is>
      </c>
      <c r="D3286" t="n">
        <v>0</v>
      </c>
      <c r="E3286" t="n">
        <v>0</v>
      </c>
      <c r="F3286" t="n">
        <v>0</v>
      </c>
      <c r="G3286" t="n">
        <v>18</v>
      </c>
      <c r="H3286" t="n">
        <v>0</v>
      </c>
      <c r="I3286" t="n">
        <v>0</v>
      </c>
      <c r="J3286" t="n">
        <v>10</v>
      </c>
      <c r="K3286" t="inlineStr">
        <is>
          <t>Sin ventas en periodo; Sin costo registrado</t>
        </is>
      </c>
    </row>
    <row r="3287">
      <c r="A3287" t="inlineStr">
        <is>
          <t>MANMIGE24TP</t>
        </is>
      </c>
      <c r="B3287" t="inlineStr">
        <is>
          <t>[MANMIGE24TP] MANGAS GENERAL (Coral Neón, P)</t>
        </is>
      </c>
      <c r="C3287" t="inlineStr">
        <is>
          <t>MANGAS GENERAL</t>
        </is>
      </c>
      <c r="D3287" t="n">
        <v>0</v>
      </c>
      <c r="E3287" t="n">
        <v>0</v>
      </c>
      <c r="F3287" t="n">
        <v>0</v>
      </c>
      <c r="G3287" t="n">
        <v>13</v>
      </c>
      <c r="H3287" t="n">
        <v>0</v>
      </c>
      <c r="I3287" t="n">
        <v>0</v>
      </c>
      <c r="J3287" t="n">
        <v>10</v>
      </c>
      <c r="K3287" t="inlineStr">
        <is>
          <t>Sin ventas en periodo; Sin costo registrado</t>
        </is>
      </c>
    </row>
    <row r="3288">
      <c r="A3288" t="inlineStr">
        <is>
          <t>SABMEDA13TXL</t>
        </is>
      </c>
      <c r="B3288" t="inlineStr">
        <is>
          <t>[SABMEDA13TXL] SABRI SPORT DAMA (Azul Rey, XL)</t>
        </is>
      </c>
      <c r="C3288" t="inlineStr">
        <is>
          <t>DAMA / SABRI SPORT</t>
        </is>
      </c>
      <c r="D3288" t="n">
        <v>0</v>
      </c>
      <c r="E3288" t="n">
        <v>0</v>
      </c>
      <c r="F3288" t="n">
        <v>0</v>
      </c>
      <c r="G3288" t="n">
        <v>8</v>
      </c>
      <c r="H3288" t="n">
        <v>0</v>
      </c>
      <c r="I3288" t="n">
        <v>0</v>
      </c>
      <c r="J3288" t="n">
        <v>10</v>
      </c>
      <c r="K3288" t="inlineStr">
        <is>
          <t>Sin ventas en periodo; Sin costo registrado</t>
        </is>
      </c>
    </row>
    <row r="3289">
      <c r="A3289" t="inlineStr">
        <is>
          <t>EMP150TG</t>
        </is>
      </c>
      <c r="B3289" t="inlineStr">
        <is>
          <t>[EMP150TG] BOLSAS KRAFT (GRANDE)</t>
        </is>
      </c>
      <c r="C3289" t="inlineStr">
        <is>
          <t>BOLSAS KRAFT</t>
        </is>
      </c>
      <c r="D3289" t="n">
        <v>0</v>
      </c>
      <c r="E3289" t="n">
        <v>0</v>
      </c>
      <c r="F3289" t="n">
        <v>0</v>
      </c>
      <c r="G3289" t="n">
        <v>988</v>
      </c>
      <c r="H3289" t="n">
        <v>0</v>
      </c>
      <c r="I3289" t="n">
        <v>0</v>
      </c>
      <c r="J3289" t="n">
        <v>10</v>
      </c>
      <c r="K3289" t="inlineStr">
        <is>
          <t>Sin ventas en periodo; Sin costo registrado</t>
        </is>
      </c>
    </row>
    <row r="3290">
      <c r="A3290" t="inlineStr">
        <is>
          <t>EMP150TM</t>
        </is>
      </c>
      <c r="B3290" t="inlineStr">
        <is>
          <t>[EMP150TM] BOLSAS KRAFT (MEDIANO)</t>
        </is>
      </c>
      <c r="C3290" t="inlineStr">
        <is>
          <t>BOLSAS KRAFT</t>
        </is>
      </c>
      <c r="D3290" t="n">
        <v>0</v>
      </c>
      <c r="E3290" t="n">
        <v>0</v>
      </c>
      <c r="F3290" t="n">
        <v>0</v>
      </c>
      <c r="G3290" t="n">
        <v>35</v>
      </c>
      <c r="H3290" t="n">
        <v>0</v>
      </c>
      <c r="I3290" t="n">
        <v>0</v>
      </c>
      <c r="J3290" t="n">
        <v>10</v>
      </c>
      <c r="K3290" t="inlineStr">
        <is>
          <t>Sin ventas en periodo; Sin costo registrado</t>
        </is>
      </c>
    </row>
    <row r="3291">
      <c r="A3291" t="inlineStr">
        <is>
          <t>EMP150TNG</t>
        </is>
      </c>
      <c r="B3291" t="inlineStr">
        <is>
          <t>[EMP150TNG] BOLSAS KRAFT NAVIDAD (GRANDE)</t>
        </is>
      </c>
      <c r="C3291" t="inlineStr">
        <is>
          <t>BOLSAS KRAFT NAVIDAD</t>
        </is>
      </c>
      <c r="D3291" t="n">
        <v>0</v>
      </c>
      <c r="E3291" t="n">
        <v>0</v>
      </c>
      <c r="F3291" t="n">
        <v>0</v>
      </c>
      <c r="G3291" t="n">
        <v>126</v>
      </c>
      <c r="H3291" t="n">
        <v>0</v>
      </c>
      <c r="I3291" t="n">
        <v>0</v>
      </c>
      <c r="J3291" t="n">
        <v>10</v>
      </c>
      <c r="K3291" t="inlineStr">
        <is>
          <t>Sin ventas en periodo; Sin costo registrado</t>
        </is>
      </c>
    </row>
    <row r="3292">
      <c r="A3292" t="inlineStr">
        <is>
          <t>EMP150TNM</t>
        </is>
      </c>
      <c r="B3292" t="inlineStr">
        <is>
          <t>[EMP150TNM] BOLSAS KRAFT NAVIDAD (MEDIANO)</t>
        </is>
      </c>
      <c r="C3292" t="inlineStr">
        <is>
          <t>BOLSAS KRAFT NAVIDAD</t>
        </is>
      </c>
      <c r="D3292" t="n">
        <v>0</v>
      </c>
      <c r="E3292" t="n">
        <v>0</v>
      </c>
      <c r="F3292" t="n">
        <v>0</v>
      </c>
      <c r="G3292" t="n">
        <v>546</v>
      </c>
      <c r="H3292" t="n">
        <v>0</v>
      </c>
      <c r="I3292" t="n">
        <v>0</v>
      </c>
      <c r="J3292" t="n">
        <v>10</v>
      </c>
      <c r="K3292" t="inlineStr">
        <is>
          <t>Sin ventas en periodo; Sin costo registrado</t>
        </is>
      </c>
    </row>
    <row r="3293">
      <c r="A3293" t="inlineStr">
        <is>
          <t>EMP150TNP</t>
        </is>
      </c>
      <c r="B3293" t="inlineStr">
        <is>
          <t>[EMP150TNP] BOLSAS KRAFT NAVIDAD (PEQUEÑO)</t>
        </is>
      </c>
      <c r="C3293" t="inlineStr">
        <is>
          <t>BOLSAS KRAFT NAVIDAD</t>
        </is>
      </c>
      <c r="D3293" t="n">
        <v>0</v>
      </c>
      <c r="E3293" t="n">
        <v>0</v>
      </c>
      <c r="F3293" t="n">
        <v>0</v>
      </c>
      <c r="G3293" t="n">
        <v>1527</v>
      </c>
      <c r="H3293" t="n">
        <v>0</v>
      </c>
      <c r="I3293" t="n">
        <v>0</v>
      </c>
      <c r="J3293" t="n">
        <v>10</v>
      </c>
      <c r="K3293" t="inlineStr">
        <is>
          <t>Sin ventas en periodo; Sin costo registrado</t>
        </is>
      </c>
    </row>
    <row r="3294">
      <c r="A3294" t="inlineStr">
        <is>
          <t>SHONRKI30T16</t>
        </is>
      </c>
      <c r="B3294" t="inlineStr">
        <is>
          <t>SHORT SPORT KIDS</t>
        </is>
      </c>
      <c r="C3294" t="inlineStr">
        <is>
          <t>Manufactura / Kids / P. Inferiores</t>
        </is>
      </c>
      <c r="D3294" t="n">
        <v>2</v>
      </c>
      <c r="E3294" t="n">
        <v>0</v>
      </c>
      <c r="F3294" t="n">
        <v>0</v>
      </c>
      <c r="G3294" t="n">
        <v>0</v>
      </c>
      <c r="H3294" t="n">
        <v>6.465724382</v>
      </c>
      <c r="I3294" t="n">
        <v>0.2</v>
      </c>
      <c r="J3294" t="n">
        <v>2</v>
      </c>
      <c r="K3294" t="inlineStr"/>
    </row>
    <row r="3295">
      <c r="A3295" t="inlineStr">
        <is>
          <t>SHONRCA66TXL</t>
        </is>
      </c>
      <c r="B3295" t="inlineStr">
        <is>
          <t>SHORT SPORT CAB</t>
        </is>
      </c>
      <c r="C3295" t="inlineStr">
        <is>
          <t>Manufactura / Caballero / P. Inferiores</t>
        </is>
      </c>
      <c r="D3295" t="n">
        <v>2</v>
      </c>
      <c r="E3295" t="n">
        <v>0</v>
      </c>
      <c r="F3295" t="n">
        <v>0</v>
      </c>
      <c r="G3295" t="n">
        <v>0</v>
      </c>
      <c r="H3295" t="n">
        <v>10.6514486</v>
      </c>
      <c r="I3295" t="n">
        <v>0.2</v>
      </c>
      <c r="J3295" t="n">
        <v>0</v>
      </c>
      <c r="K3295" t="inlineStr"/>
    </row>
    <row r="3296">
      <c r="A3296" t="inlineStr">
        <is>
          <t>SHONRCA66TS</t>
        </is>
      </c>
      <c r="B3296" t="inlineStr">
        <is>
          <t>SHORT SPORT CAB</t>
        </is>
      </c>
      <c r="C3296" t="inlineStr">
        <is>
          <t>Manufactura / Caballero / P. Inferiores</t>
        </is>
      </c>
      <c r="D3296" t="n">
        <v>1</v>
      </c>
      <c r="E3296" t="n">
        <v>0</v>
      </c>
      <c r="F3296" t="n">
        <v>0</v>
      </c>
      <c r="G3296" t="n">
        <v>0</v>
      </c>
      <c r="H3296" t="n">
        <v>10.6514486</v>
      </c>
      <c r="I3296" t="n">
        <v>0.1</v>
      </c>
      <c r="J3296" t="n">
        <v>1</v>
      </c>
      <c r="K3296" t="inlineStr"/>
    </row>
    <row r="3297">
      <c r="A3297" t="inlineStr">
        <is>
          <t>DAMSTDA30TXL</t>
        </is>
      </c>
      <c r="B3297" t="inlineStr">
        <is>
          <t>[DAMSTDA30TXL] MANGA LARGA DAILY DAMA (Gris Claro, XL)</t>
        </is>
      </c>
      <c r="C3297" t="inlineStr">
        <is>
          <t>DAMA / MANGA LARGA DAILY</t>
        </is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10</v>
      </c>
      <c r="K3297" t="inlineStr">
        <is>
          <t>Sin ventas en periodo; Sin costo registrado</t>
        </is>
      </c>
    </row>
    <row r="3298">
      <c r="A3298" t="inlineStr">
        <is>
          <t>DAMSTCA43T2XL</t>
        </is>
      </c>
      <c r="B3298" t="inlineStr">
        <is>
          <t>[DAMSTCA43T2XL] MANGA LARGA DAILY CAB (Negro, 2XL)</t>
        </is>
      </c>
      <c r="C3298" t="inlineStr">
        <is>
          <t>CAB / MANGA LARGA DAILY</t>
        </is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10</v>
      </c>
      <c r="K3298" t="inlineStr">
        <is>
          <t>Sin ventas en periodo; Sin costo registrado</t>
        </is>
      </c>
    </row>
    <row r="3299">
      <c r="A3299" t="inlineStr">
        <is>
          <t>DALSTKI43T8</t>
        </is>
      </c>
      <c r="B3299" t="inlineStr">
        <is>
          <t>[DALSTKI43T8] CLASICA DAILY 2.0 KIDS (Negro, 8)</t>
        </is>
      </c>
      <c r="C3299" t="inlineStr">
        <is>
          <t>KIDS / CLASICA DAILY 2.0</t>
        </is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10</v>
      </c>
      <c r="K3299" t="inlineStr">
        <is>
          <t>Sin ventas en periodo; Sin costo registrado</t>
        </is>
      </c>
    </row>
    <row r="3300">
      <c r="A3300" t="inlineStr">
        <is>
          <t>PAUMIDA43TXL</t>
        </is>
      </c>
      <c r="B3300" t="inlineStr">
        <is>
          <t>[PAUMIDA43TXL] PAULA ORIGINAL DAMA (Negro, XL)</t>
        </is>
      </c>
      <c r="C3300" t="inlineStr">
        <is>
          <t>DAMA / PAULA ORIGINAL</t>
        </is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10</v>
      </c>
      <c r="K3300" t="inlineStr">
        <is>
          <t>Sin ventas en periodo; Sin costo registrado</t>
        </is>
      </c>
    </row>
    <row r="3301">
      <c r="A3301" t="inlineStr">
        <is>
          <t>PAUMIDA43TL</t>
        </is>
      </c>
      <c r="B3301" t="inlineStr">
        <is>
          <t>[PAUMIDA43TL] PAULA ORIGINAL DAMA (Negro, L)</t>
        </is>
      </c>
      <c r="C3301" t="inlineStr">
        <is>
          <t>DAMA / PAULA ORIGINAL</t>
        </is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10</v>
      </c>
      <c r="K3301" t="inlineStr">
        <is>
          <t>Sin ventas en periodo; Sin costo registrado</t>
        </is>
      </c>
    </row>
    <row r="3302">
      <c r="A3302" t="inlineStr">
        <is>
          <t>DALSSTCA16TXL</t>
        </is>
      </c>
      <c r="B3302" t="inlineStr">
        <is>
          <t>[DALSSTCA16TXL] MANGA LARGA DAILY 2.0 CAB (Blanco, XL)</t>
        </is>
      </c>
      <c r="C3302" t="inlineStr">
        <is>
          <t>CAB / MANGA LARGA DAILY 2.0</t>
        </is>
      </c>
      <c r="D3302" t="n">
        <v>0</v>
      </c>
      <c r="E3302" t="n">
        <v>0</v>
      </c>
      <c r="F3302" t="n">
        <v>0</v>
      </c>
      <c r="G3302" t="n">
        <v>3</v>
      </c>
      <c r="H3302" t="n">
        <v>0</v>
      </c>
      <c r="I3302" t="n">
        <v>0</v>
      </c>
      <c r="J3302" t="n">
        <v>10</v>
      </c>
      <c r="K3302" t="inlineStr">
        <is>
          <t>Sin ventas en periodo; Sin costo registrado</t>
        </is>
      </c>
    </row>
    <row r="3303">
      <c r="A3303" t="inlineStr">
        <is>
          <t>DALSSTCA16TL</t>
        </is>
      </c>
      <c r="B3303" t="inlineStr">
        <is>
          <t>[DALSSTCA16TL] MANGA LARGA DAILY 2.0 CAB (Blanco, L)</t>
        </is>
      </c>
      <c r="C3303" t="inlineStr">
        <is>
          <t>CAB / MANGA LARGA DAILY 2.0</t>
        </is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10</v>
      </c>
      <c r="K3303" t="inlineStr">
        <is>
          <t>Sin ventas en periodo; Sin costo registrado</t>
        </is>
      </c>
    </row>
    <row r="3304">
      <c r="A3304" t="inlineStr">
        <is>
          <t>DALSSTCA16T2XL</t>
        </is>
      </c>
      <c r="B3304" t="inlineStr">
        <is>
          <t>[DALSSTCA16T2XL] MANGA LARGA DAILY 2.0 CAB (Blanco, 2XL)</t>
        </is>
      </c>
      <c r="C3304" t="inlineStr">
        <is>
          <t>CAB / MANGA LARGA DAILY 2.0</t>
        </is>
      </c>
      <c r="D3304" t="n">
        <v>0</v>
      </c>
      <c r="E3304" t="n">
        <v>0</v>
      </c>
      <c r="F3304" t="n">
        <v>0</v>
      </c>
      <c r="G3304" t="n">
        <v>2</v>
      </c>
      <c r="H3304" t="n">
        <v>0</v>
      </c>
      <c r="I3304" t="n">
        <v>0</v>
      </c>
      <c r="J3304" t="n">
        <v>10</v>
      </c>
      <c r="K3304" t="inlineStr">
        <is>
          <t>Sin ventas en periodo; Sin costo registrado</t>
        </is>
      </c>
    </row>
    <row r="3305">
      <c r="A3305" t="inlineStr">
        <is>
          <t>DALSSTKI43T8</t>
        </is>
      </c>
      <c r="B3305" t="inlineStr">
        <is>
          <t>[DALSSTKI43T8] MANGA LARGA DAILY 2.0 KIDS (Negro, 8)</t>
        </is>
      </c>
      <c r="C3305" t="inlineStr">
        <is>
          <t>KIDS / MANGA LARGA DAILY 2.0</t>
        </is>
      </c>
      <c r="D3305" t="n">
        <v>0</v>
      </c>
      <c r="E3305" t="n">
        <v>0</v>
      </c>
      <c r="F3305" t="n">
        <v>0</v>
      </c>
      <c r="G3305" t="n">
        <v>2</v>
      </c>
      <c r="H3305" t="n">
        <v>0</v>
      </c>
      <c r="I3305" t="n">
        <v>0</v>
      </c>
      <c r="J3305" t="n">
        <v>10</v>
      </c>
      <c r="K3305" t="inlineStr">
        <is>
          <t>Sin ventas en periodo; Sin costo registrado</t>
        </is>
      </c>
    </row>
    <row r="3306">
      <c r="A3306" t="inlineStr">
        <is>
          <t>PETMIPE14TS</t>
        </is>
      </c>
      <c r="B3306" t="inlineStr">
        <is>
          <t>[PETMIPE14TS] BANDANA PET (Azul Turquesa, S)</t>
        </is>
      </c>
      <c r="C3306" t="inlineStr">
        <is>
          <t>BANDANA PET</t>
        </is>
      </c>
      <c r="D3306" t="n">
        <v>0</v>
      </c>
      <c r="E3306" t="n">
        <v>0</v>
      </c>
      <c r="F3306" t="n">
        <v>0</v>
      </c>
      <c r="G3306" t="n">
        <v>8</v>
      </c>
      <c r="H3306" t="n">
        <v>0</v>
      </c>
      <c r="I3306" t="n">
        <v>0</v>
      </c>
      <c r="J3306" t="n">
        <v>10</v>
      </c>
      <c r="K3306" t="inlineStr">
        <is>
          <t>Sin ventas en periodo; Sin costo registrado</t>
        </is>
      </c>
    </row>
    <row r="3307">
      <c r="A3307" t="inlineStr">
        <is>
          <t>PETMIPE12TS</t>
        </is>
      </c>
      <c r="B3307" t="inlineStr">
        <is>
          <t>BANDANA PET</t>
        </is>
      </c>
      <c r="C3307" t="inlineStr">
        <is>
          <t>Manufactura / General</t>
        </is>
      </c>
      <c r="D3307" t="n">
        <v>2</v>
      </c>
      <c r="E3307" t="n">
        <v>0</v>
      </c>
      <c r="F3307" t="n">
        <v>0</v>
      </c>
      <c r="G3307" t="n">
        <v>0</v>
      </c>
      <c r="H3307" t="n">
        <v>0.3252662283</v>
      </c>
      <c r="I3307" t="n">
        <v>0.2</v>
      </c>
      <c r="J3307" t="n">
        <v>2</v>
      </c>
      <c r="K3307" t="inlineStr"/>
    </row>
    <row r="3308">
      <c r="A3308" t="inlineStr">
        <is>
          <t>DALSSTKI43T6</t>
        </is>
      </c>
      <c r="B3308" t="inlineStr">
        <is>
          <t>MANGA LARGA DAILY 2.0 KIDS</t>
        </is>
      </c>
      <c r="C3308" t="inlineStr">
        <is>
          <t>Manufactura / Kids / P. Superiores</t>
        </is>
      </c>
      <c r="D3308" t="n">
        <v>1</v>
      </c>
      <c r="E3308" t="n">
        <v>0</v>
      </c>
      <c r="F3308" t="n">
        <v>0</v>
      </c>
      <c r="G3308" t="n">
        <v>0</v>
      </c>
      <c r="H3308" t="n">
        <v>10.1</v>
      </c>
      <c r="I3308" t="n">
        <v>0.1</v>
      </c>
      <c r="J3308" t="n">
        <v>8</v>
      </c>
      <c r="K3308" t="inlineStr"/>
    </row>
    <row r="3309">
      <c r="A3309" t="inlineStr">
        <is>
          <t>DALSSTKI43T2</t>
        </is>
      </c>
      <c r="B3309" t="inlineStr">
        <is>
          <t>MANGA LARGA DAILY 2.0 KIDS</t>
        </is>
      </c>
      <c r="C3309" t="inlineStr">
        <is>
          <t>Manufactura / Kids / P. Superiores</t>
        </is>
      </c>
      <c r="D3309" t="n">
        <v>1</v>
      </c>
      <c r="E3309" t="n">
        <v>0</v>
      </c>
      <c r="F3309" t="n">
        <v>0</v>
      </c>
      <c r="G3309" t="n">
        <v>1</v>
      </c>
      <c r="H3309" t="n">
        <v>10.1</v>
      </c>
      <c r="I3309" t="n">
        <v>0.1</v>
      </c>
      <c r="J3309" t="n">
        <v>8</v>
      </c>
      <c r="K3309" t="inlineStr">
        <is>
          <t>Sin ventas en periodo</t>
        </is>
      </c>
    </row>
    <row r="3310">
      <c r="A3310" t="inlineStr">
        <is>
          <t>DALSSTKI43T12</t>
        </is>
      </c>
      <c r="B3310" t="inlineStr">
        <is>
          <t>[DALSSTKI43T12] MANGA LARGA DAILY 2.0 KIDS (Negro, 12)</t>
        </is>
      </c>
      <c r="C3310" t="inlineStr">
        <is>
          <t>KIDS / MANGA LARGA DAILY 2.0</t>
        </is>
      </c>
      <c r="D3310" t="n">
        <v>0</v>
      </c>
      <c r="E3310" t="n">
        <v>0</v>
      </c>
      <c r="F3310" t="n">
        <v>0</v>
      </c>
      <c r="G3310" t="n">
        <v>2</v>
      </c>
      <c r="H3310" t="n">
        <v>0</v>
      </c>
      <c r="I3310" t="n">
        <v>0</v>
      </c>
      <c r="J3310" t="n">
        <v>10</v>
      </c>
      <c r="K3310" t="inlineStr">
        <is>
          <t>Sin ventas en periodo; Sin costo registrado</t>
        </is>
      </c>
    </row>
    <row r="3311">
      <c r="A3311" t="inlineStr">
        <is>
          <t>DALSSTKI43T10</t>
        </is>
      </c>
      <c r="B3311" t="inlineStr">
        <is>
          <t>MANGA LARGA DAILY 2.0 KIDS</t>
        </is>
      </c>
      <c r="C3311" t="inlineStr">
        <is>
          <t>Manufactura / Kids / P. Superiores</t>
        </is>
      </c>
      <c r="D3311" t="n">
        <v>1</v>
      </c>
      <c r="E3311" t="n">
        <v>0</v>
      </c>
      <c r="F3311" t="n">
        <v>0</v>
      </c>
      <c r="G3311" t="n">
        <v>2</v>
      </c>
      <c r="H3311" t="n">
        <v>10.1</v>
      </c>
      <c r="I3311" t="n">
        <v>0.1</v>
      </c>
      <c r="J3311" t="n">
        <v>4</v>
      </c>
      <c r="K3311" t="inlineStr">
        <is>
          <t>Sin ventas en periodo</t>
        </is>
      </c>
    </row>
    <row r="3312">
      <c r="A3312" t="inlineStr">
        <is>
          <t>DALSSTKI30T8</t>
        </is>
      </c>
      <c r="B3312" t="inlineStr">
        <is>
          <t>[DALSSTKI30T8] MANGA LARGA DAILY 2.0 KIDS (Gris Claro, 8)</t>
        </is>
      </c>
      <c r="C3312" t="inlineStr">
        <is>
          <t>KIDS / MANGA LARGA DAILY 2.0</t>
        </is>
      </c>
      <c r="D3312" t="n">
        <v>0</v>
      </c>
      <c r="E3312" t="n">
        <v>0</v>
      </c>
      <c r="F3312" t="n">
        <v>0</v>
      </c>
      <c r="G3312" t="n">
        <v>2</v>
      </c>
      <c r="H3312" t="n">
        <v>0</v>
      </c>
      <c r="I3312" t="n">
        <v>0</v>
      </c>
      <c r="J3312" t="n">
        <v>10</v>
      </c>
      <c r="K3312" t="inlineStr">
        <is>
          <t>Sin ventas en periodo; Sin costo registrado</t>
        </is>
      </c>
    </row>
    <row r="3313">
      <c r="A3313" t="inlineStr">
        <is>
          <t>DALSSTKI30T4</t>
        </is>
      </c>
      <c r="B3313" t="inlineStr">
        <is>
          <t>MANGA LARGA DAILY 2.0 KIDS</t>
        </is>
      </c>
      <c r="C3313" t="inlineStr">
        <is>
          <t>Manufactura / Kids / P. Superiores</t>
        </is>
      </c>
      <c r="D3313" t="n">
        <v>1</v>
      </c>
      <c r="E3313" t="n">
        <v>0</v>
      </c>
      <c r="F3313" t="n">
        <v>0</v>
      </c>
      <c r="G3313" t="n">
        <v>0</v>
      </c>
      <c r="H3313" t="n">
        <v>10.1</v>
      </c>
      <c r="I3313" t="n">
        <v>0.1</v>
      </c>
      <c r="J3313" t="n">
        <v>7</v>
      </c>
      <c r="K3313" t="inlineStr"/>
    </row>
    <row r="3314">
      <c r="A3314" t="inlineStr">
        <is>
          <t>PETMIPE24TM</t>
        </is>
      </c>
      <c r="B3314" t="inlineStr">
        <is>
          <t>BANDANA PET</t>
        </is>
      </c>
      <c r="C3314" t="inlineStr">
        <is>
          <t>Manufactura / General</t>
        </is>
      </c>
      <c r="D3314" t="n">
        <v>1</v>
      </c>
      <c r="E3314" t="n">
        <v>0</v>
      </c>
      <c r="F3314" t="n">
        <v>0</v>
      </c>
      <c r="G3314" t="n">
        <v>0</v>
      </c>
      <c r="H3314" t="n">
        <v>0.3252662283</v>
      </c>
      <c r="I3314" t="n">
        <v>0.1</v>
      </c>
      <c r="J3314" t="n">
        <v>8</v>
      </c>
      <c r="K3314" t="inlineStr"/>
    </row>
    <row r="3315">
      <c r="A3315" t="inlineStr">
        <is>
          <t>MARMICA39TXL</t>
        </is>
      </c>
      <c r="B3315" t="inlineStr">
        <is>
          <t>MAR ORIGINAL CAB</t>
        </is>
      </c>
      <c r="C3315" t="inlineStr">
        <is>
          <t>Manufactura / Caballero / P. Superiores</t>
        </is>
      </c>
      <c r="D3315" t="n">
        <v>4</v>
      </c>
      <c r="E3315" t="n">
        <v>0</v>
      </c>
      <c r="F3315" t="n">
        <v>0</v>
      </c>
      <c r="G3315" t="n">
        <v>0</v>
      </c>
      <c r="H3315" t="n">
        <v>4.946357428</v>
      </c>
      <c r="I3315" t="n">
        <v>0.4</v>
      </c>
      <c r="J3315" t="n">
        <v>3</v>
      </c>
      <c r="K3315" t="inlineStr"/>
    </row>
    <row r="3316">
      <c r="A3316" t="inlineStr">
        <is>
          <t>MARMICA39TM</t>
        </is>
      </c>
      <c r="B3316" t="inlineStr">
        <is>
          <t>MAR ORIGINAL CAB</t>
        </is>
      </c>
      <c r="C3316" t="inlineStr">
        <is>
          <t>Manufactura / Caballero / P. Superiores</t>
        </is>
      </c>
      <c r="D3316" t="n">
        <v>7</v>
      </c>
      <c r="E3316" t="n">
        <v>0</v>
      </c>
      <c r="F3316" t="n">
        <v>0</v>
      </c>
      <c r="G3316" t="n">
        <v>0</v>
      </c>
      <c r="H3316" t="n">
        <v>4.946357428</v>
      </c>
      <c r="I3316" t="n">
        <v>0.7</v>
      </c>
      <c r="J3316" t="n">
        <v>3</v>
      </c>
      <c r="K3316" t="inlineStr"/>
    </row>
    <row r="3317">
      <c r="A3317" t="inlineStr">
        <is>
          <t>PETMIPE14TXS</t>
        </is>
      </c>
      <c r="B3317" t="inlineStr">
        <is>
          <t>[PETMIPE14TXS] BANDANA PET (Azul Turquesa, XS)</t>
        </is>
      </c>
      <c r="C3317" t="inlineStr">
        <is>
          <t>BANDANA PET</t>
        </is>
      </c>
      <c r="D3317" t="n">
        <v>0</v>
      </c>
      <c r="E3317" t="n">
        <v>0</v>
      </c>
      <c r="F3317" t="n">
        <v>0</v>
      </c>
      <c r="G3317" t="n">
        <v>7</v>
      </c>
      <c r="H3317" t="n">
        <v>0</v>
      </c>
      <c r="I3317" t="n">
        <v>0</v>
      </c>
      <c r="J3317" t="n">
        <v>10</v>
      </c>
      <c r="K3317" t="inlineStr">
        <is>
          <t>Sin ventas en periodo; Sin costo registrado</t>
        </is>
      </c>
    </row>
    <row r="3318">
      <c r="A3318" t="inlineStr">
        <is>
          <t>SABSTDA43TXL</t>
        </is>
      </c>
      <c r="B3318" t="inlineStr">
        <is>
          <t>[SABSTDA43TXL] RETRO VZLA DAMA (Negro/Sabana, XL)</t>
        </is>
      </c>
      <c r="C3318" t="inlineStr">
        <is>
          <t>DAMA / RETRO VZLA</t>
        </is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10</v>
      </c>
      <c r="K3318" t="inlineStr">
        <is>
          <t>Sin ventas en periodo; Sin costo registrado</t>
        </is>
      </c>
    </row>
    <row r="3319">
      <c r="A3319" t="inlineStr">
        <is>
          <t>SABSTCA43TM</t>
        </is>
      </c>
      <c r="B3319" t="inlineStr">
        <is>
          <t>RETRO VZLA CAB</t>
        </is>
      </c>
      <c r="C3319" t="inlineStr">
        <is>
          <t>Manufactura / Caballero / P. Superiores</t>
        </is>
      </c>
      <c r="D3319" t="n">
        <v>1</v>
      </c>
      <c r="E3319" t="n">
        <v>0</v>
      </c>
      <c r="F3319" t="n">
        <v>0</v>
      </c>
      <c r="G3319" t="n">
        <v>0</v>
      </c>
      <c r="H3319" t="n">
        <v>12.9</v>
      </c>
      <c r="I3319" t="n">
        <v>0.1</v>
      </c>
      <c r="J3319" t="n">
        <v>7</v>
      </c>
      <c r="K3319" t="inlineStr"/>
    </row>
    <row r="3320">
      <c r="A3320" t="inlineStr">
        <is>
          <t>MLMMJDA12TXL</t>
        </is>
      </c>
      <c r="B3320" t="inlineStr">
        <is>
          <t>[MLMMJDA12TXL] MOTION LOOP MAFE DAMA (Azul Marino, XL)</t>
        </is>
      </c>
      <c r="C3320" t="inlineStr">
        <is>
          <t>DAMA / MOTION LOOP MAFE</t>
        </is>
      </c>
      <c r="D3320" t="n">
        <v>0</v>
      </c>
      <c r="E3320" t="n">
        <v>0</v>
      </c>
      <c r="F3320" t="n">
        <v>0</v>
      </c>
      <c r="G3320" t="n">
        <v>4</v>
      </c>
      <c r="H3320" t="n">
        <v>0</v>
      </c>
      <c r="I3320" t="n">
        <v>0</v>
      </c>
      <c r="J3320" t="n">
        <v>10</v>
      </c>
      <c r="K3320" t="inlineStr">
        <is>
          <t>Sin ventas en periodo; Sin costo registrado</t>
        </is>
      </c>
    </row>
    <row r="3321">
      <c r="A3321" t="inlineStr">
        <is>
          <t>MLMMJDA12TS</t>
        </is>
      </c>
      <c r="B3321" t="inlineStr">
        <is>
          <t>[MLMMJDA12TS] MOTION LOOP MAFE DAMA (Azul Marino, S)</t>
        </is>
      </c>
      <c r="C3321" t="inlineStr">
        <is>
          <t>DAMA / MOTION LOOP MAFE</t>
        </is>
      </c>
      <c r="D3321" t="n">
        <v>0</v>
      </c>
      <c r="E3321" t="n">
        <v>0</v>
      </c>
      <c r="F3321" t="n">
        <v>0</v>
      </c>
      <c r="G3321" t="n">
        <v>8</v>
      </c>
      <c r="H3321" t="n">
        <v>0</v>
      </c>
      <c r="I3321" t="n">
        <v>0</v>
      </c>
      <c r="J3321" t="n">
        <v>10</v>
      </c>
      <c r="K3321" t="inlineStr">
        <is>
          <t>Sin ventas en periodo; Sin costo registrado</t>
        </is>
      </c>
    </row>
    <row r="3322">
      <c r="A3322" t="inlineStr">
        <is>
          <t>UCOHTLCA166T3XL</t>
        </is>
      </c>
      <c r="B3322" t="inlineStr">
        <is>
          <t>[UCOHTLCA166T3XL] URBAN COTTON OVERSIZED HORIZONTE CAB (3XL)</t>
        </is>
      </c>
      <c r="C3322" t="inlineStr">
        <is>
          <t>CAB / URBAN COTTON OVERSIZED HORIZONTE</t>
        </is>
      </c>
      <c r="D3322" t="n">
        <v>0</v>
      </c>
      <c r="E3322" t="n">
        <v>0</v>
      </c>
      <c r="F3322" t="n">
        <v>0</v>
      </c>
      <c r="G3322" t="n">
        <v>11</v>
      </c>
      <c r="H3322" t="n">
        <v>0</v>
      </c>
      <c r="I3322" t="n">
        <v>0</v>
      </c>
      <c r="J3322" t="n">
        <v>10</v>
      </c>
      <c r="K3322" t="inlineStr">
        <is>
          <t>Sin ventas en periodo; Sin costo registrado</t>
        </is>
      </c>
    </row>
    <row r="3323">
      <c r="A3323" t="inlineStr">
        <is>
          <t>UCOCBTLCA167T3XL</t>
        </is>
      </c>
      <c r="B3323" t="inlineStr">
        <is>
          <t>[UCOCBTLCA167T3XL] URBAN COTTON OVERSIZED COLOR BLOCK CAB (3XL)</t>
        </is>
      </c>
      <c r="C3323" t="inlineStr">
        <is>
          <t>CAB / URBAN COTTON OVERSIZED COLOR BLOCK</t>
        </is>
      </c>
      <c r="D3323" t="n">
        <v>0</v>
      </c>
      <c r="E3323" t="n">
        <v>0</v>
      </c>
      <c r="F3323" t="n">
        <v>0</v>
      </c>
      <c r="G3323" t="n">
        <v>12</v>
      </c>
      <c r="H3323" t="n">
        <v>0</v>
      </c>
      <c r="I3323" t="n">
        <v>0</v>
      </c>
      <c r="J3323" t="n">
        <v>10</v>
      </c>
      <c r="K3323" t="inlineStr">
        <is>
          <t>Sin ventas en periodo; Sin costo registrado</t>
        </is>
      </c>
    </row>
    <row r="3324">
      <c r="A3324" t="inlineStr">
        <is>
          <t>CCBHMDA151TXL</t>
        </is>
      </c>
      <c r="B3324" t="inlineStr">
        <is>
          <t>[CCBHMDA151TXL] CLUB CLASICA DAMA (Cancha azul, XL)</t>
        </is>
      </c>
      <c r="C3324" t="inlineStr">
        <is>
          <t>DAMA / CLUB CLASICA</t>
        </is>
      </c>
      <c r="D3324" t="n">
        <v>0</v>
      </c>
      <c r="E3324" t="n">
        <v>0</v>
      </c>
      <c r="F3324" t="n">
        <v>0</v>
      </c>
      <c r="G3324" t="n">
        <v>8</v>
      </c>
      <c r="H3324" t="n">
        <v>0</v>
      </c>
      <c r="I3324" t="n">
        <v>0</v>
      </c>
      <c r="J3324" t="n">
        <v>10</v>
      </c>
      <c r="K3324" t="inlineStr">
        <is>
          <t>Sin ventas en periodo; Sin costo registrado</t>
        </is>
      </c>
    </row>
    <row r="3325">
      <c r="A3325" t="inlineStr">
        <is>
          <t>CBCC03EQ</t>
        </is>
      </c>
      <c r="B3325" t="inlineStr">
        <is>
          <t>CUADRO BAND</t>
        </is>
      </c>
      <c r="C3325" t="inlineStr">
        <is>
          <t>Equipamiento / Accesorios</t>
        </is>
      </c>
      <c r="D3325" t="n">
        <v>0</v>
      </c>
      <c r="E3325" t="n">
        <v>0</v>
      </c>
      <c r="F3325" t="n">
        <v>0.8780237963999999</v>
      </c>
      <c r="G3325" t="n">
        <v>0</v>
      </c>
      <c r="H3325" t="n">
        <v>0.3159183673</v>
      </c>
      <c r="I3325" t="n">
        <v>0</v>
      </c>
      <c r="J3325" t="n">
        <v>1</v>
      </c>
      <c r="K3325" t="inlineStr"/>
    </row>
    <row r="3326">
      <c r="A3326" t="inlineStr">
        <is>
          <t>CIN13EQ</t>
        </is>
      </c>
      <c r="B3326" t="inlineStr">
        <is>
          <t>[CIN13EQ] CINTA DE REGALO (Azul Rey)</t>
        </is>
      </c>
      <c r="C3326" t="inlineStr">
        <is>
          <t>CINTA DE REGALO</t>
        </is>
      </c>
      <c r="D3326" t="n">
        <v>0</v>
      </c>
      <c r="E3326" t="n">
        <v>0</v>
      </c>
      <c r="F3326" t="n">
        <v>0</v>
      </c>
      <c r="G3326" t="n">
        <v>2</v>
      </c>
      <c r="H3326" t="n">
        <v>0</v>
      </c>
      <c r="I3326" t="n">
        <v>0</v>
      </c>
      <c r="J3326" t="n">
        <v>10</v>
      </c>
      <c r="K3326" t="inlineStr">
        <is>
          <t>Sin ventas en periodo; Sin costo registrado</t>
        </is>
      </c>
    </row>
    <row r="3327">
      <c r="A3327" t="inlineStr">
        <is>
          <t>DALSTCA16TXL</t>
        </is>
      </c>
      <c r="B3327" t="inlineStr">
        <is>
          <t>[DALSTCA16TXL] CLASICA DAILY 2.0 CAB (Blanco, XL)</t>
        </is>
      </c>
      <c r="C3327" t="inlineStr">
        <is>
          <t>CAB / CLASICA DAILY 2.0</t>
        </is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10</v>
      </c>
      <c r="K3327" t="inlineStr">
        <is>
          <t>Sin ventas en periodo; Sin costo registrado</t>
        </is>
      </c>
    </row>
    <row r="3328">
      <c r="A3328" t="inlineStr">
        <is>
          <t>DALSTCA16TS</t>
        </is>
      </c>
      <c r="B3328" t="inlineStr">
        <is>
          <t>[DALSTCA16TS] CLASICA DAILY 2.0 CAB (Blanco, S)</t>
        </is>
      </c>
      <c r="C3328" t="inlineStr">
        <is>
          <t>CAB / CLASICA DAILY 2.0</t>
        </is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10</v>
      </c>
      <c r="K3328" t="inlineStr">
        <is>
          <t>Sin ventas en periodo; Sin costo registrado</t>
        </is>
      </c>
    </row>
    <row r="3329">
      <c r="A3329" t="inlineStr">
        <is>
          <t>SHONRKI12T2</t>
        </is>
      </c>
      <c r="B3329" t="inlineStr">
        <is>
          <t>[SHONRKI12T2] SHORT SPORT KIDS (Azul Marino, 2)</t>
        </is>
      </c>
      <c r="C3329" t="inlineStr">
        <is>
          <t>KIDS / SHORT SPORT</t>
        </is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10</v>
      </c>
      <c r="K3329" t="inlineStr">
        <is>
          <t>Sin ventas en periodo; Sin costo registrado</t>
        </is>
      </c>
    </row>
    <row r="3330">
      <c r="A3330" t="inlineStr">
        <is>
          <t>MARMICA09TL</t>
        </is>
      </c>
      <c r="B3330" t="inlineStr">
        <is>
          <t>MAR ORIGINAL CAB</t>
        </is>
      </c>
      <c r="C3330" t="inlineStr">
        <is>
          <t>Manufactura / Caballero / P. Superiores</t>
        </is>
      </c>
      <c r="D3330" t="n">
        <v>1</v>
      </c>
      <c r="E3330" t="n">
        <v>0</v>
      </c>
      <c r="F3330" t="n">
        <v>0</v>
      </c>
      <c r="G3330" t="n">
        <v>0</v>
      </c>
      <c r="H3330" t="n">
        <v>4.946357428</v>
      </c>
      <c r="I3330" t="n">
        <v>0.1</v>
      </c>
      <c r="J3330" t="n">
        <v>1</v>
      </c>
      <c r="K3330" t="inlineStr"/>
    </row>
    <row r="3331">
      <c r="A3331" t="inlineStr">
        <is>
          <t>MARMICA43T4XL</t>
        </is>
      </c>
      <c r="B3331" t="inlineStr">
        <is>
          <t>[MARMICA43T4XL] MAR ORIGINAL CAB (Negro, 4XL)</t>
        </is>
      </c>
      <c r="C3331" t="inlineStr">
        <is>
          <t>CAB / MAR ORIGINAL</t>
        </is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10</v>
      </c>
      <c r="K3331" t="inlineStr">
        <is>
          <t>Sin ventas en periodo; Sin costo registrado</t>
        </is>
      </c>
    </row>
    <row r="3332">
      <c r="A3332" t="inlineStr">
        <is>
          <t>BUFMIGE34TUN</t>
        </is>
      </c>
      <c r="B3332" t="inlineStr">
        <is>
          <t>[BUFMIGE34TUN] FLEX COVER (Lila)</t>
        </is>
      </c>
      <c r="C3332" t="inlineStr">
        <is>
          <t>FLEX COVER</t>
        </is>
      </c>
      <c r="D3332" t="n">
        <v>0</v>
      </c>
      <c r="E3332" t="n">
        <v>0</v>
      </c>
      <c r="F3332" t="n">
        <v>0</v>
      </c>
      <c r="G3332" t="n">
        <v>6</v>
      </c>
      <c r="H3332" t="n">
        <v>0</v>
      </c>
      <c r="I3332" t="n">
        <v>0</v>
      </c>
      <c r="J3332" t="n">
        <v>10</v>
      </c>
      <c r="K3332" t="inlineStr">
        <is>
          <t>Sin ventas en periodo; Sin costo registrado</t>
        </is>
      </c>
    </row>
    <row r="3333">
      <c r="A3333" t="inlineStr">
        <is>
          <t>BUFMIGE28TUN</t>
        </is>
      </c>
      <c r="B3333" t="inlineStr">
        <is>
          <t>[BUFMIGE28TUN] FLEX COVER (Fucsia)</t>
        </is>
      </c>
      <c r="C3333" t="inlineStr">
        <is>
          <t>FLEX COVER</t>
        </is>
      </c>
      <c r="D3333" t="n">
        <v>0</v>
      </c>
      <c r="E3333" t="n">
        <v>0</v>
      </c>
      <c r="F3333" t="n">
        <v>0</v>
      </c>
      <c r="G3333" t="n">
        <v>5</v>
      </c>
      <c r="H3333" t="n">
        <v>0</v>
      </c>
      <c r="I3333" t="n">
        <v>0</v>
      </c>
      <c r="J3333" t="n">
        <v>10</v>
      </c>
      <c r="K3333" t="inlineStr">
        <is>
          <t>Sin ventas en periodo; Sin costo registrado</t>
        </is>
      </c>
    </row>
    <row r="3334">
      <c r="A3334" t="inlineStr">
        <is>
          <t>BUFMIGE11TUN</t>
        </is>
      </c>
      <c r="B3334" t="inlineStr">
        <is>
          <t>[BUFMIGE11TUN] FLEX COVER (Azul Lavanda)</t>
        </is>
      </c>
      <c r="C3334" t="inlineStr">
        <is>
          <t>FLEX COVER</t>
        </is>
      </c>
      <c r="D3334" t="n">
        <v>0</v>
      </c>
      <c r="E3334" t="n">
        <v>0</v>
      </c>
      <c r="F3334" t="n">
        <v>0</v>
      </c>
      <c r="G3334" t="n">
        <v>2</v>
      </c>
      <c r="H3334" t="n">
        <v>0</v>
      </c>
      <c r="I3334" t="n">
        <v>0</v>
      </c>
      <c r="J3334" t="n">
        <v>10</v>
      </c>
      <c r="K3334" t="inlineStr">
        <is>
          <t>Sin ventas en periodo; Sin costo registrado</t>
        </is>
      </c>
    </row>
    <row r="3335">
      <c r="A3335" t="inlineStr">
        <is>
          <t>BLCTCCKI210T14</t>
        </is>
      </c>
      <c r="B3335" t="inlineStr">
        <is>
          <t>[BLCTCCKI210T14] BASIC LINE CROP TEE KIDS</t>
        </is>
      </c>
      <c r="C3335" t="inlineStr">
        <is>
          <t>KIDS / BASIC LINE CROP TEE</t>
        </is>
      </c>
      <c r="D3335" t="n">
        <v>0</v>
      </c>
      <c r="E3335" t="n">
        <v>0</v>
      </c>
      <c r="F3335" t="n">
        <v>0</v>
      </c>
      <c r="G3335" t="n">
        <v>24</v>
      </c>
      <c r="H3335" t="n">
        <v>0</v>
      </c>
      <c r="I3335" t="n">
        <v>0</v>
      </c>
      <c r="J3335" t="n">
        <v>10</v>
      </c>
      <c r="K3335" t="inlineStr">
        <is>
          <t>Sin ventas en periodo; Sin costo registrado</t>
        </is>
      </c>
    </row>
    <row r="3336">
      <c r="A3336" t="inlineStr">
        <is>
          <t>CAP09DC</t>
        </is>
      </c>
      <c r="B3336" t="inlineStr">
        <is>
          <t>[CAP09DC] DAD CAP (Azul Cielo)</t>
        </is>
      </c>
      <c r="C3336" t="inlineStr">
        <is>
          <t>DAD CAP</t>
        </is>
      </c>
      <c r="D3336" t="n">
        <v>0</v>
      </c>
      <c r="E3336" t="n">
        <v>0</v>
      </c>
      <c r="F3336" t="n">
        <v>0</v>
      </c>
      <c r="G3336" t="n">
        <v>386</v>
      </c>
      <c r="H3336" t="n">
        <v>0</v>
      </c>
      <c r="I3336" t="n">
        <v>0</v>
      </c>
      <c r="J3336" t="n">
        <v>10</v>
      </c>
      <c r="K3336" t="inlineStr">
        <is>
          <t>Sin ventas en periodo; Sin costo registrado</t>
        </is>
      </c>
    </row>
    <row r="3337">
      <c r="A3337" t="inlineStr">
        <is>
          <t>DALSTKI30T8</t>
        </is>
      </c>
      <c r="B3337" t="inlineStr">
        <is>
          <t>[DALSTKI30T8] CLASICA DAILY 2.0 KIDS (Gris Claro, 8)</t>
        </is>
      </c>
      <c r="C3337" t="inlineStr">
        <is>
          <t>KIDS / CLASICA DAILY 2.0</t>
        </is>
      </c>
      <c r="D3337" t="n">
        <v>0</v>
      </c>
      <c r="E3337" t="n">
        <v>0</v>
      </c>
      <c r="F3337" t="n">
        <v>0</v>
      </c>
      <c r="G3337" t="n">
        <v>5</v>
      </c>
      <c r="H3337" t="n">
        <v>0</v>
      </c>
      <c r="I3337" t="n">
        <v>0</v>
      </c>
      <c r="J3337" t="n">
        <v>10</v>
      </c>
      <c r="K3337" t="inlineStr">
        <is>
          <t>Sin ventas en periodo; Sin costo registrado</t>
        </is>
      </c>
    </row>
    <row r="3338">
      <c r="A3338" t="inlineStr">
        <is>
          <t>TOA16CL</t>
        </is>
      </c>
      <c r="B3338" t="inlineStr">
        <is>
          <t>[TOA16CL] TOALLA CLIP ORIGINAL (Blanco)</t>
        </is>
      </c>
      <c r="C3338" t="inlineStr">
        <is>
          <t>TOALLA CLIP ORIGINAL</t>
        </is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10</v>
      </c>
      <c r="K3338" t="inlineStr">
        <is>
          <t>Sin ventas en periodo; Sin costo registrado</t>
        </is>
      </c>
    </row>
    <row r="3339">
      <c r="A3339" t="inlineStr">
        <is>
          <t>BUFMIGE50TUN</t>
        </is>
      </c>
      <c r="B3339" t="inlineStr">
        <is>
          <t>[BUFMIGE50TUN] FLEX COVER (Rojo)</t>
        </is>
      </c>
      <c r="C3339" t="inlineStr">
        <is>
          <t>FLEX COVER</t>
        </is>
      </c>
      <c r="D3339" t="n">
        <v>0</v>
      </c>
      <c r="E3339" t="n">
        <v>0</v>
      </c>
      <c r="F3339" t="n">
        <v>0</v>
      </c>
      <c r="G3339" t="n">
        <v>3</v>
      </c>
      <c r="H3339" t="n">
        <v>0</v>
      </c>
      <c r="I3339" t="n">
        <v>0</v>
      </c>
      <c r="J3339" t="n">
        <v>10</v>
      </c>
      <c r="K3339" t="inlineStr">
        <is>
          <t>Sin ventas en periodo; Sin costo registrado</t>
        </is>
      </c>
    </row>
    <row r="3340">
      <c r="A3340" t="inlineStr">
        <is>
          <t>SHONRKI16T16</t>
        </is>
      </c>
      <c r="B3340" t="inlineStr">
        <is>
          <t>SHORT SPORT KIDS</t>
        </is>
      </c>
      <c r="C3340" t="inlineStr">
        <is>
          <t>Manufactura / Kids / P. Inferiores</t>
        </is>
      </c>
      <c r="D3340" t="n">
        <v>1</v>
      </c>
      <c r="E3340" t="n">
        <v>0</v>
      </c>
      <c r="F3340" t="n">
        <v>0</v>
      </c>
      <c r="G3340" t="n">
        <v>0</v>
      </c>
      <c r="H3340" t="n">
        <v>6.465724382</v>
      </c>
      <c r="I3340" t="n">
        <v>0.1</v>
      </c>
      <c r="J3340" t="n">
        <v>2</v>
      </c>
      <c r="K3340" t="inlineStr"/>
    </row>
    <row r="3341">
      <c r="A3341" t="inlineStr">
        <is>
          <t>UNIMJCA11TS</t>
        </is>
      </c>
      <c r="B3341" t="inlineStr">
        <is>
          <t xml:space="preserve">UNIFORME CAB </t>
        </is>
      </c>
      <c r="C3341" t="inlineStr">
        <is>
          <t>Manufactura / Caballero / P. Superiores</t>
        </is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0.1</v>
      </c>
      <c r="J3341" t="n">
        <v>0</v>
      </c>
      <c r="K3341" t="inlineStr"/>
    </row>
    <row r="3342">
      <c r="A3342" t="inlineStr">
        <is>
          <t>SHOUNKI69T6</t>
        </is>
      </c>
      <c r="B3342" t="inlineStr">
        <is>
          <t>[SHOUNKI69T6] SHORT PLAYA KIDS (Verde Pino, 6)</t>
        </is>
      </c>
      <c r="C3342" t="inlineStr">
        <is>
          <t>KIDS / SHORT PLAYA</t>
        </is>
      </c>
      <c r="D3342" t="n">
        <v>0</v>
      </c>
      <c r="E3342" t="n">
        <v>0</v>
      </c>
      <c r="F3342" t="n">
        <v>0</v>
      </c>
      <c r="G3342" t="n">
        <v>16</v>
      </c>
      <c r="H3342" t="n">
        <v>0</v>
      </c>
      <c r="I3342" t="n">
        <v>0</v>
      </c>
      <c r="J3342" t="n">
        <v>10</v>
      </c>
      <c r="K3342" t="inlineStr">
        <is>
          <t>Sin ventas en periodo; Sin costo registrado</t>
        </is>
      </c>
    </row>
    <row r="3343">
      <c r="A3343" t="inlineStr">
        <is>
          <t>SHOUNKI69T4</t>
        </is>
      </c>
      <c r="B3343" t="inlineStr">
        <is>
          <t>[SHOUNKI69T4] SHORT PLAYA KIDS (Verde Pino, 4)</t>
        </is>
      </c>
      <c r="C3343" t="inlineStr">
        <is>
          <t>KIDS / SHORT PLAYA</t>
        </is>
      </c>
      <c r="D3343" t="n">
        <v>0</v>
      </c>
      <c r="E3343" t="n">
        <v>0</v>
      </c>
      <c r="F3343" t="n">
        <v>0</v>
      </c>
      <c r="G3343" t="n">
        <v>8</v>
      </c>
      <c r="H3343" t="n">
        <v>0</v>
      </c>
      <c r="I3343" t="n">
        <v>0</v>
      </c>
      <c r="J3343" t="n">
        <v>10</v>
      </c>
      <c r="K3343" t="inlineStr">
        <is>
          <t>Sin ventas en periodo; Sin costo registrado</t>
        </is>
      </c>
    </row>
    <row r="3344">
      <c r="A3344" t="inlineStr">
        <is>
          <t>SHOUNKI69T14</t>
        </is>
      </c>
      <c r="B3344" t="inlineStr">
        <is>
          <t>[SHOUNKI69T14] SHORT PLAYA KIDS (Verde Pino, 14)</t>
        </is>
      </c>
      <c r="C3344" t="inlineStr">
        <is>
          <t>KIDS / SHORT PLAYA</t>
        </is>
      </c>
      <c r="D3344" t="n">
        <v>0</v>
      </c>
      <c r="E3344" t="n">
        <v>0</v>
      </c>
      <c r="F3344" t="n">
        <v>0</v>
      </c>
      <c r="G3344" t="n">
        <v>38</v>
      </c>
      <c r="H3344" t="n">
        <v>0</v>
      </c>
      <c r="I3344" t="n">
        <v>0</v>
      </c>
      <c r="J3344" t="n">
        <v>10</v>
      </c>
      <c r="K3344" t="inlineStr">
        <is>
          <t>Sin ventas en periodo; Sin costo registrado</t>
        </is>
      </c>
    </row>
    <row r="3345">
      <c r="A3345" t="inlineStr">
        <is>
          <t>CLAMIKI09T14</t>
        </is>
      </c>
      <c r="B3345" t="inlineStr">
        <is>
          <t>CLASICA ORIGINAL KIDS</t>
        </is>
      </c>
      <c r="C3345" t="inlineStr">
        <is>
          <t>Manufactura / Kids / P. Superiores</t>
        </is>
      </c>
      <c r="D3345" t="n">
        <v>2</v>
      </c>
      <c r="E3345" t="n">
        <v>0</v>
      </c>
      <c r="F3345" t="n">
        <v>0</v>
      </c>
      <c r="G3345" t="n">
        <v>0</v>
      </c>
      <c r="H3345" t="n">
        <v>2.053774806</v>
      </c>
      <c r="I3345" t="n">
        <v>0.2</v>
      </c>
      <c r="J3345" t="n">
        <v>3</v>
      </c>
      <c r="K3345" t="inlineStr"/>
    </row>
    <row r="3346">
      <c r="A3346" t="inlineStr">
        <is>
          <t>CLAMIKI01T6</t>
        </is>
      </c>
      <c r="B3346" t="inlineStr">
        <is>
          <t>[CLAMIKI01T6] CLASICA ORIGINAL KIDS (Aguamarina, 6)</t>
        </is>
      </c>
      <c r="C3346" t="inlineStr">
        <is>
          <t>KIDS / CLASICA ORIGINAL</t>
        </is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10</v>
      </c>
      <c r="K3346" t="inlineStr">
        <is>
          <t>Sin ventas en periodo; Sin costo registrado</t>
        </is>
      </c>
    </row>
    <row r="3347">
      <c r="A3347" t="inlineStr">
        <is>
          <t>MLMMJDA12TL</t>
        </is>
      </c>
      <c r="B3347" t="inlineStr">
        <is>
          <t>[MLMMJDA12TL] MOTION LOOP MAFE DAMA (Azul Marino, L)</t>
        </is>
      </c>
      <c r="C3347" t="inlineStr">
        <is>
          <t>DAMA / MOTION LOOP MAFE</t>
        </is>
      </c>
      <c r="D3347" t="n">
        <v>0</v>
      </c>
      <c r="E3347" t="n">
        <v>0</v>
      </c>
      <c r="F3347" t="n">
        <v>0</v>
      </c>
      <c r="G3347" t="n">
        <v>5</v>
      </c>
      <c r="H3347" t="n">
        <v>0</v>
      </c>
      <c r="I3347" t="n">
        <v>0</v>
      </c>
      <c r="J3347" t="n">
        <v>10</v>
      </c>
      <c r="K3347" t="inlineStr">
        <is>
          <t>Sin ventas en periodo; Sin costo registrado</t>
        </is>
      </c>
    </row>
    <row r="3348">
      <c r="A3348" t="inlineStr">
        <is>
          <t>ANDMIDA11T2XL</t>
        </is>
      </c>
      <c r="B3348" t="inlineStr">
        <is>
          <t>[ANDMIDA11T2XL] ANDRE ORIGINAL DAMA (Azul Lavanda, 2XL)</t>
        </is>
      </c>
      <c r="C3348" t="inlineStr">
        <is>
          <t>DAMA / ANDRE ORIGINAL</t>
        </is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10</v>
      </c>
      <c r="K3348" t="inlineStr">
        <is>
          <t>Sin ventas en periodo; Sin costo registrado</t>
        </is>
      </c>
    </row>
    <row r="3349">
      <c r="A3349" t="inlineStr">
        <is>
          <t>HELBFDA205TS</t>
        </is>
      </c>
      <c r="B3349" t="inlineStr">
        <is>
          <t>HELEN BIO MOVE DAMA</t>
        </is>
      </c>
      <c r="C3349" t="inlineStr">
        <is>
          <t>Manufactura / Dama / P. Superiores</t>
        </is>
      </c>
      <c r="D3349" t="n">
        <v>1</v>
      </c>
      <c r="E3349" t="n">
        <v>0</v>
      </c>
      <c r="F3349" t="n">
        <v>0</v>
      </c>
      <c r="G3349" t="n">
        <v>37</v>
      </c>
      <c r="H3349" t="n">
        <v>7.34081746</v>
      </c>
      <c r="I3349" t="n">
        <v>0.1</v>
      </c>
      <c r="J3349" t="n">
        <v>6</v>
      </c>
      <c r="K3349" t="inlineStr">
        <is>
          <t>Sin ventas en periodo</t>
        </is>
      </c>
    </row>
    <row r="3350">
      <c r="A3350" t="inlineStr">
        <is>
          <t>HELBFDA205TL</t>
        </is>
      </c>
      <c r="B3350" t="inlineStr">
        <is>
          <t>[HELBFDA205TL] HELEN BIO MOVE DAMA (Lima, L)</t>
        </is>
      </c>
      <c r="C3350" t="inlineStr">
        <is>
          <t>DAMA / HELEN BIO MOVE</t>
        </is>
      </c>
      <c r="D3350" t="n">
        <v>0</v>
      </c>
      <c r="E3350" t="n">
        <v>0</v>
      </c>
      <c r="F3350" t="n">
        <v>0</v>
      </c>
      <c r="G3350" t="n">
        <v>42</v>
      </c>
      <c r="H3350" t="n">
        <v>0</v>
      </c>
      <c r="I3350" t="n">
        <v>0</v>
      </c>
      <c r="J3350" t="n">
        <v>10</v>
      </c>
      <c r="K3350" t="inlineStr">
        <is>
          <t>Sin ventas en periodo; Sin costo registrado</t>
        </is>
      </c>
    </row>
    <row r="3351">
      <c r="A3351" t="inlineStr">
        <is>
          <t>LMOFIDA09TM</t>
        </is>
      </c>
      <c r="B3351" t="inlineStr">
        <is>
          <t>[LMOFIDA09TM] LEGGING MOVA (Azul Cielo, M)</t>
        </is>
      </c>
      <c r="C3351" t="inlineStr">
        <is>
          <t>LEGGING MOVA</t>
        </is>
      </c>
      <c r="D3351" t="n">
        <v>0</v>
      </c>
      <c r="E3351" t="n">
        <v>0</v>
      </c>
      <c r="F3351" t="n">
        <v>0</v>
      </c>
      <c r="G3351" t="n">
        <v>5</v>
      </c>
      <c r="H3351" t="n">
        <v>0</v>
      </c>
      <c r="I3351" t="n">
        <v>0</v>
      </c>
      <c r="J3351" t="n">
        <v>10</v>
      </c>
      <c r="K3351" t="inlineStr">
        <is>
          <t>Sin ventas en periodo; Sin costo registrado</t>
        </is>
      </c>
    </row>
    <row r="3352">
      <c r="A3352" t="inlineStr">
        <is>
          <t>LMOFIDA09TL</t>
        </is>
      </c>
      <c r="B3352" t="inlineStr">
        <is>
          <t>[LMOFIDA09TL] LEGGING MOVA (Azul Cielo, L)</t>
        </is>
      </c>
      <c r="C3352" t="inlineStr">
        <is>
          <t>LEGGING MOVA</t>
        </is>
      </c>
      <c r="D3352" t="n">
        <v>0</v>
      </c>
      <c r="E3352" t="n">
        <v>0</v>
      </c>
      <c r="F3352" t="n">
        <v>0</v>
      </c>
      <c r="G3352" t="n">
        <v>3</v>
      </c>
      <c r="H3352" t="n">
        <v>0</v>
      </c>
      <c r="I3352" t="n">
        <v>0</v>
      </c>
      <c r="J3352" t="n">
        <v>10</v>
      </c>
      <c r="K3352" t="inlineStr">
        <is>
          <t>Sin ventas en periodo; Sin costo registrado</t>
        </is>
      </c>
    </row>
    <row r="3353">
      <c r="A3353" t="inlineStr">
        <is>
          <t>LARIMJDA16TXL</t>
        </is>
      </c>
      <c r="B3353" t="inlineStr">
        <is>
          <t>[LARIMJDA16TXL] LARISA ORIGINAL DAMA (Blanco, XL)</t>
        </is>
      </c>
      <c r="C3353" t="inlineStr">
        <is>
          <t>DAMA / LARISA ORIGINAL</t>
        </is>
      </c>
      <c r="D3353" t="n">
        <v>0</v>
      </c>
      <c r="E3353" t="n">
        <v>0</v>
      </c>
      <c r="F3353" t="n">
        <v>0</v>
      </c>
      <c r="G3353" t="n">
        <v>14</v>
      </c>
      <c r="H3353" t="n">
        <v>0</v>
      </c>
      <c r="I3353" t="n">
        <v>0</v>
      </c>
      <c r="J3353" t="n">
        <v>10</v>
      </c>
      <c r="K3353" t="inlineStr">
        <is>
          <t>Sin ventas en periodo; Sin costo registrado</t>
        </is>
      </c>
    </row>
    <row r="3354">
      <c r="A3354" t="inlineStr">
        <is>
          <t>PANNTKI31T2</t>
        </is>
      </c>
      <c r="B3354" t="inlineStr">
        <is>
          <t>[PANNTKI31T2] EXPLORE PANTS KIDS (Gris Oscuro, 2)</t>
        </is>
      </c>
      <c r="C3354" t="inlineStr">
        <is>
          <t>KIDS / EXPLORE PANTS</t>
        </is>
      </c>
      <c r="D3354" t="n">
        <v>0</v>
      </c>
      <c r="E3354" t="n">
        <v>0</v>
      </c>
      <c r="F3354" t="n">
        <v>0</v>
      </c>
      <c r="G3354" t="n">
        <v>3</v>
      </c>
      <c r="H3354" t="n">
        <v>0</v>
      </c>
      <c r="I3354" t="n">
        <v>0</v>
      </c>
      <c r="J3354" t="n">
        <v>10</v>
      </c>
      <c r="K3354" t="inlineStr">
        <is>
          <t>Sin ventas en periodo; Sin costo registrado</t>
        </is>
      </c>
    </row>
    <row r="3355">
      <c r="A3355" t="inlineStr">
        <is>
          <t>PANNKI12T8</t>
        </is>
      </c>
      <c r="B3355" t="inlineStr">
        <is>
          <t>PANNKI12T8</t>
        </is>
      </c>
      <c r="C3355" t="inlineStr">
        <is>
          <t>KIDS / PANNKI</t>
        </is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10</v>
      </c>
      <c r="K3355" t="inlineStr">
        <is>
          <t>Sin ventas en periodo; Sin costo registrado</t>
        </is>
      </c>
    </row>
    <row r="3356">
      <c r="A3356" t="inlineStr">
        <is>
          <t>PANNKI12T6</t>
        </is>
      </c>
      <c r="B3356" t="inlineStr">
        <is>
          <t>PANNKI12T6</t>
        </is>
      </c>
      <c r="C3356" t="inlineStr">
        <is>
          <t>KIDS / PANNKI</t>
        </is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10</v>
      </c>
      <c r="K3356" t="inlineStr">
        <is>
          <t>Sin ventas en periodo; Sin costo registrado</t>
        </is>
      </c>
    </row>
    <row r="3357">
      <c r="A3357" t="inlineStr">
        <is>
          <t>PANNKI12T4</t>
        </is>
      </c>
      <c r="B3357" t="inlineStr">
        <is>
          <t>PANNKI12T4</t>
        </is>
      </c>
      <c r="C3357" t="inlineStr">
        <is>
          <t>KIDS / PANNKI</t>
        </is>
      </c>
      <c r="D3357" t="n">
        <v>0</v>
      </c>
      <c r="E3357" t="n">
        <v>0</v>
      </c>
      <c r="F3357" t="n">
        <v>0</v>
      </c>
      <c r="G3357" t="n">
        <v>3</v>
      </c>
      <c r="H3357" t="n">
        <v>0</v>
      </c>
      <c r="I3357" t="n">
        <v>0</v>
      </c>
      <c r="J3357" t="n">
        <v>10</v>
      </c>
      <c r="K3357" t="inlineStr">
        <is>
          <t>Sin ventas en periodo; Sin costo registrado</t>
        </is>
      </c>
    </row>
    <row r="3358">
      <c r="A3358" t="inlineStr">
        <is>
          <t>PANNKI12T2</t>
        </is>
      </c>
      <c r="B3358" t="inlineStr">
        <is>
          <t>PANNKI12T2</t>
        </is>
      </c>
      <c r="C3358" t="inlineStr">
        <is>
          <t>KIDS / PANNKI</t>
        </is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10</v>
      </c>
      <c r="K3358" t="inlineStr">
        <is>
          <t>Sin ventas en periodo; Sin costo registrado</t>
        </is>
      </c>
    </row>
    <row r="3359">
      <c r="A3359" t="inlineStr">
        <is>
          <t>PANNKI12T12</t>
        </is>
      </c>
      <c r="B3359" t="inlineStr">
        <is>
          <t>PANNKI12T12</t>
        </is>
      </c>
      <c r="C3359" t="inlineStr">
        <is>
          <t>KIDS / PANNKI</t>
        </is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10</v>
      </c>
      <c r="K3359" t="inlineStr">
        <is>
          <t>Sin ventas en periodo; Sin costo registrado</t>
        </is>
      </c>
    </row>
    <row r="3360">
      <c r="A3360" t="inlineStr">
        <is>
          <t>PANNKI12T10</t>
        </is>
      </c>
      <c r="B3360" t="inlineStr">
        <is>
          <t>PANNKI12T10</t>
        </is>
      </c>
      <c r="C3360" t="inlineStr">
        <is>
          <t>KIDS / PANNKI</t>
        </is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10</v>
      </c>
      <c r="K3360" t="inlineStr">
        <is>
          <t>Sin ventas en periodo; Sin costo registrado</t>
        </is>
      </c>
    </row>
    <row r="3361">
      <c r="A3361" t="inlineStr">
        <is>
          <t>ANDMIDA12T2XL</t>
        </is>
      </c>
      <c r="B3361" t="inlineStr">
        <is>
          <t>ANDRE ORIGINAL DAMA</t>
        </is>
      </c>
      <c r="C3361" t="inlineStr">
        <is>
          <t>Manufactura / Dama / P. Superiores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3.274295302</v>
      </c>
      <c r="I3361" t="n">
        <v>0</v>
      </c>
      <c r="J3361" t="n">
        <v>5</v>
      </c>
      <c r="K3361" t="inlineStr"/>
    </row>
    <row r="3362">
      <c r="A3362" t="inlineStr">
        <is>
          <t>PANNKI43T4</t>
        </is>
      </c>
      <c r="B3362" t="inlineStr">
        <is>
          <t>PANNKI43T4</t>
        </is>
      </c>
      <c r="C3362" t="inlineStr">
        <is>
          <t>KIDS / PANNKI</t>
        </is>
      </c>
      <c r="D3362" t="n">
        <v>0</v>
      </c>
      <c r="E3362" t="n">
        <v>0</v>
      </c>
      <c r="F3362" t="n">
        <v>0</v>
      </c>
      <c r="G3362" t="n">
        <v>2</v>
      </c>
      <c r="H3362" t="n">
        <v>0</v>
      </c>
      <c r="I3362" t="n">
        <v>0</v>
      </c>
      <c r="J3362" t="n">
        <v>10</v>
      </c>
      <c r="K3362" t="inlineStr">
        <is>
          <t>Sin ventas en periodo; Sin costo registrado</t>
        </is>
      </c>
    </row>
    <row r="3363">
      <c r="A3363" t="inlineStr">
        <is>
          <t>PANNKI43T2</t>
        </is>
      </c>
      <c r="B3363" t="inlineStr">
        <is>
          <t>PANNKI43T2</t>
        </is>
      </c>
      <c r="C3363" t="inlineStr">
        <is>
          <t>KIDS / PANNKI</t>
        </is>
      </c>
      <c r="D3363" t="n">
        <v>0</v>
      </c>
      <c r="E3363" t="n">
        <v>0</v>
      </c>
      <c r="F3363" t="n">
        <v>0</v>
      </c>
      <c r="G3363" t="n">
        <v>2</v>
      </c>
      <c r="H3363" t="n">
        <v>0</v>
      </c>
      <c r="I3363" t="n">
        <v>0</v>
      </c>
      <c r="J3363" t="n">
        <v>10</v>
      </c>
      <c r="K3363" t="inlineStr">
        <is>
          <t>Sin ventas en periodo; Sin costo registrado</t>
        </is>
      </c>
    </row>
    <row r="3364">
      <c r="A3364" t="inlineStr">
        <is>
          <t>PANNKI43T12</t>
        </is>
      </c>
      <c r="B3364" t="inlineStr">
        <is>
          <t>PANNKI43T12</t>
        </is>
      </c>
      <c r="C3364" t="inlineStr">
        <is>
          <t>KIDS / PANNKI</t>
        </is>
      </c>
      <c r="D3364" t="n">
        <v>0</v>
      </c>
      <c r="E3364" t="n">
        <v>0</v>
      </c>
      <c r="F3364" t="n">
        <v>0</v>
      </c>
      <c r="G3364" t="n">
        <v>4</v>
      </c>
      <c r="H3364" t="n">
        <v>0</v>
      </c>
      <c r="I3364" t="n">
        <v>0</v>
      </c>
      <c r="J3364" t="n">
        <v>10</v>
      </c>
      <c r="K3364" t="inlineStr">
        <is>
          <t>Sin ventas en periodo; Sin costo registrado</t>
        </is>
      </c>
    </row>
    <row r="3365">
      <c r="A3365" t="inlineStr">
        <is>
          <t>PANNKI43T10</t>
        </is>
      </c>
      <c r="B3365" t="inlineStr">
        <is>
          <t>PANNKI43T10</t>
        </is>
      </c>
      <c r="C3365" t="inlineStr">
        <is>
          <t>KIDS / PANNKI</t>
        </is>
      </c>
      <c r="D3365" t="n">
        <v>0</v>
      </c>
      <c r="E3365" t="n">
        <v>0</v>
      </c>
      <c r="F3365" t="n">
        <v>0</v>
      </c>
      <c r="G3365" t="n">
        <v>2</v>
      </c>
      <c r="H3365" t="n">
        <v>0</v>
      </c>
      <c r="I3365" t="n">
        <v>0</v>
      </c>
      <c r="J3365" t="n">
        <v>10</v>
      </c>
      <c r="K3365" t="inlineStr">
        <is>
          <t>Sin ventas en periodo; Sin costo registrado</t>
        </is>
      </c>
    </row>
    <row r="3366">
      <c r="A3366" t="inlineStr">
        <is>
          <t>PANNKI33T6</t>
        </is>
      </c>
      <c r="B3366" t="inlineStr">
        <is>
          <t>PANNKI33T6</t>
        </is>
      </c>
      <c r="C3366" t="inlineStr">
        <is>
          <t>KIDS / PANNKI</t>
        </is>
      </c>
      <c r="D3366" t="n">
        <v>0</v>
      </c>
      <c r="E3366" t="n">
        <v>0</v>
      </c>
      <c r="F3366" t="n">
        <v>0</v>
      </c>
      <c r="G3366" t="n">
        <v>2</v>
      </c>
      <c r="H3366" t="n">
        <v>0</v>
      </c>
      <c r="I3366" t="n">
        <v>0</v>
      </c>
      <c r="J3366" t="n">
        <v>10</v>
      </c>
      <c r="K3366" t="inlineStr">
        <is>
          <t>Sin ventas en periodo; Sin costo registrado</t>
        </is>
      </c>
    </row>
    <row r="3367">
      <c r="A3367" t="inlineStr">
        <is>
          <t>MAFMEDA13TXL</t>
        </is>
      </c>
      <c r="B3367" t="inlineStr">
        <is>
          <t>[MAFMEDA13TXL] MAFE SPORT DAMA (Azul Mazari, XL)</t>
        </is>
      </c>
      <c r="C3367" t="inlineStr">
        <is>
          <t>DAMA / MAFE SPORT</t>
        </is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10</v>
      </c>
      <c r="K3367" t="inlineStr">
        <is>
          <t>Sin ventas en periodo; Sin costo registrado</t>
        </is>
      </c>
    </row>
    <row r="3368">
      <c r="A3368" t="inlineStr">
        <is>
          <t>LACC11EQ</t>
        </is>
      </c>
      <c r="B3368" t="inlineStr">
        <is>
          <t>LANYARD</t>
        </is>
      </c>
      <c r="C3368" t="inlineStr">
        <is>
          <t>Equipamiento / Accesorios</t>
        </is>
      </c>
      <c r="D3368" t="n">
        <v>0</v>
      </c>
      <c r="E3368" t="n">
        <v>0</v>
      </c>
      <c r="F3368" t="n">
        <v>0.8725000000000001</v>
      </c>
      <c r="G3368" t="n">
        <v>0</v>
      </c>
      <c r="H3368" t="n">
        <v>0.51</v>
      </c>
      <c r="I3368" t="n">
        <v>0</v>
      </c>
      <c r="J3368" t="n">
        <v>0</v>
      </c>
      <c r="K3368" t="inlineStr"/>
    </row>
    <row r="3369">
      <c r="A3369" t="inlineStr">
        <is>
          <t>KID13EQ</t>
        </is>
      </c>
      <c r="B3369" t="inlineStr">
        <is>
          <t>[KID13EQ] KID HAT (Azul Rey)</t>
        </is>
      </c>
      <c r="C3369" t="inlineStr">
        <is>
          <t>KID HAT</t>
        </is>
      </c>
      <c r="D3369" t="n">
        <v>0</v>
      </c>
      <c r="E3369" t="n">
        <v>0</v>
      </c>
      <c r="F3369" t="n">
        <v>0</v>
      </c>
      <c r="G3369" t="n">
        <v>400</v>
      </c>
      <c r="H3369" t="n">
        <v>0</v>
      </c>
      <c r="I3369" t="n">
        <v>0</v>
      </c>
      <c r="J3369" t="n">
        <v>10</v>
      </c>
      <c r="K3369" t="inlineStr">
        <is>
          <t>Sin ventas en periodo; Sin costo registrado</t>
        </is>
      </c>
    </row>
    <row r="3370">
      <c r="A3370" t="inlineStr">
        <is>
          <t>LMOFIDA09TXS</t>
        </is>
      </c>
      <c r="B3370" t="inlineStr">
        <is>
          <t>LEGGING MOVA</t>
        </is>
      </c>
      <c r="C3370" t="inlineStr">
        <is>
          <t>Manufactura / Dama / P. Inferiores</t>
        </is>
      </c>
      <c r="D3370" t="n">
        <v>1</v>
      </c>
      <c r="E3370" t="n">
        <v>0</v>
      </c>
      <c r="F3370" t="n">
        <v>0</v>
      </c>
      <c r="G3370" t="n">
        <v>4</v>
      </c>
      <c r="H3370" t="n">
        <v>17.7</v>
      </c>
      <c r="I3370" t="n">
        <v>0.1</v>
      </c>
      <c r="J3370" t="n">
        <v>2</v>
      </c>
      <c r="K3370" t="inlineStr">
        <is>
          <t>Sin ventas en periodo</t>
        </is>
      </c>
    </row>
    <row r="3371">
      <c r="A3371" t="inlineStr">
        <is>
          <t>LMOFIDA09TS</t>
        </is>
      </c>
      <c r="B3371" t="inlineStr">
        <is>
          <t>[LMOFIDA09TS] LEGGING MOVA (Azul Cielo, S)</t>
        </is>
      </c>
      <c r="C3371" t="inlineStr">
        <is>
          <t>LEGGING MOVA</t>
        </is>
      </c>
      <c r="D3371" t="n">
        <v>0</v>
      </c>
      <c r="E3371" t="n">
        <v>0</v>
      </c>
      <c r="F3371" t="n">
        <v>0</v>
      </c>
      <c r="G3371" t="n">
        <v>5</v>
      </c>
      <c r="H3371" t="n">
        <v>0</v>
      </c>
      <c r="I3371" t="n">
        <v>0</v>
      </c>
      <c r="J3371" t="n">
        <v>10</v>
      </c>
      <c r="K3371" t="inlineStr">
        <is>
          <t>Sin ventas en periodo; Sin costo registrado</t>
        </is>
      </c>
    </row>
    <row r="3372">
      <c r="A3372" t="inlineStr">
        <is>
          <t>ZOEMIDA66TL</t>
        </is>
      </c>
      <c r="B3372" t="inlineStr">
        <is>
          <t>ZOE ORIGINAL DAMA</t>
        </is>
      </c>
      <c r="C3372" t="inlineStr">
        <is>
          <t>Manufactura / Dama / P. Superiores</t>
        </is>
      </c>
      <c r="D3372" t="n">
        <v>1</v>
      </c>
      <c r="E3372" t="n">
        <v>0</v>
      </c>
      <c r="F3372" t="n">
        <v>0</v>
      </c>
      <c r="G3372" t="n">
        <v>1</v>
      </c>
      <c r="H3372" t="n">
        <v>4.116585696</v>
      </c>
      <c r="I3372" t="n">
        <v>0.1</v>
      </c>
      <c r="J3372" t="n">
        <v>0</v>
      </c>
      <c r="K3372" t="inlineStr">
        <is>
          <t>Sin ventas en periodo</t>
        </is>
      </c>
    </row>
    <row r="3373">
      <c r="A3373" t="inlineStr">
        <is>
          <t>ADUMMDA30TXL</t>
        </is>
      </c>
      <c r="B3373" t="inlineStr">
        <is>
          <t>ACTIVE DUO DAMA</t>
        </is>
      </c>
      <c r="C3373" t="inlineStr">
        <is>
          <t>Manufactura / Caballero / P. Superiores</t>
        </is>
      </c>
      <c r="D3373" t="n">
        <v>1</v>
      </c>
      <c r="E3373" t="n">
        <v>0</v>
      </c>
      <c r="F3373" t="n">
        <v>0</v>
      </c>
      <c r="G3373" t="n">
        <v>0</v>
      </c>
      <c r="H3373" t="n">
        <v>3.19128</v>
      </c>
      <c r="I3373" t="n">
        <v>0.1</v>
      </c>
      <c r="J3373" t="n">
        <v>7</v>
      </c>
      <c r="K3373" t="inlineStr"/>
    </row>
    <row r="3374">
      <c r="A3374" t="inlineStr">
        <is>
          <t>ZOEMIKI48T2</t>
        </is>
      </c>
      <c r="B3374" t="inlineStr">
        <is>
          <t>[ZOEMIKI48T2] ZOE ORIGINAL KIDS (Púrpura, 2)</t>
        </is>
      </c>
      <c r="C3374" t="inlineStr">
        <is>
          <t>KIDS / ZOE ORIGINAL</t>
        </is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10</v>
      </c>
      <c r="K3374" t="inlineStr">
        <is>
          <t>Sin ventas en periodo; Sin costo registrado</t>
        </is>
      </c>
    </row>
    <row r="3375">
      <c r="A3375" t="inlineStr">
        <is>
          <t>ZOEMIDA09TXS</t>
        </is>
      </c>
      <c r="B3375" t="inlineStr">
        <is>
          <t>ZOE ORIGINAL DAMA</t>
        </is>
      </c>
      <c r="C3375" t="inlineStr">
        <is>
          <t>Manufactura / Dama / P. Superiores</t>
        </is>
      </c>
      <c r="D3375" t="n">
        <v>1</v>
      </c>
      <c r="E3375" t="n">
        <v>0</v>
      </c>
      <c r="F3375" t="n">
        <v>0</v>
      </c>
      <c r="G3375" t="n">
        <v>1</v>
      </c>
      <c r="H3375" t="n">
        <v>4.116585696</v>
      </c>
      <c r="I3375" t="n">
        <v>0.1</v>
      </c>
      <c r="J3375" t="n">
        <v>8</v>
      </c>
      <c r="K3375" t="inlineStr">
        <is>
          <t>Sin ventas en periodo</t>
        </is>
      </c>
    </row>
    <row r="3376">
      <c r="A3376" t="inlineStr">
        <is>
          <t>ANDMIDA34TXL</t>
        </is>
      </c>
      <c r="B3376" t="inlineStr">
        <is>
          <t>[ANDMIDA34TXL] ANDRE ORIGINAL DAMA (Lila, XL)</t>
        </is>
      </c>
      <c r="C3376" t="inlineStr">
        <is>
          <t>DAMA / ANDRE ORIGINAL</t>
        </is>
      </c>
      <c r="D3376" t="n">
        <v>0</v>
      </c>
      <c r="E3376" t="n">
        <v>0</v>
      </c>
      <c r="F3376" t="n">
        <v>0</v>
      </c>
      <c r="G3376" t="n">
        <v>4</v>
      </c>
      <c r="H3376" t="n">
        <v>0</v>
      </c>
      <c r="I3376" t="n">
        <v>0</v>
      </c>
      <c r="J3376" t="n">
        <v>10</v>
      </c>
      <c r="K3376" t="inlineStr">
        <is>
          <t>Sin ventas en periodo; Sin costo registrado</t>
        </is>
      </c>
    </row>
    <row r="3377">
      <c r="A3377" t="inlineStr">
        <is>
          <t>ANDMIDA13TXL</t>
        </is>
      </c>
      <c r="B3377" t="inlineStr">
        <is>
          <t>[ANDMIDA13TXL] ANDRE ORIGINAL DAMA (Azul Rey, XL)</t>
        </is>
      </c>
      <c r="C3377" t="inlineStr">
        <is>
          <t>DAMA / ANDRE ORIGINAL</t>
        </is>
      </c>
      <c r="D3377" t="n">
        <v>0</v>
      </c>
      <c r="E3377" t="n">
        <v>0</v>
      </c>
      <c r="F3377" t="n">
        <v>0</v>
      </c>
      <c r="G3377" t="n">
        <v>8</v>
      </c>
      <c r="H3377" t="n">
        <v>0</v>
      </c>
      <c r="I3377" t="n">
        <v>0</v>
      </c>
      <c r="J3377" t="n">
        <v>10</v>
      </c>
      <c r="K3377" t="inlineStr">
        <is>
          <t>Sin ventas en periodo; Sin costo registrado</t>
        </is>
      </c>
    </row>
    <row r="3378">
      <c r="A3378" t="inlineStr">
        <is>
          <t>PANNTCA12T3XL</t>
        </is>
      </c>
      <c r="B3378" t="inlineStr">
        <is>
          <t>[PANNTCA12T3XL] EXPLORE PANTS CAB (Azul Marino, 3XL)</t>
        </is>
      </c>
      <c r="C3378" t="inlineStr">
        <is>
          <t>CAB / EXPLORE PANTS</t>
        </is>
      </c>
      <c r="D3378" t="n">
        <v>0</v>
      </c>
      <c r="E3378" t="n">
        <v>0</v>
      </c>
      <c r="F3378" t="n">
        <v>0</v>
      </c>
      <c r="G3378" t="n">
        <v>8</v>
      </c>
      <c r="H3378" t="n">
        <v>0</v>
      </c>
      <c r="I3378" t="n">
        <v>0</v>
      </c>
      <c r="J3378" t="n">
        <v>10</v>
      </c>
      <c r="K3378" t="inlineStr">
        <is>
          <t>Sin ventas en periodo; Sin costo registrado</t>
        </is>
      </c>
    </row>
    <row r="3379">
      <c r="A3379" t="inlineStr">
        <is>
          <t>PANNTCA12T2XL</t>
        </is>
      </c>
      <c r="B3379" t="inlineStr">
        <is>
          <t>[PANNTCA12T2XL] EXPLORE PANTS CAB (Azul Marino, 2XL)</t>
        </is>
      </c>
      <c r="C3379" t="inlineStr">
        <is>
          <t>CAB / EXPLORE PANTS</t>
        </is>
      </c>
      <c r="D3379" t="n">
        <v>0</v>
      </c>
      <c r="E3379" t="n">
        <v>0</v>
      </c>
      <c r="F3379" t="n">
        <v>0</v>
      </c>
      <c r="G3379" t="n">
        <v>12</v>
      </c>
      <c r="H3379" t="n">
        <v>0</v>
      </c>
      <c r="I3379" t="n">
        <v>0</v>
      </c>
      <c r="J3379" t="n">
        <v>10</v>
      </c>
      <c r="K3379" t="inlineStr">
        <is>
          <t>Sin ventas en periodo; Sin costo registrado</t>
        </is>
      </c>
    </row>
    <row r="3380">
      <c r="A3380" t="inlineStr">
        <is>
          <t>SHOUNKI69T8</t>
        </is>
      </c>
      <c r="B3380" t="inlineStr">
        <is>
          <t>[SHOUNKI69T8] SHORT PLAYA KIDS (Verde Pino, 8)</t>
        </is>
      </c>
      <c r="C3380" t="inlineStr">
        <is>
          <t>KIDS / SHORT PLAYA</t>
        </is>
      </c>
      <c r="D3380" t="n">
        <v>0</v>
      </c>
      <c r="E3380" t="n">
        <v>0</v>
      </c>
      <c r="F3380" t="n">
        <v>0</v>
      </c>
      <c r="G3380" t="n">
        <v>36</v>
      </c>
      <c r="H3380" t="n">
        <v>0</v>
      </c>
      <c r="I3380" t="n">
        <v>0</v>
      </c>
      <c r="J3380" t="n">
        <v>10</v>
      </c>
      <c r="K3380" t="inlineStr">
        <is>
          <t>Sin ventas en periodo; Sin costo registrado</t>
        </is>
      </c>
    </row>
    <row r="3381">
      <c r="A3381" t="inlineStr">
        <is>
          <t>PANNKI66T6</t>
        </is>
      </c>
      <c r="B3381" t="inlineStr">
        <is>
          <t>PANNKI66T6</t>
        </is>
      </c>
      <c r="C3381" t="inlineStr">
        <is>
          <t>KIDS / PANNKI</t>
        </is>
      </c>
      <c r="D3381" t="n">
        <v>0</v>
      </c>
      <c r="E3381" t="n">
        <v>0</v>
      </c>
      <c r="F3381" t="n">
        <v>0</v>
      </c>
      <c r="G3381" t="n">
        <v>2</v>
      </c>
      <c r="H3381" t="n">
        <v>0</v>
      </c>
      <c r="I3381" t="n">
        <v>0</v>
      </c>
      <c r="J3381" t="n">
        <v>10</v>
      </c>
      <c r="K3381" t="inlineStr">
        <is>
          <t>Sin ventas en periodo; Sin costo registrado</t>
        </is>
      </c>
    </row>
    <row r="3382">
      <c r="A3382" t="inlineStr">
        <is>
          <t>LARIMJDA01TS</t>
        </is>
      </c>
      <c r="B3382" t="inlineStr">
        <is>
          <t>LARISA ORIGINAL DAMA</t>
        </is>
      </c>
      <c r="C3382" t="inlineStr">
        <is>
          <t>Manufactura / Dama / P. Superiores</t>
        </is>
      </c>
      <c r="D3382" t="n">
        <v>2</v>
      </c>
      <c r="E3382" t="n">
        <v>0</v>
      </c>
      <c r="F3382" t="n">
        <v>0</v>
      </c>
      <c r="G3382" t="n">
        <v>12</v>
      </c>
      <c r="H3382" t="n">
        <v>1.765998491</v>
      </c>
      <c r="I3382" t="n">
        <v>0.2</v>
      </c>
      <c r="J3382" t="n">
        <v>0</v>
      </c>
      <c r="K3382" t="inlineStr">
        <is>
          <t>Sin ventas en periodo</t>
        </is>
      </c>
    </row>
    <row r="3383">
      <c r="A3383" t="inlineStr">
        <is>
          <t>CLAMIKI01T4</t>
        </is>
      </c>
      <c r="B3383" t="inlineStr">
        <is>
          <t>[CLAMIKI01T4] CLASICA ORIGINAL KIDS (Aguamarina, 4)</t>
        </is>
      </c>
      <c r="C3383" t="inlineStr">
        <is>
          <t>KIDS / CLASICA ORIGINAL</t>
        </is>
      </c>
      <c r="D3383" t="n">
        <v>0</v>
      </c>
      <c r="E3383" t="n">
        <v>0</v>
      </c>
      <c r="F3383" t="n">
        <v>0</v>
      </c>
      <c r="G3383" t="n">
        <v>2</v>
      </c>
      <c r="H3383" t="n">
        <v>0</v>
      </c>
      <c r="I3383" t="n">
        <v>0</v>
      </c>
      <c r="J3383" t="n">
        <v>10</v>
      </c>
      <c r="K3383" t="inlineStr">
        <is>
          <t>Sin ventas en periodo; Sin costo registrado</t>
        </is>
      </c>
    </row>
    <row r="3384">
      <c r="A3384" t="inlineStr">
        <is>
          <t>ACDMIDA121TL</t>
        </is>
      </c>
      <c r="B3384" t="inlineStr">
        <is>
          <t>DANI ACTIVE DAMA</t>
        </is>
      </c>
      <c r="C3384" t="inlineStr">
        <is>
          <t>Manufactura / Dama / P. Superiores</t>
        </is>
      </c>
      <c r="D3384" t="n">
        <v>1</v>
      </c>
      <c r="E3384" t="n">
        <v>0</v>
      </c>
      <c r="F3384" t="n">
        <v>0</v>
      </c>
      <c r="G3384" t="n">
        <v>2</v>
      </c>
      <c r="H3384" t="n">
        <v>9.82</v>
      </c>
      <c r="I3384" t="n">
        <v>0.1</v>
      </c>
      <c r="J3384" t="n">
        <v>0</v>
      </c>
      <c r="K3384" t="inlineStr">
        <is>
          <t>Sin ventas en periodo</t>
        </is>
      </c>
    </row>
    <row r="3385">
      <c r="A3385" t="inlineStr">
        <is>
          <t>ACAMIDA120TS</t>
        </is>
      </c>
      <c r="B3385" t="inlineStr">
        <is>
          <t>[ACAMIDA120TS] ANDRE ACTIVE DAMA (Gris con Azul, S)</t>
        </is>
      </c>
      <c r="C3385" t="inlineStr">
        <is>
          <t>DAMA / ANDRE ACTIVE</t>
        </is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10</v>
      </c>
      <c r="K3385" t="inlineStr">
        <is>
          <t>Sin ventas en periodo; Sin costo registrado</t>
        </is>
      </c>
    </row>
    <row r="3386">
      <c r="A3386" t="inlineStr">
        <is>
          <t>ZOEMIKI66T12</t>
        </is>
      </c>
      <c r="B3386" t="inlineStr">
        <is>
          <t>[ZOEMIKI66T12] ZOE ORIGINAL KIDS (Verde Militar, 12)</t>
        </is>
      </c>
      <c r="C3386" t="inlineStr">
        <is>
          <t>KIDS / ZOE ORIGINAL</t>
        </is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10</v>
      </c>
      <c r="K3386" t="inlineStr">
        <is>
          <t>Sin ventas en periodo; Sin costo registrado</t>
        </is>
      </c>
    </row>
    <row r="3387">
      <c r="A3387" t="inlineStr">
        <is>
          <t>ZOEMIKI66T10</t>
        </is>
      </c>
      <c r="B3387" t="inlineStr">
        <is>
          <t>[ZOEMIKI66T10] ZOE ORIGINAL KIDS (Verde Militar, 10)</t>
        </is>
      </c>
      <c r="C3387" t="inlineStr">
        <is>
          <t>KIDS / ZOE ORIGINAL</t>
        </is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10</v>
      </c>
      <c r="K3387" t="inlineStr">
        <is>
          <t>Sin ventas en periodo; Sin costo registrado</t>
        </is>
      </c>
    </row>
    <row r="3388">
      <c r="A3388" t="inlineStr">
        <is>
          <t>201STCA43T2XL</t>
        </is>
      </c>
      <c r="B3388" t="inlineStr">
        <is>
          <t>[201STCA43T2XL] RETRO VZLA CAB (Negro/2018, 2XL)</t>
        </is>
      </c>
      <c r="C3388" t="inlineStr">
        <is>
          <t>CAB / RETRO VZLA</t>
        </is>
      </c>
      <c r="D3388" t="n">
        <v>0</v>
      </c>
      <c r="E3388" t="n">
        <v>0</v>
      </c>
      <c r="F3388" t="n">
        <v>0</v>
      </c>
      <c r="G3388" t="n">
        <v>2</v>
      </c>
      <c r="H3388" t="n">
        <v>0</v>
      </c>
      <c r="I3388" t="n">
        <v>0</v>
      </c>
      <c r="J3388" t="n">
        <v>10</v>
      </c>
      <c r="K3388" t="inlineStr">
        <is>
          <t>Sin ventas en periodo; Sin costo registrado</t>
        </is>
      </c>
    </row>
    <row r="3389">
      <c r="A3389" t="inlineStr">
        <is>
          <t>ZOEMIDA13T2XL</t>
        </is>
      </c>
      <c r="B3389" t="inlineStr">
        <is>
          <t>[ZOEMIDA13T2XL] ZOE ORIGINAL DAMA (Azul Rey, 2XL)</t>
        </is>
      </c>
      <c r="C3389" t="inlineStr">
        <is>
          <t>DAMA / ZOE ORIGINAL</t>
        </is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10</v>
      </c>
      <c r="K3389" t="inlineStr">
        <is>
          <t>Sin ventas en periodo; Sin costo registrado</t>
        </is>
      </c>
    </row>
    <row r="3390">
      <c r="A3390" t="inlineStr">
        <is>
          <t>ZOEMIDA11TL</t>
        </is>
      </c>
      <c r="B3390" t="inlineStr">
        <is>
          <t>ZOE ORIGINAL DAMA</t>
        </is>
      </c>
      <c r="C3390" t="inlineStr">
        <is>
          <t>Manufactura / Dama / P. Superiores</t>
        </is>
      </c>
      <c r="D3390" t="n">
        <v>1</v>
      </c>
      <c r="E3390" t="n">
        <v>0</v>
      </c>
      <c r="F3390" t="n">
        <v>0</v>
      </c>
      <c r="G3390" t="n">
        <v>0</v>
      </c>
      <c r="H3390" t="n">
        <v>4.116585696</v>
      </c>
      <c r="I3390" t="n">
        <v>0.1</v>
      </c>
      <c r="J3390" t="n">
        <v>0</v>
      </c>
      <c r="K3390" t="inlineStr"/>
    </row>
    <row r="3391">
      <c r="A3391" t="inlineStr">
        <is>
          <t>MLCMJCA66TS</t>
        </is>
      </c>
      <c r="B3391" t="inlineStr">
        <is>
          <t>[MLCMJCA66TS] MOTION LOOP CLASICA CAB (Verde Militar, S)</t>
        </is>
      </c>
      <c r="C3391" t="inlineStr">
        <is>
          <t>CAB / MOTION LOOP CLASICA</t>
        </is>
      </c>
      <c r="D3391" t="n">
        <v>0</v>
      </c>
      <c r="E3391" t="n">
        <v>0</v>
      </c>
      <c r="F3391" t="n">
        <v>0</v>
      </c>
      <c r="G3391" t="n">
        <v>10</v>
      </c>
      <c r="H3391" t="n">
        <v>0</v>
      </c>
      <c r="I3391" t="n">
        <v>0</v>
      </c>
      <c r="J3391" t="n">
        <v>10</v>
      </c>
      <c r="K3391" t="inlineStr">
        <is>
          <t>Sin ventas en periodo; Sin costo registrado</t>
        </is>
      </c>
    </row>
    <row r="3392">
      <c r="A3392" t="inlineStr">
        <is>
          <t>SHR2VICA43TL</t>
        </is>
      </c>
      <c r="B3392" t="inlineStr">
        <is>
          <t>[SHR2VICA43TL] SHORT R2 CAB (Negro, L)</t>
        </is>
      </c>
      <c r="C3392" t="inlineStr">
        <is>
          <t>CAB / SHORT R2</t>
        </is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10</v>
      </c>
      <c r="K3392" t="inlineStr">
        <is>
          <t>Sin ventas en periodo; Sin costo registrado</t>
        </is>
      </c>
    </row>
    <row r="3393">
      <c r="A3393" t="inlineStr">
        <is>
          <t>PANNKI66T8</t>
        </is>
      </c>
      <c r="B3393" t="inlineStr">
        <is>
          <t>PANNKI66T8</t>
        </is>
      </c>
      <c r="C3393" t="inlineStr">
        <is>
          <t>KIDS / PANNKI</t>
        </is>
      </c>
      <c r="D3393" t="n">
        <v>0</v>
      </c>
      <c r="E3393" t="n">
        <v>0</v>
      </c>
      <c r="F3393" t="n">
        <v>0</v>
      </c>
      <c r="G3393" t="n">
        <v>2</v>
      </c>
      <c r="H3393" t="n">
        <v>0</v>
      </c>
      <c r="I3393" t="n">
        <v>0</v>
      </c>
      <c r="J3393" t="n">
        <v>10</v>
      </c>
      <c r="K3393" t="inlineStr">
        <is>
          <t>Sin ventas en periodo; Sin costo registrado</t>
        </is>
      </c>
    </row>
    <row r="3394">
      <c r="A3394" t="inlineStr">
        <is>
          <t>RUNTBMBFCA206TS</t>
        </is>
      </c>
      <c r="B3394" t="inlineStr">
        <is>
          <t>[RUNTBMBFCA206TS] RUNNING TANK BIOMOVE CAB (Azul Grisáceo, S)</t>
        </is>
      </c>
      <c r="C3394" t="inlineStr">
        <is>
          <t>CAB / RUNNING TANK BIOMOVE</t>
        </is>
      </c>
      <c r="D3394" t="n">
        <v>0</v>
      </c>
      <c r="E3394" t="n">
        <v>0</v>
      </c>
      <c r="F3394" t="n">
        <v>0</v>
      </c>
      <c r="G3394" t="n">
        <v>22</v>
      </c>
      <c r="H3394" t="n">
        <v>0</v>
      </c>
      <c r="I3394" t="n">
        <v>0</v>
      </c>
      <c r="J3394" t="n">
        <v>10</v>
      </c>
      <c r="K3394" t="inlineStr">
        <is>
          <t>Sin ventas en periodo; Sin costo registrado</t>
        </is>
      </c>
    </row>
    <row r="3395">
      <c r="A3395" t="inlineStr">
        <is>
          <t>RUNTBMBFCA206T2XL</t>
        </is>
      </c>
      <c r="B3395" t="inlineStr">
        <is>
          <t>[RUNTBMBFCA206T2XL] RUNNING TANK BIOMOVE CAB (Azul Grisáceo, 2XL)</t>
        </is>
      </c>
      <c r="C3395" t="inlineStr">
        <is>
          <t>CAB / RUNNING TANK BIOMOVE</t>
        </is>
      </c>
      <c r="D3395" t="n">
        <v>0</v>
      </c>
      <c r="E3395" t="n">
        <v>0</v>
      </c>
      <c r="F3395" t="n">
        <v>0</v>
      </c>
      <c r="G3395" t="n">
        <v>15</v>
      </c>
      <c r="H3395" t="n">
        <v>0</v>
      </c>
      <c r="I3395" t="n">
        <v>0</v>
      </c>
      <c r="J3395" t="n">
        <v>10</v>
      </c>
      <c r="K3395" t="inlineStr">
        <is>
          <t>Sin ventas en periodo; Sin costo registrado</t>
        </is>
      </c>
    </row>
    <row r="3396">
      <c r="A3396" t="inlineStr">
        <is>
          <t>MLCMJCA14TXL</t>
        </is>
      </c>
      <c r="B3396" t="inlineStr">
        <is>
          <t>[MLCMJCA14TXL] MOTION LOOP CLASICA CAB (Azul Turquesa, XL)</t>
        </is>
      </c>
      <c r="C3396" t="inlineStr">
        <is>
          <t>CAB / MOTION LOOP CLASICA</t>
        </is>
      </c>
      <c r="D3396" t="n">
        <v>0</v>
      </c>
      <c r="E3396" t="n">
        <v>0</v>
      </c>
      <c r="F3396" t="n">
        <v>0</v>
      </c>
      <c r="G3396" t="n">
        <v>6</v>
      </c>
      <c r="H3396" t="n">
        <v>0</v>
      </c>
      <c r="I3396" t="n">
        <v>0</v>
      </c>
      <c r="J3396" t="n">
        <v>10</v>
      </c>
      <c r="K3396" t="inlineStr">
        <is>
          <t>Sin ventas en periodo; Sin costo registrado</t>
        </is>
      </c>
    </row>
    <row r="3397">
      <c r="A3397" t="inlineStr">
        <is>
          <t>MLCMJCA14T2XL</t>
        </is>
      </c>
      <c r="B3397" t="inlineStr">
        <is>
          <t>[MLCMJCA14T2XL] MOTION LOOP CLASICA CAB (Azul Turquesa, 2XL)</t>
        </is>
      </c>
      <c r="C3397" t="inlineStr">
        <is>
          <t>CAB / MOTION LOOP CLASICA</t>
        </is>
      </c>
      <c r="D3397" t="n">
        <v>0</v>
      </c>
      <c r="E3397" t="n">
        <v>0</v>
      </c>
      <c r="F3397" t="n">
        <v>0</v>
      </c>
      <c r="G3397" t="n">
        <v>4</v>
      </c>
      <c r="H3397" t="n">
        <v>0</v>
      </c>
      <c r="I3397" t="n">
        <v>0</v>
      </c>
      <c r="J3397" t="n">
        <v>10</v>
      </c>
      <c r="K3397" t="inlineStr">
        <is>
          <t>Sin ventas en periodo; Sin costo registrado</t>
        </is>
      </c>
    </row>
    <row r="3398">
      <c r="A3398" t="inlineStr">
        <is>
          <t>MLCMJCA12TS</t>
        </is>
      </c>
      <c r="B3398" t="inlineStr">
        <is>
          <t>[MLCMJCA12TS] MOTION LOOP CLASICA CAB (Azul Marino, S)</t>
        </is>
      </c>
      <c r="C3398" t="inlineStr">
        <is>
          <t>CAB / MOTION LOOP CLASICA</t>
        </is>
      </c>
      <c r="D3398" t="n">
        <v>0</v>
      </c>
      <c r="E3398" t="n">
        <v>0</v>
      </c>
      <c r="F3398" t="n">
        <v>0</v>
      </c>
      <c r="G3398" t="n">
        <v>10</v>
      </c>
      <c r="H3398" t="n">
        <v>0</v>
      </c>
      <c r="I3398" t="n">
        <v>0</v>
      </c>
      <c r="J3398" t="n">
        <v>10</v>
      </c>
      <c r="K3398" t="inlineStr">
        <is>
          <t>Sin ventas en periodo; Sin costo registrado</t>
        </is>
      </c>
    </row>
    <row r="3399">
      <c r="A3399" t="inlineStr">
        <is>
          <t>PANNTCA66T2XL</t>
        </is>
      </c>
      <c r="B3399" t="inlineStr">
        <is>
          <t>[PANNTCA66T2XL] EXPLORE PANTS CAB (Verde Militar, 2XL)</t>
        </is>
      </c>
      <c r="C3399" t="inlineStr">
        <is>
          <t>CAB / EXPLORE PANTS</t>
        </is>
      </c>
      <c r="D3399" t="n">
        <v>0</v>
      </c>
      <c r="E3399" t="n">
        <v>0</v>
      </c>
      <c r="F3399" t="n">
        <v>0</v>
      </c>
      <c r="G3399" t="n">
        <v>14</v>
      </c>
      <c r="H3399" t="n">
        <v>0</v>
      </c>
      <c r="I3399" t="n">
        <v>0</v>
      </c>
      <c r="J3399" t="n">
        <v>10</v>
      </c>
      <c r="K3399" t="inlineStr">
        <is>
          <t>Sin ventas en periodo; Sin costo registrado</t>
        </is>
      </c>
    </row>
    <row r="3400">
      <c r="A3400" t="inlineStr">
        <is>
          <t>MANMIGE12TG</t>
        </is>
      </c>
      <c r="B3400" t="inlineStr">
        <is>
          <t>MANGAS GENERAL</t>
        </is>
      </c>
      <c r="C3400" t="inlineStr">
        <is>
          <t>Manufactura / General</t>
        </is>
      </c>
      <c r="D3400" t="n">
        <v>1</v>
      </c>
      <c r="E3400" t="n">
        <v>0</v>
      </c>
      <c r="F3400" t="n">
        <v>0</v>
      </c>
      <c r="G3400" t="n">
        <v>1</v>
      </c>
      <c r="H3400" t="n">
        <v>0.92</v>
      </c>
      <c r="I3400" t="n">
        <v>0.1</v>
      </c>
      <c r="J3400" t="n">
        <v>4</v>
      </c>
      <c r="K3400" t="inlineStr">
        <is>
          <t>Sin ventas en periodo</t>
        </is>
      </c>
    </row>
    <row r="3401">
      <c r="A3401" t="inlineStr">
        <is>
          <t>MANMIGE09TP</t>
        </is>
      </c>
      <c r="B3401" t="inlineStr">
        <is>
          <t>MANGAS GENERAL</t>
        </is>
      </c>
      <c r="C3401" t="inlineStr">
        <is>
          <t>Manufactura / General</t>
        </is>
      </c>
      <c r="D3401" t="n">
        <v>1</v>
      </c>
      <c r="E3401" t="n">
        <v>0</v>
      </c>
      <c r="F3401" t="n">
        <v>0</v>
      </c>
      <c r="G3401" t="n">
        <v>11</v>
      </c>
      <c r="H3401" t="n">
        <v>0.92</v>
      </c>
      <c r="I3401" t="n">
        <v>0.1</v>
      </c>
      <c r="J3401" t="n">
        <v>8</v>
      </c>
      <c r="K3401" t="inlineStr">
        <is>
          <t>Sin ventas en periodo</t>
        </is>
      </c>
    </row>
    <row r="3402">
      <c r="A3402" t="inlineStr">
        <is>
          <t>MANMEGE51TG</t>
        </is>
      </c>
      <c r="B3402" t="inlineStr">
        <is>
          <t>[MANMEGE51TG] MANGAS SPORT MESH (Rosa Palo, G)</t>
        </is>
      </c>
      <c r="C3402" t="inlineStr">
        <is>
          <t>MANGAS SPORT MESH</t>
        </is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10</v>
      </c>
      <c r="K3402" t="inlineStr">
        <is>
          <t>Sin ventas en periodo; Sin costo registrado</t>
        </is>
      </c>
    </row>
    <row r="3403">
      <c r="A3403" t="inlineStr">
        <is>
          <t>MANMEGE04TP</t>
        </is>
      </c>
      <c r="B3403" t="inlineStr">
        <is>
          <t>[MANMEGE04TP] MANGAS SPORT MESH (Amarillo Neón, P)</t>
        </is>
      </c>
      <c r="C3403" t="inlineStr">
        <is>
          <t>MANGAS SPORT MESH</t>
        </is>
      </c>
      <c r="D3403" t="n">
        <v>0</v>
      </c>
      <c r="E3403" t="n">
        <v>0</v>
      </c>
      <c r="F3403" t="n">
        <v>0</v>
      </c>
      <c r="G3403" t="n">
        <v>2</v>
      </c>
      <c r="H3403" t="n">
        <v>0</v>
      </c>
      <c r="I3403" t="n">
        <v>0</v>
      </c>
      <c r="J3403" t="n">
        <v>10</v>
      </c>
      <c r="K3403" t="inlineStr">
        <is>
          <t>Sin ventas en periodo; Sin costo registrado</t>
        </is>
      </c>
    </row>
    <row r="3404">
      <c r="A3404" t="inlineStr">
        <is>
          <t>MLMMJDA50TM</t>
        </is>
      </c>
      <c r="B3404" t="inlineStr">
        <is>
          <t>[MLMMJDA50TM] MOTION LOOP MAFE DAMA (Rojo, M)</t>
        </is>
      </c>
      <c r="C3404" t="inlineStr">
        <is>
          <t>DAMA / MOTION LOOP MAFE</t>
        </is>
      </c>
      <c r="D3404" t="n">
        <v>0</v>
      </c>
      <c r="E3404" t="n">
        <v>0</v>
      </c>
      <c r="F3404" t="n">
        <v>0</v>
      </c>
      <c r="G3404" t="n">
        <v>10</v>
      </c>
      <c r="H3404" t="n">
        <v>0</v>
      </c>
      <c r="I3404" t="n">
        <v>0</v>
      </c>
      <c r="J3404" t="n">
        <v>10</v>
      </c>
      <c r="K3404" t="inlineStr">
        <is>
          <t>Sin ventas en periodo; Sin costo registrado</t>
        </is>
      </c>
    </row>
    <row r="3405">
      <c r="A3405" t="inlineStr">
        <is>
          <t>MLMMJDA50TL</t>
        </is>
      </c>
      <c r="B3405" t="inlineStr">
        <is>
          <t>[MLMMJDA50TL] MOTION LOOP MAFE DAMA (Rojo, L)</t>
        </is>
      </c>
      <c r="C3405" t="inlineStr">
        <is>
          <t>DAMA / MOTION LOOP MAFE</t>
        </is>
      </c>
      <c r="D3405" t="n">
        <v>0</v>
      </c>
      <c r="E3405" t="n">
        <v>0</v>
      </c>
      <c r="F3405" t="n">
        <v>0</v>
      </c>
      <c r="G3405" t="n">
        <v>6</v>
      </c>
      <c r="H3405" t="n">
        <v>0</v>
      </c>
      <c r="I3405" t="n">
        <v>0</v>
      </c>
      <c r="J3405" t="n">
        <v>10</v>
      </c>
      <c r="K3405" t="inlineStr">
        <is>
          <t>Sin ventas en periodo; Sin costo registrado</t>
        </is>
      </c>
    </row>
    <row r="3406">
      <c r="A3406" t="inlineStr">
        <is>
          <t>PANNKI33T4</t>
        </is>
      </c>
      <c r="B3406" t="inlineStr">
        <is>
          <t>PANNKI33T4</t>
        </is>
      </c>
      <c r="C3406" t="inlineStr">
        <is>
          <t>KIDS / PANNKI</t>
        </is>
      </c>
      <c r="D3406" t="n">
        <v>0</v>
      </c>
      <c r="E3406" t="n">
        <v>0</v>
      </c>
      <c r="F3406" t="n">
        <v>0</v>
      </c>
      <c r="G3406" t="n">
        <v>2</v>
      </c>
      <c r="H3406" t="n">
        <v>0</v>
      </c>
      <c r="I3406" t="n">
        <v>0</v>
      </c>
      <c r="J3406" t="n">
        <v>10</v>
      </c>
      <c r="K3406" t="inlineStr">
        <is>
          <t>Sin ventas en periodo; Sin costo registrado</t>
        </is>
      </c>
    </row>
    <row r="3407">
      <c r="A3407" t="inlineStr">
        <is>
          <t>MARMICA04T3XL</t>
        </is>
      </c>
      <c r="B3407" t="inlineStr">
        <is>
          <t>MAR ORIGINAL CAB</t>
        </is>
      </c>
      <c r="C3407" t="inlineStr">
        <is>
          <t>Manufactura / Caballero / P. Superiores</t>
        </is>
      </c>
      <c r="D3407" t="n">
        <v>5</v>
      </c>
      <c r="E3407" t="n">
        <v>0</v>
      </c>
      <c r="F3407" t="n">
        <v>0</v>
      </c>
      <c r="G3407" t="n">
        <v>0</v>
      </c>
      <c r="H3407" t="n">
        <v>4.946357428</v>
      </c>
      <c r="I3407" t="n">
        <v>0.5</v>
      </c>
      <c r="J3407" t="n">
        <v>1</v>
      </c>
      <c r="K3407" t="inlineStr"/>
    </row>
    <row r="3408">
      <c r="A3408" t="inlineStr">
        <is>
          <t>MARMICA01T4XL</t>
        </is>
      </c>
      <c r="B3408" t="inlineStr">
        <is>
          <t>[MARMICA01T4XL] MAR ORIGINAL CAB (Aguamarina, 4XL)</t>
        </is>
      </c>
      <c r="C3408" t="inlineStr">
        <is>
          <t>CAB / MAR ORIGINAL</t>
        </is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10</v>
      </c>
      <c r="K3408" t="inlineStr">
        <is>
          <t>Sin ventas en periodo; Sin costo registrado</t>
        </is>
      </c>
    </row>
    <row r="3409">
      <c r="A3409" t="inlineStr">
        <is>
          <t>MANSPGE16TG</t>
        </is>
      </c>
      <c r="B3409" t="inlineStr">
        <is>
          <t>MANGAS SPORT</t>
        </is>
      </c>
      <c r="C3409" t="inlineStr">
        <is>
          <t>Manufactura / General</t>
        </is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0.1</v>
      </c>
      <c r="J3409" t="n">
        <v>4</v>
      </c>
      <c r="K3409" t="inlineStr"/>
    </row>
    <row r="3410">
      <c r="A3410" t="inlineStr">
        <is>
          <t>MANMIGE53TG</t>
        </is>
      </c>
      <c r="B3410" t="inlineStr">
        <is>
          <t>[MANMIGE53TG] MANGAS GENERAL (Rosado Pastel, G)</t>
        </is>
      </c>
      <c r="C3410" t="inlineStr">
        <is>
          <t>MANGAS GENERAL</t>
        </is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10</v>
      </c>
      <c r="K3410" t="inlineStr">
        <is>
          <t>Sin ventas en periodo; Sin costo registrado</t>
        </is>
      </c>
    </row>
    <row r="3411">
      <c r="A3411" t="inlineStr">
        <is>
          <t>MARMICA34TS</t>
        </is>
      </c>
      <c r="B3411" t="inlineStr">
        <is>
          <t>[MARMICA34TS] MAR ORIGINAL CAB (Lila, S)</t>
        </is>
      </c>
      <c r="C3411" t="inlineStr">
        <is>
          <t>CAB / MAR ORIGINAL</t>
        </is>
      </c>
      <c r="D3411" t="n">
        <v>0</v>
      </c>
      <c r="E3411" t="n">
        <v>0</v>
      </c>
      <c r="F3411" t="n">
        <v>0</v>
      </c>
      <c r="G3411" t="n">
        <v>2</v>
      </c>
      <c r="H3411" t="n">
        <v>0</v>
      </c>
      <c r="I3411" t="n">
        <v>0</v>
      </c>
      <c r="J3411" t="n">
        <v>10</v>
      </c>
      <c r="K3411" t="inlineStr">
        <is>
          <t>Sin ventas en periodo; Sin costo registrado</t>
        </is>
      </c>
    </row>
    <row r="3412">
      <c r="A3412" t="inlineStr">
        <is>
          <t>PANNTKI31T10</t>
        </is>
      </c>
      <c r="B3412" t="inlineStr">
        <is>
          <t>EXPLORE PANTS KIDS</t>
        </is>
      </c>
      <c r="C3412" t="inlineStr">
        <is>
          <t>Manufactura / Kids / P. Inferiores</t>
        </is>
      </c>
      <c r="D3412" t="n">
        <v>1</v>
      </c>
      <c r="E3412" t="n">
        <v>0</v>
      </c>
      <c r="F3412" t="n">
        <v>0.7583080918</v>
      </c>
      <c r="G3412" t="n">
        <v>1</v>
      </c>
      <c r="H3412" t="n">
        <v>13.98</v>
      </c>
      <c r="I3412" t="n">
        <v>0.1</v>
      </c>
      <c r="J3412" t="n">
        <v>2</v>
      </c>
      <c r="K3412" t="inlineStr">
        <is>
          <t>Sin ventas en periodo</t>
        </is>
      </c>
    </row>
    <row r="3413">
      <c r="A3413" t="inlineStr">
        <is>
          <t>MLCMJCA12TM</t>
        </is>
      </c>
      <c r="B3413" t="inlineStr">
        <is>
          <t>[MLCMJCA12TM] MOTION LOOP CLASICA CAB (Azul Marino, M)</t>
        </is>
      </c>
      <c r="C3413" t="inlineStr">
        <is>
          <t>CAB / MOTION LOOP CLASICA</t>
        </is>
      </c>
      <c r="D3413" t="n">
        <v>0</v>
      </c>
      <c r="E3413" t="n">
        <v>0</v>
      </c>
      <c r="F3413" t="n">
        <v>0</v>
      </c>
      <c r="G3413" t="n">
        <v>10</v>
      </c>
      <c r="H3413" t="n">
        <v>0</v>
      </c>
      <c r="I3413" t="n">
        <v>0</v>
      </c>
      <c r="J3413" t="n">
        <v>10</v>
      </c>
      <c r="K3413" t="inlineStr">
        <is>
          <t>Sin ventas en periodo; Sin costo registrado</t>
        </is>
      </c>
    </row>
    <row r="3414">
      <c r="A3414" t="inlineStr">
        <is>
          <t>MLCMJCA12T2XL</t>
        </is>
      </c>
      <c r="B3414" t="inlineStr">
        <is>
          <t>[MLCMJCA12T2XL] MOTION LOOP CLASICA CAB (Azul Marino, 2XL)</t>
        </is>
      </c>
      <c r="C3414" t="inlineStr">
        <is>
          <t>CAB / MOTION LOOP CLASICA</t>
        </is>
      </c>
      <c r="D3414" t="n">
        <v>0</v>
      </c>
      <c r="E3414" t="n">
        <v>0</v>
      </c>
      <c r="F3414" t="n">
        <v>0</v>
      </c>
      <c r="G3414" t="n">
        <v>3</v>
      </c>
      <c r="H3414" t="n">
        <v>0</v>
      </c>
      <c r="I3414" t="n">
        <v>0</v>
      </c>
      <c r="J3414" t="n">
        <v>10</v>
      </c>
      <c r="K3414" t="inlineStr">
        <is>
          <t>Sin ventas en periodo; Sin costo registrado</t>
        </is>
      </c>
    </row>
    <row r="3415">
      <c r="A3415" t="inlineStr">
        <is>
          <t>MLMMJDA50TXS</t>
        </is>
      </c>
      <c r="B3415" t="inlineStr">
        <is>
          <t>[MLMMJDA50TXS] MOTION LOOP MAFE DAMA (Rojo, XS)</t>
        </is>
      </c>
      <c r="C3415" t="inlineStr">
        <is>
          <t>DAMA / MOTION LOOP MAFE</t>
        </is>
      </c>
      <c r="D3415" t="n">
        <v>0</v>
      </c>
      <c r="E3415" t="n">
        <v>0</v>
      </c>
      <c r="F3415" t="n">
        <v>0</v>
      </c>
      <c r="G3415" t="n">
        <v>5</v>
      </c>
      <c r="H3415" t="n">
        <v>0</v>
      </c>
      <c r="I3415" t="n">
        <v>0</v>
      </c>
      <c r="J3415" t="n">
        <v>10</v>
      </c>
      <c r="K3415" t="inlineStr">
        <is>
          <t>Sin ventas en periodo; Sin costo registrado</t>
        </is>
      </c>
    </row>
    <row r="3416">
      <c r="A3416" t="inlineStr">
        <is>
          <t>MLMMJDA50TXL</t>
        </is>
      </c>
      <c r="B3416" t="inlineStr">
        <is>
          <t>[MLMMJDA50TXL] MOTION LOOP MAFE DAMA (Rojo, XL)</t>
        </is>
      </c>
      <c r="C3416" t="inlineStr">
        <is>
          <t>DAMA / MOTION LOOP MAFE</t>
        </is>
      </c>
      <c r="D3416" t="n">
        <v>0</v>
      </c>
      <c r="E3416" t="n">
        <v>0</v>
      </c>
      <c r="F3416" t="n">
        <v>0</v>
      </c>
      <c r="G3416" t="n">
        <v>4</v>
      </c>
      <c r="H3416" t="n">
        <v>0</v>
      </c>
      <c r="I3416" t="n">
        <v>0</v>
      </c>
      <c r="J3416" t="n">
        <v>10</v>
      </c>
      <c r="K3416" t="inlineStr">
        <is>
          <t>Sin ventas en periodo; Sin costo registrado</t>
        </is>
      </c>
    </row>
    <row r="3417">
      <c r="A3417" t="inlineStr">
        <is>
          <t>MLMMJDA50TS</t>
        </is>
      </c>
      <c r="B3417" t="inlineStr">
        <is>
          <t>[MLMMJDA50TS] MOTION LOOP MAFE DAMA (Rojo, S)</t>
        </is>
      </c>
      <c r="C3417" t="inlineStr">
        <is>
          <t>DAMA / MOTION LOOP MAFE</t>
        </is>
      </c>
      <c r="D3417" t="n">
        <v>0</v>
      </c>
      <c r="E3417" t="n">
        <v>0</v>
      </c>
      <c r="F3417" t="n">
        <v>0</v>
      </c>
      <c r="G3417" t="n">
        <v>10</v>
      </c>
      <c r="H3417" t="n">
        <v>0</v>
      </c>
      <c r="I3417" t="n">
        <v>0</v>
      </c>
      <c r="J3417" t="n">
        <v>10</v>
      </c>
      <c r="K3417" t="inlineStr">
        <is>
          <t>Sin ventas en periodo; Sin costo registrado</t>
        </is>
      </c>
    </row>
    <row r="3418">
      <c r="A3418" t="inlineStr">
        <is>
          <t>UNIMJCA70TS</t>
        </is>
      </c>
      <c r="B3418" t="inlineStr">
        <is>
          <t xml:space="preserve">UNIFORME CAB </t>
        </is>
      </c>
      <c r="C3418" t="inlineStr">
        <is>
          <t>Manufactura / Caballero / P. Superiores</t>
        </is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0.1</v>
      </c>
      <c r="J3418" t="n">
        <v>0</v>
      </c>
      <c r="K3418" t="inlineStr"/>
    </row>
    <row r="3419">
      <c r="A3419" t="inlineStr">
        <is>
          <t>RIOMIDA16T2XL</t>
        </is>
      </c>
      <c r="B3419" t="inlineStr">
        <is>
          <t>RIO ORIGINAL DAMA</t>
        </is>
      </c>
      <c r="C3419" t="inlineStr">
        <is>
          <t>Manufactura / Dama / P. Superiores</t>
        </is>
      </c>
      <c r="D3419" t="n">
        <v>0</v>
      </c>
      <c r="E3419" t="n">
        <v>0</v>
      </c>
      <c r="F3419" t="n">
        <v>0.8871073427</v>
      </c>
      <c r="G3419" t="n">
        <v>0</v>
      </c>
      <c r="H3419" t="n">
        <v>5.538832275</v>
      </c>
      <c r="I3419" t="n">
        <v>0</v>
      </c>
      <c r="J3419" t="n">
        <v>9</v>
      </c>
      <c r="K3419" t="inlineStr"/>
    </row>
    <row r="3420">
      <c r="A3420" t="inlineStr">
        <is>
          <t>PANNKI33T2</t>
        </is>
      </c>
      <c r="B3420" t="inlineStr">
        <is>
          <t>PANNKI33T2</t>
        </is>
      </c>
      <c r="C3420" t="inlineStr">
        <is>
          <t>KIDS / PANNKI</t>
        </is>
      </c>
      <c r="D3420" t="n">
        <v>0</v>
      </c>
      <c r="E3420" t="n">
        <v>0</v>
      </c>
      <c r="F3420" t="n">
        <v>0</v>
      </c>
      <c r="G3420" t="n">
        <v>2</v>
      </c>
      <c r="H3420" t="n">
        <v>0</v>
      </c>
      <c r="I3420" t="n">
        <v>0</v>
      </c>
      <c r="J3420" t="n">
        <v>10</v>
      </c>
      <c r="K3420" t="inlineStr">
        <is>
          <t>Sin ventas en periodo; Sin costo registrado</t>
        </is>
      </c>
    </row>
    <row r="3421">
      <c r="A3421" t="inlineStr">
        <is>
          <t>PANNKI33T12</t>
        </is>
      </c>
      <c r="B3421" t="inlineStr">
        <is>
          <t>PANNKI33T12</t>
        </is>
      </c>
      <c r="C3421" t="inlineStr">
        <is>
          <t>KIDS / PANNKI</t>
        </is>
      </c>
      <c r="D3421" t="n">
        <v>0</v>
      </c>
      <c r="E3421" t="n">
        <v>0</v>
      </c>
      <c r="F3421" t="n">
        <v>0</v>
      </c>
      <c r="G3421" t="n">
        <v>2</v>
      </c>
      <c r="H3421" t="n">
        <v>0</v>
      </c>
      <c r="I3421" t="n">
        <v>0</v>
      </c>
      <c r="J3421" t="n">
        <v>10</v>
      </c>
      <c r="K3421" t="inlineStr">
        <is>
          <t>Sin ventas en periodo; Sin costo registrado</t>
        </is>
      </c>
    </row>
    <row r="3422">
      <c r="A3422" t="inlineStr">
        <is>
          <t>MAFMIDA13TXL</t>
        </is>
      </c>
      <c r="B3422" t="inlineStr">
        <is>
          <t>[MAFMIDA13TXL] MAFE ORIGINAL DAMA (Azul Rey, XL)</t>
        </is>
      </c>
      <c r="C3422" t="inlineStr">
        <is>
          <t>DAMA / MAFE ORIGINAL</t>
        </is>
      </c>
      <c r="D3422" t="n">
        <v>0</v>
      </c>
      <c r="E3422" t="n">
        <v>0</v>
      </c>
      <c r="F3422" t="n">
        <v>0</v>
      </c>
      <c r="G3422" t="n">
        <v>2</v>
      </c>
      <c r="H3422" t="n">
        <v>0</v>
      </c>
      <c r="I3422" t="n">
        <v>0</v>
      </c>
      <c r="J3422" t="n">
        <v>10</v>
      </c>
      <c r="K3422" t="inlineStr">
        <is>
          <t>Sin ventas en periodo; Sin costo registrado</t>
        </is>
      </c>
    </row>
    <row r="3423">
      <c r="A3423" t="inlineStr">
        <is>
          <t>ACCMICA121TS</t>
        </is>
      </c>
      <c r="B3423" t="inlineStr">
        <is>
          <t>CLASICA ACTIVE CAB</t>
        </is>
      </c>
      <c r="C3423" t="inlineStr">
        <is>
          <t>Manufactura / Caballero / P. Superiores</t>
        </is>
      </c>
      <c r="D3423" t="n">
        <v>1</v>
      </c>
      <c r="E3423" t="n">
        <v>0</v>
      </c>
      <c r="F3423" t="n">
        <v>0</v>
      </c>
      <c r="G3423" t="n">
        <v>2</v>
      </c>
      <c r="H3423" t="n">
        <v>12.74</v>
      </c>
      <c r="I3423" t="n">
        <v>0.1</v>
      </c>
      <c r="J3423" t="n">
        <v>7</v>
      </c>
      <c r="K3423" t="inlineStr">
        <is>
          <t>Sin ventas en periodo</t>
        </is>
      </c>
    </row>
    <row r="3424">
      <c r="A3424" t="inlineStr">
        <is>
          <t>PANNKI66T4</t>
        </is>
      </c>
      <c r="B3424" t="inlineStr">
        <is>
          <t>PANNKI66T4</t>
        </is>
      </c>
      <c r="C3424" t="inlineStr">
        <is>
          <t>KIDS / PANNKI</t>
        </is>
      </c>
      <c r="D3424" t="n">
        <v>0</v>
      </c>
      <c r="E3424" t="n">
        <v>0</v>
      </c>
      <c r="F3424" t="n">
        <v>0</v>
      </c>
      <c r="G3424" t="n">
        <v>2</v>
      </c>
      <c r="H3424" t="n">
        <v>0</v>
      </c>
      <c r="I3424" t="n">
        <v>0</v>
      </c>
      <c r="J3424" t="n">
        <v>10</v>
      </c>
      <c r="K3424" t="inlineStr">
        <is>
          <t>Sin ventas en periodo; Sin costo registrado</t>
        </is>
      </c>
    </row>
    <row r="3425">
      <c r="A3425" t="inlineStr">
        <is>
          <t>PANNKI66T2</t>
        </is>
      </c>
      <c r="B3425" t="inlineStr">
        <is>
          <t>PANNKI66T2</t>
        </is>
      </c>
      <c r="C3425" t="inlineStr">
        <is>
          <t>KIDS / PANNKI</t>
        </is>
      </c>
      <c r="D3425" t="n">
        <v>0</v>
      </c>
      <c r="E3425" t="n">
        <v>0</v>
      </c>
      <c r="F3425" t="n">
        <v>0</v>
      </c>
      <c r="G3425" t="n">
        <v>2</v>
      </c>
      <c r="H3425" t="n">
        <v>0</v>
      </c>
      <c r="I3425" t="n">
        <v>0</v>
      </c>
      <c r="J3425" t="n">
        <v>10</v>
      </c>
      <c r="K3425" t="inlineStr">
        <is>
          <t>Sin ventas en periodo; Sin costo registrado</t>
        </is>
      </c>
    </row>
    <row r="3426">
      <c r="A3426" t="inlineStr">
        <is>
          <t>PANNKI66T12</t>
        </is>
      </c>
      <c r="B3426" t="inlineStr">
        <is>
          <t>PANNKI66T12</t>
        </is>
      </c>
      <c r="C3426" t="inlineStr">
        <is>
          <t>KIDS / PANNKI</t>
        </is>
      </c>
      <c r="D3426" t="n">
        <v>0</v>
      </c>
      <c r="E3426" t="n">
        <v>0</v>
      </c>
      <c r="F3426" t="n">
        <v>0</v>
      </c>
      <c r="G3426" t="n">
        <v>2</v>
      </c>
      <c r="H3426" t="n">
        <v>0</v>
      </c>
      <c r="I3426" t="n">
        <v>0</v>
      </c>
      <c r="J3426" t="n">
        <v>10</v>
      </c>
      <c r="K3426" t="inlineStr">
        <is>
          <t>Sin ventas en periodo; Sin costo registrado</t>
        </is>
      </c>
    </row>
    <row r="3427">
      <c r="A3427" t="inlineStr">
        <is>
          <t>PANNKI66T10</t>
        </is>
      </c>
      <c r="B3427" t="inlineStr">
        <is>
          <t>PANNKI66T10</t>
        </is>
      </c>
      <c r="C3427" t="inlineStr">
        <is>
          <t>KIDS / PANNKI</t>
        </is>
      </c>
      <c r="D3427" t="n">
        <v>0</v>
      </c>
      <c r="E3427" t="n">
        <v>0</v>
      </c>
      <c r="F3427" t="n">
        <v>0</v>
      </c>
      <c r="G3427" t="n">
        <v>3</v>
      </c>
      <c r="H3427" t="n">
        <v>0</v>
      </c>
      <c r="I3427" t="n">
        <v>0</v>
      </c>
      <c r="J3427" t="n">
        <v>10</v>
      </c>
      <c r="K3427" t="inlineStr">
        <is>
          <t>Sin ventas en periodo; Sin costo registrado</t>
        </is>
      </c>
    </row>
    <row r="3428">
      <c r="A3428" t="inlineStr">
        <is>
          <t>PANNKI43T8</t>
        </is>
      </c>
      <c r="B3428" t="inlineStr">
        <is>
          <t>PANNKI43T8</t>
        </is>
      </c>
      <c r="C3428" t="inlineStr">
        <is>
          <t>KIDS / PANNKI</t>
        </is>
      </c>
      <c r="D3428" t="n">
        <v>0</v>
      </c>
      <c r="E3428" t="n">
        <v>0</v>
      </c>
      <c r="F3428" t="n">
        <v>0</v>
      </c>
      <c r="G3428" t="n">
        <v>2</v>
      </c>
      <c r="H3428" t="n">
        <v>0</v>
      </c>
      <c r="I3428" t="n">
        <v>0</v>
      </c>
      <c r="J3428" t="n">
        <v>10</v>
      </c>
      <c r="K3428" t="inlineStr">
        <is>
          <t>Sin ventas en periodo; Sin costo registrado</t>
        </is>
      </c>
    </row>
    <row r="3429">
      <c r="A3429" t="inlineStr">
        <is>
          <t>PANNKI43T6</t>
        </is>
      </c>
      <c r="B3429" t="inlineStr">
        <is>
          <t>PANNKI43T6</t>
        </is>
      </c>
      <c r="C3429" t="inlineStr">
        <is>
          <t>KIDS / PANNKI</t>
        </is>
      </c>
      <c r="D3429" t="n">
        <v>0</v>
      </c>
      <c r="E3429" t="n">
        <v>0</v>
      </c>
      <c r="F3429" t="n">
        <v>0</v>
      </c>
      <c r="G3429" t="n">
        <v>2</v>
      </c>
      <c r="H3429" t="n">
        <v>0</v>
      </c>
      <c r="I3429" t="n">
        <v>0</v>
      </c>
      <c r="J3429" t="n">
        <v>10</v>
      </c>
      <c r="K3429" t="inlineStr">
        <is>
          <t>Sin ventas en periodo; Sin costo registrado</t>
        </is>
      </c>
    </row>
    <row r="3430">
      <c r="A3430" t="inlineStr">
        <is>
          <t>VIVMIDA12TS</t>
        </is>
      </c>
      <c r="B3430" t="inlineStr">
        <is>
          <t>VIVI ORIGINAL DAMA</t>
        </is>
      </c>
      <c r="C3430" t="inlineStr">
        <is>
          <t>Manufactura / Dama / P. Superiores</t>
        </is>
      </c>
      <c r="D3430" t="n">
        <v>5</v>
      </c>
      <c r="E3430" t="n">
        <v>0</v>
      </c>
      <c r="F3430" t="n">
        <v>0</v>
      </c>
      <c r="G3430" t="n">
        <v>1</v>
      </c>
      <c r="H3430" t="n">
        <v>4.303181706</v>
      </c>
      <c r="I3430" t="n">
        <v>0.5</v>
      </c>
      <c r="J3430" t="n">
        <v>1</v>
      </c>
      <c r="K3430" t="inlineStr">
        <is>
          <t>Sin ventas en periodo</t>
        </is>
      </c>
    </row>
    <row r="3431">
      <c r="A3431" t="inlineStr">
        <is>
          <t>VIVMIDA05TXS</t>
        </is>
      </c>
      <c r="B3431" t="inlineStr">
        <is>
          <t>VIVI ORIGINAL DAMA</t>
        </is>
      </c>
      <c r="C3431" t="inlineStr">
        <is>
          <t>Manufactura / Dama / P. Superiores</t>
        </is>
      </c>
      <c r="D3431" t="n">
        <v>1</v>
      </c>
      <c r="E3431" t="n">
        <v>0</v>
      </c>
      <c r="F3431" t="n">
        <v>0</v>
      </c>
      <c r="G3431" t="n">
        <v>0</v>
      </c>
      <c r="H3431" t="n">
        <v>4.303181706</v>
      </c>
      <c r="I3431" t="n">
        <v>0.1</v>
      </c>
      <c r="J3431" t="n">
        <v>5</v>
      </c>
      <c r="K3431" t="inlineStr"/>
    </row>
    <row r="3432">
      <c r="A3432" t="inlineStr">
        <is>
          <t>SABMEDA12TXL</t>
        </is>
      </c>
      <c r="B3432" t="inlineStr">
        <is>
          <t>[SABMEDA12TXL] SABRI SPORT DAMA (Azul Marino, XL)</t>
        </is>
      </c>
      <c r="C3432" t="inlineStr">
        <is>
          <t>DAMA / SABRI SPORT</t>
        </is>
      </c>
      <c r="D3432" t="n">
        <v>0</v>
      </c>
      <c r="E3432" t="n">
        <v>0</v>
      </c>
      <c r="F3432" t="n">
        <v>0</v>
      </c>
      <c r="G3432" t="n">
        <v>4</v>
      </c>
      <c r="H3432" t="n">
        <v>0</v>
      </c>
      <c r="I3432" t="n">
        <v>0</v>
      </c>
      <c r="J3432" t="n">
        <v>10</v>
      </c>
      <c r="K3432" t="inlineStr">
        <is>
          <t>Sin ventas en periodo; Sin costo registrado</t>
        </is>
      </c>
    </row>
    <row r="3433">
      <c r="A3433" t="inlineStr">
        <is>
          <t>DOMBFCA205TXL</t>
        </is>
      </c>
      <c r="B3433" t="inlineStr">
        <is>
          <t>[DOMBFCA205TXL] DOMINIC BIO MOVE CAB (Lima, XL)</t>
        </is>
      </c>
      <c r="C3433" t="inlineStr">
        <is>
          <t>CAB / DOMINIC BIO MOVE</t>
        </is>
      </c>
      <c r="D3433" t="n">
        <v>0</v>
      </c>
      <c r="E3433" t="n">
        <v>0</v>
      </c>
      <c r="F3433" t="n">
        <v>0</v>
      </c>
      <c r="G3433" t="n">
        <v>38</v>
      </c>
      <c r="H3433" t="n">
        <v>0</v>
      </c>
      <c r="I3433" t="n">
        <v>0</v>
      </c>
      <c r="J3433" t="n">
        <v>10</v>
      </c>
      <c r="K3433" t="inlineStr">
        <is>
          <t>Sin ventas en periodo; Sin costo registrado</t>
        </is>
      </c>
    </row>
    <row r="3434">
      <c r="A3434" t="inlineStr">
        <is>
          <t>DOMBFCA205TL</t>
        </is>
      </c>
      <c r="B3434" t="inlineStr">
        <is>
          <t>DOMINIC BIO MOVE CAB</t>
        </is>
      </c>
      <c r="C3434" t="inlineStr">
        <is>
          <t>Manufactura / Caballero / P. Superiores</t>
        </is>
      </c>
      <c r="D3434" t="n">
        <v>2</v>
      </c>
      <c r="E3434" t="n">
        <v>0</v>
      </c>
      <c r="F3434" t="n">
        <v>0.8101369863</v>
      </c>
      <c r="G3434" t="n">
        <v>39</v>
      </c>
      <c r="H3434" t="n">
        <v>13.86</v>
      </c>
      <c r="I3434" t="n">
        <v>0.2</v>
      </c>
      <c r="J3434" t="n">
        <v>1</v>
      </c>
      <c r="K3434" t="inlineStr">
        <is>
          <t>Sin ventas en periodo</t>
        </is>
      </c>
    </row>
    <row r="3435">
      <c r="A3435" t="inlineStr">
        <is>
          <t>ETN102E500ML</t>
        </is>
      </c>
      <c r="B3435" t="inlineStr">
        <is>
          <t>[ETN102E500ML] KAMBUKKA ETNA 500 ML (Foggy Terrazzo)</t>
        </is>
      </c>
      <c r="C3435" t="inlineStr">
        <is>
          <t>KAMBUKKA ETNA 500 ML</t>
        </is>
      </c>
      <c r="D3435" t="n">
        <v>0</v>
      </c>
      <c r="E3435" t="n">
        <v>0</v>
      </c>
      <c r="F3435" t="n">
        <v>0</v>
      </c>
      <c r="G3435" t="n">
        <v>3</v>
      </c>
      <c r="H3435" t="n">
        <v>0</v>
      </c>
      <c r="I3435" t="n">
        <v>0</v>
      </c>
      <c r="J3435" t="n">
        <v>10</v>
      </c>
      <c r="K3435" t="inlineStr">
        <is>
          <t>Sin ventas en periodo; Sin costo registrado</t>
        </is>
      </c>
    </row>
    <row r="3436">
      <c r="A3436" t="inlineStr">
        <is>
          <t>EMP150TXS</t>
        </is>
      </c>
      <c r="B3436" t="inlineStr">
        <is>
          <t>[EMP150TXS] BOLSAS KRAFT (XS)</t>
        </is>
      </c>
      <c r="C3436" t="inlineStr">
        <is>
          <t>BOLSAS KRAFT</t>
        </is>
      </c>
      <c r="D3436" t="n">
        <v>0</v>
      </c>
      <c r="E3436" t="n">
        <v>0</v>
      </c>
      <c r="F3436" t="n">
        <v>0</v>
      </c>
      <c r="G3436" t="n">
        <v>879</v>
      </c>
      <c r="H3436" t="n">
        <v>0</v>
      </c>
      <c r="I3436" t="n">
        <v>0</v>
      </c>
      <c r="J3436" t="n">
        <v>10</v>
      </c>
      <c r="K3436" t="inlineStr">
        <is>
          <t>Sin ventas en periodo; Sin costo registrado</t>
        </is>
      </c>
    </row>
    <row r="3437">
      <c r="A3437" t="inlineStr">
        <is>
          <t>PANNTCA33T3XL</t>
        </is>
      </c>
      <c r="B3437" t="inlineStr">
        <is>
          <t>[PANNTCA33T3XL] EXPLORE PANTS CAB (Kaki, 3XL)</t>
        </is>
      </c>
      <c r="C3437" t="inlineStr">
        <is>
          <t>CAB / EXPLORE PANTS</t>
        </is>
      </c>
      <c r="D3437" t="n">
        <v>0</v>
      </c>
      <c r="E3437" t="n">
        <v>0</v>
      </c>
      <c r="F3437" t="n">
        <v>0</v>
      </c>
      <c r="G3437" t="n">
        <v>16</v>
      </c>
      <c r="H3437" t="n">
        <v>0</v>
      </c>
      <c r="I3437" t="n">
        <v>0</v>
      </c>
      <c r="J3437" t="n">
        <v>10</v>
      </c>
      <c r="K3437" t="inlineStr">
        <is>
          <t>Sin ventas en periodo; Sin costo registrado</t>
        </is>
      </c>
    </row>
    <row r="3438">
      <c r="A3438" t="inlineStr">
        <is>
          <t>MLMMJDA66TXS</t>
        </is>
      </c>
      <c r="B3438" t="inlineStr">
        <is>
          <t>[MLMMJDA66TXS] MOTION LOOP MAFE DAMA (Verde Militar, XS)</t>
        </is>
      </c>
      <c r="C3438" t="inlineStr">
        <is>
          <t>DAMA / MOTION LOOP MAFE</t>
        </is>
      </c>
      <c r="D3438" t="n">
        <v>0</v>
      </c>
      <c r="E3438" t="n">
        <v>0</v>
      </c>
      <c r="F3438" t="n">
        <v>0</v>
      </c>
      <c r="G3438" t="n">
        <v>6</v>
      </c>
      <c r="H3438" t="n">
        <v>0</v>
      </c>
      <c r="I3438" t="n">
        <v>0</v>
      </c>
      <c r="J3438" t="n">
        <v>10</v>
      </c>
      <c r="K3438" t="inlineStr">
        <is>
          <t>Sin ventas en periodo; Sin costo registrado</t>
        </is>
      </c>
    </row>
    <row r="3439">
      <c r="A3439" t="inlineStr">
        <is>
          <t>MLMMJDA66TXL</t>
        </is>
      </c>
      <c r="B3439" t="inlineStr">
        <is>
          <t>[MLMMJDA66TXL] MOTION LOOP MAFE DAMA (Verde Militar, XL)</t>
        </is>
      </c>
      <c r="C3439" t="inlineStr">
        <is>
          <t>DAMA / MOTION LOOP MAFE</t>
        </is>
      </c>
      <c r="D3439" t="n">
        <v>0</v>
      </c>
      <c r="E3439" t="n">
        <v>0</v>
      </c>
      <c r="F3439" t="n">
        <v>0</v>
      </c>
      <c r="G3439" t="n">
        <v>4</v>
      </c>
      <c r="H3439" t="n">
        <v>0</v>
      </c>
      <c r="I3439" t="n">
        <v>0</v>
      </c>
      <c r="J3439" t="n">
        <v>10</v>
      </c>
      <c r="K3439" t="inlineStr">
        <is>
          <t>Sin ventas en periodo; Sin costo registrado</t>
        </is>
      </c>
    </row>
    <row r="3440">
      <c r="A3440" t="inlineStr">
        <is>
          <t>MLMMJDA66TS</t>
        </is>
      </c>
      <c r="B3440" t="inlineStr">
        <is>
          <t>[MLMMJDA66TS] MOTION LOOP MAFE DAMA (Verde Militar, S)</t>
        </is>
      </c>
      <c r="C3440" t="inlineStr">
        <is>
          <t>DAMA / MOTION LOOP MAFE</t>
        </is>
      </c>
      <c r="D3440" t="n">
        <v>0</v>
      </c>
      <c r="E3440" t="n">
        <v>0</v>
      </c>
      <c r="F3440" t="n">
        <v>0</v>
      </c>
      <c r="G3440" t="n">
        <v>10</v>
      </c>
      <c r="H3440" t="n">
        <v>0</v>
      </c>
      <c r="I3440" t="n">
        <v>0</v>
      </c>
      <c r="J3440" t="n">
        <v>10</v>
      </c>
      <c r="K3440" t="inlineStr">
        <is>
          <t>Sin ventas en periodo; Sin costo registrado</t>
        </is>
      </c>
    </row>
    <row r="3441">
      <c r="A3441" t="inlineStr">
        <is>
          <t>MLMMJDA66TM</t>
        </is>
      </c>
      <c r="B3441" t="inlineStr">
        <is>
          <t>[MLMMJDA66TM] MOTION LOOP MAFE DAMA (Verde Militar, M)</t>
        </is>
      </c>
      <c r="C3441" t="inlineStr">
        <is>
          <t>DAMA / MOTION LOOP MAFE</t>
        </is>
      </c>
      <c r="D3441" t="n">
        <v>0</v>
      </c>
      <c r="E3441" t="n">
        <v>0</v>
      </c>
      <c r="F3441" t="n">
        <v>0</v>
      </c>
      <c r="G3441" t="n">
        <v>8</v>
      </c>
      <c r="H3441" t="n">
        <v>0</v>
      </c>
      <c r="I3441" t="n">
        <v>0</v>
      </c>
      <c r="J3441" t="n">
        <v>10</v>
      </c>
      <c r="K3441" t="inlineStr">
        <is>
          <t>Sin ventas en periodo; Sin costo registrado</t>
        </is>
      </c>
    </row>
    <row r="3442">
      <c r="A3442" t="inlineStr">
        <is>
          <t>MLMMJDA66TL</t>
        </is>
      </c>
      <c r="B3442" t="inlineStr">
        <is>
          <t>[MLMMJDA66TL] MOTION LOOP MAFE DAMA (Verde Militar, L)</t>
        </is>
      </c>
      <c r="C3442" t="inlineStr">
        <is>
          <t>DAMA / MOTION LOOP MAFE</t>
        </is>
      </c>
      <c r="D3442" t="n">
        <v>0</v>
      </c>
      <c r="E3442" t="n">
        <v>0</v>
      </c>
      <c r="F3442" t="n">
        <v>0</v>
      </c>
      <c r="G3442" t="n">
        <v>5</v>
      </c>
      <c r="H3442" t="n">
        <v>0</v>
      </c>
      <c r="I3442" t="n">
        <v>0</v>
      </c>
      <c r="J3442" t="n">
        <v>10</v>
      </c>
      <c r="K3442" t="inlineStr">
        <is>
          <t>Sin ventas en periodo; Sin costo registrado</t>
        </is>
      </c>
    </row>
    <row r="3443">
      <c r="A3443" t="inlineStr">
        <is>
          <t>AQUSTCA43TS</t>
        </is>
      </c>
      <c r="B3443" t="inlineStr">
        <is>
          <t>RETRO VZLA CAB</t>
        </is>
      </c>
      <c r="C3443" t="inlineStr">
        <is>
          <t>Manufactura / Caballero / P. Superiores</t>
        </is>
      </c>
      <c r="D3443" t="n">
        <v>1</v>
      </c>
      <c r="E3443" t="n">
        <v>0</v>
      </c>
      <c r="F3443" t="n">
        <v>0</v>
      </c>
      <c r="G3443" t="n">
        <v>0</v>
      </c>
      <c r="H3443" t="n">
        <v>12.9</v>
      </c>
      <c r="I3443" t="n">
        <v>0.1</v>
      </c>
      <c r="J3443" t="n">
        <v>8</v>
      </c>
      <c r="K3443" t="inlineStr"/>
    </row>
    <row r="3444">
      <c r="A3444" t="inlineStr">
        <is>
          <t>ANMSUDA17TS</t>
        </is>
      </c>
      <c r="B3444" t="inlineStr">
        <is>
          <t>[ANMSUDA17TS] ANDRE MOTION DAMA (Blue, S)</t>
        </is>
      </c>
      <c r="C3444" t="inlineStr">
        <is>
          <t>DAMA / ANDRE MOTION</t>
        </is>
      </c>
      <c r="D3444" t="n">
        <v>0</v>
      </c>
      <c r="E3444" t="n">
        <v>0</v>
      </c>
      <c r="F3444" t="n">
        <v>0</v>
      </c>
      <c r="G3444" t="n">
        <v>2</v>
      </c>
      <c r="H3444" t="n">
        <v>0</v>
      </c>
      <c r="I3444" t="n">
        <v>0</v>
      </c>
      <c r="J3444" t="n">
        <v>10</v>
      </c>
      <c r="K3444" t="inlineStr">
        <is>
          <t>Sin ventas en periodo; Sin costo registrado</t>
        </is>
      </c>
    </row>
    <row r="3445">
      <c r="A3445" t="inlineStr">
        <is>
          <t>ETN99E500ML</t>
        </is>
      </c>
      <c r="B3445" t="inlineStr">
        <is>
          <t>[ETN99E500ML] KAMBUKKA ETNA 500 ML (Denim Blue)</t>
        </is>
      </c>
      <c r="C3445" t="inlineStr">
        <is>
          <t>KAMBUKKA ETNA 500 ML</t>
        </is>
      </c>
      <c r="D3445" t="n">
        <v>0</v>
      </c>
      <c r="E3445" t="n">
        <v>0</v>
      </c>
      <c r="F3445" t="n">
        <v>0</v>
      </c>
      <c r="G3445" t="n">
        <v>39</v>
      </c>
      <c r="H3445" t="n">
        <v>0</v>
      </c>
      <c r="I3445" t="n">
        <v>0</v>
      </c>
      <c r="J3445" t="n">
        <v>10</v>
      </c>
      <c r="K3445" t="inlineStr">
        <is>
          <t>Sin ventas en periodo; Sin costo registrado</t>
        </is>
      </c>
    </row>
    <row r="3446">
      <c r="A3446" t="inlineStr">
        <is>
          <t>SABSTCA43T2XL</t>
        </is>
      </c>
      <c r="B3446" t="inlineStr">
        <is>
          <t>[SABSTCA43T2XL] RETRO VZLA CAB (Negro/Sabana, 2XL)</t>
        </is>
      </c>
      <c r="C3446" t="inlineStr">
        <is>
          <t>CAB / RETRO VZLA</t>
        </is>
      </c>
      <c r="D3446" t="n">
        <v>0</v>
      </c>
      <c r="E3446" t="n">
        <v>0</v>
      </c>
      <c r="F3446" t="n">
        <v>0</v>
      </c>
      <c r="G3446" t="n">
        <v>2</v>
      </c>
      <c r="H3446" t="n">
        <v>0</v>
      </c>
      <c r="I3446" t="n">
        <v>0</v>
      </c>
      <c r="J3446" t="n">
        <v>10</v>
      </c>
      <c r="K3446" t="inlineStr">
        <is>
          <t>Sin ventas en periodo; Sin costo registrado</t>
        </is>
      </c>
    </row>
    <row r="3447">
      <c r="A3447" t="inlineStr">
        <is>
          <t>SHOUNKI187T10</t>
        </is>
      </c>
      <c r="B3447" t="inlineStr">
        <is>
          <t>[SHOUNKI187T10] SHORT PLAYA KIDS (Azul Pizarra, 10)</t>
        </is>
      </c>
      <c r="C3447" t="inlineStr">
        <is>
          <t>KIDS / SHORT PLAYA</t>
        </is>
      </c>
      <c r="D3447" t="n">
        <v>0</v>
      </c>
      <c r="E3447" t="n">
        <v>0</v>
      </c>
      <c r="F3447" t="n">
        <v>0</v>
      </c>
      <c r="G3447" t="n">
        <v>32</v>
      </c>
      <c r="H3447" t="n">
        <v>0</v>
      </c>
      <c r="I3447" t="n">
        <v>0</v>
      </c>
      <c r="J3447" t="n">
        <v>10</v>
      </c>
      <c r="K3447" t="inlineStr">
        <is>
          <t>Sin ventas en periodo; Sin costo registrado</t>
        </is>
      </c>
    </row>
    <row r="3448">
      <c r="A3448" t="inlineStr">
        <is>
          <t>SHOUNKI186T8</t>
        </is>
      </c>
      <c r="B3448" t="inlineStr">
        <is>
          <t>[SHOUNKI186T8] SHORT PLAYA KIDS (Azul Verdoso, 8)</t>
        </is>
      </c>
      <c r="C3448" t="inlineStr">
        <is>
          <t>KIDS / SHORT PLAYA</t>
        </is>
      </c>
      <c r="D3448" t="n">
        <v>0</v>
      </c>
      <c r="E3448" t="n">
        <v>0</v>
      </c>
      <c r="F3448" t="n">
        <v>0</v>
      </c>
      <c r="G3448" t="n">
        <v>37</v>
      </c>
      <c r="H3448" t="n">
        <v>0</v>
      </c>
      <c r="I3448" t="n">
        <v>0</v>
      </c>
      <c r="J3448" t="n">
        <v>10</v>
      </c>
      <c r="K3448" t="inlineStr">
        <is>
          <t>Sin ventas en periodo; Sin costo registrado</t>
        </is>
      </c>
    </row>
    <row r="3449">
      <c r="A3449" t="inlineStr">
        <is>
          <t>SMLBLIDA16TL</t>
        </is>
      </c>
      <c r="B3449" t="inlineStr">
        <is>
          <t>SPOTS MANGA LARGA DAMA</t>
        </is>
      </c>
      <c r="C3449" t="inlineStr">
        <is>
          <t>Manufactura / Dama / P. Superiores</t>
        </is>
      </c>
      <c r="D3449" t="n">
        <v>1</v>
      </c>
      <c r="E3449" t="n">
        <v>0</v>
      </c>
      <c r="F3449" t="n">
        <v>0</v>
      </c>
      <c r="G3449" t="n">
        <v>11</v>
      </c>
      <c r="H3449" t="n">
        <v>12.89</v>
      </c>
      <c r="I3449" t="n">
        <v>0.1</v>
      </c>
      <c r="J3449" t="n">
        <v>1</v>
      </c>
      <c r="K3449" t="inlineStr">
        <is>
          <t>Sin ventas en periodo</t>
        </is>
      </c>
    </row>
    <row r="3450">
      <c r="A3450" t="inlineStr">
        <is>
          <t>SMLBLICA16T2XL</t>
        </is>
      </c>
      <c r="B3450" t="inlineStr">
        <is>
          <t>[SMLBLICA16T2XL] SPOTS MANGA LARGA CAB (2XL)</t>
        </is>
      </c>
      <c r="C3450" t="inlineStr">
        <is>
          <t>CAB / SPOTS MANGA LARGA</t>
        </is>
      </c>
      <c r="D3450" t="n">
        <v>0</v>
      </c>
      <c r="E3450" t="n">
        <v>0</v>
      </c>
      <c r="F3450" t="n">
        <v>0</v>
      </c>
      <c r="G3450" t="n">
        <v>10</v>
      </c>
      <c r="H3450" t="n">
        <v>0</v>
      </c>
      <c r="I3450" t="n">
        <v>0</v>
      </c>
      <c r="J3450" t="n">
        <v>10</v>
      </c>
      <c r="K3450" t="inlineStr">
        <is>
          <t>Sin ventas en periodo; Sin costo registrado</t>
        </is>
      </c>
    </row>
    <row r="3451">
      <c r="A3451" t="inlineStr">
        <is>
          <t>SMCBNECA16T2XL</t>
        </is>
      </c>
      <c r="B3451" t="inlineStr">
        <is>
          <t>[SMCBNECA16T2XL] SPOTS MANGA CORTA CAB (Blanco/ Nueva Esparta, 2XL)</t>
        </is>
      </c>
      <c r="C3451" t="inlineStr">
        <is>
          <t>CAB / SPOTS MANGA CORTA</t>
        </is>
      </c>
      <c r="D3451" t="n">
        <v>0</v>
      </c>
      <c r="E3451" t="n">
        <v>0</v>
      </c>
      <c r="F3451" t="n">
        <v>0</v>
      </c>
      <c r="G3451" t="n">
        <v>10</v>
      </c>
      <c r="H3451" t="n">
        <v>0</v>
      </c>
      <c r="I3451" t="n">
        <v>0</v>
      </c>
      <c r="J3451" t="n">
        <v>10</v>
      </c>
      <c r="K3451" t="inlineStr">
        <is>
          <t>Sin ventas en periodo; Sin costo registrado</t>
        </is>
      </c>
    </row>
    <row r="3452">
      <c r="A3452" t="inlineStr">
        <is>
          <t>SHUNTDA31TXS</t>
        </is>
      </c>
      <c r="B3452" t="inlineStr">
        <is>
          <t>SHORT SPORT R1 DAMA</t>
        </is>
      </c>
      <c r="C3452" t="inlineStr">
        <is>
          <t>Manufactura / Dama / P. Inferiores</t>
        </is>
      </c>
      <c r="D3452" t="n">
        <v>2</v>
      </c>
      <c r="E3452" t="n">
        <v>0</v>
      </c>
      <c r="F3452" t="n">
        <v>0</v>
      </c>
      <c r="G3452" t="n">
        <v>31</v>
      </c>
      <c r="H3452" t="n">
        <v>8.33</v>
      </c>
      <c r="I3452" t="n">
        <v>0.2</v>
      </c>
      <c r="J3452" t="n">
        <v>3</v>
      </c>
      <c r="K3452" t="inlineStr">
        <is>
          <t>Sin ventas en periodo</t>
        </is>
      </c>
    </row>
    <row r="3453">
      <c r="A3453" t="inlineStr">
        <is>
          <t>CLAMIDA43T2XL</t>
        </is>
      </c>
      <c r="B3453" t="inlineStr">
        <is>
          <t>[CLAMIDA43T2XL] CLASICA ORIGINAL DAMA (Negro, 2XL)</t>
        </is>
      </c>
      <c r="C3453" t="inlineStr">
        <is>
          <t>DAMA / CLASICA ORIGINAL</t>
        </is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10</v>
      </c>
      <c r="K3453" t="inlineStr">
        <is>
          <t>Sin ventas en periodo; Sin costo registrado</t>
        </is>
      </c>
    </row>
    <row r="3454">
      <c r="A3454" t="inlineStr">
        <is>
          <t>CLAMIDA39TM</t>
        </is>
      </c>
      <c r="B3454" t="inlineStr">
        <is>
          <t>CLASICA ORIGINAL DAMA</t>
        </is>
      </c>
      <c r="C3454" t="inlineStr">
        <is>
          <t>Manufactura / Dama / P. Superiores</t>
        </is>
      </c>
      <c r="D3454" t="n">
        <v>1</v>
      </c>
      <c r="E3454" t="n">
        <v>0</v>
      </c>
      <c r="F3454" t="n">
        <v>0</v>
      </c>
      <c r="G3454" t="n">
        <v>0</v>
      </c>
      <c r="H3454" t="n">
        <v>3.923227589</v>
      </c>
      <c r="I3454" t="n">
        <v>0.1</v>
      </c>
      <c r="J3454" t="n">
        <v>9</v>
      </c>
      <c r="K3454" t="inlineStr"/>
    </row>
    <row r="3455">
      <c r="A3455" t="inlineStr">
        <is>
          <t>PETMIPE70TXS</t>
        </is>
      </c>
      <c r="B3455" t="inlineStr">
        <is>
          <t>BANDANA PET</t>
        </is>
      </c>
      <c r="C3455" t="inlineStr">
        <is>
          <t>Manufactura / General</t>
        </is>
      </c>
      <c r="D3455" t="n">
        <v>1</v>
      </c>
      <c r="E3455" t="n">
        <v>0</v>
      </c>
      <c r="F3455" t="n">
        <v>0</v>
      </c>
      <c r="G3455" t="n">
        <v>3</v>
      </c>
      <c r="H3455" t="n">
        <v>0.3252662283</v>
      </c>
      <c r="I3455" t="n">
        <v>0.1</v>
      </c>
      <c r="J3455" t="n">
        <v>0</v>
      </c>
      <c r="K3455" t="inlineStr">
        <is>
          <t>Sin ventas en periodo</t>
        </is>
      </c>
    </row>
    <row r="3456">
      <c r="A3456" t="inlineStr">
        <is>
          <t>SHOUNKI23T1</t>
        </is>
      </c>
      <c r="B3456" t="inlineStr">
        <is>
          <t>[SHOUNKI23T1] SHORT PLAYA KIDS (Coral, 1)</t>
        </is>
      </c>
      <c r="C3456" t="inlineStr">
        <is>
          <t>KIDS / SHORT PLAYA</t>
        </is>
      </c>
      <c r="D3456" t="n">
        <v>0</v>
      </c>
      <c r="E3456" t="n">
        <v>0</v>
      </c>
      <c r="F3456" t="n">
        <v>0</v>
      </c>
      <c r="G3456" t="n">
        <v>10</v>
      </c>
      <c r="H3456" t="n">
        <v>0</v>
      </c>
      <c r="I3456" t="n">
        <v>0</v>
      </c>
      <c r="J3456" t="n">
        <v>10</v>
      </c>
      <c r="K3456" t="inlineStr">
        <is>
          <t>Sin ventas en periodo; Sin costo registrado</t>
        </is>
      </c>
    </row>
    <row r="3457">
      <c r="A3457" t="inlineStr">
        <is>
          <t>SHOUNKI187T8</t>
        </is>
      </c>
      <c r="B3457" t="inlineStr">
        <is>
          <t>[SHOUNKI187T8] SHORT PLAYA KIDS (Azul Pizarra, 8)</t>
        </is>
      </c>
      <c r="C3457" t="inlineStr">
        <is>
          <t>KIDS / SHORT PLAYA</t>
        </is>
      </c>
      <c r="D3457" t="n">
        <v>0</v>
      </c>
      <c r="E3457" t="n">
        <v>0</v>
      </c>
      <c r="F3457" t="n">
        <v>0</v>
      </c>
      <c r="G3457" t="n">
        <v>31</v>
      </c>
      <c r="H3457" t="n">
        <v>0</v>
      </c>
      <c r="I3457" t="n">
        <v>0</v>
      </c>
      <c r="J3457" t="n">
        <v>10</v>
      </c>
      <c r="K3457" t="inlineStr">
        <is>
          <t>Sin ventas en periodo; Sin costo registrado</t>
        </is>
      </c>
    </row>
    <row r="3458">
      <c r="A3458" t="inlineStr">
        <is>
          <t>SHOUNKI187T6</t>
        </is>
      </c>
      <c r="B3458" t="inlineStr">
        <is>
          <t>[SHOUNKI187T6] SHORT PLAYA KIDS (Azul Pizarra, 6)</t>
        </is>
      </c>
      <c r="C3458" t="inlineStr">
        <is>
          <t>KIDS / SHORT PLAYA</t>
        </is>
      </c>
      <c r="D3458" t="n">
        <v>0</v>
      </c>
      <c r="E3458" t="n">
        <v>0</v>
      </c>
      <c r="F3458" t="n">
        <v>0</v>
      </c>
      <c r="G3458" t="n">
        <v>16</v>
      </c>
      <c r="H3458" t="n">
        <v>0</v>
      </c>
      <c r="I3458" t="n">
        <v>0</v>
      </c>
      <c r="J3458" t="n">
        <v>10</v>
      </c>
      <c r="K3458" t="inlineStr">
        <is>
          <t>Sin ventas en periodo; Sin costo registrado</t>
        </is>
      </c>
    </row>
    <row r="3459">
      <c r="A3459" t="inlineStr">
        <is>
          <t>CRESTDA16TM</t>
        </is>
      </c>
      <c r="B3459" t="inlineStr">
        <is>
          <t>RETRO VZLA DAMA</t>
        </is>
      </c>
      <c r="C3459" t="inlineStr">
        <is>
          <t>Manufactura / Dama / P. Superiores</t>
        </is>
      </c>
      <c r="D3459" t="n">
        <v>1</v>
      </c>
      <c r="E3459" t="n">
        <v>0</v>
      </c>
      <c r="F3459" t="n">
        <v>0</v>
      </c>
      <c r="G3459" t="n">
        <v>0</v>
      </c>
      <c r="H3459" t="n">
        <v>11.23</v>
      </c>
      <c r="I3459" t="n">
        <v>0.1</v>
      </c>
      <c r="J3459" t="n">
        <v>9</v>
      </c>
      <c r="K3459" t="inlineStr"/>
    </row>
    <row r="3460">
      <c r="A3460" t="inlineStr">
        <is>
          <t>SHOUNKI187T2</t>
        </is>
      </c>
      <c r="B3460" t="inlineStr">
        <is>
          <t>[SHOUNKI187T2] SHORT PLAYA KIDS (Azul Pizarra, 2)</t>
        </is>
      </c>
      <c r="C3460" t="inlineStr">
        <is>
          <t>KIDS / SHORT PLAYA</t>
        </is>
      </c>
      <c r="D3460" t="n">
        <v>0</v>
      </c>
      <c r="E3460" t="n">
        <v>0</v>
      </c>
      <c r="F3460" t="n">
        <v>0</v>
      </c>
      <c r="G3460" t="n">
        <v>16</v>
      </c>
      <c r="H3460" t="n">
        <v>0</v>
      </c>
      <c r="I3460" t="n">
        <v>0</v>
      </c>
      <c r="J3460" t="n">
        <v>10</v>
      </c>
      <c r="K3460" t="inlineStr">
        <is>
          <t>Sin ventas en periodo; Sin costo registrado</t>
        </is>
      </c>
    </row>
    <row r="3461">
      <c r="A3461" t="inlineStr">
        <is>
          <t>SHOUNKI187T14</t>
        </is>
      </c>
      <c r="B3461" t="inlineStr">
        <is>
          <t>[SHOUNKI187T14] SHORT PLAYA KIDS (Azul Pizarra, 14)</t>
        </is>
      </c>
      <c r="C3461" t="inlineStr">
        <is>
          <t>KIDS / SHORT PLAYA</t>
        </is>
      </c>
      <c r="D3461" t="n">
        <v>0</v>
      </c>
      <c r="E3461" t="n">
        <v>0</v>
      </c>
      <c r="F3461" t="n">
        <v>0</v>
      </c>
      <c r="G3461" t="n">
        <v>32</v>
      </c>
      <c r="H3461" t="n">
        <v>0</v>
      </c>
      <c r="I3461" t="n">
        <v>0</v>
      </c>
      <c r="J3461" t="n">
        <v>10</v>
      </c>
      <c r="K3461" t="inlineStr">
        <is>
          <t>Sin ventas en periodo; Sin costo registrado</t>
        </is>
      </c>
    </row>
    <row r="3462">
      <c r="A3462" t="inlineStr">
        <is>
          <t>SHOUNKI187T12</t>
        </is>
      </c>
      <c r="B3462" t="inlineStr">
        <is>
          <t>[SHOUNKI187T12] SHORT PLAYA KIDS (Azul Pizarra, 12)</t>
        </is>
      </c>
      <c r="C3462" t="inlineStr">
        <is>
          <t>KIDS / SHORT PLAYA</t>
        </is>
      </c>
      <c r="D3462" t="n">
        <v>0</v>
      </c>
      <c r="E3462" t="n">
        <v>0</v>
      </c>
      <c r="F3462" t="n">
        <v>0</v>
      </c>
      <c r="G3462" t="n">
        <v>31</v>
      </c>
      <c r="H3462" t="n">
        <v>0</v>
      </c>
      <c r="I3462" t="n">
        <v>0</v>
      </c>
      <c r="J3462" t="n">
        <v>10</v>
      </c>
      <c r="K3462" t="inlineStr">
        <is>
          <t>Sin ventas en periodo; Sin costo registrado</t>
        </is>
      </c>
    </row>
    <row r="3463">
      <c r="A3463" t="inlineStr">
        <is>
          <t>SMLBLIDA16TXL</t>
        </is>
      </c>
      <c r="B3463" t="inlineStr">
        <is>
          <t>[SMLBLIDA16TXL] SPOTS MANGA LARGA DAMA (XL)</t>
        </is>
      </c>
      <c r="C3463" t="inlineStr">
        <is>
          <t>DAMA / SPOTS MANGA LARGA</t>
        </is>
      </c>
      <c r="D3463" t="n">
        <v>0</v>
      </c>
      <c r="E3463" t="n">
        <v>0</v>
      </c>
      <c r="F3463" t="n">
        <v>0</v>
      </c>
      <c r="G3463" t="n">
        <v>6</v>
      </c>
      <c r="H3463" t="n">
        <v>0</v>
      </c>
      <c r="I3463" t="n">
        <v>0</v>
      </c>
      <c r="J3463" t="n">
        <v>10</v>
      </c>
      <c r="K3463" t="inlineStr">
        <is>
          <t>Sin ventas en periodo; Sin costo registrado</t>
        </is>
      </c>
    </row>
    <row r="3464">
      <c r="A3464" t="inlineStr">
        <is>
          <t>SHOUNKI38T8</t>
        </is>
      </c>
      <c r="B3464" t="inlineStr">
        <is>
          <t>[SHOUNKI38T8] SHORT PLAYA KIDS (Marron, 8)</t>
        </is>
      </c>
      <c r="C3464" t="inlineStr">
        <is>
          <t>KIDS / SHORT PLAYA</t>
        </is>
      </c>
      <c r="D3464" t="n">
        <v>0</v>
      </c>
      <c r="E3464" t="n">
        <v>0</v>
      </c>
      <c r="F3464" t="n">
        <v>0</v>
      </c>
      <c r="G3464" t="n">
        <v>37</v>
      </c>
      <c r="H3464" t="n">
        <v>0</v>
      </c>
      <c r="I3464" t="n">
        <v>0</v>
      </c>
      <c r="J3464" t="n">
        <v>10</v>
      </c>
      <c r="K3464" t="inlineStr">
        <is>
          <t>Sin ventas en periodo; Sin costo registrado</t>
        </is>
      </c>
    </row>
    <row r="3465">
      <c r="A3465" t="inlineStr">
        <is>
          <t>SHOUNKI38T6</t>
        </is>
      </c>
      <c r="B3465" t="inlineStr">
        <is>
          <t>[SHOUNKI38T6] SHORT PLAYA KIDS (Marron, 6)</t>
        </is>
      </c>
      <c r="C3465" t="inlineStr">
        <is>
          <t>KIDS / SHORT PLAYA</t>
        </is>
      </c>
      <c r="D3465" t="n">
        <v>0</v>
      </c>
      <c r="E3465" t="n">
        <v>0</v>
      </c>
      <c r="F3465" t="n">
        <v>0</v>
      </c>
      <c r="G3465" t="n">
        <v>20</v>
      </c>
      <c r="H3465" t="n">
        <v>0</v>
      </c>
      <c r="I3465" t="n">
        <v>0</v>
      </c>
      <c r="J3465" t="n">
        <v>10</v>
      </c>
      <c r="K3465" t="inlineStr">
        <is>
          <t>Sin ventas en periodo; Sin costo registrado</t>
        </is>
      </c>
    </row>
    <row r="3466">
      <c r="A3466" t="inlineStr">
        <is>
          <t>SHOUNKI38T4</t>
        </is>
      </c>
      <c r="B3466" t="inlineStr">
        <is>
          <t>[SHOUNKI38T4] SHORT PLAYA KIDS (Marron, 4)</t>
        </is>
      </c>
      <c r="C3466" t="inlineStr">
        <is>
          <t>KIDS / SHORT PLAYA</t>
        </is>
      </c>
      <c r="D3466" t="n">
        <v>0</v>
      </c>
      <c r="E3466" t="n">
        <v>0</v>
      </c>
      <c r="F3466" t="n">
        <v>0</v>
      </c>
      <c r="G3466" t="n">
        <v>19</v>
      </c>
      <c r="H3466" t="n">
        <v>0</v>
      </c>
      <c r="I3466" t="n">
        <v>0</v>
      </c>
      <c r="J3466" t="n">
        <v>10</v>
      </c>
      <c r="K3466" t="inlineStr">
        <is>
          <t>Sin ventas en periodo; Sin costo registrado</t>
        </is>
      </c>
    </row>
    <row r="3467">
      <c r="A3467" t="inlineStr">
        <is>
          <t>SHOUNKI38T12</t>
        </is>
      </c>
      <c r="B3467" t="inlineStr">
        <is>
          <t>[SHOUNKI38T12] SHORT PLAYA KIDS (Marron, 12)</t>
        </is>
      </c>
      <c r="C3467" t="inlineStr">
        <is>
          <t>KIDS / SHORT PLAYA</t>
        </is>
      </c>
      <c r="D3467" t="n">
        <v>0</v>
      </c>
      <c r="E3467" t="n">
        <v>0</v>
      </c>
      <c r="F3467" t="n">
        <v>0</v>
      </c>
      <c r="G3467" t="n">
        <v>35</v>
      </c>
      <c r="H3467" t="n">
        <v>0</v>
      </c>
      <c r="I3467" t="n">
        <v>0</v>
      </c>
      <c r="J3467" t="n">
        <v>10</v>
      </c>
      <c r="K3467" t="inlineStr">
        <is>
          <t>Sin ventas en periodo; Sin costo registrado</t>
        </is>
      </c>
    </row>
    <row r="3468">
      <c r="A3468" t="inlineStr">
        <is>
          <t>SHOUNKI38T10</t>
        </is>
      </c>
      <c r="B3468" t="inlineStr">
        <is>
          <t>[SHOUNKI38T10] SHORT PLAYA KIDS (Marron, 10)</t>
        </is>
      </c>
      <c r="C3468" t="inlineStr">
        <is>
          <t>KIDS / SHORT PLAYA</t>
        </is>
      </c>
      <c r="D3468" t="n">
        <v>0</v>
      </c>
      <c r="E3468" t="n">
        <v>0</v>
      </c>
      <c r="F3468" t="n">
        <v>0</v>
      </c>
      <c r="G3468" t="n">
        <v>38</v>
      </c>
      <c r="H3468" t="n">
        <v>0</v>
      </c>
      <c r="I3468" t="n">
        <v>0</v>
      </c>
      <c r="J3468" t="n">
        <v>10</v>
      </c>
      <c r="K3468" t="inlineStr">
        <is>
          <t>Sin ventas en periodo; Sin costo registrado</t>
        </is>
      </c>
    </row>
    <row r="3469">
      <c r="A3469" t="inlineStr">
        <is>
          <t>MAYFNDA24TXS</t>
        </is>
      </c>
      <c r="B3469" t="inlineStr">
        <is>
          <t>MAYA SPORT LITE DAMA</t>
        </is>
      </c>
      <c r="C3469" t="inlineStr">
        <is>
          <t>Manufactura / Dama / P. Superiores</t>
        </is>
      </c>
      <c r="D3469" t="n">
        <v>3</v>
      </c>
      <c r="E3469" t="n">
        <v>0</v>
      </c>
      <c r="F3469" t="n">
        <v>0</v>
      </c>
      <c r="G3469" t="n">
        <v>25</v>
      </c>
      <c r="H3469" t="n">
        <v>3.87</v>
      </c>
      <c r="I3469" t="n">
        <v>0.3</v>
      </c>
      <c r="J3469" t="n">
        <v>4</v>
      </c>
      <c r="K3469" t="inlineStr">
        <is>
          <t>Sin ventas en periodo</t>
        </is>
      </c>
    </row>
    <row r="3470">
      <c r="A3470" t="inlineStr">
        <is>
          <t>MAYFNDA13T2XL</t>
        </is>
      </c>
      <c r="B3470" t="inlineStr">
        <is>
          <t>[MAYFNDA13T2XL] MAYA SPORT LITE DAMA (Azul Rey, 2XL)</t>
        </is>
      </c>
      <c r="C3470" t="inlineStr">
        <is>
          <t>DAMA / MAYA SPORT LITE</t>
        </is>
      </c>
      <c r="D3470" t="n">
        <v>0</v>
      </c>
      <c r="E3470" t="n">
        <v>0</v>
      </c>
      <c r="F3470" t="n">
        <v>0</v>
      </c>
      <c r="G3470" t="n">
        <v>3</v>
      </c>
      <c r="H3470" t="n">
        <v>0</v>
      </c>
      <c r="I3470" t="n">
        <v>0</v>
      </c>
      <c r="J3470" t="n">
        <v>10</v>
      </c>
      <c r="K3470" t="inlineStr">
        <is>
          <t>Sin ventas en periodo; Sin costo registrado</t>
        </is>
      </c>
    </row>
    <row r="3471">
      <c r="A3471" t="inlineStr">
        <is>
          <t>PETMIPE40TM</t>
        </is>
      </c>
      <c r="B3471" t="inlineStr">
        <is>
          <t>[PETMIPE40TM] BANDANA PET (Morado Uva, M)</t>
        </is>
      </c>
      <c r="C3471" t="inlineStr">
        <is>
          <t>BANDANA PET</t>
        </is>
      </c>
      <c r="D3471" t="n">
        <v>0</v>
      </c>
      <c r="E3471" t="n">
        <v>0</v>
      </c>
      <c r="F3471" t="n">
        <v>0</v>
      </c>
      <c r="G3471" t="n">
        <v>60</v>
      </c>
      <c r="H3471" t="n">
        <v>0</v>
      </c>
      <c r="I3471" t="n">
        <v>0</v>
      </c>
      <c r="J3471" t="n">
        <v>10</v>
      </c>
      <c r="K3471" t="inlineStr">
        <is>
          <t>Sin ventas en periodo; Sin costo registrado</t>
        </is>
      </c>
    </row>
    <row r="3472">
      <c r="A3472" t="inlineStr">
        <is>
          <t>SHOUNKI187T4</t>
        </is>
      </c>
      <c r="B3472" t="inlineStr">
        <is>
          <t>[SHOUNKI187T4] SHORT PLAYA KIDS (Azul Pizarra, 4)</t>
        </is>
      </c>
      <c r="C3472" t="inlineStr">
        <is>
          <t>KIDS / SHORT PLAYA</t>
        </is>
      </c>
      <c r="D3472" t="n">
        <v>0</v>
      </c>
      <c r="E3472" t="n">
        <v>0</v>
      </c>
      <c r="F3472" t="n">
        <v>0</v>
      </c>
      <c r="G3472" t="n">
        <v>14</v>
      </c>
      <c r="H3472" t="n">
        <v>0</v>
      </c>
      <c r="I3472" t="n">
        <v>0</v>
      </c>
      <c r="J3472" t="n">
        <v>10</v>
      </c>
      <c r="K3472" t="inlineStr">
        <is>
          <t>Sin ventas en periodo; Sin costo registrado</t>
        </is>
      </c>
    </row>
    <row r="3473">
      <c r="A3473" t="inlineStr">
        <is>
          <t>CLAMIDA01TXL</t>
        </is>
      </c>
      <c r="B3473" t="inlineStr">
        <is>
          <t>CLASICA ORIGINAL DAMA</t>
        </is>
      </c>
      <c r="C3473" t="inlineStr">
        <is>
          <t>Manufactura / Dama / P. Superiores</t>
        </is>
      </c>
      <c r="D3473" t="n">
        <v>5</v>
      </c>
      <c r="E3473" t="n">
        <v>0</v>
      </c>
      <c r="F3473" t="n">
        <v>0</v>
      </c>
      <c r="G3473" t="n">
        <v>0</v>
      </c>
      <c r="H3473" t="n">
        <v>3.923227589</v>
      </c>
      <c r="I3473" t="n">
        <v>0.5</v>
      </c>
      <c r="J3473" t="n">
        <v>3</v>
      </c>
      <c r="K3473" t="inlineStr"/>
    </row>
    <row r="3474">
      <c r="A3474" t="inlineStr">
        <is>
          <t>CLAMIDA01TS</t>
        </is>
      </c>
      <c r="B3474" t="inlineStr">
        <is>
          <t>CLASICA ORIGINAL DAMA</t>
        </is>
      </c>
      <c r="C3474" t="inlineStr">
        <is>
          <t>Manufactura / Dama / P. Superiores</t>
        </is>
      </c>
      <c r="D3474" t="n">
        <v>25</v>
      </c>
      <c r="E3474" t="n">
        <v>0</v>
      </c>
      <c r="F3474" t="n">
        <v>0</v>
      </c>
      <c r="G3474" t="n">
        <v>0</v>
      </c>
      <c r="H3474" t="n">
        <v>3.923227589</v>
      </c>
      <c r="I3474" t="n">
        <v>2.5</v>
      </c>
      <c r="J3474" t="n">
        <v>3</v>
      </c>
      <c r="K3474" t="inlineStr"/>
    </row>
    <row r="3475">
      <c r="A3475" t="inlineStr">
        <is>
          <t>CLAMIDA01TM</t>
        </is>
      </c>
      <c r="B3475" t="inlineStr">
        <is>
          <t>CLASICA ORIGINAL DAMA</t>
        </is>
      </c>
      <c r="C3475" t="inlineStr">
        <is>
          <t>Manufactura / Dama / P. Superiores</t>
        </is>
      </c>
      <c r="D3475" t="n">
        <v>26</v>
      </c>
      <c r="E3475" t="n">
        <v>0</v>
      </c>
      <c r="F3475" t="n">
        <v>0</v>
      </c>
      <c r="G3475" t="n">
        <v>1</v>
      </c>
      <c r="H3475" t="n">
        <v>3.923227589</v>
      </c>
      <c r="I3475" t="n">
        <v>2.6</v>
      </c>
      <c r="J3475" t="n">
        <v>2</v>
      </c>
      <c r="K3475" t="inlineStr">
        <is>
          <t>Sin ventas en periodo</t>
        </is>
      </c>
    </row>
    <row r="3476">
      <c r="A3476" t="inlineStr">
        <is>
          <t>CLAMIDA01TL</t>
        </is>
      </c>
      <c r="B3476" t="inlineStr">
        <is>
          <t>CLASICA ORIGINAL DAMA</t>
        </is>
      </c>
      <c r="C3476" t="inlineStr">
        <is>
          <t>Manufactura / Dama / P. Superiores</t>
        </is>
      </c>
      <c r="D3476" t="n">
        <v>16</v>
      </c>
      <c r="E3476" t="n">
        <v>0</v>
      </c>
      <c r="F3476" t="n">
        <v>0</v>
      </c>
      <c r="G3476" t="n">
        <v>1</v>
      </c>
      <c r="H3476" t="n">
        <v>3.923227589</v>
      </c>
      <c r="I3476" t="n">
        <v>1.6</v>
      </c>
      <c r="J3476" t="n">
        <v>2</v>
      </c>
      <c r="K3476" t="inlineStr">
        <is>
          <t>Sin ventas en periodo</t>
        </is>
      </c>
    </row>
    <row r="3477">
      <c r="A3477" t="inlineStr">
        <is>
          <t>SHOUNKI170T12</t>
        </is>
      </c>
      <c r="B3477" t="inlineStr">
        <is>
          <t>[SHOUNKI170T12] SHORT PLAYA KIDS (Cereza, 12)</t>
        </is>
      </c>
      <c r="C3477" t="inlineStr">
        <is>
          <t>KIDS / SHORT PLAYA</t>
        </is>
      </c>
      <c r="D3477" t="n">
        <v>0</v>
      </c>
      <c r="E3477" t="n">
        <v>0</v>
      </c>
      <c r="F3477" t="n">
        <v>0</v>
      </c>
      <c r="G3477" t="n">
        <v>24</v>
      </c>
      <c r="H3477" t="n">
        <v>0</v>
      </c>
      <c r="I3477" t="n">
        <v>0</v>
      </c>
      <c r="J3477" t="n">
        <v>10</v>
      </c>
      <c r="K3477" t="inlineStr">
        <is>
          <t>Sin ventas en periodo; Sin costo registrado</t>
        </is>
      </c>
    </row>
    <row r="3478">
      <c r="A3478" t="inlineStr">
        <is>
          <t>CLAMIKI34T4</t>
        </is>
      </c>
      <c r="B3478" t="inlineStr">
        <is>
          <t>[CLAMIKI34T4] CLASICA ORIGINAL KIDS (Lila, 4)</t>
        </is>
      </c>
      <c r="C3478" t="inlineStr">
        <is>
          <t>KIDS / CLASICA ORIGINAL</t>
        </is>
      </c>
      <c r="D3478" t="n">
        <v>0</v>
      </c>
      <c r="E3478" t="n">
        <v>0</v>
      </c>
      <c r="F3478" t="n">
        <v>0</v>
      </c>
      <c r="G3478" t="n">
        <v>5</v>
      </c>
      <c r="H3478" t="n">
        <v>0</v>
      </c>
      <c r="I3478" t="n">
        <v>0</v>
      </c>
      <c r="J3478" t="n">
        <v>10</v>
      </c>
      <c r="K3478" t="inlineStr">
        <is>
          <t>Sin ventas en periodo; Sin costo registrado</t>
        </is>
      </c>
    </row>
    <row r="3479">
      <c r="A3479" t="inlineStr">
        <is>
          <t>CLAMIKI34T14</t>
        </is>
      </c>
      <c r="B3479" t="inlineStr">
        <is>
          <t>[CLAMIKI34T14] CLASICA ORIGINAL KIDS (Lila, 14)</t>
        </is>
      </c>
      <c r="C3479" t="inlineStr">
        <is>
          <t>KIDS / CLASICA ORIGINAL</t>
        </is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10</v>
      </c>
      <c r="K3479" t="inlineStr">
        <is>
          <t>Sin ventas en periodo; Sin costo registrado</t>
        </is>
      </c>
    </row>
    <row r="3480">
      <c r="A3480" t="inlineStr">
        <is>
          <t>CLAMIKI30T6</t>
        </is>
      </c>
      <c r="B3480" t="inlineStr">
        <is>
          <t>[CLAMIKI30T6] CLASICA ORIGINAL KIDS (Gris Claro, 6)</t>
        </is>
      </c>
      <c r="C3480" t="inlineStr">
        <is>
          <t>KIDS / CLASICA ORIGINAL</t>
        </is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10</v>
      </c>
      <c r="K3480" t="inlineStr">
        <is>
          <t>Sin ventas en periodo; Sin costo registrado</t>
        </is>
      </c>
    </row>
    <row r="3481">
      <c r="A3481" t="inlineStr">
        <is>
          <t>CLAMIKI30T2</t>
        </is>
      </c>
      <c r="B3481" t="inlineStr">
        <is>
          <t>[CLAMIKI30T2] CLASICA ORIGINAL KIDS (Gris Claro, 2)</t>
        </is>
      </c>
      <c r="C3481" t="inlineStr">
        <is>
          <t>KIDS / CLASICA ORIGINAL</t>
        </is>
      </c>
      <c r="D3481" t="n">
        <v>0</v>
      </c>
      <c r="E3481" t="n">
        <v>0</v>
      </c>
      <c r="F3481" t="n">
        <v>0</v>
      </c>
      <c r="G3481" t="n">
        <v>41</v>
      </c>
      <c r="H3481" t="n">
        <v>0</v>
      </c>
      <c r="I3481" t="n">
        <v>0</v>
      </c>
      <c r="J3481" t="n">
        <v>10</v>
      </c>
      <c r="K3481" t="inlineStr">
        <is>
          <t>Sin ventas en periodo; Sin costo registrado</t>
        </is>
      </c>
    </row>
    <row r="3482">
      <c r="A3482" t="inlineStr">
        <is>
          <t>CLAMIKI28T14</t>
        </is>
      </c>
      <c r="B3482" t="inlineStr">
        <is>
          <t>CLASICA ORIGINAL KIDS</t>
        </is>
      </c>
      <c r="C3482" t="inlineStr">
        <is>
          <t>Manufactura / Kids / P. Superiores</t>
        </is>
      </c>
      <c r="D3482" t="n">
        <v>2</v>
      </c>
      <c r="E3482" t="n">
        <v>0</v>
      </c>
      <c r="F3482" t="n">
        <v>0</v>
      </c>
      <c r="G3482" t="n">
        <v>0</v>
      </c>
      <c r="H3482" t="n">
        <v>2.053774806</v>
      </c>
      <c r="I3482" t="n">
        <v>0.2</v>
      </c>
      <c r="J3482" t="n">
        <v>1</v>
      </c>
      <c r="K3482" t="inlineStr"/>
    </row>
    <row r="3483">
      <c r="A3483" t="inlineStr">
        <is>
          <t>CLAMIKI70T12</t>
        </is>
      </c>
      <c r="B3483" t="inlineStr">
        <is>
          <t>[CLAMIKI70T12] CLASICA ORIGINAL KIDS (Vinotinto, 12)</t>
        </is>
      </c>
      <c r="C3483" t="inlineStr">
        <is>
          <t>KIDS / CLASICA ORIGINAL</t>
        </is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10</v>
      </c>
      <c r="K3483" t="inlineStr">
        <is>
          <t>Sin ventas en periodo; Sin costo registrado</t>
        </is>
      </c>
    </row>
    <row r="3484">
      <c r="A3484" t="inlineStr">
        <is>
          <t>SHOUNKI186T2</t>
        </is>
      </c>
      <c r="B3484" t="inlineStr">
        <is>
          <t>[SHOUNKI186T2] SHORT PLAYA KIDS (Azul Verdoso, 2)</t>
        </is>
      </c>
      <c r="C3484" t="inlineStr">
        <is>
          <t>KIDS / SHORT PLAYA</t>
        </is>
      </c>
      <c r="D3484" t="n">
        <v>0</v>
      </c>
      <c r="E3484" t="n">
        <v>0</v>
      </c>
      <c r="F3484" t="n">
        <v>0</v>
      </c>
      <c r="G3484" t="n">
        <v>21</v>
      </c>
      <c r="H3484" t="n">
        <v>0</v>
      </c>
      <c r="I3484" t="n">
        <v>0</v>
      </c>
      <c r="J3484" t="n">
        <v>10</v>
      </c>
      <c r="K3484" t="inlineStr">
        <is>
          <t>Sin ventas en periodo; Sin costo registrado</t>
        </is>
      </c>
    </row>
    <row r="3485">
      <c r="A3485" t="inlineStr">
        <is>
          <t>SHR2VIDA43TL</t>
        </is>
      </c>
      <c r="B3485" t="inlineStr">
        <is>
          <t>SHORT R2 DAMA</t>
        </is>
      </c>
      <c r="C3485" t="inlineStr">
        <is>
          <t>Manufactura / Dama / P. Inferiores</t>
        </is>
      </c>
      <c r="D3485" t="n">
        <v>2</v>
      </c>
      <c r="E3485" t="n">
        <v>0</v>
      </c>
      <c r="F3485" t="n">
        <v>0</v>
      </c>
      <c r="G3485" t="n">
        <v>2</v>
      </c>
      <c r="H3485" t="n">
        <v>13.86928571</v>
      </c>
      <c r="I3485" t="n">
        <v>0.2</v>
      </c>
      <c r="J3485" t="n">
        <v>1</v>
      </c>
      <c r="K3485" t="inlineStr">
        <is>
          <t>Sin ventas en periodo</t>
        </is>
      </c>
    </row>
    <row r="3486">
      <c r="A3486" t="inlineStr">
        <is>
          <t>SHOUNKI186T10</t>
        </is>
      </c>
      <c r="B3486" t="inlineStr">
        <is>
          <t>[SHOUNKI186T10] SHORT PLAYA KIDS (Azul Verdoso, 10)</t>
        </is>
      </c>
      <c r="C3486" t="inlineStr">
        <is>
          <t>KIDS / SHORT PLAYA</t>
        </is>
      </c>
      <c r="D3486" t="n">
        <v>0</v>
      </c>
      <c r="E3486" t="n">
        <v>0</v>
      </c>
      <c r="F3486" t="n">
        <v>0</v>
      </c>
      <c r="G3486" t="n">
        <v>33</v>
      </c>
      <c r="H3486" t="n">
        <v>0</v>
      </c>
      <c r="I3486" t="n">
        <v>0</v>
      </c>
      <c r="J3486" t="n">
        <v>10</v>
      </c>
      <c r="K3486" t="inlineStr">
        <is>
          <t>Sin ventas en periodo; Sin costo registrado</t>
        </is>
      </c>
    </row>
    <row r="3487">
      <c r="A3487" t="inlineStr">
        <is>
          <t>SHOUNKI170T8</t>
        </is>
      </c>
      <c r="B3487" t="inlineStr">
        <is>
          <t>[SHOUNKI170T8] SHORT PLAYA KIDS (Cereza, 8)</t>
        </is>
      </c>
      <c r="C3487" t="inlineStr">
        <is>
          <t>KIDS / SHORT PLAYA</t>
        </is>
      </c>
      <c r="D3487" t="n">
        <v>0</v>
      </c>
      <c r="E3487" t="n">
        <v>0</v>
      </c>
      <c r="F3487" t="n">
        <v>0</v>
      </c>
      <c r="G3487" t="n">
        <v>26</v>
      </c>
      <c r="H3487" t="n">
        <v>0</v>
      </c>
      <c r="I3487" t="n">
        <v>0</v>
      </c>
      <c r="J3487" t="n">
        <v>10</v>
      </c>
      <c r="K3487" t="inlineStr">
        <is>
          <t>Sin ventas en periodo; Sin costo registrado</t>
        </is>
      </c>
    </row>
    <row r="3488">
      <c r="A3488" t="inlineStr">
        <is>
          <t>SHOUNKI170T6</t>
        </is>
      </c>
      <c r="B3488" t="inlineStr">
        <is>
          <t>[SHOUNKI170T6] SHORT PLAYA KIDS (Cereza, 6)</t>
        </is>
      </c>
      <c r="C3488" t="inlineStr">
        <is>
          <t>KIDS / SHORT PLAYA</t>
        </is>
      </c>
      <c r="D3488" t="n">
        <v>0</v>
      </c>
      <c r="E3488" t="n">
        <v>0</v>
      </c>
      <c r="F3488" t="n">
        <v>0</v>
      </c>
      <c r="G3488" t="n">
        <v>16</v>
      </c>
      <c r="H3488" t="n">
        <v>0</v>
      </c>
      <c r="I3488" t="n">
        <v>0</v>
      </c>
      <c r="J3488" t="n">
        <v>10</v>
      </c>
      <c r="K3488" t="inlineStr">
        <is>
          <t>Sin ventas en periodo; Sin costo registrado</t>
        </is>
      </c>
    </row>
    <row r="3489">
      <c r="A3489" t="inlineStr">
        <is>
          <t>SHOUNKI170T4</t>
        </is>
      </c>
      <c r="B3489" t="inlineStr">
        <is>
          <t>[SHOUNKI170T4] SHORT PLAYA KIDS (Cereza, 4)</t>
        </is>
      </c>
      <c r="C3489" t="inlineStr">
        <is>
          <t>KIDS / SHORT PLAYA</t>
        </is>
      </c>
      <c r="D3489" t="n">
        <v>0</v>
      </c>
      <c r="E3489" t="n">
        <v>0</v>
      </c>
      <c r="F3489" t="n">
        <v>0</v>
      </c>
      <c r="G3489" t="n">
        <v>23</v>
      </c>
      <c r="H3489" t="n">
        <v>0</v>
      </c>
      <c r="I3489" t="n">
        <v>0</v>
      </c>
      <c r="J3489" t="n">
        <v>10</v>
      </c>
      <c r="K3489" t="inlineStr">
        <is>
          <t>Sin ventas en periodo; Sin costo registrado</t>
        </is>
      </c>
    </row>
    <row r="3490">
      <c r="A3490" t="inlineStr">
        <is>
          <t>SHOUNKI170T2</t>
        </is>
      </c>
      <c r="B3490" t="inlineStr">
        <is>
          <t>[SHOUNKI170T2] SHORT PLAYA KIDS (Cereza, 2)</t>
        </is>
      </c>
      <c r="C3490" t="inlineStr">
        <is>
          <t>KIDS / SHORT PLAYA</t>
        </is>
      </c>
      <c r="D3490" t="n">
        <v>0</v>
      </c>
      <c r="E3490" t="n">
        <v>0</v>
      </c>
      <c r="F3490" t="n">
        <v>0</v>
      </c>
      <c r="G3490" t="n">
        <v>13</v>
      </c>
      <c r="H3490" t="n">
        <v>0</v>
      </c>
      <c r="I3490" t="n">
        <v>0</v>
      </c>
      <c r="J3490" t="n">
        <v>10</v>
      </c>
      <c r="K3490" t="inlineStr">
        <is>
          <t>Sin ventas en periodo; Sin costo registrado</t>
        </is>
      </c>
    </row>
    <row r="3491">
      <c r="A3491" t="inlineStr">
        <is>
          <t>SHOUNKI170T14</t>
        </is>
      </c>
      <c r="B3491" t="inlineStr">
        <is>
          <t>SHORT PLAYA KIDS</t>
        </is>
      </c>
      <c r="C3491" t="inlineStr">
        <is>
          <t>Manufactura / Kids / P. Inferiores</t>
        </is>
      </c>
      <c r="D3491" t="n">
        <v>0</v>
      </c>
      <c r="E3491" t="n">
        <v>0</v>
      </c>
      <c r="F3491" t="n">
        <v>0.8276740238</v>
      </c>
      <c r="G3491" t="n">
        <v>16</v>
      </c>
      <c r="H3491" t="n">
        <v>6.09</v>
      </c>
      <c r="I3491" t="n">
        <v>0</v>
      </c>
      <c r="J3491" t="n">
        <v>0</v>
      </c>
      <c r="K3491" t="inlineStr">
        <is>
          <t>Sin ventas en periodo</t>
        </is>
      </c>
    </row>
    <row r="3492">
      <c r="A3492" t="inlineStr">
        <is>
          <t>CLAMIDA34TM</t>
        </is>
      </c>
      <c r="B3492" t="inlineStr">
        <is>
          <t>CLASICA ORIGINAL DAMA</t>
        </is>
      </c>
      <c r="C3492" t="inlineStr">
        <is>
          <t>Manufactura / Dama / P. Superiores</t>
        </is>
      </c>
      <c r="D3492" t="n">
        <v>6</v>
      </c>
      <c r="E3492" t="n">
        <v>0</v>
      </c>
      <c r="F3492" t="n">
        <v>0</v>
      </c>
      <c r="G3492" t="n">
        <v>0</v>
      </c>
      <c r="H3492" t="n">
        <v>3.923227589</v>
      </c>
      <c r="I3492" t="n">
        <v>0.6</v>
      </c>
      <c r="J3492" t="n">
        <v>0</v>
      </c>
      <c r="K3492" t="inlineStr"/>
    </row>
    <row r="3493">
      <c r="A3493" t="inlineStr">
        <is>
          <t>CLAMIDA34TL</t>
        </is>
      </c>
      <c r="B3493" t="inlineStr">
        <is>
          <t>CLASICA ORIGINAL DAMA</t>
        </is>
      </c>
      <c r="C3493" t="inlineStr">
        <is>
          <t>Manufactura / Dama / P. Superiores</t>
        </is>
      </c>
      <c r="D3493" t="n">
        <v>4</v>
      </c>
      <c r="E3493" t="n">
        <v>0</v>
      </c>
      <c r="F3493" t="n">
        <v>0</v>
      </c>
      <c r="G3493" t="n">
        <v>0</v>
      </c>
      <c r="H3493" t="n">
        <v>3.923227589</v>
      </c>
      <c r="I3493" t="n">
        <v>0.4</v>
      </c>
      <c r="J3493" t="n">
        <v>0</v>
      </c>
      <c r="K3493" t="inlineStr"/>
    </row>
    <row r="3494">
      <c r="A3494" t="inlineStr">
        <is>
          <t>CLAMIDA28TS</t>
        </is>
      </c>
      <c r="B3494" t="inlineStr">
        <is>
          <t>CLASICA ORIGINAL DAMA</t>
        </is>
      </c>
      <c r="C3494" t="inlineStr">
        <is>
          <t>Manufactura / Dama / P. Superiores</t>
        </is>
      </c>
      <c r="D3494" t="n">
        <v>2</v>
      </c>
      <c r="E3494" t="n">
        <v>0</v>
      </c>
      <c r="F3494" t="n">
        <v>0</v>
      </c>
      <c r="G3494" t="n">
        <v>0</v>
      </c>
      <c r="H3494" t="n">
        <v>3.923227589</v>
      </c>
      <c r="I3494" t="n">
        <v>0.2</v>
      </c>
      <c r="J3494" t="n">
        <v>1</v>
      </c>
      <c r="K3494" t="inlineStr"/>
    </row>
    <row r="3495">
      <c r="A3495" t="inlineStr">
        <is>
          <t>CLAMIDA28TM</t>
        </is>
      </c>
      <c r="B3495" t="inlineStr">
        <is>
          <t>CLASICA ORIGINAL DAMA</t>
        </is>
      </c>
      <c r="C3495" t="inlineStr">
        <is>
          <t>Manufactura / Dama / P. Superiores</t>
        </is>
      </c>
      <c r="D3495" t="n">
        <v>2</v>
      </c>
      <c r="E3495" t="n">
        <v>0</v>
      </c>
      <c r="F3495" t="n">
        <v>0</v>
      </c>
      <c r="G3495" t="n">
        <v>0</v>
      </c>
      <c r="H3495" t="n">
        <v>3.923227589</v>
      </c>
      <c r="I3495" t="n">
        <v>0.2</v>
      </c>
      <c r="J3495" t="n">
        <v>1</v>
      </c>
      <c r="K3495" t="inlineStr"/>
    </row>
    <row r="3496">
      <c r="A3496" t="inlineStr">
        <is>
          <t>CLAMIDA16T2XL</t>
        </is>
      </c>
      <c r="B3496" t="inlineStr">
        <is>
          <t>CLASICA ORIGINAL DAMA</t>
        </is>
      </c>
      <c r="C3496" t="inlineStr">
        <is>
          <t>Manufactura / Dama / P. Superiores</t>
        </is>
      </c>
      <c r="D3496" t="n">
        <v>1</v>
      </c>
      <c r="E3496" t="n">
        <v>0</v>
      </c>
      <c r="F3496" t="n">
        <v>0</v>
      </c>
      <c r="G3496" t="n">
        <v>1</v>
      </c>
      <c r="H3496" t="n">
        <v>3.923227589</v>
      </c>
      <c r="I3496" t="n">
        <v>0.1</v>
      </c>
      <c r="J3496" t="n">
        <v>8</v>
      </c>
      <c r="K3496" t="inlineStr">
        <is>
          <t>Sin ventas en periodo</t>
        </is>
      </c>
    </row>
    <row r="3497">
      <c r="A3497" t="inlineStr">
        <is>
          <t>SHR2VIDA43TS</t>
        </is>
      </c>
      <c r="B3497" t="inlineStr">
        <is>
          <t>[SHR2VIDA43TS] SHORT R2 DAMA (Negro, S)</t>
        </is>
      </c>
      <c r="C3497" t="inlineStr">
        <is>
          <t>DAMA / SHORT R2</t>
        </is>
      </c>
      <c r="D3497" t="n">
        <v>0</v>
      </c>
      <c r="E3497" t="n">
        <v>0</v>
      </c>
      <c r="F3497" t="n">
        <v>0</v>
      </c>
      <c r="G3497" t="n">
        <v>2</v>
      </c>
      <c r="H3497" t="n">
        <v>0</v>
      </c>
      <c r="I3497" t="n">
        <v>0</v>
      </c>
      <c r="J3497" t="n">
        <v>10</v>
      </c>
      <c r="K3497" t="inlineStr">
        <is>
          <t>Sin ventas en periodo; Sin costo registrado</t>
        </is>
      </c>
    </row>
    <row r="3498">
      <c r="A3498" t="inlineStr">
        <is>
          <t>SHR2VIDA43TM</t>
        </is>
      </c>
      <c r="B3498" t="inlineStr">
        <is>
          <t>SHORT R2 DAMA</t>
        </is>
      </c>
      <c r="C3498" t="inlineStr">
        <is>
          <t>Manufactura / Dama / P. Inferiores</t>
        </is>
      </c>
      <c r="D3498" t="n">
        <v>2</v>
      </c>
      <c r="E3498" t="n">
        <v>0</v>
      </c>
      <c r="F3498" t="n">
        <v>0</v>
      </c>
      <c r="G3498" t="n">
        <v>0</v>
      </c>
      <c r="H3498" t="n">
        <v>13.86928571</v>
      </c>
      <c r="I3498" t="n">
        <v>0.2</v>
      </c>
      <c r="J3498" t="n">
        <v>1</v>
      </c>
      <c r="K3498" t="inlineStr"/>
    </row>
    <row r="3499">
      <c r="A3499" t="inlineStr">
        <is>
          <t>SHOUNKI186T14</t>
        </is>
      </c>
      <c r="B3499" t="inlineStr">
        <is>
          <t>[SHOUNKI186T14] SHORT PLAYA KIDS (Azul Verdoso, 14)</t>
        </is>
      </c>
      <c r="C3499" t="inlineStr">
        <is>
          <t>KIDS / SHORT PLAYA</t>
        </is>
      </c>
      <c r="D3499" t="n">
        <v>0</v>
      </c>
      <c r="E3499" t="n">
        <v>0</v>
      </c>
      <c r="F3499" t="n">
        <v>0</v>
      </c>
      <c r="G3499" t="n">
        <v>37</v>
      </c>
      <c r="H3499" t="n">
        <v>0</v>
      </c>
      <c r="I3499" t="n">
        <v>0</v>
      </c>
      <c r="J3499" t="n">
        <v>10</v>
      </c>
      <c r="K3499" t="inlineStr">
        <is>
          <t>Sin ventas en periodo; Sin costo registrado</t>
        </is>
      </c>
    </row>
    <row r="3500">
      <c r="A3500" t="inlineStr">
        <is>
          <t>MAFMIDA12TL</t>
        </is>
      </c>
      <c r="B3500" t="inlineStr">
        <is>
          <t>[MAFMIDA12TL] MAFE ORIGINAL DAMA (Azul Marino, L)</t>
        </is>
      </c>
      <c r="C3500" t="inlineStr">
        <is>
          <t>DAMA / MAFE ORIGINAL</t>
        </is>
      </c>
      <c r="D3500" t="n">
        <v>0</v>
      </c>
      <c r="E3500" t="n">
        <v>0</v>
      </c>
      <c r="F3500" t="n">
        <v>0</v>
      </c>
      <c r="G3500" t="n">
        <v>3</v>
      </c>
      <c r="H3500" t="n">
        <v>0</v>
      </c>
      <c r="I3500" t="n">
        <v>0</v>
      </c>
      <c r="J3500" t="n">
        <v>10</v>
      </c>
      <c r="K3500" t="inlineStr">
        <is>
          <t>Sin ventas en periodo; Sin costo registrado</t>
        </is>
      </c>
    </row>
    <row r="3501">
      <c r="A3501" t="inlineStr">
        <is>
          <t>JACDA34TS</t>
        </is>
      </c>
      <c r="B3501" t="inlineStr">
        <is>
          <t>JACKET DAMA</t>
        </is>
      </c>
      <c r="C3501" t="inlineStr">
        <is>
          <t>Equipamiento / Ropa</t>
        </is>
      </c>
      <c r="D3501" t="n">
        <v>1</v>
      </c>
      <c r="E3501" t="n">
        <v>0</v>
      </c>
      <c r="F3501" t="n">
        <v>0</v>
      </c>
      <c r="G3501" t="n">
        <v>0</v>
      </c>
      <c r="H3501" t="n">
        <v>20.25</v>
      </c>
      <c r="I3501" t="n">
        <v>0.1</v>
      </c>
      <c r="J3501" t="n">
        <v>9</v>
      </c>
      <c r="K3501" t="inlineStr"/>
    </row>
    <row r="3502">
      <c r="A3502" t="inlineStr">
        <is>
          <t>JACDA01TXL</t>
        </is>
      </c>
      <c r="B3502" t="inlineStr">
        <is>
          <t>JACKET DAMA</t>
        </is>
      </c>
      <c r="C3502" t="inlineStr">
        <is>
          <t>Equipamiento / Ropa</t>
        </is>
      </c>
      <c r="D3502" t="n">
        <v>1</v>
      </c>
      <c r="E3502" t="n">
        <v>0</v>
      </c>
      <c r="F3502" t="n">
        <v>0</v>
      </c>
      <c r="G3502" t="n">
        <v>0</v>
      </c>
      <c r="H3502" t="n">
        <v>20.25</v>
      </c>
      <c r="I3502" t="n">
        <v>0.1</v>
      </c>
      <c r="J3502" t="n">
        <v>7</v>
      </c>
      <c r="K3502" t="inlineStr"/>
    </row>
    <row r="3503">
      <c r="A3503" t="inlineStr">
        <is>
          <t>LARIMJDA12TXS</t>
        </is>
      </c>
      <c r="B3503" t="inlineStr">
        <is>
          <t>LARISA ORIGINAL DAMA</t>
        </is>
      </c>
      <c r="C3503" t="inlineStr">
        <is>
          <t>Manufactura / Dama / P. Superiores</t>
        </is>
      </c>
      <c r="D3503" t="n">
        <v>2</v>
      </c>
      <c r="E3503" t="n">
        <v>0</v>
      </c>
      <c r="F3503" t="n">
        <v>0</v>
      </c>
      <c r="G3503" t="n">
        <v>13</v>
      </c>
      <c r="H3503" t="n">
        <v>1.765998491</v>
      </c>
      <c r="I3503" t="n">
        <v>0.2</v>
      </c>
      <c r="J3503" t="n">
        <v>3</v>
      </c>
      <c r="K3503" t="inlineStr">
        <is>
          <t>Sin ventas en periodo</t>
        </is>
      </c>
    </row>
    <row r="3504">
      <c r="A3504" t="inlineStr">
        <is>
          <t>LARIMJDA12TXL</t>
        </is>
      </c>
      <c r="B3504" t="inlineStr">
        <is>
          <t>[LARIMJDA12TXL] LARISA ORIGINAL DAMA (Azul Marino, XL)</t>
        </is>
      </c>
      <c r="C3504" t="inlineStr">
        <is>
          <t>DAMA / LARISA ORIGINAL</t>
        </is>
      </c>
      <c r="D3504" t="n">
        <v>0</v>
      </c>
      <c r="E3504" t="n">
        <v>0</v>
      </c>
      <c r="F3504" t="n">
        <v>0</v>
      </c>
      <c r="G3504" t="n">
        <v>16</v>
      </c>
      <c r="H3504" t="n">
        <v>0</v>
      </c>
      <c r="I3504" t="n">
        <v>0</v>
      </c>
      <c r="J3504" t="n">
        <v>10</v>
      </c>
      <c r="K3504" t="inlineStr">
        <is>
          <t>Sin ventas en periodo; Sin costo registrado</t>
        </is>
      </c>
    </row>
    <row r="3505">
      <c r="A3505" t="inlineStr">
        <is>
          <t>LARIMJDA12TM</t>
        </is>
      </c>
      <c r="B3505" t="inlineStr">
        <is>
          <t>LARISA ORIGINAL DAMA</t>
        </is>
      </c>
      <c r="C3505" t="inlineStr">
        <is>
          <t>Manufactura / Dama / P. Superiores</t>
        </is>
      </c>
      <c r="D3505" t="n">
        <v>1</v>
      </c>
      <c r="E3505" t="n">
        <v>0</v>
      </c>
      <c r="F3505" t="n">
        <v>0</v>
      </c>
      <c r="G3505" t="n">
        <v>24</v>
      </c>
      <c r="H3505" t="n">
        <v>1.765998491</v>
      </c>
      <c r="I3505" t="n">
        <v>0.1</v>
      </c>
      <c r="J3505" t="n">
        <v>3</v>
      </c>
      <c r="K3505" t="inlineStr">
        <is>
          <t>Sin ventas en periodo</t>
        </is>
      </c>
    </row>
    <row r="3506">
      <c r="A3506" t="inlineStr">
        <is>
          <t>ZOEMIKI13T14</t>
        </is>
      </c>
      <c r="B3506" t="inlineStr">
        <is>
          <t>[ZOEMIKI13T14] ZOE ORIGINAL KIDS (Azul Rey, 14)</t>
        </is>
      </c>
      <c r="C3506" t="inlineStr">
        <is>
          <t>KIDS / ZOE ORIGINAL</t>
        </is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10</v>
      </c>
      <c r="K3506" t="inlineStr">
        <is>
          <t>Sin ventas en periodo; Sin costo registrado</t>
        </is>
      </c>
    </row>
    <row r="3507">
      <c r="A3507" t="inlineStr">
        <is>
          <t>ZOEMIKI12T8</t>
        </is>
      </c>
      <c r="B3507" t="inlineStr">
        <is>
          <t>[ZOEMIKI12T8] ZOE ORIGINAL KIDS (Azul Marino, 8)</t>
        </is>
      </c>
      <c r="C3507" t="inlineStr">
        <is>
          <t>KIDS / ZOE ORIGINAL</t>
        </is>
      </c>
      <c r="D3507" t="n">
        <v>0</v>
      </c>
      <c r="E3507" t="n">
        <v>0</v>
      </c>
      <c r="F3507" t="n">
        <v>0</v>
      </c>
      <c r="G3507" t="n">
        <v>5</v>
      </c>
      <c r="H3507" t="n">
        <v>0</v>
      </c>
      <c r="I3507" t="n">
        <v>0</v>
      </c>
      <c r="J3507" t="n">
        <v>10</v>
      </c>
      <c r="K3507" t="inlineStr">
        <is>
          <t>Sin ventas en periodo; Sin costo registrado</t>
        </is>
      </c>
    </row>
    <row r="3508">
      <c r="A3508" t="inlineStr">
        <is>
          <t>ACCMICA121T2XL</t>
        </is>
      </c>
      <c r="B3508" t="inlineStr">
        <is>
          <t>[ACCMICA121T2XL] CLASICA ACTIVE CAB (Gris con Verde, 2XL)</t>
        </is>
      </c>
      <c r="C3508" t="inlineStr">
        <is>
          <t>CAB / CLASICA ACTIVE</t>
        </is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10</v>
      </c>
      <c r="K3508" t="inlineStr">
        <is>
          <t>Sin ventas en periodo; Sin costo registrado</t>
        </is>
      </c>
    </row>
    <row r="3509">
      <c r="A3509" t="inlineStr">
        <is>
          <t>LARIMJDA01TM</t>
        </is>
      </c>
      <c r="B3509" t="inlineStr">
        <is>
          <t>[LARIMJDA01TM] LARISA ORIGINAL DAMA (Aguamarina, M)</t>
        </is>
      </c>
      <c r="C3509" t="inlineStr">
        <is>
          <t>DAMA / LARISA ORIGINAL</t>
        </is>
      </c>
      <c r="D3509" t="n">
        <v>0</v>
      </c>
      <c r="E3509" t="n">
        <v>0</v>
      </c>
      <c r="F3509" t="n">
        <v>0</v>
      </c>
      <c r="G3509" t="n">
        <v>31</v>
      </c>
      <c r="H3509" t="n">
        <v>0</v>
      </c>
      <c r="I3509" t="n">
        <v>0</v>
      </c>
      <c r="J3509" t="n">
        <v>10</v>
      </c>
      <c r="K3509" t="inlineStr">
        <is>
          <t>Sin ventas en periodo; Sin costo registrado</t>
        </is>
      </c>
    </row>
    <row r="3510">
      <c r="A3510" t="inlineStr">
        <is>
          <t>MAFMIDA50TXS</t>
        </is>
      </c>
      <c r="B3510" t="inlineStr">
        <is>
          <t>[MAFMIDA50TXS] MAFE ORIGINAL DAMA (Rojo, XS)</t>
        </is>
      </c>
      <c r="C3510" t="inlineStr">
        <is>
          <t>DAMA / MAFE ORIGINAL</t>
        </is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10</v>
      </c>
      <c r="K3510" t="inlineStr">
        <is>
          <t>Sin ventas en periodo; Sin costo registrado</t>
        </is>
      </c>
    </row>
    <row r="3511">
      <c r="A3511" t="inlineStr">
        <is>
          <t>ANDMIDA11TXL</t>
        </is>
      </c>
      <c r="B3511" t="inlineStr">
        <is>
          <t>[ANDMIDA11TXL] ANDRE ORIGINAL DAMA (Azul Lavanda, XL)</t>
        </is>
      </c>
      <c r="C3511" t="inlineStr">
        <is>
          <t>DAMA / ANDRE ORIGINAL</t>
        </is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10</v>
      </c>
      <c r="K3511" t="inlineStr">
        <is>
          <t>Sin ventas en periodo; Sin costo registrado</t>
        </is>
      </c>
    </row>
    <row r="3512">
      <c r="A3512" t="inlineStr">
        <is>
          <t>PETMIPE40TL</t>
        </is>
      </c>
      <c r="B3512" t="inlineStr">
        <is>
          <t>BANDANA PET</t>
        </is>
      </c>
      <c r="C3512" t="inlineStr">
        <is>
          <t>Manufactura / General</t>
        </is>
      </c>
      <c r="D3512" t="n">
        <v>1</v>
      </c>
      <c r="E3512" t="n">
        <v>0</v>
      </c>
      <c r="F3512" t="n">
        <v>0</v>
      </c>
      <c r="G3512" t="n">
        <v>51</v>
      </c>
      <c r="H3512" t="n">
        <v>0.3252662283</v>
      </c>
      <c r="I3512" t="n">
        <v>0.1</v>
      </c>
      <c r="J3512" t="n">
        <v>2</v>
      </c>
      <c r="K3512" t="inlineStr">
        <is>
          <t>Sin ventas en periodo</t>
        </is>
      </c>
    </row>
    <row r="3513">
      <c r="A3513" t="inlineStr">
        <is>
          <t>ZOEMIKI13T8</t>
        </is>
      </c>
      <c r="B3513" t="inlineStr">
        <is>
          <t>[ZOEMIKI13T8] ZOE ORIGINAL KIDS (Azul Rey, 8)</t>
        </is>
      </c>
      <c r="C3513" t="inlineStr">
        <is>
          <t>KIDS / ZOE ORIGINAL</t>
        </is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10</v>
      </c>
      <c r="K3513" t="inlineStr">
        <is>
          <t>Sin ventas en periodo; Sin costo registrado</t>
        </is>
      </c>
    </row>
    <row r="3514">
      <c r="A3514" t="inlineStr">
        <is>
          <t>MLCMJCA66TM</t>
        </is>
      </c>
      <c r="B3514" t="inlineStr">
        <is>
          <t>[MLCMJCA66TM] MOTION LOOP CLASICA CAB (Verde Militar, M)</t>
        </is>
      </c>
      <c r="C3514" t="inlineStr">
        <is>
          <t>CAB / MOTION LOOP CLASICA</t>
        </is>
      </c>
      <c r="D3514" t="n">
        <v>0</v>
      </c>
      <c r="E3514" t="n">
        <v>0</v>
      </c>
      <c r="F3514" t="n">
        <v>0</v>
      </c>
      <c r="G3514" t="n">
        <v>8</v>
      </c>
      <c r="H3514" t="n">
        <v>0</v>
      </c>
      <c r="I3514" t="n">
        <v>0</v>
      </c>
      <c r="J3514" t="n">
        <v>10</v>
      </c>
      <c r="K3514" t="inlineStr">
        <is>
          <t>Sin ventas en periodo; Sin costo registrado</t>
        </is>
      </c>
    </row>
    <row r="3515">
      <c r="A3515" t="inlineStr">
        <is>
          <t>MLCMJCA66TL</t>
        </is>
      </c>
      <c r="B3515" t="inlineStr">
        <is>
          <t>MOTION LOOP CLASICA CAB</t>
        </is>
      </c>
      <c r="C3515" t="inlineStr">
        <is>
          <t>Manufactura / Caballero / P. Superiores</t>
        </is>
      </c>
      <c r="D3515" t="n">
        <v>1</v>
      </c>
      <c r="E3515" t="n">
        <v>0</v>
      </c>
      <c r="F3515" t="n">
        <v>0</v>
      </c>
      <c r="G3515" t="n">
        <v>5</v>
      </c>
      <c r="H3515" t="n">
        <v>2.002702703</v>
      </c>
      <c r="I3515" t="n">
        <v>0.1</v>
      </c>
      <c r="J3515" t="n">
        <v>0</v>
      </c>
      <c r="K3515" t="inlineStr">
        <is>
          <t>Sin ventas en periodo</t>
        </is>
      </c>
    </row>
    <row r="3516">
      <c r="A3516" t="inlineStr">
        <is>
          <t>MLCMJCA66T2XL</t>
        </is>
      </c>
      <c r="B3516" t="inlineStr">
        <is>
          <t>[MLCMJCA66T2XL] MOTION LOOP CLASICA CAB (Verde Militar, 2XL)</t>
        </is>
      </c>
      <c r="C3516" t="inlineStr">
        <is>
          <t>CAB / MOTION LOOP CLASICA</t>
        </is>
      </c>
      <c r="D3516" t="n">
        <v>0</v>
      </c>
      <c r="E3516" t="n">
        <v>0</v>
      </c>
      <c r="F3516" t="n">
        <v>0</v>
      </c>
      <c r="G3516" t="n">
        <v>4</v>
      </c>
      <c r="H3516" t="n">
        <v>0</v>
      </c>
      <c r="I3516" t="n">
        <v>0</v>
      </c>
      <c r="J3516" t="n">
        <v>10</v>
      </c>
      <c r="K3516" t="inlineStr">
        <is>
          <t>Sin ventas en periodo; Sin costo registrado</t>
        </is>
      </c>
    </row>
    <row r="3517">
      <c r="A3517" t="inlineStr">
        <is>
          <t>MLCMJCA50TXL</t>
        </is>
      </c>
      <c r="B3517" t="inlineStr">
        <is>
          <t>MOTION LOOP CLASICA CAB</t>
        </is>
      </c>
      <c r="C3517" t="inlineStr">
        <is>
          <t>Manufactura / Caballero / P. Superiores</t>
        </is>
      </c>
      <c r="D3517" t="n">
        <v>0</v>
      </c>
      <c r="E3517" t="n">
        <v>0</v>
      </c>
      <c r="F3517" t="n">
        <v>0.9553267298</v>
      </c>
      <c r="G3517" t="n">
        <v>5</v>
      </c>
      <c r="H3517" t="n">
        <v>2.002702703</v>
      </c>
      <c r="I3517" t="n">
        <v>0</v>
      </c>
      <c r="J3517" t="n">
        <v>1</v>
      </c>
      <c r="K3517" t="inlineStr">
        <is>
          <t>Sin ventas en periodo</t>
        </is>
      </c>
    </row>
    <row r="3518">
      <c r="A3518" t="inlineStr">
        <is>
          <t>MLCMJCA50TS</t>
        </is>
      </c>
      <c r="B3518" t="inlineStr">
        <is>
          <t>[MLCMJCA50TS] MOTION LOOP CLASICA CAB (Rojo, S)</t>
        </is>
      </c>
      <c r="C3518" t="inlineStr">
        <is>
          <t>CAB / MOTION LOOP CLASICA</t>
        </is>
      </c>
      <c r="D3518" t="n">
        <v>0</v>
      </c>
      <c r="E3518" t="n">
        <v>0</v>
      </c>
      <c r="F3518" t="n">
        <v>0</v>
      </c>
      <c r="G3518" t="n">
        <v>10</v>
      </c>
      <c r="H3518" t="n">
        <v>0</v>
      </c>
      <c r="I3518" t="n">
        <v>0</v>
      </c>
      <c r="J3518" t="n">
        <v>10</v>
      </c>
      <c r="K3518" t="inlineStr">
        <is>
          <t>Sin ventas en periodo; Sin costo registrado</t>
        </is>
      </c>
    </row>
    <row r="3519">
      <c r="A3519" t="inlineStr">
        <is>
          <t>GEOMACADA03TXL</t>
        </is>
      </c>
      <c r="B3519" t="inlineStr">
        <is>
          <t>[GEOMACADA03TXL] ADVANCE GEO MAYA DAMA (Amarillo, XL)</t>
        </is>
      </c>
      <c r="C3519" t="inlineStr">
        <is>
          <t>DAMA / ADVANCE GEO MAYA</t>
        </is>
      </c>
      <c r="D3519" t="n">
        <v>0</v>
      </c>
      <c r="E3519" t="n">
        <v>0</v>
      </c>
      <c r="F3519" t="n">
        <v>0</v>
      </c>
      <c r="G3519" t="n">
        <v>20</v>
      </c>
      <c r="H3519" t="n">
        <v>0</v>
      </c>
      <c r="I3519" t="n">
        <v>0</v>
      </c>
      <c r="J3519" t="n">
        <v>10</v>
      </c>
      <c r="K3519" t="inlineStr">
        <is>
          <t>Sin ventas en periodo; Sin costo registrado</t>
        </is>
      </c>
    </row>
    <row r="3520">
      <c r="A3520" t="inlineStr">
        <is>
          <t>MAFMEDA63TXS</t>
        </is>
      </c>
      <c r="B3520" t="inlineStr">
        <is>
          <t>[MAFMEDA63TXS] MAFE SPORT DAMA (Verde Agua, XS)</t>
        </is>
      </c>
      <c r="C3520" t="inlineStr">
        <is>
          <t>DAMA / MAFE SPORT</t>
        </is>
      </c>
      <c r="D3520" t="n">
        <v>0</v>
      </c>
      <c r="E3520" t="n">
        <v>0</v>
      </c>
      <c r="F3520" t="n">
        <v>0</v>
      </c>
      <c r="G3520" t="n">
        <v>2</v>
      </c>
      <c r="H3520" t="n">
        <v>0</v>
      </c>
      <c r="I3520" t="n">
        <v>0</v>
      </c>
      <c r="J3520" t="n">
        <v>10</v>
      </c>
      <c r="K3520" t="inlineStr">
        <is>
          <t>Sin ventas en periodo; Sin costo registrado</t>
        </is>
      </c>
    </row>
    <row r="3521">
      <c r="A3521" t="inlineStr">
        <is>
          <t>MAFMEDA16TXS</t>
        </is>
      </c>
      <c r="B3521" t="inlineStr">
        <is>
          <t>[MAFMEDA16TXS] MAFE SPORT DAMA (Blanco, XS)</t>
        </is>
      </c>
      <c r="C3521" t="inlineStr">
        <is>
          <t>DAMA / MAFE SPORT</t>
        </is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10</v>
      </c>
      <c r="K3521" t="inlineStr">
        <is>
          <t>Sin ventas en periodo; Sin costo registrado</t>
        </is>
      </c>
    </row>
    <row r="3522">
      <c r="A3522" t="inlineStr">
        <is>
          <t>LARIMJDA01TXL</t>
        </is>
      </c>
      <c r="B3522" t="inlineStr">
        <is>
          <t>[LARIMJDA01TXL] LARISA ORIGINAL DAMA (Aguamarina, XL)</t>
        </is>
      </c>
      <c r="C3522" t="inlineStr">
        <is>
          <t>DAMA / LARISA ORIGINAL</t>
        </is>
      </c>
      <c r="D3522" t="n">
        <v>0</v>
      </c>
      <c r="E3522" t="n">
        <v>0</v>
      </c>
      <c r="F3522" t="n">
        <v>0</v>
      </c>
      <c r="G3522" t="n">
        <v>14</v>
      </c>
      <c r="H3522" t="n">
        <v>0</v>
      </c>
      <c r="I3522" t="n">
        <v>0</v>
      </c>
      <c r="J3522" t="n">
        <v>10</v>
      </c>
      <c r="K3522" t="inlineStr">
        <is>
          <t>Sin ventas en periodo; Sin costo registrado</t>
        </is>
      </c>
    </row>
    <row r="3523">
      <c r="A3523" t="inlineStr">
        <is>
          <t>WAVSTDA16TXS</t>
        </is>
      </c>
      <c r="B3523" t="inlineStr">
        <is>
          <t>[WAVSTDA16TXS] CLASICA RETRO 2.0 DAMA (Blanco/Waves, XS)</t>
        </is>
      </c>
      <c r="C3523" t="inlineStr">
        <is>
          <t>DAMA / CLASICA RETRO 2.0</t>
        </is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10</v>
      </c>
      <c r="K3523" t="inlineStr">
        <is>
          <t>Sin ventas en periodo; Sin costo registrado</t>
        </is>
      </c>
    </row>
    <row r="3524">
      <c r="A3524" t="inlineStr">
        <is>
          <t>ANDSPDA16TL</t>
        </is>
      </c>
      <c r="B3524" t="inlineStr">
        <is>
          <t>ANDRE SPORT DAMA</t>
        </is>
      </c>
      <c r="C3524" t="inlineStr">
        <is>
          <t>Manufactura / Dama / P. Superiores</t>
        </is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0.1</v>
      </c>
      <c r="J3524" t="n">
        <v>9</v>
      </c>
      <c r="K3524" t="inlineStr"/>
    </row>
    <row r="3525">
      <c r="A3525" t="inlineStr">
        <is>
          <t>ANDSPDA13TXS</t>
        </is>
      </c>
      <c r="B3525" t="inlineStr">
        <is>
          <t>ANDRE SPORT DAMA</t>
        </is>
      </c>
      <c r="C3525" t="inlineStr">
        <is>
          <t>Manufactura / Dama / P. Superiores</t>
        </is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0.1</v>
      </c>
      <c r="J3525" t="n">
        <v>9</v>
      </c>
      <c r="K3525" t="inlineStr"/>
    </row>
    <row r="3526">
      <c r="A3526" t="inlineStr">
        <is>
          <t>SHR2VICA66TXL</t>
        </is>
      </c>
      <c r="B3526" t="inlineStr">
        <is>
          <t>[SHR2VICA66TXL] SHORT R2 CAB (Verde Militar, XL)</t>
        </is>
      </c>
      <c r="C3526" t="inlineStr">
        <is>
          <t>CAB / SHORT R2</t>
        </is>
      </c>
      <c r="D3526" t="n">
        <v>0</v>
      </c>
      <c r="E3526" t="n">
        <v>0</v>
      </c>
      <c r="F3526" t="n">
        <v>0</v>
      </c>
      <c r="G3526" t="n">
        <v>2</v>
      </c>
      <c r="H3526" t="n">
        <v>0</v>
      </c>
      <c r="I3526" t="n">
        <v>0</v>
      </c>
      <c r="J3526" t="n">
        <v>10</v>
      </c>
      <c r="K3526" t="inlineStr">
        <is>
          <t>Sin ventas en periodo; Sin costo registrado</t>
        </is>
      </c>
    </row>
    <row r="3527">
      <c r="A3527" t="inlineStr">
        <is>
          <t>MIAMIDA70TXS</t>
        </is>
      </c>
      <c r="B3527" t="inlineStr">
        <is>
          <t>MIA ORIGINAL DAMA</t>
        </is>
      </c>
      <c r="C3527" t="inlineStr">
        <is>
          <t>Manufactura / Dama / P. Superiores</t>
        </is>
      </c>
      <c r="D3527" t="n">
        <v>1</v>
      </c>
      <c r="E3527" t="n">
        <v>0</v>
      </c>
      <c r="F3527" t="n">
        <v>0</v>
      </c>
      <c r="G3527" t="n">
        <v>0</v>
      </c>
      <c r="H3527" t="n">
        <v>3.94</v>
      </c>
      <c r="I3527" t="n">
        <v>0.1</v>
      </c>
      <c r="J3527" t="n">
        <v>9</v>
      </c>
      <c r="K3527" t="inlineStr"/>
    </row>
    <row r="3528">
      <c r="A3528" t="inlineStr">
        <is>
          <t>CLAMIDA48TM</t>
        </is>
      </c>
      <c r="B3528" t="inlineStr">
        <is>
          <t>CLASICA ORIGINAL DAMA</t>
        </is>
      </c>
      <c r="C3528" t="inlineStr">
        <is>
          <t>Manufactura / Dama / P. Superiores</t>
        </is>
      </c>
      <c r="D3528" t="n">
        <v>1</v>
      </c>
      <c r="E3528" t="n">
        <v>0</v>
      </c>
      <c r="F3528" t="n">
        <v>0</v>
      </c>
      <c r="G3528" t="n">
        <v>0</v>
      </c>
      <c r="H3528" t="n">
        <v>3.923227589</v>
      </c>
      <c r="I3528" t="n">
        <v>0.1</v>
      </c>
      <c r="J3528" t="n">
        <v>3</v>
      </c>
      <c r="K3528" t="inlineStr"/>
    </row>
    <row r="3529">
      <c r="A3529" t="inlineStr">
        <is>
          <t>CLAMIDA48TL</t>
        </is>
      </c>
      <c r="B3529" t="inlineStr">
        <is>
          <t>CLASICA ORIGINAL DAMA</t>
        </is>
      </c>
      <c r="C3529" t="inlineStr">
        <is>
          <t>Manufactura / Dama / P. Superiores</t>
        </is>
      </c>
      <c r="D3529" t="n">
        <v>1</v>
      </c>
      <c r="E3529" t="n">
        <v>0</v>
      </c>
      <c r="F3529" t="n">
        <v>0</v>
      </c>
      <c r="G3529" t="n">
        <v>0</v>
      </c>
      <c r="H3529" t="n">
        <v>3.923227589</v>
      </c>
      <c r="I3529" t="n">
        <v>0.1</v>
      </c>
      <c r="J3529" t="n">
        <v>3</v>
      </c>
      <c r="K3529" t="inlineStr"/>
    </row>
    <row r="3530">
      <c r="A3530" t="inlineStr">
        <is>
          <t>MAFMIDA16T2XL</t>
        </is>
      </c>
      <c r="B3530" t="inlineStr">
        <is>
          <t>[MAFMIDA16T2XL] MAFE ORIGINAL DAMA (Blanco, 2XL)</t>
        </is>
      </c>
      <c r="C3530" t="inlineStr">
        <is>
          <t>DAMA / MAFE ORIGINAL</t>
        </is>
      </c>
      <c r="D3530" t="n">
        <v>0</v>
      </c>
      <c r="E3530" t="n">
        <v>0</v>
      </c>
      <c r="F3530" t="n">
        <v>0</v>
      </c>
      <c r="G3530" t="n">
        <v>3</v>
      </c>
      <c r="H3530" t="n">
        <v>0</v>
      </c>
      <c r="I3530" t="n">
        <v>0</v>
      </c>
      <c r="J3530" t="n">
        <v>10</v>
      </c>
      <c r="K3530" t="inlineStr">
        <is>
          <t>Sin ventas en periodo; Sin costo registrado</t>
        </is>
      </c>
    </row>
    <row r="3531">
      <c r="A3531" t="inlineStr">
        <is>
          <t>PETMIPE50TL</t>
        </is>
      </c>
      <c r="B3531" t="inlineStr">
        <is>
          <t>BANDANA PET</t>
        </is>
      </c>
      <c r="C3531" t="inlineStr">
        <is>
          <t>Manufactura / General</t>
        </is>
      </c>
      <c r="D3531" t="n">
        <v>1</v>
      </c>
      <c r="E3531" t="n">
        <v>0</v>
      </c>
      <c r="F3531" t="n">
        <v>0</v>
      </c>
      <c r="G3531" t="n">
        <v>0</v>
      </c>
      <c r="H3531" t="n">
        <v>0.3252662283</v>
      </c>
      <c r="I3531" t="n">
        <v>0.1</v>
      </c>
      <c r="J3531" t="n">
        <v>9</v>
      </c>
      <c r="K3531" t="inlineStr"/>
    </row>
    <row r="3532">
      <c r="A3532" t="inlineStr">
        <is>
          <t>CLAMIKI01T10</t>
        </is>
      </c>
      <c r="B3532" t="inlineStr">
        <is>
          <t>[CLAMIKI01T10] CLASICA ORIGINAL KIDS (Aguamarina, 10)</t>
        </is>
      </c>
      <c r="C3532" t="inlineStr">
        <is>
          <t>KIDS / CLASICA ORIGINAL</t>
        </is>
      </c>
      <c r="D3532" t="n">
        <v>0</v>
      </c>
      <c r="E3532" t="n">
        <v>0</v>
      </c>
      <c r="F3532" t="n">
        <v>0</v>
      </c>
      <c r="G3532" t="n">
        <v>3</v>
      </c>
      <c r="H3532" t="n">
        <v>0</v>
      </c>
      <c r="I3532" t="n">
        <v>0</v>
      </c>
      <c r="J3532" t="n">
        <v>10</v>
      </c>
      <c r="K3532" t="inlineStr">
        <is>
          <t>Sin ventas en periodo; Sin costo registrado</t>
        </is>
      </c>
    </row>
    <row r="3533">
      <c r="A3533" t="inlineStr">
        <is>
          <t>CLAMIDA52TXS</t>
        </is>
      </c>
      <c r="B3533" t="inlineStr">
        <is>
          <t>CLASICA ORIGINAL DAMA</t>
        </is>
      </c>
      <c r="C3533" t="inlineStr">
        <is>
          <t>Manufactura / Dama / P. Superiores</t>
        </is>
      </c>
      <c r="D3533" t="n">
        <v>15</v>
      </c>
      <c r="E3533" t="n">
        <v>0</v>
      </c>
      <c r="F3533" t="n">
        <v>0</v>
      </c>
      <c r="G3533" t="n">
        <v>0</v>
      </c>
      <c r="H3533" t="n">
        <v>3.923227589</v>
      </c>
      <c r="I3533" t="n">
        <v>1.5</v>
      </c>
      <c r="J3533" t="n">
        <v>3</v>
      </c>
      <c r="K3533" t="inlineStr"/>
    </row>
    <row r="3534">
      <c r="A3534" t="inlineStr">
        <is>
          <t>CLAMIDA52TXL</t>
        </is>
      </c>
      <c r="B3534" t="inlineStr">
        <is>
          <t>CLASICA ORIGINAL DAMA</t>
        </is>
      </c>
      <c r="C3534" t="inlineStr">
        <is>
          <t>Manufactura / Dama / P. Superiores</t>
        </is>
      </c>
      <c r="D3534" t="n">
        <v>5</v>
      </c>
      <c r="E3534" t="n">
        <v>0</v>
      </c>
      <c r="F3534" t="n">
        <v>0</v>
      </c>
      <c r="G3534" t="n">
        <v>0</v>
      </c>
      <c r="H3534" t="n">
        <v>3.923227589</v>
      </c>
      <c r="I3534" t="n">
        <v>0.5</v>
      </c>
      <c r="J3534" t="n">
        <v>3</v>
      </c>
      <c r="K3534" t="inlineStr"/>
    </row>
    <row r="3535">
      <c r="A3535" t="inlineStr">
        <is>
          <t>CLAMIDA52TS</t>
        </is>
      </c>
      <c r="B3535" t="inlineStr">
        <is>
          <t>CLASICA ORIGINAL DAMA</t>
        </is>
      </c>
      <c r="C3535" t="inlineStr">
        <is>
          <t>Manufactura / Dama / P. Superiores</t>
        </is>
      </c>
      <c r="D3535" t="n">
        <v>26</v>
      </c>
      <c r="E3535" t="n">
        <v>0</v>
      </c>
      <c r="F3535" t="n">
        <v>0</v>
      </c>
      <c r="G3535" t="n">
        <v>0</v>
      </c>
      <c r="H3535" t="n">
        <v>3.923227589</v>
      </c>
      <c r="I3535" t="n">
        <v>2.6</v>
      </c>
      <c r="J3535" t="n">
        <v>0</v>
      </c>
      <c r="K3535" t="inlineStr"/>
    </row>
    <row r="3536">
      <c r="A3536" t="inlineStr">
        <is>
          <t>CLAMIDA52TM</t>
        </is>
      </c>
      <c r="B3536" t="inlineStr">
        <is>
          <t>CLASICA ORIGINAL DAMA</t>
        </is>
      </c>
      <c r="C3536" t="inlineStr">
        <is>
          <t>Manufactura / Dama / P. Superiores</t>
        </is>
      </c>
      <c r="D3536" t="n">
        <v>25</v>
      </c>
      <c r="E3536" t="n">
        <v>0</v>
      </c>
      <c r="F3536" t="n">
        <v>0</v>
      </c>
      <c r="G3536" t="n">
        <v>0</v>
      </c>
      <c r="H3536" t="n">
        <v>3.923227589</v>
      </c>
      <c r="I3536" t="n">
        <v>2.5</v>
      </c>
      <c r="J3536" t="n">
        <v>3</v>
      </c>
      <c r="K3536" t="inlineStr"/>
    </row>
    <row r="3537">
      <c r="A3537" t="inlineStr">
        <is>
          <t>CLAMIDA50TL</t>
        </is>
      </c>
      <c r="B3537" t="inlineStr">
        <is>
          <t>CLASICA ORIGINAL DAMA</t>
        </is>
      </c>
      <c r="C3537" t="inlineStr">
        <is>
          <t>Manufactura / Dama / P. Superiores</t>
        </is>
      </c>
      <c r="D3537" t="n">
        <v>1</v>
      </c>
      <c r="E3537" t="n">
        <v>0</v>
      </c>
      <c r="F3537" t="n">
        <v>0</v>
      </c>
      <c r="G3537" t="n">
        <v>0</v>
      </c>
      <c r="H3537" t="n">
        <v>3.923227589</v>
      </c>
      <c r="I3537" t="n">
        <v>0.1</v>
      </c>
      <c r="J3537" t="n">
        <v>3</v>
      </c>
      <c r="K3537" t="inlineStr"/>
    </row>
    <row r="3538">
      <c r="A3538" t="inlineStr">
        <is>
          <t>SHR2VIDA13TXS</t>
        </is>
      </c>
      <c r="B3538" t="inlineStr">
        <is>
          <t>SHORT R2 DAMA</t>
        </is>
      </c>
      <c r="C3538" t="inlineStr">
        <is>
          <t>Manufactura / Dama / P. Inferiores</t>
        </is>
      </c>
      <c r="D3538" t="n">
        <v>1</v>
      </c>
      <c r="E3538" t="n">
        <v>0</v>
      </c>
      <c r="F3538" t="n">
        <v>0</v>
      </c>
      <c r="G3538" t="n">
        <v>2</v>
      </c>
      <c r="H3538" t="n">
        <v>13.86928571</v>
      </c>
      <c r="I3538" t="n">
        <v>0.1</v>
      </c>
      <c r="J3538" t="n">
        <v>2</v>
      </c>
      <c r="K3538" t="inlineStr">
        <is>
          <t>Sin ventas en periodo</t>
        </is>
      </c>
    </row>
    <row r="3539">
      <c r="A3539" t="inlineStr">
        <is>
          <t>MANMIGE13TP</t>
        </is>
      </c>
      <c r="B3539" t="inlineStr">
        <is>
          <t>[MANMIGE13TP] MANGAS GENERAL (Azul Rey, P)</t>
        </is>
      </c>
      <c r="C3539" t="inlineStr">
        <is>
          <t>MANGAS GENERAL</t>
        </is>
      </c>
      <c r="D3539" t="n">
        <v>0</v>
      </c>
      <c r="E3539" t="n">
        <v>0</v>
      </c>
      <c r="F3539" t="n">
        <v>0</v>
      </c>
      <c r="G3539" t="n">
        <v>9</v>
      </c>
      <c r="H3539" t="n">
        <v>0</v>
      </c>
      <c r="I3539" t="n">
        <v>0</v>
      </c>
      <c r="J3539" t="n">
        <v>10</v>
      </c>
      <c r="K3539" t="inlineStr">
        <is>
          <t>Sin ventas en periodo; Sin costo registrado</t>
        </is>
      </c>
    </row>
    <row r="3540">
      <c r="A3540" t="inlineStr">
        <is>
          <t>SHR2VIDA13TM</t>
        </is>
      </c>
      <c r="B3540" t="inlineStr">
        <is>
          <t>[SHR2VIDA13TM] SHORT R2 DAMA (Azul Rey, M)</t>
        </is>
      </c>
      <c r="C3540" t="inlineStr">
        <is>
          <t>DAMA / SHORT R2</t>
        </is>
      </c>
      <c r="D3540" t="n">
        <v>0</v>
      </c>
      <c r="E3540" t="n">
        <v>0</v>
      </c>
      <c r="F3540" t="n">
        <v>0</v>
      </c>
      <c r="G3540" t="n">
        <v>2</v>
      </c>
      <c r="H3540" t="n">
        <v>0</v>
      </c>
      <c r="I3540" t="n">
        <v>0</v>
      </c>
      <c r="J3540" t="n">
        <v>10</v>
      </c>
      <c r="K3540" t="inlineStr">
        <is>
          <t>Sin ventas en periodo; Sin costo registrado</t>
        </is>
      </c>
    </row>
    <row r="3541">
      <c r="A3541" t="inlineStr">
        <is>
          <t>SHR2VIDA13TL</t>
        </is>
      </c>
      <c r="B3541" t="inlineStr">
        <is>
          <t>SHORT R2 DAMA</t>
        </is>
      </c>
      <c r="C3541" t="inlineStr">
        <is>
          <t>Manufactura / Dama / P. Inferiores</t>
        </is>
      </c>
      <c r="D3541" t="n">
        <v>1</v>
      </c>
      <c r="E3541" t="n">
        <v>0</v>
      </c>
      <c r="F3541" t="n">
        <v>0</v>
      </c>
      <c r="G3541" t="n">
        <v>2</v>
      </c>
      <c r="H3541" t="n">
        <v>13.86928571</v>
      </c>
      <c r="I3541" t="n">
        <v>0.1</v>
      </c>
      <c r="J3541" t="n">
        <v>1</v>
      </c>
      <c r="K3541" t="inlineStr">
        <is>
          <t>Sin ventas en periodo</t>
        </is>
      </c>
    </row>
    <row r="3542">
      <c r="A3542" t="inlineStr">
        <is>
          <t>SHR2VIDA123TXS</t>
        </is>
      </c>
      <c r="B3542" t="inlineStr">
        <is>
          <t>[SHR2VIDA123TXS] SHORT R2 DAMA (Verde Manzana, XS)</t>
        </is>
      </c>
      <c r="C3542" t="inlineStr">
        <is>
          <t>DAMA / SHORT R2</t>
        </is>
      </c>
      <c r="D3542" t="n">
        <v>0</v>
      </c>
      <c r="E3542" t="n">
        <v>0</v>
      </c>
      <c r="F3542" t="n">
        <v>0</v>
      </c>
      <c r="G3542" t="n">
        <v>2</v>
      </c>
      <c r="H3542" t="n">
        <v>0</v>
      </c>
      <c r="I3542" t="n">
        <v>0</v>
      </c>
      <c r="J3542" t="n">
        <v>10</v>
      </c>
      <c r="K3542" t="inlineStr">
        <is>
          <t>Sin ventas en periodo; Sin costo registrado</t>
        </is>
      </c>
    </row>
    <row r="3543">
      <c r="A3543" t="inlineStr">
        <is>
          <t>SHR2VIDA123TS</t>
        </is>
      </c>
      <c r="B3543" t="inlineStr">
        <is>
          <t>SHORT R2 DAMA</t>
        </is>
      </c>
      <c r="C3543" t="inlineStr">
        <is>
          <t>Manufactura / Dama / P. Inferiores</t>
        </is>
      </c>
      <c r="D3543" t="n">
        <v>1</v>
      </c>
      <c r="E3543" t="n">
        <v>0</v>
      </c>
      <c r="F3543" t="n">
        <v>0</v>
      </c>
      <c r="G3543" t="n">
        <v>1</v>
      </c>
      <c r="H3543" t="n">
        <v>13.86928571</v>
      </c>
      <c r="I3543" t="n">
        <v>0.1</v>
      </c>
      <c r="J3543" t="n">
        <v>3</v>
      </c>
      <c r="K3543" t="inlineStr">
        <is>
          <t>Sin ventas en periodo</t>
        </is>
      </c>
    </row>
    <row r="3544">
      <c r="A3544" t="inlineStr">
        <is>
          <t>SHR2VICA70TXL</t>
        </is>
      </c>
      <c r="B3544" t="inlineStr">
        <is>
          <t>[SHR2VICA70TXL] SHORT R2 CAB (Vinotinto, XL)</t>
        </is>
      </c>
      <c r="C3544" t="inlineStr">
        <is>
          <t>CAB / SHORT R2</t>
        </is>
      </c>
      <c r="D3544" t="n">
        <v>0</v>
      </c>
      <c r="E3544" t="n">
        <v>0</v>
      </c>
      <c r="F3544" t="n">
        <v>0</v>
      </c>
      <c r="G3544" t="n">
        <v>2</v>
      </c>
      <c r="H3544" t="n">
        <v>0</v>
      </c>
      <c r="I3544" t="n">
        <v>0</v>
      </c>
      <c r="J3544" t="n">
        <v>10</v>
      </c>
      <c r="K3544" t="inlineStr">
        <is>
          <t>Sin ventas en periodo; Sin costo registrado</t>
        </is>
      </c>
    </row>
    <row r="3545">
      <c r="A3545" t="inlineStr">
        <is>
          <t>CLAMIKI01T14</t>
        </is>
      </c>
      <c r="B3545" t="inlineStr">
        <is>
          <t>CLASICA ORIGINAL KIDS</t>
        </is>
      </c>
      <c r="C3545" t="inlineStr">
        <is>
          <t>Manufactura / Kids / P. Superiores</t>
        </is>
      </c>
      <c r="D3545" t="n">
        <v>2</v>
      </c>
      <c r="E3545" t="n">
        <v>0</v>
      </c>
      <c r="F3545" t="n">
        <v>0</v>
      </c>
      <c r="G3545" t="n">
        <v>1</v>
      </c>
      <c r="H3545" t="n">
        <v>2.053774806</v>
      </c>
      <c r="I3545" t="n">
        <v>0.2</v>
      </c>
      <c r="J3545" t="n">
        <v>3</v>
      </c>
      <c r="K3545" t="inlineStr">
        <is>
          <t>Sin ventas en periodo</t>
        </is>
      </c>
    </row>
    <row r="3546">
      <c r="A3546" t="inlineStr">
        <is>
          <t>VIVMIDA13T2XL</t>
        </is>
      </c>
      <c r="B3546" t="inlineStr">
        <is>
          <t>[VIVMIDA13T2XL] VIVI ORIGINAL DAMA (Azul Rey, 2XL)</t>
        </is>
      </c>
      <c r="C3546" t="inlineStr">
        <is>
          <t>DAMA / VIVI ORIGINAL</t>
        </is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10</v>
      </c>
      <c r="K3546" t="inlineStr">
        <is>
          <t>Sin ventas en periodo; Sin costo registrado</t>
        </is>
      </c>
    </row>
    <row r="3547">
      <c r="A3547" t="inlineStr">
        <is>
          <t>MAFMIDA50TS</t>
        </is>
      </c>
      <c r="B3547" t="inlineStr">
        <is>
          <t>[MAFMIDA50TS] MAFE ORIGINAL DAMA (Rojo, S)</t>
        </is>
      </c>
      <c r="C3547" t="inlineStr">
        <is>
          <t>DAMA / MAFE ORIGINAL</t>
        </is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10</v>
      </c>
      <c r="K3547" t="inlineStr">
        <is>
          <t>Sin ventas en periodo; Sin costo registrado</t>
        </is>
      </c>
    </row>
    <row r="3548">
      <c r="A3548" t="inlineStr">
        <is>
          <t>MAFMIDA43T2XL</t>
        </is>
      </c>
      <c r="B3548" t="inlineStr">
        <is>
          <t>[MAFMIDA43T2XL] MAFE ORIGINAL DAMA (Negro, 2XL)</t>
        </is>
      </c>
      <c r="C3548" t="inlineStr">
        <is>
          <t>DAMA / MAFE ORIGINAL</t>
        </is>
      </c>
      <c r="D3548" t="n">
        <v>0</v>
      </c>
      <c r="E3548" t="n">
        <v>0</v>
      </c>
      <c r="F3548" t="n">
        <v>0</v>
      </c>
      <c r="G3548" t="n">
        <v>2</v>
      </c>
      <c r="H3548" t="n">
        <v>0</v>
      </c>
      <c r="I3548" t="n">
        <v>0</v>
      </c>
      <c r="J3548" t="n">
        <v>10</v>
      </c>
      <c r="K3548" t="inlineStr">
        <is>
          <t>Sin ventas en periodo; Sin costo registrado</t>
        </is>
      </c>
    </row>
    <row r="3549">
      <c r="A3549" t="inlineStr">
        <is>
          <t>MANMIGE28TP</t>
        </is>
      </c>
      <c r="B3549" t="inlineStr">
        <is>
          <t>[MANMIGE28TP] MANGAS GENERAL (Fucsia, P)</t>
        </is>
      </c>
      <c r="C3549" t="inlineStr">
        <is>
          <t>MANGAS GENERAL</t>
        </is>
      </c>
      <c r="D3549" t="n">
        <v>0</v>
      </c>
      <c r="E3549" t="n">
        <v>0</v>
      </c>
      <c r="F3549" t="n">
        <v>0</v>
      </c>
      <c r="G3549" t="n">
        <v>3</v>
      </c>
      <c r="H3549" t="n">
        <v>0</v>
      </c>
      <c r="I3549" t="n">
        <v>0</v>
      </c>
      <c r="J3549" t="n">
        <v>10</v>
      </c>
      <c r="K3549" t="inlineStr">
        <is>
          <t>Sin ventas en periodo; Sin costo registrado</t>
        </is>
      </c>
    </row>
    <row r="3550">
      <c r="A3550" t="inlineStr">
        <is>
          <t>GOOSTCA43T2XL</t>
        </is>
      </c>
      <c r="B3550" t="inlineStr">
        <is>
          <t>[GOOSTCA43T2XL] RETRO VZLA CAB (Negro/Life is Good, 2XL)</t>
        </is>
      </c>
      <c r="C3550" t="inlineStr">
        <is>
          <t>CAB / RETRO VZLA</t>
        </is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10</v>
      </c>
      <c r="K3550" t="inlineStr">
        <is>
          <t>Sin ventas en periodo; Sin costo registrado</t>
        </is>
      </c>
    </row>
    <row r="3551">
      <c r="A3551" t="inlineStr">
        <is>
          <t>MANMIGE24TG</t>
        </is>
      </c>
      <c r="B3551" t="inlineStr">
        <is>
          <t>[MANMIGE24TG] MANGAS GENERAL (Coral Neón, G)</t>
        </is>
      </c>
      <c r="C3551" t="inlineStr">
        <is>
          <t>MANGAS GENERAL</t>
        </is>
      </c>
      <c r="D3551" t="n">
        <v>0</v>
      </c>
      <c r="E3551" t="n">
        <v>0</v>
      </c>
      <c r="F3551" t="n">
        <v>0</v>
      </c>
      <c r="G3551" t="n">
        <v>6</v>
      </c>
      <c r="H3551" t="n">
        <v>0</v>
      </c>
      <c r="I3551" t="n">
        <v>0</v>
      </c>
      <c r="J3551" t="n">
        <v>10</v>
      </c>
      <c r="K3551" t="inlineStr">
        <is>
          <t>Sin ventas en periodo; Sin costo registrado</t>
        </is>
      </c>
    </row>
    <row r="3552">
      <c r="A3552" t="inlineStr">
        <is>
          <t>MANMIGE14TP</t>
        </is>
      </c>
      <c r="B3552" t="inlineStr">
        <is>
          <t>[MANMIGE14TP] MANGAS GENERAL (Azul Turquesa, P)</t>
        </is>
      </c>
      <c r="C3552" t="inlineStr">
        <is>
          <t>MANGAS GENERAL</t>
        </is>
      </c>
      <c r="D3552" t="n">
        <v>0</v>
      </c>
      <c r="E3552" t="n">
        <v>0</v>
      </c>
      <c r="F3552" t="n">
        <v>0</v>
      </c>
      <c r="G3552" t="n">
        <v>6</v>
      </c>
      <c r="H3552" t="n">
        <v>0</v>
      </c>
      <c r="I3552" t="n">
        <v>0</v>
      </c>
      <c r="J3552" t="n">
        <v>10</v>
      </c>
      <c r="K3552" t="inlineStr">
        <is>
          <t>Sin ventas en periodo; Sin costo registrado</t>
        </is>
      </c>
    </row>
    <row r="3553">
      <c r="A3553" t="inlineStr">
        <is>
          <t>SHR2VIDA13TS</t>
        </is>
      </c>
      <c r="B3553" t="inlineStr">
        <is>
          <t>SHORT R2 DAMA</t>
        </is>
      </c>
      <c r="C3553" t="inlineStr">
        <is>
          <t>Manufactura / Dama / P. Inferiores</t>
        </is>
      </c>
      <c r="D3553" t="n">
        <v>1</v>
      </c>
      <c r="E3553" t="n">
        <v>0</v>
      </c>
      <c r="F3553" t="n">
        <v>0</v>
      </c>
      <c r="G3553" t="n">
        <v>1</v>
      </c>
      <c r="H3553" t="n">
        <v>13.86928571</v>
      </c>
      <c r="I3553" t="n">
        <v>0.1</v>
      </c>
      <c r="J3553" t="n">
        <v>3</v>
      </c>
      <c r="K3553" t="inlineStr">
        <is>
          <t>Sin ventas en periodo</t>
        </is>
      </c>
    </row>
    <row r="3554">
      <c r="A3554" t="inlineStr">
        <is>
          <t>PANNTKI31T6</t>
        </is>
      </c>
      <c r="B3554" t="inlineStr">
        <is>
          <t>[PANNTKI31T6] EXPLORE PANTS KIDS (Gris Oscuro, 6)</t>
        </is>
      </c>
      <c r="C3554" t="inlineStr">
        <is>
          <t>KIDS / EXPLORE PANTS</t>
        </is>
      </c>
      <c r="D3554" t="n">
        <v>0</v>
      </c>
      <c r="E3554" t="n">
        <v>0</v>
      </c>
      <c r="F3554" t="n">
        <v>0</v>
      </c>
      <c r="G3554" t="n">
        <v>3</v>
      </c>
      <c r="H3554" t="n">
        <v>0</v>
      </c>
      <c r="I3554" t="n">
        <v>0</v>
      </c>
      <c r="J3554" t="n">
        <v>10</v>
      </c>
      <c r="K3554" t="inlineStr">
        <is>
          <t>Sin ventas en periodo; Sin costo registrado</t>
        </is>
      </c>
    </row>
    <row r="3555">
      <c r="A3555" t="inlineStr">
        <is>
          <t>DACSTKI43T12</t>
        </is>
      </c>
      <c r="B3555" t="inlineStr">
        <is>
          <t>[DACSTKI43T12] CLASICA DAILY KIDS (Negro, 12)</t>
        </is>
      </c>
      <c r="C3555" t="inlineStr">
        <is>
          <t>KIDS / CLASICA DAILY</t>
        </is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10</v>
      </c>
      <c r="K3555" t="inlineStr">
        <is>
          <t>Sin ventas en periodo; Sin costo registrado</t>
        </is>
      </c>
    </row>
    <row r="3556">
      <c r="A3556" t="inlineStr">
        <is>
          <t>SHONTDA31TXS</t>
        </is>
      </c>
      <c r="B3556" t="inlineStr">
        <is>
          <t>[SHONTDA31TXS] EXPLORE SHORT DAMA (Gris Oscuro, XS)</t>
        </is>
      </c>
      <c r="C3556" t="inlineStr">
        <is>
          <t>DAMA / EXPLORE SHORT</t>
        </is>
      </c>
      <c r="D3556" t="n">
        <v>0</v>
      </c>
      <c r="E3556" t="n">
        <v>0</v>
      </c>
      <c r="F3556" t="n">
        <v>0</v>
      </c>
      <c r="G3556" t="n">
        <v>8</v>
      </c>
      <c r="H3556" t="n">
        <v>0</v>
      </c>
      <c r="I3556" t="n">
        <v>0</v>
      </c>
      <c r="J3556" t="n">
        <v>10</v>
      </c>
      <c r="K3556" t="inlineStr">
        <is>
          <t>Sin ventas en periodo; Sin costo registrado</t>
        </is>
      </c>
    </row>
    <row r="3557">
      <c r="A3557" t="inlineStr">
        <is>
          <t>SHONTDA31TXL</t>
        </is>
      </c>
      <c r="B3557" t="inlineStr">
        <is>
          <t>[SHONTDA31TXL] EXPLORE SHORT DAMA (Gris Oscuro, XL)</t>
        </is>
      </c>
      <c r="C3557" t="inlineStr">
        <is>
          <t>DAMA / EXPLORE SHORT</t>
        </is>
      </c>
      <c r="D3557" t="n">
        <v>0</v>
      </c>
      <c r="E3557" t="n">
        <v>0</v>
      </c>
      <c r="F3557" t="n">
        <v>0</v>
      </c>
      <c r="G3557" t="n">
        <v>8</v>
      </c>
      <c r="H3557" t="n">
        <v>0</v>
      </c>
      <c r="I3557" t="n">
        <v>0</v>
      </c>
      <c r="J3557" t="n">
        <v>10</v>
      </c>
      <c r="K3557" t="inlineStr">
        <is>
          <t>Sin ventas en periodo; Sin costo registrado</t>
        </is>
      </c>
    </row>
    <row r="3558">
      <c r="A3558" t="inlineStr">
        <is>
          <t>SHONTDA31TS</t>
        </is>
      </c>
      <c r="B3558" t="inlineStr">
        <is>
          <t>[SHONTDA31TS] EXPLORE SHORT DAMA (Gris Oscuro, S)</t>
        </is>
      </c>
      <c r="C3558" t="inlineStr">
        <is>
          <t>DAMA / EXPLORE SHORT</t>
        </is>
      </c>
      <c r="D3558" t="n">
        <v>0</v>
      </c>
      <c r="E3558" t="n">
        <v>0</v>
      </c>
      <c r="F3558" t="n">
        <v>0</v>
      </c>
      <c r="G3558" t="n">
        <v>16</v>
      </c>
      <c r="H3558" t="n">
        <v>0</v>
      </c>
      <c r="I3558" t="n">
        <v>0</v>
      </c>
      <c r="J3558" t="n">
        <v>10</v>
      </c>
      <c r="K3558" t="inlineStr">
        <is>
          <t>Sin ventas en periodo; Sin costo registrado</t>
        </is>
      </c>
    </row>
    <row r="3559">
      <c r="A3559" t="inlineStr">
        <is>
          <t>SHONTDA31TM</t>
        </is>
      </c>
      <c r="B3559" t="inlineStr">
        <is>
          <t>[SHONTDA31TM] EXPLORE SHORT DAMA (Gris Oscuro, M)</t>
        </is>
      </c>
      <c r="C3559" t="inlineStr">
        <is>
          <t>DAMA / EXPLORE SHORT</t>
        </is>
      </c>
      <c r="D3559" t="n">
        <v>0</v>
      </c>
      <c r="E3559" t="n">
        <v>0</v>
      </c>
      <c r="F3559" t="n">
        <v>0</v>
      </c>
      <c r="G3559" t="n">
        <v>15</v>
      </c>
      <c r="H3559" t="n">
        <v>0</v>
      </c>
      <c r="I3559" t="n">
        <v>0</v>
      </c>
      <c r="J3559" t="n">
        <v>10</v>
      </c>
      <c r="K3559" t="inlineStr">
        <is>
          <t>Sin ventas en periodo; Sin costo registrado</t>
        </is>
      </c>
    </row>
    <row r="3560">
      <c r="A3560" t="inlineStr">
        <is>
          <t>SHONTDA31TL</t>
        </is>
      </c>
      <c r="B3560" t="inlineStr">
        <is>
          <t>[SHONTDA31TL] EXPLORE SHORT DAMA (Gris Oscuro, L)</t>
        </is>
      </c>
      <c r="C3560" t="inlineStr">
        <is>
          <t>DAMA / EXPLORE SHORT</t>
        </is>
      </c>
      <c r="D3560" t="n">
        <v>0</v>
      </c>
      <c r="E3560" t="n">
        <v>0</v>
      </c>
      <c r="F3560" t="n">
        <v>0</v>
      </c>
      <c r="G3560" t="n">
        <v>7</v>
      </c>
      <c r="H3560" t="n">
        <v>0</v>
      </c>
      <c r="I3560" t="n">
        <v>0</v>
      </c>
      <c r="J3560" t="n">
        <v>10</v>
      </c>
      <c r="K3560" t="inlineStr">
        <is>
          <t>Sin ventas en periodo; Sin costo registrado</t>
        </is>
      </c>
    </row>
    <row r="3561">
      <c r="A3561" t="inlineStr">
        <is>
          <t>SHONRKI66T6</t>
        </is>
      </c>
      <c r="B3561" t="inlineStr">
        <is>
          <t>[SHONRKI66T6] SHORT SPORT KIDS (Verde Militar, 6)</t>
        </is>
      </c>
      <c r="C3561" t="inlineStr">
        <is>
          <t>KIDS / SHORT SPORT</t>
        </is>
      </c>
      <c r="D3561" t="n">
        <v>0</v>
      </c>
      <c r="E3561" t="n">
        <v>0</v>
      </c>
      <c r="F3561" t="n">
        <v>0</v>
      </c>
      <c r="G3561" t="n">
        <v>26</v>
      </c>
      <c r="H3561" t="n">
        <v>0</v>
      </c>
      <c r="I3561" t="n">
        <v>0</v>
      </c>
      <c r="J3561" t="n">
        <v>10</v>
      </c>
      <c r="K3561" t="inlineStr">
        <is>
          <t>Sin ventas en periodo; Sin costo registrado</t>
        </is>
      </c>
    </row>
    <row r="3562">
      <c r="A3562" t="inlineStr">
        <is>
          <t>MARMIDA09TM</t>
        </is>
      </c>
      <c r="B3562" t="inlineStr">
        <is>
          <t>MAR ORIGINAL DAMA</t>
        </is>
      </c>
      <c r="C3562" t="inlineStr">
        <is>
          <t>Manufactura / Dama / P. Superiores</t>
        </is>
      </c>
      <c r="D3562" t="n">
        <v>1</v>
      </c>
      <c r="E3562" t="n">
        <v>0</v>
      </c>
      <c r="F3562" t="n">
        <v>0</v>
      </c>
      <c r="G3562" t="n">
        <v>0</v>
      </c>
      <c r="H3562" t="n">
        <v>4.278324149</v>
      </c>
      <c r="I3562" t="n">
        <v>0.1</v>
      </c>
      <c r="J3562" t="n">
        <v>1</v>
      </c>
      <c r="K3562" t="inlineStr"/>
    </row>
    <row r="3563">
      <c r="A3563" t="inlineStr">
        <is>
          <t>MARMIDA05TXS</t>
        </is>
      </c>
      <c r="B3563" t="inlineStr">
        <is>
          <t>MAR ORIGINAL DAMA</t>
        </is>
      </c>
      <c r="C3563" t="inlineStr">
        <is>
          <t>Manufactura / Dama / P. Superiores</t>
        </is>
      </c>
      <c r="D3563" t="n">
        <v>1</v>
      </c>
      <c r="E3563" t="n">
        <v>0</v>
      </c>
      <c r="F3563" t="n">
        <v>0</v>
      </c>
      <c r="G3563" t="n">
        <v>0</v>
      </c>
      <c r="H3563" t="n">
        <v>4.278324149</v>
      </c>
      <c r="I3563" t="n">
        <v>0.1</v>
      </c>
      <c r="J3563" t="n">
        <v>3</v>
      </c>
      <c r="K3563" t="inlineStr"/>
    </row>
    <row r="3564">
      <c r="A3564" t="inlineStr">
        <is>
          <t>RIOMICA16T4XL</t>
        </is>
      </c>
      <c r="B3564" t="inlineStr">
        <is>
          <t>RIO ORIGINAL CAB</t>
        </is>
      </c>
      <c r="C3564" t="inlineStr">
        <is>
          <t>Manufactura / Caballero / P. Superiores</t>
        </is>
      </c>
      <c r="D3564" t="n">
        <v>0</v>
      </c>
      <c r="E3564" t="n">
        <v>0</v>
      </c>
      <c r="F3564" t="n">
        <v>0.8789439717</v>
      </c>
      <c r="G3564" t="n">
        <v>3</v>
      </c>
      <c r="H3564" t="n">
        <v>5.939350288</v>
      </c>
      <c r="I3564" t="n">
        <v>0</v>
      </c>
      <c r="J3564" t="n">
        <v>9</v>
      </c>
      <c r="K3564" t="inlineStr">
        <is>
          <t>Sin ventas en periodo</t>
        </is>
      </c>
    </row>
    <row r="3565">
      <c r="A3565" t="inlineStr">
        <is>
          <t>CRESTDA30TXS</t>
        </is>
      </c>
      <c r="B3565" t="inlineStr">
        <is>
          <t>RETRO VZLA DAMA</t>
        </is>
      </c>
      <c r="C3565" t="inlineStr">
        <is>
          <t>Manufactura / Dama / P. Superiores</t>
        </is>
      </c>
      <c r="D3565" t="n">
        <v>1</v>
      </c>
      <c r="E3565" t="n">
        <v>0</v>
      </c>
      <c r="F3565" t="n">
        <v>0</v>
      </c>
      <c r="G3565" t="n">
        <v>0</v>
      </c>
      <c r="H3565" t="n">
        <v>11.23</v>
      </c>
      <c r="I3565" t="n">
        <v>0.1</v>
      </c>
      <c r="J3565" t="n">
        <v>2</v>
      </c>
      <c r="K3565" t="inlineStr"/>
    </row>
    <row r="3566">
      <c r="A3566" t="inlineStr">
        <is>
          <t>CLAMIDA01TXS</t>
        </is>
      </c>
      <c r="B3566" t="inlineStr">
        <is>
          <t>CLASICA ORIGINAL DAMA</t>
        </is>
      </c>
      <c r="C3566" t="inlineStr">
        <is>
          <t>Manufactura / Dama / P. Superiores</t>
        </is>
      </c>
      <c r="D3566" t="n">
        <v>16</v>
      </c>
      <c r="E3566" t="n">
        <v>0</v>
      </c>
      <c r="F3566" t="n">
        <v>0</v>
      </c>
      <c r="G3566" t="n">
        <v>0</v>
      </c>
      <c r="H3566" t="n">
        <v>3.923227589</v>
      </c>
      <c r="I3566" t="n">
        <v>1.6</v>
      </c>
      <c r="J3566" t="n">
        <v>3</v>
      </c>
      <c r="K3566" t="inlineStr"/>
    </row>
    <row r="3567">
      <c r="A3567" t="inlineStr">
        <is>
          <t>CLAMIKI70T6</t>
        </is>
      </c>
      <c r="B3567" t="inlineStr">
        <is>
          <t>[CLAMIKI70T6] CLASICA ORIGINAL KIDS (Vinotinto, 6)</t>
        </is>
      </c>
      <c r="C3567" t="inlineStr">
        <is>
          <t>KIDS / CLASICA ORIGINAL</t>
        </is>
      </c>
      <c r="D3567" t="n">
        <v>0</v>
      </c>
      <c r="E3567" t="n">
        <v>0</v>
      </c>
      <c r="F3567" t="n">
        <v>0</v>
      </c>
      <c r="G3567" t="n">
        <v>13</v>
      </c>
      <c r="H3567" t="n">
        <v>0</v>
      </c>
      <c r="I3567" t="n">
        <v>0</v>
      </c>
      <c r="J3567" t="n">
        <v>10</v>
      </c>
      <c r="K3567" t="inlineStr">
        <is>
          <t>Sin ventas en periodo; Sin costo registrado</t>
        </is>
      </c>
    </row>
    <row r="3568">
      <c r="A3568" t="inlineStr">
        <is>
          <t>SHOSUKI54T8</t>
        </is>
      </c>
      <c r="B3568" t="inlineStr">
        <is>
          <t>[SHOSUKI54T8] SHORT PLAYA ESTAMPADO KIDS (ROYAL, 8)</t>
        </is>
      </c>
      <c r="C3568" t="inlineStr">
        <is>
          <t>KIDS / SHORT PLAYA ESTAMPADO</t>
        </is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10</v>
      </c>
      <c r="K3568" t="inlineStr">
        <is>
          <t>Sin ventas en periodo; Sin costo registrado</t>
        </is>
      </c>
    </row>
    <row r="3569">
      <c r="A3569" t="inlineStr">
        <is>
          <t>SHOSUKI27T2</t>
        </is>
      </c>
      <c r="B3569" t="inlineStr">
        <is>
          <t>[SHOSUKI27T2] SHORT PLAYA ESTAMPADO KIDS (FRAILE, 2)</t>
        </is>
      </c>
      <c r="C3569" t="inlineStr">
        <is>
          <t>KIDS / SHORT PLAYA ESTAMPADO</t>
        </is>
      </c>
      <c r="D3569" t="n">
        <v>0</v>
      </c>
      <c r="E3569" t="n">
        <v>0</v>
      </c>
      <c r="F3569" t="n">
        <v>0</v>
      </c>
      <c r="G3569" t="n">
        <v>3</v>
      </c>
      <c r="H3569" t="n">
        <v>0</v>
      </c>
      <c r="I3569" t="n">
        <v>0</v>
      </c>
      <c r="J3569" t="n">
        <v>10</v>
      </c>
      <c r="K3569" t="inlineStr">
        <is>
          <t>Sin ventas en periodo; Sin costo registrado</t>
        </is>
      </c>
    </row>
    <row r="3570">
      <c r="A3570" t="inlineStr">
        <is>
          <t>MARMICA52TS</t>
        </is>
      </c>
      <c r="B3570" t="inlineStr">
        <is>
          <t>MAR ORIGINAL CAB</t>
        </is>
      </c>
      <c r="C3570" t="inlineStr">
        <is>
          <t>Manufactura / Caballero / P. Superiores</t>
        </is>
      </c>
      <c r="D3570" t="n">
        <v>1</v>
      </c>
      <c r="E3570" t="n">
        <v>0</v>
      </c>
      <c r="F3570" t="n">
        <v>0</v>
      </c>
      <c r="G3570" t="n">
        <v>0</v>
      </c>
      <c r="H3570" t="n">
        <v>4.946357428</v>
      </c>
      <c r="I3570" t="n">
        <v>0.1</v>
      </c>
      <c r="J3570" t="n">
        <v>3</v>
      </c>
      <c r="K3570" t="inlineStr"/>
    </row>
    <row r="3571">
      <c r="A3571" t="inlineStr">
        <is>
          <t>MARMICA50T4XL</t>
        </is>
      </c>
      <c r="B3571" t="inlineStr">
        <is>
          <t>[MARMICA50T4XL] MAR ORIGINAL CAB (Rojo, 4XL)</t>
        </is>
      </c>
      <c r="C3571" t="inlineStr">
        <is>
          <t>CAB / MAR ORIGINAL</t>
        </is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10</v>
      </c>
      <c r="K3571" t="inlineStr">
        <is>
          <t>Sin ventas en periodo; Sin costo registrado</t>
        </is>
      </c>
    </row>
    <row r="3572">
      <c r="A3572" t="inlineStr">
        <is>
          <t>MARMICA48TXL</t>
        </is>
      </c>
      <c r="B3572" t="inlineStr">
        <is>
          <t>[MARMICA48TXL] MAR ORIGINAL CAB (Púrpura, XL)</t>
        </is>
      </c>
      <c r="C3572" t="inlineStr">
        <is>
          <t>CAB / MAR ORIGINAL</t>
        </is>
      </c>
      <c r="D3572" t="n">
        <v>0</v>
      </c>
      <c r="E3572" t="n">
        <v>0</v>
      </c>
      <c r="F3572" t="n">
        <v>0</v>
      </c>
      <c r="G3572" t="n">
        <v>4</v>
      </c>
      <c r="H3572" t="n">
        <v>0</v>
      </c>
      <c r="I3572" t="n">
        <v>0</v>
      </c>
      <c r="J3572" t="n">
        <v>10</v>
      </c>
      <c r="K3572" t="inlineStr">
        <is>
          <t>Sin ventas en periodo; Sin costo registrado</t>
        </is>
      </c>
    </row>
    <row r="3573">
      <c r="A3573" t="inlineStr">
        <is>
          <t>MARMICA48TS</t>
        </is>
      </c>
      <c r="B3573" t="inlineStr">
        <is>
          <t>MAR ORIGINAL CAB</t>
        </is>
      </c>
      <c r="C3573" t="inlineStr">
        <is>
          <t>Manufactura / Caballero / P. Superiores</t>
        </is>
      </c>
      <c r="D3573" t="n">
        <v>8</v>
      </c>
      <c r="E3573" t="n">
        <v>0</v>
      </c>
      <c r="F3573" t="n">
        <v>0.9132217995</v>
      </c>
      <c r="G3573" t="n">
        <v>1</v>
      </c>
      <c r="H3573" t="n">
        <v>4.946357428</v>
      </c>
      <c r="I3573" t="n">
        <v>0.8</v>
      </c>
      <c r="J3573" t="n">
        <v>0</v>
      </c>
      <c r="K3573" t="inlineStr">
        <is>
          <t>Sin ventas en periodo</t>
        </is>
      </c>
    </row>
    <row r="3574">
      <c r="A3574" t="inlineStr">
        <is>
          <t>MARMICA48TM</t>
        </is>
      </c>
      <c r="B3574" t="inlineStr">
        <is>
          <t>MAR ORIGINAL CAB</t>
        </is>
      </c>
      <c r="C3574" t="inlineStr">
        <is>
          <t>Manufactura / Caballero / P. Superiores</t>
        </is>
      </c>
      <c r="D3574" t="n">
        <v>12</v>
      </c>
      <c r="E3574" t="n">
        <v>0</v>
      </c>
      <c r="F3574" t="n">
        <v>0</v>
      </c>
      <c r="G3574" t="n">
        <v>0</v>
      </c>
      <c r="H3574" t="n">
        <v>4.946357428</v>
      </c>
      <c r="I3574" t="n">
        <v>1.2</v>
      </c>
      <c r="J3574" t="n">
        <v>5</v>
      </c>
      <c r="K3574" t="inlineStr"/>
    </row>
    <row r="3575">
      <c r="A3575" t="inlineStr">
        <is>
          <t>RIOMICA34TM</t>
        </is>
      </c>
      <c r="B3575" t="inlineStr">
        <is>
          <t>RIO ORIGINAL CAB</t>
        </is>
      </c>
      <c r="C3575" t="inlineStr">
        <is>
          <t>Manufactura / Caballero / P. Superiores</t>
        </is>
      </c>
      <c r="D3575" t="n">
        <v>0</v>
      </c>
      <c r="E3575" t="n">
        <v>0</v>
      </c>
      <c r="F3575" t="n">
        <v>0.8958008721</v>
      </c>
      <c r="G3575" t="n">
        <v>1</v>
      </c>
      <c r="H3575" t="n">
        <v>5.939350288</v>
      </c>
      <c r="I3575" t="n">
        <v>0</v>
      </c>
      <c r="J3575" t="n">
        <v>0</v>
      </c>
      <c r="K3575" t="inlineStr">
        <is>
          <t>Sin ventas en periodo</t>
        </is>
      </c>
    </row>
    <row r="3576">
      <c r="A3576" t="inlineStr">
        <is>
          <t>RIOMICA30T4XL</t>
        </is>
      </c>
      <c r="B3576" t="inlineStr">
        <is>
          <t>[RIOMICA30T4XL] RIO ORIGINAL CAB (Gris Claro, 4XL)</t>
        </is>
      </c>
      <c r="C3576" t="inlineStr">
        <is>
          <t>CAB / RIO ORIGINAL</t>
        </is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10</v>
      </c>
      <c r="K3576" t="inlineStr">
        <is>
          <t>Sin ventas en periodo; Sin costo registrado</t>
        </is>
      </c>
    </row>
    <row r="3577">
      <c r="A3577" t="inlineStr">
        <is>
          <t>MARMIDA09TXS</t>
        </is>
      </c>
      <c r="B3577" t="inlineStr">
        <is>
          <t>MAR ORIGINAL DAMA</t>
        </is>
      </c>
      <c r="C3577" t="inlineStr">
        <is>
          <t>Manufactura / Dama / P. Superiores</t>
        </is>
      </c>
      <c r="D3577" t="n">
        <v>2</v>
      </c>
      <c r="E3577" t="n">
        <v>0</v>
      </c>
      <c r="F3577" t="n">
        <v>0</v>
      </c>
      <c r="G3577" t="n">
        <v>0</v>
      </c>
      <c r="H3577" t="n">
        <v>4.278324149</v>
      </c>
      <c r="I3577" t="n">
        <v>0.2</v>
      </c>
      <c r="J3577" t="n">
        <v>3</v>
      </c>
      <c r="K3577" t="inlineStr"/>
    </row>
    <row r="3578">
      <c r="A3578" t="inlineStr">
        <is>
          <t>CLAMICA52TM</t>
        </is>
      </c>
      <c r="B3578" t="inlineStr">
        <is>
          <t>CLASICA ORIGINAL CAB</t>
        </is>
      </c>
      <c r="C3578" t="inlineStr">
        <is>
          <t>Manufactura / Caballero / P. Superiores</t>
        </is>
      </c>
      <c r="D3578" t="n">
        <v>15</v>
      </c>
      <c r="E3578" t="n">
        <v>0</v>
      </c>
      <c r="F3578" t="n">
        <v>0</v>
      </c>
      <c r="G3578" t="n">
        <v>0</v>
      </c>
      <c r="H3578" t="n">
        <v>4.598442536</v>
      </c>
      <c r="I3578" t="n">
        <v>1.5</v>
      </c>
      <c r="J3578" t="n">
        <v>3</v>
      </c>
      <c r="K3578" t="inlineStr"/>
    </row>
    <row r="3579">
      <c r="A3579" t="inlineStr">
        <is>
          <t>CLAMIKI70T8</t>
        </is>
      </c>
      <c r="B3579" t="inlineStr">
        <is>
          <t>[CLAMIKI70T8] CLASICA ORIGINAL KIDS (Vinotinto, 8)</t>
        </is>
      </c>
      <c r="C3579" t="inlineStr">
        <is>
          <t>KIDS / CLASICA ORIGINAL</t>
        </is>
      </c>
      <c r="D3579" t="n">
        <v>0</v>
      </c>
      <c r="E3579" t="n">
        <v>0</v>
      </c>
      <c r="F3579" t="n">
        <v>0</v>
      </c>
      <c r="G3579" t="n">
        <v>3</v>
      </c>
      <c r="H3579" t="n">
        <v>0</v>
      </c>
      <c r="I3579" t="n">
        <v>0</v>
      </c>
      <c r="J3579" t="n">
        <v>10</v>
      </c>
      <c r="K3579" t="inlineStr">
        <is>
          <t>Sin ventas en periodo; Sin costo registrado</t>
        </is>
      </c>
    </row>
    <row r="3580">
      <c r="A3580" t="inlineStr">
        <is>
          <t>MARMICA34TL</t>
        </is>
      </c>
      <c r="B3580" t="inlineStr">
        <is>
          <t>MAR ORIGINAL CAB</t>
        </is>
      </c>
      <c r="C3580" t="inlineStr">
        <is>
          <t>Manufactura / Caballero / P. Superiores</t>
        </is>
      </c>
      <c r="D3580" t="n">
        <v>11</v>
      </c>
      <c r="E3580" t="n">
        <v>0</v>
      </c>
      <c r="F3580" t="n">
        <v>0</v>
      </c>
      <c r="G3580" t="n">
        <v>0</v>
      </c>
      <c r="H3580" t="n">
        <v>4.946357428</v>
      </c>
      <c r="I3580" t="n">
        <v>1.1</v>
      </c>
      <c r="J3580" t="n">
        <v>5</v>
      </c>
      <c r="K3580" t="inlineStr"/>
    </row>
    <row r="3581">
      <c r="A3581" t="inlineStr">
        <is>
          <t>MARMICA30T4XL</t>
        </is>
      </c>
      <c r="B3581" t="inlineStr">
        <is>
          <t>[MARMICA30T4XL] MAR ORIGINAL CAB (Gris Claro, 4XL)</t>
        </is>
      </c>
      <c r="C3581" t="inlineStr">
        <is>
          <t>CAB / MAR ORIGINAL</t>
        </is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10</v>
      </c>
      <c r="K3581" t="inlineStr">
        <is>
          <t>Sin ventas en periodo; Sin costo registrado</t>
        </is>
      </c>
    </row>
    <row r="3582">
      <c r="A3582" t="inlineStr">
        <is>
          <t>MARMICA24TS</t>
        </is>
      </c>
      <c r="B3582" t="inlineStr">
        <is>
          <t>MAR ORIGINAL CAB</t>
        </is>
      </c>
      <c r="C3582" t="inlineStr">
        <is>
          <t>Manufactura / Caballero / P. Superiores</t>
        </is>
      </c>
      <c r="D3582" t="n">
        <v>1</v>
      </c>
      <c r="E3582" t="n">
        <v>0</v>
      </c>
      <c r="F3582" t="n">
        <v>0</v>
      </c>
      <c r="G3582" t="n">
        <v>0</v>
      </c>
      <c r="H3582" t="n">
        <v>4.946357428</v>
      </c>
      <c r="I3582" t="n">
        <v>0.1</v>
      </c>
      <c r="J3582" t="n">
        <v>3</v>
      </c>
      <c r="K3582" t="inlineStr"/>
    </row>
    <row r="3583">
      <c r="A3583" t="inlineStr">
        <is>
          <t>MARMICA24TM</t>
        </is>
      </c>
      <c r="B3583" t="inlineStr">
        <is>
          <t>MAR ORIGINAL CAB</t>
        </is>
      </c>
      <c r="C3583" t="inlineStr">
        <is>
          <t>Manufactura / Caballero / P. Superiores</t>
        </is>
      </c>
      <c r="D3583" t="n">
        <v>3</v>
      </c>
      <c r="E3583" t="n">
        <v>0</v>
      </c>
      <c r="F3583" t="n">
        <v>0</v>
      </c>
      <c r="G3583" t="n">
        <v>0</v>
      </c>
      <c r="H3583" t="n">
        <v>4.946357428</v>
      </c>
      <c r="I3583" t="n">
        <v>0.3</v>
      </c>
      <c r="J3583" t="n">
        <v>8</v>
      </c>
      <c r="K3583" t="inlineStr"/>
    </row>
    <row r="3584">
      <c r="A3584" t="inlineStr">
        <is>
          <t>MARMICA24TL</t>
        </is>
      </c>
      <c r="B3584" t="inlineStr">
        <is>
          <t>MAR ORIGINAL CAB</t>
        </is>
      </c>
      <c r="C3584" t="inlineStr">
        <is>
          <t>Manufactura / Caballero / P. Superiores</t>
        </is>
      </c>
      <c r="D3584" t="n">
        <v>1</v>
      </c>
      <c r="E3584" t="n">
        <v>0</v>
      </c>
      <c r="F3584" t="n">
        <v>0</v>
      </c>
      <c r="G3584" t="n">
        <v>0</v>
      </c>
      <c r="H3584" t="n">
        <v>4.946357428</v>
      </c>
      <c r="I3584" t="n">
        <v>0.1</v>
      </c>
      <c r="J3584" t="n">
        <v>8</v>
      </c>
      <c r="K3584" t="inlineStr"/>
    </row>
    <row r="3585">
      <c r="A3585" t="inlineStr">
        <is>
          <t>CRESTDA16TXL</t>
        </is>
      </c>
      <c r="B3585" t="inlineStr">
        <is>
          <t>[CRESTDA16TXL] RETRO VZLA DAMA (Blanco/Crew, XL)</t>
        </is>
      </c>
      <c r="C3585" t="inlineStr">
        <is>
          <t>DAMA / RETRO VZLA</t>
        </is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10</v>
      </c>
      <c r="K3585" t="inlineStr">
        <is>
          <t>Sin ventas en periodo; Sin costo registrado</t>
        </is>
      </c>
    </row>
    <row r="3586">
      <c r="A3586" t="inlineStr">
        <is>
          <t>VIVMIDA39TS</t>
        </is>
      </c>
      <c r="B3586" t="inlineStr">
        <is>
          <t>VIVI ORIGINAL DAMA</t>
        </is>
      </c>
      <c r="C3586" t="inlineStr">
        <is>
          <t>Manufactura / Dama / P. Superiores</t>
        </is>
      </c>
      <c r="D3586" t="n">
        <v>1</v>
      </c>
      <c r="E3586" t="n">
        <v>0</v>
      </c>
      <c r="F3586" t="n">
        <v>0</v>
      </c>
      <c r="G3586" t="n">
        <v>0</v>
      </c>
      <c r="H3586" t="n">
        <v>4.303181706</v>
      </c>
      <c r="I3586" t="n">
        <v>0.1</v>
      </c>
      <c r="J3586" t="n">
        <v>5</v>
      </c>
      <c r="K3586" t="inlineStr"/>
    </row>
    <row r="3587">
      <c r="A3587" t="inlineStr">
        <is>
          <t>SHOSUKI111T4</t>
        </is>
      </c>
      <c r="B3587" t="inlineStr">
        <is>
          <t>[SHOSUKI111T4] SHORT PLAYA ESTAMPADO KIDS (CRASQUI, 4)</t>
        </is>
      </c>
      <c r="C3587" t="inlineStr">
        <is>
          <t>KIDS / SHORT PLAYA ESTAMPADO</t>
        </is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10</v>
      </c>
      <c r="K3587" t="inlineStr">
        <is>
          <t>Sin ventas en periodo; Sin costo registrado</t>
        </is>
      </c>
    </row>
    <row r="3588">
      <c r="A3588" t="inlineStr">
        <is>
          <t>SHOSUKI107T8</t>
        </is>
      </c>
      <c r="B3588" t="inlineStr">
        <is>
          <t>[SHOSUKI107T8] SHORT PLAYA ESTAMPADO KIDS (Honey, 8)</t>
        </is>
      </c>
      <c r="C3588" t="inlineStr">
        <is>
          <t>KIDS / SHORT PLAYA ESTAMPADO</t>
        </is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10</v>
      </c>
      <c r="K3588" t="inlineStr">
        <is>
          <t>Sin ventas en periodo; Sin costo registrado</t>
        </is>
      </c>
    </row>
    <row r="3589">
      <c r="A3589" t="inlineStr">
        <is>
          <t>SHOSUKI107T14</t>
        </is>
      </c>
      <c r="B3589" t="inlineStr">
        <is>
          <t>[SHOSUKI107T14] SHORT PLAYA ESTAMPADO KIDS (Honey, 14)</t>
        </is>
      </c>
      <c r="C3589" t="inlineStr">
        <is>
          <t>KIDS / SHORT PLAYA ESTAMPADO</t>
        </is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10</v>
      </c>
      <c r="K3589" t="inlineStr">
        <is>
          <t>Sin ventas en periodo; Sin costo registrado</t>
        </is>
      </c>
    </row>
    <row r="3590">
      <c r="A3590" t="inlineStr">
        <is>
          <t>SHOSUKI107T12</t>
        </is>
      </c>
      <c r="B3590" t="inlineStr">
        <is>
          <t>[SHOSUKI107T12] SHORT PLAYA ESTAMPADO KIDS (Honey, 12)</t>
        </is>
      </c>
      <c r="C3590" t="inlineStr">
        <is>
          <t>KIDS / SHORT PLAYA ESTAMPADO</t>
        </is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10</v>
      </c>
      <c r="K3590" t="inlineStr">
        <is>
          <t>Sin ventas en periodo; Sin costo registrado</t>
        </is>
      </c>
    </row>
    <row r="3591">
      <c r="A3591" t="inlineStr">
        <is>
          <t>DALSSTKI30T12</t>
        </is>
      </c>
      <c r="B3591" t="inlineStr">
        <is>
          <t>[DALSSTKI30T12] MANGA LARGA DAILY 2.0 KIDS (Gris Claro, 12)</t>
        </is>
      </c>
      <c r="C3591" t="inlineStr">
        <is>
          <t>KIDS / MANGA LARGA DAILY 2.0</t>
        </is>
      </c>
      <c r="D3591" t="n">
        <v>0</v>
      </c>
      <c r="E3591" t="n">
        <v>0</v>
      </c>
      <c r="F3591" t="n">
        <v>0</v>
      </c>
      <c r="G3591" t="n">
        <v>2</v>
      </c>
      <c r="H3591" t="n">
        <v>0</v>
      </c>
      <c r="I3591" t="n">
        <v>0</v>
      </c>
      <c r="J3591" t="n">
        <v>10</v>
      </c>
      <c r="K3591" t="inlineStr">
        <is>
          <t>Sin ventas en periodo; Sin costo registrado</t>
        </is>
      </c>
    </row>
    <row r="3592">
      <c r="A3592" t="inlineStr">
        <is>
          <t>DALSTDA30TXL</t>
        </is>
      </c>
      <c r="B3592" t="inlineStr">
        <is>
          <t>[DALSTDA30TXL] CLASICA DAILY 2.0 DAMA (Gris Claro, XL)</t>
        </is>
      </c>
      <c r="C3592" t="inlineStr">
        <is>
          <t>DAMA / CLASICA DAILY 2.0</t>
        </is>
      </c>
      <c r="D3592" t="n">
        <v>0</v>
      </c>
      <c r="E3592" t="n">
        <v>0</v>
      </c>
      <c r="F3592" t="n">
        <v>0</v>
      </c>
      <c r="G3592" t="n">
        <v>7</v>
      </c>
      <c r="H3592" t="n">
        <v>0</v>
      </c>
      <c r="I3592" t="n">
        <v>0</v>
      </c>
      <c r="J3592" t="n">
        <v>10</v>
      </c>
      <c r="K3592" t="inlineStr">
        <is>
          <t>Sin ventas en periodo; Sin costo registrado</t>
        </is>
      </c>
    </row>
    <row r="3593">
      <c r="A3593" t="inlineStr">
        <is>
          <t>TMOFIDA09TXL</t>
        </is>
      </c>
      <c r="B3593" t="inlineStr">
        <is>
          <t>[TMOFIDA09TXL] TOP MOVA (Azul Cielo, XL)</t>
        </is>
      </c>
      <c r="C3593" t="inlineStr">
        <is>
          <t>TOP MOVA</t>
        </is>
      </c>
      <c r="D3593" t="n">
        <v>0</v>
      </c>
      <c r="E3593" t="n">
        <v>0</v>
      </c>
      <c r="F3593" t="n">
        <v>0</v>
      </c>
      <c r="G3593" t="n">
        <v>2</v>
      </c>
      <c r="H3593" t="n">
        <v>0</v>
      </c>
      <c r="I3593" t="n">
        <v>0</v>
      </c>
      <c r="J3593" t="n">
        <v>10</v>
      </c>
      <c r="K3593" t="inlineStr">
        <is>
          <t>Sin ventas en periodo; Sin costo registrado</t>
        </is>
      </c>
    </row>
    <row r="3594">
      <c r="A3594" t="inlineStr">
        <is>
          <t>TMOFIDA09TS</t>
        </is>
      </c>
      <c r="B3594" t="inlineStr">
        <is>
          <t>[TMOFIDA09TS] TOP MOVA (Azul Cielo, S)</t>
        </is>
      </c>
      <c r="C3594" t="inlineStr">
        <is>
          <t>TOP MOVA</t>
        </is>
      </c>
      <c r="D3594" t="n">
        <v>0</v>
      </c>
      <c r="E3594" t="n">
        <v>0</v>
      </c>
      <c r="F3594" t="n">
        <v>0</v>
      </c>
      <c r="G3594" t="n">
        <v>3</v>
      </c>
      <c r="H3594" t="n">
        <v>0</v>
      </c>
      <c r="I3594" t="n">
        <v>0</v>
      </c>
      <c r="J3594" t="n">
        <v>10</v>
      </c>
      <c r="K3594" t="inlineStr">
        <is>
          <t>Sin ventas en periodo; Sin costo registrado</t>
        </is>
      </c>
    </row>
    <row r="3595">
      <c r="A3595" t="inlineStr">
        <is>
          <t>TMOFIDA09TL</t>
        </is>
      </c>
      <c r="B3595" t="inlineStr">
        <is>
          <t>[TMOFIDA09TL] TOP MOVA (Azul Cielo, L)</t>
        </is>
      </c>
      <c r="C3595" t="inlineStr">
        <is>
          <t>TOP MOVA</t>
        </is>
      </c>
      <c r="D3595" t="n">
        <v>0</v>
      </c>
      <c r="E3595" t="n">
        <v>0</v>
      </c>
      <c r="F3595" t="n">
        <v>0</v>
      </c>
      <c r="G3595" t="n">
        <v>2</v>
      </c>
      <c r="H3595" t="n">
        <v>0</v>
      </c>
      <c r="I3595" t="n">
        <v>0</v>
      </c>
      <c r="J3595" t="n">
        <v>10</v>
      </c>
      <c r="K3595" t="inlineStr">
        <is>
          <t>Sin ventas en periodo; Sin costo registrado</t>
        </is>
      </c>
    </row>
    <row r="3596">
      <c r="A3596" t="inlineStr">
        <is>
          <t>TALGTADA166TXL</t>
        </is>
      </c>
      <c r="B3596" t="inlineStr">
        <is>
          <t>[TALGTADA166TXL] URBAN COTTON TOP SAY YES DAMA (Gris, XL)</t>
        </is>
      </c>
      <c r="C3596" t="inlineStr">
        <is>
          <t>DAMA / URBAN COTTON TOP SAY YES</t>
        </is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10</v>
      </c>
      <c r="K3596" t="inlineStr">
        <is>
          <t>Sin ventas en periodo; Sin costo registrado</t>
        </is>
      </c>
    </row>
    <row r="3597">
      <c r="A3597" t="inlineStr">
        <is>
          <t>CLAMECA12TM</t>
        </is>
      </c>
      <c r="B3597" t="inlineStr">
        <is>
          <t>CLASICA SPORT CAB</t>
        </is>
      </c>
      <c r="C3597" t="inlineStr">
        <is>
          <t>Manufactura / Caballero / P. Superiores</t>
        </is>
      </c>
      <c r="D3597" t="n">
        <v>1</v>
      </c>
      <c r="E3597" t="n">
        <v>0</v>
      </c>
      <c r="F3597" t="n">
        <v>0</v>
      </c>
      <c r="G3597" t="n">
        <v>1</v>
      </c>
      <c r="H3597" t="n">
        <v>10.3013454</v>
      </c>
      <c r="I3597" t="n">
        <v>0.1</v>
      </c>
      <c r="J3597" t="n">
        <v>9</v>
      </c>
      <c r="K3597" t="inlineStr">
        <is>
          <t>Sin ventas en periodo</t>
        </is>
      </c>
    </row>
    <row r="3598">
      <c r="A3598" t="inlineStr">
        <is>
          <t>CLADFCA70TS</t>
        </is>
      </c>
      <c r="B3598" t="inlineStr">
        <is>
          <t>CLASICA ADVANCE CAB</t>
        </is>
      </c>
      <c r="C3598" t="inlineStr">
        <is>
          <t>Manufactura / Caballero / P. Superiores</t>
        </is>
      </c>
      <c r="D3598" t="n">
        <v>2</v>
      </c>
      <c r="E3598" t="n">
        <v>0</v>
      </c>
      <c r="F3598" t="n">
        <v>0</v>
      </c>
      <c r="G3598" t="n">
        <v>9</v>
      </c>
      <c r="H3598" t="n">
        <v>15.51</v>
      </c>
      <c r="I3598" t="n">
        <v>0.2</v>
      </c>
      <c r="J3598" t="n">
        <v>1</v>
      </c>
      <c r="K3598" t="inlineStr">
        <is>
          <t>Sin ventas en periodo</t>
        </is>
      </c>
    </row>
    <row r="3599">
      <c r="A3599" t="inlineStr">
        <is>
          <t>CLAMEKI63T8</t>
        </is>
      </c>
      <c r="B3599" t="inlineStr">
        <is>
          <t>[CLAMEKI63T8] CLASICA SPORT KIDS (Verde Agua, 8)</t>
        </is>
      </c>
      <c r="C3599" t="inlineStr">
        <is>
          <t>KIDS / CLASICA SPORT</t>
        </is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10</v>
      </c>
      <c r="K3599" t="inlineStr">
        <is>
          <t>Sin ventas en periodo; Sin costo registrado</t>
        </is>
      </c>
    </row>
    <row r="3600">
      <c r="A3600" t="inlineStr">
        <is>
          <t>DALSTKI16T4</t>
        </is>
      </c>
      <c r="B3600" t="inlineStr">
        <is>
          <t>[DALSTKI16T4] CLASICA DAILY 2.0 KIDS (Blanco, 4)</t>
        </is>
      </c>
      <c r="C3600" t="inlineStr">
        <is>
          <t>KIDS / CLASICA DAILY 2.0</t>
        </is>
      </c>
      <c r="D3600" t="n">
        <v>0</v>
      </c>
      <c r="E3600" t="n">
        <v>0</v>
      </c>
      <c r="F3600" t="n">
        <v>0</v>
      </c>
      <c r="G3600" t="n">
        <v>3</v>
      </c>
      <c r="H3600" t="n">
        <v>0</v>
      </c>
      <c r="I3600" t="n">
        <v>0</v>
      </c>
      <c r="J3600" t="n">
        <v>10</v>
      </c>
      <c r="K3600" t="inlineStr">
        <is>
          <t>Sin ventas en periodo; Sin costo registrado</t>
        </is>
      </c>
    </row>
    <row r="3601">
      <c r="A3601" t="inlineStr">
        <is>
          <t>DALSTKI16T2</t>
        </is>
      </c>
      <c r="B3601" t="inlineStr">
        <is>
          <t>[DALSTKI16T2] CLASICA DAILY 2.0 KIDS (Blanco, 2)</t>
        </is>
      </c>
      <c r="C3601" t="inlineStr">
        <is>
          <t>KIDS / CLASICA DAILY 2.0</t>
        </is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10</v>
      </c>
      <c r="K3601" t="inlineStr">
        <is>
          <t>Sin ventas en periodo; Sin costo registrado</t>
        </is>
      </c>
    </row>
    <row r="3602">
      <c r="A3602" t="inlineStr">
        <is>
          <t>DALSTKI16T12</t>
        </is>
      </c>
      <c r="B3602" t="inlineStr">
        <is>
          <t>[DALSTKI16T12] CLASICA DAILY 2.0 KIDS (Blanco, 12)</t>
        </is>
      </c>
      <c r="C3602" t="inlineStr">
        <is>
          <t>KIDS / CLASICA DAILY 2.0</t>
        </is>
      </c>
      <c r="D3602" t="n">
        <v>0</v>
      </c>
      <c r="E3602" t="n">
        <v>0</v>
      </c>
      <c r="F3602" t="n">
        <v>0</v>
      </c>
      <c r="G3602" t="n">
        <v>5</v>
      </c>
      <c r="H3602" t="n">
        <v>0</v>
      </c>
      <c r="I3602" t="n">
        <v>0</v>
      </c>
      <c r="J3602" t="n">
        <v>10</v>
      </c>
      <c r="K3602" t="inlineStr">
        <is>
          <t>Sin ventas en periodo; Sin costo registrado</t>
        </is>
      </c>
    </row>
    <row r="3603">
      <c r="A3603" t="inlineStr">
        <is>
          <t>DALSTKI16T10</t>
        </is>
      </c>
      <c r="B3603" t="inlineStr">
        <is>
          <t>[DALSTKI16T10] CLASICA DAILY 2.0 KIDS (Blanco, 10)</t>
        </is>
      </c>
      <c r="C3603" t="inlineStr">
        <is>
          <t>KIDS / CLASICA DAILY 2.0</t>
        </is>
      </c>
      <c r="D3603" t="n">
        <v>0</v>
      </c>
      <c r="E3603" t="n">
        <v>0</v>
      </c>
      <c r="F3603" t="n">
        <v>0</v>
      </c>
      <c r="G3603" t="n">
        <v>10</v>
      </c>
      <c r="H3603" t="n">
        <v>0</v>
      </c>
      <c r="I3603" t="n">
        <v>0</v>
      </c>
      <c r="J3603" t="n">
        <v>10</v>
      </c>
      <c r="K3603" t="inlineStr">
        <is>
          <t>Sin ventas en periodo; Sin costo registrado</t>
        </is>
      </c>
    </row>
    <row r="3604">
      <c r="A3604" t="inlineStr">
        <is>
          <t>DALSTDA43TXS</t>
        </is>
      </c>
      <c r="B3604" t="inlineStr">
        <is>
          <t>CLASICA DAILY 2.0 DAMA</t>
        </is>
      </c>
      <c r="C3604" t="inlineStr">
        <is>
          <t>Manufactura / Dama / P. Superiores</t>
        </is>
      </c>
      <c r="D3604" t="n">
        <v>1</v>
      </c>
      <c r="E3604" t="n">
        <v>0</v>
      </c>
      <c r="F3604" t="n">
        <v>0</v>
      </c>
      <c r="G3604" t="n">
        <v>4</v>
      </c>
      <c r="H3604" t="n">
        <v>10.02</v>
      </c>
      <c r="I3604" t="n">
        <v>0.1</v>
      </c>
      <c r="J3604" t="n">
        <v>2</v>
      </c>
      <c r="K3604" t="inlineStr">
        <is>
          <t>Sin ventas en periodo</t>
        </is>
      </c>
    </row>
    <row r="3605">
      <c r="A3605" t="inlineStr">
        <is>
          <t>DALSTDA43TXL</t>
        </is>
      </c>
      <c r="B3605" t="inlineStr">
        <is>
          <t>[DALSTDA43TXL] CLASICA DAILY 2.0 DAMA (Negro, XL)</t>
        </is>
      </c>
      <c r="C3605" t="inlineStr">
        <is>
          <t>DAMA / CLASICA DAILY 2.0</t>
        </is>
      </c>
      <c r="D3605" t="n">
        <v>0</v>
      </c>
      <c r="E3605" t="n">
        <v>0</v>
      </c>
      <c r="F3605" t="n">
        <v>0</v>
      </c>
      <c r="G3605" t="n">
        <v>3</v>
      </c>
      <c r="H3605" t="n">
        <v>0</v>
      </c>
      <c r="I3605" t="n">
        <v>0</v>
      </c>
      <c r="J3605" t="n">
        <v>10</v>
      </c>
      <c r="K3605" t="inlineStr">
        <is>
          <t>Sin ventas en periodo; Sin costo registrado</t>
        </is>
      </c>
    </row>
    <row r="3606">
      <c r="A3606" t="inlineStr">
        <is>
          <t>TMOFIDA09TXS</t>
        </is>
      </c>
      <c r="B3606" t="inlineStr">
        <is>
          <t>[TMOFIDA09TXS] TOP MOVA (Azul Cielo, XS)</t>
        </is>
      </c>
      <c r="C3606" t="inlineStr">
        <is>
          <t>TOP MOVA</t>
        </is>
      </c>
      <c r="D3606" t="n">
        <v>0</v>
      </c>
      <c r="E3606" t="n">
        <v>0</v>
      </c>
      <c r="F3606" t="n">
        <v>0</v>
      </c>
      <c r="G3606" t="n">
        <v>6</v>
      </c>
      <c r="H3606" t="n">
        <v>0</v>
      </c>
      <c r="I3606" t="n">
        <v>0</v>
      </c>
      <c r="J3606" t="n">
        <v>10</v>
      </c>
      <c r="K3606" t="inlineStr">
        <is>
          <t>Sin ventas en periodo; Sin costo registrado</t>
        </is>
      </c>
    </row>
    <row r="3607">
      <c r="A3607" t="inlineStr">
        <is>
          <t>CLAMIKI53T8</t>
        </is>
      </c>
      <c r="B3607" t="inlineStr">
        <is>
          <t>[CLAMIKI53T8] CLASICA ORIGINAL KIDS (Rosado Pastel, 8)</t>
        </is>
      </c>
      <c r="C3607" t="inlineStr">
        <is>
          <t>KIDS / CLASICA ORIGINAL</t>
        </is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10</v>
      </c>
      <c r="K3607" t="inlineStr">
        <is>
          <t>Sin ventas en periodo; Sin costo registrado</t>
        </is>
      </c>
    </row>
    <row r="3608">
      <c r="A3608" t="inlineStr">
        <is>
          <t>RIOMICA05TS</t>
        </is>
      </c>
      <c r="B3608" t="inlineStr">
        <is>
          <t>RIO ORIGINAL CAB</t>
        </is>
      </c>
      <c r="C3608" t="inlineStr">
        <is>
          <t>Manufactura / Caballero / P. Superiores</t>
        </is>
      </c>
      <c r="D3608" t="n">
        <v>0</v>
      </c>
      <c r="E3608" t="n">
        <v>0</v>
      </c>
      <c r="F3608" t="n">
        <v>0.8738293905</v>
      </c>
      <c r="G3608" t="n">
        <v>0</v>
      </c>
      <c r="H3608" t="n">
        <v>5.939350288</v>
      </c>
      <c r="I3608" t="n">
        <v>0</v>
      </c>
      <c r="J3608" t="n">
        <v>9</v>
      </c>
      <c r="K3608" t="inlineStr"/>
    </row>
    <row r="3609">
      <c r="A3609" t="inlineStr">
        <is>
          <t>MIAMIDA34TXS</t>
        </is>
      </c>
      <c r="B3609" t="inlineStr">
        <is>
          <t>MIA ORIGINAL DAMA</t>
        </is>
      </c>
      <c r="C3609" t="inlineStr">
        <is>
          <t>Manufactura / Dama / P. Superiores</t>
        </is>
      </c>
      <c r="D3609" t="n">
        <v>1</v>
      </c>
      <c r="E3609" t="n">
        <v>0</v>
      </c>
      <c r="F3609" t="n">
        <v>0</v>
      </c>
      <c r="G3609" t="n">
        <v>0</v>
      </c>
      <c r="H3609" t="n">
        <v>3.94</v>
      </c>
      <c r="I3609" t="n">
        <v>0.1</v>
      </c>
      <c r="J3609" t="n">
        <v>1</v>
      </c>
      <c r="K3609" t="inlineStr"/>
    </row>
    <row r="3610">
      <c r="A3610" t="inlineStr">
        <is>
          <t>MIAMIDA16TS</t>
        </is>
      </c>
      <c r="B3610" t="inlineStr">
        <is>
          <t>MIA ORIGINAL DAMA</t>
        </is>
      </c>
      <c r="C3610" t="inlineStr">
        <is>
          <t>Manufactura / Dama / P. Superiores</t>
        </is>
      </c>
      <c r="D3610" t="n">
        <v>1</v>
      </c>
      <c r="E3610" t="n">
        <v>0</v>
      </c>
      <c r="F3610" t="n">
        <v>0</v>
      </c>
      <c r="G3610" t="n">
        <v>0</v>
      </c>
      <c r="H3610" t="n">
        <v>3.94</v>
      </c>
      <c r="I3610" t="n">
        <v>0.1</v>
      </c>
      <c r="J3610" t="n">
        <v>3</v>
      </c>
      <c r="K3610" t="inlineStr"/>
    </row>
    <row r="3611">
      <c r="A3611" t="inlineStr">
        <is>
          <t>PETMIPE39TS</t>
        </is>
      </c>
      <c r="B3611" t="inlineStr">
        <is>
          <t>[PETMIPE39TS] BANDANA PET (Morado, S)</t>
        </is>
      </c>
      <c r="C3611" t="inlineStr">
        <is>
          <t>BANDANA PET</t>
        </is>
      </c>
      <c r="D3611" t="n">
        <v>0</v>
      </c>
      <c r="E3611" t="n">
        <v>0</v>
      </c>
      <c r="F3611" t="n">
        <v>0</v>
      </c>
      <c r="G3611" t="n">
        <v>40</v>
      </c>
      <c r="H3611" t="n">
        <v>0</v>
      </c>
      <c r="I3611" t="n">
        <v>0</v>
      </c>
      <c r="J3611" t="n">
        <v>10</v>
      </c>
      <c r="K3611" t="inlineStr">
        <is>
          <t>Sin ventas en periodo; Sin costo registrado</t>
        </is>
      </c>
    </row>
    <row r="3612">
      <c r="A3612" t="inlineStr">
        <is>
          <t>PETMIPE30TXS</t>
        </is>
      </c>
      <c r="B3612" t="inlineStr">
        <is>
          <t>[PETMIPE30TXS] BANDANA PET (Gris Claro, XS)</t>
        </is>
      </c>
      <c r="C3612" t="inlineStr">
        <is>
          <t>BANDANA PET</t>
        </is>
      </c>
      <c r="D3612" t="n">
        <v>0</v>
      </c>
      <c r="E3612" t="n">
        <v>0</v>
      </c>
      <c r="F3612" t="n">
        <v>0</v>
      </c>
      <c r="G3612" t="n">
        <v>23</v>
      </c>
      <c r="H3612" t="n">
        <v>0</v>
      </c>
      <c r="I3612" t="n">
        <v>0</v>
      </c>
      <c r="J3612" t="n">
        <v>10</v>
      </c>
      <c r="K3612" t="inlineStr">
        <is>
          <t>Sin ventas en periodo; Sin costo registrado</t>
        </is>
      </c>
    </row>
    <row r="3613">
      <c r="A3613" t="inlineStr">
        <is>
          <t>PETMIPE30TXL</t>
        </is>
      </c>
      <c r="B3613" t="inlineStr">
        <is>
          <t>BANDANA PET</t>
        </is>
      </c>
      <c r="C3613" t="inlineStr">
        <is>
          <t>Manufactura / General</t>
        </is>
      </c>
      <c r="D3613" t="n">
        <v>0</v>
      </c>
      <c r="E3613" t="n">
        <v>0</v>
      </c>
      <c r="F3613" t="n">
        <v>0.9633891753</v>
      </c>
      <c r="G3613" t="n">
        <v>1</v>
      </c>
      <c r="H3613" t="n">
        <v>0.3252662283</v>
      </c>
      <c r="I3613" t="n">
        <v>0</v>
      </c>
      <c r="J3613" t="n">
        <v>7</v>
      </c>
      <c r="K3613" t="inlineStr">
        <is>
          <t>Sin ventas en periodo</t>
        </is>
      </c>
    </row>
    <row r="3614">
      <c r="A3614" t="inlineStr">
        <is>
          <t>RIOMICA12T4XL</t>
        </is>
      </c>
      <c r="B3614" t="inlineStr">
        <is>
          <t>[RIOMICA12T4XL] RIO ORIGINAL CAB (Azul Marino, 4XL)</t>
        </is>
      </c>
      <c r="C3614" t="inlineStr">
        <is>
          <t>CAB / RIO ORIGINAL</t>
        </is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10</v>
      </c>
      <c r="K3614" t="inlineStr">
        <is>
          <t>Sin ventas en periodo; Sin costo registrado</t>
        </is>
      </c>
    </row>
    <row r="3615">
      <c r="A3615" t="inlineStr">
        <is>
          <t>SHOSUKI26T1</t>
        </is>
      </c>
      <c r="B3615" t="inlineStr">
        <is>
          <t>[SHOSUKI26T1] SHORT PLAYA ESTAMPADO KIDS (DORADO, 1)</t>
        </is>
      </c>
      <c r="C3615" t="inlineStr">
        <is>
          <t>KIDS / SHORT PLAYA ESTAMPADO</t>
        </is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10</v>
      </c>
      <c r="K3615" t="inlineStr">
        <is>
          <t>Sin ventas en periodo; Sin costo registrado</t>
        </is>
      </c>
    </row>
    <row r="3616">
      <c r="A3616" t="inlineStr">
        <is>
          <t>CRESTCA30T2XL</t>
        </is>
      </c>
      <c r="B3616" t="inlineStr">
        <is>
          <t>[CRESTCA30T2XL] RETRO VZLA CAB (Gris/Crew, 2XL)</t>
        </is>
      </c>
      <c r="C3616" t="inlineStr">
        <is>
          <t>CAB / RETRO VZLA</t>
        </is>
      </c>
      <c r="D3616" t="n">
        <v>0</v>
      </c>
      <c r="E3616" t="n">
        <v>0</v>
      </c>
      <c r="F3616" t="n">
        <v>0</v>
      </c>
      <c r="G3616" t="n">
        <v>2</v>
      </c>
      <c r="H3616" t="n">
        <v>0</v>
      </c>
      <c r="I3616" t="n">
        <v>0</v>
      </c>
      <c r="J3616" t="n">
        <v>10</v>
      </c>
      <c r="K3616" t="inlineStr">
        <is>
          <t>Sin ventas en periodo; Sin costo registrado</t>
        </is>
      </c>
    </row>
    <row r="3617">
      <c r="A3617" t="inlineStr">
        <is>
          <t>CRESTCA16T2XL</t>
        </is>
      </c>
      <c r="B3617" t="inlineStr">
        <is>
          <t>[CRESTCA16T2XL] RETRO VZLA CAB (Blanco/Crew, 2XL)</t>
        </is>
      </c>
      <c r="C3617" t="inlineStr">
        <is>
          <t>CAB / RETRO VZLA</t>
        </is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10</v>
      </c>
      <c r="K3617" t="inlineStr">
        <is>
          <t>Sin ventas en periodo; Sin costo registrado</t>
        </is>
      </c>
    </row>
    <row r="3618">
      <c r="A3618" t="inlineStr">
        <is>
          <t>CLMSUCA17TS</t>
        </is>
      </c>
      <c r="B3618" t="inlineStr">
        <is>
          <t>CLASICA MOTION CAB</t>
        </is>
      </c>
      <c r="C3618" t="inlineStr">
        <is>
          <t>Manufactura / Caballero / P. Superiores</t>
        </is>
      </c>
      <c r="D3618" t="n">
        <v>1</v>
      </c>
      <c r="E3618" t="n">
        <v>0</v>
      </c>
      <c r="F3618" t="n">
        <v>0</v>
      </c>
      <c r="G3618" t="n">
        <v>0</v>
      </c>
      <c r="H3618" t="n">
        <v>12.26</v>
      </c>
      <c r="I3618" t="n">
        <v>0.1</v>
      </c>
      <c r="J3618" t="n">
        <v>9</v>
      </c>
      <c r="K3618" t="inlineStr"/>
    </row>
    <row r="3619">
      <c r="A3619" t="inlineStr">
        <is>
          <t>CLAMICA50TL</t>
        </is>
      </c>
      <c r="B3619" t="inlineStr">
        <is>
          <t>CLASICA ORIGINAL CAB</t>
        </is>
      </c>
      <c r="C3619" t="inlineStr">
        <is>
          <t>Manufactura / Caballero / P. Superiores</t>
        </is>
      </c>
      <c r="D3619" t="n">
        <v>1</v>
      </c>
      <c r="E3619" t="n">
        <v>0</v>
      </c>
      <c r="F3619" t="n">
        <v>0</v>
      </c>
      <c r="G3619" t="n">
        <v>1</v>
      </c>
      <c r="H3619" t="n">
        <v>4.598442536</v>
      </c>
      <c r="I3619" t="n">
        <v>0.1</v>
      </c>
      <c r="J3619" t="n">
        <v>2</v>
      </c>
      <c r="K3619" t="inlineStr">
        <is>
          <t>Sin ventas en periodo</t>
        </is>
      </c>
    </row>
    <row r="3620">
      <c r="A3620" t="inlineStr">
        <is>
          <t>STIRESM</t>
        </is>
      </c>
      <c r="B3620" t="inlineStr">
        <is>
          <t>[STIRESM] STICKER (Regalo)</t>
        </is>
      </c>
      <c r="C3620" t="inlineStr">
        <is>
          <t>STICKER</t>
        </is>
      </c>
      <c r="D3620" t="n">
        <v>0</v>
      </c>
      <c r="E3620" t="n">
        <v>0</v>
      </c>
      <c r="F3620" t="n">
        <v>0</v>
      </c>
      <c r="G3620" t="n">
        <v>50</v>
      </c>
      <c r="H3620" t="n">
        <v>0</v>
      </c>
      <c r="I3620" t="n">
        <v>0</v>
      </c>
      <c r="J3620" t="n">
        <v>10</v>
      </c>
      <c r="K3620" t="inlineStr">
        <is>
          <t>Sin ventas en periodo; Sin costo registrado</t>
        </is>
      </c>
    </row>
    <row r="3621">
      <c r="A3621" t="inlineStr">
        <is>
          <t>STESPKI30T4</t>
        </is>
      </c>
      <c r="B3621" t="inlineStr">
        <is>
          <t>[STESPKI30T4] FALDA STEFFI KIDS (Gris Claro, 4)</t>
        </is>
      </c>
      <c r="C3621" t="inlineStr">
        <is>
          <t>KIDS / FALDA STEFFI</t>
        </is>
      </c>
      <c r="D3621" t="n">
        <v>0</v>
      </c>
      <c r="E3621" t="n">
        <v>0</v>
      </c>
      <c r="F3621" t="n">
        <v>0</v>
      </c>
      <c r="G3621" t="n">
        <v>2</v>
      </c>
      <c r="H3621" t="n">
        <v>0</v>
      </c>
      <c r="I3621" t="n">
        <v>0</v>
      </c>
      <c r="J3621" t="n">
        <v>10</v>
      </c>
      <c r="K3621" t="inlineStr">
        <is>
          <t>Sin ventas en periodo; Sin costo registrado</t>
        </is>
      </c>
    </row>
    <row r="3622">
      <c r="A3622" t="inlineStr">
        <is>
          <t>MIAMIDA43TXS</t>
        </is>
      </c>
      <c r="B3622" t="inlineStr">
        <is>
          <t>MIA ORIGINAL DAMA</t>
        </is>
      </c>
      <c r="C3622" t="inlineStr">
        <is>
          <t>Manufactura / Dama / P. Superiores</t>
        </is>
      </c>
      <c r="D3622" t="n">
        <v>1</v>
      </c>
      <c r="E3622" t="n">
        <v>0</v>
      </c>
      <c r="F3622" t="n">
        <v>0</v>
      </c>
      <c r="G3622" t="n">
        <v>0</v>
      </c>
      <c r="H3622" t="n">
        <v>3.94</v>
      </c>
      <c r="I3622" t="n">
        <v>0.1</v>
      </c>
      <c r="J3622" t="n">
        <v>9</v>
      </c>
      <c r="K3622" t="inlineStr"/>
    </row>
    <row r="3623">
      <c r="A3623" t="inlineStr">
        <is>
          <t>CLAMICA53TM</t>
        </is>
      </c>
      <c r="B3623" t="inlineStr">
        <is>
          <t>CLASICA ORIGINAL CAB</t>
        </is>
      </c>
      <c r="C3623" t="inlineStr">
        <is>
          <t>Manufactura / Caballero / P. Superiores</t>
        </is>
      </c>
      <c r="D3623" t="n">
        <v>1</v>
      </c>
      <c r="E3623" t="n">
        <v>0</v>
      </c>
      <c r="F3623" t="n">
        <v>0</v>
      </c>
      <c r="G3623" t="n">
        <v>0</v>
      </c>
      <c r="H3623" t="n">
        <v>4.598442536</v>
      </c>
      <c r="I3623" t="n">
        <v>0.1</v>
      </c>
      <c r="J3623" t="n">
        <v>8</v>
      </c>
      <c r="K3623" t="inlineStr"/>
    </row>
    <row r="3624">
      <c r="A3624" t="inlineStr">
        <is>
          <t>CLAMICA52TS</t>
        </is>
      </c>
      <c r="B3624" t="inlineStr">
        <is>
          <t>CLASICA ORIGINAL CAB</t>
        </is>
      </c>
      <c r="C3624" t="inlineStr">
        <is>
          <t>Manufactura / Caballero / P. Superiores</t>
        </is>
      </c>
      <c r="D3624" t="n">
        <v>12</v>
      </c>
      <c r="E3624" t="n">
        <v>0</v>
      </c>
      <c r="F3624" t="n">
        <v>0</v>
      </c>
      <c r="G3624" t="n">
        <v>0</v>
      </c>
      <c r="H3624" t="n">
        <v>4.598442536</v>
      </c>
      <c r="I3624" t="n">
        <v>1.2</v>
      </c>
      <c r="J3624" t="n">
        <v>3</v>
      </c>
      <c r="K3624" t="inlineStr"/>
    </row>
    <row r="3625">
      <c r="A3625" t="inlineStr">
        <is>
          <t>SSR2VIU70TS</t>
        </is>
      </c>
      <c r="B3625" t="inlineStr">
        <is>
          <t>[SSR2VIU70TS] R2 SPORT  5" (Vinotinto, S)</t>
        </is>
      </c>
      <c r="C3625" t="inlineStr">
        <is>
          <t>R2 SPORT  5"</t>
        </is>
      </c>
      <c r="D3625" t="n">
        <v>0</v>
      </c>
      <c r="E3625" t="n">
        <v>0</v>
      </c>
      <c r="F3625" t="n">
        <v>0</v>
      </c>
      <c r="G3625" t="n">
        <v>2</v>
      </c>
      <c r="H3625" t="n">
        <v>0</v>
      </c>
      <c r="I3625" t="n">
        <v>0</v>
      </c>
      <c r="J3625" t="n">
        <v>10</v>
      </c>
      <c r="K3625" t="inlineStr">
        <is>
          <t>Sin ventas en periodo; Sin costo registrado</t>
        </is>
      </c>
    </row>
    <row r="3626">
      <c r="A3626" t="inlineStr">
        <is>
          <t>SSR2VIU70TM</t>
        </is>
      </c>
      <c r="B3626" t="inlineStr">
        <is>
          <t>R2 SPORT  5"</t>
        </is>
      </c>
      <c r="C3626" t="inlineStr">
        <is>
          <t>Manufactura / General</t>
        </is>
      </c>
      <c r="D3626" t="n">
        <v>1</v>
      </c>
      <c r="E3626" t="n">
        <v>0</v>
      </c>
      <c r="F3626" t="n">
        <v>0</v>
      </c>
      <c r="G3626" t="n">
        <v>17</v>
      </c>
      <c r="H3626" t="n">
        <v>5.09</v>
      </c>
      <c r="I3626" t="n">
        <v>0.1</v>
      </c>
      <c r="J3626" t="n">
        <v>0</v>
      </c>
      <c r="K3626" t="inlineStr">
        <is>
          <t>Sin ventas en periodo</t>
        </is>
      </c>
    </row>
    <row r="3627">
      <c r="A3627" t="inlineStr">
        <is>
          <t>SRR2VIU43TS</t>
        </is>
      </c>
      <c r="B3627" t="inlineStr">
        <is>
          <t>[SRR2VIU43TS] R2 RUNNING 3,5" (Negro, S)</t>
        </is>
      </c>
      <c r="C3627" t="inlineStr">
        <is>
          <t>R2 RUNNING 3,5"</t>
        </is>
      </c>
      <c r="D3627" t="n">
        <v>0</v>
      </c>
      <c r="E3627" t="n">
        <v>0</v>
      </c>
      <c r="F3627" t="n">
        <v>0</v>
      </c>
      <c r="G3627" t="n">
        <v>11</v>
      </c>
      <c r="H3627" t="n">
        <v>0</v>
      </c>
      <c r="I3627" t="n">
        <v>0</v>
      </c>
      <c r="J3627" t="n">
        <v>10</v>
      </c>
      <c r="K3627" t="inlineStr">
        <is>
          <t>Sin ventas en periodo; Sin costo registrado</t>
        </is>
      </c>
    </row>
    <row r="3628">
      <c r="A3628" t="inlineStr">
        <is>
          <t>SRR2VIU43TL</t>
        </is>
      </c>
      <c r="B3628" t="inlineStr">
        <is>
          <t>[SRR2VIU43TL] R2 RUNNING 3,5" (Negro, L)</t>
        </is>
      </c>
      <c r="C3628" t="inlineStr">
        <is>
          <t>R2 RUNNING 3,5"</t>
        </is>
      </c>
      <c r="D3628" t="n">
        <v>0</v>
      </c>
      <c r="E3628" t="n">
        <v>0</v>
      </c>
      <c r="F3628" t="n">
        <v>0</v>
      </c>
      <c r="G3628" t="n">
        <v>2</v>
      </c>
      <c r="H3628" t="n">
        <v>0</v>
      </c>
      <c r="I3628" t="n">
        <v>0</v>
      </c>
      <c r="J3628" t="n">
        <v>10</v>
      </c>
      <c r="K3628" t="inlineStr">
        <is>
          <t>Sin ventas en periodo; Sin costo registrado</t>
        </is>
      </c>
    </row>
    <row r="3629">
      <c r="A3629" t="inlineStr">
        <is>
          <t>SRR2VIU13TXS</t>
        </is>
      </c>
      <c r="B3629" t="inlineStr">
        <is>
          <t>[SRR2VIU13TXS] R2 RUNNING 3,5" (Azul Rey, XS)</t>
        </is>
      </c>
      <c r="C3629" t="inlineStr">
        <is>
          <t>R2 RUNNING 3,5"</t>
        </is>
      </c>
      <c r="D3629" t="n">
        <v>0</v>
      </c>
      <c r="E3629" t="n">
        <v>0</v>
      </c>
      <c r="F3629" t="n">
        <v>0</v>
      </c>
      <c r="G3629" t="n">
        <v>2</v>
      </c>
      <c r="H3629" t="n">
        <v>0</v>
      </c>
      <c r="I3629" t="n">
        <v>0</v>
      </c>
      <c r="J3629" t="n">
        <v>10</v>
      </c>
      <c r="K3629" t="inlineStr">
        <is>
          <t>Sin ventas en periodo; Sin costo registrado</t>
        </is>
      </c>
    </row>
    <row r="3630">
      <c r="A3630" t="inlineStr">
        <is>
          <t>SRR2VIU13TS</t>
        </is>
      </c>
      <c r="B3630" t="inlineStr">
        <is>
          <t>[SRR2VIU13TS] R2 RUNNING 3,5" (Azul Rey, S)</t>
        </is>
      </c>
      <c r="C3630" t="inlineStr">
        <is>
          <t>R2 RUNNING 3,5"</t>
        </is>
      </c>
      <c r="D3630" t="n">
        <v>0</v>
      </c>
      <c r="E3630" t="n">
        <v>0</v>
      </c>
      <c r="F3630" t="n">
        <v>0</v>
      </c>
      <c r="G3630" t="n">
        <v>24</v>
      </c>
      <c r="H3630" t="n">
        <v>0</v>
      </c>
      <c r="I3630" t="n">
        <v>0</v>
      </c>
      <c r="J3630" t="n">
        <v>10</v>
      </c>
      <c r="K3630" t="inlineStr">
        <is>
          <t>Sin ventas en periodo; Sin costo registrado</t>
        </is>
      </c>
    </row>
    <row r="3631">
      <c r="A3631" t="inlineStr">
        <is>
          <t>CLAMIKI70T10</t>
        </is>
      </c>
      <c r="B3631" t="inlineStr">
        <is>
          <t>[CLAMIKI70T10] CLASICA ORIGINAL KIDS (Vinotinto, 10)</t>
        </is>
      </c>
      <c r="C3631" t="inlineStr">
        <is>
          <t>KIDS / CLASICA ORIGINAL</t>
        </is>
      </c>
      <c r="D3631" t="n">
        <v>0</v>
      </c>
      <c r="E3631" t="n">
        <v>0</v>
      </c>
      <c r="F3631" t="n">
        <v>0</v>
      </c>
      <c r="G3631" t="n">
        <v>2</v>
      </c>
      <c r="H3631" t="n">
        <v>0</v>
      </c>
      <c r="I3631" t="n">
        <v>0</v>
      </c>
      <c r="J3631" t="n">
        <v>10</v>
      </c>
      <c r="K3631" t="inlineStr">
        <is>
          <t>Sin ventas en periodo; Sin costo registrado</t>
        </is>
      </c>
    </row>
    <row r="3632">
      <c r="A3632" t="inlineStr">
        <is>
          <t>CLAMIDA09TL</t>
        </is>
      </c>
      <c r="B3632" t="inlineStr">
        <is>
          <t>CLASICA ORIGINAL DAMA</t>
        </is>
      </c>
      <c r="C3632" t="inlineStr">
        <is>
          <t>Manufactura / Dama / P. Superiores</t>
        </is>
      </c>
      <c r="D3632" t="n">
        <v>16</v>
      </c>
      <c r="E3632" t="n">
        <v>0</v>
      </c>
      <c r="F3632" t="n">
        <v>0</v>
      </c>
      <c r="G3632" t="n">
        <v>0</v>
      </c>
      <c r="H3632" t="n">
        <v>3.923227589</v>
      </c>
      <c r="I3632" t="n">
        <v>1.6</v>
      </c>
      <c r="J3632" t="n">
        <v>2</v>
      </c>
      <c r="K3632" t="inlineStr"/>
    </row>
    <row r="3633">
      <c r="A3633" t="inlineStr">
        <is>
          <t>DACSTDA16TM</t>
        </is>
      </c>
      <c r="B3633" t="inlineStr">
        <is>
          <t>CLASICA DAILY DAMA</t>
        </is>
      </c>
      <c r="C3633" t="inlineStr">
        <is>
          <t>Manufactura / Dama / P. Superiores</t>
        </is>
      </c>
      <c r="D3633" t="n">
        <v>1</v>
      </c>
      <c r="E3633" t="n">
        <v>0</v>
      </c>
      <c r="F3633" t="n">
        <v>0</v>
      </c>
      <c r="G3633" t="n">
        <v>0</v>
      </c>
      <c r="H3633" t="n">
        <v>9.27</v>
      </c>
      <c r="I3633" t="n">
        <v>0.1</v>
      </c>
      <c r="J3633" t="n">
        <v>9</v>
      </c>
      <c r="K3633" t="inlineStr"/>
    </row>
    <row r="3634">
      <c r="A3634" t="inlineStr">
        <is>
          <t>CLAMICA48TM</t>
        </is>
      </c>
      <c r="B3634" t="inlineStr">
        <is>
          <t>CLASICA ORIGINAL CAB</t>
        </is>
      </c>
      <c r="C3634" t="inlineStr">
        <is>
          <t>Manufactura / Caballero / P. Superiores</t>
        </is>
      </c>
      <c r="D3634" t="n">
        <v>1</v>
      </c>
      <c r="E3634" t="n">
        <v>0</v>
      </c>
      <c r="F3634" t="n">
        <v>0</v>
      </c>
      <c r="G3634" t="n">
        <v>0</v>
      </c>
      <c r="H3634" t="n">
        <v>4.598442536</v>
      </c>
      <c r="I3634" t="n">
        <v>0.1</v>
      </c>
      <c r="J3634" t="n">
        <v>8</v>
      </c>
      <c r="K3634" t="inlineStr"/>
    </row>
    <row r="3635">
      <c r="A3635" t="inlineStr">
        <is>
          <t>CLAMICA34TXL</t>
        </is>
      </c>
      <c r="B3635" t="inlineStr">
        <is>
          <t>CLASICA ORIGINAL CAB</t>
        </is>
      </c>
      <c r="C3635" t="inlineStr">
        <is>
          <t>Manufactura / Caballero / P. Superiores</t>
        </is>
      </c>
      <c r="D3635" t="n">
        <v>0</v>
      </c>
      <c r="E3635" t="n">
        <v>0</v>
      </c>
      <c r="F3635" t="n">
        <v>0.8930594759</v>
      </c>
      <c r="G3635" t="n">
        <v>0</v>
      </c>
      <c r="H3635" t="n">
        <v>4.598442536</v>
      </c>
      <c r="I3635" t="n">
        <v>0</v>
      </c>
      <c r="J3635" t="n">
        <v>1</v>
      </c>
      <c r="K3635" t="inlineStr"/>
    </row>
    <row r="3636">
      <c r="A3636" t="inlineStr">
        <is>
          <t>CLAMICA34T2XL</t>
        </is>
      </c>
      <c r="B3636" t="inlineStr">
        <is>
          <t>[CLAMICA34T2XL] CLASICA ORIGINAL CAB (Lila, 2XL)</t>
        </is>
      </c>
      <c r="C3636" t="inlineStr">
        <is>
          <t>CAB / CLASICA ORIGINAL</t>
        </is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10</v>
      </c>
      <c r="K3636" t="inlineStr">
        <is>
          <t>Sin ventas en periodo; Sin costo registrado</t>
        </is>
      </c>
    </row>
    <row r="3637">
      <c r="A3637" t="inlineStr">
        <is>
          <t>CLAMICA28TL</t>
        </is>
      </c>
      <c r="B3637" t="inlineStr">
        <is>
          <t>CLASICA ORIGINAL CAB</t>
        </is>
      </c>
      <c r="C3637" t="inlineStr">
        <is>
          <t>Manufactura / Caballero / P. Superiores</t>
        </is>
      </c>
      <c r="D3637" t="n">
        <v>1</v>
      </c>
      <c r="E3637" t="n">
        <v>0</v>
      </c>
      <c r="F3637" t="n">
        <v>0</v>
      </c>
      <c r="G3637" t="n">
        <v>0</v>
      </c>
      <c r="H3637" t="n">
        <v>4.598442536</v>
      </c>
      <c r="I3637" t="n">
        <v>0.1</v>
      </c>
      <c r="J3637" t="n">
        <v>9</v>
      </c>
      <c r="K3637" t="inlineStr"/>
    </row>
    <row r="3638">
      <c r="A3638" t="inlineStr">
        <is>
          <t>TALGOTACA167TXL</t>
        </is>
      </c>
      <c r="B3638" t="inlineStr">
        <is>
          <t>[TALGOTACA167TXL] URBAN COTTON OVERSIZED VINTAGE GRIS CAB (XL)</t>
        </is>
      </c>
      <c r="C3638" t="inlineStr">
        <is>
          <t>CAB / URBAN COTTON OVERSIZED VINTAGE GRIS</t>
        </is>
      </c>
      <c r="D3638" t="n">
        <v>0</v>
      </c>
      <c r="E3638" t="n">
        <v>0</v>
      </c>
      <c r="F3638" t="n">
        <v>0</v>
      </c>
      <c r="G3638" t="n">
        <v>26</v>
      </c>
      <c r="H3638" t="n">
        <v>0</v>
      </c>
      <c r="I3638" t="n">
        <v>0</v>
      </c>
      <c r="J3638" t="n">
        <v>10</v>
      </c>
      <c r="K3638" t="inlineStr">
        <is>
          <t>Sin ventas en periodo; Sin costo registrado</t>
        </is>
      </c>
    </row>
    <row r="3639">
      <c r="A3639" t="inlineStr">
        <is>
          <t>DALSSTKI30T10</t>
        </is>
      </c>
      <c r="B3639" t="inlineStr">
        <is>
          <t>[DALSSTKI30T10] MANGA LARGA DAILY 2.0 KIDS (Gris Claro, 10)</t>
        </is>
      </c>
      <c r="C3639" t="inlineStr">
        <is>
          <t>KIDS / MANGA LARGA DAILY 2.0</t>
        </is>
      </c>
      <c r="D3639" t="n">
        <v>0</v>
      </c>
      <c r="E3639" t="n">
        <v>0</v>
      </c>
      <c r="F3639" t="n">
        <v>0</v>
      </c>
      <c r="G3639" t="n">
        <v>2</v>
      </c>
      <c r="H3639" t="n">
        <v>0</v>
      </c>
      <c r="I3639" t="n">
        <v>0</v>
      </c>
      <c r="J3639" t="n">
        <v>10</v>
      </c>
      <c r="K3639" t="inlineStr">
        <is>
          <t>Sin ventas en periodo; Sin costo registrado</t>
        </is>
      </c>
    </row>
    <row r="3640">
      <c r="A3640" t="inlineStr">
        <is>
          <t>DALSSTKI16T8</t>
        </is>
      </c>
      <c r="B3640" t="inlineStr">
        <is>
          <t>[DALSSTKI16T8] MANGA LARGA DAILY 2.0 KIDS (Blanco, 8)</t>
        </is>
      </c>
      <c r="C3640" t="inlineStr">
        <is>
          <t>KIDS / MANGA LARGA DAILY 2.0</t>
        </is>
      </c>
      <c r="D3640" t="n">
        <v>0</v>
      </c>
      <c r="E3640" t="n">
        <v>0</v>
      </c>
      <c r="F3640" t="n">
        <v>0</v>
      </c>
      <c r="G3640" t="n">
        <v>2</v>
      </c>
      <c r="H3640" t="n">
        <v>0</v>
      </c>
      <c r="I3640" t="n">
        <v>0</v>
      </c>
      <c r="J3640" t="n">
        <v>10</v>
      </c>
      <c r="K3640" t="inlineStr">
        <is>
          <t>Sin ventas en periodo; Sin costo registrado</t>
        </is>
      </c>
    </row>
    <row r="3641">
      <c r="A3641" t="inlineStr">
        <is>
          <t>DALSSTKI16T2</t>
        </is>
      </c>
      <c r="B3641" t="inlineStr">
        <is>
          <t>[DALSSTKI16T2] MANGA LARGA DAILY 2.0 KIDS (Blanco, 2)</t>
        </is>
      </c>
      <c r="C3641" t="inlineStr">
        <is>
          <t>KIDS / MANGA LARGA DAILY 2.0</t>
        </is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10</v>
      </c>
      <c r="K3641" t="inlineStr">
        <is>
          <t>Sin ventas en periodo; Sin costo registrado</t>
        </is>
      </c>
    </row>
    <row r="3642">
      <c r="A3642" t="inlineStr">
        <is>
          <t>DALSSTKI16T12</t>
        </is>
      </c>
      <c r="B3642" t="inlineStr">
        <is>
          <t>[DALSSTKI16T12] MANGA LARGA DAILY 2.0 KIDS (Blanco, 12)</t>
        </is>
      </c>
      <c r="C3642" t="inlineStr">
        <is>
          <t>KIDS / MANGA LARGA DAILY 2.0</t>
        </is>
      </c>
      <c r="D3642" t="n">
        <v>0</v>
      </c>
      <c r="E3642" t="n">
        <v>0</v>
      </c>
      <c r="F3642" t="n">
        <v>0</v>
      </c>
      <c r="G3642" t="n">
        <v>5</v>
      </c>
      <c r="H3642" t="n">
        <v>0</v>
      </c>
      <c r="I3642" t="n">
        <v>0</v>
      </c>
      <c r="J3642" t="n">
        <v>10</v>
      </c>
      <c r="K3642" t="inlineStr">
        <is>
          <t>Sin ventas en periodo; Sin costo registrado</t>
        </is>
      </c>
    </row>
    <row r="3643">
      <c r="A3643" t="inlineStr">
        <is>
          <t>DALSSTKI16T10</t>
        </is>
      </c>
      <c r="B3643" t="inlineStr">
        <is>
          <t>[DALSSTKI16T10] MANGA LARGA DAILY 2.0 KIDS (Blanco, 10)</t>
        </is>
      </c>
      <c r="C3643" t="inlineStr">
        <is>
          <t>KIDS / MANGA LARGA DAILY 2.0</t>
        </is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10</v>
      </c>
      <c r="K3643" t="inlineStr">
        <is>
          <t>Sin ventas en periodo; Sin costo registrado</t>
        </is>
      </c>
    </row>
    <row r="3644">
      <c r="A3644" t="inlineStr">
        <is>
          <t>DALSSTDA43TL</t>
        </is>
      </c>
      <c r="B3644" t="inlineStr">
        <is>
          <t>[DALSSTDA43TL] MANGA LARGA DAILY 2.0 DAMA (Negro, L)</t>
        </is>
      </c>
      <c r="C3644" t="inlineStr">
        <is>
          <t>DAMA / MANGA LARGA DAILY 2.0</t>
        </is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10</v>
      </c>
      <c r="K3644" t="inlineStr">
        <is>
          <t>Sin ventas en periodo; Sin costo registrado</t>
        </is>
      </c>
    </row>
    <row r="3645">
      <c r="A3645" t="inlineStr">
        <is>
          <t>DALSSTDA30TXL</t>
        </is>
      </c>
      <c r="B3645" t="inlineStr">
        <is>
          <t>[DALSSTDA30TXL] MANGA LARGA DAILY 2.0 DAMA (Gris Claro, XL)</t>
        </is>
      </c>
      <c r="C3645" t="inlineStr">
        <is>
          <t>DAMA / MANGA LARGA DAILY 2.0</t>
        </is>
      </c>
      <c r="D3645" t="n">
        <v>0</v>
      </c>
      <c r="E3645" t="n">
        <v>0</v>
      </c>
      <c r="F3645" t="n">
        <v>0</v>
      </c>
      <c r="G3645" t="n">
        <v>5</v>
      </c>
      <c r="H3645" t="n">
        <v>0</v>
      </c>
      <c r="I3645" t="n">
        <v>0</v>
      </c>
      <c r="J3645" t="n">
        <v>10</v>
      </c>
      <c r="K3645" t="inlineStr">
        <is>
          <t>Sin ventas en periodo; Sin costo registrado</t>
        </is>
      </c>
    </row>
    <row r="3646">
      <c r="A3646" t="inlineStr">
        <is>
          <t>CLASTDA16TXS</t>
        </is>
      </c>
      <c r="B3646" t="inlineStr">
        <is>
          <t>CLASICA ALGODON STRETCH DAMA</t>
        </is>
      </c>
      <c r="C3646" t="inlineStr">
        <is>
          <t>Manufactura / Dama / P. Superiores</t>
        </is>
      </c>
      <c r="D3646" t="n">
        <v>1</v>
      </c>
      <c r="E3646" t="n">
        <v>0</v>
      </c>
      <c r="F3646" t="n">
        <v>0</v>
      </c>
      <c r="G3646" t="n">
        <v>0</v>
      </c>
      <c r="H3646" t="n">
        <v>9.27</v>
      </c>
      <c r="I3646" t="n">
        <v>0.1</v>
      </c>
      <c r="J3646" t="n">
        <v>6</v>
      </c>
      <c r="K3646" t="inlineStr"/>
    </row>
    <row r="3647">
      <c r="A3647" t="inlineStr">
        <is>
          <t>RIOMICA04T3XL</t>
        </is>
      </c>
      <c r="B3647" t="inlineStr">
        <is>
          <t>[RIOMICA04T3XL] RIO ORIGINAL CAB (Amarillo Neón, 3XL)</t>
        </is>
      </c>
      <c r="C3647" t="inlineStr">
        <is>
          <t>CAB / RIO ORIGINAL</t>
        </is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10</v>
      </c>
      <c r="K3647" t="inlineStr">
        <is>
          <t>Sin ventas en periodo; Sin costo registrado</t>
        </is>
      </c>
    </row>
    <row r="3648">
      <c r="A3648" t="inlineStr">
        <is>
          <t>MARMIKI39T4</t>
        </is>
      </c>
      <c r="B3648" t="inlineStr">
        <is>
          <t>MAR ORIGINAL KIDS</t>
        </is>
      </c>
      <c r="C3648" t="inlineStr">
        <is>
          <t>Manufactura / Kids / P. Superiores</t>
        </is>
      </c>
      <c r="D3648" t="n">
        <v>1</v>
      </c>
      <c r="E3648" t="n">
        <v>0</v>
      </c>
      <c r="F3648" t="n">
        <v>0</v>
      </c>
      <c r="G3648" t="n">
        <v>0</v>
      </c>
      <c r="H3648" t="n">
        <v>3.168013332</v>
      </c>
      <c r="I3648" t="n">
        <v>0.1</v>
      </c>
      <c r="J3648" t="n">
        <v>8</v>
      </c>
      <c r="K3648" t="inlineStr"/>
    </row>
    <row r="3649">
      <c r="A3649" t="inlineStr">
        <is>
          <t>CLAMIKI52T14</t>
        </is>
      </c>
      <c r="B3649" t="inlineStr">
        <is>
          <t>CLASICA ORIGINAL KIDS</t>
        </is>
      </c>
      <c r="C3649" t="inlineStr">
        <is>
          <t>Manufactura / Kids / P. Superiores</t>
        </is>
      </c>
      <c r="D3649" t="n">
        <v>2</v>
      </c>
      <c r="E3649" t="n">
        <v>0</v>
      </c>
      <c r="F3649" t="n">
        <v>0</v>
      </c>
      <c r="G3649" t="n">
        <v>0</v>
      </c>
      <c r="H3649" t="n">
        <v>2.053774806</v>
      </c>
      <c r="I3649" t="n">
        <v>0.2</v>
      </c>
      <c r="J3649" t="n">
        <v>3</v>
      </c>
      <c r="K3649" t="inlineStr"/>
    </row>
    <row r="3650">
      <c r="A3650" t="inlineStr">
        <is>
          <t>CLAMIKI50T6</t>
        </is>
      </c>
      <c r="B3650" t="inlineStr">
        <is>
          <t>[CLAMIKI50T6] CLASICA ORIGINAL KIDS (Rojo, 6)</t>
        </is>
      </c>
      <c r="C3650" t="inlineStr">
        <is>
          <t>KIDS / CLASICA ORIGINAL</t>
        </is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10</v>
      </c>
      <c r="K3650" t="inlineStr">
        <is>
          <t>Sin ventas en periodo; Sin costo registrado</t>
        </is>
      </c>
    </row>
    <row r="3651">
      <c r="A3651" t="inlineStr">
        <is>
          <t>CLAMIKI50T4</t>
        </is>
      </c>
      <c r="B3651" t="inlineStr">
        <is>
          <t>[CLAMIKI50T4] CLASICA ORIGINAL KIDS (Rojo, 4)</t>
        </is>
      </c>
      <c r="C3651" t="inlineStr">
        <is>
          <t>KIDS / CLASICA ORIGINAL</t>
        </is>
      </c>
      <c r="D3651" t="n">
        <v>0</v>
      </c>
      <c r="E3651" t="n">
        <v>0</v>
      </c>
      <c r="F3651" t="n">
        <v>0</v>
      </c>
      <c r="G3651" t="n">
        <v>3</v>
      </c>
      <c r="H3651" t="n">
        <v>0</v>
      </c>
      <c r="I3651" t="n">
        <v>0</v>
      </c>
      <c r="J3651" t="n">
        <v>10</v>
      </c>
      <c r="K3651" t="inlineStr">
        <is>
          <t>Sin ventas en periodo; Sin costo registrado</t>
        </is>
      </c>
    </row>
    <row r="3652">
      <c r="A3652" t="inlineStr">
        <is>
          <t>CLAMIKI50T2</t>
        </is>
      </c>
      <c r="B3652" t="inlineStr">
        <is>
          <t>[CLAMIKI50T2] CLASICA ORIGINAL KIDS (Rojo, 2)</t>
        </is>
      </c>
      <c r="C3652" t="inlineStr">
        <is>
          <t>KIDS / CLASICA ORIGINAL</t>
        </is>
      </c>
      <c r="D3652" t="n">
        <v>0</v>
      </c>
      <c r="E3652" t="n">
        <v>0</v>
      </c>
      <c r="F3652" t="n">
        <v>0</v>
      </c>
      <c r="G3652" t="n">
        <v>3</v>
      </c>
      <c r="H3652" t="n">
        <v>0</v>
      </c>
      <c r="I3652" t="n">
        <v>0</v>
      </c>
      <c r="J3652" t="n">
        <v>10</v>
      </c>
      <c r="K3652" t="inlineStr">
        <is>
          <t>Sin ventas en periodo; Sin costo registrado</t>
        </is>
      </c>
    </row>
    <row r="3653">
      <c r="A3653" t="inlineStr">
        <is>
          <t>SHOUNCA50TM</t>
        </is>
      </c>
      <c r="B3653" t="inlineStr">
        <is>
          <t>SHORT PLAYA CAB</t>
        </is>
      </c>
      <c r="C3653" t="inlineStr">
        <is>
          <t>Manufactura / Caballero / P. Inferiores</t>
        </is>
      </c>
      <c r="D3653" t="n">
        <v>1</v>
      </c>
      <c r="E3653" t="n">
        <v>0</v>
      </c>
      <c r="F3653" t="n">
        <v>0</v>
      </c>
      <c r="G3653" t="n">
        <v>0</v>
      </c>
      <c r="H3653" t="n">
        <v>9.99</v>
      </c>
      <c r="I3653" t="n">
        <v>0.1</v>
      </c>
      <c r="J3653" t="n">
        <v>7</v>
      </c>
      <c r="K3653" t="inlineStr"/>
    </row>
    <row r="3654">
      <c r="A3654" t="inlineStr">
        <is>
          <t>SHOUNKI186T6</t>
        </is>
      </c>
      <c r="B3654" t="inlineStr">
        <is>
          <t>[SHOUNKI186T6] SHORT PLAYA KIDS (Azul Verdoso, 6)</t>
        </is>
      </c>
      <c r="C3654" t="inlineStr">
        <is>
          <t>KIDS / SHORT PLAYA</t>
        </is>
      </c>
      <c r="D3654" t="n">
        <v>0</v>
      </c>
      <c r="E3654" t="n">
        <v>0</v>
      </c>
      <c r="F3654" t="n">
        <v>0</v>
      </c>
      <c r="G3654" t="n">
        <v>21</v>
      </c>
      <c r="H3654" t="n">
        <v>0</v>
      </c>
      <c r="I3654" t="n">
        <v>0</v>
      </c>
      <c r="J3654" t="n">
        <v>10</v>
      </c>
      <c r="K3654" t="inlineStr">
        <is>
          <t>Sin ventas en periodo; Sin costo registrado</t>
        </is>
      </c>
    </row>
    <row r="3655">
      <c r="A3655" t="inlineStr">
        <is>
          <t>MARMIDA34T2XL</t>
        </is>
      </c>
      <c r="B3655" t="inlineStr">
        <is>
          <t>MAR ORIGINAL DAMA</t>
        </is>
      </c>
      <c r="C3655" t="inlineStr">
        <is>
          <t>Manufactura / Dama / P. Superiores</t>
        </is>
      </c>
      <c r="D3655" t="n">
        <v>1</v>
      </c>
      <c r="E3655" t="n">
        <v>0</v>
      </c>
      <c r="F3655" t="n">
        <v>0</v>
      </c>
      <c r="G3655" t="n">
        <v>0</v>
      </c>
      <c r="H3655" t="n">
        <v>4.278324149</v>
      </c>
      <c r="I3655" t="n">
        <v>0.1</v>
      </c>
      <c r="J3655" t="n">
        <v>5</v>
      </c>
      <c r="K3655" t="inlineStr"/>
    </row>
    <row r="3656">
      <c r="A3656" t="inlineStr">
        <is>
          <t>MARMIDA28TXS</t>
        </is>
      </c>
      <c r="B3656" t="inlineStr">
        <is>
          <t>MAR ORIGINAL DAMA</t>
        </is>
      </c>
      <c r="C3656" t="inlineStr">
        <is>
          <t>Manufactura / Dama / P. Superiores</t>
        </is>
      </c>
      <c r="D3656" t="n">
        <v>6</v>
      </c>
      <c r="E3656" t="n">
        <v>0</v>
      </c>
      <c r="F3656" t="n">
        <v>0</v>
      </c>
      <c r="G3656" t="n">
        <v>0</v>
      </c>
      <c r="H3656" t="n">
        <v>4.278324149</v>
      </c>
      <c r="I3656" t="n">
        <v>0.6</v>
      </c>
      <c r="J3656" t="n">
        <v>5</v>
      </c>
      <c r="K3656" t="inlineStr"/>
    </row>
    <row r="3657">
      <c r="A3657" t="inlineStr">
        <is>
          <t>MARMIDA28TXL</t>
        </is>
      </c>
      <c r="B3657" t="inlineStr">
        <is>
          <t>MAR ORIGINAL DAMA</t>
        </is>
      </c>
      <c r="C3657" t="inlineStr">
        <is>
          <t>Manufactura / Dama / P. Superiores</t>
        </is>
      </c>
      <c r="D3657" t="n">
        <v>1</v>
      </c>
      <c r="E3657" t="n">
        <v>0</v>
      </c>
      <c r="F3657" t="n">
        <v>0</v>
      </c>
      <c r="G3657" t="n">
        <v>0</v>
      </c>
      <c r="H3657" t="n">
        <v>4.278324149</v>
      </c>
      <c r="I3657" t="n">
        <v>0.1</v>
      </c>
      <c r="J3657" t="n">
        <v>9</v>
      </c>
      <c r="K3657" t="inlineStr"/>
    </row>
    <row r="3658">
      <c r="A3658" t="inlineStr">
        <is>
          <t>MARMIDA24TS</t>
        </is>
      </c>
      <c r="B3658" t="inlineStr">
        <is>
          <t>MAR ORIGINAL DAMA</t>
        </is>
      </c>
      <c r="C3658" t="inlineStr">
        <is>
          <t>Manufactura / Dama / P. Superiores</t>
        </is>
      </c>
      <c r="D3658" t="n">
        <v>2</v>
      </c>
      <c r="E3658" t="n">
        <v>0</v>
      </c>
      <c r="F3658" t="n">
        <v>0</v>
      </c>
      <c r="G3658" t="n">
        <v>0</v>
      </c>
      <c r="H3658" t="n">
        <v>4.278324149</v>
      </c>
      <c r="I3658" t="n">
        <v>0.2</v>
      </c>
      <c r="J3658" t="n">
        <v>8</v>
      </c>
      <c r="K3658" t="inlineStr"/>
    </row>
    <row r="3659">
      <c r="A3659" t="inlineStr">
        <is>
          <t>MARMIDA14TXS</t>
        </is>
      </c>
      <c r="B3659" t="inlineStr">
        <is>
          <t>MAR ORIGINAL DAMA</t>
        </is>
      </c>
      <c r="C3659" t="inlineStr">
        <is>
          <t>Manufactura / Dama / P. Superiores</t>
        </is>
      </c>
      <c r="D3659" t="n">
        <v>1</v>
      </c>
      <c r="E3659" t="n">
        <v>0</v>
      </c>
      <c r="F3659" t="n">
        <v>0</v>
      </c>
      <c r="G3659" t="n">
        <v>0</v>
      </c>
      <c r="H3659" t="n">
        <v>4.278324149</v>
      </c>
      <c r="I3659" t="n">
        <v>0.1</v>
      </c>
      <c r="J3659" t="n">
        <v>3</v>
      </c>
      <c r="K3659" t="inlineStr"/>
    </row>
    <row r="3660">
      <c r="A3660" t="inlineStr">
        <is>
          <t>DALSSTCA43TXL</t>
        </is>
      </c>
      <c r="B3660" t="inlineStr">
        <is>
          <t>[DALSSTCA43TXL] MANGA LARGA DAILY 2.0 CAB (Negro, XL)</t>
        </is>
      </c>
      <c r="C3660" t="inlineStr">
        <is>
          <t>CAB / MANGA LARGA DAILY 2.0</t>
        </is>
      </c>
      <c r="D3660" t="n">
        <v>0</v>
      </c>
      <c r="E3660" t="n">
        <v>0</v>
      </c>
      <c r="F3660" t="n">
        <v>0</v>
      </c>
      <c r="G3660" t="n">
        <v>2</v>
      </c>
      <c r="H3660" t="n">
        <v>0</v>
      </c>
      <c r="I3660" t="n">
        <v>0</v>
      </c>
      <c r="J3660" t="n">
        <v>10</v>
      </c>
      <c r="K3660" t="inlineStr">
        <is>
          <t>Sin ventas en periodo; Sin costo registrado</t>
        </is>
      </c>
    </row>
    <row r="3661">
      <c r="A3661" t="inlineStr">
        <is>
          <t>CRESTDA30TM</t>
        </is>
      </c>
      <c r="B3661" t="inlineStr">
        <is>
          <t>RETRO VZLA DAMA</t>
        </is>
      </c>
      <c r="C3661" t="inlineStr">
        <is>
          <t>Manufactura / Dama / P. Superiores</t>
        </is>
      </c>
      <c r="D3661" t="n">
        <v>0</v>
      </c>
      <c r="E3661" t="n">
        <v>-0.1635945200000037</v>
      </c>
      <c r="F3661" t="n">
        <v>0.757015826225</v>
      </c>
      <c r="G3661" t="n">
        <v>1</v>
      </c>
      <c r="H3661" t="n">
        <v>11.23</v>
      </c>
      <c r="I3661" t="n">
        <v>0</v>
      </c>
      <c r="J3661" t="n">
        <v>3</v>
      </c>
      <c r="K3661" t="inlineStr"/>
    </row>
    <row r="3662">
      <c r="A3662" t="inlineStr">
        <is>
          <t>MAMSUDA119TS</t>
        </is>
      </c>
      <c r="B3662" t="inlineStr">
        <is>
          <t>MAFE MOTION DAMA</t>
        </is>
      </c>
      <c r="C3662" t="inlineStr">
        <is>
          <t>Manufactura / Dama / P. Superiores</t>
        </is>
      </c>
      <c r="D3662" t="n">
        <v>0</v>
      </c>
      <c r="E3662" t="n">
        <v>-0.5927297899999999</v>
      </c>
      <c r="F3662" t="n">
        <v>0</v>
      </c>
      <c r="G3662" t="n">
        <v>0</v>
      </c>
      <c r="H3662" t="n">
        <v>0</v>
      </c>
      <c r="I3662" t="n">
        <v>0</v>
      </c>
      <c r="J3662" t="n">
        <v>8</v>
      </c>
      <c r="K3662" t="inlineStr"/>
    </row>
    <row r="3663">
      <c r="A3663" t="inlineStr">
        <is>
          <t>MLAALDA166TM</t>
        </is>
      </c>
      <c r="B3663" t="inlineStr">
        <is>
          <t>MANGA LARGA ALGODON DAMA</t>
        </is>
      </c>
      <c r="C3663" t="inlineStr">
        <is>
          <t>Manufactura / Dama / P. Superiores</t>
        </is>
      </c>
      <c r="D3663" t="n">
        <v>0</v>
      </c>
      <c r="E3663" t="n">
        <v>-0.87112269</v>
      </c>
      <c r="F3663" t="n">
        <v>0.7748446410500001</v>
      </c>
      <c r="G3663" t="n">
        <v>0</v>
      </c>
      <c r="H3663" t="n">
        <v>12.3</v>
      </c>
      <c r="I3663" t="n">
        <v>0</v>
      </c>
      <c r="J3663" t="n">
        <v>8</v>
      </c>
      <c r="K3663" t="inlineStr"/>
    </row>
    <row r="3664">
      <c r="A3664" t="inlineStr">
        <is>
          <t>TALGOTACA167T2XL</t>
        </is>
      </c>
      <c r="B3664" t="inlineStr">
        <is>
          <t>URBAN COTTON OVERSIZED VINTAGE GRIS CAB</t>
        </is>
      </c>
      <c r="C3664" t="inlineStr">
        <is>
          <t>Manufactura / Caballero / P. Superiores</t>
        </is>
      </c>
      <c r="D3664" t="n">
        <v>0</v>
      </c>
      <c r="E3664" t="n">
        <v>-1.081610160000004</v>
      </c>
      <c r="F3664" t="n">
        <v>0.74270042245</v>
      </c>
      <c r="G3664" t="n">
        <v>16</v>
      </c>
      <c r="H3664" t="n">
        <v>12.16179793</v>
      </c>
      <c r="I3664" t="n">
        <v>0</v>
      </c>
      <c r="J3664" t="n">
        <v>5</v>
      </c>
      <c r="K3664" t="inlineStr"/>
    </row>
    <row r="3665">
      <c r="A3665" t="inlineStr">
        <is>
          <t>RIOMICA13T4XL</t>
        </is>
      </c>
      <c r="B3665" t="inlineStr">
        <is>
          <t>RIO ORIGINAL CAB</t>
        </is>
      </c>
      <c r="C3665" t="inlineStr">
        <is>
          <t>Manufactura / Caballero / P. Superiores</t>
        </is>
      </c>
      <c r="D3665" t="n">
        <v>0</v>
      </c>
      <c r="E3665" t="n">
        <v>-1.591638860000003</v>
      </c>
      <c r="F3665" t="n">
        <v>0.8821563104</v>
      </c>
      <c r="G3665" t="n">
        <v>1</v>
      </c>
      <c r="H3665" t="n">
        <v>5.939350288</v>
      </c>
      <c r="I3665" t="n">
        <v>0</v>
      </c>
      <c r="J3665" t="n">
        <v>9</v>
      </c>
      <c r="K3665" t="inlineStr"/>
    </row>
    <row r="3666">
      <c r="A3666" t="inlineStr">
        <is>
          <t>RIOMIDA13T2XL</t>
        </is>
      </c>
      <c r="B3666" t="inlineStr">
        <is>
          <t>RIO ORIGINAL DAMA</t>
        </is>
      </c>
      <c r="C3666" t="inlineStr">
        <is>
          <t>Manufactura / Dama / P. Superiores</t>
        </is>
      </c>
      <c r="D3666" t="n">
        <v>0</v>
      </c>
      <c r="E3666" t="n">
        <v>-1.591638860000003</v>
      </c>
      <c r="F3666" t="n">
        <v>0.8901030585</v>
      </c>
      <c r="G3666" t="n">
        <v>0</v>
      </c>
      <c r="H3666" t="n">
        <v>5.538832275</v>
      </c>
      <c r="I3666" t="n">
        <v>0</v>
      </c>
      <c r="J3666" t="n">
        <v>9</v>
      </c>
      <c r="K3666" t="inlineStr"/>
    </row>
    <row r="3667">
      <c r="A3667" t="inlineStr">
        <is>
          <t>CGCSCA16T2XL</t>
        </is>
      </c>
      <c r="B3667" t="inlineStr">
        <is>
          <t>CLASICA GC SUBLIMADO CAB</t>
        </is>
      </c>
      <c r="C3667" t="inlineStr">
        <is>
          <t>Manufactura / Caballero / P. Superiores</t>
        </is>
      </c>
      <c r="D3667" t="n">
        <v>0</v>
      </c>
      <c r="E3667" t="n">
        <v>-3.716905499999996</v>
      </c>
      <c r="F3667" t="n">
        <v>0</v>
      </c>
      <c r="G3667" t="n">
        <v>0</v>
      </c>
      <c r="H3667" t="n">
        <v>0</v>
      </c>
      <c r="I3667" t="n">
        <v>0</v>
      </c>
      <c r="J3667" t="n">
        <v>4</v>
      </c>
      <c r="K3667" t="inlineStr"/>
    </row>
    <row r="3668">
      <c r="A3668" t="inlineStr">
        <is>
          <t>SHONTCA66T3XL</t>
        </is>
      </c>
      <c r="B3668" t="inlineStr">
        <is>
          <t>EXPLORE SHORT CAB</t>
        </is>
      </c>
      <c r="C3668" t="inlineStr">
        <is>
          <t>Manufactura / Caballero / P. Inferiores</t>
        </is>
      </c>
      <c r="D3668" t="n">
        <v>-1</v>
      </c>
      <c r="E3668" t="n">
        <v>-31.29818707</v>
      </c>
      <c r="F3668" t="n">
        <v>0.6431103189</v>
      </c>
      <c r="G3668" t="n">
        <v>0</v>
      </c>
      <c r="H3668" t="n">
        <v>11.17</v>
      </c>
      <c r="I3668" t="n">
        <v>-0.1</v>
      </c>
      <c r="J3668" t="n">
        <v>9</v>
      </c>
      <c r="K3668" t="inline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68"/>
  <sheetViews>
    <sheetView workbookViewId="0">
      <selection activeCell="G11" sqref="G11"/>
    </sheetView>
  </sheetViews>
  <sheetFormatPr baseColWidth="10" defaultColWidth="8.6640625" defaultRowHeight="14"/>
  <cols>
    <col width="14" customWidth="1" style="38" min="1" max="1"/>
    <col width="28" customWidth="1" style="38" min="2" max="2"/>
    <col width="18" customWidth="1" style="38" min="3" max="4"/>
    <col width="12" customWidth="1" style="38" min="5" max="5"/>
    <col width="14" customWidth="1" style="38" min="6" max="6"/>
    <col width="10" customWidth="1" style="38" min="7" max="7"/>
    <col width="14" customWidth="1" style="38" min="8" max="9"/>
    <col width="18" customWidth="1" style="38" min="10" max="13"/>
    <col width="16" customWidth="1" style="38" min="14" max="15"/>
    <col width="18" customWidth="1" style="38" min="16" max="16"/>
    <col width="14" customWidth="1" style="38" min="17" max="17"/>
    <col width="22" customWidth="1" style="38" min="18" max="18"/>
  </cols>
  <sheetData>
    <row r="1" ht="18.65" customHeight="1" s="38">
      <c r="A1" s="16" t="inlineStr">
        <is>
          <t>Resultados por SKU | ABC + Sobrestock</t>
        </is>
      </c>
    </row>
    <row r="3" ht="28" customHeight="1" s="38">
      <c r="A3" s="2" t="inlineStr">
        <is>
          <t>SKU</t>
        </is>
      </c>
      <c r="B3" s="2" t="inlineStr">
        <is>
          <t>Producto</t>
        </is>
      </c>
      <c r="C3" s="2" t="inlineStr">
        <is>
          <t>Categoría</t>
        </is>
      </c>
      <c r="D3" s="2" t="inlineStr">
        <is>
          <t>Venta 12M valor</t>
        </is>
      </c>
      <c r="E3" s="2" t="inlineStr">
        <is>
          <t>% venta</t>
        </is>
      </c>
      <c r="F3" s="2" t="inlineStr">
        <is>
          <t>% acum. venta</t>
        </is>
      </c>
      <c r="G3" s="2" t="inlineStr">
        <is>
          <t>ABC</t>
        </is>
      </c>
      <c r="H3" s="2" t="inlineStr">
        <is>
          <t>Stock actual</t>
        </is>
      </c>
      <c r="I3" s="2" t="inlineStr">
        <is>
          <t>Costo unitario</t>
        </is>
      </c>
      <c r="J3" s="2" t="inlineStr">
        <is>
          <t>Valor inventario</t>
        </is>
      </c>
      <c r="K3" s="2" t="inlineStr">
        <is>
          <t>Venta prom. mensual</t>
        </is>
      </c>
      <c r="L3" s="2" t="inlineStr">
        <is>
          <t>Cobertura actual meses</t>
        </is>
      </c>
      <c r="M3" s="2" t="inlineStr">
        <is>
          <t>Cobertura objetivo</t>
        </is>
      </c>
      <c r="N3" s="2" t="inlineStr">
        <is>
          <t>Stock objetivo</t>
        </is>
      </c>
      <c r="O3" s="2" t="inlineStr">
        <is>
          <t>Exceso unidades</t>
        </is>
      </c>
      <c r="P3" s="2" t="inlineStr">
        <is>
          <t>Exceso valorizado</t>
        </is>
      </c>
      <c r="Q3" s="2" t="inlineStr">
        <is>
          <t>Exceso / inventario</t>
        </is>
      </c>
      <c r="R3" s="2" t="inlineStr">
        <is>
          <t>Estado sugerido</t>
        </is>
      </c>
    </row>
    <row r="4">
      <c r="A4" s="1" t="inlineStr">
        <is>
          <t>TRA12TB</t>
        </is>
      </c>
      <c r="B4" s="1" t="inlineStr">
        <is>
          <t>TRAVEL BACKPACK</t>
        </is>
      </c>
      <c r="C4" s="1" t="inlineStr">
        <is>
          <t>Equipamiento / Bolsos</t>
        </is>
      </c>
      <c r="D4" s="5" t="n">
        <v>48726.28582968</v>
      </c>
      <c r="E4" s="8" t="n">
        <v>0.0119297818340363</v>
      </c>
      <c r="F4" s="8" t="n">
        <v>0.0119297818340363</v>
      </c>
      <c r="G4" s="1" t="inlineStr">
        <is>
          <t>A</t>
        </is>
      </c>
      <c r="H4" s="6" t="n">
        <v>1500</v>
      </c>
      <c r="I4" s="6" t="n">
        <v>20.7</v>
      </c>
      <c r="J4" s="5" t="n">
        <v>31050</v>
      </c>
      <c r="K4" s="6" t="n">
        <v>108.5</v>
      </c>
      <c r="L4" s="6" t="n">
        <v>13.82488479262673</v>
      </c>
      <c r="M4" s="6" t="n">
        <v>2</v>
      </c>
      <c r="N4" s="6" t="n">
        <v>217</v>
      </c>
      <c r="O4" s="6" t="n">
        <v>1283</v>
      </c>
      <c r="P4" s="5" t="n">
        <v>26558.1</v>
      </c>
      <c r="Q4" s="8" t="n">
        <v>0.8553333333333333</v>
      </c>
      <c r="R4" s="1" t="inlineStr">
        <is>
          <t>Sobrestock crítico</t>
        </is>
      </c>
    </row>
    <row r="5">
      <c r="A5" s="1" t="inlineStr">
        <is>
          <t>TRA43TB</t>
        </is>
      </c>
      <c r="B5" s="1" t="inlineStr">
        <is>
          <t>TRAVEL BACKPACK</t>
        </is>
      </c>
      <c r="C5" s="1" t="inlineStr">
        <is>
          <t>Equipamiento / Bolsos</t>
        </is>
      </c>
      <c r="D5" s="5" t="n">
        <v>40876.06238313</v>
      </c>
      <c r="E5" s="8" t="n">
        <v>0.01000779144484202</v>
      </c>
      <c r="F5" s="8" t="n">
        <v>0.02193757327887832</v>
      </c>
      <c r="G5" s="1" t="inlineStr">
        <is>
          <t>A</t>
        </is>
      </c>
      <c r="H5" s="6" t="n">
        <v>1600</v>
      </c>
      <c r="I5" s="6" t="n">
        <v>20.7</v>
      </c>
      <c r="J5" s="5" t="n">
        <v>33120</v>
      </c>
      <c r="K5" s="6" t="n">
        <v>89.3</v>
      </c>
      <c r="L5" s="6" t="n">
        <v>17.91713325867861</v>
      </c>
      <c r="M5" s="6" t="n">
        <v>2</v>
      </c>
      <c r="N5" s="6" t="n">
        <v>178.6</v>
      </c>
      <c r="O5" s="6" t="n">
        <v>1421.4</v>
      </c>
      <c r="P5" s="5" t="n">
        <v>29422.98</v>
      </c>
      <c r="Q5" s="8" t="n">
        <v>0.888375</v>
      </c>
      <c r="R5" s="1" t="inlineStr">
        <is>
          <t>Sobrestock crítico</t>
        </is>
      </c>
    </row>
    <row r="6">
      <c r="A6" s="1" t="inlineStr">
        <is>
          <t>TRA66TB</t>
        </is>
      </c>
      <c r="B6" s="1" t="inlineStr">
        <is>
          <t>TRAVEL BACKPACK</t>
        </is>
      </c>
      <c r="C6" s="1" t="inlineStr">
        <is>
          <t>Equipamiento / Bolsos</t>
        </is>
      </c>
      <c r="D6" s="5" t="n">
        <v>33969.89774768805</v>
      </c>
      <c r="E6" s="8" t="n">
        <v>0.008316937401528618</v>
      </c>
      <c r="F6" s="8" t="n">
        <v>0.03025451068040694</v>
      </c>
      <c r="G6" s="1" t="inlineStr">
        <is>
          <t>A</t>
        </is>
      </c>
      <c r="H6" s="6" t="n">
        <v>74</v>
      </c>
      <c r="I6" s="6" t="n">
        <v>20.7</v>
      </c>
      <c r="J6" s="5" t="n">
        <v>1531.8</v>
      </c>
      <c r="K6" s="6" t="n">
        <v>51.3</v>
      </c>
      <c r="L6" s="6" t="n">
        <v>1.442495126705653</v>
      </c>
      <c r="M6" s="6" t="n">
        <v>2</v>
      </c>
      <c r="N6" s="6" t="n">
        <v>102.6</v>
      </c>
      <c r="O6" s="6" t="n">
        <v>0</v>
      </c>
      <c r="P6" s="5" t="n">
        <v>0</v>
      </c>
      <c r="Q6" s="8" t="n">
        <v>0</v>
      </c>
      <c r="R6" s="1" t="inlineStr">
        <is>
          <t>OK</t>
        </is>
      </c>
    </row>
    <row r="7">
      <c r="A7" s="1" t="inlineStr">
        <is>
          <t>TRA30TB</t>
        </is>
      </c>
      <c r="B7" s="1" t="inlineStr">
        <is>
          <t>TRAVEL BACKPACK</t>
        </is>
      </c>
      <c r="C7" s="1" t="inlineStr">
        <is>
          <t>Equipamiento / Bolsos</t>
        </is>
      </c>
      <c r="D7" s="5" t="n">
        <v>32832.31545751</v>
      </c>
      <c r="E7" s="8" t="n">
        <v>0.008038420204721855</v>
      </c>
      <c r="F7" s="8" t="n">
        <v>0.0382929308851288</v>
      </c>
      <c r="G7" s="1" t="inlineStr">
        <is>
          <t>A</t>
        </is>
      </c>
      <c r="H7" s="6" t="n">
        <v>0</v>
      </c>
      <c r="I7" s="6" t="n">
        <v>20.7</v>
      </c>
      <c r="J7" s="5" t="n">
        <v>0</v>
      </c>
      <c r="K7" s="6" t="n">
        <v>55.2</v>
      </c>
      <c r="L7" s="6" t="n">
        <v>0</v>
      </c>
      <c r="M7" s="6" t="n">
        <v>2</v>
      </c>
      <c r="N7" s="6" t="n">
        <v>110.4</v>
      </c>
      <c r="O7" s="6" t="n">
        <v>0</v>
      </c>
      <c r="P7" s="5" t="n">
        <v>0</v>
      </c>
      <c r="Q7" s="8" t="n">
        <v>0</v>
      </c>
      <c r="R7" s="1" t="inlineStr">
        <is>
          <t>Riesgo bajo stock</t>
        </is>
      </c>
    </row>
    <row r="8">
      <c r="A8" s="1" t="inlineStr">
        <is>
          <t>DRY1630L</t>
        </is>
      </c>
      <c r="B8" s="1" t="inlineStr">
        <is>
          <t>DRY BAG 30L</t>
        </is>
      </c>
      <c r="C8" s="1" t="inlineStr">
        <is>
          <t>Equipamiento / Bolsos</t>
        </is>
      </c>
      <c r="D8" s="5" t="n">
        <v>30028.47764155</v>
      </c>
      <c r="E8" s="8" t="n">
        <v>0.007351949383626577</v>
      </c>
      <c r="F8" s="8" t="n">
        <v>0.04564488026875538</v>
      </c>
      <c r="G8" s="1" t="inlineStr">
        <is>
          <t>A</t>
        </is>
      </c>
      <c r="H8" s="6" t="n">
        <v>26</v>
      </c>
      <c r="I8" s="6" t="n">
        <v>6.32</v>
      </c>
      <c r="J8" s="5" t="n">
        <v>164.32</v>
      </c>
      <c r="K8" s="6" t="n">
        <v>53.5</v>
      </c>
      <c r="L8" s="6" t="n">
        <v>0.485981308411215</v>
      </c>
      <c r="M8" s="6" t="n">
        <v>2</v>
      </c>
      <c r="N8" s="6" t="n">
        <v>107</v>
      </c>
      <c r="O8" s="6" t="n">
        <v>0</v>
      </c>
      <c r="P8" s="5" t="n">
        <v>0</v>
      </c>
      <c r="Q8" s="8" t="n">
        <v>0</v>
      </c>
      <c r="R8" s="1" t="inlineStr">
        <is>
          <t>Riesgo bajo stock</t>
        </is>
      </c>
    </row>
    <row r="9">
      <c r="A9" s="1" t="inlineStr">
        <is>
          <t>TOT4320L</t>
        </is>
      </c>
      <c r="B9" s="1" t="inlineStr">
        <is>
          <t>TOTE BAG</t>
        </is>
      </c>
      <c r="C9" s="1" t="inlineStr">
        <is>
          <t>Equipamiento / Bolsos</t>
        </is>
      </c>
      <c r="D9" s="5" t="n">
        <v>26358.65101341</v>
      </c>
      <c r="E9" s="8" t="n">
        <v>0.006453456295204476</v>
      </c>
      <c r="F9" s="8" t="n">
        <v>0.05209833656395985</v>
      </c>
      <c r="G9" s="1" t="inlineStr">
        <is>
          <t>A</t>
        </is>
      </c>
      <c r="H9" s="6" t="n">
        <v>27</v>
      </c>
      <c r="I9" s="6" t="n">
        <v>11.95</v>
      </c>
      <c r="J9" s="5" t="n">
        <v>322.65</v>
      </c>
      <c r="K9" s="6" t="n">
        <v>54.1</v>
      </c>
      <c r="L9" s="6" t="n">
        <v>0.4990757855822551</v>
      </c>
      <c r="M9" s="6" t="n">
        <v>2</v>
      </c>
      <c r="N9" s="6" t="n">
        <v>108.2</v>
      </c>
      <c r="O9" s="6" t="n">
        <v>0</v>
      </c>
      <c r="P9" s="5" t="n">
        <v>0</v>
      </c>
      <c r="Q9" s="8" t="n">
        <v>0</v>
      </c>
      <c r="R9" s="1" t="inlineStr">
        <is>
          <t>Riesgo bajo stock</t>
        </is>
      </c>
    </row>
    <row r="10">
      <c r="A10" s="1" t="inlineStr">
        <is>
          <t>TOA138ES</t>
        </is>
      </c>
      <c r="B10" s="1" t="inlineStr">
        <is>
          <t>TOALLA ESTAMPADA</t>
        </is>
      </c>
      <c r="C10" s="1" t="inlineStr">
        <is>
          <t>Equipamiento / Toallas</t>
        </is>
      </c>
      <c r="D10" s="5" t="n">
        <v>26248.81962336</v>
      </c>
      <c r="E10" s="8" t="n">
        <v>0.006426565993604116</v>
      </c>
      <c r="F10" s="8" t="n">
        <v>0.05852490255756397</v>
      </c>
      <c r="G10" s="1" t="inlineStr">
        <is>
          <t>A</t>
        </is>
      </c>
      <c r="H10" s="6" t="n">
        <v>0</v>
      </c>
      <c r="I10" s="6" t="n">
        <v>6.29</v>
      </c>
      <c r="J10" s="5" t="n">
        <v>0</v>
      </c>
      <c r="K10" s="6" t="n">
        <v>72.09999999999999</v>
      </c>
      <c r="L10" s="6" t="n">
        <v>0</v>
      </c>
      <c r="M10" s="6" t="n">
        <v>2</v>
      </c>
      <c r="N10" s="6" t="n">
        <v>144.2</v>
      </c>
      <c r="O10" s="6" t="n">
        <v>0</v>
      </c>
      <c r="P10" s="5" t="n">
        <v>0</v>
      </c>
      <c r="Q10" s="8" t="n">
        <v>0</v>
      </c>
      <c r="R10" s="1" t="inlineStr">
        <is>
          <t>Riesgo bajo stock</t>
        </is>
      </c>
    </row>
    <row r="11">
      <c r="A11" s="1" t="inlineStr">
        <is>
          <t>TOA139ES</t>
        </is>
      </c>
      <c r="B11" s="1" t="inlineStr">
        <is>
          <t>TOALLA ESTAMPADA</t>
        </is>
      </c>
      <c r="C11" s="1" t="inlineStr">
        <is>
          <t>Equipamiento / Toallas</t>
        </is>
      </c>
      <c r="D11" s="5" t="n">
        <v>25544.18245853</v>
      </c>
      <c r="E11" s="8" t="n">
        <v>0.006254047864930014</v>
      </c>
      <c r="F11" s="8" t="n">
        <v>0.06477895042249397</v>
      </c>
      <c r="G11" s="1" t="inlineStr">
        <is>
          <t>A</t>
        </is>
      </c>
      <c r="H11" s="6" t="n">
        <v>94</v>
      </c>
      <c r="I11" s="6" t="n">
        <v>6.290000000000001</v>
      </c>
      <c r="J11" s="5" t="n">
        <v>591.2600000000001</v>
      </c>
      <c r="K11" s="6" t="n">
        <v>69</v>
      </c>
      <c r="L11" s="6" t="n">
        <v>1.36231884057971</v>
      </c>
      <c r="M11" s="6" t="n">
        <v>2</v>
      </c>
      <c r="N11" s="6" t="n">
        <v>138</v>
      </c>
      <c r="O11" s="6" t="n">
        <v>0</v>
      </c>
      <c r="P11" s="5" t="n">
        <v>0</v>
      </c>
      <c r="Q11" s="8" t="n">
        <v>0</v>
      </c>
      <c r="R11" s="1" t="inlineStr">
        <is>
          <t>OK</t>
        </is>
      </c>
    </row>
    <row r="12">
      <c r="A12" s="1" t="inlineStr">
        <is>
          <t>DRY6630L</t>
        </is>
      </c>
      <c r="B12" s="1" t="inlineStr">
        <is>
          <t>DRY BAG 30L</t>
        </is>
      </c>
      <c r="C12" s="1" t="inlineStr">
        <is>
          <t>Equipamiento / Bolsos</t>
        </is>
      </c>
      <c r="D12" s="5" t="n">
        <v>23390.39957261</v>
      </c>
      <c r="E12" s="8" t="n">
        <v>0.005726731663635314</v>
      </c>
      <c r="F12" s="8" t="n">
        <v>0.07050568208612928</v>
      </c>
      <c r="G12" s="1" t="inlineStr">
        <is>
          <t>A</t>
        </is>
      </c>
      <c r="H12" s="6" t="n">
        <v>514</v>
      </c>
      <c r="I12" s="6" t="n">
        <v>6.32</v>
      </c>
      <c r="J12" s="5" t="n">
        <v>3248.48</v>
      </c>
      <c r="K12" s="6" t="n">
        <v>42.7</v>
      </c>
      <c r="L12" s="6" t="n">
        <v>12.03747072599532</v>
      </c>
      <c r="M12" s="6" t="n">
        <v>2</v>
      </c>
      <c r="N12" s="6" t="n">
        <v>85.40000000000001</v>
      </c>
      <c r="O12" s="6" t="n">
        <v>428.6</v>
      </c>
      <c r="P12" s="5" t="n">
        <v>2708.752</v>
      </c>
      <c r="Q12" s="8" t="n">
        <v>0.8338521400778212</v>
      </c>
      <c r="R12" s="1" t="inlineStr">
        <is>
          <t>Sobrestock crítico</t>
        </is>
      </c>
    </row>
    <row r="13">
      <c r="A13" s="1" t="inlineStr">
        <is>
          <t>JAPCA43TL</t>
        </is>
      </c>
      <c r="B13" s="1" t="inlineStr">
        <is>
          <t>CUADRO JACKET 2.0 CAB</t>
        </is>
      </c>
      <c r="C13" s="1" t="inlineStr">
        <is>
          <t>Equipamiento / Ropa</t>
        </is>
      </c>
      <c r="D13" s="5" t="n">
        <v>23243.16357076257</v>
      </c>
      <c r="E13" s="8" t="n">
        <v>0.005690683494762042</v>
      </c>
      <c r="F13" s="8" t="n">
        <v>0.07619636558089132</v>
      </c>
      <c r="G13" s="1" t="inlineStr">
        <is>
          <t>A</t>
        </is>
      </c>
      <c r="H13" s="6" t="n">
        <v>329</v>
      </c>
      <c r="I13" s="6" t="n">
        <v>20.25000225</v>
      </c>
      <c r="J13" s="5" t="n">
        <v>6662.25074025</v>
      </c>
      <c r="K13" s="6" t="n">
        <v>29.4</v>
      </c>
      <c r="L13" s="6" t="n">
        <v>11.19047619047619</v>
      </c>
      <c r="M13" s="6" t="n">
        <v>2</v>
      </c>
      <c r="N13" s="6" t="n">
        <v>58.8</v>
      </c>
      <c r="O13" s="6" t="n">
        <v>270.2</v>
      </c>
      <c r="P13" s="5" t="n">
        <v>5471.55060795</v>
      </c>
      <c r="Q13" s="8" t="n">
        <v>0.8212765957446808</v>
      </c>
      <c r="R13" s="1" t="inlineStr">
        <is>
          <t>Sobrestock crítico</t>
        </is>
      </c>
    </row>
    <row r="14">
      <c r="A14" s="1" t="inlineStr">
        <is>
          <t>TOA140ES</t>
        </is>
      </c>
      <c r="B14" s="1" t="inlineStr">
        <is>
          <t>TOALLA ESTAMPADA</t>
        </is>
      </c>
      <c r="C14" s="1" t="inlineStr">
        <is>
          <t>Equipamiento / Toallas</t>
        </is>
      </c>
      <c r="D14" s="5" t="n">
        <v>23239.08451871</v>
      </c>
      <c r="E14" s="8" t="n">
        <v>0.005689684809960845</v>
      </c>
      <c r="F14" s="8" t="n">
        <v>0.08188605039085216</v>
      </c>
      <c r="G14" s="1" t="inlineStr">
        <is>
          <t>A</t>
        </is>
      </c>
      <c r="H14" s="6" t="n">
        <v>0</v>
      </c>
      <c r="I14" s="6" t="n">
        <v>6.29</v>
      </c>
      <c r="J14" s="5" t="n">
        <v>0</v>
      </c>
      <c r="K14" s="6" t="n">
        <v>66.59999999999999</v>
      </c>
      <c r="L14" s="6" t="n">
        <v>0</v>
      </c>
      <c r="M14" s="6" t="n">
        <v>2</v>
      </c>
      <c r="N14" s="6" t="n">
        <v>133.2</v>
      </c>
      <c r="O14" s="6" t="n">
        <v>0</v>
      </c>
      <c r="P14" s="5" t="n">
        <v>0</v>
      </c>
      <c r="Q14" s="8" t="n">
        <v>0</v>
      </c>
      <c r="R14" s="1" t="inlineStr">
        <is>
          <t>Riesgo bajo stock</t>
        </is>
      </c>
    </row>
    <row r="15">
      <c r="A15" s="1" t="inlineStr">
        <is>
          <t>JAPCA43TM</t>
        </is>
      </c>
      <c r="B15" s="1" t="inlineStr">
        <is>
          <t>CUADRO JACKET 2.0 CAB</t>
        </is>
      </c>
      <c r="C15" s="1" t="inlineStr">
        <is>
          <t>Equipamiento / Ropa</t>
        </is>
      </c>
      <c r="D15" s="5" t="n">
        <v>21903.11530136143</v>
      </c>
      <c r="E15" s="8" t="n">
        <v>0.005362596031725903</v>
      </c>
      <c r="F15" s="8" t="n">
        <v>0.08724864642257806</v>
      </c>
      <c r="G15" s="1" t="inlineStr">
        <is>
          <t>A</t>
        </is>
      </c>
      <c r="H15" s="6" t="n">
        <v>470</v>
      </c>
      <c r="I15" s="6" t="n">
        <v>20.25000225</v>
      </c>
      <c r="J15" s="5" t="n">
        <v>9517.501057500001</v>
      </c>
      <c r="K15" s="6" t="n">
        <v>28.3</v>
      </c>
      <c r="L15" s="6" t="n">
        <v>16.60777385159011</v>
      </c>
      <c r="M15" s="6" t="n">
        <v>2</v>
      </c>
      <c r="N15" s="6" t="n">
        <v>56.6</v>
      </c>
      <c r="O15" s="6" t="n">
        <v>413.4</v>
      </c>
      <c r="P15" s="5" t="n">
        <v>8371.35093015</v>
      </c>
      <c r="Q15" s="8" t="n">
        <v>0.8795744680851062</v>
      </c>
      <c r="R15" s="1" t="inlineStr">
        <is>
          <t>Sobrestock crítico</t>
        </is>
      </c>
    </row>
    <row r="16">
      <c r="A16" s="1" t="inlineStr">
        <is>
          <t>TOA125ES</t>
        </is>
      </c>
      <c r="B16" s="1" t="inlineStr">
        <is>
          <t>TOALLA ESTAMPADA</t>
        </is>
      </c>
      <c r="C16" s="1" t="inlineStr">
        <is>
          <t>Equipamiento / Toallas</t>
        </is>
      </c>
      <c r="D16" s="5" t="n">
        <v>21647.92723672</v>
      </c>
      <c r="E16" s="8" t="n">
        <v>0.005300117681776072</v>
      </c>
      <c r="F16" s="8" t="n">
        <v>0.09254876410435413</v>
      </c>
      <c r="G16" s="1" t="inlineStr">
        <is>
          <t>A</t>
        </is>
      </c>
      <c r="H16" s="6" t="n">
        <v>20</v>
      </c>
      <c r="I16" s="6" t="n">
        <v>6.29</v>
      </c>
      <c r="J16" s="5" t="n">
        <v>125.8</v>
      </c>
      <c r="K16" s="6" t="n">
        <v>59</v>
      </c>
      <c r="L16" s="6" t="n">
        <v>0.3389830508474576</v>
      </c>
      <c r="M16" s="6" t="n">
        <v>2</v>
      </c>
      <c r="N16" s="6" t="n">
        <v>118</v>
      </c>
      <c r="O16" s="6" t="n">
        <v>0</v>
      </c>
      <c r="P16" s="5" t="n">
        <v>0</v>
      </c>
      <c r="Q16" s="8" t="n">
        <v>0</v>
      </c>
      <c r="R16" s="1" t="inlineStr">
        <is>
          <t>Riesgo bajo stock</t>
        </is>
      </c>
    </row>
    <row r="17">
      <c r="A17" s="1" t="inlineStr">
        <is>
          <t>DRY3030L</t>
        </is>
      </c>
      <c r="B17" s="1" t="inlineStr">
        <is>
          <t>DRY BAG 30L</t>
        </is>
      </c>
      <c r="C17" s="1" t="inlineStr">
        <is>
          <t>Equipamiento / Bolsos</t>
        </is>
      </c>
      <c r="D17" s="5" t="n">
        <v>21269.43517987643</v>
      </c>
      <c r="E17" s="8" t="n">
        <v>0.005207450498403169</v>
      </c>
      <c r="F17" s="8" t="n">
        <v>0.09775621460275731</v>
      </c>
      <c r="G17" s="1" t="inlineStr">
        <is>
          <t>A</t>
        </is>
      </c>
      <c r="H17" s="6" t="n">
        <v>23</v>
      </c>
      <c r="I17" s="6" t="n">
        <v>6.32</v>
      </c>
      <c r="J17" s="5" t="n">
        <v>145.36</v>
      </c>
      <c r="K17" s="6" t="n">
        <v>38.2</v>
      </c>
      <c r="L17" s="6" t="n">
        <v>0.6020942408376962</v>
      </c>
      <c r="M17" s="6" t="n">
        <v>2</v>
      </c>
      <c r="N17" s="6" t="n">
        <v>76.40000000000001</v>
      </c>
      <c r="O17" s="6" t="n">
        <v>0</v>
      </c>
      <c r="P17" s="5" t="n">
        <v>0</v>
      </c>
      <c r="Q17" s="8" t="n">
        <v>0</v>
      </c>
      <c r="R17" s="1" t="inlineStr">
        <is>
          <t>Riesgo bajo stock</t>
        </is>
      </c>
    </row>
    <row r="18">
      <c r="A18" s="1" t="inlineStr">
        <is>
          <t>PAC30EQ</t>
        </is>
      </c>
      <c r="B18" s="1" t="inlineStr">
        <is>
          <t>PACKING SET</t>
        </is>
      </c>
      <c r="C18" s="1" t="inlineStr">
        <is>
          <t>Equipamiento / Bolsos</t>
        </is>
      </c>
      <c r="D18" s="5" t="n">
        <v>20642.76793358</v>
      </c>
      <c r="E18" s="8" t="n">
        <v>0.005054021945342821</v>
      </c>
      <c r="F18" s="8" t="n">
        <v>0.1028102365481001</v>
      </c>
      <c r="G18" s="1" t="inlineStr">
        <is>
          <t>A</t>
        </is>
      </c>
      <c r="H18" s="6" t="n">
        <v>0</v>
      </c>
      <c r="I18" s="6" t="n">
        <v>10.16</v>
      </c>
      <c r="J18" s="5" t="n">
        <v>0</v>
      </c>
      <c r="K18" s="6" t="n">
        <v>102.6</v>
      </c>
      <c r="L18" s="6" t="n">
        <v>0</v>
      </c>
      <c r="M18" s="6" t="n">
        <v>2</v>
      </c>
      <c r="N18" s="6" t="n">
        <v>205.2</v>
      </c>
      <c r="O18" s="6" t="n">
        <v>0</v>
      </c>
      <c r="P18" s="5" t="n">
        <v>0</v>
      </c>
      <c r="Q18" s="8" t="n">
        <v>0</v>
      </c>
      <c r="R18" s="1" t="inlineStr">
        <is>
          <t>Sin rotación</t>
        </is>
      </c>
    </row>
    <row r="19">
      <c r="A19" s="1" t="inlineStr">
        <is>
          <t>TOA12PL</t>
        </is>
      </c>
      <c r="B19" s="1" t="inlineStr">
        <is>
          <t>TOALLA PLAYA</t>
        </is>
      </c>
      <c r="C19" s="1" t="inlineStr">
        <is>
          <t>Equipamiento / Toallas</t>
        </is>
      </c>
      <c r="D19" s="5" t="n">
        <v>20093.693056</v>
      </c>
      <c r="E19" s="8" t="n">
        <v>0.004919590531403825</v>
      </c>
      <c r="F19" s="8" t="n">
        <v>0.107729827079504</v>
      </c>
      <c r="G19" s="1" t="inlineStr">
        <is>
          <t>A</t>
        </is>
      </c>
      <c r="H19" s="6" t="n">
        <v>87</v>
      </c>
      <c r="I19" s="6" t="n">
        <v>4.83</v>
      </c>
      <c r="J19" s="5" t="n">
        <v>420.21</v>
      </c>
      <c r="K19" s="6" t="n">
        <v>60.5</v>
      </c>
      <c r="L19" s="6" t="n">
        <v>1.43801652892562</v>
      </c>
      <c r="M19" s="6" t="n">
        <v>2</v>
      </c>
      <c r="N19" s="6" t="n">
        <v>121</v>
      </c>
      <c r="O19" s="6" t="n">
        <v>0</v>
      </c>
      <c r="P19" s="5" t="n">
        <v>0</v>
      </c>
      <c r="Q19" s="8" t="n">
        <v>0</v>
      </c>
      <c r="R19" s="1" t="inlineStr">
        <is>
          <t>OK</t>
        </is>
      </c>
    </row>
    <row r="20">
      <c r="A20" s="1" t="inlineStr">
        <is>
          <t>TOT6620L</t>
        </is>
      </c>
      <c r="B20" s="1" t="inlineStr">
        <is>
          <t>TOTE BAG</t>
        </is>
      </c>
      <c r="C20" s="1" t="inlineStr">
        <is>
          <t>Equipamiento / Bolsos</t>
        </is>
      </c>
      <c r="D20" s="5" t="n">
        <v>19061.95373265</v>
      </c>
      <c r="E20" s="8" t="n">
        <v>0.004666987140285832</v>
      </c>
      <c r="F20" s="8" t="n">
        <v>0.1123968142197898</v>
      </c>
      <c r="G20" s="1" t="inlineStr">
        <is>
          <t>A</t>
        </is>
      </c>
      <c r="H20" s="6" t="n">
        <v>15</v>
      </c>
      <c r="I20" s="6" t="n">
        <v>11.95</v>
      </c>
      <c r="J20" s="5" t="n">
        <v>179.25</v>
      </c>
      <c r="K20" s="6" t="n">
        <v>38.7</v>
      </c>
      <c r="L20" s="6" t="n">
        <v>0.3875968992248062</v>
      </c>
      <c r="M20" s="6" t="n">
        <v>2</v>
      </c>
      <c r="N20" s="6" t="n">
        <v>77.40000000000001</v>
      </c>
      <c r="O20" s="6" t="n">
        <v>0</v>
      </c>
      <c r="P20" s="5" t="n">
        <v>0</v>
      </c>
      <c r="Q20" s="8" t="n">
        <v>0</v>
      </c>
      <c r="R20" s="1" t="inlineStr">
        <is>
          <t>Riesgo bajo stock</t>
        </is>
      </c>
    </row>
    <row r="21">
      <c r="A21" s="1" t="inlineStr">
        <is>
          <t>TRA4340L</t>
        </is>
      </c>
      <c r="B21" s="1" t="inlineStr">
        <is>
          <t>TRAVEL BAG 40L</t>
        </is>
      </c>
      <c r="C21" s="1" t="inlineStr">
        <is>
          <t>Equipamiento / Bolsos</t>
        </is>
      </c>
      <c r="D21" s="5" t="n">
        <v>19034.92595678</v>
      </c>
      <c r="E21" s="8" t="n">
        <v>0.004660369860431682</v>
      </c>
      <c r="F21" s="8" t="n">
        <v>0.1170571840802215</v>
      </c>
      <c r="G21" s="1" t="inlineStr">
        <is>
          <t>A</t>
        </is>
      </c>
      <c r="H21" s="6" t="n">
        <v>451</v>
      </c>
      <c r="I21" s="6" t="n">
        <v>18.38</v>
      </c>
      <c r="J21" s="5" t="n">
        <v>8289.379999999999</v>
      </c>
      <c r="K21" s="6" t="n">
        <v>30</v>
      </c>
      <c r="L21" s="6" t="n">
        <v>15.03333333333333</v>
      </c>
      <c r="M21" s="6" t="n">
        <v>2</v>
      </c>
      <c r="N21" s="6" t="n">
        <v>60</v>
      </c>
      <c r="O21" s="6" t="n">
        <v>391</v>
      </c>
      <c r="P21" s="5" t="n">
        <v>7186.58</v>
      </c>
      <c r="Q21" s="8" t="n">
        <v>0.8669623059866963</v>
      </c>
      <c r="R21" s="1" t="inlineStr">
        <is>
          <t>Sobrestock crítico</t>
        </is>
      </c>
    </row>
    <row r="22">
      <c r="A22" s="1" t="inlineStr">
        <is>
          <t>DRY4330L</t>
        </is>
      </c>
      <c r="B22" s="1" t="inlineStr">
        <is>
          <t>DRY BAG 30L</t>
        </is>
      </c>
      <c r="C22" s="1" t="inlineStr">
        <is>
          <t>Equipamiento / Bolsos</t>
        </is>
      </c>
      <c r="D22" s="5" t="n">
        <v>19017.60078312</v>
      </c>
      <c r="E22" s="8" t="n">
        <v>0.004656128093621812</v>
      </c>
      <c r="F22" s="8" t="n">
        <v>0.1217133121738433</v>
      </c>
      <c r="G22" s="1" t="inlineStr">
        <is>
          <t>A</t>
        </is>
      </c>
      <c r="H22" s="6" t="n">
        <v>801</v>
      </c>
      <c r="I22" s="6" t="n">
        <v>6.319999999999999</v>
      </c>
      <c r="J22" s="5" t="n">
        <v>5062.32</v>
      </c>
      <c r="K22" s="6" t="n">
        <v>35.6</v>
      </c>
      <c r="L22" s="6" t="n">
        <v>22.5</v>
      </c>
      <c r="M22" s="6" t="n">
        <v>2</v>
      </c>
      <c r="N22" s="6" t="n">
        <v>71.2</v>
      </c>
      <c r="O22" s="6" t="n">
        <v>729.8</v>
      </c>
      <c r="P22" s="5" t="n">
        <v>4612.335999999999</v>
      </c>
      <c r="Q22" s="8" t="n">
        <v>0.911111111111111</v>
      </c>
      <c r="R22" s="1" t="inlineStr">
        <is>
          <t>Sobrestock crítico</t>
        </is>
      </c>
    </row>
    <row r="23">
      <c r="A23" s="1" t="inlineStr">
        <is>
          <t>DRY1330L</t>
        </is>
      </c>
      <c r="B23" s="1" t="inlineStr">
        <is>
          <t>DRY BAG 30L</t>
        </is>
      </c>
      <c r="C23" s="1" t="inlineStr">
        <is>
          <t>Equipamiento / Bolsos</t>
        </is>
      </c>
      <c r="D23" s="5" t="n">
        <v>18350.04990226</v>
      </c>
      <c r="E23" s="8" t="n">
        <v>0.004492689895200218</v>
      </c>
      <c r="F23" s="8" t="n">
        <v>0.1262060020690435</v>
      </c>
      <c r="G23" s="1" t="inlineStr">
        <is>
          <t>A</t>
        </is>
      </c>
      <c r="H23" s="6" t="n">
        <v>469</v>
      </c>
      <c r="I23" s="6" t="n">
        <v>6.319999999999999</v>
      </c>
      <c r="J23" s="5" t="n">
        <v>2964.08</v>
      </c>
      <c r="K23" s="6" t="n">
        <v>33.8</v>
      </c>
      <c r="L23" s="6" t="n">
        <v>13.87573964497042</v>
      </c>
      <c r="M23" s="6" t="n">
        <v>2</v>
      </c>
      <c r="N23" s="6" t="n">
        <v>67.59999999999999</v>
      </c>
      <c r="O23" s="6" t="n">
        <v>401.4</v>
      </c>
      <c r="P23" s="5" t="n">
        <v>2536.848</v>
      </c>
      <c r="Q23" s="8" t="n">
        <v>0.8558635394456289</v>
      </c>
      <c r="R23" s="1" t="inlineStr">
        <is>
          <t>Sobrestock crítico</t>
        </is>
      </c>
    </row>
    <row r="24">
      <c r="A24" s="1" t="inlineStr">
        <is>
          <t>DRY2030L</t>
        </is>
      </c>
      <c r="B24" s="1" t="inlineStr">
        <is>
          <t>DRY BAG 30L</t>
        </is>
      </c>
      <c r="C24" s="1" t="inlineStr">
        <is>
          <t>Equipamiento / Bolsos</t>
        </is>
      </c>
      <c r="D24" s="5" t="n">
        <v>18188.53113325</v>
      </c>
      <c r="E24" s="8" t="n">
        <v>0.00445314483972181</v>
      </c>
      <c r="F24" s="8" t="n">
        <v>0.1306591469087653</v>
      </c>
      <c r="G24" s="1" t="inlineStr">
        <is>
          <t>A</t>
        </is>
      </c>
      <c r="H24" s="6" t="n">
        <v>0</v>
      </c>
      <c r="I24" s="6" t="n">
        <v>6.32</v>
      </c>
      <c r="J24" s="5" t="n">
        <v>0</v>
      </c>
      <c r="K24" s="6" t="n">
        <v>32.2</v>
      </c>
      <c r="L24" s="6" t="n">
        <v>0</v>
      </c>
      <c r="M24" s="6" t="n">
        <v>2</v>
      </c>
      <c r="N24" s="6" t="n">
        <v>64.40000000000001</v>
      </c>
      <c r="O24" s="6" t="n">
        <v>0</v>
      </c>
      <c r="P24" s="5" t="n">
        <v>0</v>
      </c>
      <c r="Q24" s="8" t="n">
        <v>0</v>
      </c>
      <c r="R24" s="1" t="inlineStr">
        <is>
          <t>Riesgo bajo stock</t>
        </is>
      </c>
    </row>
    <row r="25">
      <c r="A25" s="1" t="inlineStr">
        <is>
          <t>TOA197ES</t>
        </is>
      </c>
      <c r="B25" s="1" t="inlineStr">
        <is>
          <t>TOALLA ESTAMPADA 2.0</t>
        </is>
      </c>
      <c r="C25" s="1" t="inlineStr">
        <is>
          <t>Equipamiento / Toallas</t>
        </is>
      </c>
      <c r="D25" s="5" t="n">
        <v>18157.3983921</v>
      </c>
      <c r="E25" s="8" t="n">
        <v>0.00444552253066437</v>
      </c>
      <c r="F25" s="8" t="n">
        <v>0.1351046694394297</v>
      </c>
      <c r="G25" s="1" t="inlineStr">
        <is>
          <t>A</t>
        </is>
      </c>
      <c r="H25" s="6" t="n">
        <v>278</v>
      </c>
      <c r="I25" s="6" t="n">
        <v>5.92</v>
      </c>
      <c r="J25" s="5" t="n">
        <v>1645.76</v>
      </c>
      <c r="K25" s="6" t="n">
        <v>40.1</v>
      </c>
      <c r="L25" s="6" t="n">
        <v>6.932668329177057</v>
      </c>
      <c r="M25" s="6" t="n">
        <v>2</v>
      </c>
      <c r="N25" s="6" t="n">
        <v>80.2</v>
      </c>
      <c r="O25" s="6" t="n">
        <v>197.8</v>
      </c>
      <c r="P25" s="5" t="n">
        <v>1170.976</v>
      </c>
      <c r="Q25" s="8" t="n">
        <v>0.7115107913669065</v>
      </c>
      <c r="R25" s="1" t="inlineStr">
        <is>
          <t>Sobrestock crítico</t>
        </is>
      </c>
    </row>
    <row r="26">
      <c r="A26" s="1" t="inlineStr">
        <is>
          <t>PAP43EQ</t>
        </is>
      </c>
      <c r="B26" s="1" t="inlineStr">
        <is>
          <t>PACKING SET PRO</t>
        </is>
      </c>
      <c r="C26" s="1" t="inlineStr">
        <is>
          <t>Equipamiento / Bolsos</t>
        </is>
      </c>
      <c r="D26" s="5" t="n">
        <v>16928.16027299</v>
      </c>
      <c r="E26" s="8" t="n">
        <v>0.004144565001614803</v>
      </c>
      <c r="F26" s="8" t="n">
        <v>0.1392492344410445</v>
      </c>
      <c r="G26" s="1" t="inlineStr">
        <is>
          <t>A</t>
        </is>
      </c>
      <c r="H26" s="6" t="n">
        <v>1007</v>
      </c>
      <c r="I26" s="6" t="n">
        <v>11.32</v>
      </c>
      <c r="J26" s="5" t="n">
        <v>11399.24</v>
      </c>
      <c r="K26" s="6" t="n">
        <v>48.4</v>
      </c>
      <c r="L26" s="6" t="n">
        <v>20.80578512396694</v>
      </c>
      <c r="M26" s="6" t="n">
        <v>2</v>
      </c>
      <c r="N26" s="6" t="n">
        <v>96.8</v>
      </c>
      <c r="O26" s="6" t="n">
        <v>910.2</v>
      </c>
      <c r="P26" s="5" t="n">
        <v>10303.464</v>
      </c>
      <c r="Q26" s="8" t="n">
        <v>0.9038728897715989</v>
      </c>
      <c r="R26" s="1" t="inlineStr">
        <is>
          <t>Sobrestock crítico</t>
        </is>
      </c>
    </row>
    <row r="27">
      <c r="A27" s="1" t="inlineStr">
        <is>
          <t>HAT43EQ</t>
        </is>
      </c>
      <c r="B27" s="1" t="inlineStr">
        <is>
          <t>HAT</t>
        </is>
      </c>
      <c r="C27" s="1" t="inlineStr">
        <is>
          <t>Equipamiento / Sombreros</t>
        </is>
      </c>
      <c r="D27" s="5" t="n">
        <v>16854.52908925</v>
      </c>
      <c r="E27" s="8" t="n">
        <v>0.004126537689595364</v>
      </c>
      <c r="F27" s="8" t="n">
        <v>0.1433757721306399</v>
      </c>
      <c r="G27" s="1" t="inlineStr">
        <is>
          <t>A</t>
        </is>
      </c>
      <c r="H27" s="6" t="n">
        <v>450</v>
      </c>
      <c r="I27" s="6" t="n">
        <v>3.96</v>
      </c>
      <c r="J27" s="5" t="n">
        <v>1782</v>
      </c>
      <c r="K27" s="6" t="n">
        <v>59</v>
      </c>
      <c r="L27" s="6" t="n">
        <v>7.627118644067797</v>
      </c>
      <c r="M27" s="6" t="n">
        <v>2</v>
      </c>
      <c r="N27" s="6" t="n">
        <v>118</v>
      </c>
      <c r="O27" s="6" t="n">
        <v>332</v>
      </c>
      <c r="P27" s="5" t="n">
        <v>1314.72</v>
      </c>
      <c r="Q27" s="8" t="n">
        <v>0.7377777777777778</v>
      </c>
      <c r="R27" s="1" t="inlineStr">
        <is>
          <t>Sobrestock crítico</t>
        </is>
      </c>
    </row>
    <row r="28">
      <c r="A28" s="1" t="inlineStr">
        <is>
          <t>KOA43KA</t>
        </is>
      </c>
      <c r="B28" s="1" t="inlineStr">
        <is>
          <t>MINI BAG</t>
        </is>
      </c>
      <c r="C28" s="1" t="inlineStr">
        <is>
          <t>Equipamiento / Bolsos</t>
        </is>
      </c>
      <c r="D28" s="5" t="n">
        <v>16527.67033869</v>
      </c>
      <c r="E28" s="8" t="n">
        <v>0.004046512021348116</v>
      </c>
      <c r="F28" s="8" t="n">
        <v>0.147422284151988</v>
      </c>
      <c r="G28" s="1" t="inlineStr">
        <is>
          <t>A</t>
        </is>
      </c>
      <c r="H28" s="6" t="n">
        <v>101</v>
      </c>
      <c r="I28" s="6" t="n">
        <v>6.33</v>
      </c>
      <c r="J28" s="5" t="n">
        <v>639.33</v>
      </c>
      <c r="K28" s="6" t="n">
        <v>42.7</v>
      </c>
      <c r="L28" s="6" t="n">
        <v>2.365339578454333</v>
      </c>
      <c r="M28" s="6" t="n">
        <v>2</v>
      </c>
      <c r="N28" s="6" t="n">
        <v>85.40000000000001</v>
      </c>
      <c r="O28" s="6" t="n">
        <v>15.59999999999999</v>
      </c>
      <c r="P28" s="5" t="n">
        <v>98.74799999999996</v>
      </c>
      <c r="Q28" s="8" t="n">
        <v>0.1544554455445544</v>
      </c>
      <c r="R28" s="1" t="inlineStr">
        <is>
          <t>Sobrestock</t>
        </is>
      </c>
    </row>
    <row r="29">
      <c r="A29" s="1" t="inlineStr">
        <is>
          <t>HAT33EQ</t>
        </is>
      </c>
      <c r="B29" s="1" t="inlineStr">
        <is>
          <t>HAT</t>
        </is>
      </c>
      <c r="C29" s="1" t="inlineStr">
        <is>
          <t>Equipamiento / Sombreros</t>
        </is>
      </c>
      <c r="D29" s="5" t="n">
        <v>16298.0986509</v>
      </c>
      <c r="E29" s="8" t="n">
        <v>0.00399030539480204</v>
      </c>
      <c r="F29" s="8" t="n">
        <v>0.15141258954679</v>
      </c>
      <c r="G29" s="1" t="inlineStr">
        <is>
          <t>A</t>
        </is>
      </c>
      <c r="H29" s="6" t="n">
        <v>459</v>
      </c>
      <c r="I29" s="6" t="n">
        <v>3.96</v>
      </c>
      <c r="J29" s="5" t="n">
        <v>1817.64</v>
      </c>
      <c r="K29" s="6" t="n">
        <v>59.2</v>
      </c>
      <c r="L29" s="6" t="n">
        <v>7.753378378378378</v>
      </c>
      <c r="M29" s="6" t="n">
        <v>2</v>
      </c>
      <c r="N29" s="6" t="n">
        <v>118.4</v>
      </c>
      <c r="O29" s="6" t="n">
        <v>340.6</v>
      </c>
      <c r="P29" s="5" t="n">
        <v>1348.776</v>
      </c>
      <c r="Q29" s="8" t="n">
        <v>0.7420479302832245</v>
      </c>
      <c r="R29" s="1" t="inlineStr">
        <is>
          <t>Sobrestock crítico</t>
        </is>
      </c>
    </row>
    <row r="30">
      <c r="A30" s="1" t="inlineStr">
        <is>
          <t>TOT3020L</t>
        </is>
      </c>
      <c r="B30" s="1" t="inlineStr">
        <is>
          <t>TOTE BAG</t>
        </is>
      </c>
      <c r="C30" s="1" t="inlineStr">
        <is>
          <t>Equipamiento / Bolsos</t>
        </is>
      </c>
      <c r="D30" s="5" t="n">
        <v>16164.88211311</v>
      </c>
      <c r="E30" s="8" t="n">
        <v>0.003957689647357725</v>
      </c>
      <c r="F30" s="8" t="n">
        <v>0.1553702791941478</v>
      </c>
      <c r="G30" s="1" t="inlineStr">
        <is>
          <t>A</t>
        </is>
      </c>
      <c r="H30" s="6" t="n">
        <v>2</v>
      </c>
      <c r="I30" s="6" t="n">
        <v>11.95</v>
      </c>
      <c r="J30" s="5" t="n">
        <v>23.9</v>
      </c>
      <c r="K30" s="6" t="n">
        <v>33.4</v>
      </c>
      <c r="L30" s="6" t="n">
        <v>0.05988023952095808</v>
      </c>
      <c r="M30" s="6" t="n">
        <v>2</v>
      </c>
      <c r="N30" s="6" t="n">
        <v>66.8</v>
      </c>
      <c r="O30" s="6" t="n">
        <v>0</v>
      </c>
      <c r="P30" s="5" t="n">
        <v>0</v>
      </c>
      <c r="Q30" s="8" t="n">
        <v>0</v>
      </c>
      <c r="R30" s="1" t="inlineStr">
        <is>
          <t>Riesgo bajo stock</t>
        </is>
      </c>
    </row>
    <row r="31">
      <c r="A31" s="1" t="inlineStr">
        <is>
          <t>TOA137ES</t>
        </is>
      </c>
      <c r="B31" s="1" t="inlineStr">
        <is>
          <t>TOALLA ESTAMPADA</t>
        </is>
      </c>
      <c r="C31" s="1" t="inlineStr">
        <is>
          <t>Equipamiento / Toallas</t>
        </is>
      </c>
      <c r="D31" s="5" t="n">
        <v>15149.30348787</v>
      </c>
      <c r="E31" s="8" t="n">
        <v>0.003709042921506852</v>
      </c>
      <c r="F31" s="8" t="n">
        <v>0.1590793221156546</v>
      </c>
      <c r="G31" s="1" t="inlineStr">
        <is>
          <t>A</t>
        </is>
      </c>
      <c r="H31" s="6" t="n">
        <v>565</v>
      </c>
      <c r="I31" s="6" t="n">
        <v>6.29</v>
      </c>
      <c r="J31" s="5" t="n">
        <v>3553.85</v>
      </c>
      <c r="K31" s="6" t="n">
        <v>42.4</v>
      </c>
      <c r="L31" s="6" t="n">
        <v>13.32547169811321</v>
      </c>
      <c r="M31" s="6" t="n">
        <v>2</v>
      </c>
      <c r="N31" s="6" t="n">
        <v>84.8</v>
      </c>
      <c r="O31" s="6" t="n">
        <v>480.2</v>
      </c>
      <c r="P31" s="5" t="n">
        <v>3020.458</v>
      </c>
      <c r="Q31" s="8" t="n">
        <v>0.8499115044247788</v>
      </c>
      <c r="R31" s="1" t="inlineStr">
        <is>
          <t>Sobrestock crítico</t>
        </is>
      </c>
    </row>
    <row r="32">
      <c r="A32" s="1" t="inlineStr">
        <is>
          <t>JAPCA43TXL</t>
        </is>
      </c>
      <c r="B32" s="1" t="inlineStr">
        <is>
          <t>CUADRO JACKET 2.0 CAB</t>
        </is>
      </c>
      <c r="C32" s="1" t="inlineStr">
        <is>
          <t>Equipamiento / Ropa</t>
        </is>
      </c>
      <c r="D32" s="5" t="n">
        <v>14748.42384485417</v>
      </c>
      <c r="E32" s="8" t="n">
        <v>0.003610894527853335</v>
      </c>
      <c r="F32" s="8" t="n">
        <v>0.1626902166435079</v>
      </c>
      <c r="G32" s="1" t="inlineStr">
        <is>
          <t>A</t>
        </is>
      </c>
      <c r="H32" s="6" t="n">
        <v>590</v>
      </c>
      <c r="I32" s="6" t="n">
        <v>20.25000225</v>
      </c>
      <c r="J32" s="5" t="n">
        <v>11947.5013275</v>
      </c>
      <c r="K32" s="6" t="n">
        <v>18.6</v>
      </c>
      <c r="L32" s="6" t="n">
        <v>31.72043010752688</v>
      </c>
      <c r="M32" s="6" t="n">
        <v>2</v>
      </c>
      <c r="N32" s="6" t="n">
        <v>37.2</v>
      </c>
      <c r="O32" s="6" t="n">
        <v>552.8</v>
      </c>
      <c r="P32" s="5" t="n">
        <v>11194.2012438</v>
      </c>
      <c r="Q32" s="8" t="n">
        <v>0.9369491525423729</v>
      </c>
      <c r="R32" s="1" t="inlineStr">
        <is>
          <t>Sobrestock crítico</t>
        </is>
      </c>
    </row>
    <row r="33">
      <c r="A33" s="1" t="inlineStr">
        <is>
          <t>JAPDA43TS</t>
        </is>
      </c>
      <c r="B33" s="1" t="inlineStr">
        <is>
          <t>CUADRO JACKET 2.0 DAMA</t>
        </is>
      </c>
      <c r="C33" s="1" t="inlineStr">
        <is>
          <t>Equipamiento / Ropa</t>
        </is>
      </c>
      <c r="D33" s="5" t="n">
        <v>14398.96538196</v>
      </c>
      <c r="E33" s="8" t="n">
        <v>0.003525335713931883</v>
      </c>
      <c r="F33" s="8" t="n">
        <v>0.1662155523574398</v>
      </c>
      <c r="G33" s="1" t="inlineStr">
        <is>
          <t>A</t>
        </is>
      </c>
      <c r="H33" s="6" t="n">
        <v>439</v>
      </c>
      <c r="I33" s="6" t="n">
        <v>20.25</v>
      </c>
      <c r="J33" s="5" t="n">
        <v>8889.75</v>
      </c>
      <c r="K33" s="6" t="n">
        <v>18.3</v>
      </c>
      <c r="L33" s="6" t="n">
        <v>23.98907103825136</v>
      </c>
      <c r="M33" s="6" t="n">
        <v>2</v>
      </c>
      <c r="N33" s="6" t="n">
        <v>36.6</v>
      </c>
      <c r="O33" s="6" t="n">
        <v>402.4</v>
      </c>
      <c r="P33" s="5" t="n">
        <v>8148.599999999999</v>
      </c>
      <c r="Q33" s="8" t="n">
        <v>0.9166287015945329</v>
      </c>
      <c r="R33" s="1" t="inlineStr">
        <is>
          <t>Sobrestock crítico</t>
        </is>
      </c>
    </row>
    <row r="34">
      <c r="A34" s="1" t="inlineStr">
        <is>
          <t>PAC43EQ</t>
        </is>
      </c>
      <c r="B34" s="1" t="inlineStr">
        <is>
          <t>PACKING SET</t>
        </is>
      </c>
      <c r="C34" s="1" t="inlineStr">
        <is>
          <t>Equipamiento / Bolsos</t>
        </is>
      </c>
      <c r="D34" s="5" t="n">
        <v>14374.35637449</v>
      </c>
      <c r="E34" s="8" t="n">
        <v>0.003519310627363712</v>
      </c>
      <c r="F34" s="8" t="n">
        <v>0.1697348629848035</v>
      </c>
      <c r="G34" s="1" t="inlineStr">
        <is>
          <t>A</t>
        </is>
      </c>
      <c r="H34" s="6" t="n">
        <v>0</v>
      </c>
      <c r="I34" s="6" t="n">
        <v>10.16</v>
      </c>
      <c r="J34" s="5" t="n">
        <v>0</v>
      </c>
      <c r="K34" s="6" t="n">
        <v>69.40000000000001</v>
      </c>
      <c r="L34" s="6" t="n">
        <v>0</v>
      </c>
      <c r="M34" s="6" t="n">
        <v>2</v>
      </c>
      <c r="N34" s="6" t="n">
        <v>138.8</v>
      </c>
      <c r="O34" s="6" t="n">
        <v>0</v>
      </c>
      <c r="P34" s="5" t="n">
        <v>0</v>
      </c>
      <c r="Q34" s="8" t="n">
        <v>0</v>
      </c>
      <c r="R34" s="1" t="inlineStr">
        <is>
          <t>Sin rotación</t>
        </is>
      </c>
    </row>
    <row r="35">
      <c r="A35" s="1" t="inlineStr">
        <is>
          <t>JAPCA162TL</t>
        </is>
      </c>
      <c r="B35" s="1" t="inlineStr">
        <is>
          <t>CUADRO JACKET 2.0 CAB</t>
        </is>
      </c>
      <c r="C35" s="1" t="inlineStr">
        <is>
          <t>Equipamiento / Ropa</t>
        </is>
      </c>
      <c r="D35" s="5" t="n">
        <v>14279.13182267674</v>
      </c>
      <c r="E35" s="8" t="n">
        <v>0.003495996555522757</v>
      </c>
      <c r="F35" s="8" t="n">
        <v>0.1732308595403263</v>
      </c>
      <c r="G35" s="1" t="inlineStr">
        <is>
          <t>A</t>
        </is>
      </c>
      <c r="H35" s="6" t="n">
        <v>176</v>
      </c>
      <c r="I35" s="6" t="n">
        <v>20.25000225</v>
      </c>
      <c r="J35" s="5" t="n">
        <v>3564.000396</v>
      </c>
      <c r="K35" s="6" t="n">
        <v>19.4</v>
      </c>
      <c r="L35" s="6" t="n">
        <v>9.07216494845361</v>
      </c>
      <c r="M35" s="6" t="n">
        <v>2</v>
      </c>
      <c r="N35" s="6" t="n">
        <v>38.8</v>
      </c>
      <c r="O35" s="6" t="n">
        <v>137.2</v>
      </c>
      <c r="P35" s="5" t="n">
        <v>2778.3003087</v>
      </c>
      <c r="Q35" s="8" t="n">
        <v>0.7795454545454545</v>
      </c>
      <c r="R35" s="1" t="inlineStr">
        <is>
          <t>Sobrestock crítico</t>
        </is>
      </c>
    </row>
    <row r="36">
      <c r="A36" s="1" t="inlineStr">
        <is>
          <t>CIT70CIB</t>
        </is>
      </c>
      <c r="B36" s="1" t="inlineStr">
        <is>
          <t>CITYBAG</t>
        </is>
      </c>
      <c r="C36" s="1" t="inlineStr">
        <is>
          <t>Equipamiento / Bolsos</t>
        </is>
      </c>
      <c r="D36" s="5" t="n">
        <v>14165.16198082931</v>
      </c>
      <c r="E36" s="8" t="n">
        <v>0.00346809302612895</v>
      </c>
      <c r="F36" s="8" t="n">
        <v>0.1766989525664553</v>
      </c>
      <c r="G36" s="1" t="inlineStr">
        <is>
          <t>A</t>
        </is>
      </c>
      <c r="H36" s="6" t="n">
        <v>255</v>
      </c>
      <c r="I36" s="6" t="n">
        <v>14.54</v>
      </c>
      <c r="J36" s="5" t="n">
        <v>3707.7</v>
      </c>
      <c r="K36" s="6" t="n">
        <v>24.6</v>
      </c>
      <c r="L36" s="6" t="n">
        <v>10.36585365853658</v>
      </c>
      <c r="M36" s="6" t="n">
        <v>2</v>
      </c>
      <c r="N36" s="6" t="n">
        <v>49.2</v>
      </c>
      <c r="O36" s="6" t="n">
        <v>205.8</v>
      </c>
      <c r="P36" s="5" t="n">
        <v>2992.332</v>
      </c>
      <c r="Q36" s="8" t="n">
        <v>0.8070588235294117</v>
      </c>
      <c r="R36" s="1" t="inlineStr">
        <is>
          <t>Sobrestock crítico</t>
        </is>
      </c>
    </row>
    <row r="37">
      <c r="A37" s="1" t="inlineStr">
        <is>
          <t>HAT70EQ</t>
        </is>
      </c>
      <c r="B37" s="1" t="inlineStr">
        <is>
          <t>HAT</t>
        </is>
      </c>
      <c r="C37" s="1" t="inlineStr">
        <is>
          <t>Equipamiento / Sombreros</t>
        </is>
      </c>
      <c r="D37" s="5" t="n">
        <v>13984.77744904</v>
      </c>
      <c r="E37" s="8" t="n">
        <v>0.003423929017445767</v>
      </c>
      <c r="F37" s="8" t="n">
        <v>0.180122881583901</v>
      </c>
      <c r="G37" s="1" t="inlineStr">
        <is>
          <t>A</t>
        </is>
      </c>
      <c r="H37" s="6" t="n">
        <v>551</v>
      </c>
      <c r="I37" s="6" t="n">
        <v>3.96</v>
      </c>
      <c r="J37" s="5" t="n">
        <v>2181.96</v>
      </c>
      <c r="K37" s="6" t="n">
        <v>59.9</v>
      </c>
      <c r="L37" s="6" t="n">
        <v>9.198664440734557</v>
      </c>
      <c r="M37" s="6" t="n">
        <v>2</v>
      </c>
      <c r="N37" s="6" t="n">
        <v>119.8</v>
      </c>
      <c r="O37" s="6" t="n">
        <v>431.2</v>
      </c>
      <c r="P37" s="5" t="n">
        <v>1707.552</v>
      </c>
      <c r="Q37" s="8" t="n">
        <v>0.7825771324863884</v>
      </c>
      <c r="R37" s="1" t="inlineStr">
        <is>
          <t>Sobrestock crítico</t>
        </is>
      </c>
    </row>
    <row r="38">
      <c r="A38" s="1" t="inlineStr">
        <is>
          <t>TOT1620L</t>
        </is>
      </c>
      <c r="B38" s="1" t="inlineStr">
        <is>
          <t>TOTE BAG</t>
        </is>
      </c>
      <c r="C38" s="1" t="inlineStr">
        <is>
          <t>Equipamiento / Bolsos</t>
        </is>
      </c>
      <c r="D38" s="5" t="n">
        <v>13949.16578031</v>
      </c>
      <c r="E38" s="8" t="n">
        <v>0.003415210121033678</v>
      </c>
      <c r="F38" s="8" t="n">
        <v>0.1835380917049347</v>
      </c>
      <c r="G38" s="1" t="inlineStr">
        <is>
          <t>A</t>
        </is>
      </c>
      <c r="H38" s="6" t="n">
        <v>100</v>
      </c>
      <c r="I38" s="6" t="n">
        <v>11.95</v>
      </c>
      <c r="J38" s="5" t="n">
        <v>1195</v>
      </c>
      <c r="K38" s="6" t="n">
        <v>30.3</v>
      </c>
      <c r="L38" s="6" t="n">
        <v>3.3003300330033</v>
      </c>
      <c r="M38" s="6" t="n">
        <v>2</v>
      </c>
      <c r="N38" s="6" t="n">
        <v>60.6</v>
      </c>
      <c r="O38" s="6" t="n">
        <v>39.4</v>
      </c>
      <c r="P38" s="5" t="n">
        <v>470.8299999999999</v>
      </c>
      <c r="Q38" s="8" t="n">
        <v>0.394</v>
      </c>
      <c r="R38" s="1" t="inlineStr">
        <is>
          <t>Sobrestock crítico</t>
        </is>
      </c>
    </row>
    <row r="39">
      <c r="A39" s="1" t="inlineStr">
        <is>
          <t>HAT13EQ</t>
        </is>
      </c>
      <c r="B39" s="1" t="inlineStr">
        <is>
          <t>HAT</t>
        </is>
      </c>
      <c r="C39" s="1" t="inlineStr">
        <is>
          <t>Equipamiento / Sombreros</t>
        </is>
      </c>
      <c r="D39" s="5" t="n">
        <v>13714.67489764</v>
      </c>
      <c r="E39" s="8" t="n">
        <v>0.003357799115357974</v>
      </c>
      <c r="F39" s="8" t="n">
        <v>0.1868958908202927</v>
      </c>
      <c r="G39" s="1" t="inlineStr">
        <is>
          <t>A</t>
        </is>
      </c>
      <c r="H39" s="6" t="n">
        <v>314</v>
      </c>
      <c r="I39" s="6" t="n">
        <v>3.96</v>
      </c>
      <c r="J39" s="5" t="n">
        <v>1243.44</v>
      </c>
      <c r="K39" s="6" t="n">
        <v>58.7</v>
      </c>
      <c r="L39" s="6" t="n">
        <v>5.349233390119251</v>
      </c>
      <c r="M39" s="6" t="n">
        <v>2</v>
      </c>
      <c r="N39" s="6" t="n">
        <v>117.4</v>
      </c>
      <c r="O39" s="6" t="n">
        <v>196.6</v>
      </c>
      <c r="P39" s="5" t="n">
        <v>778.5359999999998</v>
      </c>
      <c r="Q39" s="8" t="n">
        <v>0.6261146496815286</v>
      </c>
      <c r="R39" s="1" t="inlineStr">
        <is>
          <t>Sobrestock crítico</t>
        </is>
      </c>
    </row>
    <row r="40">
      <c r="A40" s="1" t="inlineStr">
        <is>
          <t>TOA43SP</t>
        </is>
      </c>
      <c r="B40" s="1" t="inlineStr">
        <is>
          <t>TOALLA SPORT</t>
        </is>
      </c>
      <c r="C40" s="1" t="inlineStr">
        <is>
          <t>Equipamiento / Toallas</t>
        </is>
      </c>
      <c r="D40" s="5" t="n">
        <v>13636.810967582</v>
      </c>
      <c r="E40" s="8" t="n">
        <v>0.003338735489175188</v>
      </c>
      <c r="F40" s="8" t="n">
        <v>0.1902346263094679</v>
      </c>
      <c r="G40" s="1" t="inlineStr">
        <is>
          <t>A</t>
        </is>
      </c>
      <c r="H40" s="6" t="n">
        <v>1215</v>
      </c>
      <c r="I40" s="6" t="n">
        <v>1.8</v>
      </c>
      <c r="J40" s="5" t="n">
        <v>2187</v>
      </c>
      <c r="K40" s="6" t="n">
        <v>82.3</v>
      </c>
      <c r="L40" s="6" t="n">
        <v>14.76306196840826</v>
      </c>
      <c r="M40" s="6" t="n">
        <v>2</v>
      </c>
      <c r="N40" s="6" t="n">
        <v>164.6</v>
      </c>
      <c r="O40" s="6" t="n">
        <v>1050.4</v>
      </c>
      <c r="P40" s="5" t="n">
        <v>1890.72</v>
      </c>
      <c r="Q40" s="8" t="n">
        <v>0.8645267489711934</v>
      </c>
      <c r="R40" s="1" t="inlineStr">
        <is>
          <t>Sobrestock crítico</t>
        </is>
      </c>
    </row>
    <row r="41">
      <c r="A41" s="1" t="inlineStr">
        <is>
          <t>DRY0330L</t>
        </is>
      </c>
      <c r="B41" s="1" t="inlineStr">
        <is>
          <t>DRY BAG 30L</t>
        </is>
      </c>
      <c r="C41" s="1" t="inlineStr">
        <is>
          <t>Equipamiento / Bolsos</t>
        </is>
      </c>
      <c r="D41" s="5" t="n">
        <v>13591.05094475</v>
      </c>
      <c r="E41" s="8" t="n">
        <v>0.00332753194513708</v>
      </c>
      <c r="F41" s="8" t="n">
        <v>0.193562158254605</v>
      </c>
      <c r="G41" s="1" t="inlineStr">
        <is>
          <t>A</t>
        </is>
      </c>
      <c r="H41" s="6" t="n">
        <v>635</v>
      </c>
      <c r="I41" s="6" t="n">
        <v>6.32</v>
      </c>
      <c r="J41" s="5" t="n">
        <v>4013.2</v>
      </c>
      <c r="K41" s="6" t="n">
        <v>27.1</v>
      </c>
      <c r="L41" s="6" t="n">
        <v>23.43173431734317</v>
      </c>
      <c r="M41" s="6" t="n">
        <v>2</v>
      </c>
      <c r="N41" s="6" t="n">
        <v>54.2</v>
      </c>
      <c r="O41" s="6" t="n">
        <v>580.8</v>
      </c>
      <c r="P41" s="5" t="n">
        <v>3670.656</v>
      </c>
      <c r="Q41" s="8" t="n">
        <v>0.9146456692913385</v>
      </c>
      <c r="R41" s="1" t="inlineStr">
        <is>
          <t>Sobrestock crítico</t>
        </is>
      </c>
    </row>
    <row r="42">
      <c r="A42" s="1" t="inlineStr">
        <is>
          <t>ZRED194EQ</t>
        </is>
      </c>
      <c r="B42" s="1" t="inlineStr">
        <is>
          <t>ZENIT REDONDO</t>
        </is>
      </c>
      <c r="C42" s="1" t="inlineStr">
        <is>
          <t>Equipamiento / Lentes</t>
        </is>
      </c>
      <c r="D42" s="5" t="n">
        <v>13587.37126609</v>
      </c>
      <c r="E42" s="8" t="n">
        <v>0.003326631039950368</v>
      </c>
      <c r="F42" s="8" t="n">
        <v>0.1968887892945553</v>
      </c>
      <c r="G42" s="1" t="inlineStr">
        <is>
          <t>A</t>
        </is>
      </c>
      <c r="H42" s="6" t="n">
        <v>155</v>
      </c>
      <c r="I42" s="6" t="n">
        <v>40.44</v>
      </c>
      <c r="J42" s="5" t="n">
        <v>6268.2</v>
      </c>
      <c r="K42" s="6" t="n">
        <v>13.6</v>
      </c>
      <c r="L42" s="6" t="n">
        <v>11.39705882352941</v>
      </c>
      <c r="M42" s="6" t="n">
        <v>2</v>
      </c>
      <c r="N42" s="6" t="n">
        <v>27.2</v>
      </c>
      <c r="O42" s="6" t="n">
        <v>127.8</v>
      </c>
      <c r="P42" s="5" t="n">
        <v>5168.232</v>
      </c>
      <c r="Q42" s="8" t="n">
        <v>0.8245161290322581</v>
      </c>
      <c r="R42" s="1" t="inlineStr">
        <is>
          <t>Sobrestock crítico</t>
        </is>
      </c>
    </row>
    <row r="43">
      <c r="A43" s="1" t="inlineStr">
        <is>
          <t>JAPDA43TM</t>
        </is>
      </c>
      <c r="B43" s="1" t="inlineStr">
        <is>
          <t>CUADRO JACKET 2.0 DAMA</t>
        </is>
      </c>
      <c r="C43" s="1" t="inlineStr">
        <is>
          <t>Equipamiento / Ropa</t>
        </is>
      </c>
      <c r="D43" s="5" t="n">
        <v>13365.75303213</v>
      </c>
      <c r="E43" s="8" t="n">
        <v>0.003272371677953669</v>
      </c>
      <c r="F43" s="8" t="n">
        <v>0.200161160972509</v>
      </c>
      <c r="G43" s="1" t="inlineStr">
        <is>
          <t>A</t>
        </is>
      </c>
      <c r="H43" s="6" t="n">
        <v>446</v>
      </c>
      <c r="I43" s="6" t="n">
        <v>20.25</v>
      </c>
      <c r="J43" s="5" t="n">
        <v>9031.5</v>
      </c>
      <c r="K43" s="6" t="n">
        <v>17.1</v>
      </c>
      <c r="L43" s="6" t="n">
        <v>26.08187134502924</v>
      </c>
      <c r="M43" s="6" t="n">
        <v>2</v>
      </c>
      <c r="N43" s="6" t="n">
        <v>34.2</v>
      </c>
      <c r="O43" s="6" t="n">
        <v>411.8</v>
      </c>
      <c r="P43" s="5" t="n">
        <v>8338.950000000001</v>
      </c>
      <c r="Q43" s="8" t="n">
        <v>0.9233183856502243</v>
      </c>
      <c r="R43" s="1" t="inlineStr">
        <is>
          <t>Sobrestock crítico</t>
        </is>
      </c>
    </row>
    <row r="44">
      <c r="A44" s="1" t="inlineStr">
        <is>
          <t>MARMICA43TL</t>
        </is>
      </c>
      <c r="B44" s="1" t="inlineStr">
        <is>
          <t>MAR ORIGINAL CAB</t>
        </is>
      </c>
      <c r="C44" s="1" t="inlineStr">
        <is>
          <t>Manufactura / Caballero / P. Superiores</t>
        </is>
      </c>
      <c r="D44" s="5" t="n">
        <v>13144.04220195496</v>
      </c>
      <c r="E44" s="8" t="n">
        <v>0.003218089645387578</v>
      </c>
      <c r="F44" s="8" t="n">
        <v>0.2033792506178966</v>
      </c>
      <c r="G44" s="1" t="inlineStr">
        <is>
          <t>A</t>
        </is>
      </c>
      <c r="H44" s="6" t="n">
        <v>130</v>
      </c>
      <c r="I44" s="6" t="n">
        <v>4.946357428</v>
      </c>
      <c r="J44" s="5" t="n">
        <v>643.02646564</v>
      </c>
      <c r="K44" s="6" t="n">
        <v>28.4</v>
      </c>
      <c r="L44" s="6" t="n">
        <v>4.577464788732395</v>
      </c>
      <c r="M44" s="6" t="n">
        <v>2</v>
      </c>
      <c r="N44" s="6" t="n">
        <v>56.8</v>
      </c>
      <c r="O44" s="6" t="n">
        <v>73.2</v>
      </c>
      <c r="P44" s="5" t="n">
        <v>362.0733637296</v>
      </c>
      <c r="Q44" s="8" t="n">
        <v>0.563076923076923</v>
      </c>
      <c r="R44" s="1" t="inlineStr">
        <is>
          <t>Sobrestock crítico</t>
        </is>
      </c>
    </row>
    <row r="45">
      <c r="A45" s="1" t="inlineStr">
        <is>
          <t>TOA196ES</t>
        </is>
      </c>
      <c r="B45" s="1" t="inlineStr">
        <is>
          <t>TOALLA ESTAMPADA 2.0</t>
        </is>
      </c>
      <c r="C45" s="1" t="inlineStr">
        <is>
          <t>Equipamiento / Toallas</t>
        </is>
      </c>
      <c r="D45" s="5" t="n">
        <v>12823.64648919</v>
      </c>
      <c r="E45" s="8" t="n">
        <v>0.003139646339300039</v>
      </c>
      <c r="F45" s="8" t="n">
        <v>0.2065188969571966</v>
      </c>
      <c r="G45" s="1" t="inlineStr">
        <is>
          <t>A</t>
        </is>
      </c>
      <c r="H45" s="6" t="n">
        <v>338</v>
      </c>
      <c r="I45" s="6" t="n">
        <v>5.92</v>
      </c>
      <c r="J45" s="5" t="n">
        <v>2000.96</v>
      </c>
      <c r="K45" s="6" t="n">
        <v>31.3</v>
      </c>
      <c r="L45" s="6" t="n">
        <v>10.79872204472843</v>
      </c>
      <c r="M45" s="6" t="n">
        <v>2</v>
      </c>
      <c r="N45" s="6" t="n">
        <v>62.6</v>
      </c>
      <c r="O45" s="6" t="n">
        <v>275.4</v>
      </c>
      <c r="P45" s="5" t="n">
        <v>1630.368</v>
      </c>
      <c r="Q45" s="8" t="n">
        <v>0.814792899408284</v>
      </c>
      <c r="R45" s="1" t="inlineStr">
        <is>
          <t>Sobrestock crítico</t>
        </is>
      </c>
    </row>
    <row r="46">
      <c r="A46" s="1" t="inlineStr">
        <is>
          <t>TRA4318L</t>
        </is>
      </c>
      <c r="B46" s="1" t="inlineStr">
        <is>
          <t>TRAVEL BAG 18L</t>
        </is>
      </c>
      <c r="C46" s="1" t="inlineStr">
        <is>
          <t>Equipamiento / Bolsos</t>
        </is>
      </c>
      <c r="D46" s="5" t="n">
        <v>12703.64503544</v>
      </c>
      <c r="E46" s="8" t="n">
        <v>0.003110266074856968</v>
      </c>
      <c r="F46" s="8" t="n">
        <v>0.2096291630320536</v>
      </c>
      <c r="G46" s="1" t="inlineStr">
        <is>
          <t>A</t>
        </is>
      </c>
      <c r="H46" s="6" t="n">
        <v>395</v>
      </c>
      <c r="I46" s="6" t="n">
        <v>14.07</v>
      </c>
      <c r="J46" s="5" t="n">
        <v>5557.650000000001</v>
      </c>
      <c r="K46" s="6" t="n">
        <v>24.3</v>
      </c>
      <c r="L46" s="6" t="n">
        <v>16.25514403292181</v>
      </c>
      <c r="M46" s="6" t="n">
        <v>2</v>
      </c>
      <c r="N46" s="6" t="n">
        <v>48.6</v>
      </c>
      <c r="O46" s="6" t="n">
        <v>346.4</v>
      </c>
      <c r="P46" s="5" t="n">
        <v>4873.848</v>
      </c>
      <c r="Q46" s="8" t="n">
        <v>0.8769620253164556</v>
      </c>
      <c r="R46" s="1" t="inlineStr">
        <is>
          <t>Sobrestock crítico</t>
        </is>
      </c>
    </row>
    <row r="47">
      <c r="A47" s="1" t="inlineStr">
        <is>
          <t>TOA43CLI</t>
        </is>
      </c>
      <c r="B47" s="1" t="inlineStr">
        <is>
          <t>TOALLA CLIP 2.0</t>
        </is>
      </c>
      <c r="C47" s="1" t="inlineStr">
        <is>
          <t>Equipamiento / Toallas</t>
        </is>
      </c>
      <c r="D47" s="5" t="n">
        <v>12540.492949164</v>
      </c>
      <c r="E47" s="8" t="n">
        <v>0.003070321130113099</v>
      </c>
      <c r="F47" s="8" t="n">
        <v>0.2126994841621667</v>
      </c>
      <c r="G47" s="1" t="inlineStr">
        <is>
          <t>A</t>
        </is>
      </c>
      <c r="H47" s="6" t="n">
        <v>309</v>
      </c>
      <c r="I47" s="6" t="n">
        <v>5.11</v>
      </c>
      <c r="J47" s="5" t="n">
        <v>1578.99</v>
      </c>
      <c r="K47" s="6" t="n">
        <v>52.9</v>
      </c>
      <c r="L47" s="6" t="n">
        <v>5.841209829867675</v>
      </c>
      <c r="M47" s="6" t="n">
        <v>2</v>
      </c>
      <c r="N47" s="6" t="n">
        <v>105.8</v>
      </c>
      <c r="O47" s="6" t="n">
        <v>203.2</v>
      </c>
      <c r="P47" s="5" t="n">
        <v>1038.352</v>
      </c>
      <c r="Q47" s="8" t="n">
        <v>0.6576051779935276</v>
      </c>
      <c r="R47" s="1" t="inlineStr">
        <is>
          <t>Sobrestock crítico</t>
        </is>
      </c>
    </row>
    <row r="48">
      <c r="A48" s="1" t="inlineStr">
        <is>
          <t>MARMICA43TM</t>
        </is>
      </c>
      <c r="B48" s="1" t="inlineStr">
        <is>
          <t>MAR ORIGINAL CAB</t>
        </is>
      </c>
      <c r="C48" s="1" t="inlineStr">
        <is>
          <t>Manufactura / Caballero / P. Superiores</t>
        </is>
      </c>
      <c r="D48" s="5" t="n">
        <v>11951.81931227277</v>
      </c>
      <c r="E48" s="8" t="n">
        <v>0.002926194650124275</v>
      </c>
      <c r="F48" s="8" t="n">
        <v>0.215625678812291</v>
      </c>
      <c r="G48" s="1" t="inlineStr">
        <is>
          <t>A</t>
        </is>
      </c>
      <c r="H48" s="6" t="n">
        <v>100</v>
      </c>
      <c r="I48" s="6" t="n">
        <v>4.946357428</v>
      </c>
      <c r="J48" s="5" t="n">
        <v>494.6357428</v>
      </c>
      <c r="K48" s="6" t="n">
        <v>27.4</v>
      </c>
      <c r="L48" s="6" t="n">
        <v>3.64963503649635</v>
      </c>
      <c r="M48" s="6" t="n">
        <v>2</v>
      </c>
      <c r="N48" s="6" t="n">
        <v>54.8</v>
      </c>
      <c r="O48" s="6" t="n">
        <v>45.2</v>
      </c>
      <c r="P48" s="5" t="n">
        <v>223.5753557456</v>
      </c>
      <c r="Q48" s="8" t="n">
        <v>0.452</v>
      </c>
      <c r="R48" s="1" t="inlineStr">
        <is>
          <t>Sobrestock crítico</t>
        </is>
      </c>
    </row>
    <row r="49">
      <c r="A49" s="1" t="inlineStr">
        <is>
          <t>TOA203ES</t>
        </is>
      </c>
      <c r="B49" s="1" t="inlineStr">
        <is>
          <t>TOALLA ESTAMPADA 2.0</t>
        </is>
      </c>
      <c r="C49" s="1" t="inlineStr">
        <is>
          <t>Equipamiento / Toallas</t>
        </is>
      </c>
      <c r="D49" s="5" t="n">
        <v>11856.94313637</v>
      </c>
      <c r="E49" s="8" t="n">
        <v>0.002902965872053153</v>
      </c>
      <c r="F49" s="8" t="n">
        <v>0.2185286446843441</v>
      </c>
      <c r="G49" s="1" t="inlineStr">
        <is>
          <t>A</t>
        </is>
      </c>
      <c r="H49" s="6" t="n">
        <v>360</v>
      </c>
      <c r="I49" s="6" t="n">
        <v>5.92</v>
      </c>
      <c r="J49" s="5" t="n">
        <v>2131.2</v>
      </c>
      <c r="K49" s="6" t="n">
        <v>27.3</v>
      </c>
      <c r="L49" s="6" t="n">
        <v>13.18681318681319</v>
      </c>
      <c r="M49" s="6" t="n">
        <v>2</v>
      </c>
      <c r="N49" s="6" t="n">
        <v>54.6</v>
      </c>
      <c r="O49" s="6" t="n">
        <v>305.4</v>
      </c>
      <c r="P49" s="5" t="n">
        <v>1807.968</v>
      </c>
      <c r="Q49" s="8" t="n">
        <v>0.8483333333333334</v>
      </c>
      <c r="R49" s="1" t="inlineStr">
        <is>
          <t>Sobrestock crítico</t>
        </is>
      </c>
    </row>
    <row r="50">
      <c r="A50" s="1" t="inlineStr">
        <is>
          <t>JAPCA162TM</t>
        </is>
      </c>
      <c r="B50" s="1" t="inlineStr">
        <is>
          <t>CUADRO JACKET 2.0 CAB</t>
        </is>
      </c>
      <c r="C50" s="1" t="inlineStr">
        <is>
          <t>Equipamiento / Ropa</t>
        </is>
      </c>
      <c r="D50" s="5" t="n">
        <v>11820.32859545527</v>
      </c>
      <c r="E50" s="8" t="n">
        <v>0.00289400143986571</v>
      </c>
      <c r="F50" s="8" t="n">
        <v>0.2214226461242098</v>
      </c>
      <c r="G50" s="1" t="inlineStr">
        <is>
          <t>A</t>
        </is>
      </c>
      <c r="H50" s="6" t="n">
        <v>172</v>
      </c>
      <c r="I50" s="6" t="n">
        <v>20.25000225</v>
      </c>
      <c r="J50" s="5" t="n">
        <v>3483.000387</v>
      </c>
      <c r="K50" s="6" t="n">
        <v>16.2</v>
      </c>
      <c r="L50" s="6" t="n">
        <v>10.61728395061728</v>
      </c>
      <c r="M50" s="6" t="n">
        <v>2</v>
      </c>
      <c r="N50" s="6" t="n">
        <v>32.4</v>
      </c>
      <c r="O50" s="6" t="n">
        <v>139.6</v>
      </c>
      <c r="P50" s="5" t="n">
        <v>2826.9003141</v>
      </c>
      <c r="Q50" s="8" t="n">
        <v>0.8116279069767443</v>
      </c>
      <c r="R50" s="1" t="inlineStr">
        <is>
          <t>Sobrestock crítico</t>
        </is>
      </c>
    </row>
    <row r="51">
      <c r="A51" s="1" t="inlineStr">
        <is>
          <t>KOA132KA</t>
        </is>
      </c>
      <c r="B51" s="1" t="inlineStr">
        <is>
          <t>MINI BAG</t>
        </is>
      </c>
      <c r="C51" s="1" t="inlineStr">
        <is>
          <t>Equipamiento / Bolsos</t>
        </is>
      </c>
      <c r="D51" s="5" t="n">
        <v>11394.89148104056</v>
      </c>
      <c r="E51" s="8" t="n">
        <v>0.002789840577352812</v>
      </c>
      <c r="F51" s="8" t="n">
        <v>0.2242124867015626</v>
      </c>
      <c r="G51" s="1" t="inlineStr">
        <is>
          <t>A</t>
        </is>
      </c>
      <c r="H51" s="6" t="n">
        <v>166</v>
      </c>
      <c r="I51" s="6" t="n">
        <v>6.33</v>
      </c>
      <c r="J51" s="5" t="n">
        <v>1050.78</v>
      </c>
      <c r="K51" s="6" t="n">
        <v>29.3</v>
      </c>
      <c r="L51" s="6" t="n">
        <v>5.665529010238908</v>
      </c>
      <c r="M51" s="6" t="n">
        <v>2</v>
      </c>
      <c r="N51" s="6" t="n">
        <v>58.6</v>
      </c>
      <c r="O51" s="6" t="n">
        <v>107.4</v>
      </c>
      <c r="P51" s="5" t="n">
        <v>679.8420000000001</v>
      </c>
      <c r="Q51" s="8" t="n">
        <v>0.646987951807229</v>
      </c>
      <c r="R51" s="1" t="inlineStr">
        <is>
          <t>Sobrestock crítico</t>
        </is>
      </c>
    </row>
    <row r="52">
      <c r="A52" s="1" t="inlineStr">
        <is>
          <t>JAPDA16TM</t>
        </is>
      </c>
      <c r="B52" s="1" t="inlineStr">
        <is>
          <t>CUADRO JACKET 2.0 DAMA</t>
        </is>
      </c>
      <c r="C52" s="1" t="inlineStr">
        <is>
          <t>Equipamiento / Ropa</t>
        </is>
      </c>
      <c r="D52" s="5" t="n">
        <v>11046.65846984306</v>
      </c>
      <c r="E52" s="8" t="n">
        <v>0.002704581793920868</v>
      </c>
      <c r="F52" s="8" t="n">
        <v>0.2269170684954835</v>
      </c>
      <c r="G52" s="1" t="inlineStr">
        <is>
          <t>A</t>
        </is>
      </c>
      <c r="H52" s="6" t="n">
        <v>164</v>
      </c>
      <c r="I52" s="6" t="n">
        <v>20.25</v>
      </c>
      <c r="J52" s="5" t="n">
        <v>3321</v>
      </c>
      <c r="K52" s="6" t="n">
        <v>14.7</v>
      </c>
      <c r="L52" s="6" t="n">
        <v>11.15646258503401</v>
      </c>
      <c r="M52" s="6" t="n">
        <v>2</v>
      </c>
      <c r="N52" s="6" t="n">
        <v>29.4</v>
      </c>
      <c r="O52" s="6" t="n">
        <v>134.6</v>
      </c>
      <c r="P52" s="5" t="n">
        <v>2725.65</v>
      </c>
      <c r="Q52" s="8" t="n">
        <v>0.8207317073170732</v>
      </c>
      <c r="R52" s="1" t="inlineStr">
        <is>
          <t>Sobrestock crítico</t>
        </is>
      </c>
    </row>
    <row r="53">
      <c r="A53" s="1" t="inlineStr">
        <is>
          <t>DRY4230L</t>
        </is>
      </c>
      <c r="B53" s="1" t="inlineStr">
        <is>
          <t>DRY BAG 30L</t>
        </is>
      </c>
      <c r="C53" s="1" t="inlineStr">
        <is>
          <t>Equipamiento / Bolsos</t>
        </is>
      </c>
      <c r="D53" s="5" t="n">
        <v>10891.36828372253</v>
      </c>
      <c r="E53" s="8" t="n">
        <v>0.002666561698404859</v>
      </c>
      <c r="F53" s="8" t="n">
        <v>0.2295836301938883</v>
      </c>
      <c r="G53" s="1" t="inlineStr">
        <is>
          <t>A</t>
        </is>
      </c>
      <c r="H53" s="6" t="n">
        <v>37</v>
      </c>
      <c r="I53" s="6" t="n">
        <v>6.32</v>
      </c>
      <c r="J53" s="5" t="n">
        <v>233.84</v>
      </c>
      <c r="K53" s="6" t="n">
        <v>21.7</v>
      </c>
      <c r="L53" s="6" t="n">
        <v>1.705069124423963</v>
      </c>
      <c r="M53" s="6" t="n">
        <v>2</v>
      </c>
      <c r="N53" s="6" t="n">
        <v>43.4</v>
      </c>
      <c r="O53" s="6" t="n">
        <v>0</v>
      </c>
      <c r="P53" s="5" t="n">
        <v>0</v>
      </c>
      <c r="Q53" s="8" t="n">
        <v>0</v>
      </c>
      <c r="R53" s="1" t="inlineStr">
        <is>
          <t>OK</t>
        </is>
      </c>
    </row>
    <row r="54">
      <c r="A54" s="1" t="inlineStr">
        <is>
          <t>PANNTCA43TL</t>
        </is>
      </c>
      <c r="B54" s="1" t="inlineStr">
        <is>
          <t>EXPLORE PANTS CAB</t>
        </is>
      </c>
      <c r="C54" s="1" t="inlineStr">
        <is>
          <t>Manufactura / Caballero / P. Inferiores</t>
        </is>
      </c>
      <c r="D54" s="5" t="n">
        <v>10871.50474069</v>
      </c>
      <c r="E54" s="8" t="n">
        <v>0.002661698456095413</v>
      </c>
      <c r="F54" s="8" t="n">
        <v>0.2322453286499838</v>
      </c>
      <c r="G54" s="1" t="inlineStr">
        <is>
          <t>A</t>
        </is>
      </c>
      <c r="H54" s="6" t="n">
        <v>88</v>
      </c>
      <c r="I54" s="6" t="n">
        <v>15.68994502</v>
      </c>
      <c r="J54" s="5" t="n">
        <v>1380.71516176</v>
      </c>
      <c r="K54" s="6" t="n">
        <v>15.7</v>
      </c>
      <c r="L54" s="6" t="n">
        <v>5.605095541401274</v>
      </c>
      <c r="M54" s="6" t="n">
        <v>2</v>
      </c>
      <c r="N54" s="6" t="n">
        <v>31.4</v>
      </c>
      <c r="O54" s="6" t="n">
        <v>56.6</v>
      </c>
      <c r="P54" s="5" t="n">
        <v>888.050888132</v>
      </c>
      <c r="Q54" s="8" t="n">
        <v>0.6431818181818182</v>
      </c>
      <c r="R54" s="1" t="inlineStr">
        <is>
          <t>Sobrestock crítico</t>
        </is>
      </c>
    </row>
    <row r="55">
      <c r="A55" s="1" t="inlineStr">
        <is>
          <t>MARMICA16TM</t>
        </is>
      </c>
      <c r="B55" s="1" t="inlineStr">
        <is>
          <t>MAR ORIGINAL CAB</t>
        </is>
      </c>
      <c r="C55" s="1" t="inlineStr">
        <is>
          <t>Manufactura / Caballero / P. Superiores</t>
        </is>
      </c>
      <c r="D55" s="5" t="n">
        <v>10772.23598619</v>
      </c>
      <c r="E55" s="8" t="n">
        <v>0.002637394231713095</v>
      </c>
      <c r="F55" s="8" t="n">
        <v>0.2348827228816969</v>
      </c>
      <c r="G55" s="1" t="inlineStr">
        <is>
          <t>A</t>
        </is>
      </c>
      <c r="H55" s="6" t="n">
        <v>32</v>
      </c>
      <c r="I55" s="6" t="n">
        <v>4.946357428</v>
      </c>
      <c r="J55" s="5" t="n">
        <v>158.283437696</v>
      </c>
      <c r="K55" s="6" t="n">
        <v>23.1</v>
      </c>
      <c r="L55" s="6" t="n">
        <v>1.385281385281385</v>
      </c>
      <c r="M55" s="6" t="n">
        <v>2</v>
      </c>
      <c r="N55" s="6" t="n">
        <v>46.2</v>
      </c>
      <c r="O55" s="6" t="n">
        <v>0</v>
      </c>
      <c r="P55" s="5" t="n">
        <v>0</v>
      </c>
      <c r="Q55" s="8" t="n">
        <v>0</v>
      </c>
      <c r="R55" s="1" t="inlineStr">
        <is>
          <t>OK</t>
        </is>
      </c>
    </row>
    <row r="56">
      <c r="A56" s="1" t="inlineStr">
        <is>
          <t>REFAZUTOGE151EQ</t>
        </is>
      </c>
      <c r="B56" s="1" t="inlineStr">
        <is>
          <t>REFRESH AZUL</t>
        </is>
      </c>
      <c r="C56" s="1" t="inlineStr">
        <is>
          <t>Manufactura / Refresh</t>
        </is>
      </c>
      <c r="D56" s="5" t="n">
        <v>10756.14784842</v>
      </c>
      <c r="E56" s="8" t="n">
        <v>0.002633455331580569</v>
      </c>
      <c r="F56" s="8" t="n">
        <v>0.2375161782132774</v>
      </c>
      <c r="G56" s="1" t="inlineStr">
        <is>
          <t>A</t>
        </is>
      </c>
      <c r="H56" s="6" t="n">
        <v>0</v>
      </c>
      <c r="I56" s="6" t="n">
        <v>7.65</v>
      </c>
      <c r="J56" s="5" t="n">
        <v>0</v>
      </c>
      <c r="K56" s="6" t="n">
        <v>53.5</v>
      </c>
      <c r="L56" s="6" t="n">
        <v>0</v>
      </c>
      <c r="M56" s="6" t="n">
        <v>2</v>
      </c>
      <c r="N56" s="6" t="n">
        <v>107</v>
      </c>
      <c r="O56" s="6" t="n">
        <v>0</v>
      </c>
      <c r="P56" s="5" t="n">
        <v>0</v>
      </c>
      <c r="Q56" s="8" t="n">
        <v>0</v>
      </c>
      <c r="R56" s="1" t="inlineStr">
        <is>
          <t>Sin rotación</t>
        </is>
      </c>
    </row>
    <row r="57">
      <c r="A57" s="1" t="inlineStr">
        <is>
          <t>JAPDA16TS</t>
        </is>
      </c>
      <c r="B57" s="1" t="inlineStr">
        <is>
          <t>CUADRO JACKET 2.0 DAMA</t>
        </is>
      </c>
      <c r="C57" s="1" t="inlineStr">
        <is>
          <t>Equipamiento / Ropa</t>
        </is>
      </c>
      <c r="D57" s="5" t="n">
        <v>10729.20586184046</v>
      </c>
      <c r="E57" s="8" t="n">
        <v>0.002626859055738965</v>
      </c>
      <c r="F57" s="8" t="n">
        <v>0.2401430372690164</v>
      </c>
      <c r="G57" s="1" t="inlineStr">
        <is>
          <t>A</t>
        </is>
      </c>
      <c r="H57" s="6" t="n">
        <v>153</v>
      </c>
      <c r="I57" s="6" t="n">
        <v>20.25</v>
      </c>
      <c r="J57" s="5" t="n">
        <v>3098.25</v>
      </c>
      <c r="K57" s="6" t="n">
        <v>14.5</v>
      </c>
      <c r="L57" s="6" t="n">
        <v>10.55172413793103</v>
      </c>
      <c r="M57" s="6" t="n">
        <v>2</v>
      </c>
      <c r="N57" s="6" t="n">
        <v>29</v>
      </c>
      <c r="O57" s="6" t="n">
        <v>124</v>
      </c>
      <c r="P57" s="5" t="n">
        <v>2511</v>
      </c>
      <c r="Q57" s="8" t="n">
        <v>0.8104575163398693</v>
      </c>
      <c r="R57" s="1" t="inlineStr">
        <is>
          <t>Sobrestock crítico</t>
        </is>
      </c>
    </row>
    <row r="58">
      <c r="A58" s="1" t="inlineStr">
        <is>
          <t>MARMICA12TL</t>
        </is>
      </c>
      <c r="B58" s="1" t="inlineStr">
        <is>
          <t>MAR ORIGINAL CAB</t>
        </is>
      </c>
      <c r="C58" s="1" t="inlineStr">
        <is>
          <t>Manufactura / Caballero / P. Superiores</t>
        </is>
      </c>
      <c r="D58" s="5" t="n">
        <v>10686.64370872144</v>
      </c>
      <c r="E58" s="8" t="n">
        <v>0.002616438454364347</v>
      </c>
      <c r="F58" s="8" t="n">
        <v>0.2427594757233807</v>
      </c>
      <c r="G58" s="1" t="inlineStr">
        <is>
          <t>A</t>
        </is>
      </c>
      <c r="H58" s="6" t="n">
        <v>67</v>
      </c>
      <c r="I58" s="6" t="n">
        <v>4.946357428</v>
      </c>
      <c r="J58" s="5" t="n">
        <v>331.405947676</v>
      </c>
      <c r="K58" s="6" t="n">
        <v>24.8</v>
      </c>
      <c r="L58" s="6" t="n">
        <v>2.701612903225806</v>
      </c>
      <c r="M58" s="6" t="n">
        <v>2</v>
      </c>
      <c r="N58" s="6" t="n">
        <v>49.6</v>
      </c>
      <c r="O58" s="6" t="n">
        <v>17.4</v>
      </c>
      <c r="P58" s="5" t="n">
        <v>86.06661924719999</v>
      </c>
      <c r="Q58" s="8" t="n">
        <v>0.2597014925373134</v>
      </c>
      <c r="R58" s="1" t="inlineStr">
        <is>
          <t>Sobrestock</t>
        </is>
      </c>
    </row>
    <row r="59">
      <c r="A59" s="1" t="inlineStr">
        <is>
          <t>TRA3140L</t>
        </is>
      </c>
      <c r="B59" s="1" t="inlineStr">
        <is>
          <t>TRAVEL BAG 40L</t>
        </is>
      </c>
      <c r="C59" s="1" t="inlineStr">
        <is>
          <t>Equipamiento / Bolsos</t>
        </is>
      </c>
      <c r="D59" s="5" t="n">
        <v>10589.68085787</v>
      </c>
      <c r="E59" s="8" t="n">
        <v>0.00259269879030074</v>
      </c>
      <c r="F59" s="8" t="n">
        <v>0.2453521745136814</v>
      </c>
      <c r="G59" s="1" t="inlineStr">
        <is>
          <t>A</t>
        </is>
      </c>
      <c r="H59" s="6" t="n">
        <v>26</v>
      </c>
      <c r="I59" s="6" t="n">
        <v>18.38</v>
      </c>
      <c r="J59" s="5" t="n">
        <v>477.88</v>
      </c>
      <c r="K59" s="6" t="n">
        <v>17.6</v>
      </c>
      <c r="L59" s="6" t="n">
        <v>1.477272727272727</v>
      </c>
      <c r="M59" s="6" t="n">
        <v>2</v>
      </c>
      <c r="N59" s="6" t="n">
        <v>35.2</v>
      </c>
      <c r="O59" s="6" t="n">
        <v>0</v>
      </c>
      <c r="P59" s="5" t="n">
        <v>0</v>
      </c>
      <c r="Q59" s="8" t="n">
        <v>0</v>
      </c>
      <c r="R59" s="1" t="inlineStr">
        <is>
          <t>OK</t>
        </is>
      </c>
    </row>
    <row r="60">
      <c r="A60" s="1" t="inlineStr">
        <is>
          <t>JAPCA66TL</t>
        </is>
      </c>
      <c r="B60" s="1" t="inlineStr">
        <is>
          <t>CUADRO JACKET 2.0 CAB</t>
        </is>
      </c>
      <c r="C60" s="1" t="inlineStr">
        <is>
          <t>Equipamiento / Ropa</t>
        </is>
      </c>
      <c r="D60" s="5" t="n">
        <v>10489.44485759078</v>
      </c>
      <c r="E60" s="8" t="n">
        <v>0.002568157752647526</v>
      </c>
      <c r="F60" s="8" t="n">
        <v>0.247920332266329</v>
      </c>
      <c r="G60" s="1" t="inlineStr">
        <is>
          <t>A</t>
        </is>
      </c>
      <c r="H60" s="6" t="n">
        <v>335</v>
      </c>
      <c r="I60" s="6" t="n">
        <v>20.25000225</v>
      </c>
      <c r="J60" s="5" t="n">
        <v>6783.750753750001</v>
      </c>
      <c r="K60" s="6" t="n">
        <v>12.9</v>
      </c>
      <c r="L60" s="6" t="n">
        <v>25.96899224806202</v>
      </c>
      <c r="M60" s="6" t="n">
        <v>2</v>
      </c>
      <c r="N60" s="6" t="n">
        <v>25.8</v>
      </c>
      <c r="O60" s="6" t="n">
        <v>309.2</v>
      </c>
      <c r="P60" s="5" t="n">
        <v>6261.3006957</v>
      </c>
      <c r="Q60" s="8" t="n">
        <v>0.9229850746268655</v>
      </c>
      <c r="R60" s="1" t="inlineStr">
        <is>
          <t>Sobrestock crítico</t>
        </is>
      </c>
    </row>
    <row r="61">
      <c r="A61" s="1" t="inlineStr">
        <is>
          <t>TOT1320L</t>
        </is>
      </c>
      <c r="B61" s="1" t="inlineStr">
        <is>
          <t>TOTE BAG</t>
        </is>
      </c>
      <c r="C61" s="1" t="inlineStr">
        <is>
          <t>Equipamiento / Bolsos</t>
        </is>
      </c>
      <c r="D61" s="5" t="n">
        <v>10375.72814611</v>
      </c>
      <c r="E61" s="8" t="n">
        <v>0.00254031619781218</v>
      </c>
      <c r="F61" s="8" t="n">
        <v>0.2504606484641411</v>
      </c>
      <c r="G61" s="1" t="inlineStr">
        <is>
          <t>A</t>
        </is>
      </c>
      <c r="H61" s="6" t="n">
        <v>100</v>
      </c>
      <c r="I61" s="6" t="n">
        <v>11.95</v>
      </c>
      <c r="J61" s="5" t="n">
        <v>1195</v>
      </c>
      <c r="K61" s="6" t="n">
        <v>22.4</v>
      </c>
      <c r="L61" s="6" t="n">
        <v>4.464285714285714</v>
      </c>
      <c r="M61" s="6" t="n">
        <v>2</v>
      </c>
      <c r="N61" s="6" t="n">
        <v>44.8</v>
      </c>
      <c r="O61" s="6" t="n">
        <v>55.2</v>
      </c>
      <c r="P61" s="5" t="n">
        <v>659.64</v>
      </c>
      <c r="Q61" s="8" t="n">
        <v>0.5519999999999999</v>
      </c>
      <c r="R61" s="1" t="inlineStr">
        <is>
          <t>Sobrestock crítico</t>
        </is>
      </c>
    </row>
    <row r="62">
      <c r="A62" s="1" t="inlineStr">
        <is>
          <t>JAPDA43TXS</t>
        </is>
      </c>
      <c r="B62" s="1" t="inlineStr">
        <is>
          <t>CUADRO JACKET 2.0 DAMA</t>
        </is>
      </c>
      <c r="C62" s="1" t="inlineStr">
        <is>
          <t>Equipamiento / Ropa</t>
        </is>
      </c>
      <c r="D62" s="5" t="n">
        <v>10344.57524299</v>
      </c>
      <c r="E62" s="8" t="n">
        <v>0.002532688952447788</v>
      </c>
      <c r="F62" s="8" t="n">
        <v>0.2529933374165889</v>
      </c>
      <c r="G62" s="1" t="inlineStr">
        <is>
          <t>A</t>
        </is>
      </c>
      <c r="H62" s="6" t="n">
        <v>366</v>
      </c>
      <c r="I62" s="6" t="n">
        <v>20.25</v>
      </c>
      <c r="J62" s="5" t="n">
        <v>7411.5</v>
      </c>
      <c r="K62" s="6" t="n">
        <v>12.6</v>
      </c>
      <c r="L62" s="6" t="n">
        <v>29.04761904761905</v>
      </c>
      <c r="M62" s="6" t="n">
        <v>2</v>
      </c>
      <c r="N62" s="6" t="n">
        <v>25.2</v>
      </c>
      <c r="O62" s="6" t="n">
        <v>340.8</v>
      </c>
      <c r="P62" s="5" t="n">
        <v>6901.2</v>
      </c>
      <c r="Q62" s="8" t="n">
        <v>0.9311475409836065</v>
      </c>
      <c r="R62" s="1" t="inlineStr">
        <is>
          <t>Sobrestock crítico</t>
        </is>
      </c>
    </row>
    <row r="63">
      <c r="A63" s="1" t="inlineStr">
        <is>
          <t>DRY5030L</t>
        </is>
      </c>
      <c r="B63" s="1" t="inlineStr">
        <is>
          <t>DRY BAG 30L</t>
        </is>
      </c>
      <c r="C63" s="1" t="inlineStr">
        <is>
          <t>Equipamiento / Bolsos</t>
        </is>
      </c>
      <c r="D63" s="5" t="n">
        <v>10312.87756663</v>
      </c>
      <c r="E63" s="8" t="n">
        <v>0.002524928328850445</v>
      </c>
      <c r="F63" s="8" t="n">
        <v>0.2555182657454394</v>
      </c>
      <c r="G63" s="1" t="inlineStr">
        <is>
          <t>A</t>
        </is>
      </c>
      <c r="H63" s="6" t="n">
        <v>26</v>
      </c>
      <c r="I63" s="6" t="n">
        <v>6.32</v>
      </c>
      <c r="J63" s="5" t="n">
        <v>164.32</v>
      </c>
      <c r="K63" s="6" t="n">
        <v>20.5</v>
      </c>
      <c r="L63" s="6" t="n">
        <v>1.268292682926829</v>
      </c>
      <c r="M63" s="6" t="n">
        <v>2</v>
      </c>
      <c r="N63" s="6" t="n">
        <v>41</v>
      </c>
      <c r="O63" s="6" t="n">
        <v>0</v>
      </c>
      <c r="P63" s="5" t="n">
        <v>0</v>
      </c>
      <c r="Q63" s="8" t="n">
        <v>0</v>
      </c>
      <c r="R63" s="1" t="inlineStr">
        <is>
          <t>OK</t>
        </is>
      </c>
    </row>
    <row r="64">
      <c r="A64" s="1" t="inlineStr">
        <is>
          <t>JAPCA162TXL</t>
        </is>
      </c>
      <c r="B64" s="1" t="inlineStr">
        <is>
          <t>CUADRO JACKET 2.0 CAB</t>
        </is>
      </c>
      <c r="C64" s="1" t="inlineStr">
        <is>
          <t>Equipamiento / Ropa</t>
        </is>
      </c>
      <c r="D64" s="5" t="n">
        <v>10253.51093916</v>
      </c>
      <c r="E64" s="8" t="n">
        <v>0.002510393444816492</v>
      </c>
      <c r="F64" s="8" t="n">
        <v>0.2580286591902559</v>
      </c>
      <c r="G64" s="1" t="inlineStr">
        <is>
          <t>A</t>
        </is>
      </c>
      <c r="H64" s="6" t="n">
        <v>208</v>
      </c>
      <c r="I64" s="6" t="n">
        <v>20.25000225</v>
      </c>
      <c r="J64" s="5" t="n">
        <v>4212.000468</v>
      </c>
      <c r="K64" s="6" t="n">
        <v>13.1</v>
      </c>
      <c r="L64" s="6" t="n">
        <v>15.87786259541985</v>
      </c>
      <c r="M64" s="6" t="n">
        <v>2</v>
      </c>
      <c r="N64" s="6" t="n">
        <v>26.2</v>
      </c>
      <c r="O64" s="6" t="n">
        <v>181.8</v>
      </c>
      <c r="P64" s="5" t="n">
        <v>3681.45040905</v>
      </c>
      <c r="Q64" s="8" t="n">
        <v>0.8740384615384617</v>
      </c>
      <c r="R64" s="1" t="inlineStr">
        <is>
          <t>Sobrestock crítico</t>
        </is>
      </c>
    </row>
    <row r="65">
      <c r="A65" s="1" t="inlineStr">
        <is>
          <t>CGCSDA16TS</t>
        </is>
      </c>
      <c r="B65" s="1" t="inlineStr">
        <is>
          <t>CLASICA GC SUBLIMADO DAMA</t>
        </is>
      </c>
      <c r="C65" s="1" t="inlineStr">
        <is>
          <t>Manufactura / Dama / P. Superiores</t>
        </is>
      </c>
      <c r="D65" s="5" t="n">
        <v>10072.31995874</v>
      </c>
      <c r="E65" s="8" t="n">
        <v>0.002466031991241693</v>
      </c>
      <c r="F65" s="8" t="n">
        <v>0.2604946911814975</v>
      </c>
      <c r="G65" s="1" t="inlineStr">
        <is>
          <t>A</t>
        </is>
      </c>
      <c r="H65" s="6" t="n">
        <v>0</v>
      </c>
      <c r="I65" s="6" t="n">
        <v>0</v>
      </c>
      <c r="J65" s="5" t="n">
        <v>0</v>
      </c>
      <c r="K65" s="6" t="n">
        <v>79.2</v>
      </c>
      <c r="L65" s="6" t="n">
        <v>0</v>
      </c>
      <c r="M65" s="6" t="n">
        <v>2</v>
      </c>
      <c r="N65" s="6" t="n">
        <v>158.4</v>
      </c>
      <c r="O65" s="6" t="n">
        <v>0</v>
      </c>
      <c r="P65" s="5" t="n">
        <v>0</v>
      </c>
      <c r="Q65" s="8" t="n">
        <v>0</v>
      </c>
      <c r="R65" s="1" t="inlineStr">
        <is>
          <t>Riesgo bajo stock</t>
        </is>
      </c>
    </row>
    <row r="66">
      <c r="A66" s="1" t="inlineStr">
        <is>
          <t>TOA12CLI</t>
        </is>
      </c>
      <c r="B66" s="1" t="inlineStr">
        <is>
          <t>TOALLA CLIP 2.0</t>
        </is>
      </c>
      <c r="C66" s="1" t="inlineStr">
        <is>
          <t>Equipamiento / Toallas</t>
        </is>
      </c>
      <c r="D66" s="5" t="n">
        <v>10054.131552134</v>
      </c>
      <c r="E66" s="8" t="n">
        <v>0.002461578876890299</v>
      </c>
      <c r="F66" s="8" t="n">
        <v>0.2629562700583878</v>
      </c>
      <c r="G66" s="1" t="inlineStr">
        <is>
          <t>A</t>
        </is>
      </c>
      <c r="H66" s="6" t="n">
        <v>195</v>
      </c>
      <c r="I66" s="6" t="n">
        <v>5.11</v>
      </c>
      <c r="J66" s="5" t="n">
        <v>996.45</v>
      </c>
      <c r="K66" s="6" t="n">
        <v>40.3</v>
      </c>
      <c r="L66" s="6" t="n">
        <v>4.838709677419355</v>
      </c>
      <c r="M66" s="6" t="n">
        <v>2</v>
      </c>
      <c r="N66" s="6" t="n">
        <v>80.59999999999999</v>
      </c>
      <c r="O66" s="6" t="n">
        <v>114.4</v>
      </c>
      <c r="P66" s="5" t="n">
        <v>584.5840000000001</v>
      </c>
      <c r="Q66" s="8" t="n">
        <v>0.5866666666666667</v>
      </c>
      <c r="R66" s="1" t="inlineStr">
        <is>
          <t>Sobrestock crítico</t>
        </is>
      </c>
    </row>
    <row r="67">
      <c r="A67" s="1" t="inlineStr">
        <is>
          <t>TOA198ES</t>
        </is>
      </c>
      <c r="B67" s="1" t="inlineStr">
        <is>
          <t>TOALLA ESTAMPADA 2.0</t>
        </is>
      </c>
      <c r="C67" s="1" t="inlineStr">
        <is>
          <t>Equipamiento / Toallas</t>
        </is>
      </c>
      <c r="D67" s="5" t="n">
        <v>10052.33197496</v>
      </c>
      <c r="E67" s="8" t="n">
        <v>0.002461138281784109</v>
      </c>
      <c r="F67" s="8" t="n">
        <v>0.265417408340172</v>
      </c>
      <c r="G67" s="1" t="inlineStr">
        <is>
          <t>A</t>
        </is>
      </c>
      <c r="H67" s="6" t="n">
        <v>432</v>
      </c>
      <c r="I67" s="6" t="n">
        <v>5.92</v>
      </c>
      <c r="J67" s="5" t="n">
        <v>2557.44</v>
      </c>
      <c r="K67" s="6" t="n">
        <v>22.7</v>
      </c>
      <c r="L67" s="6" t="n">
        <v>19.03083700440529</v>
      </c>
      <c r="M67" s="6" t="n">
        <v>2</v>
      </c>
      <c r="N67" s="6" t="n">
        <v>45.4</v>
      </c>
      <c r="O67" s="6" t="n">
        <v>386.6</v>
      </c>
      <c r="P67" s="5" t="n">
        <v>2288.672</v>
      </c>
      <c r="Q67" s="8" t="n">
        <v>0.8949074074074074</v>
      </c>
      <c r="R67" s="1" t="inlineStr">
        <is>
          <t>Sobrestock crítico</t>
        </is>
      </c>
    </row>
    <row r="68">
      <c r="A68" s="1" t="inlineStr">
        <is>
          <t>MARMICA12TM</t>
        </is>
      </c>
      <c r="B68" s="1" t="inlineStr">
        <is>
          <t>MAR ORIGINAL CAB</t>
        </is>
      </c>
      <c r="C68" s="1" t="inlineStr">
        <is>
          <t>Manufactura / Caballero / P. Superiores</t>
        </is>
      </c>
      <c r="D68" s="5" t="n">
        <v>10006.61631858</v>
      </c>
      <c r="E68" s="8" t="n">
        <v>0.002449945600098509</v>
      </c>
      <c r="F68" s="8" t="n">
        <v>0.2678673539402705</v>
      </c>
      <c r="G68" s="1" t="inlineStr">
        <is>
          <t>A</t>
        </is>
      </c>
      <c r="H68" s="6" t="n">
        <v>24</v>
      </c>
      <c r="I68" s="6" t="n">
        <v>4.946357428</v>
      </c>
      <c r="J68" s="5" t="n">
        <v>118.712578272</v>
      </c>
      <c r="K68" s="6" t="n">
        <v>23.2</v>
      </c>
      <c r="L68" s="6" t="n">
        <v>1.03448275862069</v>
      </c>
      <c r="M68" s="6" t="n">
        <v>2</v>
      </c>
      <c r="N68" s="6" t="n">
        <v>46.4</v>
      </c>
      <c r="O68" s="6" t="n">
        <v>0</v>
      </c>
      <c r="P68" s="5" t="n">
        <v>0</v>
      </c>
      <c r="Q68" s="8" t="n">
        <v>0</v>
      </c>
      <c r="R68" s="1" t="inlineStr">
        <is>
          <t>OK</t>
        </is>
      </c>
    </row>
    <row r="69">
      <c r="A69" s="1" t="inlineStr">
        <is>
          <t>PAP66EQ</t>
        </is>
      </c>
      <c r="B69" s="1" t="inlineStr">
        <is>
          <t>PACKING SET PRO</t>
        </is>
      </c>
      <c r="C69" s="1" t="inlineStr">
        <is>
          <t>Equipamiento / Bolsos</t>
        </is>
      </c>
      <c r="D69" s="5" t="n">
        <v>9985.954799749999</v>
      </c>
      <c r="E69" s="8" t="n">
        <v>0.002444886987322988</v>
      </c>
      <c r="F69" s="8" t="n">
        <v>0.2703122409275934</v>
      </c>
      <c r="G69" s="1" t="inlineStr">
        <is>
          <t>A</t>
        </is>
      </c>
      <c r="H69" s="6" t="n">
        <v>1209</v>
      </c>
      <c r="I69" s="6" t="n">
        <v>11.32</v>
      </c>
      <c r="J69" s="5" t="n">
        <v>13685.88</v>
      </c>
      <c r="K69" s="6" t="n">
        <v>29.2</v>
      </c>
      <c r="L69" s="6" t="n">
        <v>41.4041095890411</v>
      </c>
      <c r="M69" s="6" t="n">
        <v>2</v>
      </c>
      <c r="N69" s="6" t="n">
        <v>58.4</v>
      </c>
      <c r="O69" s="6" t="n">
        <v>1150.6</v>
      </c>
      <c r="P69" s="5" t="n">
        <v>13024.792</v>
      </c>
      <c r="Q69" s="8" t="n">
        <v>0.9516956162117451</v>
      </c>
      <c r="R69" s="1" t="inlineStr">
        <is>
          <t>Sobrestock crítico</t>
        </is>
      </c>
    </row>
    <row r="70">
      <c r="A70" s="1" t="inlineStr">
        <is>
          <t>DRY435L</t>
        </is>
      </c>
      <c r="B70" s="1" t="inlineStr">
        <is>
          <t>DRY BAG 5L</t>
        </is>
      </c>
      <c r="C70" s="1" t="inlineStr">
        <is>
          <t>Equipamiento / Bolsos</t>
        </is>
      </c>
      <c r="D70" s="5" t="n">
        <v>9952.075003219999</v>
      </c>
      <c r="E70" s="8" t="n">
        <v>0.002436592109634234</v>
      </c>
      <c r="F70" s="8" t="n">
        <v>0.2727488330372277</v>
      </c>
      <c r="G70" s="1" t="inlineStr">
        <is>
          <t>A</t>
        </is>
      </c>
      <c r="H70" s="6" t="n">
        <v>430</v>
      </c>
      <c r="I70" s="6" t="n">
        <v>4.91</v>
      </c>
      <c r="J70" s="5" t="n">
        <v>2111.3</v>
      </c>
      <c r="K70" s="6" t="n">
        <v>26.4</v>
      </c>
      <c r="L70" s="6" t="n">
        <v>16.28787878787879</v>
      </c>
      <c r="M70" s="6" t="n">
        <v>2</v>
      </c>
      <c r="N70" s="6" t="n">
        <v>52.8</v>
      </c>
      <c r="O70" s="6" t="n">
        <v>377.2</v>
      </c>
      <c r="P70" s="5" t="n">
        <v>1852.052</v>
      </c>
      <c r="Q70" s="8" t="n">
        <v>0.8772093023255813</v>
      </c>
      <c r="R70" s="1" t="inlineStr">
        <is>
          <t>Sobrestock crítico</t>
        </is>
      </c>
    </row>
    <row r="71">
      <c r="A71" s="1" t="inlineStr">
        <is>
          <t>PAC12EQ</t>
        </is>
      </c>
      <c r="B71" s="1" t="inlineStr">
        <is>
          <t>PACKING SET</t>
        </is>
      </c>
      <c r="C71" s="1" t="inlineStr">
        <is>
          <t>Equipamiento / Bolsos</t>
        </is>
      </c>
      <c r="D71" s="5" t="n">
        <v>9847.583307319999</v>
      </c>
      <c r="E71" s="8" t="n">
        <v>0.002411009139080871</v>
      </c>
      <c r="F71" s="8" t="n">
        <v>0.2751598421763086</v>
      </c>
      <c r="G71" s="1" t="inlineStr">
        <is>
          <t>A</t>
        </is>
      </c>
      <c r="H71" s="6" t="n">
        <v>5</v>
      </c>
      <c r="I71" s="6" t="n">
        <v>10.16</v>
      </c>
      <c r="J71" s="5" t="n">
        <v>50.8</v>
      </c>
      <c r="K71" s="6" t="n">
        <v>47</v>
      </c>
      <c r="L71" s="6" t="n">
        <v>0.1063829787234043</v>
      </c>
      <c r="M71" s="6" t="n">
        <v>2</v>
      </c>
      <c r="N71" s="6" t="n">
        <v>94</v>
      </c>
      <c r="O71" s="6" t="n">
        <v>0</v>
      </c>
      <c r="P71" s="5" t="n">
        <v>0</v>
      </c>
      <c r="Q71" s="8" t="n">
        <v>0</v>
      </c>
      <c r="R71" s="1" t="inlineStr">
        <is>
          <t>Sin rotación</t>
        </is>
      </c>
    </row>
    <row r="72">
      <c r="A72" s="1" t="inlineStr">
        <is>
          <t>REFAMATOEQ03EQ</t>
        </is>
      </c>
      <c r="B72" s="1" t="inlineStr">
        <is>
          <t>REFRESH AMARILLO</t>
        </is>
      </c>
      <c r="C72" s="1" t="inlineStr">
        <is>
          <t>Manufactura / Refresh</t>
        </is>
      </c>
      <c r="D72" s="5" t="n">
        <v>9795.16117152</v>
      </c>
      <c r="E72" s="8" t="n">
        <v>0.002398174492796641</v>
      </c>
      <c r="F72" s="8" t="n">
        <v>0.2775580166691052</v>
      </c>
      <c r="G72" s="1" t="inlineStr">
        <is>
          <t>A</t>
        </is>
      </c>
      <c r="H72" s="6" t="n">
        <v>51</v>
      </c>
      <c r="I72" s="6" t="n">
        <v>12.02</v>
      </c>
      <c r="J72" s="5" t="n">
        <v>613.02</v>
      </c>
      <c r="K72" s="6" t="n">
        <v>33.4</v>
      </c>
      <c r="L72" s="6" t="n">
        <v>1.526946107784431</v>
      </c>
      <c r="M72" s="6" t="n">
        <v>2</v>
      </c>
      <c r="N72" s="6" t="n">
        <v>66.8</v>
      </c>
      <c r="O72" s="6" t="n">
        <v>0</v>
      </c>
      <c r="P72" s="5" t="n">
        <v>0</v>
      </c>
      <c r="Q72" s="8" t="n">
        <v>0</v>
      </c>
      <c r="R72" s="1" t="inlineStr">
        <is>
          <t>OK</t>
        </is>
      </c>
    </row>
    <row r="73">
      <c r="A73" s="1" t="inlineStr">
        <is>
          <t>PANNTCA43TM</t>
        </is>
      </c>
      <c r="B73" s="1" t="inlineStr">
        <is>
          <t>EXPLORE PANTS CAB</t>
        </is>
      </c>
      <c r="C73" s="1" t="inlineStr">
        <is>
          <t>Manufactura / Caballero / P. Inferiores</t>
        </is>
      </c>
      <c r="D73" s="5" t="n">
        <v>9709.01306137</v>
      </c>
      <c r="E73" s="8" t="n">
        <v>0.002377082629503461</v>
      </c>
      <c r="F73" s="8" t="n">
        <v>0.2799350992986087</v>
      </c>
      <c r="G73" s="1" t="inlineStr">
        <is>
          <t>A</t>
        </is>
      </c>
      <c r="H73" s="6" t="n">
        <v>93</v>
      </c>
      <c r="I73" s="6" t="n">
        <v>15.68994502</v>
      </c>
      <c r="J73" s="5" t="n">
        <v>1459.16488686</v>
      </c>
      <c r="K73" s="6" t="n">
        <v>15.2</v>
      </c>
      <c r="L73" s="6" t="n">
        <v>6.11842105263158</v>
      </c>
      <c r="M73" s="6" t="n">
        <v>2</v>
      </c>
      <c r="N73" s="6" t="n">
        <v>30.4</v>
      </c>
      <c r="O73" s="6" t="n">
        <v>62.6</v>
      </c>
      <c r="P73" s="5" t="n">
        <v>982.190558252</v>
      </c>
      <c r="Q73" s="8" t="n">
        <v>0.6731182795698925</v>
      </c>
      <c r="R73" s="1" t="inlineStr">
        <is>
          <t>Sobrestock crítico</t>
        </is>
      </c>
    </row>
    <row r="74">
      <c r="A74" s="1" t="inlineStr">
        <is>
          <t>CGCSCA16TM</t>
        </is>
      </c>
      <c r="B74" s="1" t="inlineStr">
        <is>
          <t>CLASICA GC SUBLIMADO CAB</t>
        </is>
      </c>
      <c r="C74" s="1" t="inlineStr">
        <is>
          <t>Manufactura / Caballero / P. Superiores</t>
        </is>
      </c>
      <c r="D74" s="5" t="n">
        <v>9376.5678739</v>
      </c>
      <c r="E74" s="8" t="n">
        <v>0.002295689219544916</v>
      </c>
      <c r="F74" s="8" t="n">
        <v>0.2822307885181536</v>
      </c>
      <c r="G74" s="1" t="inlineStr">
        <is>
          <t>A</t>
        </is>
      </c>
      <c r="H74" s="6" t="n">
        <v>0</v>
      </c>
      <c r="I74" s="6" t="n">
        <v>0</v>
      </c>
      <c r="J74" s="5" t="n">
        <v>0</v>
      </c>
      <c r="K74" s="6" t="n">
        <v>74.2</v>
      </c>
      <c r="L74" s="6" t="n">
        <v>0</v>
      </c>
      <c r="M74" s="6" t="n">
        <v>2</v>
      </c>
      <c r="N74" s="6" t="n">
        <v>148.4</v>
      </c>
      <c r="O74" s="6" t="n">
        <v>0</v>
      </c>
      <c r="P74" s="5" t="n">
        <v>0</v>
      </c>
      <c r="Q74" s="8" t="n">
        <v>0</v>
      </c>
      <c r="R74" s="1" t="inlineStr">
        <is>
          <t>Riesgo bajo stock</t>
        </is>
      </c>
    </row>
    <row r="75">
      <c r="A75" s="1" t="inlineStr">
        <is>
          <t>TOT5020L</t>
        </is>
      </c>
      <c r="B75" s="1" t="inlineStr">
        <is>
          <t>TOTE BAG</t>
        </is>
      </c>
      <c r="C75" s="1" t="inlineStr">
        <is>
          <t>Equipamiento / Bolsos</t>
        </is>
      </c>
      <c r="D75" s="5" t="n">
        <v>9239.961947180462</v>
      </c>
      <c r="E75" s="8" t="n">
        <v>0.002262243639294927</v>
      </c>
      <c r="F75" s="8" t="n">
        <v>0.2844930321574485</v>
      </c>
      <c r="G75" s="1" t="inlineStr">
        <is>
          <t>A</t>
        </is>
      </c>
      <c r="H75" s="6" t="n">
        <v>277</v>
      </c>
      <c r="I75" s="6" t="n">
        <v>11.95</v>
      </c>
      <c r="J75" s="5" t="n">
        <v>3310.15</v>
      </c>
      <c r="K75" s="6" t="n">
        <v>19.4</v>
      </c>
      <c r="L75" s="6" t="n">
        <v>14.27835051546392</v>
      </c>
      <c r="M75" s="6" t="n">
        <v>2</v>
      </c>
      <c r="N75" s="6" t="n">
        <v>38.8</v>
      </c>
      <c r="O75" s="6" t="n">
        <v>238.2</v>
      </c>
      <c r="P75" s="5" t="n">
        <v>2846.49</v>
      </c>
      <c r="Q75" s="8" t="n">
        <v>0.859927797833935</v>
      </c>
      <c r="R75" s="1" t="inlineStr">
        <is>
          <t>Sobrestock crítico</t>
        </is>
      </c>
    </row>
    <row r="76">
      <c r="A76" s="1" t="inlineStr">
        <is>
          <t>MARMICA16TL</t>
        </is>
      </c>
      <c r="B76" s="1" t="inlineStr">
        <is>
          <t>MAR ORIGINAL CAB</t>
        </is>
      </c>
      <c r="C76" s="1" t="inlineStr">
        <is>
          <t>Manufactura / Caballero / P. Superiores</t>
        </is>
      </c>
      <c r="D76" s="5" t="n">
        <v>9231.728377871441</v>
      </c>
      <c r="E76" s="8" t="n">
        <v>0.002260227793352649</v>
      </c>
      <c r="F76" s="8" t="n">
        <v>0.2867532599508011</v>
      </c>
      <c r="G76" s="1" t="inlineStr">
        <is>
          <t>A</t>
        </is>
      </c>
      <c r="H76" s="6" t="n">
        <v>48</v>
      </c>
      <c r="I76" s="6" t="n">
        <v>4.946357428</v>
      </c>
      <c r="J76" s="5" t="n">
        <v>237.425156544</v>
      </c>
      <c r="K76" s="6" t="n">
        <v>20.6</v>
      </c>
      <c r="L76" s="6" t="n">
        <v>2.330097087378641</v>
      </c>
      <c r="M76" s="6" t="n">
        <v>2</v>
      </c>
      <c r="N76" s="6" t="n">
        <v>41.2</v>
      </c>
      <c r="O76" s="6" t="n">
        <v>6.799999999999997</v>
      </c>
      <c r="P76" s="5" t="n">
        <v>33.63523051039999</v>
      </c>
      <c r="Q76" s="8" t="n">
        <v>0.1416666666666666</v>
      </c>
      <c r="R76" s="1" t="inlineStr">
        <is>
          <t>Sobrestock</t>
        </is>
      </c>
    </row>
    <row r="77">
      <c r="A77" s="1" t="inlineStr">
        <is>
          <t>MARMIDA16TS</t>
        </is>
      </c>
      <c r="B77" s="1" t="inlineStr">
        <is>
          <t>MAR ORIGINAL DAMA</t>
        </is>
      </c>
      <c r="C77" s="1" t="inlineStr">
        <is>
          <t>Manufactura / Dama / P. Superiores</t>
        </is>
      </c>
      <c r="D77" s="5" t="n">
        <v>9207.513595210001</v>
      </c>
      <c r="E77" s="8" t="n">
        <v>0.002254299225857902</v>
      </c>
      <c r="F77" s="8" t="n">
        <v>0.289007559176659</v>
      </c>
      <c r="G77" s="1" t="inlineStr">
        <is>
          <t>A</t>
        </is>
      </c>
      <c r="H77" s="6" t="n">
        <v>26</v>
      </c>
      <c r="I77" s="6" t="n">
        <v>4.278324149</v>
      </c>
      <c r="J77" s="5" t="n">
        <v>111.236427874</v>
      </c>
      <c r="K77" s="6" t="n">
        <v>19.4</v>
      </c>
      <c r="L77" s="6" t="n">
        <v>1.34020618556701</v>
      </c>
      <c r="M77" s="6" t="n">
        <v>2</v>
      </c>
      <c r="N77" s="6" t="n">
        <v>38.8</v>
      </c>
      <c r="O77" s="6" t="n">
        <v>0</v>
      </c>
      <c r="P77" s="5" t="n">
        <v>0</v>
      </c>
      <c r="Q77" s="8" t="n">
        <v>0</v>
      </c>
      <c r="R77" s="1" t="inlineStr">
        <is>
          <t>OK</t>
        </is>
      </c>
    </row>
    <row r="78">
      <c r="A78" s="1" t="inlineStr">
        <is>
          <t>DRY165L</t>
        </is>
      </c>
      <c r="B78" s="1" t="inlineStr">
        <is>
          <t>DRY BAG 5L</t>
        </is>
      </c>
      <c r="C78" s="1" t="inlineStr">
        <is>
          <t>Equipamiento / Bolsos</t>
        </is>
      </c>
      <c r="D78" s="5" t="n">
        <v>9158.36741588</v>
      </c>
      <c r="E78" s="8" t="n">
        <v>0.002242266640418644</v>
      </c>
      <c r="F78" s="8" t="n">
        <v>0.2912498258170777</v>
      </c>
      <c r="G78" s="1" t="inlineStr">
        <is>
          <t>A</t>
        </is>
      </c>
      <c r="H78" s="6" t="n">
        <v>47</v>
      </c>
      <c r="I78" s="6" t="n">
        <v>4.91</v>
      </c>
      <c r="J78" s="5" t="n">
        <v>230.77</v>
      </c>
      <c r="K78" s="6" t="n">
        <v>27.8</v>
      </c>
      <c r="L78" s="6" t="n">
        <v>1.690647482014388</v>
      </c>
      <c r="M78" s="6" t="n">
        <v>2</v>
      </c>
      <c r="N78" s="6" t="n">
        <v>55.6</v>
      </c>
      <c r="O78" s="6" t="n">
        <v>0</v>
      </c>
      <c r="P78" s="5" t="n">
        <v>0</v>
      </c>
      <c r="Q78" s="8" t="n">
        <v>0</v>
      </c>
      <c r="R78" s="1" t="inlineStr">
        <is>
          <t>OK</t>
        </is>
      </c>
    </row>
    <row r="79">
      <c r="A79" s="1" t="inlineStr">
        <is>
          <t>JAPCA43T2XL</t>
        </is>
      </c>
      <c r="B79" s="1" t="inlineStr">
        <is>
          <t>CUADRO JACKET 2.0 CAB</t>
        </is>
      </c>
      <c r="C79" s="1" t="inlineStr">
        <is>
          <t>Equipamiento / Ropa</t>
        </is>
      </c>
      <c r="D79" s="5" t="n">
        <v>9118.20990299</v>
      </c>
      <c r="E79" s="8" t="n">
        <v>0.002232434773293583</v>
      </c>
      <c r="F79" s="8" t="n">
        <v>0.2934822605903713</v>
      </c>
      <c r="G79" s="1" t="inlineStr">
        <is>
          <t>A</t>
        </is>
      </c>
      <c r="H79" s="6" t="n">
        <v>399</v>
      </c>
      <c r="I79" s="6" t="n">
        <v>20.25000225</v>
      </c>
      <c r="J79" s="5" t="n">
        <v>8079.75089775</v>
      </c>
      <c r="K79" s="6" t="n">
        <v>11</v>
      </c>
      <c r="L79" s="6" t="n">
        <v>36.27272727272727</v>
      </c>
      <c r="M79" s="6" t="n">
        <v>2</v>
      </c>
      <c r="N79" s="6" t="n">
        <v>22</v>
      </c>
      <c r="O79" s="6" t="n">
        <v>377</v>
      </c>
      <c r="P79" s="5" t="n">
        <v>7634.250848250001</v>
      </c>
      <c r="Q79" s="8" t="n">
        <v>0.9448621553884713</v>
      </c>
      <c r="R79" s="1" t="inlineStr">
        <is>
          <t>Sobrestock crítico</t>
        </is>
      </c>
    </row>
    <row r="80">
      <c r="A80" s="1" t="inlineStr">
        <is>
          <t>JAPDA35TS</t>
        </is>
      </c>
      <c r="B80" s="1" t="inlineStr">
        <is>
          <t>CUADRO JACKET 2.0 DAMA</t>
        </is>
      </c>
      <c r="C80" s="1" t="inlineStr">
        <is>
          <t>Equipamiento / Ropa</t>
        </is>
      </c>
      <c r="D80" s="5" t="n">
        <v>8947.62537586</v>
      </c>
      <c r="E80" s="8" t="n">
        <v>0.002190670124946764</v>
      </c>
      <c r="F80" s="8" t="n">
        <v>0.295672930715318</v>
      </c>
      <c r="G80" s="1" t="inlineStr">
        <is>
          <t>A</t>
        </is>
      </c>
      <c r="H80" s="6" t="n">
        <v>196</v>
      </c>
      <c r="I80" s="6" t="n">
        <v>20.25</v>
      </c>
      <c r="J80" s="5" t="n">
        <v>3969</v>
      </c>
      <c r="K80" s="6" t="n">
        <v>11.5</v>
      </c>
      <c r="L80" s="6" t="n">
        <v>17.04347826086957</v>
      </c>
      <c r="M80" s="6" t="n">
        <v>2</v>
      </c>
      <c r="N80" s="6" t="n">
        <v>23</v>
      </c>
      <c r="O80" s="6" t="n">
        <v>173</v>
      </c>
      <c r="P80" s="5" t="n">
        <v>3503.25</v>
      </c>
      <c r="Q80" s="8" t="n">
        <v>0.8826530612244898</v>
      </c>
      <c r="R80" s="1" t="inlineStr">
        <is>
          <t>Sobrestock crítico</t>
        </is>
      </c>
    </row>
    <row r="81">
      <c r="A81" s="1" t="inlineStr">
        <is>
          <t>MARMICA66TL</t>
        </is>
      </c>
      <c r="B81" s="1" t="inlineStr">
        <is>
          <t>MAR ORIGINAL CAB</t>
        </is>
      </c>
      <c r="C81" s="1" t="inlineStr">
        <is>
          <t>Manufactura / Caballero / P. Superiores</t>
        </is>
      </c>
      <c r="D81" s="5" t="n">
        <v>8908.373191230001</v>
      </c>
      <c r="E81" s="8" t="n">
        <v>0.00218105991166718</v>
      </c>
      <c r="F81" s="8" t="n">
        <v>0.2978539906269852</v>
      </c>
      <c r="G81" s="1" t="inlineStr">
        <is>
          <t>A</t>
        </is>
      </c>
      <c r="H81" s="6" t="n">
        <v>34</v>
      </c>
      <c r="I81" s="6" t="n">
        <v>4.946357428</v>
      </c>
      <c r="J81" s="5" t="n">
        <v>168.176152552</v>
      </c>
      <c r="K81" s="6" t="n">
        <v>18.3</v>
      </c>
      <c r="L81" s="6" t="n">
        <v>1.857923497267759</v>
      </c>
      <c r="M81" s="6" t="n">
        <v>2</v>
      </c>
      <c r="N81" s="6" t="n">
        <v>36.6</v>
      </c>
      <c r="O81" s="6" t="n">
        <v>0</v>
      </c>
      <c r="P81" s="5" t="n">
        <v>0</v>
      </c>
      <c r="Q81" s="8" t="n">
        <v>0</v>
      </c>
      <c r="R81" s="1" t="inlineStr">
        <is>
          <t>OK</t>
        </is>
      </c>
    </row>
    <row r="82">
      <c r="A82" s="1" t="inlineStr">
        <is>
          <t>JAPCA66TM</t>
        </is>
      </c>
      <c r="B82" s="1" t="inlineStr">
        <is>
          <t>CUADRO JACKET 2.0 CAB</t>
        </is>
      </c>
      <c r="C82" s="1" t="inlineStr">
        <is>
          <t>Equipamiento / Ropa</t>
        </is>
      </c>
      <c r="D82" s="5" t="n">
        <v>8899.163690072746</v>
      </c>
      <c r="E82" s="8" t="n">
        <v>0.002178805125821397</v>
      </c>
      <c r="F82" s="8" t="n">
        <v>0.3000327957528066</v>
      </c>
      <c r="G82" s="1" t="inlineStr">
        <is>
          <t>A</t>
        </is>
      </c>
      <c r="H82" s="6" t="n">
        <v>334</v>
      </c>
      <c r="I82" s="6" t="n">
        <v>20.25000225</v>
      </c>
      <c r="J82" s="5" t="n">
        <v>6763.500751500001</v>
      </c>
      <c r="K82" s="6" t="n">
        <v>11.2</v>
      </c>
      <c r="L82" s="6" t="n">
        <v>29.82142857142857</v>
      </c>
      <c r="M82" s="6" t="n">
        <v>2</v>
      </c>
      <c r="N82" s="6" t="n">
        <v>22.4</v>
      </c>
      <c r="O82" s="6" t="n">
        <v>311.6</v>
      </c>
      <c r="P82" s="5" t="n">
        <v>6309.900701100001</v>
      </c>
      <c r="Q82" s="8" t="n">
        <v>0.9329341317365271</v>
      </c>
      <c r="R82" s="1" t="inlineStr">
        <is>
          <t>Sobrestock crítico</t>
        </is>
      </c>
    </row>
    <row r="83">
      <c r="A83" s="1" t="inlineStr">
        <is>
          <t>PAP33EQ</t>
        </is>
      </c>
      <c r="B83" s="1" t="inlineStr">
        <is>
          <t>PACKING SET PRO</t>
        </is>
      </c>
      <c r="C83" s="1" t="inlineStr">
        <is>
          <t>Equipamiento / Bolsos</t>
        </is>
      </c>
      <c r="D83" s="5" t="n">
        <v>8869.563626468407</v>
      </c>
      <c r="E83" s="8" t="n">
        <v>0.002171558066147945</v>
      </c>
      <c r="F83" s="8" t="n">
        <v>0.3022043538189546</v>
      </c>
      <c r="G83" s="1" t="inlineStr">
        <is>
          <t>A</t>
        </is>
      </c>
      <c r="H83" s="6" t="n">
        <v>1242</v>
      </c>
      <c r="I83" s="6" t="n">
        <v>11.32</v>
      </c>
      <c r="J83" s="5" t="n">
        <v>14059.44</v>
      </c>
      <c r="K83" s="6" t="n">
        <v>25.4</v>
      </c>
      <c r="L83" s="6" t="n">
        <v>48.89763779527559</v>
      </c>
      <c r="M83" s="6" t="n">
        <v>2</v>
      </c>
      <c r="N83" s="6" t="n">
        <v>50.8</v>
      </c>
      <c r="O83" s="6" t="n">
        <v>1191.2</v>
      </c>
      <c r="P83" s="5" t="n">
        <v>13484.384</v>
      </c>
      <c r="Q83" s="8" t="n">
        <v>0.9590982286634461</v>
      </c>
      <c r="R83" s="1" t="inlineStr">
        <is>
          <t>Sobrestock crítico</t>
        </is>
      </c>
    </row>
    <row r="84">
      <c r="A84" s="1" t="inlineStr">
        <is>
          <t>KOA131KA</t>
        </is>
      </c>
      <c r="B84" s="1" t="inlineStr">
        <is>
          <t>MINI BAG</t>
        </is>
      </c>
      <c r="C84" s="1" t="inlineStr">
        <is>
          <t>Equipamiento / Bolsos</t>
        </is>
      </c>
      <c r="D84" s="5" t="n">
        <v>8791.891536866704</v>
      </c>
      <c r="E84" s="8" t="n">
        <v>0.002152541408757292</v>
      </c>
      <c r="F84" s="8" t="n">
        <v>0.3043568952277119</v>
      </c>
      <c r="G84" s="1" t="inlineStr">
        <is>
          <t>A</t>
        </is>
      </c>
      <c r="H84" s="6" t="n">
        <v>471</v>
      </c>
      <c r="I84" s="6" t="n">
        <v>6.33</v>
      </c>
      <c r="J84" s="5" t="n">
        <v>2981.43</v>
      </c>
      <c r="K84" s="6" t="n">
        <v>24</v>
      </c>
      <c r="L84" s="6" t="n">
        <v>19.625</v>
      </c>
      <c r="M84" s="6" t="n">
        <v>2</v>
      </c>
      <c r="N84" s="6" t="n">
        <v>48</v>
      </c>
      <c r="O84" s="6" t="n">
        <v>423</v>
      </c>
      <c r="P84" s="5" t="n">
        <v>2677.59</v>
      </c>
      <c r="Q84" s="8" t="n">
        <v>0.8980891719745224</v>
      </c>
      <c r="R84" s="1" t="inlineStr">
        <is>
          <t>Sobrestock crítico</t>
        </is>
      </c>
    </row>
    <row r="85">
      <c r="A85" s="1" t="inlineStr">
        <is>
          <t>TOA43PL</t>
        </is>
      </c>
      <c r="B85" s="1" t="inlineStr">
        <is>
          <t>TOALLA PLAYA</t>
        </is>
      </c>
      <c r="C85" s="1" t="inlineStr">
        <is>
          <t>Equipamiento / Toallas</t>
        </is>
      </c>
      <c r="D85" s="5" t="n">
        <v>8691.229340239999</v>
      </c>
      <c r="E85" s="8" t="n">
        <v>0.002127896024356579</v>
      </c>
      <c r="F85" s="8" t="n">
        <v>0.3064847912520685</v>
      </c>
      <c r="G85" s="1" t="inlineStr">
        <is>
          <t>A</t>
        </is>
      </c>
      <c r="H85" s="6" t="n">
        <v>872</v>
      </c>
      <c r="I85" s="6" t="n">
        <v>4.83</v>
      </c>
      <c r="J85" s="5" t="n">
        <v>4211.76</v>
      </c>
      <c r="K85" s="6" t="n">
        <v>27.3</v>
      </c>
      <c r="L85" s="6" t="n">
        <v>31.94139194139194</v>
      </c>
      <c r="M85" s="6" t="n">
        <v>2</v>
      </c>
      <c r="N85" s="6" t="n">
        <v>54.6</v>
      </c>
      <c r="O85" s="6" t="n">
        <v>817.4</v>
      </c>
      <c r="P85" s="5" t="n">
        <v>3948.042</v>
      </c>
      <c r="Q85" s="8" t="n">
        <v>0.9373853211009173</v>
      </c>
      <c r="R85" s="1" t="inlineStr">
        <is>
          <t>Sobrestock crítico</t>
        </is>
      </c>
    </row>
    <row r="86">
      <c r="A86" s="1" t="inlineStr">
        <is>
          <t>TOA127ES</t>
        </is>
      </c>
      <c r="B86" s="1" t="inlineStr">
        <is>
          <t>TOALLA ESTAMPADA</t>
        </is>
      </c>
      <c r="C86" s="1" t="inlineStr">
        <is>
          <t>Equipamiento / Toallas</t>
        </is>
      </c>
      <c r="D86" s="5" t="n">
        <v>8683.471802846574</v>
      </c>
      <c r="E86" s="8" t="n">
        <v>0.002125996726532066</v>
      </c>
      <c r="F86" s="8" t="n">
        <v>0.3086107879786005</v>
      </c>
      <c r="G86" s="1" t="inlineStr">
        <is>
          <t>A</t>
        </is>
      </c>
      <c r="H86" s="6" t="n">
        <v>812</v>
      </c>
      <c r="I86" s="6" t="n">
        <v>6.29</v>
      </c>
      <c r="J86" s="5" t="n">
        <v>5107.48</v>
      </c>
      <c r="K86" s="6" t="n">
        <v>26.1</v>
      </c>
      <c r="L86" s="6" t="n">
        <v>31.11111111111111</v>
      </c>
      <c r="M86" s="6" t="n">
        <v>2</v>
      </c>
      <c r="N86" s="6" t="n">
        <v>52.2</v>
      </c>
      <c r="O86" s="6" t="n">
        <v>759.8</v>
      </c>
      <c r="P86" s="5" t="n">
        <v>4779.142</v>
      </c>
      <c r="Q86" s="8" t="n">
        <v>0.9357142857142856</v>
      </c>
      <c r="R86" s="1" t="inlineStr">
        <is>
          <t>Sobrestock crítico</t>
        </is>
      </c>
    </row>
    <row r="87">
      <c r="A87" s="1" t="inlineStr">
        <is>
          <t>PANNTDA43TM</t>
        </is>
      </c>
      <c r="B87" s="1" t="inlineStr">
        <is>
          <t>EXPLORE PANTS DAMA</t>
        </is>
      </c>
      <c r="C87" s="1" t="inlineStr">
        <is>
          <t>Manufactura / Dama / P. Inferiores</t>
        </is>
      </c>
      <c r="D87" s="5" t="n">
        <v>8563.10352954</v>
      </c>
      <c r="E87" s="8" t="n">
        <v>0.002096526652713872</v>
      </c>
      <c r="F87" s="8" t="n">
        <v>0.3107073146313143</v>
      </c>
      <c r="G87" s="1" t="inlineStr">
        <is>
          <t>A</t>
        </is>
      </c>
      <c r="H87" s="6" t="n">
        <v>34</v>
      </c>
      <c r="I87" s="6" t="n">
        <v>15.3928899</v>
      </c>
      <c r="J87" s="5" t="n">
        <v>523.3582566</v>
      </c>
      <c r="K87" s="6" t="n">
        <v>12.9</v>
      </c>
      <c r="L87" s="6" t="n">
        <v>2.635658914728682</v>
      </c>
      <c r="M87" s="6" t="n">
        <v>2</v>
      </c>
      <c r="N87" s="6" t="n">
        <v>25.8</v>
      </c>
      <c r="O87" s="6" t="n">
        <v>8.199999999999999</v>
      </c>
      <c r="P87" s="5" t="n">
        <v>126.22169718</v>
      </c>
      <c r="Q87" s="8" t="n">
        <v>0.2411764705882353</v>
      </c>
      <c r="R87" s="1" t="inlineStr">
        <is>
          <t>Sobrestock</t>
        </is>
      </c>
    </row>
    <row r="88">
      <c r="A88" s="1" t="inlineStr">
        <is>
          <t>JAPCA43TS</t>
        </is>
      </c>
      <c r="B88" s="1" t="inlineStr">
        <is>
          <t>CUADRO JACKET 2.0 CAB</t>
        </is>
      </c>
      <c r="C88" s="1" t="inlineStr">
        <is>
          <t>Equipamiento / Ropa</t>
        </is>
      </c>
      <c r="D88" s="5" t="n">
        <v>8554.15186407</v>
      </c>
      <c r="E88" s="8" t="n">
        <v>0.00209433499344229</v>
      </c>
      <c r="F88" s="8" t="n">
        <v>0.3128016496247567</v>
      </c>
      <c r="G88" s="1" t="inlineStr">
        <is>
          <t>A</t>
        </is>
      </c>
      <c r="H88" s="6" t="n">
        <v>295</v>
      </c>
      <c r="I88" s="6" t="n">
        <v>20.25000225</v>
      </c>
      <c r="J88" s="5" t="n">
        <v>5973.75066375</v>
      </c>
      <c r="K88" s="6" t="n">
        <v>10.7</v>
      </c>
      <c r="L88" s="6" t="n">
        <v>27.57009345794393</v>
      </c>
      <c r="M88" s="6" t="n">
        <v>2</v>
      </c>
      <c r="N88" s="6" t="n">
        <v>21.4</v>
      </c>
      <c r="O88" s="6" t="n">
        <v>273.6</v>
      </c>
      <c r="P88" s="5" t="n">
        <v>5540.4006156</v>
      </c>
      <c r="Q88" s="8" t="n">
        <v>0.9274576271186441</v>
      </c>
      <c r="R88" s="1" t="inlineStr">
        <is>
          <t>Sobrestock crítico</t>
        </is>
      </c>
    </row>
    <row r="89">
      <c r="A89" s="1" t="inlineStr">
        <is>
          <t>REFROJTOGE50EQ</t>
        </is>
      </c>
      <c r="B89" s="1" t="inlineStr">
        <is>
          <t>REFRESH ROJO</t>
        </is>
      </c>
      <c r="C89" s="1" t="inlineStr">
        <is>
          <t>Manufactura / Refresh</t>
        </is>
      </c>
      <c r="D89" s="5" t="n">
        <v>8511.95267606</v>
      </c>
      <c r="E89" s="8" t="n">
        <v>0.002084003257748491</v>
      </c>
      <c r="F89" s="8" t="n">
        <v>0.3148856528825051</v>
      </c>
      <c r="G89" s="1" t="inlineStr">
        <is>
          <t>A</t>
        </is>
      </c>
      <c r="H89" s="6" t="n">
        <v>22</v>
      </c>
      <c r="I89" s="6" t="n">
        <v>10.75</v>
      </c>
      <c r="J89" s="5" t="n">
        <v>236.5</v>
      </c>
      <c r="K89" s="6" t="n">
        <v>31.4</v>
      </c>
      <c r="L89" s="6" t="n">
        <v>0.7006369426751593</v>
      </c>
      <c r="M89" s="6" t="n">
        <v>2</v>
      </c>
      <c r="N89" s="6" t="n">
        <v>62.8</v>
      </c>
      <c r="O89" s="6" t="n">
        <v>0</v>
      </c>
      <c r="P89" s="5" t="n">
        <v>0</v>
      </c>
      <c r="Q89" s="8" t="n">
        <v>0</v>
      </c>
      <c r="R89" s="1" t="inlineStr">
        <is>
          <t>Riesgo bajo stock</t>
        </is>
      </c>
    </row>
    <row r="90">
      <c r="A90" s="1" t="inlineStr">
        <is>
          <t>CAP43PC</t>
        </is>
      </c>
      <c r="B90" s="1" t="inlineStr">
        <is>
          <t>PRO CAP</t>
        </is>
      </c>
      <c r="C90" s="1" t="inlineStr">
        <is>
          <t>Equipamiento / Gorras</t>
        </is>
      </c>
      <c r="D90" s="5" t="n">
        <v>8494.871728010001</v>
      </c>
      <c r="E90" s="8" t="n">
        <v>0.002079821285322616</v>
      </c>
      <c r="F90" s="8" t="n">
        <v>0.3169654741678277</v>
      </c>
      <c r="G90" s="1" t="inlineStr">
        <is>
          <t>A</t>
        </is>
      </c>
      <c r="H90" s="6" t="n">
        <v>310</v>
      </c>
      <c r="I90" s="6" t="n">
        <v>3.36</v>
      </c>
      <c r="J90" s="5" t="n">
        <v>1041.6</v>
      </c>
      <c r="K90" s="6" t="n">
        <v>30.4</v>
      </c>
      <c r="L90" s="6" t="n">
        <v>10.19736842105263</v>
      </c>
      <c r="M90" s="6" t="n">
        <v>2</v>
      </c>
      <c r="N90" s="6" t="n">
        <v>60.8</v>
      </c>
      <c r="O90" s="6" t="n">
        <v>249.2</v>
      </c>
      <c r="P90" s="5" t="n">
        <v>837.3119999999999</v>
      </c>
      <c r="Q90" s="8" t="n">
        <v>0.8038709677419354</v>
      </c>
      <c r="R90" s="1" t="inlineStr">
        <is>
          <t>Sobrestock crítico</t>
        </is>
      </c>
    </row>
    <row r="91">
      <c r="A91" s="1" t="inlineStr">
        <is>
          <t>TOA200ES</t>
        </is>
      </c>
      <c r="B91" s="1" t="inlineStr">
        <is>
          <t>TOALLA ESTAMPADA 2.0</t>
        </is>
      </c>
      <c r="C91" s="1" t="inlineStr">
        <is>
          <t>Equipamiento / Toallas</t>
        </is>
      </c>
      <c r="D91" s="5" t="n">
        <v>8419.48701209</v>
      </c>
      <c r="E91" s="8" t="n">
        <v>0.002061364651511249</v>
      </c>
      <c r="F91" s="8" t="n">
        <v>0.3190268388193391</v>
      </c>
      <c r="G91" s="1" t="inlineStr">
        <is>
          <t>A</t>
        </is>
      </c>
      <c r="H91" s="6" t="n">
        <v>471</v>
      </c>
      <c r="I91" s="6" t="n">
        <v>5.92</v>
      </c>
      <c r="J91" s="5" t="n">
        <v>2788.32</v>
      </c>
      <c r="K91" s="6" t="n">
        <v>18.9</v>
      </c>
      <c r="L91" s="6" t="n">
        <v>24.92063492063492</v>
      </c>
      <c r="M91" s="6" t="n">
        <v>2</v>
      </c>
      <c r="N91" s="6" t="n">
        <v>37.8</v>
      </c>
      <c r="O91" s="6" t="n">
        <v>433.2</v>
      </c>
      <c r="P91" s="5" t="n">
        <v>2564.544</v>
      </c>
      <c r="Q91" s="8" t="n">
        <v>0.9197452229299362</v>
      </c>
      <c r="R91" s="1" t="inlineStr">
        <is>
          <t>Sobrestock crítico</t>
        </is>
      </c>
    </row>
    <row r="92">
      <c r="A92" s="1" t="inlineStr">
        <is>
          <t>JAPDA16TXS</t>
        </is>
      </c>
      <c r="B92" s="1" t="inlineStr">
        <is>
          <t>CUADRO JACKET 2.0 DAMA</t>
        </is>
      </c>
      <c r="C92" s="1" t="inlineStr">
        <is>
          <t>Equipamiento / Ropa</t>
        </is>
      </c>
      <c r="D92" s="5" t="n">
        <v>8396.946661151609</v>
      </c>
      <c r="E92" s="8" t="n">
        <v>0.002055846039440189</v>
      </c>
      <c r="F92" s="8" t="n">
        <v>0.3210826848587793</v>
      </c>
      <c r="G92" s="1" t="inlineStr">
        <is>
          <t>A</t>
        </is>
      </c>
      <c r="H92" s="6" t="n">
        <v>133</v>
      </c>
      <c r="I92" s="6" t="n">
        <v>20.25</v>
      </c>
      <c r="J92" s="5" t="n">
        <v>2693.25</v>
      </c>
      <c r="K92" s="6" t="n">
        <v>10.7</v>
      </c>
      <c r="L92" s="6" t="n">
        <v>12.42990654205608</v>
      </c>
      <c r="M92" s="6" t="n">
        <v>2</v>
      </c>
      <c r="N92" s="6" t="n">
        <v>21.4</v>
      </c>
      <c r="O92" s="6" t="n">
        <v>111.6</v>
      </c>
      <c r="P92" s="5" t="n">
        <v>2259.9</v>
      </c>
      <c r="Q92" s="8" t="n">
        <v>0.8390977443609023</v>
      </c>
      <c r="R92" s="1" t="inlineStr">
        <is>
          <t>Sobrestock crítico</t>
        </is>
      </c>
    </row>
    <row r="93">
      <c r="A93" s="1" t="inlineStr">
        <is>
          <t>MARMIDA12TM</t>
        </is>
      </c>
      <c r="B93" s="1" t="inlineStr">
        <is>
          <t>MAR ORIGINAL DAMA</t>
        </is>
      </c>
      <c r="C93" s="1" t="inlineStr">
        <is>
          <t>Manufactura / Dama / P. Superiores</t>
        </is>
      </c>
      <c r="D93" s="5" t="n">
        <v>8396.355230319999</v>
      </c>
      <c r="E93" s="8" t="n">
        <v>0.002055701237909128</v>
      </c>
      <c r="F93" s="8" t="n">
        <v>0.3231383860966884</v>
      </c>
      <c r="G93" s="1" t="inlineStr">
        <is>
          <t>A</t>
        </is>
      </c>
      <c r="H93" s="6" t="n">
        <v>73</v>
      </c>
      <c r="I93" s="6" t="n">
        <v>4.278324149</v>
      </c>
      <c r="J93" s="5" t="n">
        <v>312.317662877</v>
      </c>
      <c r="K93" s="6" t="n">
        <v>23.5</v>
      </c>
      <c r="L93" s="6" t="n">
        <v>3.106382978723404</v>
      </c>
      <c r="M93" s="6" t="n">
        <v>2</v>
      </c>
      <c r="N93" s="6" t="n">
        <v>47</v>
      </c>
      <c r="O93" s="6" t="n">
        <v>26</v>
      </c>
      <c r="P93" s="5" t="n">
        <v>111.236427874</v>
      </c>
      <c r="Q93" s="8" t="n">
        <v>0.3561643835616439</v>
      </c>
      <c r="R93" s="1" t="inlineStr">
        <is>
          <t>Sobrestock crítico</t>
        </is>
      </c>
    </row>
    <row r="94">
      <c r="A94" s="1" t="inlineStr">
        <is>
          <t>TOA12SP</t>
        </is>
      </c>
      <c r="B94" s="1" t="inlineStr">
        <is>
          <t>TOALLA SPORT</t>
        </is>
      </c>
      <c r="C94" s="1" t="inlineStr">
        <is>
          <t>Equipamiento / Toallas</t>
        </is>
      </c>
      <c r="D94" s="5" t="n">
        <v>8326.182677071358</v>
      </c>
      <c r="E94" s="8" t="n">
        <v>0.002038520711284961</v>
      </c>
      <c r="F94" s="8" t="n">
        <v>0.3251769068079733</v>
      </c>
      <c r="G94" s="1" t="inlineStr">
        <is>
          <t>A</t>
        </is>
      </c>
      <c r="H94" s="6" t="n">
        <v>139</v>
      </c>
      <c r="I94" s="6" t="n">
        <v>1.8</v>
      </c>
      <c r="J94" s="5" t="n">
        <v>250.2</v>
      </c>
      <c r="K94" s="6" t="n">
        <v>48.2</v>
      </c>
      <c r="L94" s="6" t="n">
        <v>2.883817427385892</v>
      </c>
      <c r="M94" s="6" t="n">
        <v>2</v>
      </c>
      <c r="N94" s="6" t="n">
        <v>96.40000000000001</v>
      </c>
      <c r="O94" s="6" t="n">
        <v>42.59999999999999</v>
      </c>
      <c r="P94" s="5" t="n">
        <v>76.67999999999999</v>
      </c>
      <c r="Q94" s="8" t="n">
        <v>0.3064748201438848</v>
      </c>
      <c r="R94" s="1" t="inlineStr">
        <is>
          <t>Sobrestock crítico</t>
        </is>
      </c>
    </row>
    <row r="95">
      <c r="A95" s="1" t="inlineStr">
        <is>
          <t>TOT0320L</t>
        </is>
      </c>
      <c r="B95" s="1" t="inlineStr">
        <is>
          <t>TOTE BAG</t>
        </is>
      </c>
      <c r="C95" s="1" t="inlineStr">
        <is>
          <t>Equipamiento / Bolsos</t>
        </is>
      </c>
      <c r="D95" s="5" t="n">
        <v>8314.12541945</v>
      </c>
      <c r="E95" s="8" t="n">
        <v>0.002035568701902544</v>
      </c>
      <c r="F95" s="8" t="n">
        <v>0.3272124755098759</v>
      </c>
      <c r="G95" s="1" t="inlineStr">
        <is>
          <t>A</t>
        </is>
      </c>
      <c r="H95" s="6" t="n">
        <v>83</v>
      </c>
      <c r="I95" s="6" t="n">
        <v>11.95</v>
      </c>
      <c r="J95" s="5" t="n">
        <v>991.8499999999999</v>
      </c>
      <c r="K95" s="6" t="n">
        <v>16.4</v>
      </c>
      <c r="L95" s="6" t="n">
        <v>5.060975609756098</v>
      </c>
      <c r="M95" s="6" t="n">
        <v>2</v>
      </c>
      <c r="N95" s="6" t="n">
        <v>32.8</v>
      </c>
      <c r="O95" s="6" t="n">
        <v>50.2</v>
      </c>
      <c r="P95" s="5" t="n">
        <v>599.89</v>
      </c>
      <c r="Q95" s="8" t="n">
        <v>0.6048192771084338</v>
      </c>
      <c r="R95" s="1" t="inlineStr">
        <is>
          <t>Sobrestock crítico</t>
        </is>
      </c>
    </row>
    <row r="96">
      <c r="A96" s="1" t="inlineStr">
        <is>
          <t>PANNTCA33TM</t>
        </is>
      </c>
      <c r="B96" s="1" t="inlineStr">
        <is>
          <t>EXPLORE PANTS CAB</t>
        </is>
      </c>
      <c r="C96" s="1" t="inlineStr">
        <is>
          <t>Manufactura / Caballero / P. Inferiores</t>
        </is>
      </c>
      <c r="D96" s="5" t="n">
        <v>8275.08237127</v>
      </c>
      <c r="E96" s="8" t="n">
        <v>0.002026009692037698</v>
      </c>
      <c r="F96" s="8" t="n">
        <v>0.3292384852019136</v>
      </c>
      <c r="G96" s="1" t="inlineStr">
        <is>
          <t>A</t>
        </is>
      </c>
      <c r="H96" s="6" t="n">
        <v>57</v>
      </c>
      <c r="I96" s="6" t="n">
        <v>15.68994502</v>
      </c>
      <c r="J96" s="5" t="n">
        <v>894.32686614</v>
      </c>
      <c r="K96" s="6" t="n">
        <v>11.9</v>
      </c>
      <c r="L96" s="6" t="n">
        <v>4.789915966386554</v>
      </c>
      <c r="M96" s="6" t="n">
        <v>2</v>
      </c>
      <c r="N96" s="6" t="n">
        <v>23.8</v>
      </c>
      <c r="O96" s="6" t="n">
        <v>33.2</v>
      </c>
      <c r="P96" s="5" t="n">
        <v>520.906174664</v>
      </c>
      <c r="Q96" s="8" t="n">
        <v>0.5824561403508772</v>
      </c>
      <c r="R96" s="1" t="inlineStr">
        <is>
          <t>Sobrestock crítico</t>
        </is>
      </c>
    </row>
    <row r="97">
      <c r="A97" s="1" t="inlineStr">
        <is>
          <t>TOA13SP</t>
        </is>
      </c>
      <c r="B97" s="1" t="inlineStr">
        <is>
          <t>TOALLA SPORT</t>
        </is>
      </c>
      <c r="C97" s="1" t="inlineStr">
        <is>
          <t>Equipamiento / Toallas</t>
        </is>
      </c>
      <c r="D97" s="5" t="n">
        <v>8137.74172628</v>
      </c>
      <c r="E97" s="8" t="n">
        <v>0.001992384228824606</v>
      </c>
      <c r="F97" s="8" t="n">
        <v>0.3312308694307382</v>
      </c>
      <c r="G97" s="1" t="inlineStr">
        <is>
          <t>A</t>
        </is>
      </c>
      <c r="H97" s="6" t="n">
        <v>132</v>
      </c>
      <c r="I97" s="6" t="n">
        <v>1.8</v>
      </c>
      <c r="J97" s="5" t="n">
        <v>237.6</v>
      </c>
      <c r="K97" s="6" t="n">
        <v>45.8</v>
      </c>
      <c r="L97" s="6" t="n">
        <v>2.882096069868996</v>
      </c>
      <c r="M97" s="6" t="n">
        <v>2</v>
      </c>
      <c r="N97" s="6" t="n">
        <v>91.59999999999999</v>
      </c>
      <c r="O97" s="6" t="n">
        <v>40.40000000000001</v>
      </c>
      <c r="P97" s="5" t="n">
        <v>72.72</v>
      </c>
      <c r="Q97" s="8" t="n">
        <v>0.3060606060606061</v>
      </c>
      <c r="R97" s="1" t="inlineStr">
        <is>
          <t>Sobrestock crítico</t>
        </is>
      </c>
    </row>
    <row r="98">
      <c r="A98" s="1" t="inlineStr">
        <is>
          <t>JACCA43TXL</t>
        </is>
      </c>
      <c r="B98" s="1" t="inlineStr">
        <is>
          <t>JACKET CAB</t>
        </is>
      </c>
      <c r="C98" s="1" t="inlineStr">
        <is>
          <t>Equipamiento / Ropa</t>
        </is>
      </c>
      <c r="D98" s="5" t="n">
        <v>8124.00158544</v>
      </c>
      <c r="E98" s="8" t="n">
        <v>0.001989020194817108</v>
      </c>
      <c r="F98" s="8" t="n">
        <v>0.3332198896255553</v>
      </c>
      <c r="G98" s="1" t="inlineStr">
        <is>
          <t>A</t>
        </is>
      </c>
      <c r="H98" s="6" t="n">
        <v>2</v>
      </c>
      <c r="I98" s="6" t="n">
        <v>20.25001933</v>
      </c>
      <c r="J98" s="5" t="n">
        <v>40.50003866</v>
      </c>
      <c r="K98" s="6" t="n">
        <v>12.7</v>
      </c>
      <c r="L98" s="6" t="n">
        <v>0.1574803149606299</v>
      </c>
      <c r="M98" s="6" t="n">
        <v>2</v>
      </c>
      <c r="N98" s="6" t="n">
        <v>25.4</v>
      </c>
      <c r="O98" s="6" t="n">
        <v>0</v>
      </c>
      <c r="P98" s="5" t="n">
        <v>0</v>
      </c>
      <c r="Q98" s="8" t="n">
        <v>0</v>
      </c>
      <c r="R98" s="1" t="inlineStr">
        <is>
          <t>Riesgo bajo stock</t>
        </is>
      </c>
    </row>
    <row r="99">
      <c r="A99" s="1" t="inlineStr">
        <is>
          <t>JAPDA35TM</t>
        </is>
      </c>
      <c r="B99" s="1" t="inlineStr">
        <is>
          <t>CUADRO JACKET 2.0 DAMA</t>
        </is>
      </c>
      <c r="C99" s="1" t="inlineStr">
        <is>
          <t>Equipamiento / Ropa</t>
        </is>
      </c>
      <c r="D99" s="5" t="n">
        <v>8101.85169224</v>
      </c>
      <c r="E99" s="8" t="n">
        <v>0.001983597179517997</v>
      </c>
      <c r="F99" s="8" t="n">
        <v>0.3352034868050733</v>
      </c>
      <c r="G99" s="1" t="inlineStr">
        <is>
          <t>A</t>
        </is>
      </c>
      <c r="H99" s="6" t="n">
        <v>186</v>
      </c>
      <c r="I99" s="6" t="n">
        <v>20.25</v>
      </c>
      <c r="J99" s="5" t="n">
        <v>3766.5</v>
      </c>
      <c r="K99" s="6" t="n">
        <v>10.6</v>
      </c>
      <c r="L99" s="6" t="n">
        <v>17.54716981132076</v>
      </c>
      <c r="M99" s="6" t="n">
        <v>2</v>
      </c>
      <c r="N99" s="6" t="n">
        <v>21.2</v>
      </c>
      <c r="O99" s="6" t="n">
        <v>164.8</v>
      </c>
      <c r="P99" s="5" t="n">
        <v>3337.2</v>
      </c>
      <c r="Q99" s="8" t="n">
        <v>0.8860215053763442</v>
      </c>
      <c r="R99" s="1" t="inlineStr">
        <is>
          <t>Sobrestock crítico</t>
        </is>
      </c>
    </row>
    <row r="100">
      <c r="A100" s="1" t="inlineStr">
        <is>
          <t>MARMICA66TM</t>
        </is>
      </c>
      <c r="B100" s="1" t="inlineStr">
        <is>
          <t>MAR ORIGINAL CAB</t>
        </is>
      </c>
      <c r="C100" s="1" t="inlineStr">
        <is>
          <t>Manufactura / Caballero / P. Superiores</t>
        </is>
      </c>
      <c r="D100" s="5" t="n">
        <v>7945.512655892159</v>
      </c>
      <c r="E100" s="8" t="n">
        <v>0.001945320291304261</v>
      </c>
      <c r="F100" s="8" t="n">
        <v>0.3371488070963775</v>
      </c>
      <c r="G100" s="1" t="inlineStr">
        <is>
          <t>A</t>
        </is>
      </c>
      <c r="H100" s="6" t="n">
        <v>45</v>
      </c>
      <c r="I100" s="6" t="n">
        <v>4.946357428</v>
      </c>
      <c r="J100" s="5" t="n">
        <v>222.58608426</v>
      </c>
      <c r="K100" s="6" t="n">
        <v>17.7</v>
      </c>
      <c r="L100" s="6" t="n">
        <v>2.542372881355932</v>
      </c>
      <c r="M100" s="6" t="n">
        <v>2</v>
      </c>
      <c r="N100" s="6" t="n">
        <v>35.4</v>
      </c>
      <c r="O100" s="6" t="n">
        <v>9.600000000000001</v>
      </c>
      <c r="P100" s="5" t="n">
        <v>47.4850313088</v>
      </c>
      <c r="Q100" s="8" t="n">
        <v>0.2133333333333334</v>
      </c>
      <c r="R100" s="1" t="inlineStr">
        <is>
          <t>Sobrestock</t>
        </is>
      </c>
    </row>
    <row r="101">
      <c r="A101" s="1" t="inlineStr">
        <is>
          <t>CIT166CIB</t>
        </is>
      </c>
      <c r="B101" s="1" t="inlineStr">
        <is>
          <t>CITYBAG</t>
        </is>
      </c>
      <c r="C101" s="1" t="inlineStr">
        <is>
          <t>Equipamiento / Bolsos</t>
        </is>
      </c>
      <c r="D101" s="5" t="n">
        <v>7889.133862960834</v>
      </c>
      <c r="E101" s="8" t="n">
        <v>0.001931516926482078</v>
      </c>
      <c r="F101" s="8" t="n">
        <v>0.3390803240228596</v>
      </c>
      <c r="G101" s="1" t="inlineStr">
        <is>
          <t>A</t>
        </is>
      </c>
      <c r="H101" s="6" t="n">
        <v>345</v>
      </c>
      <c r="I101" s="6" t="n">
        <v>14.54</v>
      </c>
      <c r="J101" s="5" t="n">
        <v>5016.299999999999</v>
      </c>
      <c r="K101" s="6" t="n">
        <v>14.5</v>
      </c>
      <c r="L101" s="6" t="n">
        <v>23.79310344827586</v>
      </c>
      <c r="M101" s="6" t="n">
        <v>2</v>
      </c>
      <c r="N101" s="6" t="n">
        <v>29</v>
      </c>
      <c r="O101" s="6" t="n">
        <v>316</v>
      </c>
      <c r="P101" s="5" t="n">
        <v>4594.639999999999</v>
      </c>
      <c r="Q101" s="8" t="n">
        <v>0.9159420289855073</v>
      </c>
      <c r="R101" s="1" t="inlineStr">
        <is>
          <t>Sobrestock crítico</t>
        </is>
      </c>
    </row>
    <row r="102">
      <c r="A102" s="1" t="inlineStr">
        <is>
          <t>PONKI35EQ</t>
        </is>
      </c>
      <c r="B102" s="1" t="inlineStr">
        <is>
          <t>PONCHO KIDS</t>
        </is>
      </c>
      <c r="C102" s="1" t="inlineStr">
        <is>
          <t>Equipamiento / Ponchos</t>
        </is>
      </c>
      <c r="D102" s="5" t="n">
        <v>7884.41439771</v>
      </c>
      <c r="E102" s="8" t="n">
        <v>0.001930361447671061</v>
      </c>
      <c r="F102" s="8" t="n">
        <v>0.3410106854705307</v>
      </c>
      <c r="G102" s="1" t="inlineStr">
        <is>
          <t>A</t>
        </is>
      </c>
      <c r="H102" s="6" t="n">
        <v>233</v>
      </c>
      <c r="I102" s="6" t="n">
        <v>7.99</v>
      </c>
      <c r="J102" s="5" t="n">
        <v>1861.67</v>
      </c>
      <c r="K102" s="6" t="n">
        <v>22.7</v>
      </c>
      <c r="L102" s="6" t="n">
        <v>10.26431718061674</v>
      </c>
      <c r="M102" s="6" t="n">
        <v>2</v>
      </c>
      <c r="N102" s="6" t="n">
        <v>45.4</v>
      </c>
      <c r="O102" s="6" t="n">
        <v>187.6</v>
      </c>
      <c r="P102" s="5" t="n">
        <v>1498.924</v>
      </c>
      <c r="Q102" s="8" t="n">
        <v>0.8051502145922746</v>
      </c>
      <c r="R102" s="1" t="inlineStr">
        <is>
          <t>Sobrestock crítico</t>
        </is>
      </c>
    </row>
    <row r="103">
      <c r="A103" s="1" t="inlineStr">
        <is>
          <t>JACDA43TM</t>
        </is>
      </c>
      <c r="B103" s="1" t="inlineStr">
        <is>
          <t>JACKET DAMA</t>
        </is>
      </c>
      <c r="C103" s="1" t="inlineStr">
        <is>
          <t>Equipamiento / Ropa</t>
        </is>
      </c>
      <c r="D103" s="5" t="n">
        <v>7720.147591972989</v>
      </c>
      <c r="E103" s="8" t="n">
        <v>0.00189014358329563</v>
      </c>
      <c r="F103" s="8" t="n">
        <v>0.3429008290538263</v>
      </c>
      <c r="G103" s="1" t="inlineStr">
        <is>
          <t>A</t>
        </is>
      </c>
      <c r="H103" s="6" t="n">
        <v>21</v>
      </c>
      <c r="I103" s="6" t="n">
        <v>20.25</v>
      </c>
      <c r="J103" s="5" t="n">
        <v>425.25</v>
      </c>
      <c r="K103" s="6" t="n">
        <v>12.3</v>
      </c>
      <c r="L103" s="6" t="n">
        <v>1.707317073170732</v>
      </c>
      <c r="M103" s="6" t="n">
        <v>2</v>
      </c>
      <c r="N103" s="6" t="n">
        <v>24.6</v>
      </c>
      <c r="O103" s="6" t="n">
        <v>0</v>
      </c>
      <c r="P103" s="5" t="n">
        <v>0</v>
      </c>
      <c r="Q103" s="8" t="n">
        <v>0</v>
      </c>
      <c r="R103" s="1" t="inlineStr">
        <is>
          <t>OK</t>
        </is>
      </c>
    </row>
    <row r="104">
      <c r="A104" s="1" t="inlineStr">
        <is>
          <t>RIOMICA43TL</t>
        </is>
      </c>
      <c r="B104" s="1" t="inlineStr">
        <is>
          <t>RIO ORIGINAL CAB</t>
        </is>
      </c>
      <c r="C104" s="1" t="inlineStr">
        <is>
          <t>Manufactura / Caballero / P. Superiores</t>
        </is>
      </c>
      <c r="D104" s="5" t="n">
        <v>7604.57640749</v>
      </c>
      <c r="E104" s="8" t="n">
        <v>0.001861847993067339</v>
      </c>
      <c r="F104" s="8" t="n">
        <v>0.3447626770468937</v>
      </c>
      <c r="G104" s="1" t="inlineStr">
        <is>
          <t>A</t>
        </is>
      </c>
      <c r="H104" s="6" t="n">
        <v>17</v>
      </c>
      <c r="I104" s="6" t="n">
        <v>5.939350288</v>
      </c>
      <c r="J104" s="5" t="n">
        <v>100.968954896</v>
      </c>
      <c r="K104" s="6" t="n">
        <v>13.5</v>
      </c>
      <c r="L104" s="6" t="n">
        <v>1.259259259259259</v>
      </c>
      <c r="M104" s="6" t="n">
        <v>2</v>
      </c>
      <c r="N104" s="6" t="n">
        <v>27</v>
      </c>
      <c r="O104" s="6" t="n">
        <v>0</v>
      </c>
      <c r="P104" s="5" t="n">
        <v>0</v>
      </c>
      <c r="Q104" s="8" t="n">
        <v>0</v>
      </c>
      <c r="R104" s="1" t="inlineStr">
        <is>
          <t>OK</t>
        </is>
      </c>
    </row>
    <row r="105">
      <c r="A105" s="1" t="inlineStr">
        <is>
          <t>TOA01SP</t>
        </is>
      </c>
      <c r="B105" s="1" t="inlineStr">
        <is>
          <t>TOALLA SPORT</t>
        </is>
      </c>
      <c r="C105" s="1" t="inlineStr">
        <is>
          <t>Equipamiento / Toallas</t>
        </is>
      </c>
      <c r="D105" s="5" t="n">
        <v>7578.852641445585</v>
      </c>
      <c r="E105" s="8" t="n">
        <v>0.00185554997729137</v>
      </c>
      <c r="F105" s="8" t="n">
        <v>0.346618227024185</v>
      </c>
      <c r="G105" s="1" t="inlineStr">
        <is>
          <t>A</t>
        </is>
      </c>
      <c r="H105" s="6" t="n">
        <v>523</v>
      </c>
      <c r="I105" s="6" t="n">
        <v>1.8</v>
      </c>
      <c r="J105" s="5" t="n">
        <v>941.4</v>
      </c>
      <c r="K105" s="6" t="n">
        <v>48.1</v>
      </c>
      <c r="L105" s="6" t="n">
        <v>10.87318087318087</v>
      </c>
      <c r="M105" s="6" t="n">
        <v>2</v>
      </c>
      <c r="N105" s="6" t="n">
        <v>96.2</v>
      </c>
      <c r="O105" s="6" t="n">
        <v>426.8</v>
      </c>
      <c r="P105" s="5" t="n">
        <v>768.24</v>
      </c>
      <c r="Q105" s="8" t="n">
        <v>0.8160611854684513</v>
      </c>
      <c r="R105" s="1" t="inlineStr">
        <is>
          <t>Sobrestock crítico</t>
        </is>
      </c>
    </row>
    <row r="106">
      <c r="A106" s="1" t="inlineStr">
        <is>
          <t>MARMIDA43TM</t>
        </is>
      </c>
      <c r="B106" s="1" t="inlineStr">
        <is>
          <t>MAR ORIGINAL DAMA</t>
        </is>
      </c>
      <c r="C106" s="1" t="inlineStr">
        <is>
          <t>Manufactura / Dama / P. Superiores</t>
        </is>
      </c>
      <c r="D106" s="5" t="n">
        <v>7535.59417505</v>
      </c>
      <c r="E106" s="8" t="n">
        <v>0.001844958895747043</v>
      </c>
      <c r="F106" s="8" t="n">
        <v>0.3484631859199321</v>
      </c>
      <c r="G106" s="1" t="inlineStr">
        <is>
          <t>A</t>
        </is>
      </c>
      <c r="H106" s="6" t="n">
        <v>28</v>
      </c>
      <c r="I106" s="6" t="n">
        <v>4.278324149</v>
      </c>
      <c r="J106" s="5" t="n">
        <v>119.793076172</v>
      </c>
      <c r="K106" s="6" t="n">
        <v>15.8</v>
      </c>
      <c r="L106" s="6" t="n">
        <v>1.772151898734177</v>
      </c>
      <c r="M106" s="6" t="n">
        <v>2</v>
      </c>
      <c r="N106" s="6" t="n">
        <v>31.6</v>
      </c>
      <c r="O106" s="6" t="n">
        <v>0</v>
      </c>
      <c r="P106" s="5" t="n">
        <v>0</v>
      </c>
      <c r="Q106" s="8" t="n">
        <v>0</v>
      </c>
      <c r="R106" s="1" t="inlineStr">
        <is>
          <t>OK</t>
        </is>
      </c>
    </row>
    <row r="107">
      <c r="A107" s="1" t="inlineStr">
        <is>
          <t>MARMIDA16TM</t>
        </is>
      </c>
      <c r="B107" s="1" t="inlineStr">
        <is>
          <t>MAR ORIGINAL DAMA</t>
        </is>
      </c>
      <c r="C107" s="1" t="inlineStr">
        <is>
          <t>Manufactura / Dama / P. Superiores</t>
        </is>
      </c>
      <c r="D107" s="5" t="n">
        <v>7530.581974732</v>
      </c>
      <c r="E107" s="8" t="n">
        <v>0.001843731745856916</v>
      </c>
      <c r="F107" s="8" t="n">
        <v>0.350306917665789</v>
      </c>
      <c r="G107" s="1" t="inlineStr">
        <is>
          <t>A</t>
        </is>
      </c>
      <c r="H107" s="6" t="n">
        <v>26</v>
      </c>
      <c r="I107" s="6" t="n">
        <v>4.278324149</v>
      </c>
      <c r="J107" s="5" t="n">
        <v>111.236427874</v>
      </c>
      <c r="K107" s="6" t="n">
        <v>17.7</v>
      </c>
      <c r="L107" s="6" t="n">
        <v>1.468926553672316</v>
      </c>
      <c r="M107" s="6" t="n">
        <v>2</v>
      </c>
      <c r="N107" s="6" t="n">
        <v>35.4</v>
      </c>
      <c r="O107" s="6" t="n">
        <v>0</v>
      </c>
      <c r="P107" s="5" t="n">
        <v>0</v>
      </c>
      <c r="Q107" s="8" t="n">
        <v>0</v>
      </c>
      <c r="R107" s="1" t="inlineStr">
        <is>
          <t>OK</t>
        </is>
      </c>
    </row>
    <row r="108">
      <c r="A108" s="1" t="inlineStr">
        <is>
          <t>TRA1218L</t>
        </is>
      </c>
      <c r="B108" s="1" t="inlineStr">
        <is>
          <t>TRAVEL BAG 18L</t>
        </is>
      </c>
      <c r="C108" s="1" t="inlineStr">
        <is>
          <t>Equipamiento / Bolsos</t>
        </is>
      </c>
      <c r="D108" s="5" t="n">
        <v>7499.026051194435</v>
      </c>
      <c r="E108" s="8" t="n">
        <v>0.001836005827967533</v>
      </c>
      <c r="F108" s="8" t="n">
        <v>0.3521429234937565</v>
      </c>
      <c r="G108" s="1" t="inlineStr">
        <is>
          <t>A</t>
        </is>
      </c>
      <c r="H108" s="6" t="n">
        <v>480</v>
      </c>
      <c r="I108" s="6" t="n">
        <v>14.07</v>
      </c>
      <c r="J108" s="5" t="n">
        <v>6753.6</v>
      </c>
      <c r="K108" s="6" t="n">
        <v>14</v>
      </c>
      <c r="L108" s="6" t="n">
        <v>34.28571428571428</v>
      </c>
      <c r="M108" s="6" t="n">
        <v>2</v>
      </c>
      <c r="N108" s="6" t="n">
        <v>28</v>
      </c>
      <c r="O108" s="6" t="n">
        <v>452</v>
      </c>
      <c r="P108" s="5" t="n">
        <v>6359.64</v>
      </c>
      <c r="Q108" s="8" t="n">
        <v>0.9416666666666667</v>
      </c>
      <c r="R108" s="1" t="inlineStr">
        <is>
          <t>Sobrestock crítico</t>
        </is>
      </c>
    </row>
    <row r="109">
      <c r="A109" s="1" t="inlineStr">
        <is>
          <t>SUN43EQ</t>
        </is>
      </c>
      <c r="B109" s="1" t="inlineStr">
        <is>
          <t>SUN HAT</t>
        </is>
      </c>
      <c r="C109" s="1" t="inlineStr">
        <is>
          <t>Equipamiento / Sombreros</t>
        </is>
      </c>
      <c r="D109" s="5" t="n">
        <v>7464.3140267</v>
      </c>
      <c r="E109" s="8" t="n">
        <v>0.001827507193766605</v>
      </c>
      <c r="F109" s="8" t="n">
        <v>0.3539704306875232</v>
      </c>
      <c r="G109" s="1" t="inlineStr">
        <is>
          <t>A</t>
        </is>
      </c>
      <c r="H109" s="6" t="n">
        <v>0</v>
      </c>
      <c r="I109" s="6" t="n">
        <v>5.58</v>
      </c>
      <c r="J109" s="5" t="n">
        <v>0</v>
      </c>
      <c r="K109" s="6" t="n">
        <v>27.3</v>
      </c>
      <c r="L109" s="6" t="n">
        <v>0</v>
      </c>
      <c r="M109" s="6" t="n">
        <v>2</v>
      </c>
      <c r="N109" s="6" t="n">
        <v>54.6</v>
      </c>
      <c r="O109" s="6" t="n">
        <v>0</v>
      </c>
      <c r="P109" s="5" t="n">
        <v>0</v>
      </c>
      <c r="Q109" s="8" t="n">
        <v>0</v>
      </c>
      <c r="R109" s="1" t="inlineStr">
        <is>
          <t>Riesgo bajo stock</t>
        </is>
      </c>
    </row>
    <row r="110">
      <c r="A110" s="1" t="inlineStr">
        <is>
          <t>PANNTCA33TL</t>
        </is>
      </c>
      <c r="B110" s="1" t="inlineStr">
        <is>
          <t>EXPLORE PANTS CAB</t>
        </is>
      </c>
      <c r="C110" s="1" t="inlineStr">
        <is>
          <t>Manufactura / Caballero / P. Inferiores</t>
        </is>
      </c>
      <c r="D110" s="5" t="n">
        <v>7362.03924568</v>
      </c>
      <c r="E110" s="8" t="n">
        <v>0.001802466996182958</v>
      </c>
      <c r="F110" s="8" t="n">
        <v>0.3557728976837061</v>
      </c>
      <c r="G110" s="1" t="inlineStr">
        <is>
          <t>A</t>
        </is>
      </c>
      <c r="H110" s="6" t="n">
        <v>72</v>
      </c>
      <c r="I110" s="6" t="n">
        <v>15.68994502</v>
      </c>
      <c r="J110" s="5" t="n">
        <v>1129.67604144</v>
      </c>
      <c r="K110" s="6" t="n">
        <v>10.6</v>
      </c>
      <c r="L110" s="6" t="n">
        <v>6.79245283018868</v>
      </c>
      <c r="M110" s="6" t="n">
        <v>2</v>
      </c>
      <c r="N110" s="6" t="n">
        <v>21.2</v>
      </c>
      <c r="O110" s="6" t="n">
        <v>50.8</v>
      </c>
      <c r="P110" s="5" t="n">
        <v>797.049207016</v>
      </c>
      <c r="Q110" s="8" t="n">
        <v>0.7055555555555555</v>
      </c>
      <c r="R110" s="1" t="inlineStr">
        <is>
          <t>Sobrestock crítico</t>
        </is>
      </c>
    </row>
    <row r="111">
      <c r="A111" s="1" t="inlineStr">
        <is>
          <t>CGCSCA16TL</t>
        </is>
      </c>
      <c r="B111" s="1" t="inlineStr">
        <is>
          <t>CLASICA GC SUBLIMADO CAB</t>
        </is>
      </c>
      <c r="C111" s="1" t="inlineStr">
        <is>
          <t>Manufactura / Caballero / P. Superiores</t>
        </is>
      </c>
      <c r="D111" s="5" t="n">
        <v>7304.415637446</v>
      </c>
      <c r="E111" s="8" t="n">
        <v>0.001788358860029825</v>
      </c>
      <c r="F111" s="8" t="n">
        <v>0.3575612565437359</v>
      </c>
      <c r="G111" s="1" t="inlineStr">
        <is>
          <t>A</t>
        </is>
      </c>
      <c r="H111" s="6" t="n">
        <v>0</v>
      </c>
      <c r="I111" s="6" t="n">
        <v>0</v>
      </c>
      <c r="J111" s="5" t="n">
        <v>0</v>
      </c>
      <c r="K111" s="6" t="n">
        <v>57.5</v>
      </c>
      <c r="L111" s="6" t="n">
        <v>0</v>
      </c>
      <c r="M111" s="6" t="n">
        <v>2</v>
      </c>
      <c r="N111" s="6" t="n">
        <v>115</v>
      </c>
      <c r="O111" s="6" t="n">
        <v>0</v>
      </c>
      <c r="P111" s="5" t="n">
        <v>0</v>
      </c>
      <c r="Q111" s="8" t="n">
        <v>0</v>
      </c>
      <c r="R111" s="1" t="inlineStr">
        <is>
          <t>Riesgo bajo stock</t>
        </is>
      </c>
    </row>
    <row r="112">
      <c r="A112" s="1" t="inlineStr">
        <is>
          <t>TOA126ES</t>
        </is>
      </c>
      <c r="B112" s="1" t="inlineStr">
        <is>
          <t>TOALLA ESTAMPADA</t>
        </is>
      </c>
      <c r="C112" s="1" t="inlineStr">
        <is>
          <t>Equipamiento / Toallas</t>
        </is>
      </c>
      <c r="D112" s="5" t="n">
        <v>7300.26002588</v>
      </c>
      <c r="E112" s="8" t="n">
        <v>0.001787341430966123</v>
      </c>
      <c r="F112" s="8" t="n">
        <v>0.3593485979747021</v>
      </c>
      <c r="G112" s="1" t="inlineStr">
        <is>
          <t>A</t>
        </is>
      </c>
      <c r="H112" s="6" t="n">
        <v>1046</v>
      </c>
      <c r="I112" s="6" t="n">
        <v>6.290000000000001</v>
      </c>
      <c r="J112" s="5" t="n">
        <v>6579.340000000001</v>
      </c>
      <c r="K112" s="6" t="n">
        <v>20.2</v>
      </c>
      <c r="L112" s="6" t="n">
        <v>51.78217821782179</v>
      </c>
      <c r="M112" s="6" t="n">
        <v>2</v>
      </c>
      <c r="N112" s="6" t="n">
        <v>40.4</v>
      </c>
      <c r="O112" s="6" t="n">
        <v>1005.6</v>
      </c>
      <c r="P112" s="5" t="n">
        <v>6325.224000000001</v>
      </c>
      <c r="Q112" s="8" t="n">
        <v>0.961376673040153</v>
      </c>
      <c r="R112" s="1" t="inlineStr">
        <is>
          <t>Sobrestock crítico</t>
        </is>
      </c>
    </row>
    <row r="113">
      <c r="A113" s="1" t="inlineStr">
        <is>
          <t>MARMIDA43TS</t>
        </is>
      </c>
      <c r="B113" s="1" t="inlineStr">
        <is>
          <t>MAR ORIGINAL DAMA</t>
        </is>
      </c>
      <c r="C113" s="1" t="inlineStr">
        <is>
          <t>Manufactura / Dama / P. Superiores</t>
        </is>
      </c>
      <c r="D113" s="5" t="n">
        <v>7223.799213709911</v>
      </c>
      <c r="E113" s="8" t="n">
        <v>0.001768621333743224</v>
      </c>
      <c r="F113" s="8" t="n">
        <v>0.3611172193084453</v>
      </c>
      <c r="G113" s="1" t="inlineStr">
        <is>
          <t>A</t>
        </is>
      </c>
      <c r="H113" s="6" t="n">
        <v>50</v>
      </c>
      <c r="I113" s="6" t="n">
        <v>4.278324149</v>
      </c>
      <c r="J113" s="5" t="n">
        <v>213.91620745</v>
      </c>
      <c r="K113" s="6" t="n">
        <v>15.8</v>
      </c>
      <c r="L113" s="6" t="n">
        <v>3.164556962025316</v>
      </c>
      <c r="M113" s="6" t="n">
        <v>2</v>
      </c>
      <c r="N113" s="6" t="n">
        <v>31.6</v>
      </c>
      <c r="O113" s="6" t="n">
        <v>18.4</v>
      </c>
      <c r="P113" s="5" t="n">
        <v>78.7211643416</v>
      </c>
      <c r="Q113" s="8" t="n">
        <v>0.3679999999999999</v>
      </c>
      <c r="R113" s="1" t="inlineStr">
        <is>
          <t>Sobrestock crítico</t>
        </is>
      </c>
    </row>
    <row r="114">
      <c r="A114" s="1" t="inlineStr">
        <is>
          <t>JAPCA66TXL</t>
        </is>
      </c>
      <c r="B114" s="1" t="inlineStr">
        <is>
          <t>CUADRO JACKET 2.0 CAB</t>
        </is>
      </c>
      <c r="C114" s="1" t="inlineStr">
        <is>
          <t>Equipamiento / Ropa</t>
        </is>
      </c>
      <c r="D114" s="5" t="n">
        <v>7209.77415479</v>
      </c>
      <c r="E114" s="8" t="n">
        <v>0.001765187542509702</v>
      </c>
      <c r="F114" s="8" t="n">
        <v>0.362882406850955</v>
      </c>
      <c r="G114" s="1" t="inlineStr">
        <is>
          <t>A</t>
        </is>
      </c>
      <c r="H114" s="6" t="n">
        <v>369</v>
      </c>
      <c r="I114" s="6" t="n">
        <v>20.25000225</v>
      </c>
      <c r="J114" s="5" t="n">
        <v>7472.250830250001</v>
      </c>
      <c r="K114" s="6" t="n">
        <v>9</v>
      </c>
      <c r="L114" s="6" t="n">
        <v>41</v>
      </c>
      <c r="M114" s="6" t="n">
        <v>2</v>
      </c>
      <c r="N114" s="6" t="n">
        <v>18</v>
      </c>
      <c r="O114" s="6" t="n">
        <v>351</v>
      </c>
      <c r="P114" s="5" t="n">
        <v>7107.750789750001</v>
      </c>
      <c r="Q114" s="8" t="n">
        <v>0.9512195121951219</v>
      </c>
      <c r="R114" s="1" t="inlineStr">
        <is>
          <t>Sobrestock crítico</t>
        </is>
      </c>
    </row>
    <row r="115">
      <c r="A115" s="1" t="inlineStr">
        <is>
          <t>CAP16PC</t>
        </is>
      </c>
      <c r="B115" s="1" t="inlineStr">
        <is>
          <t>PRO CAP</t>
        </is>
      </c>
      <c r="C115" s="1" t="inlineStr">
        <is>
          <t>Equipamiento / Gorras</t>
        </is>
      </c>
      <c r="D115" s="5" t="n">
        <v>7121.28964054</v>
      </c>
      <c r="E115" s="8" t="n">
        <v>0.001743523651393868</v>
      </c>
      <c r="F115" s="8" t="n">
        <v>0.3646259305023488</v>
      </c>
      <c r="G115" s="1" t="inlineStr">
        <is>
          <t>A</t>
        </is>
      </c>
      <c r="H115" s="6" t="n">
        <v>357</v>
      </c>
      <c r="I115" s="6" t="n">
        <v>3.36</v>
      </c>
      <c r="J115" s="5" t="n">
        <v>1199.52</v>
      </c>
      <c r="K115" s="6" t="n">
        <v>23.5</v>
      </c>
      <c r="L115" s="6" t="n">
        <v>15.19148936170213</v>
      </c>
      <c r="M115" s="6" t="n">
        <v>2</v>
      </c>
      <c r="N115" s="6" t="n">
        <v>47</v>
      </c>
      <c r="O115" s="6" t="n">
        <v>310</v>
      </c>
      <c r="P115" s="5" t="n">
        <v>1041.6</v>
      </c>
      <c r="Q115" s="8" t="n">
        <v>0.8683473389355741</v>
      </c>
      <c r="R115" s="1" t="inlineStr">
        <is>
          <t>Sobrestock crítico</t>
        </is>
      </c>
    </row>
    <row r="116">
      <c r="A116" s="1" t="inlineStr">
        <is>
          <t>MARMICA43TXL</t>
        </is>
      </c>
      <c r="B116" s="1" t="inlineStr">
        <is>
          <t>MAR ORIGINAL CAB</t>
        </is>
      </c>
      <c r="C116" s="1" t="inlineStr">
        <is>
          <t>Manufactura / Caballero / P. Superiores</t>
        </is>
      </c>
      <c r="D116" s="5" t="n">
        <v>7117.30420002</v>
      </c>
      <c r="E116" s="8" t="n">
        <v>0.001742547885744865</v>
      </c>
      <c r="F116" s="8" t="n">
        <v>0.3663684783880936</v>
      </c>
      <c r="G116" s="1" t="inlineStr">
        <is>
          <t>A</t>
        </is>
      </c>
      <c r="H116" s="6" t="n">
        <v>66</v>
      </c>
      <c r="I116" s="6" t="n">
        <v>4.946357428</v>
      </c>
      <c r="J116" s="5" t="n">
        <v>326.459590248</v>
      </c>
      <c r="K116" s="6" t="n">
        <v>14.2</v>
      </c>
      <c r="L116" s="6" t="n">
        <v>4.647887323943662</v>
      </c>
      <c r="M116" s="6" t="n">
        <v>2</v>
      </c>
      <c r="N116" s="6" t="n">
        <v>28.4</v>
      </c>
      <c r="O116" s="6" t="n">
        <v>37.6</v>
      </c>
      <c r="P116" s="5" t="n">
        <v>185.9830392928</v>
      </c>
      <c r="Q116" s="8" t="n">
        <v>0.5696969696969697</v>
      </c>
      <c r="R116" s="1" t="inlineStr">
        <is>
          <t>Sobrestock crítico</t>
        </is>
      </c>
    </row>
    <row r="117">
      <c r="A117" s="1" t="inlineStr">
        <is>
          <t>JAPCA16TM</t>
        </is>
      </c>
      <c r="B117" s="1" t="inlineStr">
        <is>
          <t>CUADRO JACKET 2.0 CAB</t>
        </is>
      </c>
      <c r="C117" s="1" t="inlineStr">
        <is>
          <t>Equipamiento / Ropa</t>
        </is>
      </c>
      <c r="D117" s="5" t="n">
        <v>7055.68405023161</v>
      </c>
      <c r="E117" s="8" t="n">
        <v>0.001727461266047938</v>
      </c>
      <c r="F117" s="8" t="n">
        <v>0.3680959396541416</v>
      </c>
      <c r="G117" s="1" t="inlineStr">
        <is>
          <t>A</t>
        </is>
      </c>
      <c r="H117" s="6" t="n">
        <v>215</v>
      </c>
      <c r="I117" s="6" t="n">
        <v>20.25000225</v>
      </c>
      <c r="J117" s="5" t="n">
        <v>4353.75048375</v>
      </c>
      <c r="K117" s="6" t="n">
        <v>9.4</v>
      </c>
      <c r="L117" s="6" t="n">
        <v>22.87234042553191</v>
      </c>
      <c r="M117" s="6" t="n">
        <v>2</v>
      </c>
      <c r="N117" s="6" t="n">
        <v>18.8</v>
      </c>
      <c r="O117" s="6" t="n">
        <v>196.2</v>
      </c>
      <c r="P117" s="5" t="n">
        <v>3973.05044145</v>
      </c>
      <c r="Q117" s="8" t="n">
        <v>0.9125581395348837</v>
      </c>
      <c r="R117" s="1" t="inlineStr">
        <is>
          <t>Sobrestock crítico</t>
        </is>
      </c>
    </row>
    <row r="118">
      <c r="A118" s="1" t="inlineStr">
        <is>
          <t>SUN66EQ</t>
        </is>
      </c>
      <c r="B118" s="1" t="inlineStr">
        <is>
          <t>SUN HAT</t>
        </is>
      </c>
      <c r="C118" s="1" t="inlineStr">
        <is>
          <t>Equipamiento / Sombreros</t>
        </is>
      </c>
      <c r="D118" s="5" t="n">
        <v>6968.93466395</v>
      </c>
      <c r="E118" s="8" t="n">
        <v>0.001706222190773586</v>
      </c>
      <c r="F118" s="8" t="n">
        <v>0.3698021618449152</v>
      </c>
      <c r="G118" s="1" t="inlineStr">
        <is>
          <t>A</t>
        </is>
      </c>
      <c r="H118" s="6" t="n">
        <v>156</v>
      </c>
      <c r="I118" s="6" t="n">
        <v>5.58</v>
      </c>
      <c r="J118" s="5" t="n">
        <v>870.48</v>
      </c>
      <c r="K118" s="6" t="n">
        <v>25.3</v>
      </c>
      <c r="L118" s="6" t="n">
        <v>6.16600790513834</v>
      </c>
      <c r="M118" s="6" t="n">
        <v>2</v>
      </c>
      <c r="N118" s="6" t="n">
        <v>50.6</v>
      </c>
      <c r="O118" s="6" t="n">
        <v>105.4</v>
      </c>
      <c r="P118" s="5" t="n">
        <v>588.1320000000001</v>
      </c>
      <c r="Q118" s="8" t="n">
        <v>0.6756410256410257</v>
      </c>
      <c r="R118" s="1" t="inlineStr">
        <is>
          <t>Sobrestock crítico</t>
        </is>
      </c>
    </row>
    <row r="119">
      <c r="A119" s="1" t="inlineStr">
        <is>
          <t>KID09EQ</t>
        </is>
      </c>
      <c r="B119" s="1" t="inlineStr">
        <is>
          <t>KID HAT</t>
        </is>
      </c>
      <c r="C119" s="1" t="inlineStr">
        <is>
          <t>Equipamiento / Sombreros</t>
        </is>
      </c>
      <c r="D119" s="5" t="n">
        <v>6904.24694873</v>
      </c>
      <c r="E119" s="8" t="n">
        <v>0.001690384531145386</v>
      </c>
      <c r="F119" s="8" t="n">
        <v>0.3714925463760606</v>
      </c>
      <c r="G119" s="1" t="inlineStr">
        <is>
          <t>A</t>
        </is>
      </c>
      <c r="H119" s="6" t="n">
        <v>649</v>
      </c>
      <c r="I119" s="6" t="n">
        <v>3.859999999999999</v>
      </c>
      <c r="J119" s="5" t="n">
        <v>2505.139999999999</v>
      </c>
      <c r="K119" s="6" t="n">
        <v>30.6</v>
      </c>
      <c r="L119" s="6" t="n">
        <v>21.20915032679738</v>
      </c>
      <c r="M119" s="6" t="n">
        <v>2</v>
      </c>
      <c r="N119" s="6" t="n">
        <v>61.2</v>
      </c>
      <c r="O119" s="6" t="n">
        <v>587.8</v>
      </c>
      <c r="P119" s="5" t="n">
        <v>2268.907999999999</v>
      </c>
      <c r="Q119" s="8" t="n">
        <v>0.9057010785824345</v>
      </c>
      <c r="R119" s="1" t="inlineStr">
        <is>
          <t>Sobrestock crítico</t>
        </is>
      </c>
    </row>
    <row r="120">
      <c r="A120" s="1" t="inlineStr">
        <is>
          <t>KID33EQ</t>
        </is>
      </c>
      <c r="B120" s="1" t="inlineStr">
        <is>
          <t>KID HAT</t>
        </is>
      </c>
      <c r="C120" s="1" t="inlineStr">
        <is>
          <t>Equipamiento / Sombreros</t>
        </is>
      </c>
      <c r="D120" s="5" t="n">
        <v>6898.84592717</v>
      </c>
      <c r="E120" s="8" t="n">
        <v>0.001689062185150927</v>
      </c>
      <c r="F120" s="8" t="n">
        <v>0.3731816085612115</v>
      </c>
      <c r="G120" s="1" t="inlineStr">
        <is>
          <t>A</t>
        </is>
      </c>
      <c r="H120" s="6" t="n">
        <v>894</v>
      </c>
      <c r="I120" s="6" t="n">
        <v>3.86</v>
      </c>
      <c r="J120" s="5" t="n">
        <v>3450.84</v>
      </c>
      <c r="K120" s="6" t="n">
        <v>30.2</v>
      </c>
      <c r="L120" s="6" t="n">
        <v>29.60264900662252</v>
      </c>
      <c r="M120" s="6" t="n">
        <v>2</v>
      </c>
      <c r="N120" s="6" t="n">
        <v>60.4</v>
      </c>
      <c r="O120" s="6" t="n">
        <v>833.6</v>
      </c>
      <c r="P120" s="5" t="n">
        <v>3217.696</v>
      </c>
      <c r="Q120" s="8" t="n">
        <v>0.9324384787472036</v>
      </c>
      <c r="R120" s="1" t="inlineStr">
        <is>
          <t>Sobrestock crítico</t>
        </is>
      </c>
    </row>
    <row r="121">
      <c r="A121" s="1" t="inlineStr">
        <is>
          <t>CLA43CB</t>
        </is>
      </c>
      <c r="B121" s="1" t="inlineStr">
        <is>
          <t>CLASSIC BACKPACK</t>
        </is>
      </c>
      <c r="C121" s="1" t="inlineStr">
        <is>
          <t>Equipamiento / Bolsos</t>
        </is>
      </c>
      <c r="D121" s="5" t="n">
        <v>6861.614604316554</v>
      </c>
      <c r="E121" s="8" t="n">
        <v>0.001679946744655694</v>
      </c>
      <c r="F121" s="8" t="n">
        <v>0.3748615553058672</v>
      </c>
      <c r="G121" s="1" t="inlineStr">
        <is>
          <t>A</t>
        </is>
      </c>
      <c r="H121" s="6" t="n">
        <v>151</v>
      </c>
      <c r="I121" s="6" t="n">
        <v>18.04</v>
      </c>
      <c r="J121" s="5" t="n">
        <v>2724.04</v>
      </c>
      <c r="K121" s="6" t="n">
        <v>14.5</v>
      </c>
      <c r="L121" s="6" t="n">
        <v>10.41379310344828</v>
      </c>
      <c r="M121" s="6" t="n">
        <v>2</v>
      </c>
      <c r="N121" s="6" t="n">
        <v>29</v>
      </c>
      <c r="O121" s="6" t="n">
        <v>122</v>
      </c>
      <c r="P121" s="5" t="n">
        <v>2200.88</v>
      </c>
      <c r="Q121" s="8" t="n">
        <v>0.8079470198675497</v>
      </c>
      <c r="R121" s="1" t="inlineStr">
        <is>
          <t>Sobrestock crítico</t>
        </is>
      </c>
    </row>
    <row r="122">
      <c r="A122" s="1" t="inlineStr">
        <is>
          <t>MAFMIDA34TM</t>
        </is>
      </c>
      <c r="B122" s="1" t="inlineStr">
        <is>
          <t>MAFE ORIGINAL DAMA</t>
        </is>
      </c>
      <c r="C122" s="1" t="inlineStr">
        <is>
          <t>Manufactura / Dama / P. Superiores</t>
        </is>
      </c>
      <c r="D122" s="5" t="n">
        <v>6858.210058</v>
      </c>
      <c r="E122" s="8" t="n">
        <v>0.001679113200827988</v>
      </c>
      <c r="F122" s="8" t="n">
        <v>0.3765406685066952</v>
      </c>
      <c r="G122" s="1" t="inlineStr">
        <is>
          <t>A</t>
        </is>
      </c>
      <c r="H122" s="6" t="n">
        <v>0</v>
      </c>
      <c r="I122" s="6" t="n">
        <v>4.54817671</v>
      </c>
      <c r="J122" s="5" t="n">
        <v>0</v>
      </c>
      <c r="K122" s="6" t="n">
        <v>46.2</v>
      </c>
      <c r="L122" s="6" t="n">
        <v>0</v>
      </c>
      <c r="M122" s="6" t="n">
        <v>2</v>
      </c>
      <c r="N122" s="6" t="n">
        <v>92.40000000000001</v>
      </c>
      <c r="O122" s="6" t="n">
        <v>0</v>
      </c>
      <c r="P122" s="5" t="n">
        <v>0</v>
      </c>
      <c r="Q122" s="8" t="n">
        <v>0</v>
      </c>
      <c r="R122" s="1" t="inlineStr">
        <is>
          <t>Riesgo bajo stock</t>
        </is>
      </c>
    </row>
    <row r="123">
      <c r="A123" s="1" t="inlineStr">
        <is>
          <t>CIT12CIB</t>
        </is>
      </c>
      <c r="B123" s="1" t="inlineStr">
        <is>
          <t>CITYBAG</t>
        </is>
      </c>
      <c r="C123" s="1" t="inlineStr">
        <is>
          <t>Equipamiento / Bolsos</t>
        </is>
      </c>
      <c r="D123" s="5" t="n">
        <v>6826.373510823812</v>
      </c>
      <c r="E123" s="8" t="n">
        <v>0.001671318577131684</v>
      </c>
      <c r="F123" s="8" t="n">
        <v>0.3782119870838269</v>
      </c>
      <c r="G123" s="1" t="inlineStr">
        <is>
          <t>A</t>
        </is>
      </c>
      <c r="H123" s="6" t="n">
        <v>370</v>
      </c>
      <c r="I123" s="6" t="n">
        <v>14.54</v>
      </c>
      <c r="J123" s="5" t="n">
        <v>5379.799999999999</v>
      </c>
      <c r="K123" s="6" t="n">
        <v>12.8</v>
      </c>
      <c r="L123" s="6" t="n">
        <v>28.90625</v>
      </c>
      <c r="M123" s="6" t="n">
        <v>2</v>
      </c>
      <c r="N123" s="6" t="n">
        <v>25.6</v>
      </c>
      <c r="O123" s="6" t="n">
        <v>344.4</v>
      </c>
      <c r="P123" s="5" t="n">
        <v>5007.575999999999</v>
      </c>
      <c r="Q123" s="8" t="n">
        <v>0.9308108108108107</v>
      </c>
      <c r="R123" s="1" t="inlineStr">
        <is>
          <t>Sobrestock crítico</t>
        </is>
      </c>
    </row>
    <row r="124">
      <c r="A124" s="1" t="inlineStr">
        <is>
          <t>JAPDA162TXS</t>
        </is>
      </c>
      <c r="B124" s="1" t="inlineStr">
        <is>
          <t>CUADRO JACKET 2.0 DAMA</t>
        </is>
      </c>
      <c r="C124" s="1" t="inlineStr">
        <is>
          <t>Equipamiento / Ropa</t>
        </is>
      </c>
      <c r="D124" s="5" t="n">
        <v>6801.26267062</v>
      </c>
      <c r="E124" s="8" t="n">
        <v>0.001665170625565091</v>
      </c>
      <c r="F124" s="8" t="n">
        <v>0.3798771577093921</v>
      </c>
      <c r="G124" s="1" t="inlineStr">
        <is>
          <t>A</t>
        </is>
      </c>
      <c r="H124" s="6" t="n">
        <v>148</v>
      </c>
      <c r="I124" s="6" t="n">
        <v>20.25</v>
      </c>
      <c r="J124" s="5" t="n">
        <v>2997</v>
      </c>
      <c r="K124" s="6" t="n">
        <v>8.1</v>
      </c>
      <c r="L124" s="6" t="n">
        <v>18.2716049382716</v>
      </c>
      <c r="M124" s="6" t="n">
        <v>2</v>
      </c>
      <c r="N124" s="6" t="n">
        <v>16.2</v>
      </c>
      <c r="O124" s="6" t="n">
        <v>131.8</v>
      </c>
      <c r="P124" s="5" t="n">
        <v>2668.95</v>
      </c>
      <c r="Q124" s="8" t="n">
        <v>0.8905405405405407</v>
      </c>
      <c r="R124" s="1" t="inlineStr">
        <is>
          <t>Sobrestock crítico</t>
        </is>
      </c>
    </row>
    <row r="125">
      <c r="A125" s="1" t="inlineStr">
        <is>
          <t>MARMICA43TS</t>
        </is>
      </c>
      <c r="B125" s="1" t="inlineStr">
        <is>
          <t>MAR ORIGINAL CAB</t>
        </is>
      </c>
      <c r="C125" s="1" t="inlineStr">
        <is>
          <t>Manufactura / Caballero / P. Superiores</t>
        </is>
      </c>
      <c r="D125" s="5" t="n">
        <v>6790.27139827</v>
      </c>
      <c r="E125" s="8" t="n">
        <v>0.001662479604097288</v>
      </c>
      <c r="F125" s="8" t="n">
        <v>0.3815396373134893</v>
      </c>
      <c r="G125" s="1" t="inlineStr">
        <is>
          <t>A</t>
        </is>
      </c>
      <c r="H125" s="6" t="n">
        <v>164</v>
      </c>
      <c r="I125" s="6" t="n">
        <v>4.946357428</v>
      </c>
      <c r="J125" s="5" t="n">
        <v>811.2026181919999</v>
      </c>
      <c r="K125" s="6" t="n">
        <v>14.8</v>
      </c>
      <c r="L125" s="6" t="n">
        <v>11.08108108108108</v>
      </c>
      <c r="M125" s="6" t="n">
        <v>2</v>
      </c>
      <c r="N125" s="6" t="n">
        <v>29.6</v>
      </c>
      <c r="O125" s="6" t="n">
        <v>134.4</v>
      </c>
      <c r="P125" s="5" t="n">
        <v>664.7904383232</v>
      </c>
      <c r="Q125" s="8" t="n">
        <v>0.8195121951219513</v>
      </c>
      <c r="R125" s="1" t="inlineStr">
        <is>
          <t>Sobrestock crítico</t>
        </is>
      </c>
    </row>
    <row r="126">
      <c r="A126" s="1" t="inlineStr">
        <is>
          <t>JAPCA16TL</t>
        </is>
      </c>
      <c r="B126" s="1" t="inlineStr">
        <is>
          <t>CUADRO JACKET 2.0 CAB</t>
        </is>
      </c>
      <c r="C126" s="1" t="inlineStr">
        <is>
          <t>Equipamiento / Ropa</t>
        </is>
      </c>
      <c r="D126" s="5" t="n">
        <v>6760.16207213</v>
      </c>
      <c r="E126" s="8" t="n">
        <v>0.001655107860367926</v>
      </c>
      <c r="F126" s="8" t="n">
        <v>0.3831947451738573</v>
      </c>
      <c r="G126" s="1" t="inlineStr">
        <is>
          <t>A</t>
        </is>
      </c>
      <c r="H126" s="6" t="n">
        <v>238</v>
      </c>
      <c r="I126" s="6" t="n">
        <v>20.25000225</v>
      </c>
      <c r="J126" s="5" t="n">
        <v>4819.5005355</v>
      </c>
      <c r="K126" s="6" t="n">
        <v>8.5</v>
      </c>
      <c r="L126" s="6" t="n">
        <v>28</v>
      </c>
      <c r="M126" s="6" t="n">
        <v>2</v>
      </c>
      <c r="N126" s="6" t="n">
        <v>17</v>
      </c>
      <c r="O126" s="6" t="n">
        <v>221</v>
      </c>
      <c r="P126" s="5" t="n">
        <v>4475.25049725</v>
      </c>
      <c r="Q126" s="8" t="n">
        <v>0.9285714285714285</v>
      </c>
      <c r="R126" s="1" t="inlineStr">
        <is>
          <t>Sobrestock crítico</t>
        </is>
      </c>
    </row>
    <row r="127">
      <c r="A127" s="1" t="inlineStr">
        <is>
          <t>DRY665L</t>
        </is>
      </c>
      <c r="B127" s="1" t="inlineStr">
        <is>
          <t>DRY BAG 5L</t>
        </is>
      </c>
      <c r="C127" s="1" t="inlineStr">
        <is>
          <t>Equipamiento / Bolsos</t>
        </is>
      </c>
      <c r="D127" s="5" t="n">
        <v>6753.92624668</v>
      </c>
      <c r="E127" s="8" t="n">
        <v>0.001653581127190814</v>
      </c>
      <c r="F127" s="8" t="n">
        <v>0.3848483263010481</v>
      </c>
      <c r="G127" s="1" t="inlineStr">
        <is>
          <t>A</t>
        </is>
      </c>
      <c r="H127" s="6" t="n">
        <v>326</v>
      </c>
      <c r="I127" s="6" t="n">
        <v>4.91</v>
      </c>
      <c r="J127" s="5" t="n">
        <v>1600.66</v>
      </c>
      <c r="K127" s="6" t="n">
        <v>18.7</v>
      </c>
      <c r="L127" s="6" t="n">
        <v>17.4331550802139</v>
      </c>
      <c r="M127" s="6" t="n">
        <v>2</v>
      </c>
      <c r="N127" s="6" t="n">
        <v>37.4</v>
      </c>
      <c r="O127" s="6" t="n">
        <v>288.6</v>
      </c>
      <c r="P127" s="5" t="n">
        <v>1417.026</v>
      </c>
      <c r="Q127" s="8" t="n">
        <v>0.8852760736196319</v>
      </c>
      <c r="R127" s="1" t="inlineStr">
        <is>
          <t>Sobrestock crítico</t>
        </is>
      </c>
    </row>
    <row r="128">
      <c r="A128" s="1" t="inlineStr">
        <is>
          <t>PANNTDA33TM</t>
        </is>
      </c>
      <c r="B128" s="1" t="inlineStr">
        <is>
          <t>EXPLORE PANTS DAMA</t>
        </is>
      </c>
      <c r="C128" s="1" t="inlineStr">
        <is>
          <t>Manufactura / Dama / P. Inferiores</t>
        </is>
      </c>
      <c r="D128" s="5" t="n">
        <v>6748.43936879</v>
      </c>
      <c r="E128" s="8" t="n">
        <v>0.001652237760770346</v>
      </c>
      <c r="F128" s="8" t="n">
        <v>0.3865005640618184</v>
      </c>
      <c r="G128" s="1" t="inlineStr">
        <is>
          <t>A</t>
        </is>
      </c>
      <c r="H128" s="6" t="n">
        <v>87</v>
      </c>
      <c r="I128" s="6" t="n">
        <v>15.3928899</v>
      </c>
      <c r="J128" s="5" t="n">
        <v>1339.1814213</v>
      </c>
      <c r="K128" s="6" t="n">
        <v>10.6</v>
      </c>
      <c r="L128" s="6" t="n">
        <v>8.20754716981132</v>
      </c>
      <c r="M128" s="6" t="n">
        <v>2</v>
      </c>
      <c r="N128" s="6" t="n">
        <v>21.2</v>
      </c>
      <c r="O128" s="6" t="n">
        <v>65.8</v>
      </c>
      <c r="P128" s="5" t="n">
        <v>1012.85215542</v>
      </c>
      <c r="Q128" s="8" t="n">
        <v>0.7563218390804597</v>
      </c>
      <c r="R128" s="1" t="inlineStr">
        <is>
          <t>Sobrestock crítico</t>
        </is>
      </c>
    </row>
    <row r="129">
      <c r="A129" s="1" t="inlineStr">
        <is>
          <t>BUC141EQ</t>
        </is>
      </c>
      <c r="B129" s="1" t="inlineStr">
        <is>
          <t>BUCKET HAT ESTAMPADO</t>
        </is>
      </c>
      <c r="C129" s="1" t="inlineStr">
        <is>
          <t>Equipamiento / Sombreros</t>
        </is>
      </c>
      <c r="D129" s="5" t="n">
        <v>6739.483684</v>
      </c>
      <c r="E129" s="8" t="n">
        <v>0.001650045117438315</v>
      </c>
      <c r="F129" s="8" t="n">
        <v>0.3881506091792568</v>
      </c>
      <c r="G129" s="1" t="inlineStr">
        <is>
          <t>A</t>
        </is>
      </c>
      <c r="H129" s="6" t="n">
        <v>33</v>
      </c>
      <c r="I129" s="6" t="n">
        <v>4.98</v>
      </c>
      <c r="J129" s="5" t="n">
        <v>164.34</v>
      </c>
      <c r="K129" s="6" t="n">
        <v>23.7</v>
      </c>
      <c r="L129" s="6" t="n">
        <v>1.392405063291139</v>
      </c>
      <c r="M129" s="6" t="n">
        <v>2</v>
      </c>
      <c r="N129" s="6" t="n">
        <v>47.4</v>
      </c>
      <c r="O129" s="6" t="n">
        <v>0</v>
      </c>
      <c r="P129" s="5" t="n">
        <v>0</v>
      </c>
      <c r="Q129" s="8" t="n">
        <v>0</v>
      </c>
      <c r="R129" s="1" t="inlineStr">
        <is>
          <t>OK</t>
        </is>
      </c>
    </row>
    <row r="130">
      <c r="A130" s="1" t="inlineStr">
        <is>
          <t>MARMICA11TL</t>
        </is>
      </c>
      <c r="B130" s="1" t="inlineStr">
        <is>
          <t>MAR ORIGINAL CAB</t>
        </is>
      </c>
      <c r="C130" s="1" t="inlineStr">
        <is>
          <t>Manufactura / Caballero / P. Superiores</t>
        </is>
      </c>
      <c r="D130" s="5" t="n">
        <v>6728.27166121</v>
      </c>
      <c r="E130" s="8" t="n">
        <v>0.001647300049072741</v>
      </c>
      <c r="F130" s="8" t="n">
        <v>0.3897979092283296</v>
      </c>
      <c r="G130" s="1" t="inlineStr">
        <is>
          <t>A</t>
        </is>
      </c>
      <c r="H130" s="6" t="n">
        <v>49</v>
      </c>
      <c r="I130" s="6" t="n">
        <v>4.946357428</v>
      </c>
      <c r="J130" s="5" t="n">
        <v>242.371513972</v>
      </c>
      <c r="K130" s="6" t="n">
        <v>14.4</v>
      </c>
      <c r="L130" s="6" t="n">
        <v>3.402777777777778</v>
      </c>
      <c r="M130" s="6" t="n">
        <v>2</v>
      </c>
      <c r="N130" s="6" t="n">
        <v>28.8</v>
      </c>
      <c r="O130" s="6" t="n">
        <v>20.2</v>
      </c>
      <c r="P130" s="5" t="n">
        <v>99.91642004559999</v>
      </c>
      <c r="Q130" s="8" t="n">
        <v>0.4122448979591836</v>
      </c>
      <c r="R130" s="1" t="inlineStr">
        <is>
          <t>Sobrestock crítico</t>
        </is>
      </c>
    </row>
    <row r="131">
      <c r="A131" s="1" t="inlineStr">
        <is>
          <t>RIOMIDA43TS</t>
        </is>
      </c>
      <c r="B131" s="1" t="inlineStr">
        <is>
          <t>RIO ORIGINAL DAMA</t>
        </is>
      </c>
      <c r="C131" s="1" t="inlineStr">
        <is>
          <t>Manufactura / Dama / P. Superiores</t>
        </is>
      </c>
      <c r="D131" s="5" t="n">
        <v>6687.0335627</v>
      </c>
      <c r="E131" s="8" t="n">
        <v>0.00163720361939217</v>
      </c>
      <c r="F131" s="8" t="n">
        <v>0.3914351128477216</v>
      </c>
      <c r="G131" s="1" t="inlineStr">
        <is>
          <t>A</t>
        </is>
      </c>
      <c r="H131" s="6" t="n">
        <v>36</v>
      </c>
      <c r="I131" s="6" t="n">
        <v>5.538832275</v>
      </c>
      <c r="J131" s="5" t="n">
        <v>199.3979619</v>
      </c>
      <c r="K131" s="6" t="n">
        <v>12.6</v>
      </c>
      <c r="L131" s="6" t="n">
        <v>2.857142857142857</v>
      </c>
      <c r="M131" s="6" t="n">
        <v>2</v>
      </c>
      <c r="N131" s="6" t="n">
        <v>25.2</v>
      </c>
      <c r="O131" s="6" t="n">
        <v>10.8</v>
      </c>
      <c r="P131" s="5" t="n">
        <v>59.81938857</v>
      </c>
      <c r="Q131" s="8" t="n">
        <v>0.3</v>
      </c>
      <c r="R131" s="1" t="inlineStr">
        <is>
          <t>Sobrestock crítico</t>
        </is>
      </c>
    </row>
    <row r="132">
      <c r="A132" s="1" t="inlineStr">
        <is>
          <t>CAVAP15135L</t>
        </is>
      </c>
      <c r="B132" s="1" t="inlineStr">
        <is>
          <t>CAVAPACK 35L</t>
        </is>
      </c>
      <c r="C132" s="1" t="inlineStr">
        <is>
          <t>Equipamiento / Cava</t>
        </is>
      </c>
      <c r="D132" s="5" t="n">
        <v>6417.088125858311</v>
      </c>
      <c r="E132" s="8" t="n">
        <v>0.001571112184065626</v>
      </c>
      <c r="F132" s="8" t="n">
        <v>0.3930062250317872</v>
      </c>
      <c r="G132" s="1" t="inlineStr">
        <is>
          <t>A</t>
        </is>
      </c>
      <c r="H132" s="6" t="n">
        <v>73</v>
      </c>
      <c r="I132" s="6" t="n">
        <v>24.53</v>
      </c>
      <c r="J132" s="5" t="n">
        <v>1790.69</v>
      </c>
      <c r="K132" s="6" t="n">
        <v>8.300000000000001</v>
      </c>
      <c r="L132" s="6" t="n">
        <v>8.795180722891565</v>
      </c>
      <c r="M132" s="6" t="n">
        <v>2</v>
      </c>
      <c r="N132" s="6" t="n">
        <v>16.6</v>
      </c>
      <c r="O132" s="6" t="n">
        <v>56.4</v>
      </c>
      <c r="P132" s="5" t="n">
        <v>1383.492</v>
      </c>
      <c r="Q132" s="8" t="n">
        <v>0.7726027397260273</v>
      </c>
      <c r="R132" s="1" t="inlineStr">
        <is>
          <t>Sobrestock crítico</t>
        </is>
      </c>
    </row>
    <row r="133">
      <c r="A133" s="1" t="inlineStr">
        <is>
          <t>MARMICA11TM</t>
        </is>
      </c>
      <c r="B133" s="1" t="inlineStr">
        <is>
          <t>MAR ORIGINAL CAB</t>
        </is>
      </c>
      <c r="C133" s="1" t="inlineStr">
        <is>
          <t>Manufactura / Caballero / P. Superiores</t>
        </is>
      </c>
      <c r="D133" s="5" t="n">
        <v>6393.49675181</v>
      </c>
      <c r="E133" s="8" t="n">
        <v>0.001565336247304403</v>
      </c>
      <c r="F133" s="8" t="n">
        <v>0.3945715612790915</v>
      </c>
      <c r="G133" s="1" t="inlineStr">
        <is>
          <t>A</t>
        </is>
      </c>
      <c r="H133" s="6" t="n">
        <v>66</v>
      </c>
      <c r="I133" s="6" t="n">
        <v>4.946357428</v>
      </c>
      <c r="J133" s="5" t="n">
        <v>326.459590248</v>
      </c>
      <c r="K133" s="6" t="n">
        <v>13.1</v>
      </c>
      <c r="L133" s="6" t="n">
        <v>5.038167938931298</v>
      </c>
      <c r="M133" s="6" t="n">
        <v>2</v>
      </c>
      <c r="N133" s="6" t="n">
        <v>26.2</v>
      </c>
      <c r="O133" s="6" t="n">
        <v>39.8</v>
      </c>
      <c r="P133" s="5" t="n">
        <v>196.8650256344</v>
      </c>
      <c r="Q133" s="8" t="n">
        <v>0.603030303030303</v>
      </c>
      <c r="R133" s="1" t="inlineStr">
        <is>
          <t>Sobrestock crítico</t>
        </is>
      </c>
    </row>
    <row r="134">
      <c r="A134" s="1" t="inlineStr">
        <is>
          <t>TOA39SP</t>
        </is>
      </c>
      <c r="B134" s="1" t="inlineStr">
        <is>
          <t>TOALLA SPORT</t>
        </is>
      </c>
      <c r="C134" s="1" t="inlineStr">
        <is>
          <t>Equipamiento / Toallas</t>
        </is>
      </c>
      <c r="D134" s="5" t="n">
        <v>6378.104554419584</v>
      </c>
      <c r="E134" s="8" t="n">
        <v>0.001561567736044261</v>
      </c>
      <c r="F134" s="8" t="n">
        <v>0.3961331290151359</v>
      </c>
      <c r="G134" s="1" t="inlineStr">
        <is>
          <t>A</t>
        </is>
      </c>
      <c r="H134" s="6" t="n">
        <v>514</v>
      </c>
      <c r="I134" s="6" t="n">
        <v>1.8</v>
      </c>
      <c r="J134" s="5" t="n">
        <v>925.2</v>
      </c>
      <c r="K134" s="6" t="n">
        <v>35.3</v>
      </c>
      <c r="L134" s="6" t="n">
        <v>14.56090651558074</v>
      </c>
      <c r="M134" s="6" t="n">
        <v>2</v>
      </c>
      <c r="N134" s="6" t="n">
        <v>70.59999999999999</v>
      </c>
      <c r="O134" s="6" t="n">
        <v>443.4</v>
      </c>
      <c r="P134" s="5" t="n">
        <v>798.12</v>
      </c>
      <c r="Q134" s="8" t="n">
        <v>0.8626459143968871</v>
      </c>
      <c r="R134" s="1" t="inlineStr">
        <is>
          <t>Sobrestock crítico</t>
        </is>
      </c>
    </row>
    <row r="135">
      <c r="A135" s="1" t="inlineStr">
        <is>
          <t>BAC43BF</t>
        </is>
      </c>
      <c r="B135" s="1" t="inlineStr">
        <is>
          <t>BACKPACK FLEX</t>
        </is>
      </c>
      <c r="C135" s="1" t="inlineStr">
        <is>
          <t>Equipamiento / Bolsos</t>
        </is>
      </c>
      <c r="D135" s="5" t="n">
        <v>6360.526871034689</v>
      </c>
      <c r="E135" s="8" t="n">
        <v>0.001557264146629246</v>
      </c>
      <c r="F135" s="8" t="n">
        <v>0.3976903931617651</v>
      </c>
      <c r="G135" s="1" t="inlineStr">
        <is>
          <t>A</t>
        </is>
      </c>
      <c r="H135" s="6" t="n">
        <v>400</v>
      </c>
      <c r="I135" s="6" t="n">
        <v>17.91</v>
      </c>
      <c r="J135" s="5" t="n">
        <v>7164</v>
      </c>
      <c r="K135" s="6" t="n">
        <v>8.9</v>
      </c>
      <c r="L135" s="6" t="n">
        <v>44.9438202247191</v>
      </c>
      <c r="M135" s="6" t="n">
        <v>2</v>
      </c>
      <c r="N135" s="6" t="n">
        <v>17.8</v>
      </c>
      <c r="O135" s="6" t="n">
        <v>382.2</v>
      </c>
      <c r="P135" s="5" t="n">
        <v>6845.202</v>
      </c>
      <c r="Q135" s="8" t="n">
        <v>0.9555</v>
      </c>
      <c r="R135" s="1" t="inlineStr">
        <is>
          <t>Sobrestock crítico</t>
        </is>
      </c>
    </row>
    <row r="136">
      <c r="A136" s="1" t="inlineStr">
        <is>
          <t>BUC124EQ</t>
        </is>
      </c>
      <c r="B136" s="1" t="inlineStr">
        <is>
          <t>BUCKET HAT ESTAMPADO</t>
        </is>
      </c>
      <c r="C136" s="1" t="inlineStr">
        <is>
          <t>Equipamiento / Sombreros</t>
        </is>
      </c>
      <c r="D136" s="5" t="n">
        <v>6302.01171939</v>
      </c>
      <c r="E136" s="8" t="n">
        <v>0.001542937731610733</v>
      </c>
      <c r="F136" s="8" t="n">
        <v>0.3992333308933759</v>
      </c>
      <c r="G136" s="1" t="inlineStr">
        <is>
          <t>A</t>
        </is>
      </c>
      <c r="H136" s="6" t="n">
        <v>9</v>
      </c>
      <c r="I136" s="6" t="n">
        <v>4.98</v>
      </c>
      <c r="J136" s="5" t="n">
        <v>44.82000000000001</v>
      </c>
      <c r="K136" s="6" t="n">
        <v>22.7</v>
      </c>
      <c r="L136" s="6" t="n">
        <v>0.3964757709251102</v>
      </c>
      <c r="M136" s="6" t="n">
        <v>2</v>
      </c>
      <c r="N136" s="6" t="n">
        <v>45.4</v>
      </c>
      <c r="O136" s="6" t="n">
        <v>0</v>
      </c>
      <c r="P136" s="5" t="n">
        <v>0</v>
      </c>
      <c r="Q136" s="8" t="n">
        <v>0</v>
      </c>
      <c r="R136" s="1" t="inlineStr">
        <is>
          <t>Riesgo bajo stock</t>
        </is>
      </c>
    </row>
    <row r="137">
      <c r="A137" s="1" t="inlineStr">
        <is>
          <t>TOA30SP</t>
        </is>
      </c>
      <c r="B137" s="1" t="inlineStr">
        <is>
          <t>TOALLA SPORT</t>
        </is>
      </c>
      <c r="C137" s="1" t="inlineStr">
        <is>
          <t>Equipamiento / Toallas</t>
        </is>
      </c>
      <c r="D137" s="5" t="n">
        <v>6290.899470486342</v>
      </c>
      <c r="E137" s="8" t="n">
        <v>0.00154021709114227</v>
      </c>
      <c r="F137" s="8" t="n">
        <v>0.4007735479845181</v>
      </c>
      <c r="G137" s="1" t="inlineStr">
        <is>
          <t>A</t>
        </is>
      </c>
      <c r="H137" s="6" t="n">
        <v>414</v>
      </c>
      <c r="I137" s="6" t="n">
        <v>1.8</v>
      </c>
      <c r="J137" s="5" t="n">
        <v>745.2</v>
      </c>
      <c r="K137" s="6" t="n">
        <v>35.3</v>
      </c>
      <c r="L137" s="6" t="n">
        <v>11.72804532577904</v>
      </c>
      <c r="M137" s="6" t="n">
        <v>2</v>
      </c>
      <c r="N137" s="6" t="n">
        <v>70.59999999999999</v>
      </c>
      <c r="O137" s="6" t="n">
        <v>343.4</v>
      </c>
      <c r="P137" s="5" t="n">
        <v>618.12</v>
      </c>
      <c r="Q137" s="8" t="n">
        <v>0.8294685990338164</v>
      </c>
      <c r="R137" s="1" t="inlineStr">
        <is>
          <t>Sobrestock crítico</t>
        </is>
      </c>
    </row>
    <row r="138">
      <c r="A138" s="1" t="inlineStr">
        <is>
          <t>JACDA43TS</t>
        </is>
      </c>
      <c r="B138" s="1" t="inlineStr">
        <is>
          <t>JACKET DAMA</t>
        </is>
      </c>
      <c r="C138" s="1" t="inlineStr">
        <is>
          <t>Equipamiento / Ropa</t>
        </is>
      </c>
      <c r="D138" s="5" t="n">
        <v>6290.85104637</v>
      </c>
      <c r="E138" s="8" t="n">
        <v>0.001540205235341368</v>
      </c>
      <c r="F138" s="8" t="n">
        <v>0.4023137532198595</v>
      </c>
      <c r="G138" s="1" t="inlineStr">
        <is>
          <t>A</t>
        </is>
      </c>
      <c r="H138" s="6" t="n">
        <v>1</v>
      </c>
      <c r="I138" s="6" t="n">
        <v>20.25</v>
      </c>
      <c r="J138" s="5" t="n">
        <v>20.25</v>
      </c>
      <c r="K138" s="6" t="n">
        <v>10.2</v>
      </c>
      <c r="L138" s="6" t="n">
        <v>0.09803921568627452</v>
      </c>
      <c r="M138" s="6" t="n">
        <v>2</v>
      </c>
      <c r="N138" s="6" t="n">
        <v>20.4</v>
      </c>
      <c r="O138" s="6" t="n">
        <v>0</v>
      </c>
      <c r="P138" s="5" t="n">
        <v>0</v>
      </c>
      <c r="Q138" s="8" t="n">
        <v>0</v>
      </c>
      <c r="R138" s="1" t="inlineStr">
        <is>
          <t>Riesgo bajo stock</t>
        </is>
      </c>
    </row>
    <row r="139">
      <c r="A139" s="1" t="inlineStr">
        <is>
          <t>RIOMICA43TM</t>
        </is>
      </c>
      <c r="B139" s="1" t="inlineStr">
        <is>
          <t>RIO ORIGINAL CAB</t>
        </is>
      </c>
      <c r="C139" s="1" t="inlineStr">
        <is>
          <t>Manufactura / Caballero / P. Superiores</t>
        </is>
      </c>
      <c r="D139" s="5" t="n">
        <v>6287.68690582</v>
      </c>
      <c r="E139" s="8" t="n">
        <v>0.001539430550675566</v>
      </c>
      <c r="F139" s="8" t="n">
        <v>0.403853183770535</v>
      </c>
      <c r="G139" s="1" t="inlineStr">
        <is>
          <t>A</t>
        </is>
      </c>
      <c r="H139" s="6" t="n">
        <v>31</v>
      </c>
      <c r="I139" s="6" t="n">
        <v>5.939350288</v>
      </c>
      <c r="J139" s="5" t="n">
        <v>184.119858928</v>
      </c>
      <c r="K139" s="6" t="n">
        <v>11</v>
      </c>
      <c r="L139" s="6" t="n">
        <v>2.818181818181818</v>
      </c>
      <c r="M139" s="6" t="n">
        <v>2</v>
      </c>
      <c r="N139" s="6" t="n">
        <v>22</v>
      </c>
      <c r="O139" s="6" t="n">
        <v>9</v>
      </c>
      <c r="P139" s="5" t="n">
        <v>53.454152592</v>
      </c>
      <c r="Q139" s="8" t="n">
        <v>0.2903225806451613</v>
      </c>
      <c r="R139" s="1" t="inlineStr">
        <is>
          <t>Sobrestock</t>
        </is>
      </c>
    </row>
    <row r="140">
      <c r="A140" s="1" t="inlineStr">
        <is>
          <t>MARMIDA12TS</t>
        </is>
      </c>
      <c r="B140" s="1" t="inlineStr">
        <is>
          <t>MAR ORIGINAL DAMA</t>
        </is>
      </c>
      <c r="C140" s="1" t="inlineStr">
        <is>
          <t>Manufactura / Dama / P. Superiores</t>
        </is>
      </c>
      <c r="D140" s="5" t="n">
        <v>6268.55655222</v>
      </c>
      <c r="E140" s="8" t="n">
        <v>0.001534746817019903</v>
      </c>
      <c r="F140" s="8" t="n">
        <v>0.405387930587555</v>
      </c>
      <c r="G140" s="1" t="inlineStr">
        <is>
          <t>A</t>
        </is>
      </c>
      <c r="H140" s="6" t="n">
        <v>17</v>
      </c>
      <c r="I140" s="6" t="n">
        <v>4.278324149</v>
      </c>
      <c r="J140" s="5" t="n">
        <v>72.73151053300001</v>
      </c>
      <c r="K140" s="6" t="n">
        <v>17.6</v>
      </c>
      <c r="L140" s="6" t="n">
        <v>0.9659090909090908</v>
      </c>
      <c r="M140" s="6" t="n">
        <v>2</v>
      </c>
      <c r="N140" s="6" t="n">
        <v>35.2</v>
      </c>
      <c r="O140" s="6" t="n">
        <v>0</v>
      </c>
      <c r="P140" s="5" t="n">
        <v>0</v>
      </c>
      <c r="Q140" s="8" t="n">
        <v>0</v>
      </c>
      <c r="R140" s="1" t="inlineStr">
        <is>
          <t>Riesgo bajo stock</t>
        </is>
      </c>
    </row>
    <row r="141">
      <c r="A141" s="1" t="inlineStr">
        <is>
          <t>TOA13PL</t>
        </is>
      </c>
      <c r="B141" s="1" t="inlineStr">
        <is>
          <t>TOALLA PLAYA</t>
        </is>
      </c>
      <c r="C141" s="1" t="inlineStr">
        <is>
          <t>Equipamiento / Toallas</t>
        </is>
      </c>
      <c r="D141" s="5" t="n">
        <v>6209.19874546</v>
      </c>
      <c r="E141" s="8" t="n">
        <v>0.001520214092583058</v>
      </c>
      <c r="F141" s="8" t="n">
        <v>0.406908144680138</v>
      </c>
      <c r="G141" s="1" t="inlineStr">
        <is>
          <t>A</t>
        </is>
      </c>
      <c r="H141" s="6" t="n">
        <v>719</v>
      </c>
      <c r="I141" s="6" t="n">
        <v>4.83</v>
      </c>
      <c r="J141" s="5" t="n">
        <v>3472.77</v>
      </c>
      <c r="K141" s="6" t="n">
        <v>20.1</v>
      </c>
      <c r="L141" s="6" t="n">
        <v>35.77114427860696</v>
      </c>
      <c r="M141" s="6" t="n">
        <v>2</v>
      </c>
      <c r="N141" s="6" t="n">
        <v>40.2</v>
      </c>
      <c r="O141" s="6" t="n">
        <v>678.8</v>
      </c>
      <c r="P141" s="5" t="n">
        <v>3278.604</v>
      </c>
      <c r="Q141" s="8" t="n">
        <v>0.9440890125173852</v>
      </c>
      <c r="R141" s="1" t="inlineStr">
        <is>
          <t>Sobrestock crítico</t>
        </is>
      </c>
    </row>
    <row r="142">
      <c r="A142" s="1" t="inlineStr">
        <is>
          <t>MARMIDA11TM</t>
        </is>
      </c>
      <c r="B142" s="1" t="inlineStr">
        <is>
          <t>MAR ORIGINAL DAMA</t>
        </is>
      </c>
      <c r="C142" s="1" t="inlineStr">
        <is>
          <t>Manufactura / Dama / P. Superiores</t>
        </is>
      </c>
      <c r="D142" s="5" t="n">
        <v>6093.092699712889</v>
      </c>
      <c r="E142" s="8" t="n">
        <v>0.001491787550896353</v>
      </c>
      <c r="F142" s="8" t="n">
        <v>0.4083999322310343</v>
      </c>
      <c r="G142" s="1" t="inlineStr">
        <is>
          <t>A</t>
        </is>
      </c>
      <c r="H142" s="6" t="n">
        <v>17</v>
      </c>
      <c r="I142" s="6" t="n">
        <v>4.278324149</v>
      </c>
      <c r="J142" s="5" t="n">
        <v>72.73151053300001</v>
      </c>
      <c r="K142" s="6" t="n">
        <v>12.9</v>
      </c>
      <c r="L142" s="6" t="n">
        <v>1.317829457364341</v>
      </c>
      <c r="M142" s="6" t="n">
        <v>2</v>
      </c>
      <c r="N142" s="6" t="n">
        <v>25.8</v>
      </c>
      <c r="O142" s="6" t="n">
        <v>0</v>
      </c>
      <c r="P142" s="5" t="n">
        <v>0</v>
      </c>
      <c r="Q142" s="8" t="n">
        <v>0</v>
      </c>
      <c r="R142" s="1" t="inlineStr">
        <is>
          <t>OK</t>
        </is>
      </c>
    </row>
    <row r="143">
      <c r="A143" s="1" t="inlineStr">
        <is>
          <t>PANNTCA43TXL</t>
        </is>
      </c>
      <c r="B143" s="1" t="inlineStr">
        <is>
          <t>EXPLORE PANTS CAB</t>
        </is>
      </c>
      <c r="C143" s="1" t="inlineStr">
        <is>
          <t>Manufactura / Caballero / P. Inferiores</t>
        </is>
      </c>
      <c r="D143" s="5" t="n">
        <v>5957.28541559</v>
      </c>
      <c r="E143" s="8" t="n">
        <v>0.001458537504366597</v>
      </c>
      <c r="F143" s="8" t="n">
        <v>0.409858469735401</v>
      </c>
      <c r="G143" s="1" t="inlineStr">
        <is>
          <t>A</t>
        </is>
      </c>
      <c r="H143" s="6" t="n">
        <v>34</v>
      </c>
      <c r="I143" s="6" t="n">
        <v>15.68994502</v>
      </c>
      <c r="J143" s="5" t="n">
        <v>533.4581306800001</v>
      </c>
      <c r="K143" s="6" t="n">
        <v>8.5</v>
      </c>
      <c r="L143" s="6" t="n">
        <v>4</v>
      </c>
      <c r="M143" s="6" t="n">
        <v>2</v>
      </c>
      <c r="N143" s="6" t="n">
        <v>17</v>
      </c>
      <c r="O143" s="6" t="n">
        <v>17</v>
      </c>
      <c r="P143" s="5" t="n">
        <v>266.72906534</v>
      </c>
      <c r="Q143" s="8" t="n">
        <v>0.5</v>
      </c>
      <c r="R143" s="1" t="inlineStr">
        <is>
          <t>Sobrestock crítico</t>
        </is>
      </c>
    </row>
    <row r="144">
      <c r="A144" s="1" t="inlineStr">
        <is>
          <t>TOA09CLI</t>
        </is>
      </c>
      <c r="B144" s="1" t="inlineStr">
        <is>
          <t>TOALLA CLIP 2.0</t>
        </is>
      </c>
      <c r="C144" s="1" t="inlineStr">
        <is>
          <t>Equipamiento / Toallas</t>
        </is>
      </c>
      <c r="D144" s="5" t="n">
        <v>5894.285966384</v>
      </c>
      <c r="E144" s="8" t="n">
        <v>0.001443113187247104</v>
      </c>
      <c r="F144" s="8" t="n">
        <v>0.4113015829226481</v>
      </c>
      <c r="G144" s="1" t="inlineStr">
        <is>
          <t>A</t>
        </is>
      </c>
      <c r="H144" s="6" t="n">
        <v>48</v>
      </c>
      <c r="I144" s="6" t="n">
        <v>5.109999999999999</v>
      </c>
      <c r="J144" s="5" t="n">
        <v>245.28</v>
      </c>
      <c r="K144" s="6" t="n">
        <v>24.6</v>
      </c>
      <c r="L144" s="6" t="n">
        <v>1.951219512195122</v>
      </c>
      <c r="M144" s="6" t="n">
        <v>2</v>
      </c>
      <c r="N144" s="6" t="n">
        <v>49.2</v>
      </c>
      <c r="O144" s="6" t="n">
        <v>0</v>
      </c>
      <c r="P144" s="5" t="n">
        <v>0</v>
      </c>
      <c r="Q144" s="8" t="n">
        <v>0</v>
      </c>
      <c r="R144" s="1" t="inlineStr">
        <is>
          <t>OK</t>
        </is>
      </c>
    </row>
    <row r="145">
      <c r="A145" s="1" t="inlineStr">
        <is>
          <t>CLA31CB</t>
        </is>
      </c>
      <c r="B145" s="1" t="inlineStr">
        <is>
          <t>CLASSIC BACKPACK</t>
        </is>
      </c>
      <c r="C145" s="1" t="inlineStr">
        <is>
          <t>Equipamiento / Bolsos</t>
        </is>
      </c>
      <c r="D145" s="5" t="n">
        <v>5889.39932799</v>
      </c>
      <c r="E145" s="8" t="n">
        <v>0.001441916779005647</v>
      </c>
      <c r="F145" s="8" t="n">
        <v>0.4127434997016537</v>
      </c>
      <c r="G145" s="1" t="inlineStr">
        <is>
          <t>A</t>
        </is>
      </c>
      <c r="H145" s="6" t="n">
        <v>217</v>
      </c>
      <c r="I145" s="6" t="n">
        <v>18.04</v>
      </c>
      <c r="J145" s="5" t="n">
        <v>3914.68</v>
      </c>
      <c r="K145" s="6" t="n">
        <v>13.4</v>
      </c>
      <c r="L145" s="6" t="n">
        <v>16.19402985074627</v>
      </c>
      <c r="M145" s="6" t="n">
        <v>2</v>
      </c>
      <c r="N145" s="6" t="n">
        <v>26.8</v>
      </c>
      <c r="O145" s="6" t="n">
        <v>190.2</v>
      </c>
      <c r="P145" s="5" t="n">
        <v>3431.208</v>
      </c>
      <c r="Q145" s="8" t="n">
        <v>0.8764976958525345</v>
      </c>
      <c r="R145" s="1" t="inlineStr">
        <is>
          <t>Sobrestock crítico</t>
        </is>
      </c>
    </row>
    <row r="146">
      <c r="A146" s="1" t="inlineStr">
        <is>
          <t>RIOMIDA43TXS</t>
        </is>
      </c>
      <c r="B146" s="1" t="inlineStr">
        <is>
          <t>RIO ORIGINAL DAMA</t>
        </is>
      </c>
      <c r="C146" s="1" t="inlineStr">
        <is>
          <t>Manufactura / Dama / P. Superiores</t>
        </is>
      </c>
      <c r="D146" s="5" t="n">
        <v>5879.29858744</v>
      </c>
      <c r="E146" s="8" t="n">
        <v>0.001439443788727978</v>
      </c>
      <c r="F146" s="8" t="n">
        <v>0.4141829434903817</v>
      </c>
      <c r="G146" s="1" t="inlineStr">
        <is>
          <t>A</t>
        </is>
      </c>
      <c r="H146" s="6" t="n">
        <v>19</v>
      </c>
      <c r="I146" s="6" t="n">
        <v>5.538832275</v>
      </c>
      <c r="J146" s="5" t="n">
        <v>105.237813225</v>
      </c>
      <c r="K146" s="6" t="n">
        <v>10.2</v>
      </c>
      <c r="L146" s="6" t="n">
        <v>1.862745098039216</v>
      </c>
      <c r="M146" s="6" t="n">
        <v>2</v>
      </c>
      <c r="N146" s="6" t="n">
        <v>20.4</v>
      </c>
      <c r="O146" s="6" t="n">
        <v>0</v>
      </c>
      <c r="P146" s="5" t="n">
        <v>0</v>
      </c>
      <c r="Q146" s="8" t="n">
        <v>0</v>
      </c>
      <c r="R146" s="1" t="inlineStr">
        <is>
          <t>OK</t>
        </is>
      </c>
    </row>
    <row r="147">
      <c r="A147" s="1" t="inlineStr">
        <is>
          <t>JAPDA162TS</t>
        </is>
      </c>
      <c r="B147" s="1" t="inlineStr">
        <is>
          <t>CUADRO JACKET 2.0 DAMA</t>
        </is>
      </c>
      <c r="C147" s="1" t="inlineStr">
        <is>
          <t>Equipamiento / Ropa</t>
        </is>
      </c>
      <c r="D147" s="5" t="n">
        <v>5875.30358452</v>
      </c>
      <c r="E147" s="8" t="n">
        <v>0.001438465681891998</v>
      </c>
      <c r="F147" s="8" t="n">
        <v>0.4156214091722736</v>
      </c>
      <c r="G147" s="1" t="inlineStr">
        <is>
          <t>A</t>
        </is>
      </c>
      <c r="H147" s="6" t="n">
        <v>210</v>
      </c>
      <c r="I147" s="6" t="n">
        <v>20.25</v>
      </c>
      <c r="J147" s="5" t="n">
        <v>4252.5</v>
      </c>
      <c r="K147" s="6" t="n">
        <v>8.199999999999999</v>
      </c>
      <c r="L147" s="6" t="n">
        <v>25.60975609756098</v>
      </c>
      <c r="M147" s="6" t="n">
        <v>2</v>
      </c>
      <c r="N147" s="6" t="n">
        <v>16.4</v>
      </c>
      <c r="O147" s="6" t="n">
        <v>193.6</v>
      </c>
      <c r="P147" s="5" t="n">
        <v>3920.4</v>
      </c>
      <c r="Q147" s="8" t="n">
        <v>0.9219047619047619</v>
      </c>
      <c r="R147" s="1" t="inlineStr">
        <is>
          <t>Sobrestock crítico</t>
        </is>
      </c>
    </row>
    <row r="148">
      <c r="A148" s="1" t="inlineStr">
        <is>
          <t>DRY305L</t>
        </is>
      </c>
      <c r="B148" s="1" t="inlineStr">
        <is>
          <t>DRY BAG 5L</t>
        </is>
      </c>
      <c r="C148" s="1" t="inlineStr">
        <is>
          <t>Equipamiento / Bolsos</t>
        </is>
      </c>
      <c r="D148" s="5" t="n">
        <v>5859.72685197</v>
      </c>
      <c r="E148" s="8" t="n">
        <v>0.001434651990414298</v>
      </c>
      <c r="F148" s="8" t="n">
        <v>0.417056061162688</v>
      </c>
      <c r="G148" s="1" t="inlineStr">
        <is>
          <t>A</t>
        </is>
      </c>
      <c r="H148" s="6" t="n">
        <v>258</v>
      </c>
      <c r="I148" s="6" t="n">
        <v>4.91</v>
      </c>
      <c r="J148" s="5" t="n">
        <v>1266.78</v>
      </c>
      <c r="K148" s="6" t="n">
        <v>17.9</v>
      </c>
      <c r="L148" s="6" t="n">
        <v>14.41340782122905</v>
      </c>
      <c r="M148" s="6" t="n">
        <v>2</v>
      </c>
      <c r="N148" s="6" t="n">
        <v>35.8</v>
      </c>
      <c r="O148" s="6" t="n">
        <v>222.2</v>
      </c>
      <c r="P148" s="5" t="n">
        <v>1091.002</v>
      </c>
      <c r="Q148" s="8" t="n">
        <v>0.8612403100775193</v>
      </c>
      <c r="R148" s="1" t="inlineStr">
        <is>
          <t>Sobrestock crítico</t>
        </is>
      </c>
    </row>
    <row r="149">
      <c r="A149" s="1" t="inlineStr">
        <is>
          <t>TOA63CLI</t>
        </is>
      </c>
      <c r="B149" s="1" t="inlineStr">
        <is>
          <t>TOALLA CLIP 2.0</t>
        </is>
      </c>
      <c r="C149" s="1" t="inlineStr">
        <is>
          <t>Equipamiento / Toallas</t>
        </is>
      </c>
      <c r="D149" s="5" t="n">
        <v>5852.776057912</v>
      </c>
      <c r="E149" s="8" t="n">
        <v>0.001432950209634718</v>
      </c>
      <c r="F149" s="8" t="n">
        <v>0.4184890113723227</v>
      </c>
      <c r="G149" s="1" t="inlineStr">
        <is>
          <t>A</t>
        </is>
      </c>
      <c r="H149" s="6" t="n">
        <v>248</v>
      </c>
      <c r="I149" s="6" t="n">
        <v>5.11</v>
      </c>
      <c r="J149" s="5" t="n">
        <v>1267.28</v>
      </c>
      <c r="K149" s="6" t="n">
        <v>25.1</v>
      </c>
      <c r="L149" s="6" t="n">
        <v>9.880478087649402</v>
      </c>
      <c r="M149" s="6" t="n">
        <v>2</v>
      </c>
      <c r="N149" s="6" t="n">
        <v>50.2</v>
      </c>
      <c r="O149" s="6" t="n">
        <v>197.8</v>
      </c>
      <c r="P149" s="5" t="n">
        <v>1010.758</v>
      </c>
      <c r="Q149" s="8" t="n">
        <v>0.7975806451612905</v>
      </c>
      <c r="R149" s="1" t="inlineStr">
        <is>
          <t>Sobrestock crítico</t>
        </is>
      </c>
    </row>
    <row r="150">
      <c r="A150" s="1" t="inlineStr">
        <is>
          <t>PANNTDA43TS</t>
        </is>
      </c>
      <c r="B150" s="1" t="inlineStr">
        <is>
          <t>EXPLORE PANTS DAMA</t>
        </is>
      </c>
      <c r="C150" s="1" t="inlineStr">
        <is>
          <t>Manufactura / Dama / P. Inferiores</t>
        </is>
      </c>
      <c r="D150" s="5" t="n">
        <v>5849.94103858</v>
      </c>
      <c r="E150" s="8" t="n">
        <v>0.001432256104562884</v>
      </c>
      <c r="F150" s="8" t="n">
        <v>0.4199212674768856</v>
      </c>
      <c r="G150" s="1" t="inlineStr">
        <is>
          <t>A</t>
        </is>
      </c>
      <c r="H150" s="6" t="n">
        <v>85</v>
      </c>
      <c r="I150" s="6" t="n">
        <v>15.3928899</v>
      </c>
      <c r="J150" s="5" t="n">
        <v>1308.3956415</v>
      </c>
      <c r="K150" s="6" t="n">
        <v>8.6</v>
      </c>
      <c r="L150" s="6" t="n">
        <v>9.883720930232558</v>
      </c>
      <c r="M150" s="6" t="n">
        <v>2</v>
      </c>
      <c r="N150" s="6" t="n">
        <v>17.2</v>
      </c>
      <c r="O150" s="6" t="n">
        <v>67.8</v>
      </c>
      <c r="P150" s="5" t="n">
        <v>1043.63793522</v>
      </c>
      <c r="Q150" s="8" t="n">
        <v>0.7976470588235294</v>
      </c>
      <c r="R150" s="1" t="inlineStr">
        <is>
          <t>Sobrestock crítico</t>
        </is>
      </c>
    </row>
    <row r="151">
      <c r="A151" s="1" t="inlineStr">
        <is>
          <t>JACDA43TXS</t>
        </is>
      </c>
      <c r="B151" s="1" t="inlineStr">
        <is>
          <t>JACKET DAMA</t>
        </is>
      </c>
      <c r="C151" s="1" t="inlineStr">
        <is>
          <t>Equipamiento / Ropa</t>
        </is>
      </c>
      <c r="D151" s="5" t="n">
        <v>5825.9765448</v>
      </c>
      <c r="E151" s="8" t="n">
        <v>0.001426388815938468</v>
      </c>
      <c r="F151" s="8" t="n">
        <v>0.421347656292824</v>
      </c>
      <c r="G151" s="1" t="inlineStr">
        <is>
          <t>A</t>
        </is>
      </c>
      <c r="H151" s="6" t="n">
        <v>0</v>
      </c>
      <c r="I151" s="6" t="n">
        <v>20.25</v>
      </c>
      <c r="J151" s="5" t="n">
        <v>0</v>
      </c>
      <c r="K151" s="6" t="n">
        <v>9.4</v>
      </c>
      <c r="L151" s="6" t="n">
        <v>0</v>
      </c>
      <c r="M151" s="6" t="n">
        <v>2</v>
      </c>
      <c r="N151" s="6" t="n">
        <v>18.8</v>
      </c>
      <c r="O151" s="6" t="n">
        <v>0</v>
      </c>
      <c r="P151" s="5" t="n">
        <v>0</v>
      </c>
      <c r="Q151" s="8" t="n">
        <v>0</v>
      </c>
      <c r="R151" s="1" t="inlineStr">
        <is>
          <t>Riesgo bajo stock</t>
        </is>
      </c>
    </row>
    <row r="152">
      <c r="A152" s="1" t="inlineStr">
        <is>
          <t>DRY205L</t>
        </is>
      </c>
      <c r="B152" s="1" t="inlineStr">
        <is>
          <t>DRY BAG 5L</t>
        </is>
      </c>
      <c r="C152" s="1" t="inlineStr">
        <is>
          <t>Equipamiento / Bolsos</t>
        </is>
      </c>
      <c r="D152" s="5" t="n">
        <v>5825.18911081</v>
      </c>
      <c r="E152" s="8" t="n">
        <v>0.001426196026450218</v>
      </c>
      <c r="F152" s="8" t="n">
        <v>0.4227738523192743</v>
      </c>
      <c r="G152" s="1" t="inlineStr">
        <is>
          <t>A</t>
        </is>
      </c>
      <c r="H152" s="6" t="n">
        <v>157</v>
      </c>
      <c r="I152" s="6" t="n">
        <v>4.91</v>
      </c>
      <c r="J152" s="5" t="n">
        <v>770.87</v>
      </c>
      <c r="K152" s="6" t="n">
        <v>14.7</v>
      </c>
      <c r="L152" s="6" t="n">
        <v>10.68027210884354</v>
      </c>
      <c r="M152" s="6" t="n">
        <v>2</v>
      </c>
      <c r="N152" s="6" t="n">
        <v>29.4</v>
      </c>
      <c r="O152" s="6" t="n">
        <v>127.6</v>
      </c>
      <c r="P152" s="5" t="n">
        <v>626.516</v>
      </c>
      <c r="Q152" s="8" t="n">
        <v>0.8127388535031846</v>
      </c>
      <c r="R152" s="1" t="inlineStr">
        <is>
          <t>Sobrestock crítico</t>
        </is>
      </c>
    </row>
    <row r="153">
      <c r="A153" s="1" t="inlineStr">
        <is>
          <t>MAFMIDA34TS</t>
        </is>
      </c>
      <c r="B153" s="1" t="inlineStr">
        <is>
          <t>MAFE ORIGINAL DAMA</t>
        </is>
      </c>
      <c r="C153" s="1" t="inlineStr">
        <is>
          <t>Manufactura / Dama / P. Superiores</t>
        </is>
      </c>
      <c r="D153" s="5" t="n">
        <v>5814.569397</v>
      </c>
      <c r="E153" s="8" t="n">
        <v>0.001423595974615033</v>
      </c>
      <c r="F153" s="8" t="n">
        <v>0.4241974482938893</v>
      </c>
      <c r="G153" s="1" t="inlineStr">
        <is>
          <t>A</t>
        </is>
      </c>
      <c r="H153" s="6" t="n">
        <v>0</v>
      </c>
      <c r="I153" s="6" t="n">
        <v>4.54817671</v>
      </c>
      <c r="J153" s="5" t="n">
        <v>0</v>
      </c>
      <c r="K153" s="6" t="n">
        <v>39.1</v>
      </c>
      <c r="L153" s="6" t="n">
        <v>0</v>
      </c>
      <c r="M153" s="6" t="n">
        <v>2</v>
      </c>
      <c r="N153" s="6" t="n">
        <v>78.2</v>
      </c>
      <c r="O153" s="6" t="n">
        <v>0</v>
      </c>
      <c r="P153" s="5" t="n">
        <v>0</v>
      </c>
      <c r="Q153" s="8" t="n">
        <v>0</v>
      </c>
      <c r="R153" s="1" t="inlineStr">
        <is>
          <t>Riesgo bajo stock</t>
        </is>
      </c>
    </row>
    <row r="154">
      <c r="A154" s="1" t="inlineStr">
        <is>
          <t>REFVERTOGE152EQ</t>
        </is>
      </c>
      <c r="B154" s="1" t="inlineStr">
        <is>
          <t>REFRESH VERDE</t>
        </is>
      </c>
      <c r="C154" s="1" t="inlineStr">
        <is>
          <t>Manufactura / Refresh</t>
        </is>
      </c>
      <c r="D154" s="5" t="n">
        <v>5795.306791919999</v>
      </c>
      <c r="E154" s="8" t="n">
        <v>0.001418879861489505</v>
      </c>
      <c r="F154" s="8" t="n">
        <v>0.4256163281553788</v>
      </c>
      <c r="G154" s="1" t="inlineStr">
        <is>
          <t>A</t>
        </is>
      </c>
      <c r="H154" s="6" t="n">
        <v>23</v>
      </c>
      <c r="I154" s="6" t="n">
        <v>14.96</v>
      </c>
      <c r="J154" s="5" t="n">
        <v>344.08</v>
      </c>
      <c r="K154" s="6" t="n">
        <v>16.5</v>
      </c>
      <c r="L154" s="6" t="n">
        <v>1.393939393939394</v>
      </c>
      <c r="M154" s="6" t="n">
        <v>2</v>
      </c>
      <c r="N154" s="6" t="n">
        <v>33</v>
      </c>
      <c r="O154" s="6" t="n">
        <v>0</v>
      </c>
      <c r="P154" s="5" t="n">
        <v>0</v>
      </c>
      <c r="Q154" s="8" t="n">
        <v>0</v>
      </c>
      <c r="R154" s="1" t="inlineStr">
        <is>
          <t>OK</t>
        </is>
      </c>
    </row>
    <row r="155">
      <c r="A155" s="1" t="inlineStr">
        <is>
          <t>MARMICA12TXL</t>
        </is>
      </c>
      <c r="B155" s="1" t="inlineStr">
        <is>
          <t>MAR ORIGINAL CAB</t>
        </is>
      </c>
      <c r="C155" s="1" t="inlineStr">
        <is>
          <t>Manufactura / Caballero / P. Superiores</t>
        </is>
      </c>
      <c r="D155" s="5" t="n">
        <v>5779.57387353588</v>
      </c>
      <c r="E155" s="8" t="n">
        <v>0.001415027930632486</v>
      </c>
      <c r="F155" s="8" t="n">
        <v>0.4270313560860113</v>
      </c>
      <c r="G155" s="1" t="inlineStr">
        <is>
          <t>A</t>
        </is>
      </c>
      <c r="H155" s="6" t="n">
        <v>36</v>
      </c>
      <c r="I155" s="6" t="n">
        <v>4.946357428</v>
      </c>
      <c r="J155" s="5" t="n">
        <v>178.068867408</v>
      </c>
      <c r="K155" s="6" t="n">
        <v>12.7</v>
      </c>
      <c r="L155" s="6" t="n">
        <v>2.834645669291339</v>
      </c>
      <c r="M155" s="6" t="n">
        <v>2</v>
      </c>
      <c r="N155" s="6" t="n">
        <v>25.4</v>
      </c>
      <c r="O155" s="6" t="n">
        <v>10.6</v>
      </c>
      <c r="P155" s="5" t="n">
        <v>52.4313887368</v>
      </c>
      <c r="Q155" s="8" t="n">
        <v>0.2944444444444445</v>
      </c>
      <c r="R155" s="1" t="inlineStr">
        <is>
          <t>Sobrestock</t>
        </is>
      </c>
    </row>
    <row r="156">
      <c r="A156" s="1" t="inlineStr">
        <is>
          <t>MARMIDA66TS</t>
        </is>
      </c>
      <c r="B156" s="1" t="inlineStr">
        <is>
          <t>MAR ORIGINAL DAMA</t>
        </is>
      </c>
      <c r="C156" s="1" t="inlineStr">
        <is>
          <t>Manufactura / Dama / P. Superiores</t>
        </is>
      </c>
      <c r="D156" s="5" t="n">
        <v>5770.63605157</v>
      </c>
      <c r="E156" s="8" t="n">
        <v>0.001412839660701609</v>
      </c>
      <c r="F156" s="8" t="n">
        <v>0.4284441957467129</v>
      </c>
      <c r="G156" s="1" t="inlineStr">
        <is>
          <t>A</t>
        </is>
      </c>
      <c r="H156" s="6" t="n">
        <v>35</v>
      </c>
      <c r="I156" s="6" t="n">
        <v>4.278324149</v>
      </c>
      <c r="J156" s="5" t="n">
        <v>149.741345215</v>
      </c>
      <c r="K156" s="6" t="n">
        <v>13.3</v>
      </c>
      <c r="L156" s="6" t="n">
        <v>2.631578947368421</v>
      </c>
      <c r="M156" s="6" t="n">
        <v>2</v>
      </c>
      <c r="N156" s="6" t="n">
        <v>26.6</v>
      </c>
      <c r="O156" s="6" t="n">
        <v>8.399999999999999</v>
      </c>
      <c r="P156" s="5" t="n">
        <v>35.9379228516</v>
      </c>
      <c r="Q156" s="8" t="n">
        <v>0.24</v>
      </c>
      <c r="R156" s="1" t="inlineStr">
        <is>
          <t>Sobrestock</t>
        </is>
      </c>
    </row>
    <row r="157">
      <c r="A157" s="1" t="inlineStr">
        <is>
          <t>MARMIDA43TXS</t>
        </is>
      </c>
      <c r="B157" s="1" t="inlineStr">
        <is>
          <t>MAR ORIGINAL DAMA</t>
        </is>
      </c>
      <c r="C157" s="1" t="inlineStr">
        <is>
          <t>Manufactura / Dama / P. Superiores</t>
        </is>
      </c>
      <c r="D157" s="5" t="n">
        <v>5694.88298171</v>
      </c>
      <c r="E157" s="8" t="n">
        <v>0.001394292841848081</v>
      </c>
      <c r="F157" s="8" t="n">
        <v>0.4298384885885609</v>
      </c>
      <c r="G157" s="1" t="inlineStr">
        <is>
          <t>A</t>
        </is>
      </c>
      <c r="H157" s="6" t="n">
        <v>41</v>
      </c>
      <c r="I157" s="6" t="n">
        <v>4.278324149</v>
      </c>
      <c r="J157" s="5" t="n">
        <v>175.411290109</v>
      </c>
      <c r="K157" s="6" t="n">
        <v>12.5</v>
      </c>
      <c r="L157" s="6" t="n">
        <v>3.28</v>
      </c>
      <c r="M157" s="6" t="n">
        <v>2</v>
      </c>
      <c r="N157" s="6" t="n">
        <v>25</v>
      </c>
      <c r="O157" s="6" t="n">
        <v>16</v>
      </c>
      <c r="P157" s="5" t="n">
        <v>68.45318638400001</v>
      </c>
      <c r="Q157" s="8" t="n">
        <v>0.3902439024390244</v>
      </c>
      <c r="R157" s="1" t="inlineStr">
        <is>
          <t>Sobrestock crítico</t>
        </is>
      </c>
    </row>
    <row r="158">
      <c r="A158" s="1" t="inlineStr">
        <is>
          <t>MARMICA30TM</t>
        </is>
      </c>
      <c r="B158" s="1" t="inlineStr">
        <is>
          <t>MAR ORIGINAL CAB</t>
        </is>
      </c>
      <c r="C158" s="1" t="inlineStr">
        <is>
          <t>Manufactura / Caballero / P. Superiores</t>
        </is>
      </c>
      <c r="D158" s="5" t="n">
        <v>5663.35490006</v>
      </c>
      <c r="E158" s="8" t="n">
        <v>0.001386573740559612</v>
      </c>
      <c r="F158" s="8" t="n">
        <v>0.4312250623291206</v>
      </c>
      <c r="G158" s="1" t="inlineStr">
        <is>
          <t>A</t>
        </is>
      </c>
      <c r="H158" s="6" t="n">
        <v>36</v>
      </c>
      <c r="I158" s="6" t="n">
        <v>4.946357428</v>
      </c>
      <c r="J158" s="5" t="n">
        <v>178.068867408</v>
      </c>
      <c r="K158" s="6" t="n">
        <v>11.4</v>
      </c>
      <c r="L158" s="6" t="n">
        <v>3.157894736842105</v>
      </c>
      <c r="M158" s="6" t="n">
        <v>2</v>
      </c>
      <c r="N158" s="6" t="n">
        <v>22.8</v>
      </c>
      <c r="O158" s="6" t="n">
        <v>13.2</v>
      </c>
      <c r="P158" s="5" t="n">
        <v>65.2919180496</v>
      </c>
      <c r="Q158" s="8" t="n">
        <v>0.3666666666666667</v>
      </c>
      <c r="R158" s="1" t="inlineStr">
        <is>
          <t>Sobrestock crítico</t>
        </is>
      </c>
    </row>
    <row r="159">
      <c r="A159" s="1" t="inlineStr">
        <is>
          <t>JAPCA162TS</t>
        </is>
      </c>
      <c r="B159" s="1" t="inlineStr">
        <is>
          <t>CUADRO JACKET 2.0 CAB</t>
        </is>
      </c>
      <c r="C159" s="1" t="inlineStr">
        <is>
          <t>Equipamiento / Ropa</t>
        </is>
      </c>
      <c r="D159" s="5" t="n">
        <v>5661.77811624</v>
      </c>
      <c r="E159" s="8" t="n">
        <v>0.00138618769252308</v>
      </c>
      <c r="F159" s="8" t="n">
        <v>0.4326112500216437</v>
      </c>
      <c r="G159" s="1" t="inlineStr">
        <is>
          <t>A</t>
        </is>
      </c>
      <c r="H159" s="6" t="n">
        <v>156</v>
      </c>
      <c r="I159" s="6" t="n">
        <v>20.25000225</v>
      </c>
      <c r="J159" s="5" t="n">
        <v>3159.000351</v>
      </c>
      <c r="K159" s="6" t="n">
        <v>7.2</v>
      </c>
      <c r="L159" s="6" t="n">
        <v>21.66666666666667</v>
      </c>
      <c r="M159" s="6" t="n">
        <v>2</v>
      </c>
      <c r="N159" s="6" t="n">
        <v>14.4</v>
      </c>
      <c r="O159" s="6" t="n">
        <v>141.6</v>
      </c>
      <c r="P159" s="5" t="n">
        <v>2867.4003186</v>
      </c>
      <c r="Q159" s="8" t="n">
        <v>0.9076923076923077</v>
      </c>
      <c r="R159" s="1" t="inlineStr">
        <is>
          <t>Sobrestock crítico</t>
        </is>
      </c>
    </row>
    <row r="160">
      <c r="A160" s="1" t="inlineStr">
        <is>
          <t>TRA1240L</t>
        </is>
      </c>
      <c r="B160" s="1" t="inlineStr">
        <is>
          <t>TRAVEL BAG 40L</t>
        </is>
      </c>
      <c r="C160" s="1" t="inlineStr">
        <is>
          <t>Equipamiento / Bolsos</t>
        </is>
      </c>
      <c r="D160" s="5" t="n">
        <v>5658.1256691</v>
      </c>
      <c r="E160" s="8" t="n">
        <v>0.001385293454499422</v>
      </c>
      <c r="F160" s="8" t="n">
        <v>0.4339965434761431</v>
      </c>
      <c r="G160" s="1" t="inlineStr">
        <is>
          <t>A</t>
        </is>
      </c>
      <c r="H160" s="6" t="n">
        <v>481</v>
      </c>
      <c r="I160" s="6" t="n">
        <v>18.38</v>
      </c>
      <c r="J160" s="5" t="n">
        <v>8840.779999999999</v>
      </c>
      <c r="K160" s="6" t="n">
        <v>8.199999999999999</v>
      </c>
      <c r="L160" s="6" t="n">
        <v>58.65853658536586</v>
      </c>
      <c r="M160" s="6" t="n">
        <v>2</v>
      </c>
      <c r="N160" s="6" t="n">
        <v>16.4</v>
      </c>
      <c r="O160" s="6" t="n">
        <v>464.6</v>
      </c>
      <c r="P160" s="5" t="n">
        <v>8539.348</v>
      </c>
      <c r="Q160" s="8" t="n">
        <v>0.965904365904366</v>
      </c>
      <c r="R160" s="1" t="inlineStr">
        <is>
          <t>Sobrestock crítico</t>
        </is>
      </c>
    </row>
    <row r="161">
      <c r="A161" s="1" t="inlineStr">
        <is>
          <t>JAPDA35TXS</t>
        </is>
      </c>
      <c r="B161" s="1" t="inlineStr">
        <is>
          <t>CUADRO JACKET 2.0 DAMA</t>
        </is>
      </c>
      <c r="C161" s="1" t="inlineStr">
        <is>
          <t>Equipamiento / Ropa</t>
        </is>
      </c>
      <c r="D161" s="5" t="n">
        <v>5640.10904041</v>
      </c>
      <c r="E161" s="8" t="n">
        <v>0.001380882396976839</v>
      </c>
      <c r="F161" s="8" t="n">
        <v>0.4353774258731199</v>
      </c>
      <c r="G161" s="1" t="inlineStr">
        <is>
          <t>A</t>
        </is>
      </c>
      <c r="H161" s="6" t="n">
        <v>160</v>
      </c>
      <c r="I161" s="6" t="n">
        <v>20.25</v>
      </c>
      <c r="J161" s="5" t="n">
        <v>3240</v>
      </c>
      <c r="K161" s="6" t="n">
        <v>7</v>
      </c>
      <c r="L161" s="6" t="n">
        <v>22.85714285714286</v>
      </c>
      <c r="M161" s="6" t="n">
        <v>2</v>
      </c>
      <c r="N161" s="6" t="n">
        <v>14</v>
      </c>
      <c r="O161" s="6" t="n">
        <v>146</v>
      </c>
      <c r="P161" s="5" t="n">
        <v>2956.5</v>
      </c>
      <c r="Q161" s="8" t="n">
        <v>0.9125</v>
      </c>
      <c r="R161" s="1" t="inlineStr">
        <is>
          <t>Sobrestock crítico</t>
        </is>
      </c>
    </row>
    <row r="162">
      <c r="A162" s="1" t="inlineStr">
        <is>
          <t>TOA66PL</t>
        </is>
      </c>
      <c r="B162" s="1" t="inlineStr">
        <is>
          <t>TOALLA PLAYA</t>
        </is>
      </c>
      <c r="C162" s="1" t="inlineStr">
        <is>
          <t>Equipamiento / Toallas</t>
        </is>
      </c>
      <c r="D162" s="5" t="n">
        <v>5638.08101359</v>
      </c>
      <c r="E162" s="8" t="n">
        <v>0.00138038586995648</v>
      </c>
      <c r="F162" s="8" t="n">
        <v>0.4367578117430764</v>
      </c>
      <c r="G162" s="1" t="inlineStr">
        <is>
          <t>A</t>
        </is>
      </c>
      <c r="H162" s="6" t="n">
        <v>1728</v>
      </c>
      <c r="I162" s="6" t="n">
        <v>4.83</v>
      </c>
      <c r="J162" s="5" t="n">
        <v>8346.24</v>
      </c>
      <c r="K162" s="6" t="n">
        <v>18.4</v>
      </c>
      <c r="L162" s="6" t="n">
        <v>93.91304347826087</v>
      </c>
      <c r="M162" s="6" t="n">
        <v>2</v>
      </c>
      <c r="N162" s="6" t="n">
        <v>36.8</v>
      </c>
      <c r="O162" s="6" t="n">
        <v>1691.2</v>
      </c>
      <c r="P162" s="5" t="n">
        <v>8168.496</v>
      </c>
      <c r="Q162" s="8" t="n">
        <v>0.9787037037037037</v>
      </c>
      <c r="R162" s="1" t="inlineStr">
        <is>
          <t>Sobrestock crítico</t>
        </is>
      </c>
    </row>
    <row r="163">
      <c r="A163" s="1" t="inlineStr">
        <is>
          <t>TOA39PL</t>
        </is>
      </c>
      <c r="B163" s="1" t="inlineStr">
        <is>
          <t>TOALLA PLAYA</t>
        </is>
      </c>
      <c r="C163" s="1" t="inlineStr">
        <is>
          <t>Equipamiento / Toallas</t>
        </is>
      </c>
      <c r="D163" s="5" t="n">
        <v>5613.56659642</v>
      </c>
      <c r="E163" s="8" t="n">
        <v>0.001374383942174648</v>
      </c>
      <c r="F163" s="8" t="n">
        <v>0.4381321956852511</v>
      </c>
      <c r="G163" s="1" t="inlineStr">
        <is>
          <t>A</t>
        </is>
      </c>
      <c r="H163" s="6" t="n">
        <v>220</v>
      </c>
      <c r="I163" s="6" t="n">
        <v>4.83</v>
      </c>
      <c r="J163" s="5" t="n">
        <v>1062.6</v>
      </c>
      <c r="K163" s="6" t="n">
        <v>20</v>
      </c>
      <c r="L163" s="6" t="n">
        <v>11</v>
      </c>
      <c r="M163" s="6" t="n">
        <v>2</v>
      </c>
      <c r="N163" s="6" t="n">
        <v>40</v>
      </c>
      <c r="O163" s="6" t="n">
        <v>180</v>
      </c>
      <c r="P163" s="5" t="n">
        <v>869.4</v>
      </c>
      <c r="Q163" s="8" t="n">
        <v>0.8181818181818182</v>
      </c>
      <c r="R163" s="1" t="inlineStr">
        <is>
          <t>Sobrestock crítico</t>
        </is>
      </c>
    </row>
    <row r="164">
      <c r="A164" s="1" t="inlineStr">
        <is>
          <t>PANNTDA33TS</t>
        </is>
      </c>
      <c r="B164" s="1" t="inlineStr">
        <is>
          <t>EXPLORE PANTS DAMA</t>
        </is>
      </c>
      <c r="C164" s="1" t="inlineStr">
        <is>
          <t>Manufactura / Dama / P. Inferiores</t>
        </is>
      </c>
      <c r="D164" s="5" t="n">
        <v>5595.66854258</v>
      </c>
      <c r="E164" s="8" t="n">
        <v>0.001370001915637444</v>
      </c>
      <c r="F164" s="8" t="n">
        <v>0.4395021976008885</v>
      </c>
      <c r="G164" s="1" t="inlineStr">
        <is>
          <t>A</t>
        </is>
      </c>
      <c r="H164" s="6" t="n">
        <v>53</v>
      </c>
      <c r="I164" s="6" t="n">
        <v>15.3928899</v>
      </c>
      <c r="J164" s="5" t="n">
        <v>815.8231647</v>
      </c>
      <c r="K164" s="6" t="n">
        <v>8.9</v>
      </c>
      <c r="L164" s="6" t="n">
        <v>5.955056179775281</v>
      </c>
      <c r="M164" s="6" t="n">
        <v>2</v>
      </c>
      <c r="N164" s="6" t="n">
        <v>17.8</v>
      </c>
      <c r="O164" s="6" t="n">
        <v>35.2</v>
      </c>
      <c r="P164" s="5" t="n">
        <v>541.8297244800001</v>
      </c>
      <c r="Q164" s="8" t="n">
        <v>0.6641509433962265</v>
      </c>
      <c r="R164" s="1" t="inlineStr">
        <is>
          <t>Sobrestock crítico</t>
        </is>
      </c>
    </row>
    <row r="165">
      <c r="A165" s="1" t="inlineStr">
        <is>
          <t>JACCA43TS</t>
        </is>
      </c>
      <c r="B165" s="1" t="inlineStr">
        <is>
          <t>JACKET CAB</t>
        </is>
      </c>
      <c r="C165" s="1" t="inlineStr">
        <is>
          <t>Equipamiento / Ropa</t>
        </is>
      </c>
      <c r="D165" s="5" t="n">
        <v>5594.86423835</v>
      </c>
      <c r="E165" s="8" t="n">
        <v>0.001369804995764962</v>
      </c>
      <c r="F165" s="8" t="n">
        <v>0.4408720025966535</v>
      </c>
      <c r="G165" s="1" t="inlineStr">
        <is>
          <t>A</t>
        </is>
      </c>
      <c r="H165" s="6" t="n">
        <v>8</v>
      </c>
      <c r="I165" s="6" t="n">
        <v>20.25001933</v>
      </c>
      <c r="J165" s="5" t="n">
        <v>162.00015464</v>
      </c>
      <c r="K165" s="6" t="n">
        <v>8.800000000000001</v>
      </c>
      <c r="L165" s="6" t="n">
        <v>0.9090909090909091</v>
      </c>
      <c r="M165" s="6" t="n">
        <v>2</v>
      </c>
      <c r="N165" s="6" t="n">
        <v>17.6</v>
      </c>
      <c r="O165" s="6" t="n">
        <v>0</v>
      </c>
      <c r="P165" s="5" t="n">
        <v>0</v>
      </c>
      <c r="Q165" s="8" t="n">
        <v>0</v>
      </c>
      <c r="R165" s="1" t="inlineStr">
        <is>
          <t>Riesgo bajo stock</t>
        </is>
      </c>
    </row>
    <row r="166">
      <c r="A166" s="1" t="inlineStr">
        <is>
          <t>RIOMIDA43TM</t>
        </is>
      </c>
      <c r="B166" s="1" t="inlineStr">
        <is>
          <t>RIO ORIGINAL DAMA</t>
        </is>
      </c>
      <c r="C166" s="1" t="inlineStr">
        <is>
          <t>Manufactura / Dama / P. Superiores</t>
        </is>
      </c>
      <c r="D166" s="5" t="n">
        <v>5579.81396295</v>
      </c>
      <c r="E166" s="8" t="n">
        <v>0.001366120198144808</v>
      </c>
      <c r="F166" s="8" t="n">
        <v>0.4422381227947983</v>
      </c>
      <c r="G166" s="1" t="inlineStr">
        <is>
          <t>A</t>
        </is>
      </c>
      <c r="H166" s="6" t="n">
        <v>91</v>
      </c>
      <c r="I166" s="6" t="n">
        <v>5.538832275</v>
      </c>
      <c r="J166" s="5" t="n">
        <v>504.033737025</v>
      </c>
      <c r="K166" s="6" t="n">
        <v>10.3</v>
      </c>
      <c r="L166" s="6" t="n">
        <v>8.834951456310678</v>
      </c>
      <c r="M166" s="6" t="n">
        <v>2</v>
      </c>
      <c r="N166" s="6" t="n">
        <v>20.6</v>
      </c>
      <c r="O166" s="6" t="n">
        <v>70.40000000000001</v>
      </c>
      <c r="P166" s="5" t="n">
        <v>389.93379216</v>
      </c>
      <c r="Q166" s="8" t="n">
        <v>0.7736263736263737</v>
      </c>
      <c r="R166" s="1" t="inlineStr">
        <is>
          <t>Sobrestock crítico</t>
        </is>
      </c>
    </row>
    <row r="167">
      <c r="A167" s="1" t="inlineStr">
        <is>
          <t>TOA01PL</t>
        </is>
      </c>
      <c r="B167" s="1" t="inlineStr">
        <is>
          <t>TOALLA PLAYA</t>
        </is>
      </c>
      <c r="C167" s="1" t="inlineStr">
        <is>
          <t>Equipamiento / Toallas</t>
        </is>
      </c>
      <c r="D167" s="5" t="n">
        <v>5535.39365633</v>
      </c>
      <c r="E167" s="8" t="n">
        <v>0.001355244660271268</v>
      </c>
      <c r="F167" s="8" t="n">
        <v>0.4435933674550695</v>
      </c>
      <c r="G167" s="1" t="inlineStr">
        <is>
          <t>A</t>
        </is>
      </c>
      <c r="H167" s="6" t="n">
        <v>725</v>
      </c>
      <c r="I167" s="6" t="n">
        <v>4.83</v>
      </c>
      <c r="J167" s="5" t="n">
        <v>3501.75</v>
      </c>
      <c r="K167" s="6" t="n">
        <v>19.7</v>
      </c>
      <c r="L167" s="6" t="n">
        <v>36.80203045685279</v>
      </c>
      <c r="M167" s="6" t="n">
        <v>2</v>
      </c>
      <c r="N167" s="6" t="n">
        <v>39.4</v>
      </c>
      <c r="O167" s="6" t="n">
        <v>685.6</v>
      </c>
      <c r="P167" s="5" t="n">
        <v>3311.448</v>
      </c>
      <c r="Q167" s="8" t="n">
        <v>0.9456551724137932</v>
      </c>
      <c r="R167" s="1" t="inlineStr">
        <is>
          <t>Sobrestock crítico</t>
        </is>
      </c>
    </row>
    <row r="168">
      <c r="A168" s="1" t="inlineStr">
        <is>
          <t>ZCUA15EQ</t>
        </is>
      </c>
      <c r="B168" s="1" t="inlineStr">
        <is>
          <t>ZENIT CUADRADO</t>
        </is>
      </c>
      <c r="C168" s="1" t="inlineStr">
        <is>
          <t>Equipamiento / Lentes</t>
        </is>
      </c>
      <c r="D168" s="5" t="n">
        <v>5524.19526853</v>
      </c>
      <c r="E168" s="8" t="n">
        <v>0.001352502930195352</v>
      </c>
      <c r="F168" s="8" t="n">
        <v>0.4449458703852649</v>
      </c>
      <c r="G168" s="1" t="inlineStr">
        <is>
          <t>A</t>
        </is>
      </c>
      <c r="H168" s="6" t="n">
        <v>232</v>
      </c>
      <c r="I168" s="6" t="n">
        <v>40.44</v>
      </c>
      <c r="J168" s="5" t="n">
        <v>9382.08</v>
      </c>
      <c r="K168" s="6" t="n">
        <v>6.1</v>
      </c>
      <c r="L168" s="6" t="n">
        <v>38.0327868852459</v>
      </c>
      <c r="M168" s="6" t="n">
        <v>2</v>
      </c>
      <c r="N168" s="6" t="n">
        <v>12.2</v>
      </c>
      <c r="O168" s="6" t="n">
        <v>219.8</v>
      </c>
      <c r="P168" s="5" t="n">
        <v>8888.712</v>
      </c>
      <c r="Q168" s="8" t="n">
        <v>0.9474137931034482</v>
      </c>
      <c r="R168" s="1" t="inlineStr">
        <is>
          <t>Sobrestock crítico</t>
        </is>
      </c>
    </row>
    <row r="169">
      <c r="A169" s="1" t="inlineStr">
        <is>
          <t>JAPDA162TM</t>
        </is>
      </c>
      <c r="B169" s="1" t="inlineStr">
        <is>
          <t>CUADRO JACKET 2.0 DAMA</t>
        </is>
      </c>
      <c r="C169" s="1" t="inlineStr">
        <is>
          <t>Equipamiento / Ropa</t>
        </is>
      </c>
      <c r="D169" s="5" t="n">
        <v>5490.54237905</v>
      </c>
      <c r="E169" s="8" t="n">
        <v>0.001344263606743024</v>
      </c>
      <c r="F169" s="8" t="n">
        <v>0.446290133992008</v>
      </c>
      <c r="G169" s="1" t="inlineStr">
        <is>
          <t>A</t>
        </is>
      </c>
      <c r="H169" s="6" t="n">
        <v>207</v>
      </c>
      <c r="I169" s="6" t="n">
        <v>20.25</v>
      </c>
      <c r="J169" s="5" t="n">
        <v>4191.75</v>
      </c>
      <c r="K169" s="6" t="n">
        <v>8.800000000000001</v>
      </c>
      <c r="L169" s="6" t="n">
        <v>23.52272727272727</v>
      </c>
      <c r="M169" s="6" t="n">
        <v>2</v>
      </c>
      <c r="N169" s="6" t="n">
        <v>17.6</v>
      </c>
      <c r="O169" s="6" t="n">
        <v>189.4</v>
      </c>
      <c r="P169" s="5" t="n">
        <v>3835.35</v>
      </c>
      <c r="Q169" s="8" t="n">
        <v>0.914975845410628</v>
      </c>
      <c r="R169" s="1" t="inlineStr">
        <is>
          <t>Sobrestock crítico</t>
        </is>
      </c>
    </row>
    <row r="170">
      <c r="A170" s="1" t="inlineStr">
        <is>
          <t>MARMICA16TS</t>
        </is>
      </c>
      <c r="B170" s="1" t="inlineStr">
        <is>
          <t>MAR ORIGINAL CAB</t>
        </is>
      </c>
      <c r="C170" s="1" t="inlineStr">
        <is>
          <t>Manufactura / Caballero / P. Superiores</t>
        </is>
      </c>
      <c r="D170" s="5" t="n">
        <v>5465.11153097</v>
      </c>
      <c r="E170" s="8" t="n">
        <v>0.00133803730682537</v>
      </c>
      <c r="F170" s="8" t="n">
        <v>0.4476281712988333</v>
      </c>
      <c r="G170" s="1" t="inlineStr">
        <is>
          <t>A</t>
        </is>
      </c>
      <c r="H170" s="6" t="n">
        <v>68</v>
      </c>
      <c r="I170" s="6" t="n">
        <v>4.946357428</v>
      </c>
      <c r="J170" s="5" t="n">
        <v>336.352305104</v>
      </c>
      <c r="K170" s="6" t="n">
        <v>10.7</v>
      </c>
      <c r="L170" s="6" t="n">
        <v>6.355140186915889</v>
      </c>
      <c r="M170" s="6" t="n">
        <v>2</v>
      </c>
      <c r="N170" s="6" t="n">
        <v>21.4</v>
      </c>
      <c r="O170" s="6" t="n">
        <v>46.6</v>
      </c>
      <c r="P170" s="5" t="n">
        <v>230.5002561448</v>
      </c>
      <c r="Q170" s="8" t="n">
        <v>0.6852941176470588</v>
      </c>
      <c r="R170" s="1" t="inlineStr">
        <is>
          <t>Sobrestock crítico</t>
        </is>
      </c>
    </row>
    <row r="171">
      <c r="A171" s="1" t="inlineStr">
        <is>
          <t>JAPDA01TM</t>
        </is>
      </c>
      <c r="B171" s="1" t="inlineStr">
        <is>
          <t>CUADRO JACKET 2.0 DAMA</t>
        </is>
      </c>
      <c r="C171" s="1" t="inlineStr">
        <is>
          <t>Equipamiento / Ropa</t>
        </is>
      </c>
      <c r="D171" s="5" t="n">
        <v>5460.09298585</v>
      </c>
      <c r="E171" s="8" t="n">
        <v>0.001336808603521056</v>
      </c>
      <c r="F171" s="8" t="n">
        <v>0.4489649799023543</v>
      </c>
      <c r="G171" s="1" t="inlineStr">
        <is>
          <t>A</t>
        </is>
      </c>
      <c r="H171" s="6" t="n">
        <v>246</v>
      </c>
      <c r="I171" s="6" t="n">
        <v>20.25</v>
      </c>
      <c r="J171" s="5" t="n">
        <v>4981.5</v>
      </c>
      <c r="K171" s="6" t="n">
        <v>7.1</v>
      </c>
      <c r="L171" s="6" t="n">
        <v>34.64788732394366</v>
      </c>
      <c r="M171" s="6" t="n">
        <v>2</v>
      </c>
      <c r="N171" s="6" t="n">
        <v>14.2</v>
      </c>
      <c r="O171" s="6" t="n">
        <v>231.8</v>
      </c>
      <c r="P171" s="5" t="n">
        <v>4693.95</v>
      </c>
      <c r="Q171" s="8" t="n">
        <v>0.9422764227642276</v>
      </c>
      <c r="R171" s="1" t="inlineStr">
        <is>
          <t>Sobrestock crítico</t>
        </is>
      </c>
    </row>
    <row r="172">
      <c r="A172" s="1" t="inlineStr">
        <is>
          <t>PONC151EQ</t>
        </is>
      </c>
      <c r="B172" s="1" t="inlineStr">
        <is>
          <t>PONCHO ADULTO</t>
        </is>
      </c>
      <c r="C172" s="1" t="inlineStr">
        <is>
          <t>Equipamiento / Ponchos</t>
        </is>
      </c>
      <c r="D172" s="5" t="n">
        <v>5381.5204368</v>
      </c>
      <c r="E172" s="8" t="n">
        <v>0.001317571484328613</v>
      </c>
      <c r="F172" s="8" t="n">
        <v>0.450282551386683</v>
      </c>
      <c r="G172" s="1" t="inlineStr">
        <is>
          <t>A</t>
        </is>
      </c>
      <c r="H172" s="6" t="n">
        <v>461</v>
      </c>
      <c r="I172" s="6" t="n">
        <v>8.48</v>
      </c>
      <c r="J172" s="5" t="n">
        <v>3909.28</v>
      </c>
      <c r="K172" s="6" t="n">
        <v>13.5</v>
      </c>
      <c r="L172" s="6" t="n">
        <v>34.14814814814815</v>
      </c>
      <c r="M172" s="6" t="n">
        <v>2</v>
      </c>
      <c r="N172" s="6" t="n">
        <v>27</v>
      </c>
      <c r="O172" s="6" t="n">
        <v>434</v>
      </c>
      <c r="P172" s="5" t="n">
        <v>3680.32</v>
      </c>
      <c r="Q172" s="8" t="n">
        <v>0.9414316702819957</v>
      </c>
      <c r="R172" s="1" t="inlineStr">
        <is>
          <t>Sobrestock crítico</t>
        </is>
      </c>
    </row>
    <row r="173">
      <c r="A173" s="1" t="inlineStr">
        <is>
          <t>MARMICA13TM</t>
        </is>
      </c>
      <c r="B173" s="1" t="inlineStr">
        <is>
          <t>MAR ORIGINAL CAB</t>
        </is>
      </c>
      <c r="C173" s="1" t="inlineStr">
        <is>
          <t>Manufactura / Caballero / P. Superiores</t>
        </is>
      </c>
      <c r="D173" s="5" t="n">
        <v>5351.773158015964</v>
      </c>
      <c r="E173" s="8" t="n">
        <v>0.001310288381584228</v>
      </c>
      <c r="F173" s="8" t="n">
        <v>0.4515928397682671</v>
      </c>
      <c r="G173" s="1" t="inlineStr">
        <is>
          <t>A</t>
        </is>
      </c>
      <c r="H173" s="6" t="n">
        <v>135</v>
      </c>
      <c r="I173" s="6" t="n">
        <v>4.946357428</v>
      </c>
      <c r="J173" s="5" t="n">
        <v>667.75825278</v>
      </c>
      <c r="K173" s="6" t="n">
        <v>11.3</v>
      </c>
      <c r="L173" s="6" t="n">
        <v>11.94690265486726</v>
      </c>
      <c r="M173" s="6" t="n">
        <v>2</v>
      </c>
      <c r="N173" s="6" t="n">
        <v>22.6</v>
      </c>
      <c r="O173" s="6" t="n">
        <v>112.4</v>
      </c>
      <c r="P173" s="5" t="n">
        <v>555.9705749072</v>
      </c>
      <c r="Q173" s="8" t="n">
        <v>0.8325925925925926</v>
      </c>
      <c r="R173" s="1" t="inlineStr">
        <is>
          <t>Sobrestock crítico</t>
        </is>
      </c>
    </row>
    <row r="174">
      <c r="A174" s="1" t="inlineStr">
        <is>
          <t>BUC126EQ</t>
        </is>
      </c>
      <c r="B174" s="1" t="inlineStr">
        <is>
          <t>BUCKET HAT ESTAMPADO</t>
        </is>
      </c>
      <c r="C174" s="1" t="inlineStr">
        <is>
          <t>Equipamiento / Sombreros</t>
        </is>
      </c>
      <c r="D174" s="5" t="n">
        <v>5318.04221099</v>
      </c>
      <c r="E174" s="8" t="n">
        <v>0.001302029947102237</v>
      </c>
      <c r="F174" s="8" t="n">
        <v>0.4528948697153694</v>
      </c>
      <c r="G174" s="1" t="inlineStr">
        <is>
          <t>A</t>
        </is>
      </c>
      <c r="H174" s="6" t="n">
        <v>165</v>
      </c>
      <c r="I174" s="6" t="n">
        <v>4.98</v>
      </c>
      <c r="J174" s="5" t="n">
        <v>821.7</v>
      </c>
      <c r="K174" s="6" t="n">
        <v>18.1</v>
      </c>
      <c r="L174" s="6" t="n">
        <v>9.116022099447513</v>
      </c>
      <c r="M174" s="6" t="n">
        <v>2</v>
      </c>
      <c r="N174" s="6" t="n">
        <v>36.2</v>
      </c>
      <c r="O174" s="6" t="n">
        <v>128.8</v>
      </c>
      <c r="P174" s="5" t="n">
        <v>641.4240000000001</v>
      </c>
      <c r="Q174" s="8" t="n">
        <v>0.7806060606060606</v>
      </c>
      <c r="R174" s="1" t="inlineStr">
        <is>
          <t>Sobrestock crítico</t>
        </is>
      </c>
    </row>
    <row r="175">
      <c r="A175" s="1" t="inlineStr">
        <is>
          <t>MARMIDA43TL</t>
        </is>
      </c>
      <c r="B175" s="1" t="inlineStr">
        <is>
          <t>MAR ORIGINAL DAMA</t>
        </is>
      </c>
      <c r="C175" s="1" t="inlineStr">
        <is>
          <t>Manufactura / Dama / P. Superiores</t>
        </is>
      </c>
      <c r="D175" s="5" t="n">
        <v>5306.17830839</v>
      </c>
      <c r="E175" s="8" t="n">
        <v>0.001299125277326811</v>
      </c>
      <c r="F175" s="8" t="n">
        <v>0.4541939949926962</v>
      </c>
      <c r="G175" s="1" t="inlineStr">
        <is>
          <t>A</t>
        </is>
      </c>
      <c r="H175" s="6" t="n">
        <v>69</v>
      </c>
      <c r="I175" s="6" t="n">
        <v>4.278324149</v>
      </c>
      <c r="J175" s="5" t="n">
        <v>295.204366281</v>
      </c>
      <c r="K175" s="6" t="n">
        <v>11.3</v>
      </c>
      <c r="L175" s="6" t="n">
        <v>6.106194690265486</v>
      </c>
      <c r="M175" s="6" t="n">
        <v>2</v>
      </c>
      <c r="N175" s="6" t="n">
        <v>22.6</v>
      </c>
      <c r="O175" s="6" t="n">
        <v>46.4</v>
      </c>
      <c r="P175" s="5" t="n">
        <v>198.5142405136</v>
      </c>
      <c r="Q175" s="8" t="n">
        <v>0.672463768115942</v>
      </c>
      <c r="R175" s="1" t="inlineStr">
        <is>
          <t>Sobrestock crítico</t>
        </is>
      </c>
    </row>
    <row r="176">
      <c r="A176" s="1" t="inlineStr">
        <is>
          <t>JAPDA01TS</t>
        </is>
      </c>
      <c r="B176" s="1" t="inlineStr">
        <is>
          <t>CUADRO JACKET 2.0 DAMA</t>
        </is>
      </c>
      <c r="C176" s="1" t="inlineStr">
        <is>
          <t>Equipamiento / Ropa</t>
        </is>
      </c>
      <c r="D176" s="5" t="n">
        <v>5295.74293812</v>
      </c>
      <c r="E176" s="8" t="n">
        <v>0.001296570358794468</v>
      </c>
      <c r="F176" s="8" t="n">
        <v>0.4554905653514907</v>
      </c>
      <c r="G176" s="1" t="inlineStr">
        <is>
          <t>A</t>
        </is>
      </c>
      <c r="H176" s="6" t="n">
        <v>249</v>
      </c>
      <c r="I176" s="6" t="n">
        <v>20.25</v>
      </c>
      <c r="J176" s="5" t="n">
        <v>5042.25</v>
      </c>
      <c r="K176" s="6" t="n">
        <v>7.3</v>
      </c>
      <c r="L176" s="6" t="n">
        <v>34.10958904109589</v>
      </c>
      <c r="M176" s="6" t="n">
        <v>2</v>
      </c>
      <c r="N176" s="6" t="n">
        <v>14.6</v>
      </c>
      <c r="O176" s="6" t="n">
        <v>234.4</v>
      </c>
      <c r="P176" s="5" t="n">
        <v>4746.6</v>
      </c>
      <c r="Q176" s="8" t="n">
        <v>0.9413654618473897</v>
      </c>
      <c r="R176" s="1" t="inlineStr">
        <is>
          <t>Sobrestock crítico</t>
        </is>
      </c>
    </row>
    <row r="177">
      <c r="A177" s="1" t="inlineStr">
        <is>
          <t>JACCA43TM</t>
        </is>
      </c>
      <c r="B177" s="1" t="inlineStr">
        <is>
          <t>JACKET CAB</t>
        </is>
      </c>
      <c r="C177" s="1" t="inlineStr">
        <is>
          <t>Equipamiento / Ropa</t>
        </is>
      </c>
      <c r="D177" s="5" t="n">
        <v>5287.97040811</v>
      </c>
      <c r="E177" s="8" t="n">
        <v>0.001294667390289092</v>
      </c>
      <c r="F177" s="8" t="n">
        <v>0.4567852327417797</v>
      </c>
      <c r="G177" s="1" t="inlineStr">
        <is>
          <t>A</t>
        </is>
      </c>
      <c r="H177" s="6" t="n">
        <v>0</v>
      </c>
      <c r="I177" s="6" t="n">
        <v>20.25001933</v>
      </c>
      <c r="J177" s="5" t="n">
        <v>0</v>
      </c>
      <c r="K177" s="6" t="n">
        <v>8.5</v>
      </c>
      <c r="L177" s="6" t="n">
        <v>0</v>
      </c>
      <c r="M177" s="6" t="n">
        <v>2</v>
      </c>
      <c r="N177" s="6" t="n">
        <v>17</v>
      </c>
      <c r="O177" s="6" t="n">
        <v>0</v>
      </c>
      <c r="P177" s="5" t="n">
        <v>0</v>
      </c>
      <c r="Q177" s="8" t="n">
        <v>0</v>
      </c>
      <c r="R177" s="1" t="inlineStr">
        <is>
          <t>Sin rotación</t>
        </is>
      </c>
    </row>
    <row r="178">
      <c r="A178" s="1" t="inlineStr">
        <is>
          <t>PANNTCA12TL</t>
        </is>
      </c>
      <c r="B178" s="1" t="inlineStr">
        <is>
          <t>EXPLORE PANTS CAB</t>
        </is>
      </c>
      <c r="C178" s="1" t="inlineStr">
        <is>
          <t>Manufactura / Caballero / P. Inferiores</t>
        </is>
      </c>
      <c r="D178" s="5" t="n">
        <v>5264.4196798</v>
      </c>
      <c r="E178" s="8" t="n">
        <v>0.00128890140492848</v>
      </c>
      <c r="F178" s="8" t="n">
        <v>0.4580741341467082</v>
      </c>
      <c r="G178" s="1" t="inlineStr">
        <is>
          <t>A</t>
        </is>
      </c>
      <c r="H178" s="6" t="n">
        <v>56</v>
      </c>
      <c r="I178" s="6" t="n">
        <v>15.68994502</v>
      </c>
      <c r="J178" s="5" t="n">
        <v>878.63692112</v>
      </c>
      <c r="K178" s="6" t="n">
        <v>8</v>
      </c>
      <c r="L178" s="6" t="n">
        <v>7</v>
      </c>
      <c r="M178" s="6" t="n">
        <v>2</v>
      </c>
      <c r="N178" s="6" t="n">
        <v>16</v>
      </c>
      <c r="O178" s="6" t="n">
        <v>40</v>
      </c>
      <c r="P178" s="5" t="n">
        <v>627.5978008</v>
      </c>
      <c r="Q178" s="8" t="n">
        <v>0.7142857142857142</v>
      </c>
      <c r="R178" s="1" t="inlineStr">
        <is>
          <t>Sobrestock crítico</t>
        </is>
      </c>
    </row>
    <row r="179">
      <c r="A179" s="1" t="inlineStr">
        <is>
          <t>JAPDA43TL</t>
        </is>
      </c>
      <c r="B179" s="1" t="inlineStr">
        <is>
          <t>CUADRO JACKET 2.0 DAMA</t>
        </is>
      </c>
      <c r="C179" s="1" t="inlineStr">
        <is>
          <t>Equipamiento / Ropa</t>
        </is>
      </c>
      <c r="D179" s="5" t="n">
        <v>5259.87403881</v>
      </c>
      <c r="E179" s="8" t="n">
        <v>0.001287788483958141</v>
      </c>
      <c r="F179" s="8" t="n">
        <v>0.4593619226306665</v>
      </c>
      <c r="G179" s="1" t="inlineStr">
        <is>
          <t>A</t>
        </is>
      </c>
      <c r="H179" s="6" t="n">
        <v>306</v>
      </c>
      <c r="I179" s="6" t="n">
        <v>20.25</v>
      </c>
      <c r="J179" s="5" t="n">
        <v>6196.5</v>
      </c>
      <c r="K179" s="6" t="n">
        <v>6.4</v>
      </c>
      <c r="L179" s="6" t="n">
        <v>47.8125</v>
      </c>
      <c r="M179" s="6" t="n">
        <v>2</v>
      </c>
      <c r="N179" s="6" t="n">
        <v>12.8</v>
      </c>
      <c r="O179" s="6" t="n">
        <v>293.2</v>
      </c>
      <c r="P179" s="5" t="n">
        <v>5937.3</v>
      </c>
      <c r="Q179" s="8" t="n">
        <v>0.9581699346405229</v>
      </c>
      <c r="R179" s="1" t="inlineStr">
        <is>
          <t>Sobrestock crítico</t>
        </is>
      </c>
    </row>
    <row r="180">
      <c r="A180" s="1" t="inlineStr">
        <is>
          <t>DRY135L</t>
        </is>
      </c>
      <c r="B180" s="1" t="inlineStr">
        <is>
          <t>DRY BAG 5L</t>
        </is>
      </c>
      <c r="C180" s="1" t="inlineStr">
        <is>
          <t>Equipamiento / Bolsos</t>
        </is>
      </c>
      <c r="D180" s="5" t="n">
        <v>5253.9467438</v>
      </c>
      <c r="E180" s="8" t="n">
        <v>0.00128633728908188</v>
      </c>
      <c r="F180" s="8" t="n">
        <v>0.4606482599197483</v>
      </c>
      <c r="G180" s="1" t="inlineStr">
        <is>
          <t>A</t>
        </is>
      </c>
      <c r="H180" s="6" t="n">
        <v>324</v>
      </c>
      <c r="I180" s="6" t="n">
        <v>4.91</v>
      </c>
      <c r="J180" s="5" t="n">
        <v>1590.84</v>
      </c>
      <c r="K180" s="6" t="n">
        <v>17.8</v>
      </c>
      <c r="L180" s="6" t="n">
        <v>18.20224719101124</v>
      </c>
      <c r="M180" s="6" t="n">
        <v>2</v>
      </c>
      <c r="N180" s="6" t="n">
        <v>35.6</v>
      </c>
      <c r="O180" s="6" t="n">
        <v>288.4</v>
      </c>
      <c r="P180" s="5" t="n">
        <v>1416.044</v>
      </c>
      <c r="Q180" s="8" t="n">
        <v>0.8901234567901233</v>
      </c>
      <c r="R180" s="1" t="inlineStr">
        <is>
          <t>Sobrestock crítico</t>
        </is>
      </c>
    </row>
    <row r="181">
      <c r="A181" s="1" t="inlineStr">
        <is>
          <t>JACDA01TS</t>
        </is>
      </c>
      <c r="B181" s="1" t="inlineStr">
        <is>
          <t>JACKET DAMA</t>
        </is>
      </c>
      <c r="C181" s="1" t="inlineStr">
        <is>
          <t>Equipamiento / Ropa</t>
        </is>
      </c>
      <c r="D181" s="5" t="n">
        <v>5231.31345722</v>
      </c>
      <c r="E181" s="8" t="n">
        <v>0.001280795923338748</v>
      </c>
      <c r="F181" s="8" t="n">
        <v>0.461929055843087</v>
      </c>
      <c r="G181" s="1" t="inlineStr">
        <is>
          <t>A</t>
        </is>
      </c>
      <c r="H181" s="6" t="n">
        <v>15</v>
      </c>
      <c r="I181" s="6" t="n">
        <v>20.25</v>
      </c>
      <c r="J181" s="5" t="n">
        <v>303.75</v>
      </c>
      <c r="K181" s="6" t="n">
        <v>7.6</v>
      </c>
      <c r="L181" s="6" t="n">
        <v>1.973684210526316</v>
      </c>
      <c r="M181" s="6" t="n">
        <v>2</v>
      </c>
      <c r="N181" s="6" t="n">
        <v>15.2</v>
      </c>
      <c r="O181" s="6" t="n">
        <v>0</v>
      </c>
      <c r="P181" s="5" t="n">
        <v>0</v>
      </c>
      <c r="Q181" s="8" t="n">
        <v>0</v>
      </c>
      <c r="R181" s="1" t="inlineStr">
        <is>
          <t>OK</t>
        </is>
      </c>
    </row>
    <row r="182">
      <c r="A182" s="1" t="inlineStr">
        <is>
          <t>PANNTDA43TXL</t>
        </is>
      </c>
      <c r="B182" s="1" t="inlineStr">
        <is>
          <t>EXPLORE PANTS DAMA</t>
        </is>
      </c>
      <c r="C182" s="1" t="inlineStr">
        <is>
          <t>Manufactura / Dama / P. Inferiores</t>
        </is>
      </c>
      <c r="D182" s="5" t="n">
        <v>5228.72279029</v>
      </c>
      <c r="E182" s="8" t="n">
        <v>0.001280161643693721</v>
      </c>
      <c r="F182" s="8" t="n">
        <v>0.4632092174867808</v>
      </c>
      <c r="G182" s="1" t="inlineStr">
        <is>
          <t>A</t>
        </is>
      </c>
      <c r="H182" s="6" t="n">
        <v>0</v>
      </c>
      <c r="I182" s="6" t="n">
        <v>15.3928899</v>
      </c>
      <c r="J182" s="5" t="n">
        <v>0</v>
      </c>
      <c r="K182" s="6" t="n">
        <v>7.5</v>
      </c>
      <c r="L182" s="6" t="n">
        <v>0</v>
      </c>
      <c r="M182" s="6" t="n">
        <v>2</v>
      </c>
      <c r="N182" s="6" t="n">
        <v>15</v>
      </c>
      <c r="O182" s="6" t="n">
        <v>0</v>
      </c>
      <c r="P182" s="5" t="n">
        <v>0</v>
      </c>
      <c r="Q182" s="8" t="n">
        <v>0</v>
      </c>
      <c r="R182" s="1" t="inlineStr">
        <is>
          <t>Riesgo bajo stock</t>
        </is>
      </c>
    </row>
    <row r="183">
      <c r="A183" s="1" t="inlineStr">
        <is>
          <t>JACCA66TM</t>
        </is>
      </c>
      <c r="B183" s="1" t="inlineStr">
        <is>
          <t>JACKET CAB</t>
        </is>
      </c>
      <c r="C183" s="1" t="inlineStr">
        <is>
          <t>Equipamiento / Ropa</t>
        </is>
      </c>
      <c r="D183" s="5" t="n">
        <v>5223.79094479</v>
      </c>
      <c r="E183" s="8" t="n">
        <v>0.001278954167280275</v>
      </c>
      <c r="F183" s="8" t="n">
        <v>0.464488171654061</v>
      </c>
      <c r="G183" s="1" t="inlineStr">
        <is>
          <t>A</t>
        </is>
      </c>
      <c r="H183" s="6" t="n">
        <v>8</v>
      </c>
      <c r="I183" s="6" t="n">
        <v>20.25001933</v>
      </c>
      <c r="J183" s="5" t="n">
        <v>162.00015464</v>
      </c>
      <c r="K183" s="6" t="n">
        <v>8.699999999999999</v>
      </c>
      <c r="L183" s="6" t="n">
        <v>0.9195402298850576</v>
      </c>
      <c r="M183" s="6" t="n">
        <v>2</v>
      </c>
      <c r="N183" s="6" t="n">
        <v>17.4</v>
      </c>
      <c r="O183" s="6" t="n">
        <v>0</v>
      </c>
      <c r="P183" s="5" t="n">
        <v>0</v>
      </c>
      <c r="Q183" s="8" t="n">
        <v>0</v>
      </c>
      <c r="R183" s="1" t="inlineStr">
        <is>
          <t>Riesgo bajo stock</t>
        </is>
      </c>
    </row>
    <row r="184">
      <c r="A184" s="1" t="inlineStr">
        <is>
          <t>BUC34EQ</t>
        </is>
      </c>
      <c r="B184" s="1" t="inlineStr">
        <is>
          <t>BUCKET HAT</t>
        </is>
      </c>
      <c r="C184" s="1" t="inlineStr">
        <is>
          <t>Equipamiento / Sombreros</t>
        </is>
      </c>
      <c r="D184" s="5" t="n">
        <v>5203.21389033</v>
      </c>
      <c r="E184" s="8" t="n">
        <v>0.001273916234133617</v>
      </c>
      <c r="F184" s="8" t="n">
        <v>0.4657620878881947</v>
      </c>
      <c r="G184" s="1" t="inlineStr">
        <is>
          <t>A</t>
        </is>
      </c>
      <c r="H184" s="6" t="n">
        <v>2</v>
      </c>
      <c r="I184" s="6" t="n">
        <v>4.98</v>
      </c>
      <c r="J184" s="5" t="n">
        <v>9.960000000000001</v>
      </c>
      <c r="K184" s="6" t="n">
        <v>19.3</v>
      </c>
      <c r="L184" s="6" t="n">
        <v>0.1036269430051813</v>
      </c>
      <c r="M184" s="6" t="n">
        <v>2</v>
      </c>
      <c r="N184" s="6" t="n">
        <v>38.6</v>
      </c>
      <c r="O184" s="6" t="n">
        <v>0</v>
      </c>
      <c r="P184" s="5" t="n">
        <v>0</v>
      </c>
      <c r="Q184" s="8" t="n">
        <v>0</v>
      </c>
      <c r="R184" s="1" t="inlineStr">
        <is>
          <t>Riesgo bajo stock</t>
        </is>
      </c>
    </row>
    <row r="185">
      <c r="A185" s="1" t="inlineStr">
        <is>
          <t>DRY4310L</t>
        </is>
      </c>
      <c r="B185" s="1" t="inlineStr">
        <is>
          <t>DRY BAG 10L</t>
        </is>
      </c>
      <c r="C185" s="1" t="inlineStr">
        <is>
          <t>Equipamiento / Bolsos</t>
        </is>
      </c>
      <c r="D185" s="5" t="n">
        <v>5179.65593031</v>
      </c>
      <c r="E185" s="8" t="n">
        <v>0.001268148478214852</v>
      </c>
      <c r="F185" s="8" t="n">
        <v>0.4670302363664095</v>
      </c>
      <c r="G185" s="1" t="inlineStr">
        <is>
          <t>A</t>
        </is>
      </c>
      <c r="H185" s="6" t="n">
        <v>51</v>
      </c>
      <c r="I185" s="6" t="n">
        <v>5.22</v>
      </c>
      <c r="J185" s="5" t="n">
        <v>266.22</v>
      </c>
      <c r="K185" s="6" t="n">
        <v>13</v>
      </c>
      <c r="L185" s="6" t="n">
        <v>3.923076923076923</v>
      </c>
      <c r="M185" s="6" t="n">
        <v>2</v>
      </c>
      <c r="N185" s="6" t="n">
        <v>26</v>
      </c>
      <c r="O185" s="6" t="n">
        <v>25</v>
      </c>
      <c r="P185" s="5" t="n">
        <v>130.5</v>
      </c>
      <c r="Q185" s="8" t="n">
        <v>0.4901960784313726</v>
      </c>
      <c r="R185" s="1" t="inlineStr">
        <is>
          <t>Sobrestock crítico</t>
        </is>
      </c>
    </row>
    <row r="186">
      <c r="A186" s="1" t="inlineStr">
        <is>
          <t>TRA6718L</t>
        </is>
      </c>
      <c r="B186" s="1" t="inlineStr">
        <is>
          <t>TRAVEL BAG 18L</t>
        </is>
      </c>
      <c r="C186" s="1" t="inlineStr">
        <is>
          <t>Equipamiento / Bolsos</t>
        </is>
      </c>
      <c r="D186" s="5" t="n">
        <v>5175.8743007</v>
      </c>
      <c r="E186" s="8" t="n">
        <v>0.001267222612114938</v>
      </c>
      <c r="F186" s="8" t="n">
        <v>0.4682974589785245</v>
      </c>
      <c r="G186" s="1" t="inlineStr">
        <is>
          <t>A</t>
        </is>
      </c>
      <c r="H186" s="6" t="n">
        <v>48</v>
      </c>
      <c r="I186" s="6" t="n">
        <v>14.07</v>
      </c>
      <c r="J186" s="5" t="n">
        <v>675.36</v>
      </c>
      <c r="K186" s="6" t="n">
        <v>11.5</v>
      </c>
      <c r="L186" s="6" t="n">
        <v>4.173913043478261</v>
      </c>
      <c r="M186" s="6" t="n">
        <v>2</v>
      </c>
      <c r="N186" s="6" t="n">
        <v>23</v>
      </c>
      <c r="O186" s="6" t="n">
        <v>25</v>
      </c>
      <c r="P186" s="5" t="n">
        <v>351.75</v>
      </c>
      <c r="Q186" s="8" t="n">
        <v>0.5208333333333334</v>
      </c>
      <c r="R186" s="1" t="inlineStr">
        <is>
          <t>Sobrestock crítico</t>
        </is>
      </c>
    </row>
    <row r="187">
      <c r="A187" s="1" t="inlineStr">
        <is>
          <t>JACDA43TL</t>
        </is>
      </c>
      <c r="B187" s="1" t="inlineStr">
        <is>
          <t>JACKET DAMA</t>
        </is>
      </c>
      <c r="C187" s="1" t="inlineStr">
        <is>
          <t>Equipamiento / Ropa</t>
        </is>
      </c>
      <c r="D187" s="5" t="n">
        <v>5142.47940857</v>
      </c>
      <c r="E187" s="8" t="n">
        <v>0.001259046454817116</v>
      </c>
      <c r="F187" s="8" t="n">
        <v>0.4695565054333417</v>
      </c>
      <c r="G187" s="1" t="inlineStr">
        <is>
          <t>A</t>
        </is>
      </c>
      <c r="H187" s="6" t="n">
        <v>28</v>
      </c>
      <c r="I187" s="6" t="n">
        <v>20.25</v>
      </c>
      <c r="J187" s="5" t="n">
        <v>567</v>
      </c>
      <c r="K187" s="6" t="n">
        <v>8</v>
      </c>
      <c r="L187" s="6" t="n">
        <v>3.5</v>
      </c>
      <c r="M187" s="6" t="n">
        <v>2</v>
      </c>
      <c r="N187" s="6" t="n">
        <v>16</v>
      </c>
      <c r="O187" s="6" t="n">
        <v>12</v>
      </c>
      <c r="P187" s="5" t="n">
        <v>243</v>
      </c>
      <c r="Q187" s="8" t="n">
        <v>0.4285714285714285</v>
      </c>
      <c r="R187" s="1" t="inlineStr">
        <is>
          <t>Sobrestock crítico</t>
        </is>
      </c>
    </row>
    <row r="188">
      <c r="A188" s="1" t="inlineStr">
        <is>
          <t>CAP31DC</t>
        </is>
      </c>
      <c r="B188" s="1" t="inlineStr">
        <is>
          <t>DAD CAP</t>
        </is>
      </c>
      <c r="C188" s="1" t="inlineStr">
        <is>
          <t>Equipamiento / Gorras</t>
        </is>
      </c>
      <c r="D188" s="5" t="n">
        <v>5118.91486003</v>
      </c>
      <c r="E188" s="8" t="n">
        <v>0.001253277085814061</v>
      </c>
      <c r="F188" s="8" t="n">
        <v>0.4708097825191557</v>
      </c>
      <c r="G188" s="1" t="inlineStr">
        <is>
          <t>A</t>
        </is>
      </c>
      <c r="H188" s="6" t="n">
        <v>468</v>
      </c>
      <c r="I188" s="6" t="n">
        <v>3.27</v>
      </c>
      <c r="J188" s="5" t="n">
        <v>1530.36</v>
      </c>
      <c r="K188" s="6" t="n">
        <v>17.4</v>
      </c>
      <c r="L188" s="6" t="n">
        <v>26.89655172413793</v>
      </c>
      <c r="M188" s="6" t="n">
        <v>2</v>
      </c>
      <c r="N188" s="6" t="n">
        <v>34.8</v>
      </c>
      <c r="O188" s="6" t="n">
        <v>433.2</v>
      </c>
      <c r="P188" s="5" t="n">
        <v>1416.564</v>
      </c>
      <c r="Q188" s="8" t="n">
        <v>0.9256410256410258</v>
      </c>
      <c r="R188" s="1" t="inlineStr">
        <is>
          <t>Sobrestock crítico</t>
        </is>
      </c>
    </row>
    <row r="189">
      <c r="A189" s="1" t="inlineStr">
        <is>
          <t>MARMICA13TL</t>
        </is>
      </c>
      <c r="B189" s="1" t="inlineStr">
        <is>
          <t>MAR ORIGINAL CAB</t>
        </is>
      </c>
      <c r="C189" s="1" t="inlineStr">
        <is>
          <t>Manufactura / Caballero / P. Superiores</t>
        </is>
      </c>
      <c r="D189" s="5" t="n">
        <v>5118.48947376</v>
      </c>
      <c r="E189" s="8" t="n">
        <v>0.001253172937399917</v>
      </c>
      <c r="F189" s="8" t="n">
        <v>0.4720629554565556</v>
      </c>
      <c r="G189" s="1" t="inlineStr">
        <is>
          <t>A</t>
        </is>
      </c>
      <c r="H189" s="6" t="n">
        <v>77</v>
      </c>
      <c r="I189" s="6" t="n">
        <v>4.946357428</v>
      </c>
      <c r="J189" s="5" t="n">
        <v>380.869521956</v>
      </c>
      <c r="K189" s="6" t="n">
        <v>10.8</v>
      </c>
      <c r="L189" s="6" t="n">
        <v>7.129629629629629</v>
      </c>
      <c r="M189" s="6" t="n">
        <v>2</v>
      </c>
      <c r="N189" s="6" t="n">
        <v>21.6</v>
      </c>
      <c r="O189" s="6" t="n">
        <v>55.4</v>
      </c>
      <c r="P189" s="5" t="n">
        <v>274.0282015112</v>
      </c>
      <c r="Q189" s="8" t="n">
        <v>0.7194805194805195</v>
      </c>
      <c r="R189" s="1" t="inlineStr">
        <is>
          <t>Sobrestock crítico</t>
        </is>
      </c>
    </row>
    <row r="190">
      <c r="A190" s="1" t="inlineStr">
        <is>
          <t>JAPCA162T2XL</t>
        </is>
      </c>
      <c r="B190" s="1" t="inlineStr">
        <is>
          <t>CUADRO JACKET 2.0 CAB</t>
        </is>
      </c>
      <c r="C190" s="1" t="inlineStr">
        <is>
          <t>Equipamiento / Ropa</t>
        </is>
      </c>
      <c r="D190" s="5" t="n">
        <v>5114.98189829</v>
      </c>
      <c r="E190" s="8" t="n">
        <v>0.001252314168679687</v>
      </c>
      <c r="F190" s="8" t="n">
        <v>0.4733152696252353</v>
      </c>
      <c r="G190" s="1" t="inlineStr">
        <is>
          <t>A</t>
        </is>
      </c>
      <c r="H190" s="6" t="n">
        <v>172</v>
      </c>
      <c r="I190" s="6" t="n">
        <v>20.25000225</v>
      </c>
      <c r="J190" s="5" t="n">
        <v>3483.000387</v>
      </c>
      <c r="K190" s="6" t="n">
        <v>6.9</v>
      </c>
      <c r="L190" s="6" t="n">
        <v>24.92753623188405</v>
      </c>
      <c r="M190" s="6" t="n">
        <v>2</v>
      </c>
      <c r="N190" s="6" t="n">
        <v>13.8</v>
      </c>
      <c r="O190" s="6" t="n">
        <v>158.2</v>
      </c>
      <c r="P190" s="5" t="n">
        <v>3203.55035595</v>
      </c>
      <c r="Q190" s="8" t="n">
        <v>0.919767441860465</v>
      </c>
      <c r="R190" s="1" t="inlineStr">
        <is>
          <t>Sobrestock crítico</t>
        </is>
      </c>
    </row>
    <row r="191">
      <c r="A191" s="1" t="inlineStr">
        <is>
          <t>JACDA01TM</t>
        </is>
      </c>
      <c r="B191" s="1" t="inlineStr">
        <is>
          <t>JACKET DAMA</t>
        </is>
      </c>
      <c r="C191" s="1" t="inlineStr">
        <is>
          <t>Equipamiento / Ropa</t>
        </is>
      </c>
      <c r="D191" s="5" t="n">
        <v>5114.52203818</v>
      </c>
      <c r="E191" s="8" t="n">
        <v>0.001252201579946664</v>
      </c>
      <c r="F191" s="8" t="n">
        <v>0.4745674712051819</v>
      </c>
      <c r="G191" s="1" t="inlineStr">
        <is>
          <t>A</t>
        </is>
      </c>
      <c r="H191" s="6" t="n">
        <v>8</v>
      </c>
      <c r="I191" s="6" t="n">
        <v>20.25</v>
      </c>
      <c r="J191" s="5" t="n">
        <v>162</v>
      </c>
      <c r="K191" s="6" t="n">
        <v>7.7</v>
      </c>
      <c r="L191" s="6" t="n">
        <v>1.038961038961039</v>
      </c>
      <c r="M191" s="6" t="n">
        <v>2</v>
      </c>
      <c r="N191" s="6" t="n">
        <v>15.4</v>
      </c>
      <c r="O191" s="6" t="n">
        <v>0</v>
      </c>
      <c r="P191" s="5" t="n">
        <v>0</v>
      </c>
      <c r="Q191" s="8" t="n">
        <v>0</v>
      </c>
      <c r="R191" s="1" t="inlineStr">
        <is>
          <t>OK</t>
        </is>
      </c>
    </row>
    <row r="192">
      <c r="A192" s="1" t="inlineStr">
        <is>
          <t>DRY2010L</t>
        </is>
      </c>
      <c r="B192" s="1" t="inlineStr">
        <is>
          <t>DRY BAG 10L</t>
        </is>
      </c>
      <c r="C192" s="1" t="inlineStr">
        <is>
          <t>Equipamiento / Bolsos</t>
        </is>
      </c>
      <c r="D192" s="5" t="n">
        <v>5097.01557223</v>
      </c>
      <c r="E192" s="8" t="n">
        <v>0.001247915426879334</v>
      </c>
      <c r="F192" s="8" t="n">
        <v>0.4758153866320613</v>
      </c>
      <c r="G192" s="1" t="inlineStr">
        <is>
          <t>A</t>
        </is>
      </c>
      <c r="H192" s="6" t="n">
        <v>87</v>
      </c>
      <c r="I192" s="6" t="n">
        <v>5.22</v>
      </c>
      <c r="J192" s="5" t="n">
        <v>454.14</v>
      </c>
      <c r="K192" s="6" t="n">
        <v>12.4</v>
      </c>
      <c r="L192" s="6" t="n">
        <v>7.016129032258064</v>
      </c>
      <c r="M192" s="6" t="n">
        <v>2</v>
      </c>
      <c r="N192" s="6" t="n">
        <v>24.8</v>
      </c>
      <c r="O192" s="6" t="n">
        <v>62.2</v>
      </c>
      <c r="P192" s="5" t="n">
        <v>324.684</v>
      </c>
      <c r="Q192" s="8" t="n">
        <v>0.7149425287356322</v>
      </c>
      <c r="R192" s="1" t="inlineStr">
        <is>
          <t>Sobrestock crítico</t>
        </is>
      </c>
    </row>
    <row r="193">
      <c r="A193" s="1" t="inlineStr">
        <is>
          <t>PANNTCA66TL</t>
        </is>
      </c>
      <c r="B193" s="1" t="inlineStr">
        <is>
          <t>EXPLORE PANTS CAB</t>
        </is>
      </c>
      <c r="C193" s="1" t="inlineStr">
        <is>
          <t>Manufactura / Caballero / P. Inferiores</t>
        </is>
      </c>
      <c r="D193" s="5" t="n">
        <v>5046.78777135</v>
      </c>
      <c r="E193" s="8" t="n">
        <v>0.001235618025255162</v>
      </c>
      <c r="F193" s="8" t="n">
        <v>0.4770510046573164</v>
      </c>
      <c r="G193" s="1" t="inlineStr">
        <is>
          <t>A</t>
        </is>
      </c>
      <c r="H193" s="6" t="n">
        <v>49</v>
      </c>
      <c r="I193" s="6" t="n">
        <v>15.68994502</v>
      </c>
      <c r="J193" s="5" t="n">
        <v>768.80730598</v>
      </c>
      <c r="K193" s="6" t="n">
        <v>7.5</v>
      </c>
      <c r="L193" s="6" t="n">
        <v>6.533333333333333</v>
      </c>
      <c r="M193" s="6" t="n">
        <v>2</v>
      </c>
      <c r="N193" s="6" t="n">
        <v>15</v>
      </c>
      <c r="O193" s="6" t="n">
        <v>34</v>
      </c>
      <c r="P193" s="5" t="n">
        <v>533.4581306800001</v>
      </c>
      <c r="Q193" s="8" t="n">
        <v>0.6938775510204083</v>
      </c>
      <c r="R193" s="1" t="inlineStr">
        <is>
          <t>Sobrestock crítico</t>
        </is>
      </c>
    </row>
    <row r="194">
      <c r="A194" s="1" t="inlineStr">
        <is>
          <t>JACCA66TL</t>
        </is>
      </c>
      <c r="B194" s="1" t="inlineStr">
        <is>
          <t>JACKET CAB</t>
        </is>
      </c>
      <c r="C194" s="1" t="inlineStr">
        <is>
          <t>Equipamiento / Ropa</t>
        </is>
      </c>
      <c r="D194" s="5" t="n">
        <v>5037.33595387</v>
      </c>
      <c r="E194" s="8" t="n">
        <v>0.00123330391248109</v>
      </c>
      <c r="F194" s="8" t="n">
        <v>0.4782843085697975</v>
      </c>
      <c r="G194" s="1" t="inlineStr">
        <is>
          <t>A</t>
        </is>
      </c>
      <c r="H194" s="6" t="n">
        <v>0</v>
      </c>
      <c r="I194" s="6" t="n">
        <v>20.25001933</v>
      </c>
      <c r="J194" s="5" t="n">
        <v>0</v>
      </c>
      <c r="K194" s="6" t="n">
        <v>8.1</v>
      </c>
      <c r="L194" s="6" t="n">
        <v>0</v>
      </c>
      <c r="M194" s="6" t="n">
        <v>2</v>
      </c>
      <c r="N194" s="6" t="n">
        <v>16.2</v>
      </c>
      <c r="O194" s="6" t="n">
        <v>0</v>
      </c>
      <c r="P194" s="5" t="n">
        <v>0</v>
      </c>
      <c r="Q194" s="8" t="n">
        <v>0</v>
      </c>
      <c r="R194" s="1" t="inlineStr">
        <is>
          <t>Riesgo bajo stock</t>
        </is>
      </c>
    </row>
    <row r="195">
      <c r="A195" s="1" t="inlineStr">
        <is>
          <t>PANNTCA30TL</t>
        </is>
      </c>
      <c r="B195" s="1" t="inlineStr">
        <is>
          <t>EXPLORE PANTS CAB</t>
        </is>
      </c>
      <c r="C195" s="1" t="inlineStr">
        <is>
          <t>Manufactura / Caballero / P. Inferiores</t>
        </is>
      </c>
      <c r="D195" s="5" t="n">
        <v>5025.46042167</v>
      </c>
      <c r="E195" s="8" t="n">
        <v>0.001230396395400796</v>
      </c>
      <c r="F195" s="8" t="n">
        <v>0.4795147049651982</v>
      </c>
      <c r="G195" s="1" t="inlineStr">
        <is>
          <t>A</t>
        </is>
      </c>
      <c r="H195" s="6" t="n">
        <v>1</v>
      </c>
      <c r="I195" s="6" t="n">
        <v>15.68994502</v>
      </c>
      <c r="J195" s="5" t="n">
        <v>15.68994502</v>
      </c>
      <c r="K195" s="6" t="n">
        <v>7.4</v>
      </c>
      <c r="L195" s="6" t="n">
        <v>0.1351351351351351</v>
      </c>
      <c r="M195" s="6" t="n">
        <v>2</v>
      </c>
      <c r="N195" s="6" t="n">
        <v>14.8</v>
      </c>
      <c r="O195" s="6" t="n">
        <v>0</v>
      </c>
      <c r="P195" s="5" t="n">
        <v>0</v>
      </c>
      <c r="Q195" s="8" t="n">
        <v>0</v>
      </c>
      <c r="R195" s="1" t="inlineStr">
        <is>
          <t>Riesgo bajo stock</t>
        </is>
      </c>
    </row>
    <row r="196">
      <c r="A196" s="1" t="inlineStr">
        <is>
          <t>BAOCCCA158TM</t>
        </is>
      </c>
      <c r="B196" s="1" t="inlineStr">
        <is>
          <t>BASIC LINE OVERSIZED CAB</t>
        </is>
      </c>
      <c r="C196" s="1" t="inlineStr">
        <is>
          <t>Manufactura / Caballero / P. Superiores</t>
        </is>
      </c>
      <c r="D196" s="5" t="n">
        <v>5015.274042219499</v>
      </c>
      <c r="E196" s="8" t="n">
        <v>0.001227902437930942</v>
      </c>
      <c r="F196" s="8" t="n">
        <v>0.4807426074031292</v>
      </c>
      <c r="G196" s="1" t="inlineStr">
        <is>
          <t>A</t>
        </is>
      </c>
      <c r="H196" s="6" t="n">
        <v>20</v>
      </c>
      <c r="I196" s="6" t="n">
        <v>9.336740741</v>
      </c>
      <c r="J196" s="5" t="n">
        <v>186.73481482</v>
      </c>
      <c r="K196" s="6" t="n">
        <v>9.800000000000001</v>
      </c>
      <c r="L196" s="6" t="n">
        <v>2.040816326530612</v>
      </c>
      <c r="M196" s="6" t="n">
        <v>2</v>
      </c>
      <c r="N196" s="6" t="n">
        <v>19.6</v>
      </c>
      <c r="O196" s="6" t="n">
        <v>0.3999999999999986</v>
      </c>
      <c r="P196" s="5" t="n">
        <v>3.734696296399987</v>
      </c>
      <c r="Q196" s="8" t="n">
        <v>0.01999999999999993</v>
      </c>
      <c r="R196" s="1" t="inlineStr">
        <is>
          <t>Sobrestock</t>
        </is>
      </c>
    </row>
    <row r="197">
      <c r="A197" s="1" t="inlineStr">
        <is>
          <t>DRY6610L</t>
        </is>
      </c>
      <c r="B197" s="1" t="inlineStr">
        <is>
          <t>DRY BAG 10L</t>
        </is>
      </c>
      <c r="C197" s="1" t="inlineStr">
        <is>
          <t>Equipamiento / Bolsos</t>
        </is>
      </c>
      <c r="D197" s="5" t="n">
        <v>4986.00147428</v>
      </c>
      <c r="E197" s="8" t="n">
        <v>0.001220735559863098</v>
      </c>
      <c r="F197" s="8" t="n">
        <v>0.4819633429629924</v>
      </c>
      <c r="G197" s="1" t="inlineStr">
        <is>
          <t>A</t>
        </is>
      </c>
      <c r="H197" s="6" t="n">
        <v>119</v>
      </c>
      <c r="I197" s="6" t="n">
        <v>5.22</v>
      </c>
      <c r="J197" s="5" t="n">
        <v>621.1799999999999</v>
      </c>
      <c r="K197" s="6" t="n">
        <v>12.3</v>
      </c>
      <c r="L197" s="6" t="n">
        <v>9.674796747967479</v>
      </c>
      <c r="M197" s="6" t="n">
        <v>2</v>
      </c>
      <c r="N197" s="6" t="n">
        <v>24.6</v>
      </c>
      <c r="O197" s="6" t="n">
        <v>94.40000000000001</v>
      </c>
      <c r="P197" s="5" t="n">
        <v>492.768</v>
      </c>
      <c r="Q197" s="8" t="n">
        <v>0.7932773109243698</v>
      </c>
      <c r="R197" s="1" t="inlineStr">
        <is>
          <t>Sobrestock crítico</t>
        </is>
      </c>
    </row>
    <row r="198">
      <c r="A198" s="1" t="inlineStr">
        <is>
          <t>MARMIDA66TM</t>
        </is>
      </c>
      <c r="B198" s="1" t="inlineStr">
        <is>
          <t>MAR ORIGINAL DAMA</t>
        </is>
      </c>
      <c r="C198" s="1" t="inlineStr">
        <is>
          <t>Manufactura / Dama / P. Superiores</t>
        </is>
      </c>
      <c r="D198" s="5" t="n">
        <v>4969.49649569</v>
      </c>
      <c r="E198" s="8" t="n">
        <v>0.001216694603520922</v>
      </c>
      <c r="F198" s="8" t="n">
        <v>0.4831800375665132</v>
      </c>
      <c r="G198" s="1" t="inlineStr">
        <is>
          <t>A</t>
        </is>
      </c>
      <c r="H198" s="6" t="n">
        <v>42</v>
      </c>
      <c r="I198" s="6" t="n">
        <v>4.278324149</v>
      </c>
      <c r="J198" s="5" t="n">
        <v>179.689614258</v>
      </c>
      <c r="K198" s="6" t="n">
        <v>10.7</v>
      </c>
      <c r="L198" s="6" t="n">
        <v>3.925233644859814</v>
      </c>
      <c r="M198" s="6" t="n">
        <v>2</v>
      </c>
      <c r="N198" s="6" t="n">
        <v>21.4</v>
      </c>
      <c r="O198" s="6" t="n">
        <v>20.6</v>
      </c>
      <c r="P198" s="5" t="n">
        <v>88.13347746940002</v>
      </c>
      <c r="Q198" s="8" t="n">
        <v>0.4904761904761906</v>
      </c>
      <c r="R198" s="1" t="inlineStr">
        <is>
          <t>Sobrestock crítico</t>
        </is>
      </c>
    </row>
    <row r="199">
      <c r="A199" s="1" t="inlineStr">
        <is>
          <t>MARMICA12TS</t>
        </is>
      </c>
      <c r="B199" s="1" t="inlineStr">
        <is>
          <t>MAR ORIGINAL CAB</t>
        </is>
      </c>
      <c r="C199" s="1" t="inlineStr">
        <is>
          <t>Manufactura / Caballero / P. Superiores</t>
        </is>
      </c>
      <c r="D199" s="5" t="n">
        <v>4964.90192138</v>
      </c>
      <c r="E199" s="8" t="n">
        <v>0.001215569702080041</v>
      </c>
      <c r="F199" s="8" t="n">
        <v>0.4843956072685933</v>
      </c>
      <c r="G199" s="1" t="inlineStr">
        <is>
          <t>A</t>
        </is>
      </c>
      <c r="H199" s="6" t="n">
        <v>33</v>
      </c>
      <c r="I199" s="6" t="n">
        <v>4.946357428</v>
      </c>
      <c r="J199" s="5" t="n">
        <v>163.229795124</v>
      </c>
      <c r="K199" s="6" t="n">
        <v>11.9</v>
      </c>
      <c r="L199" s="6" t="n">
        <v>2.773109243697479</v>
      </c>
      <c r="M199" s="6" t="n">
        <v>2</v>
      </c>
      <c r="N199" s="6" t="n">
        <v>23.8</v>
      </c>
      <c r="O199" s="6" t="n">
        <v>9.199999999999999</v>
      </c>
      <c r="P199" s="5" t="n">
        <v>45.5064883376</v>
      </c>
      <c r="Q199" s="8" t="n">
        <v>0.2787878787878788</v>
      </c>
      <c r="R199" s="1" t="inlineStr">
        <is>
          <t>Sobrestock</t>
        </is>
      </c>
    </row>
    <row r="200">
      <c r="A200" s="1" t="inlineStr">
        <is>
          <t>CIT152CIB</t>
        </is>
      </c>
      <c r="B200" s="1" t="inlineStr">
        <is>
          <t>CITYBAG</t>
        </is>
      </c>
      <c r="C200" s="1" t="inlineStr">
        <is>
          <t>Equipamiento / Bolsos</t>
        </is>
      </c>
      <c r="D200" s="5" t="n">
        <v>4964.70982972</v>
      </c>
      <c r="E200" s="8" t="n">
        <v>0.001215522671785059</v>
      </c>
      <c r="F200" s="8" t="n">
        <v>0.4856111299403783</v>
      </c>
      <c r="G200" s="1" t="inlineStr">
        <is>
          <t>A</t>
        </is>
      </c>
      <c r="H200" s="6" t="n">
        <v>413</v>
      </c>
      <c r="I200" s="6" t="n">
        <v>14.54</v>
      </c>
      <c r="J200" s="5" t="n">
        <v>6005.02</v>
      </c>
      <c r="K200" s="6" t="n">
        <v>8.699999999999999</v>
      </c>
      <c r="L200" s="6" t="n">
        <v>47.4712643678161</v>
      </c>
      <c r="M200" s="6" t="n">
        <v>2</v>
      </c>
      <c r="N200" s="6" t="n">
        <v>17.4</v>
      </c>
      <c r="O200" s="6" t="n">
        <v>395.6</v>
      </c>
      <c r="P200" s="5" t="n">
        <v>5752.024</v>
      </c>
      <c r="Q200" s="8" t="n">
        <v>0.9578692493946732</v>
      </c>
      <c r="R200" s="1" t="inlineStr">
        <is>
          <t>Sobrestock crítico</t>
        </is>
      </c>
    </row>
    <row r="201">
      <c r="A201" s="1" t="inlineStr">
        <is>
          <t>TRA5018L</t>
        </is>
      </c>
      <c r="B201" s="1" t="inlineStr">
        <is>
          <t>TRAVEL BAG 18L</t>
        </is>
      </c>
      <c r="C201" s="1" t="inlineStr">
        <is>
          <t>Equipamiento / Bolsos</t>
        </is>
      </c>
      <c r="D201" s="5" t="n">
        <v>4948.56244964</v>
      </c>
      <c r="E201" s="8" t="n">
        <v>0.001211569267205465</v>
      </c>
      <c r="F201" s="8" t="n">
        <v>0.4868226992075838</v>
      </c>
      <c r="G201" s="1" t="inlineStr">
        <is>
          <t>A</t>
        </is>
      </c>
      <c r="H201" s="6" t="n">
        <v>10</v>
      </c>
      <c r="I201" s="6" t="n">
        <v>14.07</v>
      </c>
      <c r="J201" s="5" t="n">
        <v>140.7</v>
      </c>
      <c r="K201" s="6" t="n">
        <v>10.3</v>
      </c>
      <c r="L201" s="6" t="n">
        <v>0.9708737864077669</v>
      </c>
      <c r="M201" s="6" t="n">
        <v>2</v>
      </c>
      <c r="N201" s="6" t="n">
        <v>20.6</v>
      </c>
      <c r="O201" s="6" t="n">
        <v>0</v>
      </c>
      <c r="P201" s="5" t="n">
        <v>0</v>
      </c>
      <c r="Q201" s="8" t="n">
        <v>0</v>
      </c>
      <c r="R201" s="1" t="inlineStr">
        <is>
          <t>Riesgo bajo stock</t>
        </is>
      </c>
    </row>
    <row r="202">
      <c r="A202" s="1" t="inlineStr">
        <is>
          <t>MARMICA30TL</t>
        </is>
      </c>
      <c r="B202" s="1" t="inlineStr">
        <is>
          <t>MAR ORIGINAL CAB</t>
        </is>
      </c>
      <c r="C202" s="1" t="inlineStr">
        <is>
          <t>Manufactura / Caballero / P. Superiores</t>
        </is>
      </c>
      <c r="D202" s="5" t="n">
        <v>4915.50172509</v>
      </c>
      <c r="E202" s="8" t="n">
        <v>0.001203474925015393</v>
      </c>
      <c r="F202" s="8" t="n">
        <v>0.4880261741325991</v>
      </c>
      <c r="G202" s="1" t="inlineStr">
        <is>
          <t>A</t>
        </is>
      </c>
      <c r="H202" s="6" t="n">
        <v>29</v>
      </c>
      <c r="I202" s="6" t="n">
        <v>4.946357428</v>
      </c>
      <c r="J202" s="5" t="n">
        <v>143.444365412</v>
      </c>
      <c r="K202" s="6" t="n">
        <v>10.9</v>
      </c>
      <c r="L202" s="6" t="n">
        <v>2.660550458715596</v>
      </c>
      <c r="M202" s="6" t="n">
        <v>2</v>
      </c>
      <c r="N202" s="6" t="n">
        <v>21.8</v>
      </c>
      <c r="O202" s="6" t="n">
        <v>7.199999999999999</v>
      </c>
      <c r="P202" s="5" t="n">
        <v>35.61377348159999</v>
      </c>
      <c r="Q202" s="8" t="n">
        <v>0.2482758620689655</v>
      </c>
      <c r="R202" s="1" t="inlineStr">
        <is>
          <t>Sobrestock</t>
        </is>
      </c>
    </row>
    <row r="203">
      <c r="A203" s="1" t="inlineStr">
        <is>
          <t>TRA1340L</t>
        </is>
      </c>
      <c r="B203" s="1" t="inlineStr">
        <is>
          <t>TRAVEL BAG 40L</t>
        </is>
      </c>
      <c r="C203" s="1" t="inlineStr">
        <is>
          <t>Equipamiento / Bolsos</t>
        </is>
      </c>
      <c r="D203" s="5" t="n">
        <v>4909.8908281</v>
      </c>
      <c r="E203" s="8" t="n">
        <v>0.001202101194679822</v>
      </c>
      <c r="F203" s="8" t="n">
        <v>0.489228275327279</v>
      </c>
      <c r="G203" s="1" t="inlineStr">
        <is>
          <t>A</t>
        </is>
      </c>
      <c r="H203" s="6" t="n">
        <v>14</v>
      </c>
      <c r="I203" s="6" t="n">
        <v>18.38</v>
      </c>
      <c r="J203" s="5" t="n">
        <v>257.32</v>
      </c>
      <c r="K203" s="6" t="n">
        <v>9.300000000000001</v>
      </c>
      <c r="L203" s="6" t="n">
        <v>1.505376344086022</v>
      </c>
      <c r="M203" s="6" t="n">
        <v>2</v>
      </c>
      <c r="N203" s="6" t="n">
        <v>18.6</v>
      </c>
      <c r="O203" s="6" t="n">
        <v>0</v>
      </c>
      <c r="P203" s="5" t="n">
        <v>0</v>
      </c>
      <c r="Q203" s="8" t="n">
        <v>0</v>
      </c>
      <c r="R203" s="1" t="inlineStr">
        <is>
          <t>OK</t>
        </is>
      </c>
    </row>
    <row r="204">
      <c r="A204" t="inlineStr">
        <is>
          <t>PONKI09EQ</t>
        </is>
      </c>
      <c r="B204" t="inlineStr">
        <is>
          <t>PONCHO KIDS</t>
        </is>
      </c>
      <c r="C204" t="inlineStr">
        <is>
          <t>Equipamiento / Ponchos</t>
        </is>
      </c>
      <c r="D204" t="n">
        <v>4878.17376702</v>
      </c>
      <c r="E204" t="n">
        <v>0.001194335825071644</v>
      </c>
      <c r="F204" t="n">
        <v>0.4904226111523506</v>
      </c>
      <c r="G204" t="inlineStr">
        <is>
          <t>A</t>
        </is>
      </c>
      <c r="H204" t="n">
        <v>101</v>
      </c>
      <c r="I204" t="n">
        <v>7.990000000000001</v>
      </c>
      <c r="J204" t="n">
        <v>806.9900000000001</v>
      </c>
      <c r="K204" t="n">
        <v>14.5</v>
      </c>
      <c r="L204" t="n">
        <v>6.96551724137931</v>
      </c>
      <c r="M204" t="n">
        <v>2</v>
      </c>
      <c r="N204" t="n">
        <v>29</v>
      </c>
      <c r="O204" t="n">
        <v>72</v>
      </c>
      <c r="P204" t="n">
        <v>575.2800000000001</v>
      </c>
      <c r="Q204" t="n">
        <v>0.7128712871287128</v>
      </c>
      <c r="R204" t="inlineStr">
        <is>
          <t>Sobrestock crítico</t>
        </is>
      </c>
    </row>
    <row r="205">
      <c r="A205" t="inlineStr">
        <is>
          <t>PONKI63EQ</t>
        </is>
      </c>
      <c r="B205" t="inlineStr">
        <is>
          <t>PONCHO KIDS</t>
        </is>
      </c>
      <c r="C205" t="inlineStr">
        <is>
          <t>Equipamiento / Ponchos</t>
        </is>
      </c>
      <c r="D205" t="n">
        <v>4838.74733581</v>
      </c>
      <c r="E205" t="n">
        <v>0.001184682950553893</v>
      </c>
      <c r="F205" t="n">
        <v>0.4916072941029045</v>
      </c>
      <c r="G205" t="inlineStr">
        <is>
          <t>A</t>
        </is>
      </c>
      <c r="H205" t="n">
        <v>378</v>
      </c>
      <c r="I205" t="n">
        <v>7.990000000000001</v>
      </c>
      <c r="J205" t="n">
        <v>3020.22</v>
      </c>
      <c r="K205" t="n">
        <v>13.7</v>
      </c>
      <c r="L205" t="n">
        <v>27.59124087591241</v>
      </c>
      <c r="M205" t="n">
        <v>2</v>
      </c>
      <c r="N205" t="n">
        <v>27.4</v>
      </c>
      <c r="O205" t="n">
        <v>350.6</v>
      </c>
      <c r="P205" t="n">
        <v>2801.294000000001</v>
      </c>
      <c r="Q205" t="n">
        <v>0.9275132275132277</v>
      </c>
      <c r="R205" t="inlineStr">
        <is>
          <t>Sobrestock crítico</t>
        </is>
      </c>
    </row>
    <row r="206">
      <c r="A206" t="inlineStr">
        <is>
          <t>PANNTDA43TL</t>
        </is>
      </c>
      <c r="B206" t="inlineStr">
        <is>
          <t>EXPLORE PANTS DAMA</t>
        </is>
      </c>
      <c r="C206" t="inlineStr">
        <is>
          <t>Manufactura / Dama / P. Inferiores</t>
        </is>
      </c>
      <c r="D206" t="n">
        <v>4830.176081073056</v>
      </c>
      <c r="E206" t="n">
        <v>0.001182584428220114</v>
      </c>
      <c r="F206" t="n">
        <v>0.4927898785311247</v>
      </c>
      <c r="G206" t="inlineStr">
        <is>
          <t>A</t>
        </is>
      </c>
      <c r="H206" t="n">
        <v>5</v>
      </c>
      <c r="I206" t="n">
        <v>15.3928899</v>
      </c>
      <c r="J206" t="n">
        <v>76.9644495</v>
      </c>
      <c r="K206" t="n">
        <v>7.6</v>
      </c>
      <c r="L206" t="n">
        <v>0.6578947368421053</v>
      </c>
      <c r="M206" t="n">
        <v>2</v>
      </c>
      <c r="N206" t="n">
        <v>15.2</v>
      </c>
      <c r="O206" t="n">
        <v>0</v>
      </c>
      <c r="P206" t="n">
        <v>0</v>
      </c>
      <c r="Q206" t="n">
        <v>0</v>
      </c>
      <c r="R206" t="inlineStr">
        <is>
          <t>Riesgo bajo stock</t>
        </is>
      </c>
    </row>
    <row r="207">
      <c r="A207" t="inlineStr">
        <is>
          <t>TOA35SP</t>
        </is>
      </c>
      <c r="B207" t="inlineStr">
        <is>
          <t>TOALLA SPORT</t>
        </is>
      </c>
      <c r="C207" t="inlineStr">
        <is>
          <t>Equipamiento / Toallas</t>
        </is>
      </c>
      <c r="D207" t="n">
        <v>4798.663034675719</v>
      </c>
      <c r="E207" t="n">
        <v>0.00117486900805121</v>
      </c>
      <c r="F207" t="n">
        <v>0.4939647475391759</v>
      </c>
      <c r="G207" t="inlineStr">
        <is>
          <t>A</t>
        </is>
      </c>
      <c r="H207" t="n">
        <v>637</v>
      </c>
      <c r="I207" t="n">
        <v>1.8</v>
      </c>
      <c r="J207" t="n">
        <v>1146.6</v>
      </c>
      <c r="K207" t="n">
        <v>26.2</v>
      </c>
      <c r="L207" t="n">
        <v>24.31297709923664</v>
      </c>
      <c r="M207" t="n">
        <v>2</v>
      </c>
      <c r="N207" t="n">
        <v>52.4</v>
      </c>
      <c r="O207" t="n">
        <v>584.6</v>
      </c>
      <c r="P207" t="n">
        <v>1052.28</v>
      </c>
      <c r="Q207" t="n">
        <v>0.917739403453689</v>
      </c>
      <c r="R207" t="inlineStr">
        <is>
          <t>Sobrestock crítico</t>
        </is>
      </c>
    </row>
    <row r="208">
      <c r="A208" t="inlineStr">
        <is>
          <t>SHOSUCA153TL</t>
        </is>
      </c>
      <c r="B208" t="inlineStr">
        <is>
          <t>SHORT PLAYA ESTAMPADO CAB</t>
        </is>
      </c>
      <c r="C208" t="inlineStr">
        <is>
          <t>Manufactura / Caballero / P. Inferiores</t>
        </is>
      </c>
      <c r="D208" t="n">
        <v>4770.65191419</v>
      </c>
      <c r="E208" t="n">
        <v>0.001168010973406633</v>
      </c>
      <c r="F208" t="n">
        <v>0.4951327585125825</v>
      </c>
      <c r="G208" t="inlineStr">
        <is>
          <t>A</t>
        </is>
      </c>
      <c r="H208" t="n">
        <v>26</v>
      </c>
      <c r="I208" t="n">
        <v>12.11</v>
      </c>
      <c r="J208" t="n">
        <v>314.86</v>
      </c>
      <c r="K208" t="n">
        <v>8.6</v>
      </c>
      <c r="L208" t="n">
        <v>3.023255813953488</v>
      </c>
      <c r="M208" t="n">
        <v>2</v>
      </c>
      <c r="N208" t="n">
        <v>17.2</v>
      </c>
      <c r="O208" t="n">
        <v>8.800000000000001</v>
      </c>
      <c r="P208" t="n">
        <v>106.568</v>
      </c>
      <c r="Q208" t="n">
        <v>0.3384615384615384</v>
      </c>
      <c r="R208" t="inlineStr">
        <is>
          <t>Sobrestock crítico</t>
        </is>
      </c>
    </row>
    <row r="209">
      <c r="A209" t="inlineStr">
        <is>
          <t>PANNTCA33TXL</t>
        </is>
      </c>
      <c r="B209" t="inlineStr">
        <is>
          <t>EXPLORE PANTS CAB</t>
        </is>
      </c>
      <c r="C209" t="inlineStr">
        <is>
          <t>Manufactura / Caballero / P. Inferiores</t>
        </is>
      </c>
      <c r="D209" t="n">
        <v>4734.73048081</v>
      </c>
      <c r="E209" t="n">
        <v>0.001159216236518884</v>
      </c>
      <c r="F209" t="n">
        <v>0.4962919747491014</v>
      </c>
      <c r="G209" t="inlineStr">
        <is>
          <t>A</t>
        </is>
      </c>
      <c r="H209" t="n">
        <v>24</v>
      </c>
      <c r="I209" t="n">
        <v>15.68994502</v>
      </c>
      <c r="J209" t="n">
        <v>376.55868048</v>
      </c>
      <c r="K209" t="n">
        <v>6.8</v>
      </c>
      <c r="L209" t="n">
        <v>3.529411764705882</v>
      </c>
      <c r="M209" t="n">
        <v>2</v>
      </c>
      <c r="N209" t="n">
        <v>13.6</v>
      </c>
      <c r="O209" t="n">
        <v>10.4</v>
      </c>
      <c r="P209" t="n">
        <v>163.175428208</v>
      </c>
      <c r="Q209" t="n">
        <v>0.4333333333333333</v>
      </c>
      <c r="R209" t="inlineStr">
        <is>
          <t>Sobrestock crítico</t>
        </is>
      </c>
    </row>
    <row r="210">
      <c r="A210" t="inlineStr">
        <is>
          <t>MARMIDA16TXS</t>
        </is>
      </c>
      <c r="B210" t="inlineStr">
        <is>
          <t>MAR ORIGINAL DAMA</t>
        </is>
      </c>
      <c r="C210" t="inlineStr">
        <is>
          <t>Manufactura / Dama / P. Superiores</t>
        </is>
      </c>
      <c r="D210" t="n">
        <v>4690.78095829</v>
      </c>
      <c r="E210" t="n">
        <v>0.001148455961926924</v>
      </c>
      <c r="F210" t="n">
        <v>0.4974404307110283</v>
      </c>
      <c r="G210" t="inlineStr">
        <is>
          <t>A</t>
        </is>
      </c>
      <c r="H210" t="n">
        <v>29</v>
      </c>
      <c r="I210" t="n">
        <v>4.278324149</v>
      </c>
      <c r="J210" t="n">
        <v>124.071400321</v>
      </c>
      <c r="K210" t="n">
        <v>9.199999999999999</v>
      </c>
      <c r="L210" t="n">
        <v>3.152173913043478</v>
      </c>
      <c r="M210" t="n">
        <v>2</v>
      </c>
      <c r="N210" t="n">
        <v>18.4</v>
      </c>
      <c r="O210" t="n">
        <v>10.6</v>
      </c>
      <c r="P210" t="n">
        <v>45.35023597940001</v>
      </c>
      <c r="Q210" t="n">
        <v>0.3655172413793104</v>
      </c>
      <c r="R210" t="inlineStr">
        <is>
          <t>Sobrestock crítico</t>
        </is>
      </c>
    </row>
    <row r="211">
      <c r="A211" t="inlineStr">
        <is>
          <t>JACCA66TXL</t>
        </is>
      </c>
      <c r="B211" t="inlineStr">
        <is>
          <t>JACKET CAB</t>
        </is>
      </c>
      <c r="C211" t="inlineStr">
        <is>
          <t>Equipamiento / Ropa</t>
        </is>
      </c>
      <c r="D211" t="n">
        <v>4681.890749962228</v>
      </c>
      <c r="E211" t="n">
        <v>0.001146279349365479</v>
      </c>
      <c r="F211" t="n">
        <v>0.4985867100603938</v>
      </c>
      <c r="G211" t="inlineStr">
        <is>
          <t>A</t>
        </is>
      </c>
      <c r="H211" t="n">
        <v>34</v>
      </c>
      <c r="I211" t="n">
        <v>20.25001933</v>
      </c>
      <c r="J211" t="n">
        <v>688.50065722</v>
      </c>
      <c r="K211" t="n">
        <v>7.5</v>
      </c>
      <c r="L211" t="n">
        <v>4.533333333333333</v>
      </c>
      <c r="M211" t="n">
        <v>2</v>
      </c>
      <c r="N211" t="n">
        <v>15</v>
      </c>
      <c r="O211" t="n">
        <v>19</v>
      </c>
      <c r="P211" t="n">
        <v>384.75036727</v>
      </c>
      <c r="Q211" t="n">
        <v>0.5588235294117647</v>
      </c>
      <c r="R211" t="inlineStr">
        <is>
          <t>Sobrestock crítico</t>
        </is>
      </c>
    </row>
    <row r="212">
      <c r="A212" t="inlineStr">
        <is>
          <t>CGCSDA16TL</t>
        </is>
      </c>
      <c r="B212" t="inlineStr">
        <is>
          <t>CLASICA GC SUBLIMADO DAMA</t>
        </is>
      </c>
      <c r="C212" t="inlineStr">
        <is>
          <t>Manufactura / Dama / P. Superiores</t>
        </is>
      </c>
      <c r="D212" t="n">
        <v>4636.45717134</v>
      </c>
      <c r="E212" t="n">
        <v>0.001135155729502531</v>
      </c>
      <c r="F212" t="n">
        <v>0.4997218657898964</v>
      </c>
      <c r="G212" t="inlineStr">
        <is>
          <t>A</t>
        </is>
      </c>
      <c r="H212" t="n">
        <v>0</v>
      </c>
      <c r="I212" t="n">
        <v>0</v>
      </c>
      <c r="J212" t="n">
        <v>0</v>
      </c>
      <c r="K212" t="n">
        <v>36.9</v>
      </c>
      <c r="L212" t="n">
        <v>0</v>
      </c>
      <c r="M212" t="n">
        <v>2</v>
      </c>
      <c r="N212" t="n">
        <v>73.8</v>
      </c>
      <c r="O212" t="n">
        <v>0</v>
      </c>
      <c r="P212" t="n">
        <v>0</v>
      </c>
      <c r="Q212" t="n">
        <v>0</v>
      </c>
      <c r="R212" t="inlineStr">
        <is>
          <t>Riesgo bajo stock</t>
        </is>
      </c>
    </row>
    <row r="213">
      <c r="A213" t="inlineStr">
        <is>
          <t>MARMIDA48TS</t>
        </is>
      </c>
      <c r="B213" t="inlineStr">
        <is>
          <t>MAR ORIGINAL DAMA</t>
        </is>
      </c>
      <c r="C213" t="inlineStr">
        <is>
          <t>Manufactura / Dama / P. Superiores</t>
        </is>
      </c>
      <c r="D213" t="n">
        <v>4604.19291084</v>
      </c>
      <c r="E213" t="n">
        <v>0.001127256387653515</v>
      </c>
      <c r="F213" t="n">
        <v>0.5008491221775498</v>
      </c>
      <c r="G213" t="inlineStr">
        <is>
          <t>A</t>
        </is>
      </c>
      <c r="H213" t="n">
        <v>18</v>
      </c>
      <c r="I213" t="n">
        <v>4.278324149</v>
      </c>
      <c r="J213" t="n">
        <v>77.009834682</v>
      </c>
      <c r="K213" t="n">
        <v>9.9</v>
      </c>
      <c r="L213" t="n">
        <v>1.818181818181818</v>
      </c>
      <c r="M213" t="n">
        <v>2</v>
      </c>
      <c r="N213" t="n">
        <v>19.8</v>
      </c>
      <c r="O213" t="n">
        <v>0</v>
      </c>
      <c r="P213" t="n">
        <v>0</v>
      </c>
      <c r="Q213" t="n">
        <v>0</v>
      </c>
      <c r="R213" t="inlineStr">
        <is>
          <t>OK</t>
        </is>
      </c>
    </row>
    <row r="214">
      <c r="A214" t="inlineStr">
        <is>
          <t>RIOMIDA12TS</t>
        </is>
      </c>
      <c r="B214" t="inlineStr">
        <is>
          <t>RIO ORIGINAL DAMA</t>
        </is>
      </c>
      <c r="C214" t="inlineStr">
        <is>
          <t>Manufactura / Dama / P. Superiores</t>
        </is>
      </c>
      <c r="D214" t="n">
        <v>4592.11827039</v>
      </c>
      <c r="E214" t="n">
        <v>0.00112430012238847</v>
      </c>
      <c r="F214" t="n">
        <v>0.5019734222999384</v>
      </c>
      <c r="G214" t="inlineStr">
        <is>
          <t>A</t>
        </is>
      </c>
      <c r="H214" t="n">
        <v>47</v>
      </c>
      <c r="I214" t="n">
        <v>5.538832275</v>
      </c>
      <c r="J214" t="n">
        <v>260.325116925</v>
      </c>
      <c r="K214" t="n">
        <v>8.5</v>
      </c>
      <c r="L214" t="n">
        <v>5.529411764705882</v>
      </c>
      <c r="M214" t="n">
        <v>2</v>
      </c>
      <c r="N214" t="n">
        <v>17</v>
      </c>
      <c r="O214" t="n">
        <v>30</v>
      </c>
      <c r="P214" t="n">
        <v>166.16496825</v>
      </c>
      <c r="Q214" t="n">
        <v>0.6382978723404256</v>
      </c>
      <c r="R214" t="inlineStr">
        <is>
          <t>Sobrestock crítico</t>
        </is>
      </c>
    </row>
    <row r="215">
      <c r="A215" t="inlineStr">
        <is>
          <t>PANNTCA66TM</t>
        </is>
      </c>
      <c r="B215" t="inlineStr">
        <is>
          <t>EXPLORE PANTS CAB</t>
        </is>
      </c>
      <c r="C215" t="inlineStr">
        <is>
          <t>Manufactura / Caballero / P. Inferiores</t>
        </is>
      </c>
      <c r="D215" t="n">
        <v>4583.47417277</v>
      </c>
      <c r="E215" t="n">
        <v>0.001122183765744355</v>
      </c>
      <c r="F215" t="n">
        <v>0.5030956060656827</v>
      </c>
      <c r="G215" t="inlineStr">
        <is>
          <t>A</t>
        </is>
      </c>
      <c r="H215" t="n">
        <v>50</v>
      </c>
      <c r="I215" t="n">
        <v>15.68994502</v>
      </c>
      <c r="J215" t="n">
        <v>784.4972510000001</v>
      </c>
      <c r="K215" t="n">
        <v>7.5</v>
      </c>
      <c r="L215" t="n">
        <v>6.666666666666667</v>
      </c>
      <c r="M215" t="n">
        <v>2</v>
      </c>
      <c r="N215" t="n">
        <v>15</v>
      </c>
      <c r="O215" t="n">
        <v>35</v>
      </c>
      <c r="P215" t="n">
        <v>549.1480757</v>
      </c>
      <c r="Q215" t="n">
        <v>0.7</v>
      </c>
      <c r="R215" t="inlineStr">
        <is>
          <t>Sobrestock crítico</t>
        </is>
      </c>
    </row>
    <row r="216">
      <c r="A216" t="inlineStr">
        <is>
          <t>MARMIDA11TS</t>
        </is>
      </c>
      <c r="B216" t="inlineStr">
        <is>
          <t>MAR ORIGINAL DAMA</t>
        </is>
      </c>
      <c r="C216" t="inlineStr">
        <is>
          <t>Manufactura / Dama / P. Superiores</t>
        </is>
      </c>
      <c r="D216" t="n">
        <v>4571.94942838</v>
      </c>
      <c r="E216" t="n">
        <v>0.001119362132945452</v>
      </c>
      <c r="F216" t="n">
        <v>0.5042149681986282</v>
      </c>
      <c r="G216" t="inlineStr">
        <is>
          <t>A</t>
        </is>
      </c>
      <c r="H216" t="n">
        <v>9</v>
      </c>
      <c r="I216" t="n">
        <v>4.278324149</v>
      </c>
      <c r="J216" t="n">
        <v>38.504917341</v>
      </c>
      <c r="K216" t="n">
        <v>9.800000000000001</v>
      </c>
      <c r="L216" t="n">
        <v>0.9183673469387754</v>
      </c>
      <c r="M216" t="n">
        <v>2</v>
      </c>
      <c r="N216" t="n">
        <v>19.6</v>
      </c>
      <c r="O216" t="n">
        <v>0</v>
      </c>
      <c r="P216" t="n">
        <v>0</v>
      </c>
      <c r="Q216" t="n">
        <v>0</v>
      </c>
      <c r="R216" t="inlineStr">
        <is>
          <t>Riesgo bajo stock</t>
        </is>
      </c>
    </row>
    <row r="217">
      <c r="A217" t="inlineStr">
        <is>
          <t>JACDA01TXS</t>
        </is>
      </c>
      <c r="B217" t="inlineStr">
        <is>
          <t>JACKET DAMA</t>
        </is>
      </c>
      <c r="C217" t="inlineStr">
        <is>
          <t>Equipamiento / Ropa</t>
        </is>
      </c>
      <c r="D217" t="n">
        <v>4513.23550908</v>
      </c>
      <c r="E217" t="n">
        <v>0.001104987053130861</v>
      </c>
      <c r="F217" t="n">
        <v>0.505319955251759</v>
      </c>
      <c r="G217" t="inlineStr">
        <is>
          <t>A</t>
        </is>
      </c>
      <c r="H217" t="n">
        <v>20</v>
      </c>
      <c r="I217" t="n">
        <v>20.25</v>
      </c>
      <c r="J217" t="n">
        <v>405</v>
      </c>
      <c r="K217" t="n">
        <v>6.7</v>
      </c>
      <c r="L217" t="n">
        <v>2.985074626865671</v>
      </c>
      <c r="M217" t="n">
        <v>2</v>
      </c>
      <c r="N217" t="n">
        <v>13.4</v>
      </c>
      <c r="O217" t="n">
        <v>6.6</v>
      </c>
      <c r="P217" t="n">
        <v>133.65</v>
      </c>
      <c r="Q217" t="n">
        <v>0.33</v>
      </c>
      <c r="R217" t="inlineStr">
        <is>
          <t>Sobrestock crítico</t>
        </is>
      </c>
    </row>
    <row r="218">
      <c r="A218" t="inlineStr">
        <is>
          <t>PANNTDA33TL</t>
        </is>
      </c>
      <c r="B218" t="inlineStr">
        <is>
          <t>EXPLORE PANTS DAMA</t>
        </is>
      </c>
      <c r="C218" t="inlineStr">
        <is>
          <t>Manufactura / Dama / P. Inferiores</t>
        </is>
      </c>
      <c r="D218" t="n">
        <v>4469.45967843</v>
      </c>
      <c r="E218" t="n">
        <v>0.001094269303965992</v>
      </c>
      <c r="F218" t="n">
        <v>0.506414224555725</v>
      </c>
      <c r="G218" t="inlineStr">
        <is>
          <t>A</t>
        </is>
      </c>
      <c r="H218" t="n">
        <v>71</v>
      </c>
      <c r="I218" t="n">
        <v>15.3928899</v>
      </c>
      <c r="J218" t="n">
        <v>1092.8951829</v>
      </c>
      <c r="K218" t="n">
        <v>6.7</v>
      </c>
      <c r="L218" t="n">
        <v>10.59701492537313</v>
      </c>
      <c r="M218" t="n">
        <v>2</v>
      </c>
      <c r="N218" t="n">
        <v>13.4</v>
      </c>
      <c r="O218" t="n">
        <v>57.6</v>
      </c>
      <c r="P218" t="n">
        <v>886.6304582400001</v>
      </c>
      <c r="Q218" t="n">
        <v>0.8112676056338028</v>
      </c>
      <c r="R218" t="inlineStr">
        <is>
          <t>Sobrestock crítico</t>
        </is>
      </c>
    </row>
    <row r="219">
      <c r="A219" t="inlineStr">
        <is>
          <t>MARMICA66TXL</t>
        </is>
      </c>
      <c r="B219" t="inlineStr">
        <is>
          <t>MAR ORIGINAL CAB</t>
        </is>
      </c>
      <c r="C219" t="inlineStr">
        <is>
          <t>Manufactura / Caballero / P. Superiores</t>
        </is>
      </c>
      <c r="D219" t="n">
        <v>4465.51332371</v>
      </c>
      <c r="E219" t="n">
        <v>0.001093303107793892</v>
      </c>
      <c r="F219" t="n">
        <v>0.5075075276635189</v>
      </c>
      <c r="G219" t="inlineStr">
        <is>
          <t>A</t>
        </is>
      </c>
      <c r="H219" t="n">
        <v>16</v>
      </c>
      <c r="I219" t="n">
        <v>4.946357428</v>
      </c>
      <c r="J219" t="n">
        <v>79.141718848</v>
      </c>
      <c r="K219" t="n">
        <v>8.699999999999999</v>
      </c>
      <c r="L219" t="n">
        <v>1.839080459770115</v>
      </c>
      <c r="M219" t="n">
        <v>2</v>
      </c>
      <c r="N219" t="n">
        <v>17.4</v>
      </c>
      <c r="O219" t="n">
        <v>0</v>
      </c>
      <c r="P219" t="n">
        <v>0</v>
      </c>
      <c r="Q219" t="n">
        <v>0</v>
      </c>
      <c r="R219" t="inlineStr">
        <is>
          <t>OK</t>
        </is>
      </c>
    </row>
    <row r="220">
      <c r="A220" t="inlineStr">
        <is>
          <t>MARMIDA16TL</t>
        </is>
      </c>
      <c r="B220" t="inlineStr">
        <is>
          <t>MAR ORIGINAL DAMA</t>
        </is>
      </c>
      <c r="C220" t="inlineStr">
        <is>
          <t>Manufactura / Dama / P. Superiores</t>
        </is>
      </c>
      <c r="D220" t="n">
        <v>4445.92697093</v>
      </c>
      <c r="E220" t="n">
        <v>0.001088507730686623</v>
      </c>
      <c r="F220" t="n">
        <v>0.5085960353942055</v>
      </c>
      <c r="G220" t="inlineStr">
        <is>
          <t>A</t>
        </is>
      </c>
      <c r="H220" t="n">
        <v>70</v>
      </c>
      <c r="I220" t="n">
        <v>4.278324149</v>
      </c>
      <c r="J220" t="n">
        <v>299.48269043</v>
      </c>
      <c r="K220" t="n">
        <v>10.1</v>
      </c>
      <c r="L220" t="n">
        <v>6.930693069306931</v>
      </c>
      <c r="M220" t="n">
        <v>2</v>
      </c>
      <c r="N220" t="n">
        <v>20.2</v>
      </c>
      <c r="O220" t="n">
        <v>49.8</v>
      </c>
      <c r="P220" t="n">
        <v>213.0605426202</v>
      </c>
      <c r="Q220" t="n">
        <v>0.7114285714285713</v>
      </c>
      <c r="R220" t="inlineStr">
        <is>
          <t>Sobrestock crítico</t>
        </is>
      </c>
    </row>
    <row r="221">
      <c r="A221" t="inlineStr">
        <is>
          <t>TOA66SP</t>
        </is>
      </c>
      <c r="B221" t="inlineStr">
        <is>
          <t>TOALLA SPORT</t>
        </is>
      </c>
      <c r="C221" t="inlineStr">
        <is>
          <t>Equipamiento / Toallas</t>
        </is>
      </c>
      <c r="D221" t="n">
        <v>4439.719828066848</v>
      </c>
      <c r="E221" t="n">
        <v>0.001086988019940991</v>
      </c>
      <c r="F221" t="n">
        <v>0.5096830234141465</v>
      </c>
      <c r="G221" t="inlineStr">
        <is>
          <t>A</t>
        </is>
      </c>
      <c r="H221" t="n">
        <v>462</v>
      </c>
      <c r="I221" t="n">
        <v>1.8</v>
      </c>
      <c r="J221" t="n">
        <v>831.6</v>
      </c>
      <c r="K221" t="n">
        <v>26.5</v>
      </c>
      <c r="L221" t="n">
        <v>17.43396226415094</v>
      </c>
      <c r="M221" t="n">
        <v>2</v>
      </c>
      <c r="N221" t="n">
        <v>53</v>
      </c>
      <c r="O221" t="n">
        <v>409</v>
      </c>
      <c r="P221" t="n">
        <v>736.2</v>
      </c>
      <c r="Q221" t="n">
        <v>0.8852813852813853</v>
      </c>
      <c r="R221" t="inlineStr">
        <is>
          <t>Sobrestock crítico</t>
        </is>
      </c>
    </row>
    <row r="222">
      <c r="A222" t="inlineStr">
        <is>
          <t>CLAMICA43TL</t>
        </is>
      </c>
      <c r="B222" t="inlineStr">
        <is>
          <t>CLASICA ORIGINAL CAB</t>
        </is>
      </c>
      <c r="C222" t="inlineStr">
        <is>
          <t>Manufactura / Caballero / P. Superiores</t>
        </is>
      </c>
      <c r="D222" t="n">
        <v>4419.779680623555</v>
      </c>
      <c r="E222" t="n">
        <v>0.001082106022376709</v>
      </c>
      <c r="F222" t="n">
        <v>0.5107651294365232</v>
      </c>
      <c r="G222" t="inlineStr">
        <is>
          <t>A</t>
        </is>
      </c>
      <c r="H222" t="n">
        <v>21</v>
      </c>
      <c r="I222" t="n">
        <v>4.598442536</v>
      </c>
      <c r="J222" t="n">
        <v>96.567293256</v>
      </c>
      <c r="K222" t="n">
        <v>14.1</v>
      </c>
      <c r="L222" t="n">
        <v>1.48936170212766</v>
      </c>
      <c r="M222" t="n">
        <v>2</v>
      </c>
      <c r="N222" t="n">
        <v>28.2</v>
      </c>
      <c r="O222" t="n">
        <v>0</v>
      </c>
      <c r="P222" t="n">
        <v>0</v>
      </c>
      <c r="Q222" t="n">
        <v>0</v>
      </c>
      <c r="R222" t="inlineStr">
        <is>
          <t>OK</t>
        </is>
      </c>
    </row>
    <row r="223">
      <c r="A223" t="inlineStr">
        <is>
          <t>JACCA12TXL</t>
        </is>
      </c>
      <c r="B223" t="inlineStr">
        <is>
          <t>JACKET CAB</t>
        </is>
      </c>
      <c r="C223" t="inlineStr">
        <is>
          <t>Equipamiento / Ropa</t>
        </is>
      </c>
      <c r="D223" t="n">
        <v>4404.4689993</v>
      </c>
      <c r="E223" t="n">
        <v>0.001078357468904792</v>
      </c>
      <c r="F223" t="n">
        <v>0.511843486905428</v>
      </c>
      <c r="G223" t="inlineStr">
        <is>
          <t>A</t>
        </is>
      </c>
      <c r="H223" t="n">
        <v>1</v>
      </c>
      <c r="I223" t="n">
        <v>20.25001933</v>
      </c>
      <c r="J223" t="n">
        <v>20.25001933</v>
      </c>
      <c r="K223" t="n">
        <v>6.6</v>
      </c>
      <c r="L223" t="n">
        <v>0.1515151515151515</v>
      </c>
      <c r="M223" t="n">
        <v>2</v>
      </c>
      <c r="N223" t="n">
        <v>13.2</v>
      </c>
      <c r="O223" t="n">
        <v>0</v>
      </c>
      <c r="P223" t="n">
        <v>0</v>
      </c>
      <c r="Q223" t="n">
        <v>0</v>
      </c>
      <c r="R223" t="inlineStr">
        <is>
          <t>Riesgo bajo stock</t>
        </is>
      </c>
    </row>
    <row r="224">
      <c r="A224" t="inlineStr">
        <is>
          <t>TOA124ES</t>
        </is>
      </c>
      <c r="B224" t="inlineStr">
        <is>
          <t>TOALLA ESTAMPADA</t>
        </is>
      </c>
      <c r="C224" t="inlineStr">
        <is>
          <t>Equipamiento / Toallas</t>
        </is>
      </c>
      <c r="D224" t="n">
        <v>4368.35156789</v>
      </c>
      <c r="E224" t="n">
        <v>0.001069514745315452</v>
      </c>
      <c r="F224" t="n">
        <v>0.5129130016507435</v>
      </c>
      <c r="G224" t="inlineStr">
        <is>
          <t>A</t>
        </is>
      </c>
      <c r="H224" t="n">
        <v>1147</v>
      </c>
      <c r="I224" t="n">
        <v>6.29</v>
      </c>
      <c r="J224" t="n">
        <v>7214.63</v>
      </c>
      <c r="K224" t="n">
        <v>11.9</v>
      </c>
      <c r="L224" t="n">
        <v>96.38655462184873</v>
      </c>
      <c r="M224" t="n">
        <v>2</v>
      </c>
      <c r="N224" t="n">
        <v>23.8</v>
      </c>
      <c r="O224" t="n">
        <v>1123.2</v>
      </c>
      <c r="P224" t="n">
        <v>7064.928</v>
      </c>
      <c r="Q224" t="n">
        <v>0.9792502179598953</v>
      </c>
      <c r="R224" t="inlineStr">
        <is>
          <t>Sobrestock crítico</t>
        </is>
      </c>
    </row>
    <row r="225">
      <c r="A225" t="inlineStr">
        <is>
          <t>JACDA66TM</t>
        </is>
      </c>
      <c r="B225" t="inlineStr">
        <is>
          <t>JACKET DAMA</t>
        </is>
      </c>
      <c r="C225" t="inlineStr">
        <is>
          <t>Equipamiento / Ropa</t>
        </is>
      </c>
      <c r="D225" t="n">
        <v>4342.789527797273</v>
      </c>
      <c r="E225" t="n">
        <v>0.001063256325320029</v>
      </c>
      <c r="F225" t="n">
        <v>0.5139762579760635</v>
      </c>
      <c r="G225" t="inlineStr">
        <is>
          <t>A</t>
        </is>
      </c>
      <c r="H225" t="n">
        <v>32</v>
      </c>
      <c r="I225" t="n">
        <v>20.25</v>
      </c>
      <c r="J225" t="n">
        <v>648</v>
      </c>
      <c r="K225" t="n">
        <v>6.9</v>
      </c>
      <c r="L225" t="n">
        <v>4.63768115942029</v>
      </c>
      <c r="M225" t="n">
        <v>2</v>
      </c>
      <c r="N225" t="n">
        <v>13.8</v>
      </c>
      <c r="O225" t="n">
        <v>18.2</v>
      </c>
      <c r="P225" t="n">
        <v>368.55</v>
      </c>
      <c r="Q225" t="n">
        <v>0.56875</v>
      </c>
      <c r="R225" t="inlineStr">
        <is>
          <t>Sobrestock crítico</t>
        </is>
      </c>
    </row>
    <row r="226">
      <c r="A226" t="inlineStr">
        <is>
          <t>MARMICA66TS</t>
        </is>
      </c>
      <c r="B226" t="inlineStr">
        <is>
          <t>MAR ORIGINAL CAB</t>
        </is>
      </c>
      <c r="C226" t="inlineStr">
        <is>
          <t>Manufactura / Caballero / P. Superiores</t>
        </is>
      </c>
      <c r="D226" t="n">
        <v>4300.58175455</v>
      </c>
      <c r="E226" t="n">
        <v>0.001052922487680516</v>
      </c>
      <c r="F226" t="n">
        <v>0.5150291804637439</v>
      </c>
      <c r="G226" t="inlineStr">
        <is>
          <t>A</t>
        </is>
      </c>
      <c r="H226" t="n">
        <v>45</v>
      </c>
      <c r="I226" t="n">
        <v>4.946357428</v>
      </c>
      <c r="J226" t="n">
        <v>222.58608426</v>
      </c>
      <c r="K226" t="n">
        <v>8.699999999999999</v>
      </c>
      <c r="L226" t="n">
        <v>5.172413793103448</v>
      </c>
      <c r="M226" t="n">
        <v>2</v>
      </c>
      <c r="N226" t="n">
        <v>17.4</v>
      </c>
      <c r="O226" t="n">
        <v>27.6</v>
      </c>
      <c r="P226" t="n">
        <v>136.5194650128</v>
      </c>
      <c r="Q226" t="n">
        <v>0.6133333333333334</v>
      </c>
      <c r="R226" t="inlineStr">
        <is>
          <t>Sobrestock crítico</t>
        </is>
      </c>
    </row>
    <row r="227">
      <c r="A227" t="inlineStr">
        <is>
          <t>JAPCA66T2XL</t>
        </is>
      </c>
      <c r="B227" t="inlineStr">
        <is>
          <t>CUADRO JACKET 2.0 CAB</t>
        </is>
      </c>
      <c r="C227" t="inlineStr">
        <is>
          <t>Equipamiento / Ropa</t>
        </is>
      </c>
      <c r="D227" t="n">
        <v>4270.19781397</v>
      </c>
      <c r="E227" t="n">
        <v>0.00104548350939178</v>
      </c>
      <c r="F227" t="n">
        <v>0.5160746639731357</v>
      </c>
      <c r="G227" t="inlineStr">
        <is>
          <t>A</t>
        </is>
      </c>
      <c r="H227" t="n">
        <v>226</v>
      </c>
      <c r="I227" t="n">
        <v>20.25000225</v>
      </c>
      <c r="J227" t="n">
        <v>4576.5005085</v>
      </c>
      <c r="K227" t="n">
        <v>5.3</v>
      </c>
      <c r="L227" t="n">
        <v>42.64150943396226</v>
      </c>
      <c r="M227" t="n">
        <v>2</v>
      </c>
      <c r="N227" t="n">
        <v>10.6</v>
      </c>
      <c r="O227" t="n">
        <v>215.4</v>
      </c>
      <c r="P227" t="n">
        <v>4361.85048465</v>
      </c>
      <c r="Q227" t="n">
        <v>0.9530973451327434</v>
      </c>
      <c r="R227" t="inlineStr">
        <is>
          <t>Sobrestock crítico</t>
        </is>
      </c>
    </row>
    <row r="228">
      <c r="A228" t="inlineStr">
        <is>
          <t>JACDA47TXS</t>
        </is>
      </c>
      <c r="B228" t="inlineStr">
        <is>
          <t>JACKET DAMA</t>
        </is>
      </c>
      <c r="C228" t="inlineStr">
        <is>
          <t>Equipamiento / Ropa</t>
        </is>
      </c>
      <c r="D228" t="n">
        <v>4268.54078171</v>
      </c>
      <c r="E228" t="n">
        <v>0.001045077813923366</v>
      </c>
      <c r="F228" t="n">
        <v>0.5171197417870591</v>
      </c>
      <c r="G228" t="inlineStr">
        <is>
          <t>A</t>
        </is>
      </c>
      <c r="H228" t="n">
        <v>14</v>
      </c>
      <c r="I228" t="n">
        <v>20.25</v>
      </c>
      <c r="J228" t="n">
        <v>283.5</v>
      </c>
      <c r="K228" t="n">
        <v>6.3</v>
      </c>
      <c r="L228" t="n">
        <v>2.222222222222222</v>
      </c>
      <c r="M228" t="n">
        <v>2</v>
      </c>
      <c r="N228" t="n">
        <v>12.6</v>
      </c>
      <c r="O228" t="n">
        <v>1.4</v>
      </c>
      <c r="P228" t="n">
        <v>28.35000000000001</v>
      </c>
      <c r="Q228" t="n">
        <v>0.1</v>
      </c>
      <c r="R228" t="inlineStr">
        <is>
          <t>Sobrestock</t>
        </is>
      </c>
    </row>
    <row r="229">
      <c r="A229" t="inlineStr">
        <is>
          <t>JAPDA66TM</t>
        </is>
      </c>
      <c r="B229" t="inlineStr">
        <is>
          <t>CUADRO JACKET 2.0 DAMA</t>
        </is>
      </c>
      <c r="C229" t="inlineStr">
        <is>
          <t>Equipamiento / Ropa</t>
        </is>
      </c>
      <c r="D229" t="n">
        <v>4253.6319936</v>
      </c>
      <c r="E229" t="n">
        <v>0.001041427657000183</v>
      </c>
      <c r="F229" t="n">
        <v>0.5181611694440593</v>
      </c>
      <c r="G229" t="inlineStr">
        <is>
          <t>A</t>
        </is>
      </c>
      <c r="H229" t="n">
        <v>222</v>
      </c>
      <c r="I229" t="n">
        <v>20.25</v>
      </c>
      <c r="J229" t="n">
        <v>4495.5</v>
      </c>
      <c r="K229" t="n">
        <v>5.5</v>
      </c>
      <c r="L229" t="n">
        <v>40.36363636363637</v>
      </c>
      <c r="M229" t="n">
        <v>2</v>
      </c>
      <c r="N229" t="n">
        <v>11</v>
      </c>
      <c r="O229" t="n">
        <v>211</v>
      </c>
      <c r="P229" t="n">
        <v>4272.75</v>
      </c>
      <c r="Q229" t="n">
        <v>0.9504504504504504</v>
      </c>
      <c r="R229" t="inlineStr">
        <is>
          <t>Sobrestock crítico</t>
        </is>
      </c>
    </row>
    <row r="230">
      <c r="A230" t="inlineStr">
        <is>
          <t>TOA30PL</t>
        </is>
      </c>
      <c r="B230" t="inlineStr">
        <is>
          <t>TOALLA PLAYA</t>
        </is>
      </c>
      <c r="C230" t="inlineStr">
        <is>
          <t>Equipamiento / Toallas</t>
        </is>
      </c>
      <c r="D230" t="n">
        <v>4243.98038318</v>
      </c>
      <c r="E230" t="n">
        <v>0.001039064628406948</v>
      </c>
      <c r="F230" t="n">
        <v>0.5192002340724662</v>
      </c>
      <c r="G230" t="inlineStr">
        <is>
          <t>A</t>
        </is>
      </c>
      <c r="H230" t="n">
        <v>287</v>
      </c>
      <c r="I230" t="n">
        <v>4.83</v>
      </c>
      <c r="J230" t="n">
        <v>1386.21</v>
      </c>
      <c r="K230" t="n">
        <v>13.1</v>
      </c>
      <c r="L230" t="n">
        <v>21.90839694656488</v>
      </c>
      <c r="M230" t="n">
        <v>2</v>
      </c>
      <c r="N230" t="n">
        <v>26.2</v>
      </c>
      <c r="O230" t="n">
        <v>260.8</v>
      </c>
      <c r="P230" t="n">
        <v>1259.664</v>
      </c>
      <c r="Q230" t="n">
        <v>0.9087108013937282</v>
      </c>
      <c r="R230" t="inlineStr">
        <is>
          <t>Sobrestock crítico</t>
        </is>
      </c>
    </row>
    <row r="231">
      <c r="A231" t="inlineStr">
        <is>
          <t>MARMICA43T2XL</t>
        </is>
      </c>
      <c r="B231" t="inlineStr">
        <is>
          <t>MAR ORIGINAL CAB</t>
        </is>
      </c>
      <c r="C231" t="inlineStr">
        <is>
          <t>Manufactura / Caballero / P. Superiores</t>
        </is>
      </c>
      <c r="D231" t="n">
        <v>4240.570606895515</v>
      </c>
      <c r="E231" t="n">
        <v>0.001038229804112747</v>
      </c>
      <c r="F231" t="n">
        <v>0.5202384638765789</v>
      </c>
      <c r="G231" t="inlineStr">
        <is>
          <t>A</t>
        </is>
      </c>
      <c r="H231" t="n">
        <v>77</v>
      </c>
      <c r="I231" t="n">
        <v>4.946357428</v>
      </c>
      <c r="J231" t="n">
        <v>380.869521956</v>
      </c>
      <c r="K231" t="n">
        <v>8.4</v>
      </c>
      <c r="L231" t="n">
        <v>9.166666666666666</v>
      </c>
      <c r="M231" t="n">
        <v>2</v>
      </c>
      <c r="N231" t="n">
        <v>16.8</v>
      </c>
      <c r="O231" t="n">
        <v>60.2</v>
      </c>
      <c r="P231" t="n">
        <v>297.7707171656</v>
      </c>
      <c r="Q231" t="n">
        <v>0.7818181818181819</v>
      </c>
      <c r="R231" t="inlineStr">
        <is>
          <t>Sobrestock crítico</t>
        </is>
      </c>
    </row>
    <row r="232">
      <c r="A232" t="inlineStr">
        <is>
          <t>BACCCDA158TM</t>
        </is>
      </c>
      <c r="B232" t="inlineStr">
        <is>
          <t>BASIC LINE CROP TEE DAMA</t>
        </is>
      </c>
      <c r="C232" t="inlineStr">
        <is>
          <t>Manufactura / Dama / P. Superiores</t>
        </is>
      </c>
      <c r="D232" t="n">
        <v>4239.574990959834</v>
      </c>
      <c r="E232" t="n">
        <v>0.001037986044903505</v>
      </c>
      <c r="F232" t="n">
        <v>0.5212764499214825</v>
      </c>
      <c r="G232" t="inlineStr">
        <is>
          <t>A</t>
        </is>
      </c>
      <c r="H232" t="n">
        <v>18</v>
      </c>
      <c r="I232" t="n">
        <v>6.196330832999999</v>
      </c>
      <c r="J232" t="n">
        <v>111.533954994</v>
      </c>
      <c r="K232" t="n">
        <v>8.199999999999999</v>
      </c>
      <c r="L232" t="n">
        <v>2.195121951219512</v>
      </c>
      <c r="M232" t="n">
        <v>2</v>
      </c>
      <c r="N232" t="n">
        <v>16.4</v>
      </c>
      <c r="O232" t="n">
        <v>1.600000000000001</v>
      </c>
      <c r="P232" t="n">
        <v>9.914129332800007</v>
      </c>
      <c r="Q232" t="n">
        <v>0.08888888888888896</v>
      </c>
      <c r="R232" t="inlineStr">
        <is>
          <t>Sobrestock</t>
        </is>
      </c>
    </row>
    <row r="233">
      <c r="A233" t="inlineStr">
        <is>
          <t>BACCCDA158TXS</t>
        </is>
      </c>
      <c r="B233" t="inlineStr">
        <is>
          <t>BASIC LINE CROP TEE DAMA</t>
        </is>
      </c>
      <c r="C233" t="inlineStr">
        <is>
          <t>Manufactura / Dama / P. Superiores</t>
        </is>
      </c>
      <c r="D233" t="n">
        <v>4227.38033065</v>
      </c>
      <c r="E233" t="n">
        <v>0.001035000394867608</v>
      </c>
      <c r="F233" t="n">
        <v>0.5223114503163501</v>
      </c>
      <c r="G233" t="inlineStr">
        <is>
          <t>A</t>
        </is>
      </c>
      <c r="H233" t="n">
        <v>63</v>
      </c>
      <c r="I233" t="n">
        <v>6.196330833</v>
      </c>
      <c r="J233" t="n">
        <v>390.368842479</v>
      </c>
      <c r="K233" t="n">
        <v>8.4</v>
      </c>
      <c r="L233" t="n">
        <v>7.5</v>
      </c>
      <c r="M233" t="n">
        <v>2</v>
      </c>
      <c r="N233" t="n">
        <v>16.8</v>
      </c>
      <c r="O233" t="n">
        <v>46.2</v>
      </c>
      <c r="P233" t="n">
        <v>286.2704844846</v>
      </c>
      <c r="Q233" t="n">
        <v>0.7333333333333334</v>
      </c>
      <c r="R233" t="inlineStr">
        <is>
          <t>Sobrestock crítico</t>
        </is>
      </c>
    </row>
    <row r="234">
      <c r="A234" t="inlineStr">
        <is>
          <t>MARMICA01TM</t>
        </is>
      </c>
      <c r="B234" t="inlineStr">
        <is>
          <t>MAR ORIGINAL CAB</t>
        </is>
      </c>
      <c r="C234" t="inlineStr">
        <is>
          <t>Manufactura / Caballero / P. Superiores</t>
        </is>
      </c>
      <c r="D234" t="n">
        <v>4166.06180909</v>
      </c>
      <c r="E234" t="n">
        <v>0.001019987623585318</v>
      </c>
      <c r="F234" t="n">
        <v>0.5233314379399354</v>
      </c>
      <c r="G234" t="inlineStr">
        <is>
          <t>A</t>
        </is>
      </c>
      <c r="H234" t="n">
        <v>46</v>
      </c>
      <c r="I234" t="n">
        <v>4.946357428</v>
      </c>
      <c r="J234" t="n">
        <v>227.532441688</v>
      </c>
      <c r="K234" t="n">
        <v>10.5</v>
      </c>
      <c r="L234" t="n">
        <v>4.380952380952381</v>
      </c>
      <c r="M234" t="n">
        <v>2</v>
      </c>
      <c r="N234" t="n">
        <v>21</v>
      </c>
      <c r="O234" t="n">
        <v>25</v>
      </c>
      <c r="P234" t="n">
        <v>123.6589357</v>
      </c>
      <c r="Q234" t="n">
        <v>0.5434782608695653</v>
      </c>
      <c r="R234" t="inlineStr">
        <is>
          <t>Sobrestock crítico</t>
        </is>
      </c>
    </row>
    <row r="235">
      <c r="A235" t="inlineStr">
        <is>
          <t>MARMIDA13TS</t>
        </is>
      </c>
      <c r="B235" t="inlineStr">
        <is>
          <t>MAR ORIGINAL DAMA</t>
        </is>
      </c>
      <c r="C235" t="inlineStr">
        <is>
          <t>Manufactura / Dama / P. Superiores</t>
        </is>
      </c>
      <c r="D235" t="n">
        <v>4152.76688276</v>
      </c>
      <c r="E235" t="n">
        <v>0.001016732592590941</v>
      </c>
      <c r="F235" t="n">
        <v>0.5243481705325264</v>
      </c>
      <c r="G235" t="inlineStr">
        <is>
          <t>A</t>
        </is>
      </c>
      <c r="H235" t="n">
        <v>2</v>
      </c>
      <c r="I235" t="n">
        <v>4.278324149</v>
      </c>
      <c r="J235" t="n">
        <v>8.556648298000001</v>
      </c>
      <c r="K235" t="n">
        <v>10.6</v>
      </c>
      <c r="L235" t="n">
        <v>0.1886792452830189</v>
      </c>
      <c r="M235" t="n">
        <v>2</v>
      </c>
      <c r="N235" t="n">
        <v>21.2</v>
      </c>
      <c r="O235" t="n">
        <v>0</v>
      </c>
      <c r="P235" t="n">
        <v>0</v>
      </c>
      <c r="Q235" t="n">
        <v>0</v>
      </c>
      <c r="R235" t="inlineStr">
        <is>
          <t>Riesgo bajo stock</t>
        </is>
      </c>
    </row>
    <row r="236">
      <c r="A236" t="inlineStr">
        <is>
          <t>TOA30CLI</t>
        </is>
      </c>
      <c r="B236" t="inlineStr">
        <is>
          <t>TOALLA CLIP 2.0</t>
        </is>
      </c>
      <c r="C236" t="inlineStr">
        <is>
          <t>Equipamiento / Toallas</t>
        </is>
      </c>
      <c r="D236" t="n">
        <v>4128.254786694</v>
      </c>
      <c r="E236" t="n">
        <v>0.001010731233090969</v>
      </c>
      <c r="F236" t="n">
        <v>0.5253589017656173</v>
      </c>
      <c r="G236" t="inlineStr">
        <is>
          <t>A</t>
        </is>
      </c>
      <c r="H236" t="n">
        <v>1</v>
      </c>
      <c r="I236" t="n">
        <v>5.11</v>
      </c>
      <c r="J236" t="n">
        <v>5.11</v>
      </c>
      <c r="K236" t="n">
        <v>20.5</v>
      </c>
      <c r="L236" t="n">
        <v>0.04878048780487805</v>
      </c>
      <c r="M236" t="n">
        <v>2</v>
      </c>
      <c r="N236" t="n">
        <v>41</v>
      </c>
      <c r="O236" t="n">
        <v>0</v>
      </c>
      <c r="P236" t="n">
        <v>0</v>
      </c>
      <c r="Q236" t="n">
        <v>0</v>
      </c>
      <c r="R236" t="inlineStr">
        <is>
          <t>Riesgo bajo stock</t>
        </is>
      </c>
    </row>
    <row r="237">
      <c r="A237" t="inlineStr">
        <is>
          <t>MARMIDA66TXS</t>
        </is>
      </c>
      <c r="B237" t="inlineStr">
        <is>
          <t>MAR ORIGINAL DAMA</t>
        </is>
      </c>
      <c r="C237" t="inlineStr">
        <is>
          <t>Manufactura / Dama / P. Superiores</t>
        </is>
      </c>
      <c r="D237" t="n">
        <v>4125.78069045</v>
      </c>
      <c r="E237" t="n">
        <v>0.001010125493746696</v>
      </c>
      <c r="F237" t="n">
        <v>0.5263690272593641</v>
      </c>
      <c r="G237" t="inlineStr">
        <is>
          <t>A</t>
        </is>
      </c>
      <c r="H237" t="n">
        <v>42</v>
      </c>
      <c r="I237" t="n">
        <v>4.278324149</v>
      </c>
      <c r="J237" t="n">
        <v>179.689614258</v>
      </c>
      <c r="K237" t="n">
        <v>8.6</v>
      </c>
      <c r="L237" t="n">
        <v>4.883720930232558</v>
      </c>
      <c r="M237" t="n">
        <v>2</v>
      </c>
      <c r="N237" t="n">
        <v>17.2</v>
      </c>
      <c r="O237" t="n">
        <v>24.8</v>
      </c>
      <c r="P237" t="n">
        <v>106.1024388952</v>
      </c>
      <c r="Q237" t="n">
        <v>0.5904761904761905</v>
      </c>
      <c r="R237" t="inlineStr">
        <is>
          <t>Sobrestock crítico</t>
        </is>
      </c>
    </row>
    <row r="238">
      <c r="A238" t="inlineStr">
        <is>
          <t>CLA12CB</t>
        </is>
      </c>
      <c r="B238" t="inlineStr">
        <is>
          <t>CLASSIC BACKPACK</t>
        </is>
      </c>
      <c r="C238" t="inlineStr">
        <is>
          <t>Equipamiento / Bolsos</t>
        </is>
      </c>
      <c r="D238" t="n">
        <v>4112.22926224</v>
      </c>
      <c r="E238" t="n">
        <v>0.001006807662737577</v>
      </c>
      <c r="F238" t="n">
        <v>0.5273758349221016</v>
      </c>
      <c r="G238" t="inlineStr">
        <is>
          <t>A</t>
        </is>
      </c>
      <c r="H238" t="n">
        <v>313</v>
      </c>
      <c r="I238" t="n">
        <v>18.04</v>
      </c>
      <c r="J238" t="n">
        <v>5646.52</v>
      </c>
      <c r="K238" t="n">
        <v>9.5</v>
      </c>
      <c r="L238" t="n">
        <v>32.94736842105263</v>
      </c>
      <c r="M238" t="n">
        <v>2</v>
      </c>
      <c r="N238" t="n">
        <v>19</v>
      </c>
      <c r="O238" t="n">
        <v>294</v>
      </c>
      <c r="P238" t="n">
        <v>5303.759999999999</v>
      </c>
      <c r="Q238" t="n">
        <v>0.939297124600639</v>
      </c>
      <c r="R238" t="inlineStr">
        <is>
          <t>Sobrestock crítico</t>
        </is>
      </c>
    </row>
    <row r="239">
      <c r="A239" t="inlineStr">
        <is>
          <t>JAPKI162T12</t>
        </is>
      </c>
      <c r="B239" t="inlineStr">
        <is>
          <t>CUADRO JACKET 2.0 KIDS</t>
        </is>
      </c>
      <c r="C239" t="inlineStr">
        <is>
          <t>Equipamiento / Ropa</t>
        </is>
      </c>
      <c r="D239" t="n">
        <v>4102.52389679</v>
      </c>
      <c r="E239" t="n">
        <v>0.001004431473162143</v>
      </c>
      <c r="F239" t="n">
        <v>0.5283802663952637</v>
      </c>
      <c r="G239" t="inlineStr">
        <is>
          <t>A</t>
        </is>
      </c>
      <c r="H239" t="n">
        <v>56</v>
      </c>
      <c r="I239" t="n">
        <v>15.17</v>
      </c>
      <c r="J239" t="n">
        <v>849.52</v>
      </c>
      <c r="K239" t="n">
        <v>6.3</v>
      </c>
      <c r="L239" t="n">
        <v>8.888888888888889</v>
      </c>
      <c r="M239" t="n">
        <v>2</v>
      </c>
      <c r="N239" t="n">
        <v>12.6</v>
      </c>
      <c r="O239" t="n">
        <v>43.4</v>
      </c>
      <c r="P239" t="n">
        <v>658.3779999999999</v>
      </c>
      <c r="Q239" t="n">
        <v>0.7749999999999999</v>
      </c>
      <c r="R239" t="inlineStr">
        <is>
          <t>Sobrestock crítico</t>
        </is>
      </c>
    </row>
    <row r="240">
      <c r="A240" t="inlineStr">
        <is>
          <t>MARMIDA50TS</t>
        </is>
      </c>
      <c r="B240" t="inlineStr">
        <is>
          <t>MAR ORIGINAL DAMA</t>
        </is>
      </c>
      <c r="C240" t="inlineStr">
        <is>
          <t>Manufactura / Dama / P. Superiores</t>
        </is>
      </c>
      <c r="D240" t="n">
        <v>4098.22469321</v>
      </c>
      <c r="E240" t="n">
        <v>0.001003378888096481</v>
      </c>
      <c r="F240" t="n">
        <v>0.5293836452833602</v>
      </c>
      <c r="G240" t="inlineStr">
        <is>
          <t>A</t>
        </is>
      </c>
      <c r="H240" t="n">
        <v>12</v>
      </c>
      <c r="I240" t="n">
        <v>4.278324149</v>
      </c>
      <c r="J240" t="n">
        <v>51.33988978800001</v>
      </c>
      <c r="K240" t="n">
        <v>9.9</v>
      </c>
      <c r="L240" t="n">
        <v>1.212121212121212</v>
      </c>
      <c r="M240" t="n">
        <v>2</v>
      </c>
      <c r="N240" t="n">
        <v>19.8</v>
      </c>
      <c r="O240" t="n">
        <v>0</v>
      </c>
      <c r="P240" t="n">
        <v>0</v>
      </c>
      <c r="Q240" t="n">
        <v>0</v>
      </c>
      <c r="R240" t="inlineStr">
        <is>
          <t>OK</t>
        </is>
      </c>
    </row>
    <row r="241">
      <c r="A241" t="inlineStr">
        <is>
          <t>JAPCA16TXL</t>
        </is>
      </c>
      <c r="B241" t="inlineStr">
        <is>
          <t>CUADRO JACKET 2.0 CAB</t>
        </is>
      </c>
      <c r="C241" t="inlineStr">
        <is>
          <t>Equipamiento / Ropa</t>
        </is>
      </c>
      <c r="D241" t="n">
        <v>4098.0696511</v>
      </c>
      <c r="E241" t="n">
        <v>0.001003340928738079</v>
      </c>
      <c r="F241" t="n">
        <v>0.5303869862120982</v>
      </c>
      <c r="G241" t="inlineStr">
        <is>
          <t>A</t>
        </is>
      </c>
      <c r="H241" t="n">
        <v>243</v>
      </c>
      <c r="I241" t="n">
        <v>20.25000225</v>
      </c>
      <c r="J241" t="n">
        <v>4920.75054675</v>
      </c>
      <c r="K241" t="n">
        <v>5.3</v>
      </c>
      <c r="L241" t="n">
        <v>45.84905660377358</v>
      </c>
      <c r="M241" t="n">
        <v>2</v>
      </c>
      <c r="N241" t="n">
        <v>10.6</v>
      </c>
      <c r="O241" t="n">
        <v>232.4</v>
      </c>
      <c r="P241" t="n">
        <v>4706.1005229</v>
      </c>
      <c r="Q241" t="n">
        <v>0.9563786008230453</v>
      </c>
      <c r="R241" t="inlineStr">
        <is>
          <t>Sobrestock crítico</t>
        </is>
      </c>
    </row>
    <row r="242">
      <c r="A242" t="inlineStr">
        <is>
          <t>MARMICA11TXL</t>
        </is>
      </c>
      <c r="B242" t="inlineStr">
        <is>
          <t>MAR ORIGINAL CAB</t>
        </is>
      </c>
      <c r="C242" t="inlineStr">
        <is>
          <t>Manufactura / Caballero / P. Superiores</t>
        </is>
      </c>
      <c r="D242" t="n">
        <v>4094.09881424</v>
      </c>
      <c r="E242" t="n">
        <v>0.0010023687385407</v>
      </c>
      <c r="F242" t="n">
        <v>0.531389354950639</v>
      </c>
      <c r="G242" t="inlineStr">
        <is>
          <t>A</t>
        </is>
      </c>
      <c r="H242" t="n">
        <v>24</v>
      </c>
      <c r="I242" t="n">
        <v>4.946357428</v>
      </c>
      <c r="J242" t="n">
        <v>118.712578272</v>
      </c>
      <c r="K242" t="n">
        <v>8.6</v>
      </c>
      <c r="L242" t="n">
        <v>2.790697674418605</v>
      </c>
      <c r="M242" t="n">
        <v>2</v>
      </c>
      <c r="N242" t="n">
        <v>17.2</v>
      </c>
      <c r="O242" t="n">
        <v>6.800000000000001</v>
      </c>
      <c r="P242" t="n">
        <v>33.6352305104</v>
      </c>
      <c r="Q242" t="n">
        <v>0.2833333333333333</v>
      </c>
      <c r="R242" t="inlineStr">
        <is>
          <t>Sobrestock</t>
        </is>
      </c>
    </row>
    <row r="243">
      <c r="A243" t="inlineStr">
        <is>
          <t>MARMICA16TXL</t>
        </is>
      </c>
      <c r="B243" t="inlineStr">
        <is>
          <t>MAR ORIGINAL CAB</t>
        </is>
      </c>
      <c r="C243" t="inlineStr">
        <is>
          <t>Manufactura / Caballero / P. Superiores</t>
        </is>
      </c>
      <c r="D243" t="n">
        <v>4081.30955482</v>
      </c>
      <c r="E243" t="n">
        <v>0.0009992375112759576</v>
      </c>
      <c r="F243" t="n">
        <v>0.5323885924619151</v>
      </c>
      <c r="G243" t="inlineStr">
        <is>
          <t>A</t>
        </is>
      </c>
      <c r="H243" t="n">
        <v>60</v>
      </c>
      <c r="I243" t="n">
        <v>4.946357428</v>
      </c>
      <c r="J243" t="n">
        <v>296.78144568</v>
      </c>
      <c r="K243" t="n">
        <v>8.699999999999999</v>
      </c>
      <c r="L243" t="n">
        <v>6.896551724137931</v>
      </c>
      <c r="M243" t="n">
        <v>2</v>
      </c>
      <c r="N243" t="n">
        <v>17.4</v>
      </c>
      <c r="O243" t="n">
        <v>42.6</v>
      </c>
      <c r="P243" t="n">
        <v>210.7148264328</v>
      </c>
      <c r="Q243" t="n">
        <v>0.7100000000000001</v>
      </c>
      <c r="R243" t="inlineStr">
        <is>
          <t>Sobrestock crítico</t>
        </is>
      </c>
    </row>
    <row r="244">
      <c r="A244" t="inlineStr">
        <is>
          <t>JACDA47TS</t>
        </is>
      </c>
      <c r="B244" t="inlineStr">
        <is>
          <t>JACKET DAMA</t>
        </is>
      </c>
      <c r="C244" t="inlineStr">
        <is>
          <t>Equipamiento / Ropa</t>
        </is>
      </c>
      <c r="D244" t="n">
        <v>4052.17642569</v>
      </c>
      <c r="E244" t="n">
        <v>0.000992104772370338</v>
      </c>
      <c r="F244" t="n">
        <v>0.5333806972342854</v>
      </c>
      <c r="G244" t="inlineStr">
        <is>
          <t>A</t>
        </is>
      </c>
      <c r="H244" t="n">
        <v>0</v>
      </c>
      <c r="I244" t="n">
        <v>20.25</v>
      </c>
      <c r="J244" t="n">
        <v>0</v>
      </c>
      <c r="K244" t="n">
        <v>6.1</v>
      </c>
      <c r="L244" t="n">
        <v>0</v>
      </c>
      <c r="M244" t="n">
        <v>2</v>
      </c>
      <c r="N244" t="n">
        <v>12.2</v>
      </c>
      <c r="O244" t="n">
        <v>0</v>
      </c>
      <c r="P244" t="n">
        <v>0</v>
      </c>
      <c r="Q244" t="n">
        <v>0</v>
      </c>
      <c r="R244" t="inlineStr">
        <is>
          <t>Riesgo bajo stock</t>
        </is>
      </c>
    </row>
    <row r="245">
      <c r="A245" t="inlineStr">
        <is>
          <t>CAVAP4335L</t>
        </is>
      </c>
      <c r="B245" t="inlineStr">
        <is>
          <t>CAVAPACK 35L</t>
        </is>
      </c>
      <c r="C245" t="inlineStr">
        <is>
          <t>Equipamiento / Cava</t>
        </is>
      </c>
      <c r="D245" t="n">
        <v>4050.96176498</v>
      </c>
      <c r="E245" t="n">
        <v>0.000991807383865839</v>
      </c>
      <c r="F245" t="n">
        <v>0.5343725046181512</v>
      </c>
      <c r="G245" t="inlineStr">
        <is>
          <t>A</t>
        </is>
      </c>
      <c r="H245" t="n">
        <v>431</v>
      </c>
      <c r="I245" t="n">
        <v>24.53</v>
      </c>
      <c r="J245" t="n">
        <v>10572.43</v>
      </c>
      <c r="K245" t="n">
        <v>5.4</v>
      </c>
      <c r="L245" t="n">
        <v>79.81481481481481</v>
      </c>
      <c r="M245" t="n">
        <v>2</v>
      </c>
      <c r="N245" t="n">
        <v>10.8</v>
      </c>
      <c r="O245" t="n">
        <v>420.2</v>
      </c>
      <c r="P245" t="n">
        <v>10307.506</v>
      </c>
      <c r="Q245" t="n">
        <v>0.9749419953596287</v>
      </c>
      <c r="R245" t="inlineStr">
        <is>
          <t>Sobrestock crítico</t>
        </is>
      </c>
    </row>
    <row r="246">
      <c r="A246" t="inlineStr">
        <is>
          <t>JACDA66TS</t>
        </is>
      </c>
      <c r="B246" t="inlineStr">
        <is>
          <t>JACKET DAMA</t>
        </is>
      </c>
      <c r="C246" t="inlineStr">
        <is>
          <t>Equipamiento / Ropa</t>
        </is>
      </c>
      <c r="D246" t="n">
        <v>4048.788336525383</v>
      </c>
      <c r="E246" t="n">
        <v>0.0009912752577894517</v>
      </c>
      <c r="F246" t="n">
        <v>0.5353637798759406</v>
      </c>
      <c r="G246" t="inlineStr">
        <is>
          <t>A</t>
        </is>
      </c>
      <c r="H246" t="n">
        <v>47</v>
      </c>
      <c r="I246" t="n">
        <v>20.25</v>
      </c>
      <c r="J246" t="n">
        <v>951.75</v>
      </c>
      <c r="K246" t="n">
        <v>6.7</v>
      </c>
      <c r="L246" t="n">
        <v>7.014925373134328</v>
      </c>
      <c r="M246" t="n">
        <v>2</v>
      </c>
      <c r="N246" t="n">
        <v>13.4</v>
      </c>
      <c r="O246" t="n">
        <v>33.6</v>
      </c>
      <c r="P246" t="n">
        <v>680.4</v>
      </c>
      <c r="Q246" t="n">
        <v>0.7148936170212765</v>
      </c>
      <c r="R246" t="inlineStr">
        <is>
          <t>Sobrestock crítico</t>
        </is>
      </c>
    </row>
    <row r="247">
      <c r="A247" t="inlineStr">
        <is>
          <t>BUC127EQ</t>
        </is>
      </c>
      <c r="B247" t="inlineStr">
        <is>
          <t>BUCKET HAT ESTAMPADO</t>
        </is>
      </c>
      <c r="C247" t="inlineStr">
        <is>
          <t>Equipamiento / Sombreros</t>
        </is>
      </c>
      <c r="D247" t="n">
        <v>3994.56513371</v>
      </c>
      <c r="E247" t="n">
        <v>0.0009779996516373366</v>
      </c>
      <c r="F247" t="n">
        <v>0.536341779527578</v>
      </c>
      <c r="G247" t="inlineStr">
        <is>
          <t>A</t>
        </is>
      </c>
      <c r="H247" t="n">
        <v>46</v>
      </c>
      <c r="I247" t="n">
        <v>4.98</v>
      </c>
      <c r="J247" t="n">
        <v>229.08</v>
      </c>
      <c r="K247" t="n">
        <v>13.8</v>
      </c>
      <c r="L247" t="n">
        <v>3.333333333333333</v>
      </c>
      <c r="M247" t="n">
        <v>2</v>
      </c>
      <c r="N247" t="n">
        <v>27.6</v>
      </c>
      <c r="O247" t="n">
        <v>18.4</v>
      </c>
      <c r="P247" t="n">
        <v>91.63200000000001</v>
      </c>
      <c r="Q247" t="n">
        <v>0.4</v>
      </c>
      <c r="R247" t="inlineStr">
        <is>
          <t>Sobrestock crítico</t>
        </is>
      </c>
    </row>
    <row r="248">
      <c r="A248" t="inlineStr">
        <is>
          <t>TOA50CLI</t>
        </is>
      </c>
      <c r="B248" t="inlineStr">
        <is>
          <t>TOALLA CLIP 2.0</t>
        </is>
      </c>
      <c r="C248" t="inlineStr">
        <is>
          <t>Equipamiento / Toallas</t>
        </is>
      </c>
      <c r="D248" t="n">
        <v>3987.187491722</v>
      </c>
      <c r="E248" t="n">
        <v>0.000976193364581637</v>
      </c>
      <c r="F248" t="n">
        <v>0.5373179728921597</v>
      </c>
      <c r="G248" t="inlineStr">
        <is>
          <t>A</t>
        </is>
      </c>
      <c r="H248" t="n">
        <v>384</v>
      </c>
      <c r="I248" t="n">
        <v>5.11</v>
      </c>
      <c r="J248" t="n">
        <v>1962.24</v>
      </c>
      <c r="K248" t="n">
        <v>17.5</v>
      </c>
      <c r="L248" t="n">
        <v>21.94285714285714</v>
      </c>
      <c r="M248" t="n">
        <v>2</v>
      </c>
      <c r="N248" t="n">
        <v>35</v>
      </c>
      <c r="O248" t="n">
        <v>349</v>
      </c>
      <c r="P248" t="n">
        <v>1783.39</v>
      </c>
      <c r="Q248" t="n">
        <v>0.9088541666666666</v>
      </c>
      <c r="R248" t="inlineStr">
        <is>
          <t>Sobrestock crítico</t>
        </is>
      </c>
    </row>
    <row r="249">
      <c r="A249" t="inlineStr">
        <is>
          <t>MARMIDA48TM</t>
        </is>
      </c>
      <c r="B249" t="inlineStr">
        <is>
          <t>MAR ORIGINAL DAMA</t>
        </is>
      </c>
      <c r="C249" t="inlineStr">
        <is>
          <t>Manufactura / Dama / P. Superiores</t>
        </is>
      </c>
      <c r="D249" t="n">
        <v>3972.12752057</v>
      </c>
      <c r="E249" t="n">
        <v>0.000972506193125593</v>
      </c>
      <c r="F249" t="n">
        <v>0.5382904790852853</v>
      </c>
      <c r="G249" t="inlineStr">
        <is>
          <t>A</t>
        </is>
      </c>
      <c r="H249" t="n">
        <v>43</v>
      </c>
      <c r="I249" t="n">
        <v>4.278324149</v>
      </c>
      <c r="J249" t="n">
        <v>183.967938407</v>
      </c>
      <c r="K249" t="n">
        <v>7.8</v>
      </c>
      <c r="L249" t="n">
        <v>5.512820512820513</v>
      </c>
      <c r="M249" t="n">
        <v>2</v>
      </c>
      <c r="N249" t="n">
        <v>15.6</v>
      </c>
      <c r="O249" t="n">
        <v>27.4</v>
      </c>
      <c r="P249" t="n">
        <v>117.2260816826</v>
      </c>
      <c r="Q249" t="n">
        <v>0.6372093023255813</v>
      </c>
      <c r="R249" t="inlineStr">
        <is>
          <t>Sobrestock crítico</t>
        </is>
      </c>
    </row>
    <row r="250">
      <c r="A250" t="inlineStr">
        <is>
          <t>MARMIDA34TS</t>
        </is>
      </c>
      <c r="B250" t="inlineStr">
        <is>
          <t>MAR ORIGINAL DAMA</t>
        </is>
      </c>
      <c r="C250" t="inlineStr">
        <is>
          <t>Manufactura / Dama / P. Superiores</t>
        </is>
      </c>
      <c r="D250" t="n">
        <v>3970.54792426</v>
      </c>
      <c r="E250" t="n">
        <v>0.0009721194564999035</v>
      </c>
      <c r="F250" t="n">
        <v>0.539262598541785</v>
      </c>
      <c r="G250" t="inlineStr">
        <is>
          <t>A</t>
        </is>
      </c>
      <c r="H250" t="n">
        <v>6</v>
      </c>
      <c r="I250" t="n">
        <v>4.278324149</v>
      </c>
      <c r="J250" t="n">
        <v>25.669944894</v>
      </c>
      <c r="K250" t="n">
        <v>8.300000000000001</v>
      </c>
      <c r="L250" t="n">
        <v>0.7228915662650601</v>
      </c>
      <c r="M250" t="n">
        <v>2</v>
      </c>
      <c r="N250" t="n">
        <v>16.6</v>
      </c>
      <c r="O250" t="n">
        <v>0</v>
      </c>
      <c r="P250" t="n">
        <v>0</v>
      </c>
      <c r="Q250" t="n">
        <v>0</v>
      </c>
      <c r="R250" t="inlineStr">
        <is>
          <t>Riesgo bajo stock</t>
        </is>
      </c>
    </row>
    <row r="251">
      <c r="A251" t="inlineStr">
        <is>
          <t>PANNTCA12TM</t>
        </is>
      </c>
      <c r="B251" t="inlineStr">
        <is>
          <t>EXPLORE PANTS CAB</t>
        </is>
      </c>
      <c r="C251" t="inlineStr">
        <is>
          <t>Manufactura / Caballero / P. Inferiores</t>
        </is>
      </c>
      <c r="D251" t="n">
        <v>3944.12793485</v>
      </c>
      <c r="E251" t="n">
        <v>0.0009656509825673622</v>
      </c>
      <c r="F251" t="n">
        <v>0.5402282495243524</v>
      </c>
      <c r="G251" t="inlineStr">
        <is>
          <t>A</t>
        </is>
      </c>
      <c r="H251" t="n">
        <v>73</v>
      </c>
      <c r="I251" t="n">
        <v>15.68994502</v>
      </c>
      <c r="J251" t="n">
        <v>1145.36598646</v>
      </c>
      <c r="K251" t="n">
        <v>6.4</v>
      </c>
      <c r="L251" t="n">
        <v>11.40625</v>
      </c>
      <c r="M251" t="n">
        <v>2</v>
      </c>
      <c r="N251" t="n">
        <v>12.8</v>
      </c>
      <c r="O251" t="n">
        <v>60.2</v>
      </c>
      <c r="P251" t="n">
        <v>944.5346902040001</v>
      </c>
      <c r="Q251" t="n">
        <v>0.8246575342465755</v>
      </c>
      <c r="R251" t="inlineStr">
        <is>
          <t>Sobrestock crítico</t>
        </is>
      </c>
    </row>
    <row r="252">
      <c r="A252" t="inlineStr">
        <is>
          <t>BAOCCCA158TL</t>
        </is>
      </c>
      <c r="B252" t="inlineStr">
        <is>
          <t>BASIC LINE OVERSIZED CAB</t>
        </is>
      </c>
      <c r="C252" t="inlineStr">
        <is>
          <t>Manufactura / Caballero / P. Superiores</t>
        </is>
      </c>
      <c r="D252" t="n">
        <v>3926.47669295</v>
      </c>
      <c r="E252" t="n">
        <v>0.0009613293836319773</v>
      </c>
      <c r="F252" t="n">
        <v>0.5411895789079845</v>
      </c>
      <c r="G252" t="inlineStr">
        <is>
          <t>A</t>
        </is>
      </c>
      <c r="H252" t="n">
        <v>17</v>
      </c>
      <c r="I252" t="n">
        <v>9.336740741</v>
      </c>
      <c r="J252" t="n">
        <v>158.724592597</v>
      </c>
      <c r="K252" t="n">
        <v>7.1</v>
      </c>
      <c r="L252" t="n">
        <v>2.394366197183099</v>
      </c>
      <c r="M252" t="n">
        <v>2</v>
      </c>
      <c r="N252" t="n">
        <v>14.2</v>
      </c>
      <c r="O252" t="n">
        <v>2.800000000000001</v>
      </c>
      <c r="P252" t="n">
        <v>26.14287407480001</v>
      </c>
      <c r="Q252" t="n">
        <v>0.1647058823529412</v>
      </c>
      <c r="R252" t="inlineStr">
        <is>
          <t>Sobrestock</t>
        </is>
      </c>
    </row>
    <row r="253">
      <c r="A253" t="inlineStr">
        <is>
          <t>JAPDA66TS</t>
        </is>
      </c>
      <c r="B253" t="inlineStr">
        <is>
          <t>CUADRO JACKET 2.0 DAMA</t>
        </is>
      </c>
      <c r="C253" t="inlineStr">
        <is>
          <t>Equipamiento / Ropa</t>
        </is>
      </c>
      <c r="D253" t="n">
        <v>3914.87386361</v>
      </c>
      <c r="E253" t="n">
        <v>0.0009584886330940112</v>
      </c>
      <c r="F253" t="n">
        <v>0.5421480675410785</v>
      </c>
      <c r="G253" t="inlineStr">
        <is>
          <t>A</t>
        </is>
      </c>
      <c r="H253" t="n">
        <v>202</v>
      </c>
      <c r="I253" t="n">
        <v>20.25</v>
      </c>
      <c r="J253" t="n">
        <v>4090.5</v>
      </c>
      <c r="K253" t="n">
        <v>4.9</v>
      </c>
      <c r="L253" t="n">
        <v>41.22448979591837</v>
      </c>
      <c r="M253" t="n">
        <v>2</v>
      </c>
      <c r="N253" t="n">
        <v>9.800000000000001</v>
      </c>
      <c r="O253" t="n">
        <v>192.2</v>
      </c>
      <c r="P253" t="n">
        <v>3892.05</v>
      </c>
      <c r="Q253" t="n">
        <v>0.9514851485148514</v>
      </c>
      <c r="R253" t="inlineStr">
        <is>
          <t>Sobrestock crítico</t>
        </is>
      </c>
    </row>
    <row r="254">
      <c r="A254" t="inlineStr">
        <is>
          <t>MARMICA01TL</t>
        </is>
      </c>
      <c r="B254" t="inlineStr">
        <is>
          <t>MAR ORIGINAL CAB</t>
        </is>
      </c>
      <c r="C254" t="inlineStr">
        <is>
          <t>Manufactura / Caballero / P. Superiores</t>
        </is>
      </c>
      <c r="D254" t="n">
        <v>3901.130659472229</v>
      </c>
      <c r="E254" t="n">
        <v>0.0009551238490914439</v>
      </c>
      <c r="F254" t="n">
        <v>0.5431031913901699</v>
      </c>
      <c r="G254" t="inlineStr">
        <is>
          <t>A</t>
        </is>
      </c>
      <c r="H254" t="n">
        <v>81</v>
      </c>
      <c r="I254" t="n">
        <v>4.946357428</v>
      </c>
      <c r="J254" t="n">
        <v>400.654951668</v>
      </c>
      <c r="K254" t="n">
        <v>8.6</v>
      </c>
      <c r="L254" t="n">
        <v>9.418604651162791</v>
      </c>
      <c r="M254" t="n">
        <v>2</v>
      </c>
      <c r="N254" t="n">
        <v>17.2</v>
      </c>
      <c r="O254" t="n">
        <v>63.8</v>
      </c>
      <c r="P254" t="n">
        <v>315.5776039064</v>
      </c>
      <c r="Q254" t="n">
        <v>0.7876543209876543</v>
      </c>
      <c r="R254" t="inlineStr">
        <is>
          <t>Sobrestock crítico</t>
        </is>
      </c>
    </row>
    <row r="255">
      <c r="A255" t="inlineStr">
        <is>
          <t>SHOSUCA155TM</t>
        </is>
      </c>
      <c r="B255" t="inlineStr">
        <is>
          <t>SHORT PLAYA ESTAMPADO CAB</t>
        </is>
      </c>
      <c r="C255" t="inlineStr">
        <is>
          <t>Manufactura / Caballero / P. Inferiores</t>
        </is>
      </c>
      <c r="D255" t="n">
        <v>3856.22348034</v>
      </c>
      <c r="E255" t="n">
        <v>0.0009441291089689953</v>
      </c>
      <c r="F255" t="n">
        <v>0.5440473204991388</v>
      </c>
      <c r="G255" t="inlineStr">
        <is>
          <t>A</t>
        </is>
      </c>
      <c r="H255" t="n">
        <v>27</v>
      </c>
      <c r="I255" t="n">
        <v>12.11</v>
      </c>
      <c r="J255" t="n">
        <v>326.97</v>
      </c>
      <c r="K255" t="n">
        <v>7</v>
      </c>
      <c r="L255" t="n">
        <v>3.857142857142857</v>
      </c>
      <c r="M255" t="n">
        <v>2</v>
      </c>
      <c r="N255" t="n">
        <v>14</v>
      </c>
      <c r="O255" t="n">
        <v>13</v>
      </c>
      <c r="P255" t="n">
        <v>157.43</v>
      </c>
      <c r="Q255" t="n">
        <v>0.4814814814814816</v>
      </c>
      <c r="R255" t="inlineStr">
        <is>
          <t>Sobrestock crítico</t>
        </is>
      </c>
    </row>
    <row r="256">
      <c r="A256" t="inlineStr">
        <is>
          <t>JACCA43TL</t>
        </is>
      </c>
      <c r="B256" t="inlineStr">
        <is>
          <t>JACKET CAB</t>
        </is>
      </c>
      <c r="C256" t="inlineStr">
        <is>
          <t>Equipamiento / Ropa</t>
        </is>
      </c>
      <c r="D256" t="n">
        <v>3847.4919773</v>
      </c>
      <c r="E256" t="n">
        <v>0.0009419913526311836</v>
      </c>
      <c r="F256" t="n">
        <v>0.5449893118517701</v>
      </c>
      <c r="G256" t="inlineStr">
        <is>
          <t>A</t>
        </is>
      </c>
      <c r="H256" t="n">
        <v>0</v>
      </c>
      <c r="I256" t="n">
        <v>20.25001933</v>
      </c>
      <c r="J256" t="n">
        <v>0</v>
      </c>
      <c r="K256" t="n">
        <v>6.8</v>
      </c>
      <c r="L256" t="n">
        <v>0</v>
      </c>
      <c r="M256" t="n">
        <v>2</v>
      </c>
      <c r="N256" t="n">
        <v>13.6</v>
      </c>
      <c r="O256" t="n">
        <v>0</v>
      </c>
      <c r="P256" t="n">
        <v>0</v>
      </c>
      <c r="Q256" t="n">
        <v>0</v>
      </c>
      <c r="R256" t="inlineStr">
        <is>
          <t>Riesgo bajo stock</t>
        </is>
      </c>
    </row>
    <row r="257">
      <c r="A257" t="inlineStr">
        <is>
          <t>PANNTCA43TS</t>
        </is>
      </c>
      <c r="B257" t="inlineStr">
        <is>
          <t>EXPLORE PANTS CAB</t>
        </is>
      </c>
      <c r="C257" t="inlineStr">
        <is>
          <t>Manufactura / Caballero / P. Inferiores</t>
        </is>
      </c>
      <c r="D257" t="n">
        <v>3833.65663915</v>
      </c>
      <c r="E257" t="n">
        <v>0.0009386040112215273</v>
      </c>
      <c r="F257" t="n">
        <v>0.5459279158629916</v>
      </c>
      <c r="G257" t="inlineStr">
        <is>
          <t>A</t>
        </is>
      </c>
      <c r="H257" t="n">
        <v>58</v>
      </c>
      <c r="I257" t="n">
        <v>15.68994502</v>
      </c>
      <c r="J257" t="n">
        <v>910.01681116</v>
      </c>
      <c r="K257" t="n">
        <v>5.9</v>
      </c>
      <c r="L257" t="n">
        <v>9.83050847457627</v>
      </c>
      <c r="M257" t="n">
        <v>2</v>
      </c>
      <c r="N257" t="n">
        <v>11.8</v>
      </c>
      <c r="O257" t="n">
        <v>46.2</v>
      </c>
      <c r="P257" t="n">
        <v>724.875459924</v>
      </c>
      <c r="Q257" t="n">
        <v>0.7965517241379311</v>
      </c>
      <c r="R257" t="inlineStr">
        <is>
          <t>Sobrestock crítico</t>
        </is>
      </c>
    </row>
    <row r="258">
      <c r="A258" t="inlineStr">
        <is>
          <t>DAYCSTCA43TM</t>
        </is>
      </c>
      <c r="B258" t="inlineStr">
        <is>
          <t>CLASICA DAILY 3.0 CAB</t>
        </is>
      </c>
      <c r="C258" t="inlineStr">
        <is>
          <t>Manufactura / Caballero / P. Superiores</t>
        </is>
      </c>
      <c r="D258" t="n">
        <v>3788.770416831214</v>
      </c>
      <c r="E258" t="n">
        <v>0.0009276144020095936</v>
      </c>
      <c r="F258" t="n">
        <v>0.5468555302650012</v>
      </c>
      <c r="G258" t="inlineStr">
        <is>
          <t>A</t>
        </is>
      </c>
      <c r="H258" t="n">
        <v>139</v>
      </c>
      <c r="I258" t="n">
        <v>11.76035097</v>
      </c>
      <c r="J258" t="n">
        <v>1634.68878483</v>
      </c>
      <c r="K258" t="n">
        <v>10.1</v>
      </c>
      <c r="L258" t="n">
        <v>13.76237623762376</v>
      </c>
      <c r="M258" t="n">
        <v>2</v>
      </c>
      <c r="N258" t="n">
        <v>20.2</v>
      </c>
      <c r="O258" t="n">
        <v>118.8</v>
      </c>
      <c r="P258" t="n">
        <v>1397.129695236</v>
      </c>
      <c r="Q258" t="n">
        <v>0.8546762589928056</v>
      </c>
      <c r="R258" t="inlineStr">
        <is>
          <t>Sobrestock crítico</t>
        </is>
      </c>
    </row>
    <row r="259">
      <c r="A259" t="inlineStr">
        <is>
          <t>MARMIDA12TL</t>
        </is>
      </c>
      <c r="B259" t="inlineStr">
        <is>
          <t>MAR ORIGINAL DAMA</t>
        </is>
      </c>
      <c r="C259" t="inlineStr">
        <is>
          <t>Manufactura / Dama / P. Superiores</t>
        </is>
      </c>
      <c r="D259" t="n">
        <v>3773.40049201</v>
      </c>
      <c r="E259" t="n">
        <v>0.0009238513437998309</v>
      </c>
      <c r="F259" t="n">
        <v>0.547779381608801</v>
      </c>
      <c r="G259" t="inlineStr">
        <is>
          <t>A</t>
        </is>
      </c>
      <c r="H259" t="n">
        <v>86</v>
      </c>
      <c r="I259" t="n">
        <v>4.278324149</v>
      </c>
      <c r="J259" t="n">
        <v>367.935876814</v>
      </c>
      <c r="K259" t="n">
        <v>9.1</v>
      </c>
      <c r="L259" t="n">
        <v>9.450549450549451</v>
      </c>
      <c r="M259" t="n">
        <v>2</v>
      </c>
      <c r="N259" t="n">
        <v>18.2</v>
      </c>
      <c r="O259" t="n">
        <v>67.8</v>
      </c>
      <c r="P259" t="n">
        <v>290.0703773022</v>
      </c>
      <c r="Q259" t="n">
        <v>0.7883720930232558</v>
      </c>
      <c r="R259" t="inlineStr">
        <is>
          <t>Sobrestock crítico</t>
        </is>
      </c>
    </row>
    <row r="260">
      <c r="A260" t="inlineStr">
        <is>
          <t>JAPDA16TL</t>
        </is>
      </c>
      <c r="B260" t="inlineStr">
        <is>
          <t>CUADRO JACKET 2.0 DAMA</t>
        </is>
      </c>
      <c r="C260" t="inlineStr">
        <is>
          <t>Equipamiento / Ropa</t>
        </is>
      </c>
      <c r="D260" t="n">
        <v>3768.9075829</v>
      </c>
      <c r="E260" t="n">
        <v>0.0009227513333112455</v>
      </c>
      <c r="F260" t="n">
        <v>0.5487021329421123</v>
      </c>
      <c r="G260" t="inlineStr">
        <is>
          <t>A</t>
        </is>
      </c>
      <c r="H260" t="n">
        <v>147</v>
      </c>
      <c r="I260" t="n">
        <v>20.25</v>
      </c>
      <c r="J260" t="n">
        <v>2976.75</v>
      </c>
      <c r="K260" t="n">
        <v>4.8</v>
      </c>
      <c r="L260" t="n">
        <v>30.625</v>
      </c>
      <c r="M260" t="n">
        <v>2</v>
      </c>
      <c r="N260" t="n">
        <v>9.6</v>
      </c>
      <c r="O260" t="n">
        <v>137.4</v>
      </c>
      <c r="P260" t="n">
        <v>2782.35</v>
      </c>
      <c r="Q260" t="n">
        <v>0.9346938775510204</v>
      </c>
      <c r="R260" t="inlineStr">
        <is>
          <t>Sobrestock crítico</t>
        </is>
      </c>
    </row>
    <row r="261">
      <c r="A261" t="inlineStr">
        <is>
          <t>PANNTDA43TXS</t>
        </is>
      </c>
      <c r="B261" t="inlineStr">
        <is>
          <t>EXPLORE PANTS DAMA</t>
        </is>
      </c>
      <c r="C261" t="inlineStr">
        <is>
          <t>Manufactura / Dama / P. Inferiores</t>
        </is>
      </c>
      <c r="D261" t="n">
        <v>3752.20229713</v>
      </c>
      <c r="E261" t="n">
        <v>0.000918661335247204</v>
      </c>
      <c r="F261" t="n">
        <v>0.5496207942773594</v>
      </c>
      <c r="G261" t="inlineStr">
        <is>
          <t>A</t>
        </is>
      </c>
      <c r="H261" t="n">
        <v>56</v>
      </c>
      <c r="I261" t="n">
        <v>15.3928899</v>
      </c>
      <c r="J261" t="n">
        <v>862.0018344</v>
      </c>
      <c r="K261" t="n">
        <v>6.3</v>
      </c>
      <c r="L261" t="n">
        <v>8.888888888888889</v>
      </c>
      <c r="M261" t="n">
        <v>2</v>
      </c>
      <c r="N261" t="n">
        <v>12.6</v>
      </c>
      <c r="O261" t="n">
        <v>43.4</v>
      </c>
      <c r="P261" t="n">
        <v>668.05142166</v>
      </c>
      <c r="Q261" t="n">
        <v>0.7749999999999999</v>
      </c>
      <c r="R261" t="inlineStr">
        <is>
          <t>Sobrestock crítico</t>
        </is>
      </c>
    </row>
    <row r="262">
      <c r="A262" t="inlineStr">
        <is>
          <t>TOA35PL</t>
        </is>
      </c>
      <c r="B262" t="inlineStr">
        <is>
          <t>TOALLA PLAYA</t>
        </is>
      </c>
      <c r="C262" t="inlineStr">
        <is>
          <t>Equipamiento / Toallas</t>
        </is>
      </c>
      <c r="D262" t="n">
        <v>3743.33425587</v>
      </c>
      <c r="E262" t="n">
        <v>0.0009164901499059524</v>
      </c>
      <c r="F262" t="n">
        <v>0.5505372844272655</v>
      </c>
      <c r="G262" t="inlineStr">
        <is>
          <t>A</t>
        </is>
      </c>
      <c r="H262" t="n">
        <v>856</v>
      </c>
      <c r="I262" t="n">
        <v>4.83</v>
      </c>
      <c r="J262" t="n">
        <v>4134.48</v>
      </c>
      <c r="K262" t="n">
        <v>12.2</v>
      </c>
      <c r="L262" t="n">
        <v>70.16393442622952</v>
      </c>
      <c r="M262" t="n">
        <v>2</v>
      </c>
      <c r="N262" t="n">
        <v>24.4</v>
      </c>
      <c r="O262" t="n">
        <v>831.6</v>
      </c>
      <c r="P262" t="n">
        <v>4016.628</v>
      </c>
      <c r="Q262" t="n">
        <v>0.9714953271028036</v>
      </c>
      <c r="R262" t="inlineStr">
        <is>
          <t>Sobrestock crítico</t>
        </is>
      </c>
    </row>
    <row r="263">
      <c r="A263" t="inlineStr">
        <is>
          <t>RIOMICA43TXL</t>
        </is>
      </c>
      <c r="B263" t="inlineStr">
        <is>
          <t>RIO ORIGINAL CAB</t>
        </is>
      </c>
      <c r="C263" t="inlineStr">
        <is>
          <t>Manufactura / Caballero / P. Superiores</t>
        </is>
      </c>
      <c r="D263" t="n">
        <v>3731.80751008</v>
      </c>
      <c r="E263" t="n">
        <v>0.0009136680270991421</v>
      </c>
      <c r="F263" t="n">
        <v>0.5514509524543646</v>
      </c>
      <c r="G263" t="inlineStr">
        <is>
          <t>A</t>
        </is>
      </c>
      <c r="H263" t="n">
        <v>30</v>
      </c>
      <c r="I263" t="n">
        <v>5.939350288</v>
      </c>
      <c r="J263" t="n">
        <v>178.18050864</v>
      </c>
      <c r="K263" t="n">
        <v>6.5</v>
      </c>
      <c r="L263" t="n">
        <v>4.615384615384615</v>
      </c>
      <c r="M263" t="n">
        <v>2</v>
      </c>
      <c r="N263" t="n">
        <v>13</v>
      </c>
      <c r="O263" t="n">
        <v>17</v>
      </c>
      <c r="P263" t="n">
        <v>100.968954896</v>
      </c>
      <c r="Q263" t="n">
        <v>0.5666666666666667</v>
      </c>
      <c r="R263" t="inlineStr">
        <is>
          <t>Sobrestock crítico</t>
        </is>
      </c>
    </row>
    <row r="264">
      <c r="A264" t="inlineStr">
        <is>
          <t>CAP12CM</t>
        </is>
      </c>
      <c r="B264" t="inlineStr">
        <is>
          <t>CAMO CAP</t>
        </is>
      </c>
      <c r="C264" t="inlineStr">
        <is>
          <t>Equipamiento / Gorras</t>
        </is>
      </c>
      <c r="D264" t="n">
        <v>3730.63129864</v>
      </c>
      <c r="E264" t="n">
        <v>0.0009133800522282695</v>
      </c>
      <c r="F264" t="n">
        <v>0.5523643325065928</v>
      </c>
      <c r="G264" t="inlineStr">
        <is>
          <t>A</t>
        </is>
      </c>
      <c r="H264" t="n">
        <v>598</v>
      </c>
      <c r="I264" t="n">
        <v>3.36</v>
      </c>
      <c r="J264" t="n">
        <v>2009.28</v>
      </c>
      <c r="K264" t="n">
        <v>13.5</v>
      </c>
      <c r="L264" t="n">
        <v>44.2962962962963</v>
      </c>
      <c r="M264" t="n">
        <v>2</v>
      </c>
      <c r="N264" t="n">
        <v>27</v>
      </c>
      <c r="O264" t="n">
        <v>571</v>
      </c>
      <c r="P264" t="n">
        <v>1918.56</v>
      </c>
      <c r="Q264" t="n">
        <v>0.9548494983277592</v>
      </c>
      <c r="R264" t="inlineStr">
        <is>
          <t>Sobrestock crítico</t>
        </is>
      </c>
    </row>
    <row r="265">
      <c r="A265" t="inlineStr">
        <is>
          <t>JACCA33TM</t>
        </is>
      </c>
      <c r="B265" t="inlineStr">
        <is>
          <t>JACKET CAB</t>
        </is>
      </c>
      <c r="C265" t="inlineStr">
        <is>
          <t>Equipamiento / Ropa</t>
        </is>
      </c>
      <c r="D265" t="n">
        <v>3727.71909056</v>
      </c>
      <c r="E265" t="n">
        <v>0.0009126670488368116</v>
      </c>
      <c r="F265" t="n">
        <v>0.5532769995554297</v>
      </c>
      <c r="G265" t="inlineStr">
        <is>
          <t>A</t>
        </is>
      </c>
      <c r="H265" t="n">
        <v>6</v>
      </c>
      <c r="I265" t="n">
        <v>20.25001933</v>
      </c>
      <c r="J265" t="n">
        <v>121.50011598</v>
      </c>
      <c r="K265" t="n">
        <v>5.6</v>
      </c>
      <c r="L265" t="n">
        <v>1.071428571428571</v>
      </c>
      <c r="M265" t="n">
        <v>2</v>
      </c>
      <c r="N265" t="n">
        <v>11.2</v>
      </c>
      <c r="O265" t="n">
        <v>0</v>
      </c>
      <c r="P265" t="n">
        <v>0</v>
      </c>
      <c r="Q265" t="n">
        <v>0</v>
      </c>
      <c r="R265" t="inlineStr">
        <is>
          <t>OK</t>
        </is>
      </c>
    </row>
    <row r="266">
      <c r="A266" t="inlineStr">
        <is>
          <t>RIOMICA12TXL</t>
        </is>
      </c>
      <c r="B266" t="inlineStr">
        <is>
          <t>RIO ORIGINAL CAB</t>
        </is>
      </c>
      <c r="C266" t="inlineStr">
        <is>
          <t>Manufactura / Caballero / P. Superiores</t>
        </is>
      </c>
      <c r="D266" t="n">
        <v>3726.66298528</v>
      </c>
      <c r="E266" t="n">
        <v>0.0009124084798658826</v>
      </c>
      <c r="F266" t="n">
        <v>0.5541894080352956</v>
      </c>
      <c r="G266" t="inlineStr">
        <is>
          <t>A</t>
        </is>
      </c>
      <c r="H266" t="n">
        <v>22</v>
      </c>
      <c r="I266" t="n">
        <v>5.939350288</v>
      </c>
      <c r="J266" t="n">
        <v>130.665706336</v>
      </c>
      <c r="K266" t="n">
        <v>6.7</v>
      </c>
      <c r="L266" t="n">
        <v>3.283582089552239</v>
      </c>
      <c r="M266" t="n">
        <v>2</v>
      </c>
      <c r="N266" t="n">
        <v>13.4</v>
      </c>
      <c r="O266" t="n">
        <v>8.6</v>
      </c>
      <c r="P266" t="n">
        <v>51.0784124768</v>
      </c>
      <c r="Q266" t="n">
        <v>0.3909090909090909</v>
      </c>
      <c r="R266" t="inlineStr">
        <is>
          <t>Sobrestock crítico</t>
        </is>
      </c>
    </row>
    <row r="267">
      <c r="A267" t="inlineStr">
        <is>
          <t>JACDA47TM</t>
        </is>
      </c>
      <c r="B267" t="inlineStr">
        <is>
          <t>JACKET DAMA</t>
        </is>
      </c>
      <c r="C267" t="inlineStr">
        <is>
          <t>Equipamiento / Ropa</t>
        </is>
      </c>
      <c r="D267" t="n">
        <v>3714.69827444</v>
      </c>
      <c r="E267" t="n">
        <v>0.000909479128949881</v>
      </c>
      <c r="F267" t="n">
        <v>0.5550988871642455</v>
      </c>
      <c r="G267" t="inlineStr">
        <is>
          <t>A</t>
        </is>
      </c>
      <c r="H267" t="n">
        <v>2</v>
      </c>
      <c r="I267" t="n">
        <v>20.25</v>
      </c>
      <c r="J267" t="n">
        <v>40.5</v>
      </c>
      <c r="K267" t="n">
        <v>5.5</v>
      </c>
      <c r="L267" t="n">
        <v>0.3636363636363636</v>
      </c>
      <c r="M267" t="n">
        <v>2</v>
      </c>
      <c r="N267" t="n">
        <v>11</v>
      </c>
      <c r="O267" t="n">
        <v>0</v>
      </c>
      <c r="P267" t="n">
        <v>0</v>
      </c>
      <c r="Q267" t="n">
        <v>0</v>
      </c>
      <c r="R267" t="inlineStr">
        <is>
          <t>Riesgo bajo stock</t>
        </is>
      </c>
    </row>
    <row r="268">
      <c r="A268" t="inlineStr">
        <is>
          <t>CAP66CM</t>
        </is>
      </c>
      <c r="B268" t="inlineStr">
        <is>
          <t>CAMO CAP</t>
        </is>
      </c>
      <c r="C268" t="inlineStr">
        <is>
          <t>Equipamiento / Gorras</t>
        </is>
      </c>
      <c r="D268" t="n">
        <v>3712.24639439</v>
      </c>
      <c r="E268" t="n">
        <v>0.0009088788288535024</v>
      </c>
      <c r="F268" t="n">
        <v>0.5560077659930989</v>
      </c>
      <c r="G268" t="inlineStr">
        <is>
          <t>A</t>
        </is>
      </c>
      <c r="H268" t="n">
        <v>1216</v>
      </c>
      <c r="I268" t="n">
        <v>3.36</v>
      </c>
      <c r="J268" t="n">
        <v>4085.76</v>
      </c>
      <c r="K268" t="n">
        <v>12.1</v>
      </c>
      <c r="L268" t="n">
        <v>100.495867768595</v>
      </c>
      <c r="M268" t="n">
        <v>2</v>
      </c>
      <c r="N268" t="n">
        <v>24.2</v>
      </c>
      <c r="O268" t="n">
        <v>1191.8</v>
      </c>
      <c r="P268" t="n">
        <v>4004.448</v>
      </c>
      <c r="Q268" t="n">
        <v>0.9800986842105264</v>
      </c>
      <c r="R268" t="inlineStr">
        <is>
          <t>Sobrestock crítico</t>
        </is>
      </c>
    </row>
    <row r="269">
      <c r="A269" t="inlineStr">
        <is>
          <t>TOA202ES</t>
        </is>
      </c>
      <c r="B269" t="inlineStr">
        <is>
          <t>TOALLA ESTAMPADA 2.0</t>
        </is>
      </c>
      <c r="C269" t="inlineStr">
        <is>
          <t>Equipamiento / Toallas</t>
        </is>
      </c>
      <c r="D269" t="n">
        <v>3687.5576184</v>
      </c>
      <c r="E269" t="n">
        <v>0.0009028342123534964</v>
      </c>
      <c r="F269" t="n">
        <v>0.5569106002054525</v>
      </c>
      <c r="G269" t="inlineStr">
        <is>
          <t>A</t>
        </is>
      </c>
      <c r="H269" t="n">
        <v>813</v>
      </c>
      <c r="I269" t="n">
        <v>5.92</v>
      </c>
      <c r="J269" t="n">
        <v>4812.96</v>
      </c>
      <c r="K269" t="n">
        <v>8.4</v>
      </c>
      <c r="L269" t="n">
        <v>96.78571428571428</v>
      </c>
      <c r="M269" t="n">
        <v>2</v>
      </c>
      <c r="N269" t="n">
        <v>16.8</v>
      </c>
      <c r="O269" t="n">
        <v>796.2</v>
      </c>
      <c r="P269" t="n">
        <v>4713.504</v>
      </c>
      <c r="Q269" t="n">
        <v>0.9793357933579335</v>
      </c>
      <c r="R269" t="inlineStr">
        <is>
          <t>Sobrestock crítico</t>
        </is>
      </c>
    </row>
    <row r="270">
      <c r="A270" t="inlineStr">
        <is>
          <t>MARMIDA70TM</t>
        </is>
      </c>
      <c r="B270" t="inlineStr">
        <is>
          <t>MAR ORIGINAL DAMA</t>
        </is>
      </c>
      <c r="C270" t="inlineStr">
        <is>
          <t>Manufactura / Dama / P. Superiores</t>
        </is>
      </c>
      <c r="D270" t="n">
        <v>3673.07263943</v>
      </c>
      <c r="E270" t="n">
        <v>0.0008992878177116653</v>
      </c>
      <c r="F270" t="n">
        <v>0.5578098880231641</v>
      </c>
      <c r="G270" t="inlineStr">
        <is>
          <t>A</t>
        </is>
      </c>
      <c r="H270" t="n">
        <v>21</v>
      </c>
      <c r="I270" t="n">
        <v>4.278324149</v>
      </c>
      <c r="J270" t="n">
        <v>89.844807129</v>
      </c>
      <c r="K270" t="n">
        <v>7</v>
      </c>
      <c r="L270" t="n">
        <v>3</v>
      </c>
      <c r="M270" t="n">
        <v>2</v>
      </c>
      <c r="N270" t="n">
        <v>14</v>
      </c>
      <c r="O270" t="n">
        <v>7</v>
      </c>
      <c r="P270" t="n">
        <v>29.948269043</v>
      </c>
      <c r="Q270" t="n">
        <v>0.3333333333333334</v>
      </c>
      <c r="R270" t="inlineStr">
        <is>
          <t>Sobrestock crítico</t>
        </is>
      </c>
    </row>
    <row r="271">
      <c r="A271" t="inlineStr">
        <is>
          <t>SHOSUCA153TM</t>
        </is>
      </c>
      <c r="B271" t="inlineStr">
        <is>
          <t>SHORT PLAYA ESTAMPADO CAB</t>
        </is>
      </c>
      <c r="C271" t="inlineStr">
        <is>
          <t>Manufactura / Caballero / P. Inferiores</t>
        </is>
      </c>
      <c r="D271" t="n">
        <v>3632.8193683</v>
      </c>
      <c r="E271" t="n">
        <v>0.0008894325058505115</v>
      </c>
      <c r="F271" t="n">
        <v>0.5586993205290146</v>
      </c>
      <c r="G271" t="inlineStr">
        <is>
          <t>A</t>
        </is>
      </c>
      <c r="H271" t="n">
        <v>41</v>
      </c>
      <c r="I271" t="n">
        <v>12.11</v>
      </c>
      <c r="J271" t="n">
        <v>496.51</v>
      </c>
      <c r="K271" t="n">
        <v>6.3</v>
      </c>
      <c r="L271" t="n">
        <v>6.507936507936508</v>
      </c>
      <c r="M271" t="n">
        <v>2</v>
      </c>
      <c r="N271" t="n">
        <v>12.6</v>
      </c>
      <c r="O271" t="n">
        <v>28.4</v>
      </c>
      <c r="P271" t="n">
        <v>343.924</v>
      </c>
      <c r="Q271" t="n">
        <v>0.6926829268292682</v>
      </c>
      <c r="R271" t="inlineStr">
        <is>
          <t>Sobrestock crítico</t>
        </is>
      </c>
    </row>
    <row r="272">
      <c r="A272" t="inlineStr">
        <is>
          <t>POLPLCA16TL</t>
        </is>
      </c>
      <c r="B272" t="inlineStr">
        <is>
          <t>CLASSIC POLO</t>
        </is>
      </c>
      <c r="C272" t="inlineStr">
        <is>
          <t>Manufactura / Caballero / P. Superiores</t>
        </is>
      </c>
      <c r="D272" t="n">
        <v>3632.15172829</v>
      </c>
      <c r="E272" t="n">
        <v>0.0008892690458303735</v>
      </c>
      <c r="F272" t="n">
        <v>0.559588589574845</v>
      </c>
      <c r="G272" t="inlineStr">
        <is>
          <t>A</t>
        </is>
      </c>
      <c r="H272" t="n">
        <v>4</v>
      </c>
      <c r="I272" t="n">
        <v>7.34</v>
      </c>
      <c r="J272" t="n">
        <v>29.36</v>
      </c>
      <c r="K272" t="n">
        <v>7.8</v>
      </c>
      <c r="L272" t="n">
        <v>0.5128205128205129</v>
      </c>
      <c r="M272" t="n">
        <v>2</v>
      </c>
      <c r="N272" t="n">
        <v>15.6</v>
      </c>
      <c r="O272" t="n">
        <v>0</v>
      </c>
      <c r="P272" t="n">
        <v>0</v>
      </c>
      <c r="Q272" t="n">
        <v>0</v>
      </c>
      <c r="R272" t="inlineStr">
        <is>
          <t>Riesgo bajo stock</t>
        </is>
      </c>
    </row>
    <row r="273">
      <c r="A273" t="inlineStr">
        <is>
          <t>RIOMIDA34TM</t>
        </is>
      </c>
      <c r="B273" t="inlineStr">
        <is>
          <t>RIO ORIGINAL DAMA</t>
        </is>
      </c>
      <c r="C273" t="inlineStr">
        <is>
          <t>Manufactura / Dama / P. Superiores</t>
        </is>
      </c>
      <c r="D273" t="n">
        <v>3621.74891901</v>
      </c>
      <c r="E273" t="n">
        <v>0.000886722099288926</v>
      </c>
      <c r="F273" t="n">
        <v>0.560475311674134</v>
      </c>
      <c r="G273" t="inlineStr">
        <is>
          <t>A</t>
        </is>
      </c>
      <c r="H273" t="n">
        <v>17</v>
      </c>
      <c r="I273" t="n">
        <v>5.538832275</v>
      </c>
      <c r="J273" t="n">
        <v>94.160148675</v>
      </c>
      <c r="K273" t="n">
        <v>6.7</v>
      </c>
      <c r="L273" t="n">
        <v>2.537313432835821</v>
      </c>
      <c r="M273" t="n">
        <v>2</v>
      </c>
      <c r="N273" t="n">
        <v>13.4</v>
      </c>
      <c r="O273" t="n">
        <v>3.6</v>
      </c>
      <c r="P273" t="n">
        <v>19.93979619</v>
      </c>
      <c r="Q273" t="n">
        <v>0.2117647058823529</v>
      </c>
      <c r="R273" t="inlineStr">
        <is>
          <t>Sobrestock</t>
        </is>
      </c>
    </row>
    <row r="274">
      <c r="A274" t="inlineStr">
        <is>
          <t>PANNTCA30TM</t>
        </is>
      </c>
      <c r="B274" t="inlineStr">
        <is>
          <t>EXPLORE PANTS CAB</t>
        </is>
      </c>
      <c r="C274" t="inlineStr">
        <is>
          <t>Manufactura / Caballero / P. Inferiores</t>
        </is>
      </c>
      <c r="D274" t="n">
        <v>3617.16497311</v>
      </c>
      <c r="E274" t="n">
        <v>0.0008855998000289911</v>
      </c>
      <c r="F274" t="n">
        <v>0.561360911474163</v>
      </c>
      <c r="G274" t="inlineStr">
        <is>
          <t>A</t>
        </is>
      </c>
      <c r="H274" t="n">
        <v>5</v>
      </c>
      <c r="I274" t="n">
        <v>15.68994502</v>
      </c>
      <c r="J274" t="n">
        <v>78.44972509999999</v>
      </c>
      <c r="K274" t="n">
        <v>6.1</v>
      </c>
      <c r="L274" t="n">
        <v>0.819672131147541</v>
      </c>
      <c r="M274" t="n">
        <v>2</v>
      </c>
      <c r="N274" t="n">
        <v>12.2</v>
      </c>
      <c r="O274" t="n">
        <v>0</v>
      </c>
      <c r="P274" t="n">
        <v>0</v>
      </c>
      <c r="Q274" t="n">
        <v>0</v>
      </c>
      <c r="R274" t="inlineStr">
        <is>
          <t>Riesgo bajo stock</t>
        </is>
      </c>
    </row>
    <row r="275">
      <c r="A275" t="inlineStr">
        <is>
          <t>JACCA70TL</t>
        </is>
      </c>
      <c r="B275" t="inlineStr">
        <is>
          <t>JACKET CAB</t>
        </is>
      </c>
      <c r="C275" t="inlineStr">
        <is>
          <t>Equipamiento / Ropa</t>
        </is>
      </c>
      <c r="D275" t="n">
        <v>3616.21675545</v>
      </c>
      <c r="E275" t="n">
        <v>0.0008853676454614437</v>
      </c>
      <c r="F275" t="n">
        <v>0.5622462791196243</v>
      </c>
      <c r="G275" t="inlineStr">
        <is>
          <t>A</t>
        </is>
      </c>
      <c r="H275" t="n">
        <v>2</v>
      </c>
      <c r="I275" t="n">
        <v>20.25001933</v>
      </c>
      <c r="J275" t="n">
        <v>40.50003866</v>
      </c>
      <c r="K275" t="n">
        <v>5.6</v>
      </c>
      <c r="L275" t="n">
        <v>0.3571428571428572</v>
      </c>
      <c r="M275" t="n">
        <v>2</v>
      </c>
      <c r="N275" t="n">
        <v>11.2</v>
      </c>
      <c r="O275" t="n">
        <v>0</v>
      </c>
      <c r="P275" t="n">
        <v>0</v>
      </c>
      <c r="Q275" t="n">
        <v>0</v>
      </c>
      <c r="R275" t="inlineStr">
        <is>
          <t>Riesgo bajo stock</t>
        </is>
      </c>
    </row>
    <row r="276">
      <c r="A276" t="inlineStr">
        <is>
          <t>RIOMICA43TS</t>
        </is>
      </c>
      <c r="B276" t="inlineStr">
        <is>
          <t>RIO ORIGINAL CAB</t>
        </is>
      </c>
      <c r="C276" t="inlineStr">
        <is>
          <t>Manufactura / Caballero / P. Superiores</t>
        </is>
      </c>
      <c r="D276" t="n">
        <v>3614.04027228</v>
      </c>
      <c r="E276" t="n">
        <v>0.0008848347714912356</v>
      </c>
      <c r="F276" t="n">
        <v>0.5631311138911155</v>
      </c>
      <c r="G276" t="inlineStr">
        <is>
          <t>A</t>
        </is>
      </c>
      <c r="H276" t="n">
        <v>29</v>
      </c>
      <c r="I276" t="n">
        <v>5.939350288</v>
      </c>
      <c r="J276" t="n">
        <v>172.241158352</v>
      </c>
      <c r="K276" t="n">
        <v>6.2</v>
      </c>
      <c r="L276" t="n">
        <v>4.67741935483871</v>
      </c>
      <c r="M276" t="n">
        <v>2</v>
      </c>
      <c r="N276" t="n">
        <v>12.4</v>
      </c>
      <c r="O276" t="n">
        <v>16.6</v>
      </c>
      <c r="P276" t="n">
        <v>98.59321478080001</v>
      </c>
      <c r="Q276" t="n">
        <v>0.5724137931034483</v>
      </c>
      <c r="R276" t="inlineStr">
        <is>
          <t>Sobrestock crítico</t>
        </is>
      </c>
    </row>
    <row r="277">
      <c r="A277" t="inlineStr">
        <is>
          <t>MARMICA12T2XL</t>
        </is>
      </c>
      <c r="B277" t="inlineStr">
        <is>
          <t>MAR ORIGINAL CAB</t>
        </is>
      </c>
      <c r="C277" t="inlineStr">
        <is>
          <t>Manufactura / Caballero / P. Superiores</t>
        </is>
      </c>
      <c r="D277" t="n">
        <v>3602.87305767</v>
      </c>
      <c r="E277" t="n">
        <v>0.0008821006736275726</v>
      </c>
      <c r="F277" t="n">
        <v>0.5640132145647431</v>
      </c>
      <c r="G277" t="inlineStr">
        <is>
          <t>A</t>
        </is>
      </c>
      <c r="H277" t="n">
        <v>40</v>
      </c>
      <c r="I277" t="n">
        <v>4.946357428</v>
      </c>
      <c r="J277" t="n">
        <v>197.85429712</v>
      </c>
      <c r="K277" t="n">
        <v>7.4</v>
      </c>
      <c r="L277" t="n">
        <v>5.405405405405405</v>
      </c>
      <c r="M277" t="n">
        <v>2</v>
      </c>
      <c r="N277" t="n">
        <v>14.8</v>
      </c>
      <c r="O277" t="n">
        <v>25.2</v>
      </c>
      <c r="P277" t="n">
        <v>124.6482071856</v>
      </c>
      <c r="Q277" t="n">
        <v>0.63</v>
      </c>
      <c r="R277" t="inlineStr">
        <is>
          <t>Sobrestock crítico</t>
        </is>
      </c>
    </row>
    <row r="278">
      <c r="A278" t="inlineStr">
        <is>
          <t>RIOMIDA12TM</t>
        </is>
      </c>
      <c r="B278" t="inlineStr">
        <is>
          <t>RIO ORIGINAL DAMA</t>
        </is>
      </c>
      <c r="C278" t="inlineStr">
        <is>
          <t>Manufactura / Dama / P. Superiores</t>
        </is>
      </c>
      <c r="D278" t="n">
        <v>3600.44527632</v>
      </c>
      <c r="E278" t="n">
        <v>0.0008815062736778725</v>
      </c>
      <c r="F278" t="n">
        <v>0.564894720838421</v>
      </c>
      <c r="G278" t="inlineStr">
        <is>
          <t>A</t>
        </is>
      </c>
      <c r="H278" t="n">
        <v>56</v>
      </c>
      <c r="I278" t="n">
        <v>5.538832275</v>
      </c>
      <c r="J278" t="n">
        <v>310.1746074</v>
      </c>
      <c r="K278" t="n">
        <v>6.5</v>
      </c>
      <c r="L278" t="n">
        <v>8.615384615384615</v>
      </c>
      <c r="M278" t="n">
        <v>2</v>
      </c>
      <c r="N278" t="n">
        <v>13</v>
      </c>
      <c r="O278" t="n">
        <v>43</v>
      </c>
      <c r="P278" t="n">
        <v>238.169787825</v>
      </c>
      <c r="Q278" t="n">
        <v>0.7678571428571428</v>
      </c>
      <c r="R278" t="inlineStr">
        <is>
          <t>Sobrestock crítico</t>
        </is>
      </c>
    </row>
    <row r="279">
      <c r="A279" t="inlineStr">
        <is>
          <t>SHONRCA43TXL</t>
        </is>
      </c>
      <c r="B279" t="inlineStr">
        <is>
          <t>SHORT SPORT CAB</t>
        </is>
      </c>
      <c r="C279" t="inlineStr">
        <is>
          <t>Manufactura / Caballero / P. Inferiores</t>
        </is>
      </c>
      <c r="D279" t="n">
        <v>3599.94285829</v>
      </c>
      <c r="E279" t="n">
        <v>0.0008813832653798803</v>
      </c>
      <c r="F279" t="n">
        <v>0.5657761041038009</v>
      </c>
      <c r="G279" t="inlineStr">
        <is>
          <t>A</t>
        </is>
      </c>
      <c r="H279" t="n">
        <v>3</v>
      </c>
      <c r="I279" t="n">
        <v>10.6514486</v>
      </c>
      <c r="J279" t="n">
        <v>31.9543458</v>
      </c>
      <c r="K279" t="n">
        <v>8.199999999999999</v>
      </c>
      <c r="L279" t="n">
        <v>0.3658536585365854</v>
      </c>
      <c r="M279" t="n">
        <v>2</v>
      </c>
      <c r="N279" t="n">
        <v>16.4</v>
      </c>
      <c r="O279" t="n">
        <v>0</v>
      </c>
      <c r="P279" t="n">
        <v>0</v>
      </c>
      <c r="Q279" t="n">
        <v>0</v>
      </c>
      <c r="R279" t="inlineStr">
        <is>
          <t>Riesgo bajo stock</t>
        </is>
      </c>
    </row>
    <row r="280">
      <c r="A280" t="inlineStr">
        <is>
          <t>CLAMICA12TM</t>
        </is>
      </c>
      <c r="B280" t="inlineStr">
        <is>
          <t>CLASICA ORIGINAL CAB</t>
        </is>
      </c>
      <c r="C280" t="inlineStr">
        <is>
          <t>Manufactura / Caballero / P. Superiores</t>
        </is>
      </c>
      <c r="D280" t="n">
        <v>3570.50934486</v>
      </c>
      <c r="E280" t="n">
        <v>0.0008741769826138092</v>
      </c>
      <c r="F280" t="n">
        <v>0.5666502810864147</v>
      </c>
      <c r="G280" t="inlineStr">
        <is>
          <t>A</t>
        </is>
      </c>
      <c r="H280" t="n">
        <v>22</v>
      </c>
      <c r="I280" t="n">
        <v>4.598442536</v>
      </c>
      <c r="J280" t="n">
        <v>101.165735792</v>
      </c>
      <c r="K280" t="n">
        <v>11</v>
      </c>
      <c r="L280" t="n">
        <v>2</v>
      </c>
      <c r="M280" t="n">
        <v>2</v>
      </c>
      <c r="N280" t="n">
        <v>22</v>
      </c>
      <c r="O280" t="n">
        <v>0</v>
      </c>
      <c r="P280" t="n">
        <v>0</v>
      </c>
      <c r="Q280" t="n">
        <v>0</v>
      </c>
      <c r="R280" t="inlineStr">
        <is>
          <t>OK</t>
        </is>
      </c>
    </row>
    <row r="281">
      <c r="A281" t="inlineStr">
        <is>
          <t>PANNTDA12TM</t>
        </is>
      </c>
      <c r="B281" t="inlineStr">
        <is>
          <t>EXPLORE PANTS DAMA</t>
        </is>
      </c>
      <c r="C281" t="inlineStr">
        <is>
          <t>Manufactura / Dama / P. Inferiores</t>
        </is>
      </c>
      <c r="D281" t="n">
        <v>3530.97301251</v>
      </c>
      <c r="E281" t="n">
        <v>0.0008644972007173989</v>
      </c>
      <c r="F281" t="n">
        <v>0.567514778287132</v>
      </c>
      <c r="G281" t="inlineStr">
        <is>
          <t>A</t>
        </is>
      </c>
      <c r="H281" t="n">
        <v>69</v>
      </c>
      <c r="I281" t="n">
        <v>15.3928899</v>
      </c>
      <c r="J281" t="n">
        <v>1062.1094031</v>
      </c>
      <c r="K281" t="n">
        <v>5.3</v>
      </c>
      <c r="L281" t="n">
        <v>13.0188679245283</v>
      </c>
      <c r="M281" t="n">
        <v>2</v>
      </c>
      <c r="N281" t="n">
        <v>10.6</v>
      </c>
      <c r="O281" t="n">
        <v>58.4</v>
      </c>
      <c r="P281" t="n">
        <v>898.94477016</v>
      </c>
      <c r="Q281" t="n">
        <v>0.8463768115942029</v>
      </c>
      <c r="R281" t="inlineStr">
        <is>
          <t>Sobrestock crítico</t>
        </is>
      </c>
    </row>
    <row r="282">
      <c r="A282" t="inlineStr">
        <is>
          <t>CLAMICA43TM</t>
        </is>
      </c>
      <c r="B282" t="inlineStr">
        <is>
          <t>CLASICA ORIGINAL CAB</t>
        </is>
      </c>
      <c r="C282" t="inlineStr">
        <is>
          <t>Manufactura / Caballero / P. Superiores</t>
        </is>
      </c>
      <c r="D282" t="n">
        <v>3530.71564178</v>
      </c>
      <c r="E282" t="n">
        <v>0.0008644341879798777</v>
      </c>
      <c r="F282" t="n">
        <v>0.568379212475112</v>
      </c>
      <c r="G282" t="inlineStr">
        <is>
          <t>A</t>
        </is>
      </c>
      <c r="H282" t="n">
        <v>17</v>
      </c>
      <c r="I282" t="n">
        <v>4.598442536</v>
      </c>
      <c r="J282" t="n">
        <v>78.173523112</v>
      </c>
      <c r="K282" t="n">
        <v>16.3</v>
      </c>
      <c r="L282" t="n">
        <v>1.042944785276074</v>
      </c>
      <c r="M282" t="n">
        <v>2</v>
      </c>
      <c r="N282" t="n">
        <v>32.6</v>
      </c>
      <c r="O282" t="n">
        <v>0</v>
      </c>
      <c r="P282" t="n">
        <v>0</v>
      </c>
      <c r="Q282" t="n">
        <v>0</v>
      </c>
      <c r="R282" t="inlineStr">
        <is>
          <t>OK</t>
        </is>
      </c>
    </row>
    <row r="283">
      <c r="A283" t="inlineStr">
        <is>
          <t>JACCA70TM</t>
        </is>
      </c>
      <c r="B283" t="inlineStr">
        <is>
          <t>JACKET CAB</t>
        </is>
      </c>
      <c r="C283" t="inlineStr">
        <is>
          <t>Equipamiento / Ropa</t>
        </is>
      </c>
      <c r="D283" t="n">
        <v>3518.65710905</v>
      </c>
      <c r="E283" t="n">
        <v>0.0008614818664093332</v>
      </c>
      <c r="F283" t="n">
        <v>0.5692406943415214</v>
      </c>
      <c r="G283" t="inlineStr">
        <is>
          <t>A</t>
        </is>
      </c>
      <c r="H283" t="n">
        <v>6</v>
      </c>
      <c r="I283" t="n">
        <v>20.25001933</v>
      </c>
      <c r="J283" t="n">
        <v>121.50011598</v>
      </c>
      <c r="K283" t="n">
        <v>5.2</v>
      </c>
      <c r="L283" t="n">
        <v>1.153846153846154</v>
      </c>
      <c r="M283" t="n">
        <v>2</v>
      </c>
      <c r="N283" t="n">
        <v>10.4</v>
      </c>
      <c r="O283" t="n">
        <v>0</v>
      </c>
      <c r="P283" t="n">
        <v>0</v>
      </c>
      <c r="Q283" t="n">
        <v>0</v>
      </c>
      <c r="R283" t="inlineStr">
        <is>
          <t>OK</t>
        </is>
      </c>
    </row>
    <row r="284">
      <c r="A284" t="inlineStr">
        <is>
          <t>RIOMIDA12TXS</t>
        </is>
      </c>
      <c r="B284" t="inlineStr">
        <is>
          <t>RIO ORIGINAL DAMA</t>
        </is>
      </c>
      <c r="C284" t="inlineStr">
        <is>
          <t>Manufactura / Dama / P. Superiores</t>
        </is>
      </c>
      <c r="D284" t="n">
        <v>3516.02305849</v>
      </c>
      <c r="E284" t="n">
        <v>0.0008608369650386343</v>
      </c>
      <c r="F284" t="n">
        <v>0.5701015313065599</v>
      </c>
      <c r="G284" t="inlineStr">
        <is>
          <t>A</t>
        </is>
      </c>
      <c r="H284" t="n">
        <v>10</v>
      </c>
      <c r="I284" t="n">
        <v>5.538832275</v>
      </c>
      <c r="J284" t="n">
        <v>55.38832275</v>
      </c>
      <c r="K284" t="n">
        <v>6.3</v>
      </c>
      <c r="L284" t="n">
        <v>1.587301587301587</v>
      </c>
      <c r="M284" t="n">
        <v>2</v>
      </c>
      <c r="N284" t="n">
        <v>12.6</v>
      </c>
      <c r="O284" t="n">
        <v>0</v>
      </c>
      <c r="P284" t="n">
        <v>0</v>
      </c>
      <c r="Q284" t="n">
        <v>0</v>
      </c>
      <c r="R284" t="inlineStr">
        <is>
          <t>OK</t>
        </is>
      </c>
    </row>
    <row r="285">
      <c r="A285" t="inlineStr">
        <is>
          <t>PONC01EQ</t>
        </is>
      </c>
      <c r="B285" t="inlineStr">
        <is>
          <t>PONCHO ADULTO</t>
        </is>
      </c>
      <c r="C285" t="inlineStr">
        <is>
          <t>Equipamiento / Ponchos</t>
        </is>
      </c>
      <c r="D285" t="n">
        <v>3493.13774641</v>
      </c>
      <c r="E285" t="n">
        <v>0.0008552338952443851</v>
      </c>
      <c r="F285" t="n">
        <v>0.5709567652018044</v>
      </c>
      <c r="G285" t="inlineStr">
        <is>
          <t>A</t>
        </is>
      </c>
      <c r="H285" t="n">
        <v>513</v>
      </c>
      <c r="I285" t="n">
        <v>8.48</v>
      </c>
      <c r="J285" t="n">
        <v>4350.24</v>
      </c>
      <c r="K285" t="n">
        <v>9.1</v>
      </c>
      <c r="L285" t="n">
        <v>56.37362637362637</v>
      </c>
      <c r="M285" t="n">
        <v>2</v>
      </c>
      <c r="N285" t="n">
        <v>18.2</v>
      </c>
      <c r="O285" t="n">
        <v>494.8</v>
      </c>
      <c r="P285" t="n">
        <v>4195.904</v>
      </c>
      <c r="Q285" t="n">
        <v>0.9645224171539962</v>
      </c>
      <c r="R285" t="inlineStr">
        <is>
          <t>Sobrestock crítico</t>
        </is>
      </c>
    </row>
    <row r="286">
      <c r="A286" t="inlineStr">
        <is>
          <t>SHOSUCA155TL</t>
        </is>
      </c>
      <c r="B286" t="inlineStr">
        <is>
          <t>SHORT PLAYA ESTAMPADO CAB</t>
        </is>
      </c>
      <c r="C286" t="inlineStr">
        <is>
          <t>Manufactura / Caballero / P. Inferiores</t>
        </is>
      </c>
      <c r="D286" t="n">
        <v>3472.99727432</v>
      </c>
      <c r="E286" t="n">
        <v>0.000850302851681819</v>
      </c>
      <c r="F286" t="n">
        <v>0.5718070680534861</v>
      </c>
      <c r="G286" t="inlineStr">
        <is>
          <t>A</t>
        </is>
      </c>
      <c r="H286" t="n">
        <v>11</v>
      </c>
      <c r="I286" t="n">
        <v>12.11</v>
      </c>
      <c r="J286" t="n">
        <v>133.21</v>
      </c>
      <c r="K286" t="n">
        <v>6.2</v>
      </c>
      <c r="L286" t="n">
        <v>1.774193548387097</v>
      </c>
      <c r="M286" t="n">
        <v>2</v>
      </c>
      <c r="N286" t="n">
        <v>12.4</v>
      </c>
      <c r="O286" t="n">
        <v>0</v>
      </c>
      <c r="P286" t="n">
        <v>0</v>
      </c>
      <c r="Q286" t="n">
        <v>0</v>
      </c>
      <c r="R286" t="inlineStr">
        <is>
          <t>OK</t>
        </is>
      </c>
    </row>
    <row r="287">
      <c r="A287" t="inlineStr">
        <is>
          <t>DRY1310L</t>
        </is>
      </c>
      <c r="B287" t="inlineStr">
        <is>
          <t>DRY BAG 10L</t>
        </is>
      </c>
      <c r="C287" t="inlineStr">
        <is>
          <t>Equipamiento / Bolsos</t>
        </is>
      </c>
      <c r="D287" t="n">
        <v>3461.62485665</v>
      </c>
      <c r="E287" t="n">
        <v>0.0008475185134254029</v>
      </c>
      <c r="F287" t="n">
        <v>0.5726545865669116</v>
      </c>
      <c r="G287" t="inlineStr">
        <is>
          <t>A</t>
        </is>
      </c>
      <c r="H287" t="n">
        <v>156</v>
      </c>
      <c r="I287" t="n">
        <v>5.22</v>
      </c>
      <c r="J287" t="n">
        <v>814.3199999999999</v>
      </c>
      <c r="K287" t="n">
        <v>8.300000000000001</v>
      </c>
      <c r="L287" t="n">
        <v>18.79518072289157</v>
      </c>
      <c r="M287" t="n">
        <v>2</v>
      </c>
      <c r="N287" t="n">
        <v>16.6</v>
      </c>
      <c r="O287" t="n">
        <v>139.4</v>
      </c>
      <c r="P287" t="n">
        <v>727.668</v>
      </c>
      <c r="Q287" t="n">
        <v>0.8935897435897436</v>
      </c>
      <c r="R287" t="inlineStr">
        <is>
          <t>Sobrestock crítico</t>
        </is>
      </c>
    </row>
    <row r="288">
      <c r="A288" t="inlineStr">
        <is>
          <t>RIOMICA12TM</t>
        </is>
      </c>
      <c r="B288" t="inlineStr">
        <is>
          <t>RIO ORIGINAL CAB</t>
        </is>
      </c>
      <c r="C288" t="inlineStr">
        <is>
          <t>Manufactura / Caballero / P. Superiores</t>
        </is>
      </c>
      <c r="D288" t="n">
        <v>3456.99218165</v>
      </c>
      <c r="E288" t="n">
        <v>0.0008463842836946335</v>
      </c>
      <c r="F288" t="n">
        <v>0.5735009708506061</v>
      </c>
      <c r="G288" t="inlineStr">
        <is>
          <t>A</t>
        </is>
      </c>
      <c r="H288" t="n">
        <v>10</v>
      </c>
      <c r="I288" t="n">
        <v>5.939350287999999</v>
      </c>
      <c r="J288" t="n">
        <v>59.39350287999999</v>
      </c>
      <c r="K288" t="n">
        <v>6</v>
      </c>
      <c r="L288" t="n">
        <v>1.666666666666667</v>
      </c>
      <c r="M288" t="n">
        <v>2</v>
      </c>
      <c r="N288" t="n">
        <v>12</v>
      </c>
      <c r="O288" t="n">
        <v>0</v>
      </c>
      <c r="P288" t="n">
        <v>0</v>
      </c>
      <c r="Q288" t="n">
        <v>0</v>
      </c>
      <c r="R288" t="inlineStr">
        <is>
          <t>OK</t>
        </is>
      </c>
    </row>
    <row r="289">
      <c r="A289" t="inlineStr">
        <is>
          <t>CAP31PC</t>
        </is>
      </c>
      <c r="B289" t="inlineStr">
        <is>
          <t>PRO CAP</t>
        </is>
      </c>
      <c r="C289" t="inlineStr">
        <is>
          <t>Equipamiento / Gorras</t>
        </is>
      </c>
      <c r="D289" t="n">
        <v>3432.42594799</v>
      </c>
      <c r="E289" t="n">
        <v>0.0008403696695483354</v>
      </c>
      <c r="F289" t="n">
        <v>0.5743413405201544</v>
      </c>
      <c r="G289" t="inlineStr">
        <is>
          <t>A</t>
        </is>
      </c>
      <c r="H289" t="n">
        <v>521</v>
      </c>
      <c r="I289" t="n">
        <v>3.36</v>
      </c>
      <c r="J289" t="n">
        <v>1750.56</v>
      </c>
      <c r="K289" t="n">
        <v>10.5</v>
      </c>
      <c r="L289" t="n">
        <v>49.61904761904762</v>
      </c>
      <c r="M289" t="n">
        <v>2</v>
      </c>
      <c r="N289" t="n">
        <v>21</v>
      </c>
      <c r="O289" t="n">
        <v>500</v>
      </c>
      <c r="P289" t="n">
        <v>1680</v>
      </c>
      <c r="Q289" t="n">
        <v>0.9596928982725528</v>
      </c>
      <c r="R289" t="inlineStr">
        <is>
          <t>Sobrestock crítico</t>
        </is>
      </c>
    </row>
    <row r="290">
      <c r="A290" t="inlineStr">
        <is>
          <t>REFAZUTOEQ151EQ</t>
        </is>
      </c>
      <c r="B290" t="inlineStr">
        <is>
          <t>REFRESH AZUL</t>
        </is>
      </c>
      <c r="C290" t="inlineStr">
        <is>
          <t>Manufactura / Refresh</t>
        </is>
      </c>
      <c r="D290" t="n">
        <v>3428.14838687</v>
      </c>
      <c r="E290" t="n">
        <v>0.0008393223832617974</v>
      </c>
      <c r="F290" t="n">
        <v>0.5751806629034163</v>
      </c>
      <c r="G290" t="inlineStr">
        <is>
          <t>A</t>
        </is>
      </c>
      <c r="H290" t="n">
        <v>0</v>
      </c>
      <c r="I290" t="n">
        <v>7.65</v>
      </c>
      <c r="J290" t="n">
        <v>0</v>
      </c>
      <c r="K290" t="n">
        <v>16.9</v>
      </c>
      <c r="L290" t="n">
        <v>0</v>
      </c>
      <c r="M290" t="n">
        <v>2</v>
      </c>
      <c r="N290" t="n">
        <v>33.8</v>
      </c>
      <c r="O290" t="n">
        <v>0</v>
      </c>
      <c r="P290" t="n">
        <v>0</v>
      </c>
      <c r="Q290" t="n">
        <v>0</v>
      </c>
      <c r="R290" t="inlineStr">
        <is>
          <t>Sin rotación</t>
        </is>
      </c>
    </row>
    <row r="291">
      <c r="A291" t="inlineStr">
        <is>
          <t>CAP43FC</t>
        </is>
      </c>
      <c r="B291" t="inlineStr">
        <is>
          <t>FIT CAP</t>
        </is>
      </c>
      <c r="C291" t="inlineStr">
        <is>
          <t>Equipamiento / Gorras</t>
        </is>
      </c>
      <c r="D291" t="n">
        <v>3425.29887294</v>
      </c>
      <c r="E291" t="n">
        <v>0.0008386247294402692</v>
      </c>
      <c r="F291" t="n">
        <v>0.5760192876328565</v>
      </c>
      <c r="G291" t="inlineStr">
        <is>
          <t>A</t>
        </is>
      </c>
      <c r="H291" t="n">
        <v>493</v>
      </c>
      <c r="I291" t="n">
        <v>4.11</v>
      </c>
      <c r="J291" t="n">
        <v>2026.23</v>
      </c>
      <c r="K291" t="n">
        <v>11.3</v>
      </c>
      <c r="L291" t="n">
        <v>43.6283185840708</v>
      </c>
      <c r="M291" t="n">
        <v>2</v>
      </c>
      <c r="N291" t="n">
        <v>22.6</v>
      </c>
      <c r="O291" t="n">
        <v>470.4</v>
      </c>
      <c r="P291" t="n">
        <v>1933.344</v>
      </c>
      <c r="Q291" t="n">
        <v>0.9541582150101419</v>
      </c>
      <c r="R291" t="inlineStr">
        <is>
          <t>Sobrestock crítico</t>
        </is>
      </c>
    </row>
    <row r="292">
      <c r="A292" t="inlineStr">
        <is>
          <t>RIOMICA16TXL</t>
        </is>
      </c>
      <c r="B292" t="inlineStr">
        <is>
          <t>RIO ORIGINAL CAB</t>
        </is>
      </c>
      <c r="C292" t="inlineStr">
        <is>
          <t>Manufactura / Caballero / P. Superiores</t>
        </is>
      </c>
      <c r="D292" t="n">
        <v>3419.063675485358</v>
      </c>
      <c r="E292" t="n">
        <v>0.0008370981500168749</v>
      </c>
      <c r="F292" t="n">
        <v>0.5768563857828733</v>
      </c>
      <c r="G292" t="inlineStr">
        <is>
          <t>A</t>
        </is>
      </c>
      <c r="H292" t="n">
        <v>16</v>
      </c>
      <c r="I292" t="n">
        <v>5.939350288</v>
      </c>
      <c r="J292" t="n">
        <v>95.029604608</v>
      </c>
      <c r="K292" t="n">
        <v>6.2</v>
      </c>
      <c r="L292" t="n">
        <v>2.580645161290323</v>
      </c>
      <c r="M292" t="n">
        <v>2</v>
      </c>
      <c r="N292" t="n">
        <v>12.4</v>
      </c>
      <c r="O292" t="n">
        <v>3.6</v>
      </c>
      <c r="P292" t="n">
        <v>21.3816610368</v>
      </c>
      <c r="Q292" t="n">
        <v>0.225</v>
      </c>
      <c r="R292" t="inlineStr">
        <is>
          <t>Sobrestock</t>
        </is>
      </c>
    </row>
    <row r="293">
      <c r="A293" t="inlineStr">
        <is>
          <t>MARMIDA34TM</t>
        </is>
      </c>
      <c r="B293" t="inlineStr">
        <is>
          <t>MAR ORIGINAL DAMA</t>
        </is>
      </c>
      <c r="C293" t="inlineStr">
        <is>
          <t>Manufactura / Dama / P. Superiores</t>
        </is>
      </c>
      <c r="D293" t="n">
        <v>3412.52617734</v>
      </c>
      <c r="E293" t="n">
        <v>0.0008354975575381635</v>
      </c>
      <c r="F293" t="n">
        <v>0.5776918833404115</v>
      </c>
      <c r="G293" t="inlineStr">
        <is>
          <t>A</t>
        </is>
      </c>
      <c r="H293" t="n">
        <v>10</v>
      </c>
      <c r="I293" t="n">
        <v>4.278324149</v>
      </c>
      <c r="J293" t="n">
        <v>42.78324149</v>
      </c>
      <c r="K293" t="n">
        <v>7.4</v>
      </c>
      <c r="L293" t="n">
        <v>1.351351351351351</v>
      </c>
      <c r="M293" t="n">
        <v>2</v>
      </c>
      <c r="N293" t="n">
        <v>14.8</v>
      </c>
      <c r="O293" t="n">
        <v>0</v>
      </c>
      <c r="P293" t="n">
        <v>0</v>
      </c>
      <c r="Q293" t="n">
        <v>0</v>
      </c>
      <c r="R293" t="inlineStr">
        <is>
          <t>OK</t>
        </is>
      </c>
    </row>
    <row r="294">
      <c r="A294" t="inlineStr">
        <is>
          <t>JAPDA35TL</t>
        </is>
      </c>
      <c r="B294" t="inlineStr">
        <is>
          <t>CUADRO JACKET 2.0 DAMA</t>
        </is>
      </c>
      <c r="C294" t="inlineStr">
        <is>
          <t>Equipamiento / Ropa</t>
        </is>
      </c>
      <c r="D294" t="n">
        <v>3411.86969771</v>
      </c>
      <c r="E294" t="n">
        <v>0.0008353368299425538</v>
      </c>
      <c r="F294" t="n">
        <v>0.5785272201703541</v>
      </c>
      <c r="G294" t="inlineStr">
        <is>
          <t>A</t>
        </is>
      </c>
      <c r="H294" t="n">
        <v>156</v>
      </c>
      <c r="I294" t="n">
        <v>20.25</v>
      </c>
      <c r="J294" t="n">
        <v>3159</v>
      </c>
      <c r="K294" t="n">
        <v>4.5</v>
      </c>
      <c r="L294" t="n">
        <v>34.66666666666666</v>
      </c>
      <c r="M294" t="n">
        <v>2</v>
      </c>
      <c r="N294" t="n">
        <v>9</v>
      </c>
      <c r="O294" t="n">
        <v>147</v>
      </c>
      <c r="P294" t="n">
        <v>2976.75</v>
      </c>
      <c r="Q294" t="n">
        <v>0.9423076923076923</v>
      </c>
      <c r="R294" t="inlineStr">
        <is>
          <t>Sobrestock crítico</t>
        </is>
      </c>
    </row>
    <row r="295">
      <c r="A295" t="inlineStr">
        <is>
          <t>CLAMICA16TL</t>
        </is>
      </c>
      <c r="B295" t="inlineStr">
        <is>
          <t>CLASICA ORIGINAL CAB</t>
        </is>
      </c>
      <c r="C295" t="inlineStr">
        <is>
          <t>Manufactura / Caballero / P. Superiores</t>
        </is>
      </c>
      <c r="D295" t="n">
        <v>3403.13370015</v>
      </c>
      <c r="E295" t="n">
        <v>0.0008331979731998552</v>
      </c>
      <c r="F295" t="n">
        <v>0.5793604181435539</v>
      </c>
      <c r="G295" t="inlineStr">
        <is>
          <t>A</t>
        </is>
      </c>
      <c r="H295" t="n">
        <v>47</v>
      </c>
      <c r="I295" t="n">
        <v>4.598442536</v>
      </c>
      <c r="J295" t="n">
        <v>216.126799192</v>
      </c>
      <c r="K295" t="n">
        <v>12.3</v>
      </c>
      <c r="L295" t="n">
        <v>3.821138211382114</v>
      </c>
      <c r="M295" t="n">
        <v>2</v>
      </c>
      <c r="N295" t="n">
        <v>24.6</v>
      </c>
      <c r="O295" t="n">
        <v>22.4</v>
      </c>
      <c r="P295" t="n">
        <v>103.0051128064</v>
      </c>
      <c r="Q295" t="n">
        <v>0.476595744680851</v>
      </c>
      <c r="R295" t="inlineStr">
        <is>
          <t>Sobrestock crítico</t>
        </is>
      </c>
    </row>
    <row r="296">
      <c r="A296" t="inlineStr">
        <is>
          <t>DAYCSTCA16TM</t>
        </is>
      </c>
      <c r="B296" t="inlineStr">
        <is>
          <t>CLASICA DAILY 3.0 CAB</t>
        </is>
      </c>
      <c r="C296" t="inlineStr">
        <is>
          <t>Manufactura / Caballero / P. Superiores</t>
        </is>
      </c>
      <c r="D296" t="n">
        <v>3387.654725295706</v>
      </c>
      <c r="E296" t="n">
        <v>0.0008294082159901279</v>
      </c>
      <c r="F296" t="n">
        <v>0.5801898263595441</v>
      </c>
      <c r="G296" t="inlineStr">
        <is>
          <t>A</t>
        </is>
      </c>
      <c r="H296" t="n">
        <v>72</v>
      </c>
      <c r="I296" t="n">
        <v>11.76035097</v>
      </c>
      <c r="J296" t="n">
        <v>846.74526984</v>
      </c>
      <c r="K296" t="n">
        <v>9.199999999999999</v>
      </c>
      <c r="L296" t="n">
        <v>7.82608695652174</v>
      </c>
      <c r="M296" t="n">
        <v>2</v>
      </c>
      <c r="N296" t="n">
        <v>18.4</v>
      </c>
      <c r="O296" t="n">
        <v>53.6</v>
      </c>
      <c r="P296" t="n">
        <v>630.354811992</v>
      </c>
      <c r="Q296" t="n">
        <v>0.7444444444444445</v>
      </c>
      <c r="R296" t="inlineStr">
        <is>
          <t>Sobrestock crítico</t>
        </is>
      </c>
    </row>
    <row r="297">
      <c r="A297" t="inlineStr">
        <is>
          <t>PANNTCA66TXL</t>
        </is>
      </c>
      <c r="B297" t="inlineStr">
        <is>
          <t>EXPLORE PANTS CAB</t>
        </is>
      </c>
      <c r="C297" t="inlineStr">
        <is>
          <t>Manufactura / Caballero / P. Inferiores</t>
        </is>
      </c>
      <c r="D297" t="n">
        <v>3383.363406</v>
      </c>
      <c r="E297" t="n">
        <v>0.0008283575612540598</v>
      </c>
      <c r="F297" t="n">
        <v>0.5810181839207982</v>
      </c>
      <c r="G297" t="inlineStr">
        <is>
          <t>A</t>
        </is>
      </c>
      <c r="H297" t="n">
        <v>7</v>
      </c>
      <c r="I297" t="n">
        <v>15.68994502</v>
      </c>
      <c r="J297" t="n">
        <v>109.82961514</v>
      </c>
      <c r="K297" t="n">
        <v>4.9</v>
      </c>
      <c r="L297" t="n">
        <v>1.428571428571428</v>
      </c>
      <c r="M297" t="n">
        <v>2</v>
      </c>
      <c r="N297" t="n">
        <v>9.800000000000001</v>
      </c>
      <c r="O297" t="n">
        <v>0</v>
      </c>
      <c r="P297" t="n">
        <v>0</v>
      </c>
      <c r="Q297" t="n">
        <v>0</v>
      </c>
      <c r="R297" t="inlineStr">
        <is>
          <t>OK</t>
        </is>
      </c>
    </row>
    <row r="298">
      <c r="A298" t="inlineStr">
        <is>
          <t>TOA64CLI</t>
        </is>
      </c>
      <c r="B298" t="inlineStr">
        <is>
          <t>TOALLA CLIP 2.0</t>
        </is>
      </c>
      <c r="C298" t="inlineStr">
        <is>
          <t>Equipamiento / Toallas</t>
        </is>
      </c>
      <c r="D298" t="n">
        <v>3372.22000849</v>
      </c>
      <c r="E298" t="n">
        <v>0.000825629294592223</v>
      </c>
      <c r="F298" t="n">
        <v>0.5818438132153904</v>
      </c>
      <c r="G298" t="inlineStr">
        <is>
          <t>A</t>
        </is>
      </c>
      <c r="H298" t="n">
        <v>251</v>
      </c>
      <c r="I298" t="n">
        <v>5.11</v>
      </c>
      <c r="J298" t="n">
        <v>1282.61</v>
      </c>
      <c r="K298" t="n">
        <v>14.5</v>
      </c>
      <c r="L298" t="n">
        <v>17.31034482758621</v>
      </c>
      <c r="M298" t="n">
        <v>2</v>
      </c>
      <c r="N298" t="n">
        <v>29</v>
      </c>
      <c r="O298" t="n">
        <v>222</v>
      </c>
      <c r="P298" t="n">
        <v>1134.42</v>
      </c>
      <c r="Q298" t="n">
        <v>0.8844621513944223</v>
      </c>
      <c r="R298" t="inlineStr">
        <is>
          <t>Sobrestock crítico</t>
        </is>
      </c>
    </row>
    <row r="299">
      <c r="A299" t="inlineStr">
        <is>
          <t>MARMIDA70TS</t>
        </is>
      </c>
      <c r="B299" t="inlineStr">
        <is>
          <t>MAR ORIGINAL DAMA</t>
        </is>
      </c>
      <c r="C299" t="inlineStr">
        <is>
          <t>Manufactura / Dama / P. Superiores</t>
        </is>
      </c>
      <c r="D299" t="n">
        <v>3372.00780342165</v>
      </c>
      <c r="E299" t="n">
        <v>0.0008255773398797636</v>
      </c>
      <c r="F299" t="n">
        <v>0.5826693905552701</v>
      </c>
      <c r="G299" t="inlineStr">
        <is>
          <t>A</t>
        </is>
      </c>
      <c r="H299" t="n">
        <v>23</v>
      </c>
      <c r="I299" t="n">
        <v>4.278324149</v>
      </c>
      <c r="J299" t="n">
        <v>98.401455427</v>
      </c>
      <c r="K299" t="n">
        <v>6.4</v>
      </c>
      <c r="L299" t="n">
        <v>3.59375</v>
      </c>
      <c r="M299" t="n">
        <v>2</v>
      </c>
      <c r="N299" t="n">
        <v>12.8</v>
      </c>
      <c r="O299" t="n">
        <v>10.2</v>
      </c>
      <c r="P299" t="n">
        <v>43.6389063198</v>
      </c>
      <c r="Q299" t="n">
        <v>0.4434782608695652</v>
      </c>
      <c r="R299" t="inlineStr">
        <is>
          <t>Sobrestock crítico</t>
        </is>
      </c>
    </row>
    <row r="300">
      <c r="A300" t="inlineStr">
        <is>
          <t>JAPCA16TS</t>
        </is>
      </c>
      <c r="B300" t="inlineStr">
        <is>
          <t>CUADRO JACKET 2.0 CAB</t>
        </is>
      </c>
      <c r="C300" t="inlineStr">
        <is>
          <t>Equipamiento / Ropa</t>
        </is>
      </c>
      <c r="D300" t="n">
        <v>3368.48386217</v>
      </c>
      <c r="E300" t="n">
        <v>0.0008247145642831362</v>
      </c>
      <c r="F300" t="n">
        <v>0.5834941051195532</v>
      </c>
      <c r="G300" t="inlineStr">
        <is>
          <t>A</t>
        </is>
      </c>
      <c r="H300" t="n">
        <v>180</v>
      </c>
      <c r="I300" t="n">
        <v>20.25000225</v>
      </c>
      <c r="J300" t="n">
        <v>3645.000405</v>
      </c>
      <c r="K300" t="n">
        <v>4.7</v>
      </c>
      <c r="L300" t="n">
        <v>38.29787234042553</v>
      </c>
      <c r="M300" t="n">
        <v>2</v>
      </c>
      <c r="N300" t="n">
        <v>9.4</v>
      </c>
      <c r="O300" t="n">
        <v>170.6</v>
      </c>
      <c r="P300" t="n">
        <v>3454.650383849999</v>
      </c>
      <c r="Q300" t="n">
        <v>0.9477777777777776</v>
      </c>
      <c r="R300" t="inlineStr">
        <is>
          <t>Sobrestock crítico</t>
        </is>
      </c>
    </row>
    <row r="301">
      <c r="A301" t="inlineStr">
        <is>
          <t>MARMIDA12TXS</t>
        </is>
      </c>
      <c r="B301" t="inlineStr">
        <is>
          <t>MAR ORIGINAL DAMA</t>
        </is>
      </c>
      <c r="C301" t="inlineStr">
        <is>
          <t>Manufactura / Dama / P. Superiores</t>
        </is>
      </c>
      <c r="D301" t="n">
        <v>3358.47590595</v>
      </c>
      <c r="E301" t="n">
        <v>0.0008222642906315281</v>
      </c>
      <c r="F301" t="n">
        <v>0.5843163694101848</v>
      </c>
      <c r="G301" t="inlineStr">
        <is>
          <t>A</t>
        </is>
      </c>
      <c r="H301" t="n">
        <v>14</v>
      </c>
      <c r="I301" t="n">
        <v>4.278324149</v>
      </c>
      <c r="J301" t="n">
        <v>59.89653808600001</v>
      </c>
      <c r="K301" t="n">
        <v>7.9</v>
      </c>
      <c r="L301" t="n">
        <v>1.772151898734177</v>
      </c>
      <c r="M301" t="n">
        <v>2</v>
      </c>
      <c r="N301" t="n">
        <v>15.8</v>
      </c>
      <c r="O301" t="n">
        <v>0</v>
      </c>
      <c r="P301" t="n">
        <v>0</v>
      </c>
      <c r="Q301" t="n">
        <v>0</v>
      </c>
      <c r="R301" t="inlineStr">
        <is>
          <t>OK</t>
        </is>
      </c>
    </row>
    <row r="302">
      <c r="A302" t="inlineStr">
        <is>
          <t>JAPKI43T12</t>
        </is>
      </c>
      <c r="B302" t="inlineStr">
        <is>
          <t>CUADRO JACKET 2.0 KIDS</t>
        </is>
      </c>
      <c r="C302" t="inlineStr">
        <is>
          <t>Equipamiento / Ropa</t>
        </is>
      </c>
      <c r="D302" t="n">
        <v>3352.26430381</v>
      </c>
      <c r="E302" t="n">
        <v>0.0008207434881096808</v>
      </c>
      <c r="F302" t="n">
        <v>0.5851371128982945</v>
      </c>
      <c r="G302" t="inlineStr">
        <is>
          <t>A</t>
        </is>
      </c>
      <c r="H302" t="n">
        <v>98</v>
      </c>
      <c r="I302" t="n">
        <v>15.17</v>
      </c>
      <c r="J302" t="n">
        <v>1486.66</v>
      </c>
      <c r="K302" t="n">
        <v>5.3</v>
      </c>
      <c r="L302" t="n">
        <v>18.49056603773585</v>
      </c>
      <c r="M302" t="n">
        <v>2</v>
      </c>
      <c r="N302" t="n">
        <v>10.6</v>
      </c>
      <c r="O302" t="n">
        <v>87.40000000000001</v>
      </c>
      <c r="P302" t="n">
        <v>1325.858</v>
      </c>
      <c r="Q302" t="n">
        <v>0.8918367346938776</v>
      </c>
      <c r="R302" t="inlineStr">
        <is>
          <t>Sobrestock crítico</t>
        </is>
      </c>
    </row>
    <row r="303">
      <c r="A303" t="inlineStr">
        <is>
          <t>PONKI30EQ</t>
        </is>
      </c>
      <c r="B303" t="inlineStr">
        <is>
          <t>PONCHO KIDS</t>
        </is>
      </c>
      <c r="C303" t="inlineStr">
        <is>
          <t>Equipamiento / Ponchos</t>
        </is>
      </c>
      <c r="D303" t="n">
        <v>3343.30983169</v>
      </c>
      <c r="E303" t="n">
        <v>0.0008185511416787634</v>
      </c>
      <c r="F303" t="n">
        <v>0.5859556640399732</v>
      </c>
      <c r="G303" t="inlineStr">
        <is>
          <t>A</t>
        </is>
      </c>
      <c r="H303" t="n">
        <v>270</v>
      </c>
      <c r="I303" t="n">
        <v>7.989999999999999</v>
      </c>
      <c r="J303" t="n">
        <v>2157.3</v>
      </c>
      <c r="K303" t="n">
        <v>9.6</v>
      </c>
      <c r="L303" t="n">
        <v>28.125</v>
      </c>
      <c r="M303" t="n">
        <v>2</v>
      </c>
      <c r="N303" t="n">
        <v>19.2</v>
      </c>
      <c r="O303" t="n">
        <v>250.8</v>
      </c>
      <c r="P303" t="n">
        <v>2003.892</v>
      </c>
      <c r="Q303" t="n">
        <v>0.9288888888888889</v>
      </c>
      <c r="R303" t="inlineStr">
        <is>
          <t>Sobrestock crítico</t>
        </is>
      </c>
    </row>
    <row r="304">
      <c r="A304" t="inlineStr">
        <is>
          <t>JACCA14TL</t>
        </is>
      </c>
      <c r="B304" t="inlineStr">
        <is>
          <t>JACKET CAB</t>
        </is>
      </c>
      <c r="C304" t="inlineStr">
        <is>
          <t>Equipamiento / Ropa</t>
        </is>
      </c>
      <c r="D304" t="n">
        <v>3340.888290457097</v>
      </c>
      <c r="E304" t="n">
        <v>0.0008179582695129752</v>
      </c>
      <c r="F304" t="n">
        <v>0.5867736223094863</v>
      </c>
      <c r="G304" t="inlineStr">
        <is>
          <t>A</t>
        </is>
      </c>
      <c r="H304" t="n">
        <v>115</v>
      </c>
      <c r="I304" t="n">
        <v>20.25001933</v>
      </c>
      <c r="J304" t="n">
        <v>2328.75222295</v>
      </c>
      <c r="K304" t="n">
        <v>5.1</v>
      </c>
      <c r="L304" t="n">
        <v>22.54901960784314</v>
      </c>
      <c r="M304" t="n">
        <v>2</v>
      </c>
      <c r="N304" t="n">
        <v>10.2</v>
      </c>
      <c r="O304" t="n">
        <v>104.8</v>
      </c>
      <c r="P304" t="n">
        <v>2122.202025784</v>
      </c>
      <c r="Q304" t="n">
        <v>0.9113043478260869</v>
      </c>
      <c r="R304" t="inlineStr">
        <is>
          <t>Sobrestock crítico</t>
        </is>
      </c>
    </row>
    <row r="305">
      <c r="A305" t="inlineStr">
        <is>
          <t>TOA199ES</t>
        </is>
      </c>
      <c r="B305" t="inlineStr">
        <is>
          <t>TOALLA ESTAMPADA 2.0</t>
        </is>
      </c>
      <c r="C305" t="inlineStr">
        <is>
          <t>Equipamiento / Toallas</t>
        </is>
      </c>
      <c r="D305" t="n">
        <v>3335.92005847</v>
      </c>
      <c r="E305" t="n">
        <v>0.0008167418845023441</v>
      </c>
      <c r="F305" t="n">
        <v>0.5875903641939886</v>
      </c>
      <c r="G305" t="inlineStr">
        <is>
          <t>A</t>
        </is>
      </c>
      <c r="H305" t="n">
        <v>557</v>
      </c>
      <c r="I305" t="n">
        <v>5.92</v>
      </c>
      <c r="J305" t="n">
        <v>3297.44</v>
      </c>
      <c r="K305" t="n">
        <v>7.5</v>
      </c>
      <c r="L305" t="n">
        <v>74.26666666666667</v>
      </c>
      <c r="M305" t="n">
        <v>2</v>
      </c>
      <c r="N305" t="n">
        <v>15</v>
      </c>
      <c r="O305" t="n">
        <v>542</v>
      </c>
      <c r="P305" t="n">
        <v>3208.64</v>
      </c>
      <c r="Q305" t="n">
        <v>0.9730700179533213</v>
      </c>
      <c r="R305" t="inlineStr">
        <is>
          <t>Sobrestock crítico</t>
        </is>
      </c>
    </row>
    <row r="306">
      <c r="A306" t="inlineStr">
        <is>
          <t>JACDA01TL</t>
        </is>
      </c>
      <c r="B306" t="inlineStr">
        <is>
          <t>JACKET DAMA</t>
        </is>
      </c>
      <c r="C306" t="inlineStr">
        <is>
          <t>Equipamiento / Ropa</t>
        </is>
      </c>
      <c r="D306" t="n">
        <v>3325.81437951</v>
      </c>
      <c r="E306" t="n">
        <v>0.0008142676851410586</v>
      </c>
      <c r="F306" t="n">
        <v>0.5884046318791296</v>
      </c>
      <c r="G306" t="inlineStr">
        <is>
          <t>A</t>
        </is>
      </c>
      <c r="H306" t="n">
        <v>21</v>
      </c>
      <c r="I306" t="n">
        <v>20.25</v>
      </c>
      <c r="J306" t="n">
        <v>425.25</v>
      </c>
      <c r="K306" t="n">
        <v>4.9</v>
      </c>
      <c r="L306" t="n">
        <v>4.285714285714286</v>
      </c>
      <c r="M306" t="n">
        <v>2</v>
      </c>
      <c r="N306" t="n">
        <v>9.800000000000001</v>
      </c>
      <c r="O306" t="n">
        <v>11.2</v>
      </c>
      <c r="P306" t="n">
        <v>226.8</v>
      </c>
      <c r="Q306" t="n">
        <v>0.5333333333333333</v>
      </c>
      <c r="R306" t="inlineStr">
        <is>
          <t>Sobrestock crítico</t>
        </is>
      </c>
    </row>
    <row r="307">
      <c r="A307" t="inlineStr">
        <is>
          <t>TRA5040L</t>
        </is>
      </c>
      <c r="B307" t="inlineStr">
        <is>
          <t>TRAVEL BAG 40L</t>
        </is>
      </c>
      <c r="C307" t="inlineStr">
        <is>
          <t>Equipamiento / Bolsos</t>
        </is>
      </c>
      <c r="D307" t="n">
        <v>3279.15370038</v>
      </c>
      <c r="E307" t="n">
        <v>0.0008028436311059405</v>
      </c>
      <c r="F307" t="n">
        <v>0.5892074755102356</v>
      </c>
      <c r="G307" t="inlineStr">
        <is>
          <t>A</t>
        </is>
      </c>
      <c r="H307" t="n">
        <v>248</v>
      </c>
      <c r="I307" t="n">
        <v>18.38</v>
      </c>
      <c r="J307" t="n">
        <v>4558.24</v>
      </c>
      <c r="K307" t="n">
        <v>5.4</v>
      </c>
      <c r="L307" t="n">
        <v>45.92592592592592</v>
      </c>
      <c r="M307" t="n">
        <v>2</v>
      </c>
      <c r="N307" t="n">
        <v>10.8</v>
      </c>
      <c r="O307" t="n">
        <v>237.2</v>
      </c>
      <c r="P307" t="n">
        <v>4359.736</v>
      </c>
      <c r="Q307" t="n">
        <v>0.9564516129032258</v>
      </c>
      <c r="R307" t="inlineStr">
        <is>
          <t>Sobrestock crítico</t>
        </is>
      </c>
    </row>
    <row r="308">
      <c r="A308" t="inlineStr">
        <is>
          <t>KID23EQ</t>
        </is>
      </c>
      <c r="B308" t="inlineStr">
        <is>
          <t>KID HAT</t>
        </is>
      </c>
      <c r="C308" t="inlineStr">
        <is>
          <t>Equipamiento / Sombreros</t>
        </is>
      </c>
      <c r="D308" t="n">
        <v>3277.17611718</v>
      </c>
      <c r="E308" t="n">
        <v>0.0008023594543267557</v>
      </c>
      <c r="F308" t="n">
        <v>0.5900098349645624</v>
      </c>
      <c r="G308" t="inlineStr">
        <is>
          <t>A</t>
        </is>
      </c>
      <c r="H308" t="n">
        <v>454</v>
      </c>
      <c r="I308" t="n">
        <v>3.86</v>
      </c>
      <c r="J308" t="n">
        <v>1752.44</v>
      </c>
      <c r="K308" t="n">
        <v>14.2</v>
      </c>
      <c r="L308" t="n">
        <v>31.9718309859155</v>
      </c>
      <c r="M308" t="n">
        <v>2</v>
      </c>
      <c r="N308" t="n">
        <v>28.4</v>
      </c>
      <c r="O308" t="n">
        <v>425.6</v>
      </c>
      <c r="P308" t="n">
        <v>1642.816</v>
      </c>
      <c r="Q308" t="n">
        <v>0.9374449339207048</v>
      </c>
      <c r="R308" t="inlineStr">
        <is>
          <t>Sobrestock crítico</t>
        </is>
      </c>
    </row>
    <row r="309">
      <c r="A309" t="inlineStr">
        <is>
          <t>BAOCCCA43TM</t>
        </is>
      </c>
      <c r="B309" t="inlineStr">
        <is>
          <t>BASIC LINE OVERSIZED CAB</t>
        </is>
      </c>
      <c r="C309" t="inlineStr">
        <is>
          <t>Manufactura / Caballero / P. Superiores</t>
        </is>
      </c>
      <c r="D309" t="n">
        <v>3275.13587413</v>
      </c>
      <c r="E309" t="n">
        <v>0.000801859936375398</v>
      </c>
      <c r="F309" t="n">
        <v>0.5908116949009378</v>
      </c>
      <c r="G309" t="inlineStr">
        <is>
          <t>A</t>
        </is>
      </c>
      <c r="H309" t="n">
        <v>22</v>
      </c>
      <c r="I309" t="n">
        <v>9.336740741</v>
      </c>
      <c r="J309" t="n">
        <v>205.408296302</v>
      </c>
      <c r="K309" t="n">
        <v>5.9</v>
      </c>
      <c r="L309" t="n">
        <v>3.728813559322034</v>
      </c>
      <c r="M309" t="n">
        <v>2</v>
      </c>
      <c r="N309" t="n">
        <v>11.8</v>
      </c>
      <c r="O309" t="n">
        <v>10.2</v>
      </c>
      <c r="P309" t="n">
        <v>95.23475555819999</v>
      </c>
      <c r="Q309" t="n">
        <v>0.4636363636363636</v>
      </c>
      <c r="R309" t="inlineStr">
        <is>
          <t>Sobrestock crítico</t>
        </is>
      </c>
    </row>
    <row r="310">
      <c r="A310" t="inlineStr">
        <is>
          <t>PONC12EQ</t>
        </is>
      </c>
      <c r="B310" t="inlineStr">
        <is>
          <t>PONCHO KIDS</t>
        </is>
      </c>
      <c r="C310" t="inlineStr">
        <is>
          <t>Equipamiento / Ponchos</t>
        </is>
      </c>
      <c r="D310" t="n">
        <v>3271.21463374</v>
      </c>
      <c r="E310" t="n">
        <v>0.0008008998890092797</v>
      </c>
      <c r="F310" t="n">
        <v>0.591612594789947</v>
      </c>
      <c r="G310" t="inlineStr">
        <is>
          <t>A</t>
        </is>
      </c>
      <c r="H310" t="n">
        <v>79</v>
      </c>
      <c r="I310" t="n">
        <v>7.990000000000001</v>
      </c>
      <c r="J310" t="n">
        <v>631.21</v>
      </c>
      <c r="K310" t="n">
        <v>8.300000000000001</v>
      </c>
      <c r="L310" t="n">
        <v>9.518072289156626</v>
      </c>
      <c r="M310" t="n">
        <v>2</v>
      </c>
      <c r="N310" t="n">
        <v>16.6</v>
      </c>
      <c r="O310" t="n">
        <v>62.4</v>
      </c>
      <c r="P310" t="n">
        <v>498.5760000000001</v>
      </c>
      <c r="Q310" t="n">
        <v>0.7898734177215191</v>
      </c>
      <c r="R310" t="inlineStr">
        <is>
          <t>Sobrestock crítico</t>
        </is>
      </c>
    </row>
    <row r="311">
      <c r="A311" t="inlineStr">
        <is>
          <t>BAPCCDA43TM</t>
        </is>
      </c>
      <c r="B311" t="inlineStr">
        <is>
          <t>BASIC LINE PANT DAMA</t>
        </is>
      </c>
      <c r="C311" t="inlineStr">
        <is>
          <t>Manufactura / Dama / P. Inferiores</t>
        </is>
      </c>
      <c r="D311" t="n">
        <v>3264.05155855</v>
      </c>
      <c r="E311" t="n">
        <v>0.0007991461348943817</v>
      </c>
      <c r="F311" t="n">
        <v>0.5924117409248415</v>
      </c>
      <c r="G311" t="inlineStr">
        <is>
          <t>A</t>
        </is>
      </c>
      <c r="H311" t="n">
        <v>29</v>
      </c>
      <c r="I311" t="n">
        <v>11.2</v>
      </c>
      <c r="J311" t="n">
        <v>324.8</v>
      </c>
      <c r="K311" t="n">
        <v>5.7</v>
      </c>
      <c r="L311" t="n">
        <v>5.087719298245614</v>
      </c>
      <c r="M311" t="n">
        <v>2</v>
      </c>
      <c r="N311" t="n">
        <v>11.4</v>
      </c>
      <c r="O311" t="n">
        <v>17.6</v>
      </c>
      <c r="P311" t="n">
        <v>197.12</v>
      </c>
      <c r="Q311" t="n">
        <v>0.606896551724138</v>
      </c>
      <c r="R311" t="inlineStr">
        <is>
          <t>Sobrestock crítico</t>
        </is>
      </c>
    </row>
    <row r="312">
      <c r="A312" t="inlineStr">
        <is>
          <t>CRECA43TU</t>
        </is>
      </c>
      <c r="B312" t="inlineStr">
        <is>
          <t>CREW SOCKS CAB</t>
        </is>
      </c>
      <c r="C312" t="inlineStr">
        <is>
          <t>Equipamiento / Accesorios</t>
        </is>
      </c>
      <c r="D312" t="n">
        <v>3250.487256430679</v>
      </c>
      <c r="E312" t="n">
        <v>0.0007958251519329452</v>
      </c>
      <c r="F312" t="n">
        <v>0.5932075660767744</v>
      </c>
      <c r="G312" t="inlineStr">
        <is>
          <t>A</t>
        </is>
      </c>
      <c r="H312" t="n">
        <v>798</v>
      </c>
      <c r="I312" t="n">
        <v>2.83</v>
      </c>
      <c r="J312" t="n">
        <v>2258.34</v>
      </c>
      <c r="K312" t="n">
        <v>19.6</v>
      </c>
      <c r="L312" t="n">
        <v>40.71428571428571</v>
      </c>
      <c r="M312" t="n">
        <v>2</v>
      </c>
      <c r="N312" t="n">
        <v>39.2</v>
      </c>
      <c r="O312" t="n">
        <v>758.8</v>
      </c>
      <c r="P312" t="n">
        <v>2147.404</v>
      </c>
      <c r="Q312" t="n">
        <v>0.9508771929824561</v>
      </c>
      <c r="R312" t="inlineStr">
        <is>
          <t>Sobrestock crítico</t>
        </is>
      </c>
    </row>
    <row r="313">
      <c r="A313" t="inlineStr">
        <is>
          <t>PANNTCA12TXL</t>
        </is>
      </c>
      <c r="B313" t="inlineStr">
        <is>
          <t>EXPLORE PANTS CAB</t>
        </is>
      </c>
      <c r="C313" t="inlineStr">
        <is>
          <t>Manufactura / Caballero / P. Inferiores</t>
        </is>
      </c>
      <c r="D313" t="n">
        <v>3239.28249459</v>
      </c>
      <c r="E313" t="n">
        <v>0.0007930818612842617</v>
      </c>
      <c r="F313" t="n">
        <v>0.5940006479380587</v>
      </c>
      <c r="G313" t="inlineStr">
        <is>
          <t>A</t>
        </is>
      </c>
      <c r="H313" t="n">
        <v>9</v>
      </c>
      <c r="I313" t="n">
        <v>15.68994502</v>
      </c>
      <c r="J313" t="n">
        <v>141.20950518</v>
      </c>
      <c r="K313" t="n">
        <v>4.6</v>
      </c>
      <c r="L313" t="n">
        <v>1.956521739130435</v>
      </c>
      <c r="M313" t="n">
        <v>2</v>
      </c>
      <c r="N313" t="n">
        <v>9.199999999999999</v>
      </c>
      <c r="O313" t="n">
        <v>0</v>
      </c>
      <c r="P313" t="n">
        <v>0</v>
      </c>
      <c r="Q313" t="n">
        <v>0</v>
      </c>
      <c r="R313" t="inlineStr">
        <is>
          <t>OK</t>
        </is>
      </c>
    </row>
    <row r="314">
      <c r="A314" t="inlineStr">
        <is>
          <t>DRY3010L</t>
        </is>
      </c>
      <c r="B314" t="inlineStr">
        <is>
          <t>DRY BAG 10L</t>
        </is>
      </c>
      <c r="C314" t="inlineStr">
        <is>
          <t>Equipamiento / Bolsos</t>
        </is>
      </c>
      <c r="D314" t="n">
        <v>3234.25832549</v>
      </c>
      <c r="E314" t="n">
        <v>0.0007918517810464653</v>
      </c>
      <c r="F314" t="n">
        <v>0.5947924997191051</v>
      </c>
      <c r="G314" t="inlineStr">
        <is>
          <t>A</t>
        </is>
      </c>
      <c r="H314" t="n">
        <v>156</v>
      </c>
      <c r="I314" t="n">
        <v>5.22</v>
      </c>
      <c r="J314" t="n">
        <v>814.3199999999999</v>
      </c>
      <c r="K314" t="n">
        <v>9.1</v>
      </c>
      <c r="L314" t="n">
        <v>17.14285714285714</v>
      </c>
      <c r="M314" t="n">
        <v>2</v>
      </c>
      <c r="N314" t="n">
        <v>18.2</v>
      </c>
      <c r="O314" t="n">
        <v>137.8</v>
      </c>
      <c r="P314" t="n">
        <v>719.316</v>
      </c>
      <c r="Q314" t="n">
        <v>0.8833333333333334</v>
      </c>
      <c r="R314" t="inlineStr">
        <is>
          <t>Sobrestock crítico</t>
        </is>
      </c>
    </row>
    <row r="315">
      <c r="A315" t="inlineStr">
        <is>
          <t>JACKI47T12</t>
        </is>
      </c>
      <c r="B315" t="inlineStr">
        <is>
          <t>JACKET KIDS</t>
        </is>
      </c>
      <c r="C315" t="inlineStr">
        <is>
          <t>Manufactura / Kids / P. Superiores</t>
        </is>
      </c>
      <c r="D315" t="n">
        <v>3227.117201701195</v>
      </c>
      <c r="E315" t="n">
        <v>0.0007901034013495585</v>
      </c>
      <c r="F315" t="n">
        <v>0.5955826031204546</v>
      </c>
      <c r="G315" t="inlineStr">
        <is>
          <t>A</t>
        </is>
      </c>
      <c r="H315" t="n">
        <v>52</v>
      </c>
      <c r="I315" t="n">
        <v>15.17</v>
      </c>
      <c r="J315" t="n">
        <v>788.84</v>
      </c>
      <c r="K315" t="n">
        <v>5.6</v>
      </c>
      <c r="L315" t="n">
        <v>9.285714285714286</v>
      </c>
      <c r="M315" t="n">
        <v>2</v>
      </c>
      <c r="N315" t="n">
        <v>11.2</v>
      </c>
      <c r="O315" t="n">
        <v>40.8</v>
      </c>
      <c r="P315" t="n">
        <v>618.9359999999999</v>
      </c>
      <c r="Q315" t="n">
        <v>0.7846153846153845</v>
      </c>
      <c r="R315" t="inlineStr">
        <is>
          <t>Sobrestock crítico</t>
        </is>
      </c>
    </row>
    <row r="316">
      <c r="A316" t="inlineStr">
        <is>
          <t>PANNTDA33TXL</t>
        </is>
      </c>
      <c r="B316" t="inlineStr">
        <is>
          <t>EXPLORE PANTS DAMA</t>
        </is>
      </c>
      <c r="C316" t="inlineStr">
        <is>
          <t>Manufactura / Dama / P. Inferiores</t>
        </is>
      </c>
      <c r="D316" t="n">
        <v>3210.12107958</v>
      </c>
      <c r="E316" t="n">
        <v>0.0007859421970739192</v>
      </c>
      <c r="F316" t="n">
        <v>0.5963685453175286</v>
      </c>
      <c r="G316" t="inlineStr">
        <is>
          <t>A</t>
        </is>
      </c>
      <c r="H316" t="n">
        <v>47</v>
      </c>
      <c r="I316" t="n">
        <v>15.3928899</v>
      </c>
      <c r="J316" t="n">
        <v>723.4658253</v>
      </c>
      <c r="K316" t="n">
        <v>4.7</v>
      </c>
      <c r="L316" t="n">
        <v>10</v>
      </c>
      <c r="M316" t="n">
        <v>2</v>
      </c>
      <c r="N316" t="n">
        <v>9.4</v>
      </c>
      <c r="O316" t="n">
        <v>37.6</v>
      </c>
      <c r="P316" t="n">
        <v>578.7726602400001</v>
      </c>
      <c r="Q316" t="n">
        <v>0.8</v>
      </c>
      <c r="R316" t="inlineStr">
        <is>
          <t>Sobrestock crítico</t>
        </is>
      </c>
    </row>
    <row r="317">
      <c r="A317" t="inlineStr">
        <is>
          <t>JACDA66TXS</t>
        </is>
      </c>
      <c r="B317" t="inlineStr">
        <is>
          <t>JACKET DAMA</t>
        </is>
      </c>
      <c r="C317" t="inlineStr">
        <is>
          <t>Equipamiento / Ropa</t>
        </is>
      </c>
      <c r="D317" t="n">
        <v>3200.75081637</v>
      </c>
      <c r="E317" t="n">
        <v>0.000783648051441446</v>
      </c>
      <c r="F317" t="n">
        <v>0.59715219336897</v>
      </c>
      <c r="G317" t="inlineStr">
        <is>
          <t>A</t>
        </is>
      </c>
      <c r="H317" t="n">
        <v>11</v>
      </c>
      <c r="I317" t="n">
        <v>20.25</v>
      </c>
      <c r="J317" t="n">
        <v>222.75</v>
      </c>
      <c r="K317" t="n">
        <v>4.8</v>
      </c>
      <c r="L317" t="n">
        <v>2.291666666666667</v>
      </c>
      <c r="M317" t="n">
        <v>2</v>
      </c>
      <c r="N317" t="n">
        <v>9.6</v>
      </c>
      <c r="O317" t="n">
        <v>1.4</v>
      </c>
      <c r="P317" t="n">
        <v>28.35000000000001</v>
      </c>
      <c r="Q317" t="n">
        <v>0.1272727272727273</v>
      </c>
      <c r="R317" t="inlineStr">
        <is>
          <t>Sobrestock</t>
        </is>
      </c>
    </row>
    <row r="318">
      <c r="A318" t="inlineStr">
        <is>
          <t>CLAMICA16TM</t>
        </is>
      </c>
      <c r="B318" t="inlineStr">
        <is>
          <t>CLASICA ORIGINAL CAB</t>
        </is>
      </c>
      <c r="C318" t="inlineStr">
        <is>
          <t>Manufactura / Caballero / P. Superiores</t>
        </is>
      </c>
      <c r="D318" t="n">
        <v>3199.98752417</v>
      </c>
      <c r="E318" t="n">
        <v>0.0007834611726497102</v>
      </c>
      <c r="F318" t="n">
        <v>0.5979356545416197</v>
      </c>
      <c r="G318" t="inlineStr">
        <is>
          <t>A</t>
        </is>
      </c>
      <c r="H318" t="n">
        <v>49</v>
      </c>
      <c r="I318" t="n">
        <v>4.598442536</v>
      </c>
      <c r="J318" t="n">
        <v>225.323684264</v>
      </c>
      <c r="K318" t="n">
        <v>14.5</v>
      </c>
      <c r="L318" t="n">
        <v>3.379310344827586</v>
      </c>
      <c r="M318" t="n">
        <v>2</v>
      </c>
      <c r="N318" t="n">
        <v>29</v>
      </c>
      <c r="O318" t="n">
        <v>20</v>
      </c>
      <c r="P318" t="n">
        <v>91.96885072000001</v>
      </c>
      <c r="Q318" t="n">
        <v>0.4081632653061225</v>
      </c>
      <c r="R318" t="inlineStr">
        <is>
          <t>Sobrestock crítico</t>
        </is>
      </c>
    </row>
    <row r="319">
      <c r="A319" t="inlineStr">
        <is>
          <t>MARMIDA11TL</t>
        </is>
      </c>
      <c r="B319" t="inlineStr">
        <is>
          <t>MAR ORIGINAL DAMA</t>
        </is>
      </c>
      <c r="C319" t="inlineStr">
        <is>
          <t>Manufactura / Dama / P. Superiores</t>
        </is>
      </c>
      <c r="D319" t="n">
        <v>3180.95384247</v>
      </c>
      <c r="E319" t="n">
        <v>0.0007788011074238649</v>
      </c>
      <c r="F319" t="n">
        <v>0.5987144556490437</v>
      </c>
      <c r="G319" t="inlineStr">
        <is>
          <t>A</t>
        </is>
      </c>
      <c r="H319" t="n">
        <v>73</v>
      </c>
      <c r="I319" t="n">
        <v>4.278324149</v>
      </c>
      <c r="J319" t="n">
        <v>312.317662877</v>
      </c>
      <c r="K319" t="n">
        <v>6.3</v>
      </c>
      <c r="L319" t="n">
        <v>11.58730158730159</v>
      </c>
      <c r="M319" t="n">
        <v>2</v>
      </c>
      <c r="N319" t="n">
        <v>12.6</v>
      </c>
      <c r="O319" t="n">
        <v>60.4</v>
      </c>
      <c r="P319" t="n">
        <v>258.4107785996</v>
      </c>
      <c r="Q319" t="n">
        <v>0.8273972602739725</v>
      </c>
      <c r="R319" t="inlineStr">
        <is>
          <t>Sobrestock crítico</t>
        </is>
      </c>
    </row>
    <row r="320">
      <c r="A320" t="inlineStr">
        <is>
          <t>PANNTDA66TL</t>
        </is>
      </c>
      <c r="B320" t="inlineStr">
        <is>
          <t>EXPLORE PANTS DAMA</t>
        </is>
      </c>
      <c r="C320" t="inlineStr">
        <is>
          <t>Manufactura / Dama / P. Inferiores</t>
        </is>
      </c>
      <c r="D320" t="n">
        <v>3175.59993934</v>
      </c>
      <c r="E320" t="n">
        <v>0.0007774902975557637</v>
      </c>
      <c r="F320" t="n">
        <v>0.5994919459465994</v>
      </c>
      <c r="G320" t="inlineStr">
        <is>
          <t>A</t>
        </is>
      </c>
      <c r="H320" t="n">
        <v>51</v>
      </c>
      <c r="I320" t="n">
        <v>15.3928899</v>
      </c>
      <c r="J320" t="n">
        <v>785.0373849</v>
      </c>
      <c r="K320" t="n">
        <v>4.7</v>
      </c>
      <c r="L320" t="n">
        <v>10.85106382978723</v>
      </c>
      <c r="M320" t="n">
        <v>2</v>
      </c>
      <c r="N320" t="n">
        <v>9.4</v>
      </c>
      <c r="O320" t="n">
        <v>41.6</v>
      </c>
      <c r="P320" t="n">
        <v>640.3442198400001</v>
      </c>
      <c r="Q320" t="n">
        <v>0.815686274509804</v>
      </c>
      <c r="R320" t="inlineStr">
        <is>
          <t>Sobrestock crítico</t>
        </is>
      </c>
    </row>
    <row r="321">
      <c r="A321" t="inlineStr">
        <is>
          <t>MARMIDA50TM</t>
        </is>
      </c>
      <c r="B321" t="inlineStr">
        <is>
          <t>MAR ORIGINAL DAMA</t>
        </is>
      </c>
      <c r="C321" t="inlineStr">
        <is>
          <t>Manufactura / Dama / P. Superiores</t>
        </is>
      </c>
      <c r="D321" t="n">
        <v>3168.70200339</v>
      </c>
      <c r="E321" t="n">
        <v>0.0007758014581626629</v>
      </c>
      <c r="F321" t="n">
        <v>0.6002677474047621</v>
      </c>
      <c r="G321" t="inlineStr">
        <is>
          <t>A</t>
        </is>
      </c>
      <c r="H321" t="n">
        <v>34</v>
      </c>
      <c r="I321" t="n">
        <v>4.278324149</v>
      </c>
      <c r="J321" t="n">
        <v>145.463021066</v>
      </c>
      <c r="K321" t="n">
        <v>7.2</v>
      </c>
      <c r="L321" t="n">
        <v>4.722222222222222</v>
      </c>
      <c r="M321" t="n">
        <v>2</v>
      </c>
      <c r="N321" t="n">
        <v>14.4</v>
      </c>
      <c r="O321" t="n">
        <v>19.6</v>
      </c>
      <c r="P321" t="n">
        <v>83.85515332040001</v>
      </c>
      <c r="Q321" t="n">
        <v>0.5764705882352941</v>
      </c>
      <c r="R321" t="inlineStr">
        <is>
          <t>Sobrestock crítico</t>
        </is>
      </c>
    </row>
    <row r="322">
      <c r="A322" t="inlineStr">
        <is>
          <t>PANNTCA31TL</t>
        </is>
      </c>
      <c r="B322" t="inlineStr">
        <is>
          <t>EXPLORE PANTS CAB</t>
        </is>
      </c>
      <c r="C322" t="inlineStr">
        <is>
          <t>Manufactura / Caballero / P. Inferiores</t>
        </is>
      </c>
      <c r="D322" t="n">
        <v>3167.39216596</v>
      </c>
      <c r="E322" t="n">
        <v>0.0007754807672971088</v>
      </c>
      <c r="F322" t="n">
        <v>0.6010432281720591</v>
      </c>
      <c r="G322" t="inlineStr">
        <is>
          <t>A</t>
        </is>
      </c>
      <c r="H322" t="n">
        <v>0</v>
      </c>
      <c r="I322" t="n">
        <v>15.68994502</v>
      </c>
      <c r="J322" t="n">
        <v>0</v>
      </c>
      <c r="K322" t="n">
        <v>5</v>
      </c>
      <c r="L322" t="n">
        <v>0</v>
      </c>
      <c r="M322" t="n">
        <v>2</v>
      </c>
      <c r="N322" t="n">
        <v>10</v>
      </c>
      <c r="O322" t="n">
        <v>0</v>
      </c>
      <c r="P322" t="n">
        <v>0</v>
      </c>
      <c r="Q322" t="n">
        <v>0</v>
      </c>
      <c r="R322" t="inlineStr">
        <is>
          <t>Riesgo bajo stock</t>
        </is>
      </c>
    </row>
    <row r="323">
      <c r="A323" t="inlineStr">
        <is>
          <t>JACCA14TM</t>
        </is>
      </c>
      <c r="B323" t="inlineStr">
        <is>
          <t>JACKET CAB</t>
        </is>
      </c>
      <c r="C323" t="inlineStr">
        <is>
          <t>Equipamiento / Ropa</t>
        </is>
      </c>
      <c r="D323" t="n">
        <v>3143.4312493</v>
      </c>
      <c r="E323" t="n">
        <v>0.0007696143544681792</v>
      </c>
      <c r="F323" t="n">
        <v>0.6018128425265273</v>
      </c>
      <c r="G323" t="inlineStr">
        <is>
          <t>A</t>
        </is>
      </c>
      <c r="H323" t="n">
        <v>136</v>
      </c>
      <c r="I323" t="n">
        <v>20.25001933</v>
      </c>
      <c r="J323" t="n">
        <v>2754.00262888</v>
      </c>
      <c r="K323" t="n">
        <v>4.7</v>
      </c>
      <c r="L323" t="n">
        <v>28.93617021276595</v>
      </c>
      <c r="M323" t="n">
        <v>2</v>
      </c>
      <c r="N323" t="n">
        <v>9.4</v>
      </c>
      <c r="O323" t="n">
        <v>126.6</v>
      </c>
      <c r="P323" t="n">
        <v>2563.652447178</v>
      </c>
      <c r="Q323" t="n">
        <v>0.9308823529411764</v>
      </c>
      <c r="R323" t="inlineStr">
        <is>
          <t>Sobrestock crítico</t>
        </is>
      </c>
    </row>
    <row r="324">
      <c r="A324" t="inlineStr">
        <is>
          <t>JAPDA01TXS</t>
        </is>
      </c>
      <c r="B324" t="inlineStr">
        <is>
          <t>CUADRO JACKET 2.0 DAMA</t>
        </is>
      </c>
      <c r="C324" t="inlineStr">
        <is>
          <t>Equipamiento / Ropa</t>
        </is>
      </c>
      <c r="D324" t="n">
        <v>3140.69442773</v>
      </c>
      <c r="E324" t="n">
        <v>0.0007689442914068799</v>
      </c>
      <c r="F324" t="n">
        <v>0.6025817868179342</v>
      </c>
      <c r="G324" t="inlineStr">
        <is>
          <t>A</t>
        </is>
      </c>
      <c r="H324" t="n">
        <v>195</v>
      </c>
      <c r="I324" t="n">
        <v>20.25</v>
      </c>
      <c r="J324" t="n">
        <v>3948.75</v>
      </c>
      <c r="K324" t="n">
        <v>4.2</v>
      </c>
      <c r="L324" t="n">
        <v>46.42857142857142</v>
      </c>
      <c r="M324" t="n">
        <v>2</v>
      </c>
      <c r="N324" t="n">
        <v>8.4</v>
      </c>
      <c r="O324" t="n">
        <v>186.6</v>
      </c>
      <c r="P324" t="n">
        <v>3778.65</v>
      </c>
      <c r="Q324" t="n">
        <v>0.956923076923077</v>
      </c>
      <c r="R324" t="inlineStr">
        <is>
          <t>Sobrestock crítico</t>
        </is>
      </c>
    </row>
    <row r="325">
      <c r="A325" t="inlineStr">
        <is>
          <t>PANNTCA33TS</t>
        </is>
      </c>
      <c r="B325" t="inlineStr">
        <is>
          <t>EXPLORE PANTS CAB</t>
        </is>
      </c>
      <c r="C325" t="inlineStr">
        <is>
          <t>Manufactura / Caballero / P. Inferiores</t>
        </is>
      </c>
      <c r="D325" t="n">
        <v>3138.43398092</v>
      </c>
      <c r="E325" t="n">
        <v>0.0007683908604028218</v>
      </c>
      <c r="F325" t="n">
        <v>0.603350177678337</v>
      </c>
      <c r="G325" t="inlineStr">
        <is>
          <t>A</t>
        </is>
      </c>
      <c r="H325" t="n">
        <v>41</v>
      </c>
      <c r="I325" t="n">
        <v>15.68994502</v>
      </c>
      <c r="J325" t="n">
        <v>643.2877458199999</v>
      </c>
      <c r="K325" t="n">
        <v>5.3</v>
      </c>
      <c r="L325" t="n">
        <v>7.735849056603774</v>
      </c>
      <c r="M325" t="n">
        <v>2</v>
      </c>
      <c r="N325" t="n">
        <v>10.6</v>
      </c>
      <c r="O325" t="n">
        <v>30.4</v>
      </c>
      <c r="P325" t="n">
        <v>476.974328608</v>
      </c>
      <c r="Q325" t="n">
        <v>0.7414634146341463</v>
      </c>
      <c r="R325" t="inlineStr">
        <is>
          <t>Sobrestock crítico</t>
        </is>
      </c>
    </row>
    <row r="326">
      <c r="A326" t="inlineStr">
        <is>
          <t>PANNTDA66TM</t>
        </is>
      </c>
      <c r="B326" t="inlineStr">
        <is>
          <t>EXPLORE PANTS DAMA</t>
        </is>
      </c>
      <c r="C326" t="inlineStr">
        <is>
          <t>Manufactura / Dama / P. Inferiores</t>
        </is>
      </c>
      <c r="D326" t="n">
        <v>3136.01777247</v>
      </c>
      <c r="E326" t="n">
        <v>0.0007677992938759823</v>
      </c>
      <c r="F326" t="n">
        <v>0.604117976972213</v>
      </c>
      <c r="G326" t="inlineStr">
        <is>
          <t>A</t>
        </is>
      </c>
      <c r="H326" t="n">
        <v>45</v>
      </c>
      <c r="I326" t="n">
        <v>15.3928899</v>
      </c>
      <c r="J326" t="n">
        <v>692.6800455</v>
      </c>
      <c r="K326" t="n">
        <v>5.1</v>
      </c>
      <c r="L326" t="n">
        <v>8.823529411764707</v>
      </c>
      <c r="M326" t="n">
        <v>2</v>
      </c>
      <c r="N326" t="n">
        <v>10.2</v>
      </c>
      <c r="O326" t="n">
        <v>34.8</v>
      </c>
      <c r="P326" t="n">
        <v>535.6725685199999</v>
      </c>
      <c r="Q326" t="n">
        <v>0.7733333333333332</v>
      </c>
      <c r="R326" t="inlineStr">
        <is>
          <t>Sobrestock crítico</t>
        </is>
      </c>
    </row>
    <row r="327">
      <c r="A327" t="inlineStr">
        <is>
          <t>MARMIDA13TM</t>
        </is>
      </c>
      <c r="B327" t="inlineStr">
        <is>
          <t>MAR ORIGINAL DAMA</t>
        </is>
      </c>
      <c r="C327" t="inlineStr">
        <is>
          <t>Manufactura / Dama / P. Superiores</t>
        </is>
      </c>
      <c r="D327" t="n">
        <v>3133.92884004</v>
      </c>
      <c r="E327" t="n">
        <v>0.0007672878551785397</v>
      </c>
      <c r="F327" t="n">
        <v>0.6048852648273916</v>
      </c>
      <c r="G327" t="inlineStr">
        <is>
          <t>A</t>
        </is>
      </c>
      <c r="H327" t="n">
        <v>11</v>
      </c>
      <c r="I327" t="n">
        <v>4.278324149</v>
      </c>
      <c r="J327" t="n">
        <v>47.061565639</v>
      </c>
      <c r="K327" t="n">
        <v>7.9</v>
      </c>
      <c r="L327" t="n">
        <v>1.392405063291139</v>
      </c>
      <c r="M327" t="n">
        <v>2</v>
      </c>
      <c r="N327" t="n">
        <v>15.8</v>
      </c>
      <c r="O327" t="n">
        <v>0</v>
      </c>
      <c r="P327" t="n">
        <v>0</v>
      </c>
      <c r="Q327" t="n">
        <v>0</v>
      </c>
      <c r="R327" t="inlineStr">
        <is>
          <t>OK</t>
        </is>
      </c>
    </row>
    <row r="328">
      <c r="A328" t="inlineStr">
        <is>
          <t>JACCA33TS</t>
        </is>
      </c>
      <c r="B328" t="inlineStr">
        <is>
          <t>JACKET CAB</t>
        </is>
      </c>
      <c r="C328" t="inlineStr">
        <is>
          <t>Equipamiento / Ropa</t>
        </is>
      </c>
      <c r="D328" t="n">
        <v>3129.27480111</v>
      </c>
      <c r="E328" t="n">
        <v>0.0007661483948618621</v>
      </c>
      <c r="F328" t="n">
        <v>0.6056514132222535</v>
      </c>
      <c r="G328" t="inlineStr">
        <is>
          <t>A</t>
        </is>
      </c>
      <c r="H328" t="n">
        <v>18</v>
      </c>
      <c r="I328" t="n">
        <v>20.25001933</v>
      </c>
      <c r="J328" t="n">
        <v>364.50034794</v>
      </c>
      <c r="K328" t="n">
        <v>4.7</v>
      </c>
      <c r="L328" t="n">
        <v>3.829787234042553</v>
      </c>
      <c r="M328" t="n">
        <v>2</v>
      </c>
      <c r="N328" t="n">
        <v>9.4</v>
      </c>
      <c r="O328" t="n">
        <v>8.6</v>
      </c>
      <c r="P328" t="n">
        <v>174.150166238</v>
      </c>
      <c r="Q328" t="n">
        <v>0.4777777777777778</v>
      </c>
      <c r="R328" t="inlineStr">
        <is>
          <t>Sobrestock crítico</t>
        </is>
      </c>
    </row>
    <row r="329">
      <c r="A329" t="inlineStr">
        <is>
          <t>BACCCDA38TXS</t>
        </is>
      </c>
      <c r="B329" t="inlineStr">
        <is>
          <t>BASIC LINE CROP TEE DAMA</t>
        </is>
      </c>
      <c r="C329" t="inlineStr">
        <is>
          <t>Manufactura / Dama / P. Superiores</t>
        </is>
      </c>
      <c r="D329" t="n">
        <v>3123.58966903</v>
      </c>
      <c r="E329" t="n">
        <v>0.000764756489358349</v>
      </c>
      <c r="F329" t="n">
        <v>0.6064161697116117</v>
      </c>
      <c r="G329" t="inlineStr">
        <is>
          <t>A</t>
        </is>
      </c>
      <c r="H329" t="n">
        <v>37</v>
      </c>
      <c r="I329" t="n">
        <v>6.196330833</v>
      </c>
      <c r="J329" t="n">
        <v>229.264240821</v>
      </c>
      <c r="K329" t="n">
        <v>6.2</v>
      </c>
      <c r="L329" t="n">
        <v>5.967741935483871</v>
      </c>
      <c r="M329" t="n">
        <v>2</v>
      </c>
      <c r="N329" t="n">
        <v>12.4</v>
      </c>
      <c r="O329" t="n">
        <v>24.6</v>
      </c>
      <c r="P329" t="n">
        <v>152.4297384918</v>
      </c>
      <c r="Q329" t="n">
        <v>0.6648648648648648</v>
      </c>
      <c r="R329" t="inlineStr">
        <is>
          <t>Sobrestock crítico</t>
        </is>
      </c>
    </row>
    <row r="330">
      <c r="A330" t="inlineStr">
        <is>
          <t>RIOMIDA11TS</t>
        </is>
      </c>
      <c r="B330" t="inlineStr">
        <is>
          <t>RIO ORIGINAL DAMA</t>
        </is>
      </c>
      <c r="C330" t="inlineStr">
        <is>
          <t>Manufactura / Dama / P. Superiores</t>
        </is>
      </c>
      <c r="D330" t="n">
        <v>3122.19888432</v>
      </c>
      <c r="E330" t="n">
        <v>0.0007644159799621187</v>
      </c>
      <c r="F330" t="n">
        <v>0.6071805856915738</v>
      </c>
      <c r="G330" t="inlineStr">
        <is>
          <t>A</t>
        </is>
      </c>
      <c r="H330" t="n">
        <v>13</v>
      </c>
      <c r="I330" t="n">
        <v>5.538832275</v>
      </c>
      <c r="J330" t="n">
        <v>72.004819575</v>
      </c>
      <c r="K330" t="n">
        <v>5.8</v>
      </c>
      <c r="L330" t="n">
        <v>2.241379310344828</v>
      </c>
      <c r="M330" t="n">
        <v>2</v>
      </c>
      <c r="N330" t="n">
        <v>11.6</v>
      </c>
      <c r="O330" t="n">
        <v>1.4</v>
      </c>
      <c r="P330" t="n">
        <v>7.754365185000002</v>
      </c>
      <c r="Q330" t="n">
        <v>0.1076923076923077</v>
      </c>
      <c r="R330" t="inlineStr">
        <is>
          <t>Sobrestock</t>
        </is>
      </c>
    </row>
    <row r="331">
      <c r="A331" t="inlineStr">
        <is>
          <t>JACCA66T2XL</t>
        </is>
      </c>
      <c r="B331" t="inlineStr">
        <is>
          <t>JACKET CAB</t>
        </is>
      </c>
      <c r="C331" t="inlineStr">
        <is>
          <t>Equipamiento / Ropa</t>
        </is>
      </c>
      <c r="D331" t="n">
        <v>3105.67454657</v>
      </c>
      <c r="E331" t="n">
        <v>0.0007603702838670276</v>
      </c>
      <c r="F331" t="n">
        <v>0.6079409559754408</v>
      </c>
      <c r="G331" t="inlineStr">
        <is>
          <t>A</t>
        </is>
      </c>
      <c r="H331" t="n">
        <v>3</v>
      </c>
      <c r="I331" t="n">
        <v>20.25001933</v>
      </c>
      <c r="J331" t="n">
        <v>60.75005799000002</v>
      </c>
      <c r="K331" t="n">
        <v>4.8</v>
      </c>
      <c r="L331" t="n">
        <v>0.625</v>
      </c>
      <c r="M331" t="n">
        <v>2</v>
      </c>
      <c r="N331" t="n">
        <v>9.6</v>
      </c>
      <c r="O331" t="n">
        <v>0</v>
      </c>
      <c r="P331" t="n">
        <v>0</v>
      </c>
      <c r="Q331" t="n">
        <v>0</v>
      </c>
      <c r="R331" t="inlineStr">
        <is>
          <t>Riesgo bajo stock</t>
        </is>
      </c>
    </row>
    <row r="332">
      <c r="A332" t="inlineStr">
        <is>
          <t>RIOMIDA16TM</t>
        </is>
      </c>
      <c r="B332" t="inlineStr">
        <is>
          <t>RIO ORIGINAL DAMA</t>
        </is>
      </c>
      <c r="C332" t="inlineStr">
        <is>
          <t>Manufactura / Dama / P. Superiores</t>
        </is>
      </c>
      <c r="D332" t="n">
        <v>3105.35973946</v>
      </c>
      <c r="E332" t="n">
        <v>0.0007602932088329232</v>
      </c>
      <c r="F332" t="n">
        <v>0.6087012491842738</v>
      </c>
      <c r="G332" t="inlineStr">
        <is>
          <t>A</t>
        </is>
      </c>
      <c r="H332" t="n">
        <v>12</v>
      </c>
      <c r="I332" t="n">
        <v>5.538832275</v>
      </c>
      <c r="J332" t="n">
        <v>66.46598729999999</v>
      </c>
      <c r="K332" t="n">
        <v>5.8</v>
      </c>
      <c r="L332" t="n">
        <v>2.068965517241379</v>
      </c>
      <c r="M332" t="n">
        <v>2</v>
      </c>
      <c r="N332" t="n">
        <v>11.6</v>
      </c>
      <c r="O332" t="n">
        <v>0.4000000000000004</v>
      </c>
      <c r="P332" t="n">
        <v>2.215532910000002</v>
      </c>
      <c r="Q332" t="n">
        <v>0.03333333333333337</v>
      </c>
      <c r="R332" t="inlineStr">
        <is>
          <t>Sobrestock</t>
        </is>
      </c>
    </row>
    <row r="333">
      <c r="A333" t="inlineStr">
        <is>
          <t>BAOCCCA158TS</t>
        </is>
      </c>
      <c r="B333" t="inlineStr">
        <is>
          <t>BASIC LINE OVERSIZED CAB</t>
        </is>
      </c>
      <c r="C333" t="inlineStr">
        <is>
          <t>Manufactura / Caballero / P. Superiores</t>
        </is>
      </c>
      <c r="D333" t="n">
        <v>3094.79713083</v>
      </c>
      <c r="E333" t="n">
        <v>0.0007577071382057739</v>
      </c>
      <c r="F333" t="n">
        <v>0.6094589563224796</v>
      </c>
      <c r="G333" t="inlineStr">
        <is>
          <t>A</t>
        </is>
      </c>
      <c r="H333" t="n">
        <v>65</v>
      </c>
      <c r="I333" t="n">
        <v>9.336740741</v>
      </c>
      <c r="J333" t="n">
        <v>606.888148165</v>
      </c>
      <c r="K333" t="n">
        <v>5.7</v>
      </c>
      <c r="L333" t="n">
        <v>11.40350877192982</v>
      </c>
      <c r="M333" t="n">
        <v>2</v>
      </c>
      <c r="N333" t="n">
        <v>11.4</v>
      </c>
      <c r="O333" t="n">
        <v>53.6</v>
      </c>
      <c r="P333" t="n">
        <v>500.4493037176</v>
      </c>
      <c r="Q333" t="n">
        <v>0.8246153846153846</v>
      </c>
      <c r="R333" t="inlineStr">
        <is>
          <t>Sobrestock crítico</t>
        </is>
      </c>
    </row>
    <row r="334">
      <c r="A334" t="inlineStr">
        <is>
          <t>POLPLCA12TM</t>
        </is>
      </c>
      <c r="B334" t="inlineStr">
        <is>
          <t>CLASSIC POLO</t>
        </is>
      </c>
      <c r="C334" t="inlineStr">
        <is>
          <t>Manufactura / Caballero / P. Superiores</t>
        </is>
      </c>
      <c r="D334" t="n">
        <v>3092.616370401597</v>
      </c>
      <c r="E334" t="n">
        <v>0.0007571732170233944</v>
      </c>
      <c r="F334" t="n">
        <v>0.6102161295395029</v>
      </c>
      <c r="G334" t="inlineStr">
        <is>
          <t>A</t>
        </is>
      </c>
      <c r="H334" t="n">
        <v>2</v>
      </c>
      <c r="I334" t="n">
        <v>7.34</v>
      </c>
      <c r="J334" t="n">
        <v>14.68</v>
      </c>
      <c r="K334" t="n">
        <v>7.2</v>
      </c>
      <c r="L334" t="n">
        <v>0.2777777777777778</v>
      </c>
      <c r="M334" t="n">
        <v>2</v>
      </c>
      <c r="N334" t="n">
        <v>14.4</v>
      </c>
      <c r="O334" t="n">
        <v>0</v>
      </c>
      <c r="P334" t="n">
        <v>0</v>
      </c>
      <c r="Q334" t="n">
        <v>0</v>
      </c>
      <c r="R334" t="inlineStr">
        <is>
          <t>Riesgo bajo stock</t>
        </is>
      </c>
    </row>
    <row r="335">
      <c r="A335" t="inlineStr">
        <is>
          <t>CAP12FC</t>
        </is>
      </c>
      <c r="B335" t="inlineStr">
        <is>
          <t>FIT CAP</t>
        </is>
      </c>
      <c r="C335" t="inlineStr">
        <is>
          <t>Equipamiento / Gorras</t>
        </is>
      </c>
      <c r="D335" t="n">
        <v>3089.64368761</v>
      </c>
      <c r="E335" t="n">
        <v>0.0007564454074528167</v>
      </c>
      <c r="F335" t="n">
        <v>0.6109725749469558</v>
      </c>
      <c r="G335" t="inlineStr">
        <is>
          <t>A</t>
        </is>
      </c>
      <c r="H335" t="n">
        <v>688</v>
      </c>
      <c r="I335" t="n">
        <v>4.11</v>
      </c>
      <c r="J335" t="n">
        <v>2827.68</v>
      </c>
      <c r="K335" t="n">
        <v>11.5</v>
      </c>
      <c r="L335" t="n">
        <v>59.82608695652174</v>
      </c>
      <c r="M335" t="n">
        <v>2</v>
      </c>
      <c r="N335" t="n">
        <v>23</v>
      </c>
      <c r="O335" t="n">
        <v>665</v>
      </c>
      <c r="P335" t="n">
        <v>2733.15</v>
      </c>
      <c r="Q335" t="n">
        <v>0.9665697674418604</v>
      </c>
      <c r="R335" t="inlineStr">
        <is>
          <t>Sobrestock crítico</t>
        </is>
      </c>
    </row>
    <row r="336">
      <c r="A336" t="inlineStr">
        <is>
          <t>JAPDA43TXL</t>
        </is>
      </c>
      <c r="B336" t="inlineStr">
        <is>
          <t>CUADRO JACKET 2.0 DAMA</t>
        </is>
      </c>
      <c r="C336" t="inlineStr">
        <is>
          <t>Equipamiento / Ropa</t>
        </is>
      </c>
      <c r="D336" t="n">
        <v>3077.54985581</v>
      </c>
      <c r="E336" t="n">
        <v>0.0007534844435202107</v>
      </c>
      <c r="F336" t="n">
        <v>0.611726059390476</v>
      </c>
      <c r="G336" t="inlineStr">
        <is>
          <t>A</t>
        </is>
      </c>
      <c r="H336" t="n">
        <v>361</v>
      </c>
      <c r="I336" t="n">
        <v>20.25</v>
      </c>
      <c r="J336" t="n">
        <v>7310.25</v>
      </c>
      <c r="K336" t="n">
        <v>3.7</v>
      </c>
      <c r="L336" t="n">
        <v>97.56756756756756</v>
      </c>
      <c r="M336" t="n">
        <v>2</v>
      </c>
      <c r="N336" t="n">
        <v>7.4</v>
      </c>
      <c r="O336" t="n">
        <v>353.6</v>
      </c>
      <c r="P336" t="n">
        <v>7160.400000000001</v>
      </c>
      <c r="Q336" t="n">
        <v>0.9795013850415514</v>
      </c>
      <c r="R336" t="inlineStr">
        <is>
          <t>Sobrestock crítico</t>
        </is>
      </c>
    </row>
    <row r="337">
      <c r="A337" t="inlineStr">
        <is>
          <t>RIOMICA50TL</t>
        </is>
      </c>
      <c r="B337" t="inlineStr">
        <is>
          <t>RIO ORIGINAL CAB</t>
        </is>
      </c>
      <c r="C337" t="inlineStr">
        <is>
          <t>Manufactura / Caballero / P. Superiores</t>
        </is>
      </c>
      <c r="D337" t="n">
        <v>3076.18362743</v>
      </c>
      <c r="E337" t="n">
        <v>0.0007531499463133881</v>
      </c>
      <c r="F337" t="n">
        <v>0.6124792093367893</v>
      </c>
      <c r="G337" t="inlineStr">
        <is>
          <t>A</t>
        </is>
      </c>
      <c r="H337" t="n">
        <v>18</v>
      </c>
      <c r="I337" t="n">
        <v>5.939350288</v>
      </c>
      <c r="J337" t="n">
        <v>106.908305184</v>
      </c>
      <c r="K337" t="n">
        <v>5.6</v>
      </c>
      <c r="L337" t="n">
        <v>3.214285714285714</v>
      </c>
      <c r="M337" t="n">
        <v>2</v>
      </c>
      <c r="N337" t="n">
        <v>11.2</v>
      </c>
      <c r="O337" t="n">
        <v>6.800000000000001</v>
      </c>
      <c r="P337" t="n">
        <v>40.38758195840001</v>
      </c>
      <c r="Q337" t="n">
        <v>0.3777777777777778</v>
      </c>
      <c r="R337" t="inlineStr">
        <is>
          <t>Sobrestock crítico</t>
        </is>
      </c>
    </row>
    <row r="338">
      <c r="A338" t="inlineStr">
        <is>
          <t>RIOMICA11TL</t>
        </is>
      </c>
      <c r="B338" t="inlineStr">
        <is>
          <t>RIO ORIGINAL CAB</t>
        </is>
      </c>
      <c r="C338" t="inlineStr">
        <is>
          <t>Manufactura / Caballero / P. Superiores</t>
        </is>
      </c>
      <c r="D338" t="n">
        <v>3075.38175095</v>
      </c>
      <c r="E338" t="n">
        <v>0.0007529536208331804</v>
      </c>
      <c r="F338" t="n">
        <v>0.6132321629576226</v>
      </c>
      <c r="G338" t="inlineStr">
        <is>
          <t>A</t>
        </is>
      </c>
      <c r="H338" t="n">
        <v>21</v>
      </c>
      <c r="I338" t="n">
        <v>5.939350288</v>
      </c>
      <c r="J338" t="n">
        <v>124.726356048</v>
      </c>
      <c r="K338" t="n">
        <v>5.9</v>
      </c>
      <c r="L338" t="n">
        <v>3.559322033898305</v>
      </c>
      <c r="M338" t="n">
        <v>2</v>
      </c>
      <c r="N338" t="n">
        <v>11.8</v>
      </c>
      <c r="O338" t="n">
        <v>9.199999999999999</v>
      </c>
      <c r="P338" t="n">
        <v>54.64202264959999</v>
      </c>
      <c r="Q338" t="n">
        <v>0.438095238095238</v>
      </c>
      <c r="R338" t="inlineStr">
        <is>
          <t>Sobrestock crítico</t>
        </is>
      </c>
    </row>
    <row r="339">
      <c r="A339" t="inlineStr">
        <is>
          <t>POLPLCA16TM</t>
        </is>
      </c>
      <c r="B339" t="inlineStr">
        <is>
          <t>CLASSIC POLO</t>
        </is>
      </c>
      <c r="C339" t="inlineStr">
        <is>
          <t>Manufactura / Caballero / P. Superiores</t>
        </is>
      </c>
      <c r="D339" t="n">
        <v>3052.89034878</v>
      </c>
      <c r="E339" t="n">
        <v>0.0007474469930149314</v>
      </c>
      <c r="F339" t="n">
        <v>0.6139796099506375</v>
      </c>
      <c r="G339" t="inlineStr">
        <is>
          <t>A</t>
        </is>
      </c>
      <c r="H339" t="n">
        <v>6</v>
      </c>
      <c r="I339" t="n">
        <v>7.339999999999999</v>
      </c>
      <c r="J339" t="n">
        <v>44.03999999999999</v>
      </c>
      <c r="K339" t="n">
        <v>7.3</v>
      </c>
      <c r="L339" t="n">
        <v>0.8219178082191781</v>
      </c>
      <c r="M339" t="n">
        <v>2</v>
      </c>
      <c r="N339" t="n">
        <v>14.6</v>
      </c>
      <c r="O339" t="n">
        <v>0</v>
      </c>
      <c r="P339" t="n">
        <v>0</v>
      </c>
      <c r="Q339" t="n">
        <v>0</v>
      </c>
      <c r="R339" t="inlineStr">
        <is>
          <t>Riesgo bajo stock</t>
        </is>
      </c>
    </row>
    <row r="340">
      <c r="A340" t="inlineStr">
        <is>
          <t>SHONRCA30TXL</t>
        </is>
      </c>
      <c r="B340" t="inlineStr">
        <is>
          <t>SHORT SPORT CAB</t>
        </is>
      </c>
      <c r="C340" t="inlineStr">
        <is>
          <t>Manufactura / Caballero / P. Inferiores</t>
        </is>
      </c>
      <c r="D340" t="n">
        <v>3034.787501046704</v>
      </c>
      <c r="E340" t="n">
        <v>0.0007430148262623108</v>
      </c>
      <c r="F340" t="n">
        <v>0.6147226247768998</v>
      </c>
      <c r="G340" t="inlineStr">
        <is>
          <t>A</t>
        </is>
      </c>
      <c r="H340" t="n">
        <v>23</v>
      </c>
      <c r="I340" t="n">
        <v>10.6514486</v>
      </c>
      <c r="J340" t="n">
        <v>244.9833178</v>
      </c>
      <c r="K340" t="n">
        <v>6.9</v>
      </c>
      <c r="L340" t="n">
        <v>3.333333333333333</v>
      </c>
      <c r="M340" t="n">
        <v>2</v>
      </c>
      <c r="N340" t="n">
        <v>13.8</v>
      </c>
      <c r="O340" t="n">
        <v>9.199999999999999</v>
      </c>
      <c r="P340" t="n">
        <v>97.99332711999999</v>
      </c>
      <c r="Q340" t="n">
        <v>0.4</v>
      </c>
      <c r="R340" t="inlineStr">
        <is>
          <t>Sobrestock crítico</t>
        </is>
      </c>
    </row>
    <row r="341">
      <c r="A341" t="inlineStr">
        <is>
          <t>RIOMICA16TL</t>
        </is>
      </c>
      <c r="B341" t="inlineStr">
        <is>
          <t>RIO ORIGINAL CAB</t>
        </is>
      </c>
      <c r="C341" t="inlineStr">
        <is>
          <t>Manufactura / Caballero / P. Superiores</t>
        </is>
      </c>
      <c r="D341" t="n">
        <v>3029.42548881</v>
      </c>
      <c r="E341" t="n">
        <v>0.0007417020310207668</v>
      </c>
      <c r="F341" t="n">
        <v>0.6154643268079205</v>
      </c>
      <c r="G341" t="inlineStr">
        <is>
          <t>A</t>
        </is>
      </c>
      <c r="H341" t="n">
        <v>29</v>
      </c>
      <c r="I341" t="n">
        <v>5.939350288</v>
      </c>
      <c r="J341" t="n">
        <v>172.241158352</v>
      </c>
      <c r="K341" t="n">
        <v>5.7</v>
      </c>
      <c r="L341" t="n">
        <v>5.087719298245614</v>
      </c>
      <c r="M341" t="n">
        <v>2</v>
      </c>
      <c r="N341" t="n">
        <v>11.4</v>
      </c>
      <c r="O341" t="n">
        <v>17.6</v>
      </c>
      <c r="P341" t="n">
        <v>104.5325650688</v>
      </c>
      <c r="Q341" t="n">
        <v>0.6068965517241379</v>
      </c>
      <c r="R341" t="inlineStr">
        <is>
          <t>Sobrestock crítico</t>
        </is>
      </c>
    </row>
    <row r="342">
      <c r="A342" t="inlineStr">
        <is>
          <t>SHONRCA30TL</t>
        </is>
      </c>
      <c r="B342" t="inlineStr">
        <is>
          <t>SHORT SPORT CAB</t>
        </is>
      </c>
      <c r="C342" t="inlineStr">
        <is>
          <t>Manufactura / Caballero / P. Inferiores</t>
        </is>
      </c>
      <c r="D342" t="n">
        <v>3027.87449688</v>
      </c>
      <c r="E342" t="n">
        <v>0.0007413222976789742</v>
      </c>
      <c r="F342" t="n">
        <v>0.6162056491055995</v>
      </c>
      <c r="G342" t="inlineStr">
        <is>
          <t>A</t>
        </is>
      </c>
      <c r="H342" t="n">
        <v>2</v>
      </c>
      <c r="I342" t="n">
        <v>10.6514486</v>
      </c>
      <c r="J342" t="n">
        <v>21.3028972</v>
      </c>
      <c r="K342" t="n">
        <v>7.9</v>
      </c>
      <c r="L342" t="n">
        <v>0.2531645569620253</v>
      </c>
      <c r="M342" t="n">
        <v>2</v>
      </c>
      <c r="N342" t="n">
        <v>15.8</v>
      </c>
      <c r="O342" t="n">
        <v>0</v>
      </c>
      <c r="P342" t="n">
        <v>0</v>
      </c>
      <c r="Q342" t="n">
        <v>0</v>
      </c>
      <c r="R342" t="inlineStr">
        <is>
          <t>Riesgo bajo stock</t>
        </is>
      </c>
    </row>
    <row r="343">
      <c r="A343" t="inlineStr">
        <is>
          <t>MARMICA70TL</t>
        </is>
      </c>
      <c r="B343" t="inlineStr">
        <is>
          <t>MAR ORIGINAL CAB</t>
        </is>
      </c>
      <c r="C343" t="inlineStr">
        <is>
          <t>Manufactura / Caballero / P. Superiores</t>
        </is>
      </c>
      <c r="D343" t="n">
        <v>3018.75816514</v>
      </c>
      <c r="E343" t="n">
        <v>0.0007390903227411542</v>
      </c>
      <c r="F343" t="n">
        <v>0.6169447394283407</v>
      </c>
      <c r="G343" t="inlineStr">
        <is>
          <t>A</t>
        </is>
      </c>
      <c r="H343" t="n">
        <v>58</v>
      </c>
      <c r="I343" t="n">
        <v>4.946357428</v>
      </c>
      <c r="J343" t="n">
        <v>286.888730824</v>
      </c>
      <c r="K343" t="n">
        <v>6.5</v>
      </c>
      <c r="L343" t="n">
        <v>8.923076923076923</v>
      </c>
      <c r="M343" t="n">
        <v>2</v>
      </c>
      <c r="N343" t="n">
        <v>13</v>
      </c>
      <c r="O343" t="n">
        <v>45</v>
      </c>
      <c r="P343" t="n">
        <v>222.58608426</v>
      </c>
      <c r="Q343" t="n">
        <v>0.7758620689655172</v>
      </c>
      <c r="R343" t="inlineStr">
        <is>
          <t>Sobrestock crítico</t>
        </is>
      </c>
    </row>
    <row r="344">
      <c r="A344" t="inlineStr">
        <is>
          <t>MARMIDA48TXS</t>
        </is>
      </c>
      <c r="B344" t="inlineStr">
        <is>
          <t>MAR ORIGINAL DAMA</t>
        </is>
      </c>
      <c r="C344" t="inlineStr">
        <is>
          <t>Manufactura / Dama / P. Superiores</t>
        </is>
      </c>
      <c r="D344" t="n">
        <v>3017.00729682</v>
      </c>
      <c r="E344" t="n">
        <v>0.0007386616531489193</v>
      </c>
      <c r="F344" t="n">
        <v>0.6176834010814897</v>
      </c>
      <c r="G344" t="inlineStr">
        <is>
          <t>A</t>
        </is>
      </c>
      <c r="H344" t="n">
        <v>21</v>
      </c>
      <c r="I344" t="n">
        <v>4.278324149</v>
      </c>
      <c r="J344" t="n">
        <v>89.844807129</v>
      </c>
      <c r="K344" t="n">
        <v>6.2</v>
      </c>
      <c r="L344" t="n">
        <v>3.387096774193548</v>
      </c>
      <c r="M344" t="n">
        <v>2</v>
      </c>
      <c r="N344" t="n">
        <v>12.4</v>
      </c>
      <c r="O344" t="n">
        <v>8.6</v>
      </c>
      <c r="P344" t="n">
        <v>36.7935876814</v>
      </c>
      <c r="Q344" t="n">
        <v>0.4095238095238095</v>
      </c>
      <c r="R344" t="inlineStr">
        <is>
          <t>Sobrestock crítico</t>
        </is>
      </c>
    </row>
    <row r="345">
      <c r="A345" t="inlineStr">
        <is>
          <t>MARMICA50TL</t>
        </is>
      </c>
      <c r="B345" t="inlineStr">
        <is>
          <t>MAR ORIGINAL CAB</t>
        </is>
      </c>
      <c r="C345" t="inlineStr">
        <is>
          <t>Manufactura / Caballero / P. Superiores</t>
        </is>
      </c>
      <c r="D345" t="n">
        <v>3011.887550143664</v>
      </c>
      <c r="E345" t="n">
        <v>0.0007374081724073805</v>
      </c>
      <c r="F345" t="n">
        <v>0.618420809253897</v>
      </c>
      <c r="G345" t="inlineStr">
        <is>
          <t>A</t>
        </is>
      </c>
      <c r="H345" t="n">
        <v>91</v>
      </c>
      <c r="I345" t="n">
        <v>4.946357428</v>
      </c>
      <c r="J345" t="n">
        <v>450.118525948</v>
      </c>
      <c r="K345" t="n">
        <v>6.5</v>
      </c>
      <c r="L345" t="n">
        <v>14</v>
      </c>
      <c r="M345" t="n">
        <v>2</v>
      </c>
      <c r="N345" t="n">
        <v>13</v>
      </c>
      <c r="O345" t="n">
        <v>78</v>
      </c>
      <c r="P345" t="n">
        <v>385.815879384</v>
      </c>
      <c r="Q345" t="n">
        <v>0.8571428571428572</v>
      </c>
      <c r="R345" t="inlineStr">
        <is>
          <t>Sobrestock crítico</t>
        </is>
      </c>
    </row>
    <row r="346">
      <c r="A346" t="inlineStr">
        <is>
          <t>RIOMIDA16TS</t>
        </is>
      </c>
      <c r="B346" t="inlineStr">
        <is>
          <t>RIO ORIGINAL DAMA</t>
        </is>
      </c>
      <c r="C346" t="inlineStr">
        <is>
          <t>Manufactura / Dama / P. Superiores</t>
        </is>
      </c>
      <c r="D346" t="n">
        <v>3003.89521855</v>
      </c>
      <c r="E346" t="n">
        <v>0.000735451389315171</v>
      </c>
      <c r="F346" t="n">
        <v>0.6191562606432121</v>
      </c>
      <c r="G346" t="inlineStr">
        <is>
          <t>A</t>
        </is>
      </c>
      <c r="H346" t="n">
        <v>25</v>
      </c>
      <c r="I346" t="n">
        <v>5.538832274999999</v>
      </c>
      <c r="J346" t="n">
        <v>138.470806875</v>
      </c>
      <c r="K346" t="n">
        <v>5.6</v>
      </c>
      <c r="L346" t="n">
        <v>4.464285714285714</v>
      </c>
      <c r="M346" t="n">
        <v>2</v>
      </c>
      <c r="N346" t="n">
        <v>11.2</v>
      </c>
      <c r="O346" t="n">
        <v>13.8</v>
      </c>
      <c r="P346" t="n">
        <v>76.43588539499999</v>
      </c>
      <c r="Q346" t="n">
        <v>0.552</v>
      </c>
      <c r="R346" t="inlineStr">
        <is>
          <t>Sobrestock crítico</t>
        </is>
      </c>
    </row>
    <row r="347">
      <c r="A347" t="inlineStr">
        <is>
          <t>MAFMIDA34TL</t>
        </is>
      </c>
      <c r="B347" t="inlineStr">
        <is>
          <t>MAFE ORIGINAL DAMA</t>
        </is>
      </c>
      <c r="C347" t="inlineStr">
        <is>
          <t>Manufactura / Dama / P. Superiores</t>
        </is>
      </c>
      <c r="D347" t="n">
        <v>2981.83046</v>
      </c>
      <c r="E347" t="n">
        <v>0.0007300492177512992</v>
      </c>
      <c r="F347" t="n">
        <v>0.6198863098609635</v>
      </c>
      <c r="G347" t="inlineStr">
        <is>
          <t>A</t>
        </is>
      </c>
      <c r="H347" t="n">
        <v>0</v>
      </c>
      <c r="I347" t="n">
        <v>4.54817671</v>
      </c>
      <c r="J347" t="n">
        <v>0</v>
      </c>
      <c r="K347" t="n">
        <v>20</v>
      </c>
      <c r="L347" t="n">
        <v>0</v>
      </c>
      <c r="M347" t="n">
        <v>2</v>
      </c>
      <c r="N347" t="n">
        <v>40</v>
      </c>
      <c r="O347" t="n">
        <v>0</v>
      </c>
      <c r="P347" t="n">
        <v>0</v>
      </c>
      <c r="Q347" t="n">
        <v>0</v>
      </c>
      <c r="R347" t="inlineStr">
        <is>
          <t>Riesgo bajo stock</t>
        </is>
      </c>
    </row>
    <row r="348">
      <c r="A348" t="inlineStr">
        <is>
          <t>MARMICA50TM</t>
        </is>
      </c>
      <c r="B348" t="inlineStr">
        <is>
          <t>MAR ORIGINAL CAB</t>
        </is>
      </c>
      <c r="C348" t="inlineStr">
        <is>
          <t>Manufactura / Caballero / P. Superiores</t>
        </is>
      </c>
      <c r="D348" t="n">
        <v>2969.644480706643</v>
      </c>
      <c r="E348" t="n">
        <v>0.0007270656931109851</v>
      </c>
      <c r="F348" t="n">
        <v>0.6206133755540745</v>
      </c>
      <c r="G348" t="inlineStr">
        <is>
          <t>A</t>
        </is>
      </c>
      <c r="H348" t="n">
        <v>68</v>
      </c>
      <c r="I348" t="n">
        <v>4.946357428</v>
      </c>
      <c r="J348" t="n">
        <v>336.352305104</v>
      </c>
      <c r="K348" t="n">
        <v>6.7</v>
      </c>
      <c r="L348" t="n">
        <v>10.14925373134328</v>
      </c>
      <c r="M348" t="n">
        <v>2</v>
      </c>
      <c r="N348" t="n">
        <v>13.4</v>
      </c>
      <c r="O348" t="n">
        <v>54.6</v>
      </c>
      <c r="P348" t="n">
        <v>270.0711155688</v>
      </c>
      <c r="Q348" t="n">
        <v>0.8029411764705883</v>
      </c>
      <c r="R348" t="inlineStr">
        <is>
          <t>Sobrestock crítico</t>
        </is>
      </c>
    </row>
    <row r="349">
      <c r="A349" t="inlineStr">
        <is>
          <t>KOA65KA</t>
        </is>
      </c>
      <c r="B349" t="inlineStr">
        <is>
          <t>MINI BAG</t>
        </is>
      </c>
      <c r="C349" t="inlineStr">
        <is>
          <t>Equipamiento / Bolsos</t>
        </is>
      </c>
      <c r="D349" t="n">
        <v>2937.553495046704</v>
      </c>
      <c r="E349" t="n">
        <v>0.0007192087745865473</v>
      </c>
      <c r="F349" t="n">
        <v>0.621332584328661</v>
      </c>
      <c r="G349" t="inlineStr">
        <is>
          <t>A</t>
        </is>
      </c>
      <c r="H349" t="n">
        <v>931</v>
      </c>
      <c r="I349" t="n">
        <v>6.33</v>
      </c>
      <c r="J349" t="n">
        <v>5893.23</v>
      </c>
      <c r="K349" t="n">
        <v>8.300000000000001</v>
      </c>
      <c r="L349" t="n">
        <v>112.1686746987952</v>
      </c>
      <c r="M349" t="n">
        <v>2</v>
      </c>
      <c r="N349" t="n">
        <v>16.6</v>
      </c>
      <c r="O349" t="n">
        <v>914.4</v>
      </c>
      <c r="P349" t="n">
        <v>5788.152</v>
      </c>
      <c r="Q349" t="n">
        <v>0.9821697099892588</v>
      </c>
      <c r="R349" t="inlineStr">
        <is>
          <t>Sobrestock crítico</t>
        </is>
      </c>
    </row>
    <row r="350">
      <c r="A350" t="inlineStr">
        <is>
          <t>MARMIDA34TL</t>
        </is>
      </c>
      <c r="B350" t="inlineStr">
        <is>
          <t>MAR ORIGINAL DAMA</t>
        </is>
      </c>
      <c r="C350" t="inlineStr">
        <is>
          <t>Manufactura / Dama / P. Superiores</t>
        </is>
      </c>
      <c r="D350" t="n">
        <v>2929.78629778</v>
      </c>
      <c r="E350" t="n">
        <v>0.0007173071117104236</v>
      </c>
      <c r="F350" t="n">
        <v>0.6220498914403715</v>
      </c>
      <c r="G350" t="inlineStr">
        <is>
          <t>A</t>
        </is>
      </c>
      <c r="H350" t="n">
        <v>29</v>
      </c>
      <c r="I350" t="n">
        <v>4.278324149</v>
      </c>
      <c r="J350" t="n">
        <v>124.071400321</v>
      </c>
      <c r="K350" t="n">
        <v>6</v>
      </c>
      <c r="L350" t="n">
        <v>4.833333333333333</v>
      </c>
      <c r="M350" t="n">
        <v>2</v>
      </c>
      <c r="N350" t="n">
        <v>12</v>
      </c>
      <c r="O350" t="n">
        <v>17</v>
      </c>
      <c r="P350" t="n">
        <v>72.73151053300001</v>
      </c>
      <c r="Q350" t="n">
        <v>0.5862068965517241</v>
      </c>
      <c r="R350" t="inlineStr">
        <is>
          <t>Sobrestock crítico</t>
        </is>
      </c>
    </row>
    <row r="351">
      <c r="A351" t="inlineStr">
        <is>
          <t>ANKCA43TU</t>
        </is>
      </c>
      <c r="B351" t="inlineStr">
        <is>
          <t>ANKLE SOCKS CAB</t>
        </is>
      </c>
      <c r="C351" t="inlineStr">
        <is>
          <t>Equipamiento / Accesorios</t>
        </is>
      </c>
      <c r="D351" t="n">
        <v>2921.073637644</v>
      </c>
      <c r="E351" t="n">
        <v>0.0007151739687292429</v>
      </c>
      <c r="F351" t="n">
        <v>0.6227650654091006</v>
      </c>
      <c r="G351" t="inlineStr">
        <is>
          <t>A</t>
        </is>
      </c>
      <c r="H351" t="n">
        <v>846</v>
      </c>
      <c r="I351" t="n">
        <v>2.67</v>
      </c>
      <c r="J351" t="n">
        <v>2258.82</v>
      </c>
      <c r="K351" t="n">
        <v>15.6</v>
      </c>
      <c r="L351" t="n">
        <v>54.23076923076923</v>
      </c>
      <c r="M351" t="n">
        <v>2</v>
      </c>
      <c r="N351" t="n">
        <v>31.2</v>
      </c>
      <c r="O351" t="n">
        <v>814.8</v>
      </c>
      <c r="P351" t="n">
        <v>2175.516</v>
      </c>
      <c r="Q351" t="n">
        <v>0.9631205673758862</v>
      </c>
      <c r="R351" t="inlineStr">
        <is>
          <t>Sobrestock crítico</t>
        </is>
      </c>
    </row>
    <row r="352">
      <c r="A352" t="inlineStr">
        <is>
          <t>BACCCDA158TS</t>
        </is>
      </c>
      <c r="B352" t="inlineStr">
        <is>
          <t>BASIC LINE CROP TEE DAMA</t>
        </is>
      </c>
      <c r="C352" t="inlineStr">
        <is>
          <t>Manufactura / Dama / P. Superiores</t>
        </is>
      </c>
      <c r="D352" t="n">
        <v>2908.82070704</v>
      </c>
      <c r="E352" t="n">
        <v>0.0007121740522274137</v>
      </c>
      <c r="F352" t="n">
        <v>0.6234772394613282</v>
      </c>
      <c r="G352" t="inlineStr">
        <is>
          <t>A</t>
        </is>
      </c>
      <c r="H352" t="n">
        <v>10</v>
      </c>
      <c r="I352" t="n">
        <v>6.196330833</v>
      </c>
      <c r="J352" t="n">
        <v>61.96330833</v>
      </c>
      <c r="K352" t="n">
        <v>6.3</v>
      </c>
      <c r="L352" t="n">
        <v>1.587301587301587</v>
      </c>
      <c r="M352" t="n">
        <v>2</v>
      </c>
      <c r="N352" t="n">
        <v>12.6</v>
      </c>
      <c r="O352" t="n">
        <v>0</v>
      </c>
      <c r="P352" t="n">
        <v>0</v>
      </c>
      <c r="Q352" t="n">
        <v>0</v>
      </c>
      <c r="R352" t="inlineStr">
        <is>
          <t>OK</t>
        </is>
      </c>
    </row>
    <row r="353">
      <c r="A353" t="inlineStr">
        <is>
          <t>RIOMICA16TS</t>
        </is>
      </c>
      <c r="B353" t="inlineStr">
        <is>
          <t>RIO ORIGINAL CAB</t>
        </is>
      </c>
      <c r="C353" t="inlineStr">
        <is>
          <t>Manufactura / Caballero / P. Superiores</t>
        </is>
      </c>
      <c r="D353" t="n">
        <v>2882.58219501</v>
      </c>
      <c r="E353" t="n">
        <v>0.0007057500098683925</v>
      </c>
      <c r="F353" t="n">
        <v>0.6241829894711965</v>
      </c>
      <c r="G353" t="inlineStr">
        <is>
          <t>A</t>
        </is>
      </c>
      <c r="H353" t="n">
        <v>24</v>
      </c>
      <c r="I353" t="n">
        <v>5.939350288000001</v>
      </c>
      <c r="J353" t="n">
        <v>142.544406912</v>
      </c>
      <c r="K353" t="n">
        <v>5.2</v>
      </c>
      <c r="L353" t="n">
        <v>4.615384615384615</v>
      </c>
      <c r="M353" t="n">
        <v>2</v>
      </c>
      <c r="N353" t="n">
        <v>10.4</v>
      </c>
      <c r="O353" t="n">
        <v>13.6</v>
      </c>
      <c r="P353" t="n">
        <v>80.77516391680001</v>
      </c>
      <c r="Q353" t="n">
        <v>0.5666666666666667</v>
      </c>
      <c r="R353" t="inlineStr">
        <is>
          <t>Sobrestock crítico</t>
        </is>
      </c>
    </row>
    <row r="354">
      <c r="A354" t="inlineStr">
        <is>
          <t>CLAMICA43TS</t>
        </is>
      </c>
      <c r="B354" t="inlineStr">
        <is>
          <t>CLASICA ORIGINAL CAB</t>
        </is>
      </c>
      <c r="C354" t="inlineStr">
        <is>
          <t>Manufactura / Caballero / P. Superiores</t>
        </is>
      </c>
      <c r="D354" t="n">
        <v>2879.29701127</v>
      </c>
      <c r="E354" t="n">
        <v>0.0007049456898871833</v>
      </c>
      <c r="F354" t="n">
        <v>0.6248879351610837</v>
      </c>
      <c r="G354" t="inlineStr">
        <is>
          <t>A</t>
        </is>
      </c>
      <c r="H354" t="n">
        <v>75</v>
      </c>
      <c r="I354" t="n">
        <v>4.598442536</v>
      </c>
      <c r="J354" t="n">
        <v>344.8831902</v>
      </c>
      <c r="K354" t="n">
        <v>10.8</v>
      </c>
      <c r="L354" t="n">
        <v>6.944444444444444</v>
      </c>
      <c r="M354" t="n">
        <v>2</v>
      </c>
      <c r="N354" t="n">
        <v>21.6</v>
      </c>
      <c r="O354" t="n">
        <v>53.4</v>
      </c>
      <c r="P354" t="n">
        <v>245.5568314224</v>
      </c>
      <c r="Q354" t="n">
        <v>0.7120000000000001</v>
      </c>
      <c r="R354" t="inlineStr">
        <is>
          <t>Sobrestock crítico</t>
        </is>
      </c>
    </row>
    <row r="355">
      <c r="A355" t="inlineStr">
        <is>
          <t>DRY095L</t>
        </is>
      </c>
      <c r="B355" t="inlineStr">
        <is>
          <t>DRY BAG 5L</t>
        </is>
      </c>
      <c r="C355" t="inlineStr">
        <is>
          <t>Equipamiento / Bolsos</t>
        </is>
      </c>
      <c r="D355" t="n">
        <v>2872.72347263</v>
      </c>
      <c r="E355" t="n">
        <v>0.000703336273521509</v>
      </c>
      <c r="F355" t="n">
        <v>0.6255912714346052</v>
      </c>
      <c r="G355" t="inlineStr">
        <is>
          <t>A</t>
        </is>
      </c>
      <c r="H355" t="n">
        <v>7</v>
      </c>
      <c r="I355" t="n">
        <v>4.91</v>
      </c>
      <c r="J355" t="n">
        <v>34.37</v>
      </c>
      <c r="K355" t="n">
        <v>9.1</v>
      </c>
      <c r="L355" t="n">
        <v>0.7692307692307693</v>
      </c>
      <c r="M355" t="n">
        <v>2</v>
      </c>
      <c r="N355" t="n">
        <v>18.2</v>
      </c>
      <c r="O355" t="n">
        <v>0</v>
      </c>
      <c r="P355" t="n">
        <v>0</v>
      </c>
      <c r="Q355" t="n">
        <v>0</v>
      </c>
      <c r="R355" t="inlineStr">
        <is>
          <t>Riesgo bajo stock</t>
        </is>
      </c>
    </row>
    <row r="356">
      <c r="A356" t="inlineStr">
        <is>
          <t>CAP33EC</t>
        </is>
      </c>
      <c r="B356" t="inlineStr">
        <is>
          <t>EXPLORE CAP</t>
        </is>
      </c>
      <c r="C356" t="inlineStr">
        <is>
          <t>Equipamiento / Gorras</t>
        </is>
      </c>
      <c r="D356" t="n">
        <v>2864.00283928</v>
      </c>
      <c r="E356" t="n">
        <v>0.0007012011784378458</v>
      </c>
      <c r="F356" t="n">
        <v>0.6262924726130431</v>
      </c>
      <c r="G356" t="inlineStr">
        <is>
          <t>A</t>
        </is>
      </c>
      <c r="H356" t="n">
        <v>502</v>
      </c>
      <c r="I356" t="n">
        <v>3.360013258</v>
      </c>
      <c r="J356" t="n">
        <v>1686.726655516</v>
      </c>
      <c r="K356" t="n">
        <v>9.699999999999999</v>
      </c>
      <c r="L356" t="n">
        <v>51.75257731958763</v>
      </c>
      <c r="M356" t="n">
        <v>2</v>
      </c>
      <c r="N356" t="n">
        <v>19.4</v>
      </c>
      <c r="O356" t="n">
        <v>482.6</v>
      </c>
      <c r="P356" t="n">
        <v>1621.5423983108</v>
      </c>
      <c r="Q356" t="n">
        <v>0.9613545816733069</v>
      </c>
      <c r="R356" t="inlineStr">
        <is>
          <t>Sobrestock crítico</t>
        </is>
      </c>
    </row>
    <row r="357">
      <c r="A357" t="inlineStr">
        <is>
          <t>JACKI43T12</t>
        </is>
      </c>
      <c r="B357" t="inlineStr">
        <is>
          <t>JACKET KIDS</t>
        </is>
      </c>
      <c r="C357" t="inlineStr">
        <is>
          <t>Manufactura / Kids / P. Superiores</t>
        </is>
      </c>
      <c r="D357" t="n">
        <v>2827.905367903847</v>
      </c>
      <c r="E357" t="n">
        <v>0.0006923633417149085</v>
      </c>
      <c r="F357" t="n">
        <v>0.626984835954758</v>
      </c>
      <c r="G357" t="inlineStr">
        <is>
          <t>A</t>
        </is>
      </c>
      <c r="H357" t="n">
        <v>96</v>
      </c>
      <c r="I357" t="n">
        <v>15.17</v>
      </c>
      <c r="J357" t="n">
        <v>1456.32</v>
      </c>
      <c r="K357" t="n">
        <v>5.2</v>
      </c>
      <c r="L357" t="n">
        <v>18.46153846153846</v>
      </c>
      <c r="M357" t="n">
        <v>2</v>
      </c>
      <c r="N357" t="n">
        <v>10.4</v>
      </c>
      <c r="O357" t="n">
        <v>85.59999999999999</v>
      </c>
      <c r="P357" t="n">
        <v>1298.552</v>
      </c>
      <c r="Q357" t="n">
        <v>0.8916666666666666</v>
      </c>
      <c r="R357" t="inlineStr">
        <is>
          <t>Sobrestock crítico</t>
        </is>
      </c>
    </row>
    <row r="358">
      <c r="A358" t="inlineStr">
        <is>
          <t>MARMICA11TS</t>
        </is>
      </c>
      <c r="B358" t="inlineStr">
        <is>
          <t>MAR ORIGINAL CAB</t>
        </is>
      </c>
      <c r="C358" t="inlineStr">
        <is>
          <t>Manufactura / Caballero / P. Superiores</t>
        </is>
      </c>
      <c r="D358" t="n">
        <v>2826.20849608</v>
      </c>
      <c r="E358" t="n">
        <v>0.0006919478922236509</v>
      </c>
      <c r="F358" t="n">
        <v>0.6276767838469817</v>
      </c>
      <c r="G358" t="inlineStr">
        <is>
          <t>A</t>
        </is>
      </c>
      <c r="H358" t="n">
        <v>26</v>
      </c>
      <c r="I358" t="n">
        <v>4.946357428</v>
      </c>
      <c r="J358" t="n">
        <v>128.605293128</v>
      </c>
      <c r="K358" t="n">
        <v>6</v>
      </c>
      <c r="L358" t="n">
        <v>4.333333333333333</v>
      </c>
      <c r="M358" t="n">
        <v>2</v>
      </c>
      <c r="N358" t="n">
        <v>12</v>
      </c>
      <c r="O358" t="n">
        <v>14</v>
      </c>
      <c r="P358" t="n">
        <v>69.249003992</v>
      </c>
      <c r="Q358" t="n">
        <v>0.5384615384615384</v>
      </c>
      <c r="R358" t="inlineStr">
        <is>
          <t>Sobrestock crítico</t>
        </is>
      </c>
    </row>
    <row r="359">
      <c r="A359" t="inlineStr">
        <is>
          <t>JACCA66TS</t>
        </is>
      </c>
      <c r="B359" t="inlineStr">
        <is>
          <t>JACKET CAB</t>
        </is>
      </c>
      <c r="C359" t="inlineStr">
        <is>
          <t>Equipamiento / Ropa</t>
        </is>
      </c>
      <c r="D359" t="n">
        <v>2824.56215246</v>
      </c>
      <c r="E359" t="n">
        <v>0.0006915448136824482</v>
      </c>
      <c r="F359" t="n">
        <v>0.6283683286606641</v>
      </c>
      <c r="G359" t="inlineStr">
        <is>
          <t>A</t>
        </is>
      </c>
      <c r="H359" t="n">
        <v>46</v>
      </c>
      <c r="I359" t="n">
        <v>20.25001933</v>
      </c>
      <c r="J359" t="n">
        <v>931.5008891800001</v>
      </c>
      <c r="K359" t="n">
        <v>4.7</v>
      </c>
      <c r="L359" t="n">
        <v>9.787234042553191</v>
      </c>
      <c r="M359" t="n">
        <v>2</v>
      </c>
      <c r="N359" t="n">
        <v>9.4</v>
      </c>
      <c r="O359" t="n">
        <v>36.6</v>
      </c>
      <c r="P359" t="n">
        <v>741.1507074780001</v>
      </c>
      <c r="Q359" t="n">
        <v>0.7956521739130435</v>
      </c>
      <c r="R359" t="inlineStr">
        <is>
          <t>Sobrestock crítico</t>
        </is>
      </c>
    </row>
    <row r="360">
      <c r="A360" t="inlineStr">
        <is>
          <t>ZRED193EQ</t>
        </is>
      </c>
      <c r="B360" t="inlineStr">
        <is>
          <t>ZENIT REDONDO</t>
        </is>
      </c>
      <c r="C360" t="inlineStr">
        <is>
          <t>Equipamiento / Lentes</t>
        </is>
      </c>
      <c r="D360" t="n">
        <v>2821.92030241</v>
      </c>
      <c r="E360" t="n">
        <v>0.0006908980027425604</v>
      </c>
      <c r="F360" t="n">
        <v>0.6290592266634066</v>
      </c>
      <c r="G360" t="inlineStr">
        <is>
          <t>A</t>
        </is>
      </c>
      <c r="H360" t="n">
        <v>263</v>
      </c>
      <c r="I360" t="n">
        <v>40.44</v>
      </c>
      <c r="J360" t="n">
        <v>10635.72</v>
      </c>
      <c r="K360" t="n">
        <v>2.7</v>
      </c>
      <c r="L360" t="n">
        <v>97.4074074074074</v>
      </c>
      <c r="M360" t="n">
        <v>2</v>
      </c>
      <c r="N360" t="n">
        <v>5.4</v>
      </c>
      <c r="O360" t="n">
        <v>257.6</v>
      </c>
      <c r="P360" t="n">
        <v>10417.344</v>
      </c>
      <c r="Q360" t="n">
        <v>0.9794676806083652</v>
      </c>
      <c r="R360" t="inlineStr">
        <is>
          <t>Sobrestock crítico</t>
        </is>
      </c>
    </row>
    <row r="361">
      <c r="A361" t="inlineStr">
        <is>
          <t>JACCA33TL</t>
        </is>
      </c>
      <c r="B361" t="inlineStr">
        <is>
          <t>JACKET CAB</t>
        </is>
      </c>
      <c r="C361" t="inlineStr">
        <is>
          <t>Equipamiento / Ropa</t>
        </is>
      </c>
      <c r="D361" t="n">
        <v>2802.85967648</v>
      </c>
      <c r="E361" t="n">
        <v>0.000686231340691611</v>
      </c>
      <c r="F361" t="n">
        <v>0.6297454580040982</v>
      </c>
      <c r="G361" t="inlineStr">
        <is>
          <t>A</t>
        </is>
      </c>
      <c r="H361" t="n">
        <v>0</v>
      </c>
      <c r="I361" t="n">
        <v>20.25001933</v>
      </c>
      <c r="J361" t="n">
        <v>0</v>
      </c>
      <c r="K361" t="n">
        <v>4.2</v>
      </c>
      <c r="L361" t="n">
        <v>0</v>
      </c>
      <c r="M361" t="n">
        <v>2</v>
      </c>
      <c r="N361" t="n">
        <v>8.4</v>
      </c>
      <c r="O361" t="n">
        <v>0</v>
      </c>
      <c r="P361" t="n">
        <v>0</v>
      </c>
      <c r="Q361" t="n">
        <v>0</v>
      </c>
      <c r="R361" t="inlineStr">
        <is>
          <t>Riesgo bajo stock</t>
        </is>
      </c>
    </row>
    <row r="362">
      <c r="A362" t="inlineStr">
        <is>
          <t>MARMIDA70TXS</t>
        </is>
      </c>
      <c r="B362" t="inlineStr">
        <is>
          <t>MAR ORIGINAL DAMA</t>
        </is>
      </c>
      <c r="C362" t="inlineStr">
        <is>
          <t>Manufactura / Dama / P. Superiores</t>
        </is>
      </c>
      <c r="D362" t="n">
        <v>2797.35630344</v>
      </c>
      <c r="E362" t="n">
        <v>0.0006848839357211602</v>
      </c>
      <c r="F362" t="n">
        <v>0.6304303419398194</v>
      </c>
      <c r="G362" t="inlineStr">
        <is>
          <t>A</t>
        </is>
      </c>
      <c r="H362" t="n">
        <v>24</v>
      </c>
      <c r="I362" t="n">
        <v>4.278324149</v>
      </c>
      <c r="J362" t="n">
        <v>102.679779576</v>
      </c>
      <c r="K362" t="n">
        <v>5.4</v>
      </c>
      <c r="L362" t="n">
        <v>4.444444444444444</v>
      </c>
      <c r="M362" t="n">
        <v>2</v>
      </c>
      <c r="N362" t="n">
        <v>10.8</v>
      </c>
      <c r="O362" t="n">
        <v>13.2</v>
      </c>
      <c r="P362" t="n">
        <v>56.4738787668</v>
      </c>
      <c r="Q362" t="n">
        <v>0.5499999999999999</v>
      </c>
      <c r="R362" t="inlineStr">
        <is>
          <t>Sobrestock crítico</t>
        </is>
      </c>
    </row>
    <row r="363">
      <c r="A363" t="inlineStr">
        <is>
          <t>REFAMATOGE03EQ</t>
        </is>
      </c>
      <c r="B363" t="inlineStr">
        <is>
          <t>REFRESH AMARILLO</t>
        </is>
      </c>
      <c r="C363" t="inlineStr">
        <is>
          <t>Manufactura / Refresh</t>
        </is>
      </c>
      <c r="D363" t="n">
        <v>2782.78441925</v>
      </c>
      <c r="E363" t="n">
        <v>0.000681316263850885</v>
      </c>
      <c r="F363" t="n">
        <v>0.6311116582036702</v>
      </c>
      <c r="G363" t="inlineStr">
        <is>
          <t>A</t>
        </is>
      </c>
      <c r="H363" t="n">
        <v>15</v>
      </c>
      <c r="I363" t="n">
        <v>12.02</v>
      </c>
      <c r="J363" t="n">
        <v>180.3</v>
      </c>
      <c r="K363" t="n">
        <v>9.199999999999999</v>
      </c>
      <c r="L363" t="n">
        <v>1.630434782608696</v>
      </c>
      <c r="M363" t="n">
        <v>2</v>
      </c>
      <c r="N363" t="n">
        <v>18.4</v>
      </c>
      <c r="O363" t="n">
        <v>0</v>
      </c>
      <c r="P363" t="n">
        <v>0</v>
      </c>
      <c r="Q363" t="n">
        <v>0</v>
      </c>
      <c r="R363" t="inlineStr">
        <is>
          <t>OK</t>
        </is>
      </c>
    </row>
    <row r="364">
      <c r="A364" t="inlineStr">
        <is>
          <t>MARMICA13TS</t>
        </is>
      </c>
      <c r="B364" t="inlineStr">
        <is>
          <t>MAR ORIGINAL CAB</t>
        </is>
      </c>
      <c r="C364" t="inlineStr">
        <is>
          <t>Manufactura / Caballero / P. Superiores</t>
        </is>
      </c>
      <c r="D364" t="n">
        <v>2775.77195444</v>
      </c>
      <c r="E364" t="n">
        <v>0.0006795993840625388</v>
      </c>
      <c r="F364" t="n">
        <v>0.6317912575877328</v>
      </c>
      <c r="G364" t="inlineStr">
        <is>
          <t>A</t>
        </is>
      </c>
      <c r="H364" t="n">
        <v>152</v>
      </c>
      <c r="I364" t="n">
        <v>4.946357428</v>
      </c>
      <c r="J364" t="n">
        <v>751.8463290559999</v>
      </c>
      <c r="K364" t="n">
        <v>5.9</v>
      </c>
      <c r="L364" t="n">
        <v>25.76271186440678</v>
      </c>
      <c r="M364" t="n">
        <v>2</v>
      </c>
      <c r="N364" t="n">
        <v>11.8</v>
      </c>
      <c r="O364" t="n">
        <v>140.2</v>
      </c>
      <c r="P364" t="n">
        <v>693.4793114055999</v>
      </c>
      <c r="Q364" t="n">
        <v>0.9223684210526315</v>
      </c>
      <c r="R364" t="inlineStr">
        <is>
          <t>Sobrestock crítico</t>
        </is>
      </c>
    </row>
    <row r="365">
      <c r="A365" t="inlineStr">
        <is>
          <t>MARMIDA34TXS</t>
        </is>
      </c>
      <c r="B365" t="inlineStr">
        <is>
          <t>MAR ORIGINAL DAMA</t>
        </is>
      </c>
      <c r="C365" t="inlineStr">
        <is>
          <t>Manufactura / Dama / P. Superiores</t>
        </is>
      </c>
      <c r="D365" t="n">
        <v>2774.03678112</v>
      </c>
      <c r="E365" t="n">
        <v>0.0006791745571175055</v>
      </c>
      <c r="F365" t="n">
        <v>0.6324704321448503</v>
      </c>
      <c r="G365" t="inlineStr">
        <is>
          <t>A</t>
        </is>
      </c>
      <c r="H365" t="n">
        <v>26</v>
      </c>
      <c r="I365" t="n">
        <v>4.278324149</v>
      </c>
      <c r="J365" t="n">
        <v>111.236427874</v>
      </c>
      <c r="K365" t="n">
        <v>5.5</v>
      </c>
      <c r="L365" t="n">
        <v>4.727272727272728</v>
      </c>
      <c r="M365" t="n">
        <v>2</v>
      </c>
      <c r="N365" t="n">
        <v>11</v>
      </c>
      <c r="O365" t="n">
        <v>15</v>
      </c>
      <c r="P365" t="n">
        <v>64.17486223500001</v>
      </c>
      <c r="Q365" t="n">
        <v>0.5769230769230769</v>
      </c>
      <c r="R365" t="inlineStr">
        <is>
          <t>Sobrestock crítico</t>
        </is>
      </c>
    </row>
    <row r="366">
      <c r="A366" t="inlineStr">
        <is>
          <t>DAYCSTCA66TM</t>
        </is>
      </c>
      <c r="B366" t="inlineStr">
        <is>
          <t>CLASICA DAILY 3.0 CAB</t>
        </is>
      </c>
      <c r="C366" t="inlineStr">
        <is>
          <t>Manufactura / Caballero / P. Superiores</t>
        </is>
      </c>
      <c r="D366" t="n">
        <v>2766.15846095</v>
      </c>
      <c r="E366" t="n">
        <v>0.0006772456877352728</v>
      </c>
      <c r="F366" t="n">
        <v>0.6331476778325856</v>
      </c>
      <c r="G366" t="inlineStr">
        <is>
          <t>A</t>
        </is>
      </c>
      <c r="H366" t="n">
        <v>33</v>
      </c>
      <c r="I366" t="n">
        <v>11.76035097</v>
      </c>
      <c r="J366" t="n">
        <v>388.09158201</v>
      </c>
      <c r="K366" t="n">
        <v>5.9</v>
      </c>
      <c r="L366" t="n">
        <v>5.59322033898305</v>
      </c>
      <c r="M366" t="n">
        <v>2</v>
      </c>
      <c r="N366" t="n">
        <v>11.8</v>
      </c>
      <c r="O366" t="n">
        <v>21.2</v>
      </c>
      <c r="P366" t="n">
        <v>249.319440564</v>
      </c>
      <c r="Q366" t="n">
        <v>0.6424242424242425</v>
      </c>
      <c r="R366" t="inlineStr">
        <is>
          <t>Sobrestock crítico</t>
        </is>
      </c>
    </row>
    <row r="367">
      <c r="A367" t="inlineStr">
        <is>
          <t>RIOMIDA01TS</t>
        </is>
      </c>
      <c r="B367" t="inlineStr">
        <is>
          <t>RIO ORIGINAL DAMA</t>
        </is>
      </c>
      <c r="C367" t="inlineStr">
        <is>
          <t>Manufactura / Dama / P. Superiores</t>
        </is>
      </c>
      <c r="D367" t="n">
        <v>2760.67519978</v>
      </c>
      <c r="E367" t="n">
        <v>0.0006759032068056614</v>
      </c>
      <c r="F367" t="n">
        <v>0.6338235810393912</v>
      </c>
      <c r="G367" t="inlineStr">
        <is>
          <t>A</t>
        </is>
      </c>
      <c r="H367" t="n">
        <v>20</v>
      </c>
      <c r="I367" t="n">
        <v>5.538832275</v>
      </c>
      <c r="J367" t="n">
        <v>110.7766455</v>
      </c>
      <c r="K367" t="n">
        <v>5.1</v>
      </c>
      <c r="L367" t="n">
        <v>3.921568627450981</v>
      </c>
      <c r="M367" t="n">
        <v>2</v>
      </c>
      <c r="N367" t="n">
        <v>10.2</v>
      </c>
      <c r="O367" t="n">
        <v>9.800000000000001</v>
      </c>
      <c r="P367" t="n">
        <v>54.280556295</v>
      </c>
      <c r="Q367" t="n">
        <v>0.49</v>
      </c>
      <c r="R367" t="inlineStr">
        <is>
          <t>Sobrestock crítico</t>
        </is>
      </c>
    </row>
    <row r="368">
      <c r="A368" t="inlineStr">
        <is>
          <t>RIOMIDA34TS</t>
        </is>
      </c>
      <c r="B368" t="inlineStr">
        <is>
          <t>RIO ORIGINAL DAMA</t>
        </is>
      </c>
      <c r="C368" t="inlineStr">
        <is>
          <t>Manufactura / Dama / P. Superiores</t>
        </is>
      </c>
      <c r="D368" t="n">
        <v>2757.31054131</v>
      </c>
      <c r="E368" t="n">
        <v>0.0006750794288219783</v>
      </c>
      <c r="F368" t="n">
        <v>0.6344986604682132</v>
      </c>
      <c r="G368" t="inlineStr">
        <is>
          <t>A</t>
        </is>
      </c>
      <c r="H368" t="n">
        <v>18</v>
      </c>
      <c r="I368" t="n">
        <v>5.538832275</v>
      </c>
      <c r="J368" t="n">
        <v>99.69898094999999</v>
      </c>
      <c r="K368" t="n">
        <v>5.5</v>
      </c>
      <c r="L368" t="n">
        <v>3.272727272727273</v>
      </c>
      <c r="M368" t="n">
        <v>2</v>
      </c>
      <c r="N368" t="n">
        <v>11</v>
      </c>
      <c r="O368" t="n">
        <v>7</v>
      </c>
      <c r="P368" t="n">
        <v>38.771825925</v>
      </c>
      <c r="Q368" t="n">
        <v>0.388888888888889</v>
      </c>
      <c r="R368" t="inlineStr">
        <is>
          <t>Sobrestock crítico</t>
        </is>
      </c>
    </row>
    <row r="369">
      <c r="A369" t="inlineStr">
        <is>
          <t>SHOSUCA154TL</t>
        </is>
      </c>
      <c r="B369" t="inlineStr">
        <is>
          <t>SHORT PLAYA ESTAMPADO CAB</t>
        </is>
      </c>
      <c r="C369" t="inlineStr">
        <is>
          <t>Manufactura / Caballero / P. Inferiores</t>
        </is>
      </c>
      <c r="D369" t="n">
        <v>2756.72169258</v>
      </c>
      <c r="E369" t="n">
        <v>0.0006749352594734935</v>
      </c>
      <c r="F369" t="n">
        <v>0.6351735957276867</v>
      </c>
      <c r="G369" t="inlineStr">
        <is>
          <t>A</t>
        </is>
      </c>
      <c r="H369" t="n">
        <v>43</v>
      </c>
      <c r="I369" t="n">
        <v>12.11</v>
      </c>
      <c r="J369" t="n">
        <v>520.73</v>
      </c>
      <c r="K369" t="n">
        <v>5.3</v>
      </c>
      <c r="L369" t="n">
        <v>8.113207547169811</v>
      </c>
      <c r="M369" t="n">
        <v>2</v>
      </c>
      <c r="N369" t="n">
        <v>10.6</v>
      </c>
      <c r="O369" t="n">
        <v>32.4</v>
      </c>
      <c r="P369" t="n">
        <v>392.364</v>
      </c>
      <c r="Q369" t="n">
        <v>0.7534883720930232</v>
      </c>
      <c r="R369" t="inlineStr">
        <is>
          <t>Sobrestock crítico</t>
        </is>
      </c>
    </row>
    <row r="370">
      <c r="A370" t="inlineStr">
        <is>
          <t>JAPCA66TS</t>
        </is>
      </c>
      <c r="B370" t="inlineStr">
        <is>
          <t>CUADRO JACKET 2.0 CAB</t>
        </is>
      </c>
      <c r="C370" t="inlineStr">
        <is>
          <t>Equipamiento / Ropa</t>
        </is>
      </c>
      <c r="D370" t="n">
        <v>2755.45786971</v>
      </c>
      <c r="E370" t="n">
        <v>0.0006746258344709668</v>
      </c>
      <c r="F370" t="n">
        <v>0.6358482215621577</v>
      </c>
      <c r="G370" t="inlineStr">
        <is>
          <t>A</t>
        </is>
      </c>
      <c r="H370" t="n">
        <v>268</v>
      </c>
      <c r="I370" t="n">
        <v>20.25000225</v>
      </c>
      <c r="J370" t="n">
        <v>5427.000603</v>
      </c>
      <c r="K370" t="n">
        <v>3.4</v>
      </c>
      <c r="L370" t="n">
        <v>78.82352941176471</v>
      </c>
      <c r="M370" t="n">
        <v>2</v>
      </c>
      <c r="N370" t="n">
        <v>6.8</v>
      </c>
      <c r="O370" t="n">
        <v>261.2</v>
      </c>
      <c r="P370" t="n">
        <v>5289.300587700001</v>
      </c>
      <c r="Q370" t="n">
        <v>0.9746268656716418</v>
      </c>
      <c r="R370" t="inlineStr">
        <is>
          <t>Sobrestock crítico</t>
        </is>
      </c>
    </row>
    <row r="371">
      <c r="A371" t="inlineStr">
        <is>
          <t>TOA201ES</t>
        </is>
      </c>
      <c r="B371" t="inlineStr">
        <is>
          <t>TOALLA ESTAMPADA 2.0</t>
        </is>
      </c>
      <c r="C371" t="inlineStr">
        <is>
          <t>Equipamiento / Toallas</t>
        </is>
      </c>
      <c r="D371" t="n">
        <v>2755.06327242</v>
      </c>
      <c r="E371" t="n">
        <v>0.0006745292242019539</v>
      </c>
      <c r="F371" t="n">
        <v>0.6365227507863597</v>
      </c>
      <c r="G371" t="inlineStr">
        <is>
          <t>A</t>
        </is>
      </c>
      <c r="H371" t="n">
        <v>0</v>
      </c>
      <c r="I371" t="n">
        <v>5.92</v>
      </c>
      <c r="J371" t="n">
        <v>0</v>
      </c>
      <c r="K371" t="n">
        <v>6.3</v>
      </c>
      <c r="L371" t="n">
        <v>0</v>
      </c>
      <c r="M371" t="n">
        <v>2</v>
      </c>
      <c r="N371" t="n">
        <v>12.6</v>
      </c>
      <c r="O371" t="n">
        <v>0</v>
      </c>
      <c r="P371" t="n">
        <v>0</v>
      </c>
      <c r="Q371" t="n">
        <v>0</v>
      </c>
      <c r="R371" t="inlineStr">
        <is>
          <t>Riesgo bajo stock</t>
        </is>
      </c>
    </row>
    <row r="372">
      <c r="A372" t="inlineStr">
        <is>
          <t>BACCCDA43TM</t>
        </is>
      </c>
      <c r="B372" t="inlineStr">
        <is>
          <t>BASIC LINE CROP TEE DAMA</t>
        </is>
      </c>
      <c r="C372" t="inlineStr">
        <is>
          <t>Manufactura / Dama / P. Superiores</t>
        </is>
      </c>
      <c r="D372" t="n">
        <v>2717.81347507</v>
      </c>
      <c r="E372" t="n">
        <v>0.0006654092605482317</v>
      </c>
      <c r="F372" t="n">
        <v>0.6371881600469079</v>
      </c>
      <c r="G372" t="inlineStr">
        <is>
          <t>A</t>
        </is>
      </c>
      <c r="H372" t="n">
        <v>38</v>
      </c>
      <c r="I372" t="n">
        <v>6.196330833</v>
      </c>
      <c r="J372" t="n">
        <v>235.460571654</v>
      </c>
      <c r="K372" t="n">
        <v>5.5</v>
      </c>
      <c r="L372" t="n">
        <v>6.909090909090909</v>
      </c>
      <c r="M372" t="n">
        <v>2</v>
      </c>
      <c r="N372" t="n">
        <v>11</v>
      </c>
      <c r="O372" t="n">
        <v>27</v>
      </c>
      <c r="P372" t="n">
        <v>167.300932491</v>
      </c>
      <c r="Q372" t="n">
        <v>0.7105263157894737</v>
      </c>
      <c r="R372" t="inlineStr">
        <is>
          <t>Sobrestock crítico</t>
        </is>
      </c>
    </row>
    <row r="373">
      <c r="A373" t="inlineStr">
        <is>
          <t>CLAMECA43TXL</t>
        </is>
      </c>
      <c r="B373" t="inlineStr">
        <is>
          <t>CLASICA SPORT CAB</t>
        </is>
      </c>
      <c r="C373" t="inlineStr">
        <is>
          <t>Manufactura / Caballero / P. Superiores</t>
        </is>
      </c>
      <c r="D373" t="n">
        <v>2716.67861998</v>
      </c>
      <c r="E373" t="n">
        <v>0.000665131411058856</v>
      </c>
      <c r="F373" t="n">
        <v>0.6378532914579668</v>
      </c>
      <c r="G373" t="inlineStr">
        <is>
          <t>A</t>
        </is>
      </c>
      <c r="H373" t="n">
        <v>36</v>
      </c>
      <c r="I373" t="n">
        <v>10.3013454</v>
      </c>
      <c r="J373" t="n">
        <v>370.8484344</v>
      </c>
      <c r="K373" t="n">
        <v>6.1</v>
      </c>
      <c r="L373" t="n">
        <v>5.901639344262295</v>
      </c>
      <c r="M373" t="n">
        <v>2</v>
      </c>
      <c r="N373" t="n">
        <v>12.2</v>
      </c>
      <c r="O373" t="n">
        <v>23.8</v>
      </c>
      <c r="P373" t="n">
        <v>245.17202052</v>
      </c>
      <c r="Q373" t="n">
        <v>0.6611111111111111</v>
      </c>
      <c r="R373" t="inlineStr">
        <is>
          <t>Sobrestock crítico</t>
        </is>
      </c>
    </row>
    <row r="374">
      <c r="A374" t="inlineStr">
        <is>
          <t>ZCUA195EQ</t>
        </is>
      </c>
      <c r="B374" t="inlineStr">
        <is>
          <t>ZENIT CUADRADO</t>
        </is>
      </c>
      <c r="C374" t="inlineStr">
        <is>
          <t>Equipamiento / Lentes</t>
        </is>
      </c>
      <c r="D374" t="n">
        <v>2711.60372393</v>
      </c>
      <c r="E374" t="n">
        <v>0.0006638889112114731</v>
      </c>
      <c r="F374" t="n">
        <v>0.6385171803691783</v>
      </c>
      <c r="G374" t="inlineStr">
        <is>
          <t>A</t>
        </is>
      </c>
      <c r="H374" t="n">
        <v>272</v>
      </c>
      <c r="I374" t="n">
        <v>40.44</v>
      </c>
      <c r="J374" t="n">
        <v>10999.68</v>
      </c>
      <c r="K374" t="n">
        <v>2.5</v>
      </c>
      <c r="L374" t="n">
        <v>108.8</v>
      </c>
      <c r="M374" t="n">
        <v>2</v>
      </c>
      <c r="N374" t="n">
        <v>5</v>
      </c>
      <c r="O374" t="n">
        <v>267</v>
      </c>
      <c r="P374" t="n">
        <v>10797.48</v>
      </c>
      <c r="Q374" t="n">
        <v>0.9816176470588235</v>
      </c>
      <c r="R374" t="inlineStr">
        <is>
          <t>Sobrestock crítico</t>
        </is>
      </c>
    </row>
    <row r="375">
      <c r="A375" t="inlineStr">
        <is>
          <t>BAOCCCA158TXL</t>
        </is>
      </c>
      <c r="B375" t="inlineStr">
        <is>
          <t>BASIC LINE OVERSIZED CAB</t>
        </is>
      </c>
      <c r="C375" t="inlineStr">
        <is>
          <t>Manufactura / Caballero / P. Superiores</t>
        </is>
      </c>
      <c r="D375" t="n">
        <v>2698.49318081</v>
      </c>
      <c r="E375" t="n">
        <v>0.0006606790232324461</v>
      </c>
      <c r="F375" t="n">
        <v>0.6391778593924108</v>
      </c>
      <c r="G375" t="inlineStr">
        <is>
          <t>A</t>
        </is>
      </c>
      <c r="H375" t="n">
        <v>15</v>
      </c>
      <c r="I375" t="n">
        <v>9.336740741</v>
      </c>
      <c r="J375" t="n">
        <v>140.051111115</v>
      </c>
      <c r="K375" t="n">
        <v>4.5</v>
      </c>
      <c r="L375" t="n">
        <v>3.333333333333333</v>
      </c>
      <c r="M375" t="n">
        <v>2</v>
      </c>
      <c r="N375" t="n">
        <v>9</v>
      </c>
      <c r="O375" t="n">
        <v>6</v>
      </c>
      <c r="P375" t="n">
        <v>56.020444446</v>
      </c>
      <c r="Q375" t="n">
        <v>0.4</v>
      </c>
      <c r="R375" t="inlineStr">
        <is>
          <t>Sobrestock crítico</t>
        </is>
      </c>
    </row>
    <row r="376">
      <c r="A376" t="inlineStr">
        <is>
          <t>MARMIDA01TM</t>
        </is>
      </c>
      <c r="B376" t="inlineStr">
        <is>
          <t>MAR ORIGINAL DAMA</t>
        </is>
      </c>
      <c r="C376" t="inlineStr">
        <is>
          <t>Manufactura / Dama / P. Superiores</t>
        </is>
      </c>
      <c r="D376" t="n">
        <v>2695.494590052229</v>
      </c>
      <c r="E376" t="n">
        <v>0.0006599448705479012</v>
      </c>
      <c r="F376" t="n">
        <v>0.6398378042629586</v>
      </c>
      <c r="G376" t="inlineStr">
        <is>
          <t>A</t>
        </is>
      </c>
      <c r="H376" t="n">
        <v>23</v>
      </c>
      <c r="I376" t="n">
        <v>4.278324149</v>
      </c>
      <c r="J376" t="n">
        <v>98.401455427</v>
      </c>
      <c r="K376" t="n">
        <v>5.9</v>
      </c>
      <c r="L376" t="n">
        <v>3.898305084745763</v>
      </c>
      <c r="M376" t="n">
        <v>2</v>
      </c>
      <c r="N376" t="n">
        <v>11.8</v>
      </c>
      <c r="O376" t="n">
        <v>11.2</v>
      </c>
      <c r="P376" t="n">
        <v>47.9172304688</v>
      </c>
      <c r="Q376" t="n">
        <v>0.4869565217391304</v>
      </c>
      <c r="R376" t="inlineStr">
        <is>
          <t>Sobrestock crítico</t>
        </is>
      </c>
    </row>
    <row r="377">
      <c r="A377" t="inlineStr">
        <is>
          <t>CGCSCA16TXL</t>
        </is>
      </c>
      <c r="B377" t="inlineStr">
        <is>
          <t>CLASICA GC SUBLIMADO CAB</t>
        </is>
      </c>
      <c r="C377" t="inlineStr">
        <is>
          <t>Manufactura / Caballero / P. Superiores</t>
        </is>
      </c>
      <c r="D377" t="n">
        <v>2687.66271111</v>
      </c>
      <c r="E377" t="n">
        <v>0.0006580273714908632</v>
      </c>
      <c r="F377" t="n">
        <v>0.6404958316344495</v>
      </c>
      <c r="G377" t="inlineStr">
        <is>
          <t>A</t>
        </is>
      </c>
      <c r="H377" t="n">
        <v>0</v>
      </c>
      <c r="I377" t="n">
        <v>0</v>
      </c>
      <c r="J377" t="n">
        <v>0</v>
      </c>
      <c r="K377" t="n">
        <v>21</v>
      </c>
      <c r="L377" t="n">
        <v>0</v>
      </c>
      <c r="M377" t="n">
        <v>2</v>
      </c>
      <c r="N377" t="n">
        <v>42</v>
      </c>
      <c r="O377" t="n">
        <v>0</v>
      </c>
      <c r="P377" t="n">
        <v>0</v>
      </c>
      <c r="Q377" t="n">
        <v>0</v>
      </c>
      <c r="R377" t="inlineStr">
        <is>
          <t>Riesgo bajo stock</t>
        </is>
      </c>
    </row>
    <row r="378">
      <c r="A378" t="inlineStr">
        <is>
          <t>RIOMICA12TS</t>
        </is>
      </c>
      <c r="B378" t="inlineStr">
        <is>
          <t>RIO ORIGINAL CAB</t>
        </is>
      </c>
      <c r="C378" t="inlineStr">
        <is>
          <t>Manufactura / Caballero / P. Superiores</t>
        </is>
      </c>
      <c r="D378" t="n">
        <v>2687.37609608</v>
      </c>
      <c r="E378" t="n">
        <v>0.0006579571987961865</v>
      </c>
      <c r="F378" t="n">
        <v>0.6411537888332456</v>
      </c>
      <c r="G378" t="inlineStr">
        <is>
          <t>A</t>
        </is>
      </c>
      <c r="H378" t="n">
        <v>25</v>
      </c>
      <c r="I378" t="n">
        <v>5.939350288000001</v>
      </c>
      <c r="J378" t="n">
        <v>148.4837572</v>
      </c>
      <c r="K378" t="n">
        <v>4.6</v>
      </c>
      <c r="L378" t="n">
        <v>5.434782608695652</v>
      </c>
      <c r="M378" t="n">
        <v>2</v>
      </c>
      <c r="N378" t="n">
        <v>9.199999999999999</v>
      </c>
      <c r="O378" t="n">
        <v>15.8</v>
      </c>
      <c r="P378" t="n">
        <v>93.84173455040002</v>
      </c>
      <c r="Q378" t="n">
        <v>0.6320000000000001</v>
      </c>
      <c r="R378" t="inlineStr">
        <is>
          <t>Sobrestock crítico</t>
        </is>
      </c>
    </row>
    <row r="379">
      <c r="A379" t="inlineStr">
        <is>
          <t>RIOMICA11TXL</t>
        </is>
      </c>
      <c r="B379" t="inlineStr">
        <is>
          <t>RIO ORIGINAL CAB</t>
        </is>
      </c>
      <c r="C379" t="inlineStr">
        <is>
          <t>Manufactura / Caballero / P. Superiores</t>
        </is>
      </c>
      <c r="D379" t="n">
        <v>2677.51693972</v>
      </c>
      <c r="E379" t="n">
        <v>0.0006555433561968639</v>
      </c>
      <c r="F379" t="n">
        <v>0.6418093321894425</v>
      </c>
      <c r="G379" t="inlineStr">
        <is>
          <t>A</t>
        </is>
      </c>
      <c r="H379" t="n">
        <v>4</v>
      </c>
      <c r="I379" t="n">
        <v>5.939350288</v>
      </c>
      <c r="J379" t="n">
        <v>23.757401152</v>
      </c>
      <c r="K379" t="n">
        <v>5</v>
      </c>
      <c r="L379" t="n">
        <v>0.8</v>
      </c>
      <c r="M379" t="n">
        <v>2</v>
      </c>
      <c r="N379" t="n">
        <v>10</v>
      </c>
      <c r="O379" t="n">
        <v>0</v>
      </c>
      <c r="P379" t="n">
        <v>0</v>
      </c>
      <c r="Q379" t="n">
        <v>0</v>
      </c>
      <c r="R379" t="inlineStr">
        <is>
          <t>Riesgo bajo stock</t>
        </is>
      </c>
    </row>
    <row r="380">
      <c r="A380" t="inlineStr">
        <is>
          <t>JAPCA01TL</t>
        </is>
      </c>
      <c r="B380" t="inlineStr">
        <is>
          <t>CUADRO JACKET 2.0 CAB</t>
        </is>
      </c>
      <c r="C380" t="inlineStr">
        <is>
          <t>Equipamiento / Ropa</t>
        </is>
      </c>
      <c r="D380" t="n">
        <v>2646.341614785774</v>
      </c>
      <c r="E380" t="n">
        <v>0.0006479106212420488</v>
      </c>
      <c r="F380" t="n">
        <v>0.6424572428106845</v>
      </c>
      <c r="G380" t="inlineStr">
        <is>
          <t>A</t>
        </is>
      </c>
      <c r="H380" t="n">
        <v>202</v>
      </c>
      <c r="I380" t="n">
        <v>20.25000225</v>
      </c>
      <c r="J380" t="n">
        <v>4090.5004545</v>
      </c>
      <c r="K380" t="n">
        <v>3.9</v>
      </c>
      <c r="L380" t="n">
        <v>51.7948717948718</v>
      </c>
      <c r="M380" t="n">
        <v>2</v>
      </c>
      <c r="N380" t="n">
        <v>7.8</v>
      </c>
      <c r="O380" t="n">
        <v>194.2</v>
      </c>
      <c r="P380" t="n">
        <v>3932.55043695</v>
      </c>
      <c r="Q380" t="n">
        <v>0.9613861386138614</v>
      </c>
      <c r="R380" t="inlineStr">
        <is>
          <t>Sobrestock crítico</t>
        </is>
      </c>
    </row>
    <row r="381">
      <c r="A381" t="inlineStr">
        <is>
          <t>CLAMECA43TL</t>
        </is>
      </c>
      <c r="B381" t="inlineStr">
        <is>
          <t>CLASICA SPORT CAB</t>
        </is>
      </c>
      <c r="C381" t="inlineStr">
        <is>
          <t>Manufactura / Caballero / P. Superiores</t>
        </is>
      </c>
      <c r="D381" t="n">
        <v>2643.80458681</v>
      </c>
      <c r="E381" t="n">
        <v>0.0006472894741600892</v>
      </c>
      <c r="F381" t="n">
        <v>0.6431045322848447</v>
      </c>
      <c r="G381" t="inlineStr">
        <is>
          <t>A</t>
        </is>
      </c>
      <c r="H381" t="n">
        <v>7</v>
      </c>
      <c r="I381" t="n">
        <v>10.3013454</v>
      </c>
      <c r="J381" t="n">
        <v>72.1094178</v>
      </c>
      <c r="K381" t="n">
        <v>6.1</v>
      </c>
      <c r="L381" t="n">
        <v>1.147540983606558</v>
      </c>
      <c r="M381" t="n">
        <v>2</v>
      </c>
      <c r="N381" t="n">
        <v>12.2</v>
      </c>
      <c r="O381" t="n">
        <v>0</v>
      </c>
      <c r="P381" t="n">
        <v>0</v>
      </c>
      <c r="Q381" t="n">
        <v>0</v>
      </c>
      <c r="R381" t="inlineStr">
        <is>
          <t>OK</t>
        </is>
      </c>
    </row>
    <row r="382">
      <c r="A382" t="inlineStr">
        <is>
          <t>PANNTCA31TM</t>
        </is>
      </c>
      <c r="B382" t="inlineStr">
        <is>
          <t>EXPLORE PANTS CAB</t>
        </is>
      </c>
      <c r="C382" t="inlineStr">
        <is>
          <t>Manufactura / Caballero / P. Inferiores</t>
        </is>
      </c>
      <c r="D382" t="n">
        <v>2642.86770845</v>
      </c>
      <c r="E382" t="n">
        <v>0.000647060095822514</v>
      </c>
      <c r="F382" t="n">
        <v>0.6437515923806671</v>
      </c>
      <c r="G382" t="inlineStr">
        <is>
          <t>A</t>
        </is>
      </c>
      <c r="H382" t="n">
        <v>4</v>
      </c>
      <c r="I382" t="n">
        <v>15.68994502</v>
      </c>
      <c r="J382" t="n">
        <v>62.75978008</v>
      </c>
      <c r="K382" t="n">
        <v>4.3</v>
      </c>
      <c r="L382" t="n">
        <v>0.9302325581395349</v>
      </c>
      <c r="M382" t="n">
        <v>2</v>
      </c>
      <c r="N382" t="n">
        <v>8.6</v>
      </c>
      <c r="O382" t="n">
        <v>0</v>
      </c>
      <c r="P382" t="n">
        <v>0</v>
      </c>
      <c r="Q382" t="n">
        <v>0</v>
      </c>
      <c r="R382" t="inlineStr">
        <is>
          <t>Riesgo bajo stock</t>
        </is>
      </c>
    </row>
    <row r="383">
      <c r="A383" t="inlineStr">
        <is>
          <t>RIOMICA66TXL</t>
        </is>
      </c>
      <c r="B383" t="inlineStr">
        <is>
          <t>RIO ORIGINAL CAB</t>
        </is>
      </c>
      <c r="C383" t="inlineStr">
        <is>
          <t>Manufactura / Caballero / P. Superiores</t>
        </is>
      </c>
      <c r="D383" t="n">
        <v>2640.10844917</v>
      </c>
      <c r="E383" t="n">
        <v>0.0006463845392789884</v>
      </c>
      <c r="F383" t="n">
        <v>0.6443979769199462</v>
      </c>
      <c r="G383" t="inlineStr">
        <is>
          <t>A</t>
        </is>
      </c>
      <c r="H383" t="n">
        <v>15</v>
      </c>
      <c r="I383" t="n">
        <v>5.939350288</v>
      </c>
      <c r="J383" t="n">
        <v>89.09025432</v>
      </c>
      <c r="K383" t="n">
        <v>5</v>
      </c>
      <c r="L383" t="n">
        <v>3</v>
      </c>
      <c r="M383" t="n">
        <v>2</v>
      </c>
      <c r="N383" t="n">
        <v>10</v>
      </c>
      <c r="O383" t="n">
        <v>5</v>
      </c>
      <c r="P383" t="n">
        <v>29.69675144</v>
      </c>
      <c r="Q383" t="n">
        <v>0.3333333333333333</v>
      </c>
      <c r="R383" t="inlineStr">
        <is>
          <t>Sobrestock crítico</t>
        </is>
      </c>
    </row>
    <row r="384">
      <c r="A384" t="inlineStr">
        <is>
          <t>BAC33BF</t>
        </is>
      </c>
      <c r="B384" t="inlineStr">
        <is>
          <t>BACKPACK FLEX</t>
        </is>
      </c>
      <c r="C384" t="inlineStr">
        <is>
          <t>Equipamiento / Bolsos</t>
        </is>
      </c>
      <c r="D384" t="n">
        <v>2628.77695254</v>
      </c>
      <c r="E384" t="n">
        <v>0.0006436102198260028</v>
      </c>
      <c r="F384" t="n">
        <v>0.6450415871397722</v>
      </c>
      <c r="G384" t="inlineStr">
        <is>
          <t>A</t>
        </is>
      </c>
      <c r="H384" t="n">
        <v>468</v>
      </c>
      <c r="I384" t="n">
        <v>17.91</v>
      </c>
      <c r="J384" t="n">
        <v>8381.879999999999</v>
      </c>
      <c r="K384" t="n">
        <v>4.3</v>
      </c>
      <c r="L384" t="n">
        <v>108.8372093023256</v>
      </c>
      <c r="M384" t="n">
        <v>2</v>
      </c>
      <c r="N384" t="n">
        <v>8.6</v>
      </c>
      <c r="O384" t="n">
        <v>459.4</v>
      </c>
      <c r="P384" t="n">
        <v>8227.853999999999</v>
      </c>
      <c r="Q384" t="n">
        <v>0.9816239316239317</v>
      </c>
      <c r="R384" t="inlineStr">
        <is>
          <t>Sobrestock crítico</t>
        </is>
      </c>
    </row>
    <row r="385">
      <c r="A385" t="inlineStr">
        <is>
          <t>BUC69EQ</t>
        </is>
      </c>
      <c r="B385" t="inlineStr">
        <is>
          <t>BUCKET HAT</t>
        </is>
      </c>
      <c r="C385" t="inlineStr">
        <is>
          <t>Equipamiento / Sombreros</t>
        </is>
      </c>
      <c r="D385" t="n">
        <v>2625.72443781</v>
      </c>
      <c r="E385" t="n">
        <v>0.0006428628647966994</v>
      </c>
      <c r="F385" t="n">
        <v>0.6456844500045689</v>
      </c>
      <c r="G385" t="inlineStr">
        <is>
          <t>A</t>
        </is>
      </c>
      <c r="H385" t="n">
        <v>0</v>
      </c>
      <c r="I385" t="n">
        <v>4.98</v>
      </c>
      <c r="J385" t="n">
        <v>0</v>
      </c>
      <c r="K385" t="n">
        <v>9.699999999999999</v>
      </c>
      <c r="L385" t="n">
        <v>0</v>
      </c>
      <c r="M385" t="n">
        <v>2</v>
      </c>
      <c r="N385" t="n">
        <v>19.4</v>
      </c>
      <c r="O385" t="n">
        <v>0</v>
      </c>
      <c r="P385" t="n">
        <v>0</v>
      </c>
      <c r="Q385" t="n">
        <v>0</v>
      </c>
      <c r="R385" t="inlineStr">
        <is>
          <t>Riesgo bajo stock</t>
        </is>
      </c>
    </row>
    <row r="386">
      <c r="A386" t="inlineStr">
        <is>
          <t>POLPLCA30TM</t>
        </is>
      </c>
      <c r="B386" t="inlineStr">
        <is>
          <t>CLASSIC POLO</t>
        </is>
      </c>
      <c r="C386" t="inlineStr">
        <is>
          <t>Manufactura / Caballero / P. Superiores</t>
        </is>
      </c>
      <c r="D386" t="n">
        <v>2617.31021423</v>
      </c>
      <c r="E386" t="n">
        <v>0.000640802788804799</v>
      </c>
      <c r="F386" t="n">
        <v>0.6463252527933736</v>
      </c>
      <c r="G386" t="inlineStr">
        <is>
          <t>A</t>
        </is>
      </c>
      <c r="H386" t="n">
        <v>21</v>
      </c>
      <c r="I386" t="n">
        <v>7.34</v>
      </c>
      <c r="J386" t="n">
        <v>154.14</v>
      </c>
      <c r="K386" t="n">
        <v>5.8</v>
      </c>
      <c r="L386" t="n">
        <v>3.620689655172414</v>
      </c>
      <c r="M386" t="n">
        <v>2</v>
      </c>
      <c r="N386" t="n">
        <v>11.6</v>
      </c>
      <c r="O386" t="n">
        <v>9.4</v>
      </c>
      <c r="P386" t="n">
        <v>68.996</v>
      </c>
      <c r="Q386" t="n">
        <v>0.4476190476190476</v>
      </c>
      <c r="R386" t="inlineStr">
        <is>
          <t>Sobrestock crítico</t>
        </is>
      </c>
    </row>
    <row r="387">
      <c r="A387" t="inlineStr">
        <is>
          <t>CLA66CB</t>
        </is>
      </c>
      <c r="B387" t="inlineStr">
        <is>
          <t>CLASSIC BACKPACK</t>
        </is>
      </c>
      <c r="C387" t="inlineStr">
        <is>
          <t>Equipamiento / Bolsos</t>
        </is>
      </c>
      <c r="D387" t="n">
        <v>2616.04122508</v>
      </c>
      <c r="E387" t="n">
        <v>0.0006404920989286575</v>
      </c>
      <c r="F387" t="n">
        <v>0.6469657448923023</v>
      </c>
      <c r="G387" t="inlineStr">
        <is>
          <t>A</t>
        </is>
      </c>
      <c r="H387" t="n">
        <v>214</v>
      </c>
      <c r="I387" t="n">
        <v>18.04</v>
      </c>
      <c r="J387" t="n">
        <v>3860.56</v>
      </c>
      <c r="K387" t="n">
        <v>6.1</v>
      </c>
      <c r="L387" t="n">
        <v>35.08196721311476</v>
      </c>
      <c r="M387" t="n">
        <v>2</v>
      </c>
      <c r="N387" t="n">
        <v>12.2</v>
      </c>
      <c r="O387" t="n">
        <v>201.8</v>
      </c>
      <c r="P387" t="n">
        <v>3640.472</v>
      </c>
      <c r="Q387" t="n">
        <v>0.9429906542056076</v>
      </c>
      <c r="R387" t="inlineStr">
        <is>
          <t>Sobrestock crítico</t>
        </is>
      </c>
    </row>
    <row r="388">
      <c r="A388" t="inlineStr">
        <is>
          <t>PANNTDA30TM</t>
        </is>
      </c>
      <c r="B388" t="inlineStr">
        <is>
          <t>EXPLORE PANTS DAMA</t>
        </is>
      </c>
      <c r="C388" t="inlineStr">
        <is>
          <t>Manufactura / Dama / P. Inferiores</t>
        </is>
      </c>
      <c r="D388" t="n">
        <v>2608.3293135</v>
      </c>
      <c r="E388" t="n">
        <v>0.0006386039717893478</v>
      </c>
      <c r="F388" t="n">
        <v>0.6476043488640916</v>
      </c>
      <c r="G388" t="inlineStr">
        <is>
          <t>A</t>
        </is>
      </c>
      <c r="H388" t="n">
        <v>23</v>
      </c>
      <c r="I388" t="n">
        <v>15.3928899</v>
      </c>
      <c r="J388" t="n">
        <v>354.0364677</v>
      </c>
      <c r="K388" t="n">
        <v>5.1</v>
      </c>
      <c r="L388" t="n">
        <v>4.509803921568627</v>
      </c>
      <c r="M388" t="n">
        <v>2</v>
      </c>
      <c r="N388" t="n">
        <v>10.2</v>
      </c>
      <c r="O388" t="n">
        <v>12.8</v>
      </c>
      <c r="P388" t="n">
        <v>197.02899072</v>
      </c>
      <c r="Q388" t="n">
        <v>0.5565217391304349</v>
      </c>
      <c r="R388" t="inlineStr">
        <is>
          <t>Sobrestock crítico</t>
        </is>
      </c>
    </row>
    <row r="389">
      <c r="A389" t="inlineStr">
        <is>
          <t>KOA13KA</t>
        </is>
      </c>
      <c r="B389" t="inlineStr">
        <is>
          <t>MINI BAG</t>
        </is>
      </c>
      <c r="C389" t="inlineStr">
        <is>
          <t>Equipamiento / Bolsos</t>
        </is>
      </c>
      <c r="D389" t="n">
        <v>2605.77063291</v>
      </c>
      <c r="E389" t="n">
        <v>0.000637977523442179</v>
      </c>
      <c r="F389" t="n">
        <v>0.6482423263875338</v>
      </c>
      <c r="G389" t="inlineStr">
        <is>
          <t>A</t>
        </is>
      </c>
      <c r="H389" t="n">
        <v>984</v>
      </c>
      <c r="I389" t="n">
        <v>6.33</v>
      </c>
      <c r="J389" t="n">
        <v>6228.72</v>
      </c>
      <c r="K389" t="n">
        <v>6.7</v>
      </c>
      <c r="L389" t="n">
        <v>146.865671641791</v>
      </c>
      <c r="M389" t="n">
        <v>2</v>
      </c>
      <c r="N389" t="n">
        <v>13.4</v>
      </c>
      <c r="O389" t="n">
        <v>970.6</v>
      </c>
      <c r="P389" t="n">
        <v>6143.898</v>
      </c>
      <c r="Q389" t="n">
        <v>0.9863821138211382</v>
      </c>
      <c r="R389" t="inlineStr">
        <is>
          <t>Sobrestock crítico</t>
        </is>
      </c>
    </row>
    <row r="390">
      <c r="A390" t="inlineStr">
        <is>
          <t>RIOMICA13TS</t>
        </is>
      </c>
      <c r="B390" t="inlineStr">
        <is>
          <t>RIO ORIGINAL CAB</t>
        </is>
      </c>
      <c r="C390" t="inlineStr">
        <is>
          <t>Manufactura / Caballero / P. Superiores</t>
        </is>
      </c>
      <c r="D390" t="n">
        <v>2586.16806338</v>
      </c>
      <c r="E390" t="n">
        <v>0.000633178175946315</v>
      </c>
      <c r="F390" t="n">
        <v>0.6488755045634801</v>
      </c>
      <c r="G390" t="inlineStr">
        <is>
          <t>A</t>
        </is>
      </c>
      <c r="H390" t="n">
        <v>11</v>
      </c>
      <c r="I390" t="n">
        <v>5.939350288</v>
      </c>
      <c r="J390" t="n">
        <v>65.332853168</v>
      </c>
      <c r="K390" t="n">
        <v>4.6</v>
      </c>
      <c r="L390" t="n">
        <v>2.391304347826087</v>
      </c>
      <c r="M390" t="n">
        <v>2</v>
      </c>
      <c r="N390" t="n">
        <v>9.199999999999999</v>
      </c>
      <c r="O390" t="n">
        <v>1.800000000000001</v>
      </c>
      <c r="P390" t="n">
        <v>10.6908305184</v>
      </c>
      <c r="Q390" t="n">
        <v>0.1636363636363637</v>
      </c>
      <c r="R390" t="inlineStr">
        <is>
          <t>Sobrestock</t>
        </is>
      </c>
    </row>
    <row r="391">
      <c r="A391" t="inlineStr">
        <is>
          <t>CLA33CB</t>
        </is>
      </c>
      <c r="B391" t="inlineStr">
        <is>
          <t>CLASSIC BACKPACK</t>
        </is>
      </c>
      <c r="C391" t="inlineStr">
        <is>
          <t>Equipamiento / Bolsos</t>
        </is>
      </c>
      <c r="D391" t="n">
        <v>2575.54730166</v>
      </c>
      <c r="E391" t="n">
        <v>0.0006305778675486306</v>
      </c>
      <c r="F391" t="n">
        <v>0.6495060824310287</v>
      </c>
      <c r="G391" t="inlineStr">
        <is>
          <t>A</t>
        </is>
      </c>
      <c r="H391" t="n">
        <v>425</v>
      </c>
      <c r="I391" t="n">
        <v>18.04</v>
      </c>
      <c r="J391" t="n">
        <v>7667</v>
      </c>
      <c r="K391" t="n">
        <v>5.7</v>
      </c>
      <c r="L391" t="n">
        <v>74.56140350877193</v>
      </c>
      <c r="M391" t="n">
        <v>2</v>
      </c>
      <c r="N391" t="n">
        <v>11.4</v>
      </c>
      <c r="O391" t="n">
        <v>413.6</v>
      </c>
      <c r="P391" t="n">
        <v>7461.344</v>
      </c>
      <c r="Q391" t="n">
        <v>0.9731764705882353</v>
      </c>
      <c r="R391" t="inlineStr">
        <is>
          <t>Sobrestock crítico</t>
        </is>
      </c>
    </row>
    <row r="392">
      <c r="A392" t="inlineStr">
        <is>
          <t>MARMIDA43TXL</t>
        </is>
      </c>
      <c r="B392" t="inlineStr">
        <is>
          <t>MAR ORIGINAL DAMA</t>
        </is>
      </c>
      <c r="C392" t="inlineStr">
        <is>
          <t>Manufactura / Dama / P. Superiores</t>
        </is>
      </c>
      <c r="D392" t="n">
        <v>2560.27062274</v>
      </c>
      <c r="E392" t="n">
        <v>0.0006268376389725955</v>
      </c>
      <c r="F392" t="n">
        <v>0.6501329200700013</v>
      </c>
      <c r="G392" t="inlineStr">
        <is>
          <t>A</t>
        </is>
      </c>
      <c r="H392" t="n">
        <v>32</v>
      </c>
      <c r="I392" t="n">
        <v>4.278324149</v>
      </c>
      <c r="J392" t="n">
        <v>136.906372768</v>
      </c>
      <c r="K392" t="n">
        <v>5.3</v>
      </c>
      <c r="L392" t="n">
        <v>6.037735849056604</v>
      </c>
      <c r="M392" t="n">
        <v>2</v>
      </c>
      <c r="N392" t="n">
        <v>10.6</v>
      </c>
      <c r="O392" t="n">
        <v>21.4</v>
      </c>
      <c r="P392" t="n">
        <v>91.5561367886</v>
      </c>
      <c r="Q392" t="n">
        <v>0.66875</v>
      </c>
      <c r="R392" t="inlineStr">
        <is>
          <t>Sobrestock crítico</t>
        </is>
      </c>
    </row>
    <row r="393">
      <c r="A393" t="inlineStr">
        <is>
          <t>SHONRCA16TL</t>
        </is>
      </c>
      <c r="B393" t="inlineStr">
        <is>
          <t>SHORT SPORT CAB</t>
        </is>
      </c>
      <c r="C393" t="inlineStr">
        <is>
          <t>Manufactura / Caballero / P. Inferiores</t>
        </is>
      </c>
      <c r="D393" t="n">
        <v>2558.26546785</v>
      </c>
      <c r="E393" t="n">
        <v>0.0006263467117456616</v>
      </c>
      <c r="F393" t="n">
        <v>0.6507592667817469</v>
      </c>
      <c r="G393" t="inlineStr">
        <is>
          <t>A</t>
        </is>
      </c>
      <c r="H393" t="n">
        <v>17</v>
      </c>
      <c r="I393" t="n">
        <v>10.6514486</v>
      </c>
      <c r="J393" t="n">
        <v>181.0746262</v>
      </c>
      <c r="K393" t="n">
        <v>7.2</v>
      </c>
      <c r="L393" t="n">
        <v>2.361111111111111</v>
      </c>
      <c r="M393" t="n">
        <v>2</v>
      </c>
      <c r="N393" t="n">
        <v>14.4</v>
      </c>
      <c r="O393" t="n">
        <v>2.6</v>
      </c>
      <c r="P393" t="n">
        <v>27.69376636</v>
      </c>
      <c r="Q393" t="n">
        <v>0.1529411764705882</v>
      </c>
      <c r="R393" t="inlineStr">
        <is>
          <t>Sobrestock</t>
        </is>
      </c>
    </row>
    <row r="394">
      <c r="A394" t="inlineStr">
        <is>
          <t>RIOMIDA01TM</t>
        </is>
      </c>
      <c r="B394" t="inlineStr">
        <is>
          <t>RIO ORIGINAL DAMA</t>
        </is>
      </c>
      <c r="C394" t="inlineStr">
        <is>
          <t>Manufactura / Dama / P. Superiores</t>
        </is>
      </c>
      <c r="D394" t="n">
        <v>2549.3658412</v>
      </c>
      <c r="E394" t="n">
        <v>0.0006241677932721711</v>
      </c>
      <c r="F394" t="n">
        <v>0.6513834345750191</v>
      </c>
      <c r="G394" t="inlineStr">
        <is>
          <t>A</t>
        </is>
      </c>
      <c r="H394" t="n">
        <v>29</v>
      </c>
      <c r="I394" t="n">
        <v>5.538832275</v>
      </c>
      <c r="J394" t="n">
        <v>160.626135975</v>
      </c>
      <c r="K394" t="n">
        <v>4.6</v>
      </c>
      <c r="L394" t="n">
        <v>6.304347826086957</v>
      </c>
      <c r="M394" t="n">
        <v>2</v>
      </c>
      <c r="N394" t="n">
        <v>9.199999999999999</v>
      </c>
      <c r="O394" t="n">
        <v>19.8</v>
      </c>
      <c r="P394" t="n">
        <v>109.668879045</v>
      </c>
      <c r="Q394" t="n">
        <v>0.6827586206896552</v>
      </c>
      <c r="R394" t="inlineStr">
        <is>
          <t>Sobrestock crítico</t>
        </is>
      </c>
    </row>
    <row r="395">
      <c r="A395" t="inlineStr">
        <is>
          <t>RIOMICA50TM</t>
        </is>
      </c>
      <c r="B395" t="inlineStr">
        <is>
          <t>RIO ORIGINAL CAB</t>
        </is>
      </c>
      <c r="C395" t="inlineStr">
        <is>
          <t>Manufactura / Caballero / P. Superiores</t>
        </is>
      </c>
      <c r="D395" t="n">
        <v>2543.58138158</v>
      </c>
      <c r="E395" t="n">
        <v>0.0006227515691516706</v>
      </c>
      <c r="F395" t="n">
        <v>0.6520061861441708</v>
      </c>
      <c r="G395" t="inlineStr">
        <is>
          <t>A</t>
        </is>
      </c>
      <c r="H395" t="n">
        <v>15</v>
      </c>
      <c r="I395" t="n">
        <v>5.939350288000001</v>
      </c>
      <c r="J395" t="n">
        <v>89.09025432000001</v>
      </c>
      <c r="K395" t="n">
        <v>4.8</v>
      </c>
      <c r="L395" t="n">
        <v>3.125</v>
      </c>
      <c r="M395" t="n">
        <v>2</v>
      </c>
      <c r="N395" t="n">
        <v>9.6</v>
      </c>
      <c r="O395" t="n">
        <v>5.4</v>
      </c>
      <c r="P395" t="n">
        <v>32.07249155520001</v>
      </c>
      <c r="Q395" t="n">
        <v>0.36</v>
      </c>
      <c r="R395" t="inlineStr">
        <is>
          <t>Sobrestock crítico</t>
        </is>
      </c>
    </row>
    <row r="396">
      <c r="A396" t="inlineStr">
        <is>
          <t>PONC152EQ</t>
        </is>
      </c>
      <c r="B396" t="inlineStr">
        <is>
          <t>PONCHO ADULTO</t>
        </is>
      </c>
      <c r="C396" t="inlineStr">
        <is>
          <t>Equipamiento / Ponchos</t>
        </is>
      </c>
      <c r="D396" t="n">
        <v>2541.90012783</v>
      </c>
      <c r="E396" t="n">
        <v>0.0006223399434735867</v>
      </c>
      <c r="F396" t="n">
        <v>0.6526285260876444</v>
      </c>
      <c r="G396" t="inlineStr">
        <is>
          <t>A</t>
        </is>
      </c>
      <c r="H396" t="n">
        <v>533</v>
      </c>
      <c r="I396" t="n">
        <v>8.48</v>
      </c>
      <c r="J396" t="n">
        <v>4519.84</v>
      </c>
      <c r="K396" t="n">
        <v>6.3</v>
      </c>
      <c r="L396" t="n">
        <v>84.60317460317461</v>
      </c>
      <c r="M396" t="n">
        <v>2</v>
      </c>
      <c r="N396" t="n">
        <v>12.6</v>
      </c>
      <c r="O396" t="n">
        <v>520.4</v>
      </c>
      <c r="P396" t="n">
        <v>4412.992</v>
      </c>
      <c r="Q396" t="n">
        <v>0.976360225140713</v>
      </c>
      <c r="R396" t="inlineStr">
        <is>
          <t>Sobrestock crítico</t>
        </is>
      </c>
    </row>
    <row r="397">
      <c r="A397" t="inlineStr">
        <is>
          <t>SHOSUCA155TXL</t>
        </is>
      </c>
      <c r="B397" t="inlineStr">
        <is>
          <t>SHORT PLAYA ESTAMPADO CAB</t>
        </is>
      </c>
      <c r="C397" t="inlineStr">
        <is>
          <t>Manufactura / Caballero / P. Inferiores</t>
        </is>
      </c>
      <c r="D397" t="n">
        <v>2531.00824923</v>
      </c>
      <c r="E397" t="n">
        <v>0.0006196732568331355</v>
      </c>
      <c r="F397" t="n">
        <v>0.6532481993444775</v>
      </c>
      <c r="G397" t="inlineStr">
        <is>
          <t>A</t>
        </is>
      </c>
      <c r="H397" t="n">
        <v>12</v>
      </c>
      <c r="I397" t="n">
        <v>12.11</v>
      </c>
      <c r="J397" t="n">
        <v>145.32</v>
      </c>
      <c r="K397" t="n">
        <v>4</v>
      </c>
      <c r="L397" t="n">
        <v>3</v>
      </c>
      <c r="M397" t="n">
        <v>2</v>
      </c>
      <c r="N397" t="n">
        <v>8</v>
      </c>
      <c r="O397" t="n">
        <v>4</v>
      </c>
      <c r="P397" t="n">
        <v>48.44</v>
      </c>
      <c r="Q397" t="n">
        <v>0.3333333333333333</v>
      </c>
      <c r="R397" t="inlineStr">
        <is>
          <t>Sobrestock crítico</t>
        </is>
      </c>
    </row>
    <row r="398">
      <c r="A398" t="inlineStr">
        <is>
          <t>RIOMIDA16TL</t>
        </is>
      </c>
      <c r="B398" t="inlineStr">
        <is>
          <t>RIO ORIGINAL DAMA</t>
        </is>
      </c>
      <c r="C398" t="inlineStr">
        <is>
          <t>Manufactura / Dama / P. Superiores</t>
        </is>
      </c>
      <c r="D398" t="n">
        <v>2530.50714969</v>
      </c>
      <c r="E398" t="n">
        <v>0.0006195505713444399</v>
      </c>
      <c r="F398" t="n">
        <v>0.653867749915822</v>
      </c>
      <c r="G398" t="inlineStr">
        <is>
          <t>A</t>
        </is>
      </c>
      <c r="H398" t="n">
        <v>39</v>
      </c>
      <c r="I398" t="n">
        <v>5.538832275</v>
      </c>
      <c r="J398" t="n">
        <v>216.014458725</v>
      </c>
      <c r="K398" t="n">
        <v>4.7</v>
      </c>
      <c r="L398" t="n">
        <v>8.297872340425531</v>
      </c>
      <c r="M398" t="n">
        <v>2</v>
      </c>
      <c r="N398" t="n">
        <v>9.4</v>
      </c>
      <c r="O398" t="n">
        <v>29.6</v>
      </c>
      <c r="P398" t="n">
        <v>163.94943534</v>
      </c>
      <c r="Q398" t="n">
        <v>0.7589743589743591</v>
      </c>
      <c r="R398" t="inlineStr">
        <is>
          <t>Sobrestock crítico</t>
        </is>
      </c>
    </row>
    <row r="399">
      <c r="A399" t="inlineStr">
        <is>
          <t>HEA103EQ</t>
        </is>
      </c>
      <c r="B399" t="inlineStr">
        <is>
          <t>HEADBAND</t>
        </is>
      </c>
      <c r="C399" t="inlineStr">
        <is>
          <t>Equipamiento / Accesorios</t>
        </is>
      </c>
      <c r="D399" t="n">
        <v>2527.52748203</v>
      </c>
      <c r="E399" t="n">
        <v>0.0006188210516505732</v>
      </c>
      <c r="F399" t="n">
        <v>0.6544865709674725</v>
      </c>
      <c r="G399" t="inlineStr">
        <is>
          <t>A</t>
        </is>
      </c>
      <c r="H399" t="n">
        <v>610</v>
      </c>
      <c r="I399" t="n">
        <v>4.26</v>
      </c>
      <c r="J399" t="n">
        <v>2598.6</v>
      </c>
      <c r="K399" t="n">
        <v>19.8</v>
      </c>
      <c r="L399" t="n">
        <v>30.80808080808081</v>
      </c>
      <c r="M399" t="n">
        <v>2</v>
      </c>
      <c r="N399" t="n">
        <v>39.6</v>
      </c>
      <c r="O399" t="n">
        <v>570.4</v>
      </c>
      <c r="P399" t="n">
        <v>2429.904</v>
      </c>
      <c r="Q399" t="n">
        <v>0.9350819672131148</v>
      </c>
      <c r="R399" t="inlineStr">
        <is>
          <t>Sobrestock crítico</t>
        </is>
      </c>
    </row>
    <row r="400">
      <c r="A400" t="inlineStr">
        <is>
          <t>CLAMICA12TL</t>
        </is>
      </c>
      <c r="B400" t="inlineStr">
        <is>
          <t>CLASICA ORIGINAL CAB</t>
        </is>
      </c>
      <c r="C400" t="inlineStr">
        <is>
          <t>Manufactura / Caballero / P. Superiores</t>
        </is>
      </c>
      <c r="D400" t="n">
        <v>2524.71776379</v>
      </c>
      <c r="E400" t="n">
        <v>0.0006181331411101417</v>
      </c>
      <c r="F400" t="n">
        <v>0.6551047041085826</v>
      </c>
      <c r="G400" t="inlineStr">
        <is>
          <t>A</t>
        </is>
      </c>
      <c r="H400" t="n">
        <v>18</v>
      </c>
      <c r="I400" t="n">
        <v>4.598442536</v>
      </c>
      <c r="J400" t="n">
        <v>82.77196564800001</v>
      </c>
      <c r="K400" t="n">
        <v>8.800000000000001</v>
      </c>
      <c r="L400" t="n">
        <v>2.045454545454545</v>
      </c>
      <c r="M400" t="n">
        <v>2</v>
      </c>
      <c r="N400" t="n">
        <v>17.6</v>
      </c>
      <c r="O400" t="n">
        <v>0.3999999999999986</v>
      </c>
      <c r="P400" t="n">
        <v>1.839377014399994</v>
      </c>
      <c r="Q400" t="n">
        <v>0.02222222222222214</v>
      </c>
      <c r="R400" t="inlineStr">
        <is>
          <t>Sobrestock</t>
        </is>
      </c>
    </row>
    <row r="401">
      <c r="A401" t="inlineStr">
        <is>
          <t>MTOT151UN</t>
        </is>
      </c>
      <c r="B401" t="inlineStr">
        <is>
          <t>MAXI TOTE</t>
        </is>
      </c>
      <c r="C401" t="inlineStr">
        <is>
          <t>Equipamiento / Bolsos</t>
        </is>
      </c>
      <c r="D401" t="n">
        <v>2521.46640008</v>
      </c>
      <c r="E401" t="n">
        <v>0.000617337101373828</v>
      </c>
      <c r="F401" t="n">
        <v>0.6557220412099565</v>
      </c>
      <c r="G401" t="inlineStr">
        <is>
          <t>A</t>
        </is>
      </c>
      <c r="H401" t="n">
        <v>803</v>
      </c>
      <c r="I401" t="n">
        <v>17.13</v>
      </c>
      <c r="J401" t="n">
        <v>13755.39</v>
      </c>
      <c r="K401" t="n">
        <v>3.8</v>
      </c>
      <c r="L401" t="n">
        <v>211.3157894736842</v>
      </c>
      <c r="M401" t="n">
        <v>2</v>
      </c>
      <c r="N401" t="n">
        <v>7.6</v>
      </c>
      <c r="O401" t="n">
        <v>795.4</v>
      </c>
      <c r="P401" t="n">
        <v>13625.202</v>
      </c>
      <c r="Q401" t="n">
        <v>0.9905354919053549</v>
      </c>
      <c r="R401" t="inlineStr">
        <is>
          <t>Sobrestock crítico</t>
        </is>
      </c>
    </row>
    <row r="402">
      <c r="A402" t="inlineStr">
        <is>
          <t>DRY1610L</t>
        </is>
      </c>
      <c r="B402" t="inlineStr">
        <is>
          <t>DRY BAG 10L</t>
        </is>
      </c>
      <c r="C402" t="inlineStr">
        <is>
          <t>Equipamiento / Bolsos</t>
        </is>
      </c>
      <c r="D402" t="n">
        <v>2515.79160883</v>
      </c>
      <c r="E402" t="n">
        <v>0.0006159477276423099</v>
      </c>
      <c r="F402" t="n">
        <v>0.6563379889375989</v>
      </c>
      <c r="G402" t="inlineStr">
        <is>
          <t>A</t>
        </is>
      </c>
      <c r="H402" t="n">
        <v>134</v>
      </c>
      <c r="I402" t="n">
        <v>5.22</v>
      </c>
      <c r="J402" t="n">
        <v>699.48</v>
      </c>
      <c r="K402" t="n">
        <v>6</v>
      </c>
      <c r="L402" t="n">
        <v>22.33333333333333</v>
      </c>
      <c r="M402" t="n">
        <v>2</v>
      </c>
      <c r="N402" t="n">
        <v>12</v>
      </c>
      <c r="O402" t="n">
        <v>122</v>
      </c>
      <c r="P402" t="n">
        <v>636.8399999999999</v>
      </c>
      <c r="Q402" t="n">
        <v>0.9104477611940297</v>
      </c>
      <c r="R402" t="inlineStr">
        <is>
          <t>Sobrestock crítico</t>
        </is>
      </c>
    </row>
    <row r="403">
      <c r="A403" t="inlineStr">
        <is>
          <t>SHOSUCA156TM</t>
        </is>
      </c>
      <c r="B403" t="inlineStr">
        <is>
          <t>SHORT PLAYA ESTAMPADO CAB</t>
        </is>
      </c>
      <c r="C403" t="inlineStr">
        <is>
          <t>Manufactura / Caballero / P. Inferiores</t>
        </is>
      </c>
      <c r="D403" t="n">
        <v>2514.94965654</v>
      </c>
      <c r="E403" t="n">
        <v>0.0006157415902985059</v>
      </c>
      <c r="F403" t="n">
        <v>0.6569537305278974</v>
      </c>
      <c r="G403" t="inlineStr">
        <is>
          <t>A</t>
        </is>
      </c>
      <c r="H403" t="n">
        <v>3</v>
      </c>
      <c r="I403" t="n">
        <v>12.11</v>
      </c>
      <c r="J403" t="n">
        <v>36.33</v>
      </c>
      <c r="K403" t="n">
        <v>4.8</v>
      </c>
      <c r="L403" t="n">
        <v>0.625</v>
      </c>
      <c r="M403" t="n">
        <v>2</v>
      </c>
      <c r="N403" t="n">
        <v>9.6</v>
      </c>
      <c r="O403" t="n">
        <v>0</v>
      </c>
      <c r="P403" t="n">
        <v>0</v>
      </c>
      <c r="Q403" t="n">
        <v>0</v>
      </c>
      <c r="R403" t="inlineStr">
        <is>
          <t>Riesgo bajo stock</t>
        </is>
      </c>
    </row>
    <row r="404">
      <c r="A404" t="inlineStr">
        <is>
          <t>RIOMICA13TXL</t>
        </is>
      </c>
      <c r="B404" t="inlineStr">
        <is>
          <t>RIO ORIGINAL CAB</t>
        </is>
      </c>
      <c r="C404" t="inlineStr">
        <is>
          <t>Manufactura / Caballero / P. Superiores</t>
        </is>
      </c>
      <c r="D404" t="n">
        <v>2510.04270953</v>
      </c>
      <c r="E404" t="n">
        <v>0.0006145402098463801</v>
      </c>
      <c r="F404" t="n">
        <v>0.6575682707377437</v>
      </c>
      <c r="G404" t="inlineStr">
        <is>
          <t>A</t>
        </is>
      </c>
      <c r="H404" t="n">
        <v>21</v>
      </c>
      <c r="I404" t="n">
        <v>5.939350288</v>
      </c>
      <c r="J404" t="n">
        <v>124.726356048</v>
      </c>
      <c r="K404" t="n">
        <v>4.8</v>
      </c>
      <c r="L404" t="n">
        <v>4.375</v>
      </c>
      <c r="M404" t="n">
        <v>2</v>
      </c>
      <c r="N404" t="n">
        <v>9.6</v>
      </c>
      <c r="O404" t="n">
        <v>11.4</v>
      </c>
      <c r="P404" t="n">
        <v>67.7085932832</v>
      </c>
      <c r="Q404" t="n">
        <v>0.5428571428571429</v>
      </c>
      <c r="R404" t="inlineStr">
        <is>
          <t>Sobrestock crítico</t>
        </is>
      </c>
    </row>
    <row r="405">
      <c r="A405" t="inlineStr">
        <is>
          <t>CLAMIDA12TM</t>
        </is>
      </c>
      <c r="B405" t="inlineStr">
        <is>
          <t>CLASICA ORIGINAL DAMA</t>
        </is>
      </c>
      <c r="C405" t="inlineStr">
        <is>
          <t>Manufactura / Dama / P. Superiores</t>
        </is>
      </c>
      <c r="D405" t="n">
        <v>2502.63269259</v>
      </c>
      <c r="E405" t="n">
        <v>0.0006127259963479469</v>
      </c>
      <c r="F405" t="n">
        <v>0.6581809967340917</v>
      </c>
      <c r="G405" t="inlineStr">
        <is>
          <t>A</t>
        </is>
      </c>
      <c r="H405" t="n">
        <v>7</v>
      </c>
      <c r="I405" t="n">
        <v>3.923227589</v>
      </c>
      <c r="J405" t="n">
        <v>27.462593123</v>
      </c>
      <c r="K405" t="n">
        <v>8.1</v>
      </c>
      <c r="L405" t="n">
        <v>0.8641975308641976</v>
      </c>
      <c r="M405" t="n">
        <v>2</v>
      </c>
      <c r="N405" t="n">
        <v>16.2</v>
      </c>
      <c r="O405" t="n">
        <v>0</v>
      </c>
      <c r="P405" t="n">
        <v>0</v>
      </c>
      <c r="Q405" t="n">
        <v>0</v>
      </c>
      <c r="R405" t="inlineStr">
        <is>
          <t>Riesgo bajo stock</t>
        </is>
      </c>
    </row>
    <row r="406">
      <c r="A406" t="inlineStr">
        <is>
          <t>CGCSDA16TXS</t>
        </is>
      </c>
      <c r="B406" t="inlineStr">
        <is>
          <t>CLASICA GC SUBLIMADO DAMA</t>
        </is>
      </c>
      <c r="C406" t="inlineStr">
        <is>
          <t>Manufactura / Dama / P. Superiores</t>
        </is>
      </c>
      <c r="D406" t="n">
        <v>2499.877982066</v>
      </c>
      <c r="E406" t="n">
        <v>0.0006120515534880476</v>
      </c>
      <c r="F406" t="n">
        <v>0.6587930482875798</v>
      </c>
      <c r="G406" t="inlineStr">
        <is>
          <t>A</t>
        </is>
      </c>
      <c r="H406" t="n">
        <v>0</v>
      </c>
      <c r="I406" t="n">
        <v>0</v>
      </c>
      <c r="J406" t="n">
        <v>0</v>
      </c>
      <c r="K406" t="n">
        <v>19.8</v>
      </c>
      <c r="L406" t="n">
        <v>0</v>
      </c>
      <c r="M406" t="n">
        <v>2</v>
      </c>
      <c r="N406" t="n">
        <v>39.6</v>
      </c>
      <c r="O406" t="n">
        <v>0</v>
      </c>
      <c r="P406" t="n">
        <v>0</v>
      </c>
      <c r="Q406" t="n">
        <v>0</v>
      </c>
      <c r="R406" t="inlineStr">
        <is>
          <t>Riesgo bajo stock</t>
        </is>
      </c>
    </row>
    <row r="407">
      <c r="A407" t="inlineStr">
        <is>
          <t>MARMIKI16T12</t>
        </is>
      </c>
      <c r="B407" t="inlineStr">
        <is>
          <t>MAR ORIGINAL KIDS</t>
        </is>
      </c>
      <c r="C407" t="inlineStr">
        <is>
          <t>Manufactura / Kids / P. Superiores</t>
        </is>
      </c>
      <c r="D407" t="n">
        <v>2497.19349486</v>
      </c>
      <c r="E407" t="n">
        <v>0.000611394303583637</v>
      </c>
      <c r="F407" t="n">
        <v>0.6594044425911634</v>
      </c>
      <c r="G407" t="inlineStr">
        <is>
          <t>A</t>
        </is>
      </c>
      <c r="H407" t="n">
        <v>24</v>
      </c>
      <c r="I407" t="n">
        <v>3.168013332</v>
      </c>
      <c r="J407" t="n">
        <v>76.032319968</v>
      </c>
      <c r="K407" t="n">
        <v>6.6</v>
      </c>
      <c r="L407" t="n">
        <v>3.636363636363637</v>
      </c>
      <c r="M407" t="n">
        <v>2</v>
      </c>
      <c r="N407" t="n">
        <v>13.2</v>
      </c>
      <c r="O407" t="n">
        <v>10.8</v>
      </c>
      <c r="P407" t="n">
        <v>34.2145439856</v>
      </c>
      <c r="Q407" t="n">
        <v>0.4500000000000001</v>
      </c>
      <c r="R407" t="inlineStr">
        <is>
          <t>Sobrestock crítico</t>
        </is>
      </c>
    </row>
    <row r="408">
      <c r="A408" t="inlineStr">
        <is>
          <t>SHONRCA30TM</t>
        </is>
      </c>
      <c r="B408" t="inlineStr">
        <is>
          <t>SHORT SPORT CAB</t>
        </is>
      </c>
      <c r="C408" t="inlineStr">
        <is>
          <t>Manufactura / Caballero / P. Inferiores</t>
        </is>
      </c>
      <c r="D408" t="n">
        <v>2494.07061536</v>
      </c>
      <c r="E408" t="n">
        <v>0.000610629720966788</v>
      </c>
      <c r="F408" t="n">
        <v>0.6600150723121301</v>
      </c>
      <c r="G408" t="inlineStr">
        <is>
          <t>A</t>
        </is>
      </c>
      <c r="H408" t="n">
        <v>1</v>
      </c>
      <c r="I408" t="n">
        <v>10.6514486</v>
      </c>
      <c r="J408" t="n">
        <v>10.6514486</v>
      </c>
      <c r="K408" t="n">
        <v>6.5</v>
      </c>
      <c r="L408" t="n">
        <v>0.1538461538461539</v>
      </c>
      <c r="M408" t="n">
        <v>2</v>
      </c>
      <c r="N408" t="n">
        <v>13</v>
      </c>
      <c r="O408" t="n">
        <v>0</v>
      </c>
      <c r="P408" t="n">
        <v>0</v>
      </c>
      <c r="Q408" t="n">
        <v>0</v>
      </c>
      <c r="R408" t="inlineStr">
        <is>
          <t>Riesgo bajo stock</t>
        </is>
      </c>
    </row>
    <row r="409">
      <c r="A409" t="inlineStr">
        <is>
          <t>POLPLCA33TL</t>
        </is>
      </c>
      <c r="B409" t="inlineStr">
        <is>
          <t>CLASSIC POLO</t>
        </is>
      </c>
      <c r="C409" t="inlineStr">
        <is>
          <t>Manufactura / Caballero / P. Superiores</t>
        </is>
      </c>
      <c r="D409" t="n">
        <v>2493.69462587</v>
      </c>
      <c r="E409" t="n">
        <v>0.0006105376664932896</v>
      </c>
      <c r="F409" t="n">
        <v>0.6606256099786235</v>
      </c>
      <c r="G409" t="inlineStr">
        <is>
          <t>A</t>
        </is>
      </c>
      <c r="H409" t="n">
        <v>43</v>
      </c>
      <c r="I409" t="n">
        <v>7.34</v>
      </c>
      <c r="J409" t="n">
        <v>315.62</v>
      </c>
      <c r="K409" t="n">
        <v>5.7</v>
      </c>
      <c r="L409" t="n">
        <v>7.543859649122806</v>
      </c>
      <c r="M409" t="n">
        <v>2</v>
      </c>
      <c r="N409" t="n">
        <v>11.4</v>
      </c>
      <c r="O409" t="n">
        <v>31.6</v>
      </c>
      <c r="P409" t="n">
        <v>231.944</v>
      </c>
      <c r="Q409" t="n">
        <v>0.7348837209302326</v>
      </c>
      <c r="R409" t="inlineStr">
        <is>
          <t>Sobrestock crítico</t>
        </is>
      </c>
    </row>
    <row r="410">
      <c r="A410" t="inlineStr">
        <is>
          <t>MARMICA66T2XL</t>
        </is>
      </c>
      <c r="B410" t="inlineStr">
        <is>
          <t>MAR ORIGINAL CAB</t>
        </is>
      </c>
      <c r="C410" t="inlineStr">
        <is>
          <t>Manufactura / Caballero / P. Superiores</t>
        </is>
      </c>
      <c r="D410" t="n">
        <v>2488.96795324</v>
      </c>
      <c r="E410" t="n">
        <v>0.000609380423081101</v>
      </c>
      <c r="F410" t="n">
        <v>0.6612349904017045</v>
      </c>
      <c r="G410" t="inlineStr">
        <is>
          <t>A</t>
        </is>
      </c>
      <c r="H410" t="n">
        <v>22</v>
      </c>
      <c r="I410" t="n">
        <v>4.946357428</v>
      </c>
      <c r="J410" t="n">
        <v>108.819863416</v>
      </c>
      <c r="K410" t="n">
        <v>4.9</v>
      </c>
      <c r="L410" t="n">
        <v>4.489795918367347</v>
      </c>
      <c r="M410" t="n">
        <v>2</v>
      </c>
      <c r="N410" t="n">
        <v>9.800000000000001</v>
      </c>
      <c r="O410" t="n">
        <v>12.2</v>
      </c>
      <c r="P410" t="n">
        <v>60.34556062159999</v>
      </c>
      <c r="Q410" t="n">
        <v>0.5545454545454546</v>
      </c>
      <c r="R410" t="inlineStr">
        <is>
          <t>Sobrestock crítico</t>
        </is>
      </c>
    </row>
    <row r="411">
      <c r="A411" t="inlineStr">
        <is>
          <t>MARMIKI43T12</t>
        </is>
      </c>
      <c r="B411" t="inlineStr">
        <is>
          <t>MAR ORIGINAL KIDS</t>
        </is>
      </c>
      <c r="C411" t="inlineStr">
        <is>
          <t>Manufactura / Kids / P. Superiores</t>
        </is>
      </c>
      <c r="D411" t="n">
        <v>2488.9381789</v>
      </c>
      <c r="E411" t="n">
        <v>0.0006093731333528896</v>
      </c>
      <c r="F411" t="n">
        <v>0.6618443635350574</v>
      </c>
      <c r="G411" t="inlineStr">
        <is>
          <t>A</t>
        </is>
      </c>
      <c r="H411" t="n">
        <v>11</v>
      </c>
      <c r="I411" t="n">
        <v>3.168013332</v>
      </c>
      <c r="J411" t="n">
        <v>34.848146652</v>
      </c>
      <c r="K411" t="n">
        <v>6.5</v>
      </c>
      <c r="L411" t="n">
        <v>1.692307692307692</v>
      </c>
      <c r="M411" t="n">
        <v>2</v>
      </c>
      <c r="N411" t="n">
        <v>13</v>
      </c>
      <c r="O411" t="n">
        <v>0</v>
      </c>
      <c r="P411" t="n">
        <v>0</v>
      </c>
      <c r="Q411" t="n">
        <v>0</v>
      </c>
      <c r="R411" t="inlineStr">
        <is>
          <t>OK</t>
        </is>
      </c>
    </row>
    <row r="412">
      <c r="A412" t="inlineStr">
        <is>
          <t>PANNTDA12TL</t>
        </is>
      </c>
      <c r="B412" t="inlineStr">
        <is>
          <t>EXPLORE PANTS DAMA</t>
        </is>
      </c>
      <c r="C412" t="inlineStr">
        <is>
          <t>Manufactura / Dama / P. Inferiores</t>
        </is>
      </c>
      <c r="D412" t="n">
        <v>2484.37211439</v>
      </c>
      <c r="E412" t="n">
        <v>0.0006082552120396412</v>
      </c>
      <c r="F412" t="n">
        <v>0.662452618747097</v>
      </c>
      <c r="G412" t="inlineStr">
        <is>
          <t>A</t>
        </is>
      </c>
      <c r="H412" t="n">
        <v>10</v>
      </c>
      <c r="I412" t="n">
        <v>15.3928899</v>
      </c>
      <c r="J412" t="n">
        <v>153.928899</v>
      </c>
      <c r="K412" t="n">
        <v>3.6</v>
      </c>
      <c r="L412" t="n">
        <v>2.777777777777778</v>
      </c>
      <c r="M412" t="n">
        <v>2</v>
      </c>
      <c r="N412" t="n">
        <v>7.2</v>
      </c>
      <c r="O412" t="n">
        <v>2.8</v>
      </c>
      <c r="P412" t="n">
        <v>43.10009171999999</v>
      </c>
      <c r="Q412" t="n">
        <v>0.28</v>
      </c>
      <c r="R412" t="inlineStr">
        <is>
          <t>Sobrestock</t>
        </is>
      </c>
    </row>
    <row r="413">
      <c r="A413" t="inlineStr">
        <is>
          <t>MARMIKI12T12</t>
        </is>
      </c>
      <c r="B413" t="inlineStr">
        <is>
          <t>MAR ORIGINAL KIDS</t>
        </is>
      </c>
      <c r="C413" t="inlineStr">
        <is>
          <t>Manufactura / Kids / P. Superiores</t>
        </is>
      </c>
      <c r="D413" t="n">
        <v>2483.55609698</v>
      </c>
      <c r="E413" t="n">
        <v>0.0006080554243991855</v>
      </c>
      <c r="F413" t="n">
        <v>0.6630606741714963</v>
      </c>
      <c r="G413" t="inlineStr">
        <is>
          <t>A</t>
        </is>
      </c>
      <c r="H413" t="n">
        <v>25</v>
      </c>
      <c r="I413" t="n">
        <v>3.168013332</v>
      </c>
      <c r="J413" t="n">
        <v>79.2003333</v>
      </c>
      <c r="K413" t="n">
        <v>6.7</v>
      </c>
      <c r="L413" t="n">
        <v>3.73134328358209</v>
      </c>
      <c r="M413" t="n">
        <v>2</v>
      </c>
      <c r="N413" t="n">
        <v>13.4</v>
      </c>
      <c r="O413" t="n">
        <v>11.6</v>
      </c>
      <c r="P413" t="n">
        <v>36.7489546512</v>
      </c>
      <c r="Q413" t="n">
        <v>0.464</v>
      </c>
      <c r="R413" t="inlineStr">
        <is>
          <t>Sobrestock crítico</t>
        </is>
      </c>
    </row>
    <row r="414">
      <c r="A414" t="inlineStr">
        <is>
          <t>RIOMICA16TM</t>
        </is>
      </c>
      <c r="B414" t="inlineStr">
        <is>
          <t>RIO ORIGINAL CAB</t>
        </is>
      </c>
      <c r="C414" t="inlineStr">
        <is>
          <t>Manufactura / Caballero / P. Superiores</t>
        </is>
      </c>
      <c r="D414" t="n">
        <v>2483.25643272</v>
      </c>
      <c r="E414" t="n">
        <v>0.0006079820568279786</v>
      </c>
      <c r="F414" t="n">
        <v>0.6636686562283243</v>
      </c>
      <c r="G414" t="inlineStr">
        <is>
          <t>A</t>
        </is>
      </c>
      <c r="H414" t="n">
        <v>20</v>
      </c>
      <c r="I414" t="n">
        <v>5.939350288</v>
      </c>
      <c r="J414" t="n">
        <v>118.78700576</v>
      </c>
      <c r="K414" t="n">
        <v>4.4</v>
      </c>
      <c r="L414" t="n">
        <v>4.545454545454545</v>
      </c>
      <c r="M414" t="n">
        <v>2</v>
      </c>
      <c r="N414" t="n">
        <v>8.800000000000001</v>
      </c>
      <c r="O414" t="n">
        <v>11.2</v>
      </c>
      <c r="P414" t="n">
        <v>66.52072322559999</v>
      </c>
      <c r="Q414" t="n">
        <v>0.5599999999999999</v>
      </c>
      <c r="R414" t="inlineStr">
        <is>
          <t>Sobrestock crítico</t>
        </is>
      </c>
    </row>
    <row r="415">
      <c r="A415" t="inlineStr">
        <is>
          <t>JACKI01T12</t>
        </is>
      </c>
      <c r="B415" t="inlineStr">
        <is>
          <t>JACKET KIDS</t>
        </is>
      </c>
      <c r="C415" t="inlineStr">
        <is>
          <t>Manufactura / Kids / P. Superiores</t>
        </is>
      </c>
      <c r="D415" t="n">
        <v>2481.97128141</v>
      </c>
      <c r="E415" t="n">
        <v>0.0006076674099286517</v>
      </c>
      <c r="F415" t="n">
        <v>0.6642763236382528</v>
      </c>
      <c r="G415" t="inlineStr">
        <is>
          <t>A</t>
        </is>
      </c>
      <c r="H415" t="n">
        <v>98</v>
      </c>
      <c r="I415" t="n">
        <v>15.17</v>
      </c>
      <c r="J415" t="n">
        <v>1486.66</v>
      </c>
      <c r="K415" t="n">
        <v>4.3</v>
      </c>
      <c r="L415" t="n">
        <v>22.79069767441861</v>
      </c>
      <c r="M415" t="n">
        <v>2</v>
      </c>
      <c r="N415" t="n">
        <v>8.6</v>
      </c>
      <c r="O415" t="n">
        <v>89.40000000000001</v>
      </c>
      <c r="P415" t="n">
        <v>1356.198</v>
      </c>
      <c r="Q415" t="n">
        <v>0.9122448979591837</v>
      </c>
      <c r="R415" t="inlineStr">
        <is>
          <t>Sobrestock crítico</t>
        </is>
      </c>
    </row>
    <row r="416">
      <c r="A416" t="inlineStr">
        <is>
          <t>RIOMICA13TM</t>
        </is>
      </c>
      <c r="B416" t="inlineStr">
        <is>
          <t>RIO ORIGINAL CAB</t>
        </is>
      </c>
      <c r="C416" t="inlineStr">
        <is>
          <t>Manufactura / Caballero / P. Superiores</t>
        </is>
      </c>
      <c r="D416" t="n">
        <v>2472.41748825</v>
      </c>
      <c r="E416" t="n">
        <v>0.0006053283301866681</v>
      </c>
      <c r="F416" t="n">
        <v>0.6648816519684396</v>
      </c>
      <c r="G416" t="inlineStr">
        <is>
          <t>A</t>
        </is>
      </c>
      <c r="H416" t="n">
        <v>8</v>
      </c>
      <c r="I416" t="n">
        <v>5.939350288</v>
      </c>
      <c r="J416" t="n">
        <v>47.514802304</v>
      </c>
      <c r="K416" t="n">
        <v>4.6</v>
      </c>
      <c r="L416" t="n">
        <v>1.739130434782609</v>
      </c>
      <c r="M416" t="n">
        <v>2</v>
      </c>
      <c r="N416" t="n">
        <v>9.199999999999999</v>
      </c>
      <c r="O416" t="n">
        <v>0</v>
      </c>
      <c r="P416" t="n">
        <v>0</v>
      </c>
      <c r="Q416" t="n">
        <v>0</v>
      </c>
      <c r="R416" t="inlineStr">
        <is>
          <t>OK</t>
        </is>
      </c>
    </row>
    <row r="417">
      <c r="A417" t="inlineStr">
        <is>
          <t>POLPLCA30TL</t>
        </is>
      </c>
      <c r="B417" t="inlineStr">
        <is>
          <t>CLASSIC POLO</t>
        </is>
      </c>
      <c r="C417" t="inlineStr">
        <is>
          <t>Manufactura / Caballero / P. Superiores</t>
        </is>
      </c>
      <c r="D417" t="n">
        <v>2469.5152809</v>
      </c>
      <c r="E417" t="n">
        <v>0.0006046177752996476</v>
      </c>
      <c r="F417" t="n">
        <v>0.6654862697437393</v>
      </c>
      <c r="G417" t="inlineStr">
        <is>
          <t>A</t>
        </is>
      </c>
      <c r="H417" t="n">
        <v>2</v>
      </c>
      <c r="I417" t="n">
        <v>7.34</v>
      </c>
      <c r="J417" t="n">
        <v>14.68</v>
      </c>
      <c r="K417" t="n">
        <v>5.6</v>
      </c>
      <c r="L417" t="n">
        <v>0.3571428571428572</v>
      </c>
      <c r="M417" t="n">
        <v>2</v>
      </c>
      <c r="N417" t="n">
        <v>11.2</v>
      </c>
      <c r="O417" t="n">
        <v>0</v>
      </c>
      <c r="P417" t="n">
        <v>0</v>
      </c>
      <c r="Q417" t="n">
        <v>0</v>
      </c>
      <c r="R417" t="inlineStr">
        <is>
          <t>Riesgo bajo stock</t>
        </is>
      </c>
    </row>
    <row r="418">
      <c r="A418" t="inlineStr">
        <is>
          <t>JACDA33TXS</t>
        </is>
      </c>
      <c r="B418" t="inlineStr">
        <is>
          <t>JACKET DAMA</t>
        </is>
      </c>
      <c r="C418" t="inlineStr">
        <is>
          <t>Equipamiento / Ropa</t>
        </is>
      </c>
      <c r="D418" t="n">
        <v>2467.69992346</v>
      </c>
      <c r="E418" t="n">
        <v>0.0006041733166703628</v>
      </c>
      <c r="F418" t="n">
        <v>0.6660904430604095</v>
      </c>
      <c r="G418" t="inlineStr">
        <is>
          <t>A</t>
        </is>
      </c>
      <c r="H418" t="n">
        <v>0</v>
      </c>
      <c r="I418" t="n">
        <v>20.25</v>
      </c>
      <c r="J418" t="n">
        <v>0</v>
      </c>
      <c r="K418" t="n">
        <v>3.9</v>
      </c>
      <c r="L418" t="n">
        <v>0</v>
      </c>
      <c r="M418" t="n">
        <v>2</v>
      </c>
      <c r="N418" t="n">
        <v>7.8</v>
      </c>
      <c r="O418" t="n">
        <v>0</v>
      </c>
      <c r="P418" t="n">
        <v>0</v>
      </c>
      <c r="Q418" t="n">
        <v>0</v>
      </c>
      <c r="R418" t="inlineStr">
        <is>
          <t>Riesgo bajo stock</t>
        </is>
      </c>
    </row>
    <row r="419">
      <c r="A419" t="inlineStr">
        <is>
          <t>JAPDA162TL</t>
        </is>
      </c>
      <c r="B419" t="inlineStr">
        <is>
          <t>CUADRO JACKET 2.0 DAMA</t>
        </is>
      </c>
      <c r="C419" t="inlineStr">
        <is>
          <t>Equipamiento / Ropa</t>
        </is>
      </c>
      <c r="D419" t="n">
        <v>2467.64620905</v>
      </c>
      <c r="E419" t="n">
        <v>0.0006041601656332638</v>
      </c>
      <c r="F419" t="n">
        <v>0.6666946032260428</v>
      </c>
      <c r="G419" t="inlineStr">
        <is>
          <t>A</t>
        </is>
      </c>
      <c r="H419" t="n">
        <v>156</v>
      </c>
      <c r="I419" t="n">
        <v>20.25</v>
      </c>
      <c r="J419" t="n">
        <v>3159</v>
      </c>
      <c r="K419" t="n">
        <v>3.4</v>
      </c>
      <c r="L419" t="n">
        <v>45.88235294117647</v>
      </c>
      <c r="M419" t="n">
        <v>2</v>
      </c>
      <c r="N419" t="n">
        <v>6.8</v>
      </c>
      <c r="O419" t="n">
        <v>149.2</v>
      </c>
      <c r="P419" t="n">
        <v>3021.3</v>
      </c>
      <c r="Q419" t="n">
        <v>0.9564102564102563</v>
      </c>
      <c r="R419" t="inlineStr">
        <is>
          <t>Sobrestock crítico</t>
        </is>
      </c>
    </row>
    <row r="420">
      <c r="A420" t="inlineStr">
        <is>
          <t>SHOSUCA154TM</t>
        </is>
      </c>
      <c r="B420" t="inlineStr">
        <is>
          <t>SHORT PLAYA ESTAMPADO CAB</t>
        </is>
      </c>
      <c r="C420" t="inlineStr">
        <is>
          <t>Manufactura / Caballero / P. Inferiores</t>
        </is>
      </c>
      <c r="D420" t="n">
        <v>2463.70778062</v>
      </c>
      <c r="E420" t="n">
        <v>0.0006031959100751222</v>
      </c>
      <c r="F420" t="n">
        <v>0.667297799136118</v>
      </c>
      <c r="G420" t="inlineStr">
        <is>
          <t>A</t>
        </is>
      </c>
      <c r="H420" t="n">
        <v>55</v>
      </c>
      <c r="I420" t="n">
        <v>12.11</v>
      </c>
      <c r="J420" t="n">
        <v>666.05</v>
      </c>
      <c r="K420" t="n">
        <v>4.5</v>
      </c>
      <c r="L420" t="n">
        <v>12.22222222222222</v>
      </c>
      <c r="M420" t="n">
        <v>2</v>
      </c>
      <c r="N420" t="n">
        <v>9</v>
      </c>
      <c r="O420" t="n">
        <v>46</v>
      </c>
      <c r="P420" t="n">
        <v>557.0599999999999</v>
      </c>
      <c r="Q420" t="n">
        <v>0.8363636363636363</v>
      </c>
      <c r="R420" t="inlineStr">
        <is>
          <t>Sobrestock crítico</t>
        </is>
      </c>
    </row>
    <row r="421">
      <c r="A421" t="inlineStr">
        <is>
          <t>JACCA43T2XL</t>
        </is>
      </c>
      <c r="B421" t="inlineStr">
        <is>
          <t>JACKET CAB</t>
        </is>
      </c>
      <c r="C421" t="inlineStr">
        <is>
          <t>Equipamiento / Ropa</t>
        </is>
      </c>
      <c r="D421" t="n">
        <v>2462.70138331</v>
      </c>
      <c r="E421" t="n">
        <v>0.0006029495112342865</v>
      </c>
      <c r="F421" t="n">
        <v>0.6679007486473523</v>
      </c>
      <c r="G421" t="inlineStr">
        <is>
          <t>A</t>
        </is>
      </c>
      <c r="H421" t="n">
        <v>2</v>
      </c>
      <c r="I421" t="n">
        <v>20.25001933</v>
      </c>
      <c r="J421" t="n">
        <v>40.50003866</v>
      </c>
      <c r="K421" t="n">
        <v>4</v>
      </c>
      <c r="L421" t="n">
        <v>0.5</v>
      </c>
      <c r="M421" t="n">
        <v>2</v>
      </c>
      <c r="N421" t="n">
        <v>8</v>
      </c>
      <c r="O421" t="n">
        <v>0</v>
      </c>
      <c r="P421" t="n">
        <v>0</v>
      </c>
      <c r="Q421" t="n">
        <v>0</v>
      </c>
      <c r="R421" t="inlineStr">
        <is>
          <t>Riesgo bajo stock</t>
        </is>
      </c>
    </row>
    <row r="422">
      <c r="A422" t="inlineStr">
        <is>
          <t>SHONRCA12TL</t>
        </is>
      </c>
      <c r="B422" t="inlineStr">
        <is>
          <t>SHORT SPORT CAB</t>
        </is>
      </c>
      <c r="C422" t="inlineStr">
        <is>
          <t>Manufactura / Caballero / P. Inferiores</t>
        </is>
      </c>
      <c r="D422" t="n">
        <v>2445.47186984</v>
      </c>
      <c r="E422" t="n">
        <v>0.0005987311651546745</v>
      </c>
      <c r="F422" t="n">
        <v>0.668499479812507</v>
      </c>
      <c r="G422" t="inlineStr">
        <is>
          <t>A</t>
        </is>
      </c>
      <c r="H422" t="n">
        <v>13</v>
      </c>
      <c r="I422" t="n">
        <v>10.6514486</v>
      </c>
      <c r="J422" t="n">
        <v>138.4688318</v>
      </c>
      <c r="K422" t="n">
        <v>6</v>
      </c>
      <c r="L422" t="n">
        <v>2.166666666666667</v>
      </c>
      <c r="M422" t="n">
        <v>2</v>
      </c>
      <c r="N422" t="n">
        <v>12</v>
      </c>
      <c r="O422" t="n">
        <v>1</v>
      </c>
      <c r="P422" t="n">
        <v>10.6514486</v>
      </c>
      <c r="Q422" t="n">
        <v>0.07692307692307693</v>
      </c>
      <c r="R422" t="inlineStr">
        <is>
          <t>Sobrestock</t>
        </is>
      </c>
    </row>
    <row r="423">
      <c r="A423" t="inlineStr">
        <is>
          <t>BACCCDA38TL</t>
        </is>
      </c>
      <c r="B423" t="inlineStr">
        <is>
          <t>BASIC LINE CROP TEE DAMA</t>
        </is>
      </c>
      <c r="C423" t="inlineStr">
        <is>
          <t>Manufactura / Dama / P. Superiores</t>
        </is>
      </c>
      <c r="D423" t="n">
        <v>2442.04091273</v>
      </c>
      <c r="E423" t="n">
        <v>0.0005978911551045075</v>
      </c>
      <c r="F423" t="n">
        <v>0.6690973709676115</v>
      </c>
      <c r="G423" t="inlineStr">
        <is>
          <t>A</t>
        </is>
      </c>
      <c r="H423" t="n">
        <v>39</v>
      </c>
      <c r="I423" t="n">
        <v>6.196330832999999</v>
      </c>
      <c r="J423" t="n">
        <v>241.656902487</v>
      </c>
      <c r="K423" t="n">
        <v>4.8</v>
      </c>
      <c r="L423" t="n">
        <v>8.125</v>
      </c>
      <c r="M423" t="n">
        <v>2</v>
      </c>
      <c r="N423" t="n">
        <v>9.6</v>
      </c>
      <c r="O423" t="n">
        <v>29.4</v>
      </c>
      <c r="P423" t="n">
        <v>182.1721264902</v>
      </c>
      <c r="Q423" t="n">
        <v>0.7538461538461537</v>
      </c>
      <c r="R423" t="inlineStr">
        <is>
          <t>Sobrestock crítico</t>
        </is>
      </c>
    </row>
    <row r="424">
      <c r="A424" t="inlineStr">
        <is>
          <t>BAOCCCA43TL</t>
        </is>
      </c>
      <c r="B424" t="inlineStr">
        <is>
          <t>BASIC LINE OVERSIZED CAB</t>
        </is>
      </c>
      <c r="C424" t="inlineStr">
        <is>
          <t>Manufactura / Caballero / P. Superiores</t>
        </is>
      </c>
      <c r="D424" t="n">
        <v>2418.88346275</v>
      </c>
      <c r="E424" t="n">
        <v>0.00059222145708854</v>
      </c>
      <c r="F424" t="n">
        <v>0.6696895924247001</v>
      </c>
      <c r="G424" t="inlineStr">
        <is>
          <t>A</t>
        </is>
      </c>
      <c r="H424" t="n">
        <v>15</v>
      </c>
      <c r="I424" t="n">
        <v>9.336740741</v>
      </c>
      <c r="J424" t="n">
        <v>140.051111115</v>
      </c>
      <c r="K424" t="n">
        <v>4.9</v>
      </c>
      <c r="L424" t="n">
        <v>3.061224489795918</v>
      </c>
      <c r="M424" t="n">
        <v>2</v>
      </c>
      <c r="N424" t="n">
        <v>9.800000000000001</v>
      </c>
      <c r="O424" t="n">
        <v>5.199999999999999</v>
      </c>
      <c r="P424" t="n">
        <v>48.55105185319999</v>
      </c>
      <c r="Q424" t="n">
        <v>0.3466666666666666</v>
      </c>
      <c r="R424" t="inlineStr">
        <is>
          <t>Sobrestock crítico</t>
        </is>
      </c>
    </row>
    <row r="425">
      <c r="A425" t="inlineStr">
        <is>
          <t>PANNTDA31TM</t>
        </is>
      </c>
      <c r="B425" t="inlineStr">
        <is>
          <t>EXPLORE PANTS DAMA</t>
        </is>
      </c>
      <c r="C425" t="inlineStr">
        <is>
          <t>Manufactura / Dama / P. Inferiores</t>
        </is>
      </c>
      <c r="D425" t="n">
        <v>2411.97719743</v>
      </c>
      <c r="E425" t="n">
        <v>0.0005905305783943674</v>
      </c>
      <c r="F425" t="n">
        <v>0.6702801230030944</v>
      </c>
      <c r="G425" t="inlineStr">
        <is>
          <t>A</t>
        </is>
      </c>
      <c r="H425" t="n">
        <v>13</v>
      </c>
      <c r="I425" t="n">
        <v>15.3928899</v>
      </c>
      <c r="J425" t="n">
        <v>200.1075687</v>
      </c>
      <c r="K425" t="n">
        <v>3.8</v>
      </c>
      <c r="L425" t="n">
        <v>3.421052631578947</v>
      </c>
      <c r="M425" t="n">
        <v>2</v>
      </c>
      <c r="N425" t="n">
        <v>7.6</v>
      </c>
      <c r="O425" t="n">
        <v>5.4</v>
      </c>
      <c r="P425" t="n">
        <v>83.12160546000001</v>
      </c>
      <c r="Q425" t="n">
        <v>0.4153846153846155</v>
      </c>
      <c r="R425" t="inlineStr">
        <is>
          <t>Sobrestock crítico</t>
        </is>
      </c>
    </row>
    <row r="426">
      <c r="A426" t="inlineStr">
        <is>
          <t>MARMIDA30TM</t>
        </is>
      </c>
      <c r="B426" t="inlineStr">
        <is>
          <t>MAR ORIGINAL DAMA</t>
        </is>
      </c>
      <c r="C426" t="inlineStr">
        <is>
          <t>Manufactura / Dama / P. Superiores</t>
        </is>
      </c>
      <c r="D426" t="n">
        <v>2406.80950409</v>
      </c>
      <c r="E426" t="n">
        <v>0.0005892653587478936</v>
      </c>
      <c r="F426" t="n">
        <v>0.6708693883618423</v>
      </c>
      <c r="G426" t="inlineStr">
        <is>
          <t>A</t>
        </is>
      </c>
      <c r="H426" t="n">
        <v>7</v>
      </c>
      <c r="I426" t="n">
        <v>4.278324149</v>
      </c>
      <c r="J426" t="n">
        <v>29.948269043</v>
      </c>
      <c r="K426" t="n">
        <v>5.7</v>
      </c>
      <c r="L426" t="n">
        <v>1.228070175438597</v>
      </c>
      <c r="M426" t="n">
        <v>2</v>
      </c>
      <c r="N426" t="n">
        <v>11.4</v>
      </c>
      <c r="O426" t="n">
        <v>0</v>
      </c>
      <c r="P426" t="n">
        <v>0</v>
      </c>
      <c r="Q426" t="n">
        <v>0</v>
      </c>
      <c r="R426" t="inlineStr">
        <is>
          <t>OK</t>
        </is>
      </c>
    </row>
    <row r="427">
      <c r="A427" t="inlineStr">
        <is>
          <t>JACDA47TL</t>
        </is>
      </c>
      <c r="B427" t="inlineStr">
        <is>
          <t>JACKET DAMA</t>
        </is>
      </c>
      <c r="C427" t="inlineStr">
        <is>
          <t>Equipamiento / Ropa</t>
        </is>
      </c>
      <c r="D427" t="n">
        <v>2406.35627311</v>
      </c>
      <c r="E427" t="n">
        <v>0.000589154393041812</v>
      </c>
      <c r="F427" t="n">
        <v>0.6714585427548841</v>
      </c>
      <c r="G427" t="inlineStr">
        <is>
          <t>A</t>
        </is>
      </c>
      <c r="H427" t="n">
        <v>24</v>
      </c>
      <c r="I427" t="n">
        <v>20.25</v>
      </c>
      <c r="J427" t="n">
        <v>486</v>
      </c>
      <c r="K427" t="n">
        <v>3.5</v>
      </c>
      <c r="L427" t="n">
        <v>6.857142857142857</v>
      </c>
      <c r="M427" t="n">
        <v>2</v>
      </c>
      <c r="N427" t="n">
        <v>7</v>
      </c>
      <c r="O427" t="n">
        <v>17</v>
      </c>
      <c r="P427" t="n">
        <v>344.25</v>
      </c>
      <c r="Q427" t="n">
        <v>0.7083333333333334</v>
      </c>
      <c r="R427" t="inlineStr">
        <is>
          <t>Sobrestock crítico</t>
        </is>
      </c>
    </row>
    <row r="428">
      <c r="A428" t="inlineStr">
        <is>
          <t>POLPLCA30TXL</t>
        </is>
      </c>
      <c r="B428" t="inlineStr">
        <is>
          <t>CLASSIC POLO</t>
        </is>
      </c>
      <c r="C428" t="inlineStr">
        <is>
          <t>Manufactura / Caballero / P. Superiores</t>
        </is>
      </c>
      <c r="D428" t="n">
        <v>2401.99435291</v>
      </c>
      <c r="E428" t="n">
        <v>0.0005880864529048319</v>
      </c>
      <c r="F428" t="n">
        <v>0.6720466292077889</v>
      </c>
      <c r="G428" t="inlineStr">
        <is>
          <t>A</t>
        </is>
      </c>
      <c r="H428" t="n">
        <v>1</v>
      </c>
      <c r="I428" t="n">
        <v>7.34</v>
      </c>
      <c r="J428" t="n">
        <v>7.34</v>
      </c>
      <c r="K428" t="n">
        <v>5</v>
      </c>
      <c r="L428" t="n">
        <v>0.2</v>
      </c>
      <c r="M428" t="n">
        <v>2</v>
      </c>
      <c r="N428" t="n">
        <v>10</v>
      </c>
      <c r="O428" t="n">
        <v>0</v>
      </c>
      <c r="P428" t="n">
        <v>0</v>
      </c>
      <c r="Q428" t="n">
        <v>0</v>
      </c>
      <c r="R428" t="inlineStr">
        <is>
          <t>Riesgo bajo stock</t>
        </is>
      </c>
    </row>
    <row r="429">
      <c r="A429" t="inlineStr">
        <is>
          <t>MARMIKI16T8</t>
        </is>
      </c>
      <c r="B429" t="inlineStr">
        <is>
          <t>MAR ORIGINAL KIDS</t>
        </is>
      </c>
      <c r="C429" t="inlineStr">
        <is>
          <t>Manufactura / Kids / P. Superiores</t>
        </is>
      </c>
      <c r="D429" t="n">
        <v>2401.51483262</v>
      </c>
      <c r="E429" t="n">
        <v>0.0005879690507193938</v>
      </c>
      <c r="F429" t="n">
        <v>0.6726345982585082</v>
      </c>
      <c r="G429" t="inlineStr">
        <is>
          <t>A</t>
        </is>
      </c>
      <c r="H429" t="n">
        <v>27</v>
      </c>
      <c r="I429" t="n">
        <v>3.168013332</v>
      </c>
      <c r="J429" t="n">
        <v>85.536359964</v>
      </c>
      <c r="K429" t="n">
        <v>6.5</v>
      </c>
      <c r="L429" t="n">
        <v>4.153846153846154</v>
      </c>
      <c r="M429" t="n">
        <v>2</v>
      </c>
      <c r="N429" t="n">
        <v>13</v>
      </c>
      <c r="O429" t="n">
        <v>14</v>
      </c>
      <c r="P429" t="n">
        <v>44.352186648</v>
      </c>
      <c r="Q429" t="n">
        <v>0.5185185185185185</v>
      </c>
      <c r="R429" t="inlineStr">
        <is>
          <t>Sobrestock crítico</t>
        </is>
      </c>
    </row>
    <row r="430">
      <c r="A430" t="inlineStr">
        <is>
          <t>MARMIDA66TL</t>
        </is>
      </c>
      <c r="B430" t="inlineStr">
        <is>
          <t>MAR ORIGINAL DAMA</t>
        </is>
      </c>
      <c r="C430" t="inlineStr">
        <is>
          <t>Manufactura / Dama / P. Superiores</t>
        </is>
      </c>
      <c r="D430" t="n">
        <v>2397.7179572</v>
      </c>
      <c r="E430" t="n">
        <v>0.0005870394519486205</v>
      </c>
      <c r="F430" t="n">
        <v>0.673221637710457</v>
      </c>
      <c r="G430" t="inlineStr">
        <is>
          <t>A</t>
        </is>
      </c>
      <c r="H430" t="n">
        <v>54</v>
      </c>
      <c r="I430" t="n">
        <v>4.278324149</v>
      </c>
      <c r="J430" t="n">
        <v>231.029504046</v>
      </c>
      <c r="K430" t="n">
        <v>4.9</v>
      </c>
      <c r="L430" t="n">
        <v>11.02040816326531</v>
      </c>
      <c r="M430" t="n">
        <v>2</v>
      </c>
      <c r="N430" t="n">
        <v>9.800000000000001</v>
      </c>
      <c r="O430" t="n">
        <v>44.2</v>
      </c>
      <c r="P430" t="n">
        <v>189.1019273858</v>
      </c>
      <c r="Q430" t="n">
        <v>0.8185185185185185</v>
      </c>
      <c r="R430" t="inlineStr">
        <is>
          <t>Sobrestock crítico</t>
        </is>
      </c>
    </row>
    <row r="431">
      <c r="A431" t="inlineStr">
        <is>
          <t>BUC01EQ</t>
        </is>
      </c>
      <c r="B431" t="inlineStr">
        <is>
          <t>BUCKET HAT</t>
        </is>
      </c>
      <c r="C431" t="inlineStr">
        <is>
          <t>Equipamiento / Sombreros</t>
        </is>
      </c>
      <c r="D431" t="n">
        <v>2395.21050486</v>
      </c>
      <c r="E431" t="n">
        <v>0.000586425545945606</v>
      </c>
      <c r="F431" t="n">
        <v>0.6738080632564024</v>
      </c>
      <c r="G431" t="inlineStr">
        <is>
          <t>A</t>
        </is>
      </c>
      <c r="H431" t="n">
        <v>0</v>
      </c>
      <c r="I431" t="n">
        <v>4.98</v>
      </c>
      <c r="J431" t="n">
        <v>0</v>
      </c>
      <c r="K431" t="n">
        <v>9.4</v>
      </c>
      <c r="L431" t="n">
        <v>0</v>
      </c>
      <c r="M431" t="n">
        <v>2</v>
      </c>
      <c r="N431" t="n">
        <v>18.8</v>
      </c>
      <c r="O431" t="n">
        <v>0</v>
      </c>
      <c r="P431" t="n">
        <v>0</v>
      </c>
      <c r="Q431" t="n">
        <v>0</v>
      </c>
      <c r="R431" t="inlineStr">
        <is>
          <t>Riesgo bajo stock</t>
        </is>
      </c>
    </row>
    <row r="432">
      <c r="A432" t="inlineStr">
        <is>
          <t>RIOMIDA11TM</t>
        </is>
      </c>
      <c r="B432" t="inlineStr">
        <is>
          <t>RIO ORIGINAL DAMA</t>
        </is>
      </c>
      <c r="C432" t="inlineStr">
        <is>
          <t>Manufactura / Dama / P. Superiores</t>
        </is>
      </c>
      <c r="D432" t="n">
        <v>2391.06637354</v>
      </c>
      <c r="E432" t="n">
        <v>0.0005854109276200474</v>
      </c>
      <c r="F432" t="n">
        <v>0.6743934741840225</v>
      </c>
      <c r="G432" t="inlineStr">
        <is>
          <t>A</t>
        </is>
      </c>
      <c r="H432" t="n">
        <v>9</v>
      </c>
      <c r="I432" t="n">
        <v>5.538832275</v>
      </c>
      <c r="J432" t="n">
        <v>49.849490475</v>
      </c>
      <c r="K432" t="n">
        <v>4.5</v>
      </c>
      <c r="L432" t="n">
        <v>2</v>
      </c>
      <c r="M432" t="n">
        <v>2</v>
      </c>
      <c r="N432" t="n">
        <v>9</v>
      </c>
      <c r="O432" t="n">
        <v>0</v>
      </c>
      <c r="P432" t="n">
        <v>0</v>
      </c>
      <c r="Q432" t="n">
        <v>0</v>
      </c>
      <c r="R432" t="inlineStr">
        <is>
          <t>OK</t>
        </is>
      </c>
    </row>
    <row r="433">
      <c r="A433" t="inlineStr">
        <is>
          <t>POLPLCA12TL</t>
        </is>
      </c>
      <c r="B433" t="inlineStr">
        <is>
          <t>CLASSIC POLO</t>
        </is>
      </c>
      <c r="C433" t="inlineStr">
        <is>
          <t>Manufactura / Caballero / P. Superiores</t>
        </is>
      </c>
      <c r="D433" t="n">
        <v>2384.76440178</v>
      </c>
      <c r="E433" t="n">
        <v>0.0005838679996717968</v>
      </c>
      <c r="F433" t="n">
        <v>0.6749773421836943</v>
      </c>
      <c r="G433" t="inlineStr">
        <is>
          <t>A</t>
        </is>
      </c>
      <c r="H433" t="n">
        <v>0</v>
      </c>
      <c r="I433" t="n">
        <v>7.34</v>
      </c>
      <c r="J433" t="n">
        <v>0</v>
      </c>
      <c r="K433" t="n">
        <v>5.5</v>
      </c>
      <c r="L433" t="n">
        <v>0</v>
      </c>
      <c r="M433" t="n">
        <v>2</v>
      </c>
      <c r="N433" t="n">
        <v>11</v>
      </c>
      <c r="O433" t="n">
        <v>0</v>
      </c>
      <c r="P433" t="n">
        <v>0</v>
      </c>
      <c r="Q433" t="n">
        <v>0</v>
      </c>
      <c r="R433" t="inlineStr">
        <is>
          <t>Riesgo bajo stock</t>
        </is>
      </c>
    </row>
    <row r="434">
      <c r="A434" t="inlineStr">
        <is>
          <t>CAP12VS</t>
        </is>
      </c>
      <c r="B434" t="inlineStr">
        <is>
          <t>VISERA</t>
        </is>
      </c>
      <c r="C434" t="inlineStr">
        <is>
          <t>Equipamiento / Gorras</t>
        </is>
      </c>
      <c r="D434" t="n">
        <v>2371.15812455</v>
      </c>
      <c r="E434" t="n">
        <v>0.0005805367398360956</v>
      </c>
      <c r="F434" t="n">
        <v>0.6755578789235305</v>
      </c>
      <c r="G434" t="inlineStr">
        <is>
          <t>A</t>
        </is>
      </c>
      <c r="H434" t="n">
        <v>2</v>
      </c>
      <c r="I434" t="n">
        <v>13.5</v>
      </c>
      <c r="J434" t="n">
        <v>27</v>
      </c>
      <c r="K434" t="n">
        <v>7</v>
      </c>
      <c r="L434" t="n">
        <v>0.2857142857142857</v>
      </c>
      <c r="M434" t="n">
        <v>2</v>
      </c>
      <c r="N434" t="n">
        <v>14</v>
      </c>
      <c r="O434" t="n">
        <v>0</v>
      </c>
      <c r="P434" t="n">
        <v>0</v>
      </c>
      <c r="Q434" t="n">
        <v>0</v>
      </c>
      <c r="R434" t="inlineStr">
        <is>
          <t>Riesgo bajo stock</t>
        </is>
      </c>
    </row>
    <row r="435">
      <c r="A435" t="inlineStr">
        <is>
          <t>MARMIDA53TM</t>
        </is>
      </c>
      <c r="B435" t="inlineStr">
        <is>
          <t>MAR ORIGINAL DAMA</t>
        </is>
      </c>
      <c r="C435" t="inlineStr">
        <is>
          <t>Manufactura / Dama / P. Superiores</t>
        </is>
      </c>
      <c r="D435" t="n">
        <v>2370.06222866</v>
      </c>
      <c r="E435" t="n">
        <v>0.0005802684288278193</v>
      </c>
      <c r="F435" t="n">
        <v>0.6761381473523582</v>
      </c>
      <c r="G435" t="inlineStr">
        <is>
          <t>A</t>
        </is>
      </c>
      <c r="H435" t="n">
        <v>20</v>
      </c>
      <c r="I435" t="n">
        <v>4.278324149</v>
      </c>
      <c r="J435" t="n">
        <v>85.56648298</v>
      </c>
      <c r="K435" t="n">
        <v>4.9</v>
      </c>
      <c r="L435" t="n">
        <v>4.081632653061225</v>
      </c>
      <c r="M435" t="n">
        <v>2</v>
      </c>
      <c r="N435" t="n">
        <v>9.800000000000001</v>
      </c>
      <c r="O435" t="n">
        <v>10.2</v>
      </c>
      <c r="P435" t="n">
        <v>43.6389063198</v>
      </c>
      <c r="Q435" t="n">
        <v>0.51</v>
      </c>
      <c r="R435" t="inlineStr">
        <is>
          <t>Sobrestock crítico</t>
        </is>
      </c>
    </row>
    <row r="436">
      <c r="A436" t="inlineStr">
        <is>
          <t>RIOMICA11TM</t>
        </is>
      </c>
      <c r="B436" t="inlineStr">
        <is>
          <t>RIO ORIGINAL CAB</t>
        </is>
      </c>
      <c r="C436" t="inlineStr">
        <is>
          <t>Manufactura / Caballero / P. Superiores</t>
        </is>
      </c>
      <c r="D436" t="n">
        <v>2366.64292304</v>
      </c>
      <c r="E436" t="n">
        <v>0.0005794312714419048</v>
      </c>
      <c r="F436" t="n">
        <v>0.6767175786238002</v>
      </c>
      <c r="G436" t="inlineStr">
        <is>
          <t>A</t>
        </is>
      </c>
      <c r="H436" t="n">
        <v>1</v>
      </c>
      <c r="I436" t="n">
        <v>5.939350288</v>
      </c>
      <c r="J436" t="n">
        <v>5.939350288</v>
      </c>
      <c r="K436" t="n">
        <v>4.4</v>
      </c>
      <c r="L436" t="n">
        <v>0.2272727272727273</v>
      </c>
      <c r="M436" t="n">
        <v>2</v>
      </c>
      <c r="N436" t="n">
        <v>8.800000000000001</v>
      </c>
      <c r="O436" t="n">
        <v>0</v>
      </c>
      <c r="P436" t="n">
        <v>0</v>
      </c>
      <c r="Q436" t="n">
        <v>0</v>
      </c>
      <c r="R436" t="inlineStr">
        <is>
          <t>Riesgo bajo stock</t>
        </is>
      </c>
    </row>
    <row r="437">
      <c r="A437" t="inlineStr">
        <is>
          <t>BAOCCCA158TXS</t>
        </is>
      </c>
      <c r="B437" t="inlineStr">
        <is>
          <t>BASIC LINE OVERSIZED CAB</t>
        </is>
      </c>
      <c r="C437" t="inlineStr">
        <is>
          <t>Manufactura / Caballero / P. Superiores</t>
        </is>
      </c>
      <c r="D437" t="n">
        <v>2362.24363058</v>
      </c>
      <c r="E437" t="n">
        <v>0.0005783541813584257</v>
      </c>
      <c r="F437" t="n">
        <v>0.6772959328051585</v>
      </c>
      <c r="G437" t="inlineStr">
        <is>
          <t>A</t>
        </is>
      </c>
      <c r="H437" t="n">
        <v>51</v>
      </c>
      <c r="I437" t="n">
        <v>9.336740741</v>
      </c>
      <c r="J437" t="n">
        <v>476.173777791</v>
      </c>
      <c r="K437" t="n">
        <v>4.3</v>
      </c>
      <c r="L437" t="n">
        <v>11.86046511627907</v>
      </c>
      <c r="M437" t="n">
        <v>2</v>
      </c>
      <c r="N437" t="n">
        <v>8.6</v>
      </c>
      <c r="O437" t="n">
        <v>42.4</v>
      </c>
      <c r="P437" t="n">
        <v>395.8778074184</v>
      </c>
      <c r="Q437" t="n">
        <v>0.8313725490196078</v>
      </c>
      <c r="R437" t="inlineStr">
        <is>
          <t>Sobrestock crítico</t>
        </is>
      </c>
    </row>
    <row r="438">
      <c r="A438" t="inlineStr">
        <is>
          <t>JACKI47T8</t>
        </is>
      </c>
      <c r="B438" t="inlineStr">
        <is>
          <t>JACKET KIDS</t>
        </is>
      </c>
      <c r="C438" t="inlineStr">
        <is>
          <t>Manufactura / Kids / P. Superiores</t>
        </is>
      </c>
      <c r="D438" t="n">
        <v>2359.33416193</v>
      </c>
      <c r="E438" t="n">
        <v>0.0005776418486686575</v>
      </c>
      <c r="F438" t="n">
        <v>0.6778735746538272</v>
      </c>
      <c r="G438" t="inlineStr">
        <is>
          <t>A</t>
        </is>
      </c>
      <c r="H438" t="n">
        <v>98</v>
      </c>
      <c r="I438" t="n">
        <v>15.17</v>
      </c>
      <c r="J438" t="n">
        <v>1486.66</v>
      </c>
      <c r="K438" t="n">
        <v>4.1</v>
      </c>
      <c r="L438" t="n">
        <v>23.90243902439025</v>
      </c>
      <c r="M438" t="n">
        <v>2</v>
      </c>
      <c r="N438" t="n">
        <v>8.199999999999999</v>
      </c>
      <c r="O438" t="n">
        <v>89.8</v>
      </c>
      <c r="P438" t="n">
        <v>1362.266</v>
      </c>
      <c r="Q438" t="n">
        <v>0.9163265306122448</v>
      </c>
      <c r="R438" t="inlineStr">
        <is>
          <t>Sobrestock crítico</t>
        </is>
      </c>
    </row>
    <row r="439">
      <c r="A439" t="inlineStr">
        <is>
          <t>CLAMECA43TM</t>
        </is>
      </c>
      <c r="B439" t="inlineStr">
        <is>
          <t>CLASICA SPORT CAB</t>
        </is>
      </c>
      <c r="C439" t="inlineStr">
        <is>
          <t>Manufactura / Caballero / P. Superiores</t>
        </is>
      </c>
      <c r="D439" t="n">
        <v>2352.996963531506</v>
      </c>
      <c r="E439" t="n">
        <v>0.0005760902960919376</v>
      </c>
      <c r="F439" t="n">
        <v>0.6784496649499191</v>
      </c>
      <c r="G439" t="inlineStr">
        <is>
          <t>A</t>
        </is>
      </c>
      <c r="H439" t="n">
        <v>7</v>
      </c>
      <c r="I439" t="n">
        <v>10.3013454</v>
      </c>
      <c r="J439" t="n">
        <v>72.1094178</v>
      </c>
      <c r="K439" t="n">
        <v>5.2</v>
      </c>
      <c r="L439" t="n">
        <v>1.346153846153846</v>
      </c>
      <c r="M439" t="n">
        <v>2</v>
      </c>
      <c r="N439" t="n">
        <v>10.4</v>
      </c>
      <c r="O439" t="n">
        <v>0</v>
      </c>
      <c r="P439" t="n">
        <v>0</v>
      </c>
      <c r="Q439" t="n">
        <v>0</v>
      </c>
      <c r="R439" t="inlineStr">
        <is>
          <t>OK</t>
        </is>
      </c>
    </row>
    <row r="440">
      <c r="A440" t="inlineStr">
        <is>
          <t>CAP66EC</t>
        </is>
      </c>
      <c r="B440" t="inlineStr">
        <is>
          <t>EXPLORE CAP</t>
        </is>
      </c>
      <c r="C440" t="inlineStr">
        <is>
          <t>Equipamiento / Gorras</t>
        </is>
      </c>
      <c r="D440" t="n">
        <v>2349.47296039</v>
      </c>
      <c r="E440" t="n">
        <v>0.0005752275053426574</v>
      </c>
      <c r="F440" t="n">
        <v>0.6790248924552618</v>
      </c>
      <c r="G440" t="inlineStr">
        <is>
          <t>A</t>
        </is>
      </c>
      <c r="H440" t="n">
        <v>221</v>
      </c>
      <c r="I440" t="n">
        <v>3.360013258</v>
      </c>
      <c r="J440" t="n">
        <v>742.5629300180001</v>
      </c>
      <c r="K440" t="n">
        <v>8.1</v>
      </c>
      <c r="L440" t="n">
        <v>27.28395061728395</v>
      </c>
      <c r="M440" t="n">
        <v>2</v>
      </c>
      <c r="N440" t="n">
        <v>16.2</v>
      </c>
      <c r="O440" t="n">
        <v>204.8</v>
      </c>
      <c r="P440" t="n">
        <v>688.1307152384002</v>
      </c>
      <c r="Q440" t="n">
        <v>0.9266968325791857</v>
      </c>
      <c r="R440" t="inlineStr">
        <is>
          <t>Sobrestock crítico</t>
        </is>
      </c>
    </row>
    <row r="441">
      <c r="A441" t="inlineStr">
        <is>
          <t>MARMICA70TM</t>
        </is>
      </c>
      <c r="B441" t="inlineStr">
        <is>
          <t>MAR ORIGINAL CAB</t>
        </is>
      </c>
      <c r="C441" t="inlineStr">
        <is>
          <t>Manufactura / Caballero / P. Superiores</t>
        </is>
      </c>
      <c r="D441" t="n">
        <v>2348.986489588881</v>
      </c>
      <c r="E441" t="n">
        <v>0.0005751084014457123</v>
      </c>
      <c r="F441" t="n">
        <v>0.6796000008567075</v>
      </c>
      <c r="G441" t="inlineStr">
        <is>
          <t>A</t>
        </is>
      </c>
      <c r="H441" t="n">
        <v>70</v>
      </c>
      <c r="I441" t="n">
        <v>4.946357428</v>
      </c>
      <c r="J441" t="n">
        <v>346.24501996</v>
      </c>
      <c r="K441" t="n">
        <v>5.7</v>
      </c>
      <c r="L441" t="n">
        <v>12.28070175438596</v>
      </c>
      <c r="M441" t="n">
        <v>2</v>
      </c>
      <c r="N441" t="n">
        <v>11.4</v>
      </c>
      <c r="O441" t="n">
        <v>58.6</v>
      </c>
      <c r="P441" t="n">
        <v>289.8565452808</v>
      </c>
      <c r="Q441" t="n">
        <v>0.8371428571428572</v>
      </c>
      <c r="R441" t="inlineStr">
        <is>
          <t>Sobrestock crítico</t>
        </is>
      </c>
    </row>
    <row r="442">
      <c r="A442" t="inlineStr">
        <is>
          <t>JACKI66T12</t>
        </is>
      </c>
      <c r="B442" t="inlineStr">
        <is>
          <t>JACKET KIDS</t>
        </is>
      </c>
      <c r="C442" t="inlineStr">
        <is>
          <t>Manufactura / Kids / P. Superiores</t>
        </is>
      </c>
      <c r="D442" t="n">
        <v>2340.85856914</v>
      </c>
      <c r="E442" t="n">
        <v>0.0005731184217854836</v>
      </c>
      <c r="F442" t="n">
        <v>0.680173119278493</v>
      </c>
      <c r="G442" t="inlineStr">
        <is>
          <t>A</t>
        </is>
      </c>
      <c r="H442" t="n">
        <v>105</v>
      </c>
      <c r="I442" t="n">
        <v>15.17</v>
      </c>
      <c r="J442" t="n">
        <v>1592.85</v>
      </c>
      <c r="K442" t="n">
        <v>4.1</v>
      </c>
      <c r="L442" t="n">
        <v>25.60975609756098</v>
      </c>
      <c r="M442" t="n">
        <v>2</v>
      </c>
      <c r="N442" t="n">
        <v>8.199999999999999</v>
      </c>
      <c r="O442" t="n">
        <v>96.8</v>
      </c>
      <c r="P442" t="n">
        <v>1468.456</v>
      </c>
      <c r="Q442" t="n">
        <v>0.9219047619047619</v>
      </c>
      <c r="R442" t="inlineStr">
        <is>
          <t>Sobrestock crítico</t>
        </is>
      </c>
    </row>
    <row r="443">
      <c r="A443" t="inlineStr">
        <is>
          <t>MARMICA13TXL</t>
        </is>
      </c>
      <c r="B443" t="inlineStr">
        <is>
          <t>MAR ORIGINAL CAB</t>
        </is>
      </c>
      <c r="C443" t="inlineStr">
        <is>
          <t>Manufactura / Caballero / P. Superiores</t>
        </is>
      </c>
      <c r="D443" t="n">
        <v>2334.7022165</v>
      </c>
      <c r="E443" t="n">
        <v>0.0005716111461407666</v>
      </c>
      <c r="F443" t="n">
        <v>0.6807447304246338</v>
      </c>
      <c r="G443" t="inlineStr">
        <is>
          <t>A</t>
        </is>
      </c>
      <c r="H443" t="n">
        <v>79</v>
      </c>
      <c r="I443" t="n">
        <v>4.946357428</v>
      </c>
      <c r="J443" t="n">
        <v>390.762236812</v>
      </c>
      <c r="K443" t="n">
        <v>5.3</v>
      </c>
      <c r="L443" t="n">
        <v>14.90566037735849</v>
      </c>
      <c r="M443" t="n">
        <v>2</v>
      </c>
      <c r="N443" t="n">
        <v>10.6</v>
      </c>
      <c r="O443" t="n">
        <v>68.40000000000001</v>
      </c>
      <c r="P443" t="n">
        <v>338.3308480752</v>
      </c>
      <c r="Q443" t="n">
        <v>0.8658227848101268</v>
      </c>
      <c r="R443" t="inlineStr">
        <is>
          <t>Sobrestock crítico</t>
        </is>
      </c>
    </row>
    <row r="444">
      <c r="A444" t="inlineStr">
        <is>
          <t>JACCA14TXL</t>
        </is>
      </c>
      <c r="B444" t="inlineStr">
        <is>
          <t>JACKET CAB</t>
        </is>
      </c>
      <c r="C444" t="inlineStr">
        <is>
          <t>Equipamiento / Ropa</t>
        </is>
      </c>
      <c r="D444" t="n">
        <v>2315.40293359</v>
      </c>
      <c r="E444" t="n">
        <v>0.0005668860530878213</v>
      </c>
      <c r="F444" t="n">
        <v>0.6813116164777215</v>
      </c>
      <c r="G444" t="inlineStr">
        <is>
          <t>A</t>
        </is>
      </c>
      <c r="H444" t="n">
        <v>150</v>
      </c>
      <c r="I444" t="n">
        <v>20.25001933</v>
      </c>
      <c r="J444" t="n">
        <v>3037.5028995</v>
      </c>
      <c r="K444" t="n">
        <v>3.4</v>
      </c>
      <c r="L444" t="n">
        <v>44.11764705882353</v>
      </c>
      <c r="M444" t="n">
        <v>2</v>
      </c>
      <c r="N444" t="n">
        <v>6.8</v>
      </c>
      <c r="O444" t="n">
        <v>143.2</v>
      </c>
      <c r="P444" t="n">
        <v>2899.802768056</v>
      </c>
      <c r="Q444" t="n">
        <v>0.9546666666666666</v>
      </c>
      <c r="R444" t="inlineStr">
        <is>
          <t>Sobrestock crítico</t>
        </is>
      </c>
    </row>
    <row r="445">
      <c r="A445" t="inlineStr">
        <is>
          <t>MARMIDA01TS</t>
        </is>
      </c>
      <c r="B445" t="inlineStr">
        <is>
          <t>MAR ORIGINAL DAMA</t>
        </is>
      </c>
      <c r="C445" t="inlineStr">
        <is>
          <t>Manufactura / Dama / P. Superiores</t>
        </is>
      </c>
      <c r="D445" t="n">
        <v>2314.64418059</v>
      </c>
      <c r="E445" t="n">
        <v>0.0005667002856400917</v>
      </c>
      <c r="F445" t="n">
        <v>0.6818783167633616</v>
      </c>
      <c r="G445" t="inlineStr">
        <is>
          <t>A</t>
        </is>
      </c>
      <c r="H445" t="n">
        <v>24</v>
      </c>
      <c r="I445" t="n">
        <v>4.278324149</v>
      </c>
      <c r="J445" t="n">
        <v>102.679779576</v>
      </c>
      <c r="K445" t="n">
        <v>7.3</v>
      </c>
      <c r="L445" t="n">
        <v>3.287671232876713</v>
      </c>
      <c r="M445" t="n">
        <v>2</v>
      </c>
      <c r="N445" t="n">
        <v>14.6</v>
      </c>
      <c r="O445" t="n">
        <v>9.4</v>
      </c>
      <c r="P445" t="n">
        <v>40.21624700060001</v>
      </c>
      <c r="Q445" t="n">
        <v>0.3916666666666667</v>
      </c>
      <c r="R445" t="inlineStr">
        <is>
          <t>Sobrestock crítico</t>
        </is>
      </c>
    </row>
    <row r="446">
      <c r="A446" t="inlineStr">
        <is>
          <t>DAYCSTCA16TL</t>
        </is>
      </c>
      <c r="B446" t="inlineStr">
        <is>
          <t>CLASICA DAILY 3.0 CAB</t>
        </is>
      </c>
      <c r="C446" t="inlineStr">
        <is>
          <t>Manufactura / Caballero / P. Superiores</t>
        </is>
      </c>
      <c r="D446" t="n">
        <v>2313.77055363</v>
      </c>
      <c r="E446" t="n">
        <v>0.0005664863933053967</v>
      </c>
      <c r="F446" t="n">
        <v>0.682444803156667</v>
      </c>
      <c r="G446" t="inlineStr">
        <is>
          <t>A</t>
        </is>
      </c>
      <c r="H446" t="n">
        <v>20</v>
      </c>
      <c r="I446" t="n">
        <v>11.76035097</v>
      </c>
      <c r="J446" t="n">
        <v>235.2070194</v>
      </c>
      <c r="K446" t="n">
        <v>7.8</v>
      </c>
      <c r="L446" t="n">
        <v>2.564102564102564</v>
      </c>
      <c r="M446" t="n">
        <v>2</v>
      </c>
      <c r="N446" t="n">
        <v>15.6</v>
      </c>
      <c r="O446" t="n">
        <v>4.4</v>
      </c>
      <c r="P446" t="n">
        <v>51.745544268</v>
      </c>
      <c r="Q446" t="n">
        <v>0.22</v>
      </c>
      <c r="R446" t="inlineStr">
        <is>
          <t>Sobrestock</t>
        </is>
      </c>
    </row>
    <row r="447">
      <c r="A447" t="inlineStr">
        <is>
          <t>JAPDA66TL</t>
        </is>
      </c>
      <c r="B447" t="inlineStr">
        <is>
          <t>CUADRO JACKET 2.0 DAMA</t>
        </is>
      </c>
      <c r="C447" t="inlineStr">
        <is>
          <t>Equipamiento / Ropa</t>
        </is>
      </c>
      <c r="D447" t="n">
        <v>2313.24013539</v>
      </c>
      <c r="E447" t="n">
        <v>0.0005663565296440022</v>
      </c>
      <c r="F447" t="n">
        <v>0.6830111596863111</v>
      </c>
      <c r="G447" t="inlineStr">
        <is>
          <t>A</t>
        </is>
      </c>
      <c r="H447" t="n">
        <v>165</v>
      </c>
      <c r="I447" t="n">
        <v>20.25</v>
      </c>
      <c r="J447" t="n">
        <v>3341.25</v>
      </c>
      <c r="K447" t="n">
        <v>2.8</v>
      </c>
      <c r="L447" t="n">
        <v>58.92857142857143</v>
      </c>
      <c r="M447" t="n">
        <v>2</v>
      </c>
      <c r="N447" t="n">
        <v>5.6</v>
      </c>
      <c r="O447" t="n">
        <v>159.4</v>
      </c>
      <c r="P447" t="n">
        <v>3227.85</v>
      </c>
      <c r="Q447" t="n">
        <v>0.9660606060606061</v>
      </c>
      <c r="R447" t="inlineStr">
        <is>
          <t>Sobrestock crítico</t>
        </is>
      </c>
    </row>
    <row r="448">
      <c r="A448" t="inlineStr">
        <is>
          <t>CLAMICA43TXL</t>
        </is>
      </c>
      <c r="B448" t="inlineStr">
        <is>
          <t>CLASICA ORIGINAL CAB</t>
        </is>
      </c>
      <c r="C448" t="inlineStr">
        <is>
          <t>Manufactura / Caballero / P. Superiores</t>
        </is>
      </c>
      <c r="D448" t="n">
        <v>2312.58651348</v>
      </c>
      <c r="E448" t="n">
        <v>0.0005661965017113275</v>
      </c>
      <c r="F448" t="n">
        <v>0.6835773561880225</v>
      </c>
      <c r="G448" t="inlineStr">
        <is>
          <t>A</t>
        </is>
      </c>
      <c r="H448" t="n">
        <v>69</v>
      </c>
      <c r="I448" t="n">
        <v>4.598442536</v>
      </c>
      <c r="J448" t="n">
        <v>317.292534984</v>
      </c>
      <c r="K448" t="n">
        <v>7.1</v>
      </c>
      <c r="L448" t="n">
        <v>9.71830985915493</v>
      </c>
      <c r="M448" t="n">
        <v>2</v>
      </c>
      <c r="N448" t="n">
        <v>14.2</v>
      </c>
      <c r="O448" t="n">
        <v>54.8</v>
      </c>
      <c r="P448" t="n">
        <v>251.9946509728</v>
      </c>
      <c r="Q448" t="n">
        <v>0.7942028985507246</v>
      </c>
      <c r="R448" t="inlineStr">
        <is>
          <t>Sobrestock crítico</t>
        </is>
      </c>
    </row>
    <row r="449">
      <c r="A449" t="inlineStr">
        <is>
          <t>RIOMIDA34TXS</t>
        </is>
      </c>
      <c r="B449" t="inlineStr">
        <is>
          <t>RIO ORIGINAL DAMA</t>
        </is>
      </c>
      <c r="C449" t="inlineStr">
        <is>
          <t>Manufactura / Dama / P. Superiores</t>
        </is>
      </c>
      <c r="D449" t="n">
        <v>2309.25922058</v>
      </c>
      <c r="E449" t="n">
        <v>0.0005653818720362135</v>
      </c>
      <c r="F449" t="n">
        <v>0.6841427380600587</v>
      </c>
      <c r="G449" t="inlineStr">
        <is>
          <t>A</t>
        </is>
      </c>
      <c r="H449" t="n">
        <v>16</v>
      </c>
      <c r="I449" t="n">
        <v>5.538832275</v>
      </c>
      <c r="J449" t="n">
        <v>88.6213164</v>
      </c>
      <c r="K449" t="n">
        <v>4.3</v>
      </c>
      <c r="L449" t="n">
        <v>3.720930232558139</v>
      </c>
      <c r="M449" t="n">
        <v>2</v>
      </c>
      <c r="N449" t="n">
        <v>8.6</v>
      </c>
      <c r="O449" t="n">
        <v>7.4</v>
      </c>
      <c r="P449" t="n">
        <v>40.987358835</v>
      </c>
      <c r="Q449" t="n">
        <v>0.4625</v>
      </c>
      <c r="R449" t="inlineStr">
        <is>
          <t>Sobrestock crítico</t>
        </is>
      </c>
    </row>
    <row r="450">
      <c r="A450" t="inlineStr">
        <is>
          <t>RIOMIDA50TS</t>
        </is>
      </c>
      <c r="B450" t="inlineStr">
        <is>
          <t>RIO ORIGINAL DAMA</t>
        </is>
      </c>
      <c r="C450" t="inlineStr">
        <is>
          <t>Manufactura / Dama / P. Superiores</t>
        </is>
      </c>
      <c r="D450" t="n">
        <v>2305.10094062</v>
      </c>
      <c r="E450" t="n">
        <v>0.000564363789662748</v>
      </c>
      <c r="F450" t="n">
        <v>0.6847071018497214</v>
      </c>
      <c r="G450" t="inlineStr">
        <is>
          <t>A</t>
        </is>
      </c>
      <c r="H450" t="n">
        <v>5</v>
      </c>
      <c r="I450" t="n">
        <v>5.538832275</v>
      </c>
      <c r="J450" t="n">
        <v>27.694161375</v>
      </c>
      <c r="K450" t="n">
        <v>4.4</v>
      </c>
      <c r="L450" t="n">
        <v>1.136363636363636</v>
      </c>
      <c r="M450" t="n">
        <v>2</v>
      </c>
      <c r="N450" t="n">
        <v>8.800000000000001</v>
      </c>
      <c r="O450" t="n">
        <v>0</v>
      </c>
      <c r="P450" t="n">
        <v>0</v>
      </c>
      <c r="Q450" t="n">
        <v>0</v>
      </c>
      <c r="R450" t="inlineStr">
        <is>
          <t>OK</t>
        </is>
      </c>
    </row>
    <row r="451">
      <c r="A451" t="inlineStr">
        <is>
          <t>CAP12DC</t>
        </is>
      </c>
      <c r="B451" t="inlineStr">
        <is>
          <t>DAD CAP</t>
        </is>
      </c>
      <c r="C451" t="inlineStr">
        <is>
          <t>Equipamiento / Gorras</t>
        </is>
      </c>
      <c r="D451" t="n">
        <v>2299.66892812</v>
      </c>
      <c r="E451" t="n">
        <v>0.000563033856076772</v>
      </c>
      <c r="F451" t="n">
        <v>0.6852701357057981</v>
      </c>
      <c r="G451" t="inlineStr">
        <is>
          <t>A</t>
        </is>
      </c>
      <c r="H451" t="n">
        <v>77</v>
      </c>
      <c r="I451" t="n">
        <v>3.27</v>
      </c>
      <c r="J451" t="n">
        <v>251.79</v>
      </c>
      <c r="K451" t="n">
        <v>8.1</v>
      </c>
      <c r="L451" t="n">
        <v>9.506172839506172</v>
      </c>
      <c r="M451" t="n">
        <v>2</v>
      </c>
      <c r="N451" t="n">
        <v>16.2</v>
      </c>
      <c r="O451" t="n">
        <v>60.8</v>
      </c>
      <c r="P451" t="n">
        <v>198.816</v>
      </c>
      <c r="Q451" t="n">
        <v>0.7896103896103895</v>
      </c>
      <c r="R451" t="inlineStr">
        <is>
          <t>Sobrestock crítico</t>
        </is>
      </c>
    </row>
    <row r="452">
      <c r="A452" t="inlineStr">
        <is>
          <t>JACCA33T2XL</t>
        </is>
      </c>
      <c r="B452" t="inlineStr">
        <is>
          <t>JACKET CAB</t>
        </is>
      </c>
      <c r="C452" t="inlineStr">
        <is>
          <t>Equipamiento / Ropa</t>
        </is>
      </c>
      <c r="D452" t="n">
        <v>2296.05847197</v>
      </c>
      <c r="E452" t="n">
        <v>0.0005621498988151532</v>
      </c>
      <c r="F452" t="n">
        <v>0.6858322856046133</v>
      </c>
      <c r="G452" t="inlineStr">
        <is>
          <t>A</t>
        </is>
      </c>
      <c r="H452" t="n">
        <v>2</v>
      </c>
      <c r="I452" t="n">
        <v>20.25001933</v>
      </c>
      <c r="J452" t="n">
        <v>40.50003866</v>
      </c>
      <c r="K452" t="n">
        <v>3.4</v>
      </c>
      <c r="L452" t="n">
        <v>0.5882352941176471</v>
      </c>
      <c r="M452" t="n">
        <v>2</v>
      </c>
      <c r="N452" t="n">
        <v>6.8</v>
      </c>
      <c r="O452" t="n">
        <v>0</v>
      </c>
      <c r="P452" t="n">
        <v>0</v>
      </c>
      <c r="Q452" t="n">
        <v>0</v>
      </c>
      <c r="R452" t="inlineStr">
        <is>
          <t>Riesgo bajo stock</t>
        </is>
      </c>
    </row>
    <row r="453">
      <c r="A453" t="inlineStr">
        <is>
          <t>POLPLCA33TXL</t>
        </is>
      </c>
      <c r="B453" t="inlineStr">
        <is>
          <t>CLASSIC POLO</t>
        </is>
      </c>
      <c r="C453" t="inlineStr">
        <is>
          <t>Manufactura / Caballero / P. Superiores</t>
        </is>
      </c>
      <c r="D453" t="n">
        <v>2295.06246208</v>
      </c>
      <c r="E453" t="n">
        <v>0.000561906043153062</v>
      </c>
      <c r="F453" t="n">
        <v>0.6863941916477663</v>
      </c>
      <c r="G453" t="inlineStr">
        <is>
          <t>A</t>
        </is>
      </c>
      <c r="H453" t="n">
        <v>0</v>
      </c>
      <c r="I453" t="n">
        <v>7.339999999999999</v>
      </c>
      <c r="J453" t="n">
        <v>0</v>
      </c>
      <c r="K453" t="n">
        <v>5.3</v>
      </c>
      <c r="L453" t="n">
        <v>0</v>
      </c>
      <c r="M453" t="n">
        <v>2</v>
      </c>
      <c r="N453" t="n">
        <v>10.6</v>
      </c>
      <c r="O453" t="n">
        <v>0</v>
      </c>
      <c r="P453" t="n">
        <v>0</v>
      </c>
      <c r="Q453" t="n">
        <v>0</v>
      </c>
      <c r="R453" t="inlineStr">
        <is>
          <t>Riesgo bajo stock</t>
        </is>
      </c>
    </row>
    <row r="454">
      <c r="A454" t="inlineStr">
        <is>
          <t>BAOCCCA38TL</t>
        </is>
      </c>
      <c r="B454" t="inlineStr">
        <is>
          <t>BASIC LINE OVERSIZED CAB</t>
        </is>
      </c>
      <c r="C454" t="inlineStr">
        <is>
          <t>Manufactura / Caballero / P. Superiores</t>
        </is>
      </c>
      <c r="D454" t="n">
        <v>2290.94524022</v>
      </c>
      <c r="E454" t="n">
        <v>0.000560898013139779</v>
      </c>
      <c r="F454" t="n">
        <v>0.6869550896609061</v>
      </c>
      <c r="G454" t="inlineStr">
        <is>
          <t>A</t>
        </is>
      </c>
      <c r="H454" t="n">
        <v>19</v>
      </c>
      <c r="I454" t="n">
        <v>9.336740741</v>
      </c>
      <c r="J454" t="n">
        <v>177.398074079</v>
      </c>
      <c r="K454" t="n">
        <v>4</v>
      </c>
      <c r="L454" t="n">
        <v>4.75</v>
      </c>
      <c r="M454" t="n">
        <v>2</v>
      </c>
      <c r="N454" t="n">
        <v>8</v>
      </c>
      <c r="O454" t="n">
        <v>11</v>
      </c>
      <c r="P454" t="n">
        <v>102.704148151</v>
      </c>
      <c r="Q454" t="n">
        <v>0.5789473684210527</v>
      </c>
      <c r="R454" t="inlineStr">
        <is>
          <t>Sobrestock crítico</t>
        </is>
      </c>
    </row>
    <row r="455">
      <c r="A455" t="inlineStr">
        <is>
          <t>OVE16EQ</t>
        </is>
      </c>
      <c r="B455" t="inlineStr">
        <is>
          <t>OVERGRIP</t>
        </is>
      </c>
      <c r="C455" t="inlineStr">
        <is>
          <t>Equipamiento / Accesorios</t>
        </is>
      </c>
      <c r="D455" t="n">
        <v>2287.880417777</v>
      </c>
      <c r="E455" t="n">
        <v>0.0005601476447814589</v>
      </c>
      <c r="F455" t="n">
        <v>0.6875152373056875</v>
      </c>
      <c r="G455" t="inlineStr">
        <is>
          <t>A</t>
        </is>
      </c>
      <c r="H455" t="n">
        <v>559</v>
      </c>
      <c r="I455" t="n">
        <v>3.2</v>
      </c>
      <c r="J455" t="n">
        <v>1788.8</v>
      </c>
      <c r="K455" t="n">
        <v>38.7</v>
      </c>
      <c r="L455" t="n">
        <v>14.44444444444444</v>
      </c>
      <c r="M455" t="n">
        <v>2</v>
      </c>
      <c r="N455" t="n">
        <v>77.40000000000001</v>
      </c>
      <c r="O455" t="n">
        <v>481.6</v>
      </c>
      <c r="P455" t="n">
        <v>1541.12</v>
      </c>
      <c r="Q455" t="n">
        <v>0.8615384615384615</v>
      </c>
      <c r="R455" t="inlineStr">
        <is>
          <t>Sobrestock crítico</t>
        </is>
      </c>
    </row>
    <row r="456">
      <c r="A456" t="inlineStr">
        <is>
          <t>JAPKI35T12</t>
        </is>
      </c>
      <c r="B456" t="inlineStr">
        <is>
          <t>CUADRO JACKET 2.0 KIDS</t>
        </is>
      </c>
      <c r="C456" t="inlineStr">
        <is>
          <t>Equipamiento / Ropa</t>
        </is>
      </c>
      <c r="D456" t="n">
        <v>2278.89869803</v>
      </c>
      <c r="E456" t="n">
        <v>0.00055794862724397</v>
      </c>
      <c r="F456" t="n">
        <v>0.6880731859329315</v>
      </c>
      <c r="G456" t="inlineStr">
        <is>
          <t>A</t>
        </is>
      </c>
      <c r="H456" t="n">
        <v>115</v>
      </c>
      <c r="I456" t="n">
        <v>15.17</v>
      </c>
      <c r="J456" t="n">
        <v>1744.55</v>
      </c>
      <c r="K456" t="n">
        <v>3.3</v>
      </c>
      <c r="L456" t="n">
        <v>34.84848484848485</v>
      </c>
      <c r="M456" t="n">
        <v>2</v>
      </c>
      <c r="N456" t="n">
        <v>6.6</v>
      </c>
      <c r="O456" t="n">
        <v>108.4</v>
      </c>
      <c r="P456" t="n">
        <v>1644.428</v>
      </c>
      <c r="Q456" t="n">
        <v>0.942608695652174</v>
      </c>
      <c r="R456" t="inlineStr">
        <is>
          <t>Sobrestock crítico</t>
        </is>
      </c>
    </row>
    <row r="457">
      <c r="A457" t="inlineStr">
        <is>
          <t>BAOCCCA43TXL</t>
        </is>
      </c>
      <c r="B457" t="inlineStr">
        <is>
          <t>BASIC LINE OVERSIZED CAB</t>
        </is>
      </c>
      <c r="C457" t="inlineStr">
        <is>
          <t>Manufactura / Caballero / P. Superiores</t>
        </is>
      </c>
      <c r="D457" t="n">
        <v>2277.55427627</v>
      </c>
      <c r="E457" t="n">
        <v>0.0005576194690079864</v>
      </c>
      <c r="F457" t="n">
        <v>0.6886308054019394</v>
      </c>
      <c r="G457" t="inlineStr">
        <is>
          <t>A</t>
        </is>
      </c>
      <c r="H457" t="n">
        <v>24</v>
      </c>
      <c r="I457" t="n">
        <v>9.336740741</v>
      </c>
      <c r="J457" t="n">
        <v>224.081777784</v>
      </c>
      <c r="K457" t="n">
        <v>3.8</v>
      </c>
      <c r="L457" t="n">
        <v>6.315789473684211</v>
      </c>
      <c r="M457" t="n">
        <v>2</v>
      </c>
      <c r="N457" t="n">
        <v>7.6</v>
      </c>
      <c r="O457" t="n">
        <v>16.4</v>
      </c>
      <c r="P457" t="n">
        <v>153.1225481524</v>
      </c>
      <c r="Q457" t="n">
        <v>0.6833333333333332</v>
      </c>
      <c r="R457" t="inlineStr">
        <is>
          <t>Sobrestock crítico</t>
        </is>
      </c>
    </row>
    <row r="458">
      <c r="A458" t="inlineStr">
        <is>
          <t>DAYCSTCA43TL</t>
        </is>
      </c>
      <c r="B458" t="inlineStr">
        <is>
          <t>CLASICA DAILY 3.0 CAB</t>
        </is>
      </c>
      <c r="C458" t="inlineStr">
        <is>
          <t>Manufactura / Caballero / P. Superiores</t>
        </is>
      </c>
      <c r="D458" t="n">
        <v>2259.28021568</v>
      </c>
      <c r="E458" t="n">
        <v>0.0005531453837714738</v>
      </c>
      <c r="F458" t="n">
        <v>0.689183950785711</v>
      </c>
      <c r="G458" t="inlineStr">
        <is>
          <t>A</t>
        </is>
      </c>
      <c r="H458" t="n">
        <v>48</v>
      </c>
      <c r="I458" t="n">
        <v>11.76035097</v>
      </c>
      <c r="J458" t="n">
        <v>564.49684656</v>
      </c>
      <c r="K458" t="n">
        <v>7.4</v>
      </c>
      <c r="L458" t="n">
        <v>6.486486486486486</v>
      </c>
      <c r="M458" t="n">
        <v>2</v>
      </c>
      <c r="N458" t="n">
        <v>14.8</v>
      </c>
      <c r="O458" t="n">
        <v>33.2</v>
      </c>
      <c r="P458" t="n">
        <v>390.443652204</v>
      </c>
      <c r="Q458" t="n">
        <v>0.6916666666666667</v>
      </c>
      <c r="R458" t="inlineStr">
        <is>
          <t>Sobrestock crítico</t>
        </is>
      </c>
    </row>
    <row r="459">
      <c r="A459" t="inlineStr">
        <is>
          <t>SHOSUCA156TL</t>
        </is>
      </c>
      <c r="B459" t="inlineStr">
        <is>
          <t>SHORT PLAYA ESTAMPADO CAB</t>
        </is>
      </c>
      <c r="C459" t="inlineStr">
        <is>
          <t>Manufactura / Caballero / P. Inferiores</t>
        </is>
      </c>
      <c r="D459" t="n">
        <v>2255.99737105</v>
      </c>
      <c r="E459" t="n">
        <v>0.0005523416364805798</v>
      </c>
      <c r="F459" t="n">
        <v>0.6897362924221916</v>
      </c>
      <c r="G459" t="inlineStr">
        <is>
          <t>A</t>
        </is>
      </c>
      <c r="H459" t="n">
        <v>7</v>
      </c>
      <c r="I459" t="n">
        <v>12.11</v>
      </c>
      <c r="J459" t="n">
        <v>84.77</v>
      </c>
      <c r="K459" t="n">
        <v>4.5</v>
      </c>
      <c r="L459" t="n">
        <v>1.555555555555556</v>
      </c>
      <c r="M459" t="n">
        <v>2</v>
      </c>
      <c r="N459" t="n">
        <v>9</v>
      </c>
      <c r="O459" t="n">
        <v>0</v>
      </c>
      <c r="P459" t="n">
        <v>0</v>
      </c>
      <c r="Q459" t="n">
        <v>0</v>
      </c>
      <c r="R459" t="inlineStr">
        <is>
          <t>OK</t>
        </is>
      </c>
    </row>
    <row r="460">
      <c r="A460" t="inlineStr">
        <is>
          <t>JACCA70TXL</t>
        </is>
      </c>
      <c r="B460" t="inlineStr">
        <is>
          <t>JACKET CAB</t>
        </is>
      </c>
      <c r="C460" t="inlineStr">
        <is>
          <t>Equipamiento / Ropa</t>
        </is>
      </c>
      <c r="D460" t="n">
        <v>2248.814933886466</v>
      </c>
      <c r="E460" t="n">
        <v>0.0005505831419239222</v>
      </c>
      <c r="F460" t="n">
        <v>0.6902868755641155</v>
      </c>
      <c r="G460" t="inlineStr">
        <is>
          <t>A</t>
        </is>
      </c>
      <c r="H460" t="n">
        <v>56</v>
      </c>
      <c r="I460" t="n">
        <v>20.25001933</v>
      </c>
      <c r="J460" t="n">
        <v>1134.00108248</v>
      </c>
      <c r="K460" t="n">
        <v>3.5</v>
      </c>
      <c r="L460" t="n">
        <v>16</v>
      </c>
      <c r="M460" t="n">
        <v>2</v>
      </c>
      <c r="N460" t="n">
        <v>7</v>
      </c>
      <c r="O460" t="n">
        <v>49</v>
      </c>
      <c r="P460" t="n">
        <v>992.25094717</v>
      </c>
      <c r="Q460" t="n">
        <v>0.8749999999999999</v>
      </c>
      <c r="R460" t="inlineStr">
        <is>
          <t>Sobrestock crítico</t>
        </is>
      </c>
    </row>
    <row r="461">
      <c r="A461" t="inlineStr">
        <is>
          <t>BAPCCDA43TS</t>
        </is>
      </c>
      <c r="B461" t="inlineStr">
        <is>
          <t>BASIC LINE PANT DAMA</t>
        </is>
      </c>
      <c r="C461" t="inlineStr">
        <is>
          <t>Manufactura / Dama / P. Inferiores</t>
        </is>
      </c>
      <c r="D461" t="n">
        <v>2239.18100395</v>
      </c>
      <c r="E461" t="n">
        <v>0.0005482244420889263</v>
      </c>
      <c r="F461" t="n">
        <v>0.6908351000062045</v>
      </c>
      <c r="G461" t="inlineStr">
        <is>
          <t>A</t>
        </is>
      </c>
      <c r="H461" t="n">
        <v>35</v>
      </c>
      <c r="I461" t="n">
        <v>11.2</v>
      </c>
      <c r="J461" t="n">
        <v>392</v>
      </c>
      <c r="K461" t="n">
        <v>4.5</v>
      </c>
      <c r="L461" t="n">
        <v>7.777777777777778</v>
      </c>
      <c r="M461" t="n">
        <v>2</v>
      </c>
      <c r="N461" t="n">
        <v>9</v>
      </c>
      <c r="O461" t="n">
        <v>26</v>
      </c>
      <c r="P461" t="n">
        <v>291.2</v>
      </c>
      <c r="Q461" t="n">
        <v>0.7428571428571429</v>
      </c>
      <c r="R461" t="inlineStr">
        <is>
          <t>Sobrestock crítico</t>
        </is>
      </c>
    </row>
    <row r="462">
      <c r="A462" t="inlineStr">
        <is>
          <t>MARMIDA11TXS</t>
        </is>
      </c>
      <c r="B462" t="inlineStr">
        <is>
          <t>MAR ORIGINAL DAMA</t>
        </is>
      </c>
      <c r="C462" t="inlineStr">
        <is>
          <t>Manufactura / Dama / P. Superiores</t>
        </is>
      </c>
      <c r="D462" t="n">
        <v>2237.22989995</v>
      </c>
      <c r="E462" t="n">
        <v>0.0005477467482803549</v>
      </c>
      <c r="F462" t="n">
        <v>0.6913828467544848</v>
      </c>
      <c r="G462" t="inlineStr">
        <is>
          <t>A</t>
        </is>
      </c>
      <c r="H462" t="n">
        <v>8</v>
      </c>
      <c r="I462" t="n">
        <v>4.278324149</v>
      </c>
      <c r="J462" t="n">
        <v>34.226593192</v>
      </c>
      <c r="K462" t="n">
        <v>4.8</v>
      </c>
      <c r="L462" t="n">
        <v>1.666666666666667</v>
      </c>
      <c r="M462" t="n">
        <v>2</v>
      </c>
      <c r="N462" t="n">
        <v>9.6</v>
      </c>
      <c r="O462" t="n">
        <v>0</v>
      </c>
      <c r="P462" t="n">
        <v>0</v>
      </c>
      <c r="Q462" t="n">
        <v>0</v>
      </c>
      <c r="R462" t="inlineStr">
        <is>
          <t>OK</t>
        </is>
      </c>
    </row>
    <row r="463">
      <c r="A463" t="inlineStr">
        <is>
          <t>PANNTDA12TXL</t>
        </is>
      </c>
      <c r="B463" t="inlineStr">
        <is>
          <t>EXPLORE PANTS DAMA</t>
        </is>
      </c>
      <c r="C463" t="inlineStr">
        <is>
          <t>Manufactura / Dama / P. Inferiores</t>
        </is>
      </c>
      <c r="D463" t="n">
        <v>2235.22478433</v>
      </c>
      <c r="E463" t="n">
        <v>0.0005472558306679962</v>
      </c>
      <c r="F463" t="n">
        <v>0.6919301025851528</v>
      </c>
      <c r="G463" t="inlineStr">
        <is>
          <t>A</t>
        </is>
      </c>
      <c r="H463" t="n">
        <v>9</v>
      </c>
      <c r="I463" t="n">
        <v>15.3928899</v>
      </c>
      <c r="J463" t="n">
        <v>138.5360091</v>
      </c>
      <c r="K463" t="n">
        <v>3.4</v>
      </c>
      <c r="L463" t="n">
        <v>2.647058823529412</v>
      </c>
      <c r="M463" t="n">
        <v>2</v>
      </c>
      <c r="N463" t="n">
        <v>6.8</v>
      </c>
      <c r="O463" t="n">
        <v>2.2</v>
      </c>
      <c r="P463" t="n">
        <v>33.86435778000001</v>
      </c>
      <c r="Q463" t="n">
        <v>0.2444444444444445</v>
      </c>
      <c r="R463" t="inlineStr">
        <is>
          <t>Sobrestock</t>
        </is>
      </c>
    </row>
    <row r="464">
      <c r="A464" t="inlineStr">
        <is>
          <t>JAPDA01TL</t>
        </is>
      </c>
      <c r="B464" t="inlineStr">
        <is>
          <t>CUADRO JACKET 2.0 DAMA</t>
        </is>
      </c>
      <c r="C464" t="inlineStr">
        <is>
          <t>Equipamiento / Ropa</t>
        </is>
      </c>
      <c r="D464" t="n">
        <v>2223.71493404</v>
      </c>
      <c r="E464" t="n">
        <v>0.0005444378444298888</v>
      </c>
      <c r="F464" t="n">
        <v>0.6924745404295827</v>
      </c>
      <c r="G464" t="inlineStr">
        <is>
          <t>A</t>
        </is>
      </c>
      <c r="H464" t="n">
        <v>165</v>
      </c>
      <c r="I464" t="n">
        <v>20.25</v>
      </c>
      <c r="J464" t="n">
        <v>3341.25</v>
      </c>
      <c r="K464" t="n">
        <v>2.9</v>
      </c>
      <c r="L464" t="n">
        <v>56.89655172413794</v>
      </c>
      <c r="M464" t="n">
        <v>2</v>
      </c>
      <c r="N464" t="n">
        <v>5.8</v>
      </c>
      <c r="O464" t="n">
        <v>159.2</v>
      </c>
      <c r="P464" t="n">
        <v>3223.8</v>
      </c>
      <c r="Q464" t="n">
        <v>0.9648484848484847</v>
      </c>
      <c r="R464" t="inlineStr">
        <is>
          <t>Sobrestock crítico</t>
        </is>
      </c>
    </row>
    <row r="465">
      <c r="A465" t="inlineStr">
        <is>
          <t>RIOMIDA43TL</t>
        </is>
      </c>
      <c r="B465" t="inlineStr">
        <is>
          <t>RIO ORIGINAL DAMA</t>
        </is>
      </c>
      <c r="C465" t="inlineStr">
        <is>
          <t>Manufactura / Dama / P. Superiores</t>
        </is>
      </c>
      <c r="D465" t="n">
        <v>2217.5861357</v>
      </c>
      <c r="E465" t="n">
        <v>0.0005429373149752824</v>
      </c>
      <c r="F465" t="n">
        <v>0.6930174777445579</v>
      </c>
      <c r="G465" t="inlineStr">
        <is>
          <t>A</t>
        </is>
      </c>
      <c r="H465" t="n">
        <v>50</v>
      </c>
      <c r="I465" t="n">
        <v>5.538832275</v>
      </c>
      <c r="J465" t="n">
        <v>276.94161375</v>
      </c>
      <c r="K465" t="n">
        <v>4.1</v>
      </c>
      <c r="L465" t="n">
        <v>12.19512195121951</v>
      </c>
      <c r="M465" t="n">
        <v>2</v>
      </c>
      <c r="N465" t="n">
        <v>8.199999999999999</v>
      </c>
      <c r="O465" t="n">
        <v>41.8</v>
      </c>
      <c r="P465" t="n">
        <v>231.523189095</v>
      </c>
      <c r="Q465" t="n">
        <v>0.836</v>
      </c>
      <c r="R465" t="inlineStr">
        <is>
          <t>Sobrestock crítico</t>
        </is>
      </c>
    </row>
    <row r="466">
      <c r="A466" t="inlineStr">
        <is>
          <t>SHOSUCA153TXL</t>
        </is>
      </c>
      <c r="B466" t="inlineStr">
        <is>
          <t>SHORT PLAYA ESTAMPADO CAB</t>
        </is>
      </c>
      <c r="C466" t="inlineStr">
        <is>
          <t>Manufactura / Caballero / P. Inferiores</t>
        </is>
      </c>
      <c r="D466" t="n">
        <v>2201.04399017</v>
      </c>
      <c r="E466" t="n">
        <v>0.0005388872589556305</v>
      </c>
      <c r="F466" t="n">
        <v>0.6935563650035136</v>
      </c>
      <c r="G466" t="inlineStr">
        <is>
          <t>A</t>
        </is>
      </c>
      <c r="H466" t="n">
        <v>5</v>
      </c>
      <c r="I466" t="n">
        <v>12.11</v>
      </c>
      <c r="J466" t="n">
        <v>60.55</v>
      </c>
      <c r="K466" t="n">
        <v>3.6</v>
      </c>
      <c r="L466" t="n">
        <v>1.388888888888889</v>
      </c>
      <c r="M466" t="n">
        <v>2</v>
      </c>
      <c r="N466" t="n">
        <v>7.2</v>
      </c>
      <c r="O466" t="n">
        <v>0</v>
      </c>
      <c r="P466" t="n">
        <v>0</v>
      </c>
      <c r="Q466" t="n">
        <v>0</v>
      </c>
      <c r="R466" t="inlineStr">
        <is>
          <t>OK</t>
        </is>
      </c>
    </row>
    <row r="467">
      <c r="A467" t="inlineStr">
        <is>
          <t>JACCA33TXL</t>
        </is>
      </c>
      <c r="B467" t="inlineStr">
        <is>
          <t>JACKET CAB</t>
        </is>
      </c>
      <c r="C467" t="inlineStr">
        <is>
          <t>Equipamiento / Ropa</t>
        </is>
      </c>
      <c r="D467" t="n">
        <v>2191.40533574</v>
      </c>
      <c r="E467" t="n">
        <v>0.000536527402410736</v>
      </c>
      <c r="F467" t="n">
        <v>0.6940928924059243</v>
      </c>
      <c r="G467" t="inlineStr">
        <is>
          <t>A</t>
        </is>
      </c>
      <c r="H467" t="n">
        <v>30</v>
      </c>
      <c r="I467" t="n">
        <v>20.25001933</v>
      </c>
      <c r="J467" t="n">
        <v>607.5005799</v>
      </c>
      <c r="K467" t="n">
        <v>3.3</v>
      </c>
      <c r="L467" t="n">
        <v>9.090909090909092</v>
      </c>
      <c r="M467" t="n">
        <v>2</v>
      </c>
      <c r="N467" t="n">
        <v>6.6</v>
      </c>
      <c r="O467" t="n">
        <v>23.4</v>
      </c>
      <c r="P467" t="n">
        <v>473.850452322</v>
      </c>
      <c r="Q467" t="n">
        <v>0.7799999999999999</v>
      </c>
      <c r="R467" t="inlineStr">
        <is>
          <t>Sobrestock crítico</t>
        </is>
      </c>
    </row>
    <row r="468">
      <c r="A468" t="inlineStr">
        <is>
          <t>CLAMICA16TS</t>
        </is>
      </c>
      <c r="B468" t="inlineStr">
        <is>
          <t>CLASICA ORIGINAL CAB</t>
        </is>
      </c>
      <c r="C468" t="inlineStr">
        <is>
          <t>Manufactura / Caballero / P. Superiores</t>
        </is>
      </c>
      <c r="D468" t="n">
        <v>2188.10332908</v>
      </c>
      <c r="E468" t="n">
        <v>0.0005357189636307718</v>
      </c>
      <c r="F468" t="n">
        <v>0.694628611369555</v>
      </c>
      <c r="G468" t="inlineStr">
        <is>
          <t>A</t>
        </is>
      </c>
      <c r="H468" t="n">
        <v>78</v>
      </c>
      <c r="I468" t="n">
        <v>4.598442536000001</v>
      </c>
      <c r="J468" t="n">
        <v>358.6785178080001</v>
      </c>
      <c r="K468" t="n">
        <v>8.6</v>
      </c>
      <c r="L468" t="n">
        <v>9.069767441860465</v>
      </c>
      <c r="M468" t="n">
        <v>2</v>
      </c>
      <c r="N468" t="n">
        <v>17.2</v>
      </c>
      <c r="O468" t="n">
        <v>60.8</v>
      </c>
      <c r="P468" t="n">
        <v>279.5853061888001</v>
      </c>
      <c r="Q468" t="n">
        <v>0.7794871794871795</v>
      </c>
      <c r="R468" t="inlineStr">
        <is>
          <t>Sobrestock crítico</t>
        </is>
      </c>
    </row>
    <row r="469">
      <c r="A469" t="inlineStr">
        <is>
          <t>JAPCA16T2XL</t>
        </is>
      </c>
      <c r="B469" t="inlineStr">
        <is>
          <t>CUADRO JACKET 2.0 CAB</t>
        </is>
      </c>
      <c r="C469" t="inlineStr">
        <is>
          <t>Equipamiento / Ropa</t>
        </is>
      </c>
      <c r="D469" t="n">
        <v>2187.48823817</v>
      </c>
      <c r="E469" t="n">
        <v>0.0005355683693418894</v>
      </c>
      <c r="F469" t="n">
        <v>0.695164179738897</v>
      </c>
      <c r="G469" t="inlineStr">
        <is>
          <t>A</t>
        </is>
      </c>
      <c r="H469" t="n">
        <v>183</v>
      </c>
      <c r="I469" t="n">
        <v>20.25000225</v>
      </c>
      <c r="J469" t="n">
        <v>3705.75041175</v>
      </c>
      <c r="K469" t="n">
        <v>2.6</v>
      </c>
      <c r="L469" t="n">
        <v>70.38461538461539</v>
      </c>
      <c r="M469" t="n">
        <v>2</v>
      </c>
      <c r="N469" t="n">
        <v>5.2</v>
      </c>
      <c r="O469" t="n">
        <v>177.8</v>
      </c>
      <c r="P469" t="n">
        <v>3600.450400050001</v>
      </c>
      <c r="Q469" t="n">
        <v>0.971584699453552</v>
      </c>
      <c r="R469" t="inlineStr">
        <is>
          <t>Sobrestock crítico</t>
        </is>
      </c>
    </row>
    <row r="470">
      <c r="A470" t="inlineStr">
        <is>
          <t>RIOMIDA01TXS</t>
        </is>
      </c>
      <c r="B470" t="inlineStr">
        <is>
          <t>RIO ORIGINAL DAMA</t>
        </is>
      </c>
      <c r="C470" t="inlineStr">
        <is>
          <t>Manufactura / Dama / P. Superiores</t>
        </is>
      </c>
      <c r="D470" t="n">
        <v>2175.41210847</v>
      </c>
      <c r="E470" t="n">
        <v>0.0005326117394599383</v>
      </c>
      <c r="F470" t="n">
        <v>0.6956967914783568</v>
      </c>
      <c r="G470" t="inlineStr">
        <is>
          <t>A</t>
        </is>
      </c>
      <c r="H470" t="n">
        <v>21</v>
      </c>
      <c r="I470" t="n">
        <v>5.538832275</v>
      </c>
      <c r="J470" t="n">
        <v>116.315477775</v>
      </c>
      <c r="K470" t="n">
        <v>4.1</v>
      </c>
      <c r="L470" t="n">
        <v>5.121951219512195</v>
      </c>
      <c r="M470" t="n">
        <v>2</v>
      </c>
      <c r="N470" t="n">
        <v>8.199999999999999</v>
      </c>
      <c r="O470" t="n">
        <v>12.8</v>
      </c>
      <c r="P470" t="n">
        <v>70.89705312</v>
      </c>
      <c r="Q470" t="n">
        <v>0.6095238095238096</v>
      </c>
      <c r="R470" t="inlineStr">
        <is>
          <t>Sobrestock crítico</t>
        </is>
      </c>
    </row>
    <row r="471">
      <c r="A471" t="inlineStr">
        <is>
          <t>SHONRCA43TL</t>
        </is>
      </c>
      <c r="B471" t="inlineStr">
        <is>
          <t>SHORT SPORT CAB</t>
        </is>
      </c>
      <c r="C471" t="inlineStr">
        <is>
          <t>Manufactura / Caballero / P. Inferiores</t>
        </is>
      </c>
      <c r="D471" t="n">
        <v>2168.82954799</v>
      </c>
      <c r="E471" t="n">
        <v>0.0005310001142539818</v>
      </c>
      <c r="F471" t="n">
        <v>0.6962277915926109</v>
      </c>
      <c r="G471" t="inlineStr">
        <is>
          <t>A</t>
        </is>
      </c>
      <c r="H471" t="n">
        <v>0</v>
      </c>
      <c r="I471" t="n">
        <v>10.6514486</v>
      </c>
      <c r="J471" t="n">
        <v>0</v>
      </c>
      <c r="K471" t="n">
        <v>6.5</v>
      </c>
      <c r="L471" t="n">
        <v>0</v>
      </c>
      <c r="M471" t="n">
        <v>2</v>
      </c>
      <c r="N471" t="n">
        <v>13</v>
      </c>
      <c r="O471" t="n">
        <v>0</v>
      </c>
      <c r="P471" t="n">
        <v>0</v>
      </c>
      <c r="Q471" t="n">
        <v>0</v>
      </c>
      <c r="R471" t="inlineStr">
        <is>
          <t>Riesgo bajo stock</t>
        </is>
      </c>
    </row>
    <row r="472">
      <c r="A472" t="inlineStr">
        <is>
          <t>RIOMICA70TM</t>
        </is>
      </c>
      <c r="B472" t="inlineStr">
        <is>
          <t>RIO ORIGINAL CAB</t>
        </is>
      </c>
      <c r="C472" t="inlineStr">
        <is>
          <t>Manufactura / Caballero / P. Superiores</t>
        </is>
      </c>
      <c r="D472" t="n">
        <v>2163.82250143</v>
      </c>
      <c r="E472" t="n">
        <v>0.0005297742261716755</v>
      </c>
      <c r="F472" t="n">
        <v>0.6967575658187826</v>
      </c>
      <c r="G472" t="inlineStr">
        <is>
          <t>A</t>
        </is>
      </c>
      <c r="H472" t="n">
        <v>25</v>
      </c>
      <c r="I472" t="n">
        <v>5.939350288</v>
      </c>
      <c r="J472" t="n">
        <v>148.4837572</v>
      </c>
      <c r="K472" t="n">
        <v>3.7</v>
      </c>
      <c r="L472" t="n">
        <v>6.756756756756756</v>
      </c>
      <c r="M472" t="n">
        <v>2</v>
      </c>
      <c r="N472" t="n">
        <v>7.4</v>
      </c>
      <c r="O472" t="n">
        <v>17.6</v>
      </c>
      <c r="P472" t="n">
        <v>104.5325650688</v>
      </c>
      <c r="Q472" t="n">
        <v>0.704</v>
      </c>
      <c r="R472" t="inlineStr">
        <is>
          <t>Sobrestock crítico</t>
        </is>
      </c>
    </row>
    <row r="473">
      <c r="A473" t="inlineStr">
        <is>
          <t>RIOMICA13TL</t>
        </is>
      </c>
      <c r="B473" t="inlineStr">
        <is>
          <t>RIO ORIGINAL CAB</t>
        </is>
      </c>
      <c r="C473" t="inlineStr">
        <is>
          <t>Manufactura / Caballero / P. Superiores</t>
        </is>
      </c>
      <c r="D473" t="n">
        <v>2161.45055902</v>
      </c>
      <c r="E473" t="n">
        <v>0.0005291934974132163</v>
      </c>
      <c r="F473" t="n">
        <v>0.6972867593161958</v>
      </c>
      <c r="G473" t="inlineStr">
        <is>
          <t>A</t>
        </is>
      </c>
      <c r="H473" t="n">
        <v>21</v>
      </c>
      <c r="I473" t="n">
        <v>5.939350288</v>
      </c>
      <c r="J473" t="n">
        <v>124.726356048</v>
      </c>
      <c r="K473" t="n">
        <v>4.3</v>
      </c>
      <c r="L473" t="n">
        <v>4.883720930232558</v>
      </c>
      <c r="M473" t="n">
        <v>2</v>
      </c>
      <c r="N473" t="n">
        <v>8.6</v>
      </c>
      <c r="O473" t="n">
        <v>12.4</v>
      </c>
      <c r="P473" t="n">
        <v>73.6479435712</v>
      </c>
      <c r="Q473" t="n">
        <v>0.5904761904761905</v>
      </c>
      <c r="R473" t="inlineStr">
        <is>
          <t>Sobrestock crítico</t>
        </is>
      </c>
    </row>
    <row r="474">
      <c r="A474" t="inlineStr">
        <is>
          <t>RIOMICA12TL</t>
        </is>
      </c>
      <c r="B474" t="inlineStr">
        <is>
          <t>RIO ORIGINAL CAB</t>
        </is>
      </c>
      <c r="C474" t="inlineStr">
        <is>
          <t>Manufactura / Caballero / P. Superiores</t>
        </is>
      </c>
      <c r="D474" t="n">
        <v>2143.30747664</v>
      </c>
      <c r="E474" t="n">
        <v>0.0005247514799086004</v>
      </c>
      <c r="F474" t="n">
        <v>0.6978115107961044</v>
      </c>
      <c r="G474" t="inlineStr">
        <is>
          <t>A</t>
        </is>
      </c>
      <c r="H474" t="n">
        <v>6</v>
      </c>
      <c r="I474" t="n">
        <v>5.939350288</v>
      </c>
      <c r="J474" t="n">
        <v>35.636101728</v>
      </c>
      <c r="K474" t="n">
        <v>3.7</v>
      </c>
      <c r="L474" t="n">
        <v>1.621621621621621</v>
      </c>
      <c r="M474" t="n">
        <v>2</v>
      </c>
      <c r="N474" t="n">
        <v>7.4</v>
      </c>
      <c r="O474" t="n">
        <v>0</v>
      </c>
      <c r="P474" t="n">
        <v>0</v>
      </c>
      <c r="Q474" t="n">
        <v>0</v>
      </c>
      <c r="R474" t="inlineStr">
        <is>
          <t>OK</t>
        </is>
      </c>
    </row>
    <row r="475">
      <c r="A475" t="inlineStr">
        <is>
          <t>MARMIDA53TS</t>
        </is>
      </c>
      <c r="B475" t="inlineStr">
        <is>
          <t>MAR ORIGINAL DAMA</t>
        </is>
      </c>
      <c r="C475" t="inlineStr">
        <is>
          <t>Manufactura / Dama / P. Superiores</t>
        </is>
      </c>
      <c r="D475" t="n">
        <v>2140.28020947</v>
      </c>
      <c r="E475" t="n">
        <v>0.0005240103063043229</v>
      </c>
      <c r="F475" t="n">
        <v>0.6983355211024087</v>
      </c>
      <c r="G475" t="inlineStr">
        <is>
          <t>A</t>
        </is>
      </c>
      <c r="H475" t="n">
        <v>17</v>
      </c>
      <c r="I475" t="n">
        <v>4.278324149</v>
      </c>
      <c r="J475" t="n">
        <v>72.73151053300001</v>
      </c>
      <c r="K475" t="n">
        <v>4.3</v>
      </c>
      <c r="L475" t="n">
        <v>3.953488372093024</v>
      </c>
      <c r="M475" t="n">
        <v>2</v>
      </c>
      <c r="N475" t="n">
        <v>8.6</v>
      </c>
      <c r="O475" t="n">
        <v>8.4</v>
      </c>
      <c r="P475" t="n">
        <v>35.93792285160001</v>
      </c>
      <c r="Q475" t="n">
        <v>0.4941176470588236</v>
      </c>
      <c r="R475" t="inlineStr">
        <is>
          <t>Sobrestock crítico</t>
        </is>
      </c>
    </row>
    <row r="476">
      <c r="A476" t="inlineStr">
        <is>
          <t>BAOCCCA38TM</t>
        </is>
      </c>
      <c r="B476" t="inlineStr">
        <is>
          <t>BASIC LINE OVERSIZED CAB</t>
        </is>
      </c>
      <c r="C476" t="inlineStr">
        <is>
          <t>Manufactura / Caballero / P. Superiores</t>
        </is>
      </c>
      <c r="D476" t="n">
        <v>2137.31730633</v>
      </c>
      <c r="E476" t="n">
        <v>0.0005232848911109891</v>
      </c>
      <c r="F476" t="n">
        <v>0.6988588059935197</v>
      </c>
      <c r="G476" t="inlineStr">
        <is>
          <t>A</t>
        </is>
      </c>
      <c r="H476" t="n">
        <v>24</v>
      </c>
      <c r="I476" t="n">
        <v>9.336740741</v>
      </c>
      <c r="J476" t="n">
        <v>224.081777784</v>
      </c>
      <c r="K476" t="n">
        <v>3.9</v>
      </c>
      <c r="L476" t="n">
        <v>6.153846153846154</v>
      </c>
      <c r="M476" t="n">
        <v>2</v>
      </c>
      <c r="N476" t="n">
        <v>7.8</v>
      </c>
      <c r="O476" t="n">
        <v>16.2</v>
      </c>
      <c r="P476" t="n">
        <v>151.2552000042</v>
      </c>
      <c r="Q476" t="n">
        <v>0.6749999999999999</v>
      </c>
      <c r="R476" t="inlineStr">
        <is>
          <t>Sobrestock crítico</t>
        </is>
      </c>
    </row>
    <row r="477">
      <c r="A477" t="inlineStr">
        <is>
          <t>SHONRCA12TXL</t>
        </is>
      </c>
      <c r="B477" t="inlineStr">
        <is>
          <t>SHORT SPORT CAB</t>
        </is>
      </c>
      <c r="C477" t="inlineStr">
        <is>
          <t>Manufactura / Caballero / P. Inferiores</t>
        </is>
      </c>
      <c r="D477" t="n">
        <v>2132.53058654</v>
      </c>
      <c r="E477" t="n">
        <v>0.0005221129461982376</v>
      </c>
      <c r="F477" t="n">
        <v>0.699380918939718</v>
      </c>
      <c r="G477" t="inlineStr">
        <is>
          <t>A</t>
        </is>
      </c>
      <c r="H477" t="n">
        <v>18</v>
      </c>
      <c r="I477" t="n">
        <v>10.6514486</v>
      </c>
      <c r="J477" t="n">
        <v>191.7260748</v>
      </c>
      <c r="K477" t="n">
        <v>4.7</v>
      </c>
      <c r="L477" t="n">
        <v>3.829787234042553</v>
      </c>
      <c r="M477" t="n">
        <v>2</v>
      </c>
      <c r="N477" t="n">
        <v>9.4</v>
      </c>
      <c r="O477" t="n">
        <v>8.6</v>
      </c>
      <c r="P477" t="n">
        <v>91.60245796</v>
      </c>
      <c r="Q477" t="n">
        <v>0.4777777777777777</v>
      </c>
      <c r="R477" t="inlineStr">
        <is>
          <t>Sobrestock crítico</t>
        </is>
      </c>
    </row>
    <row r="478">
      <c r="A478" t="inlineStr">
        <is>
          <t>BACCCDA158TL</t>
        </is>
      </c>
      <c r="B478" t="inlineStr">
        <is>
          <t>BASIC LINE CROP TEE DAMA</t>
        </is>
      </c>
      <c r="C478" t="inlineStr">
        <is>
          <t>Manufactura / Dama / P. Superiores</t>
        </is>
      </c>
      <c r="D478" t="n">
        <v>2131.44824805</v>
      </c>
      <c r="E478" t="n">
        <v>0.0005218479544830592</v>
      </c>
      <c r="F478" t="n">
        <v>0.6999027668942011</v>
      </c>
      <c r="G478" t="inlineStr">
        <is>
          <t>A</t>
        </is>
      </c>
      <c r="H478" t="n">
        <v>28</v>
      </c>
      <c r="I478" t="n">
        <v>6.196330833</v>
      </c>
      <c r="J478" t="n">
        <v>173.497263324</v>
      </c>
      <c r="K478" t="n">
        <v>4.2</v>
      </c>
      <c r="L478" t="n">
        <v>6.666666666666666</v>
      </c>
      <c r="M478" t="n">
        <v>2</v>
      </c>
      <c r="N478" t="n">
        <v>8.4</v>
      </c>
      <c r="O478" t="n">
        <v>19.6</v>
      </c>
      <c r="P478" t="n">
        <v>121.4480843268</v>
      </c>
      <c r="Q478" t="n">
        <v>0.7000000000000001</v>
      </c>
      <c r="R478" t="inlineStr">
        <is>
          <t>Sobrestock crítico</t>
        </is>
      </c>
    </row>
    <row r="479">
      <c r="A479" t="inlineStr">
        <is>
          <t>PANNTDA33TXS</t>
        </is>
      </c>
      <c r="B479" t="inlineStr">
        <is>
          <t>EXPLORE PANTS DAMA</t>
        </is>
      </c>
      <c r="C479" t="inlineStr">
        <is>
          <t>Manufactura / Dama / P. Inferiores</t>
        </is>
      </c>
      <c r="D479" t="n">
        <v>2129.59172661</v>
      </c>
      <c r="E479" t="n">
        <v>0.0005213934175658226</v>
      </c>
      <c r="F479" t="n">
        <v>0.7004241603117668</v>
      </c>
      <c r="G479" t="inlineStr">
        <is>
          <t>A</t>
        </is>
      </c>
      <c r="H479" t="n">
        <v>36</v>
      </c>
      <c r="I479" t="n">
        <v>15.3928899</v>
      </c>
      <c r="J479" t="n">
        <v>554.1440364</v>
      </c>
      <c r="K479" t="n">
        <v>3.6</v>
      </c>
      <c r="L479" t="n">
        <v>10</v>
      </c>
      <c r="M479" t="n">
        <v>2</v>
      </c>
      <c r="N479" t="n">
        <v>7.2</v>
      </c>
      <c r="O479" t="n">
        <v>28.8</v>
      </c>
      <c r="P479" t="n">
        <v>443.31522912</v>
      </c>
      <c r="Q479" t="n">
        <v>0.8</v>
      </c>
      <c r="R479" t="inlineStr">
        <is>
          <t>Sobrestock crítico</t>
        </is>
      </c>
    </row>
    <row r="480">
      <c r="A480" t="inlineStr">
        <is>
          <t>DAYCSTDA43TS</t>
        </is>
      </c>
      <c r="B480" t="inlineStr">
        <is>
          <t>CLASICA DAILY 3.0 DAMA</t>
        </is>
      </c>
      <c r="C480" t="inlineStr">
        <is>
          <t>Manufactura / Dama / P. Superiores</t>
        </is>
      </c>
      <c r="D480" t="n">
        <v>2123.0465696</v>
      </c>
      <c r="E480" t="n">
        <v>0.00051979094994759</v>
      </c>
      <c r="F480" t="n">
        <v>0.7009439512617144</v>
      </c>
      <c r="G480" t="inlineStr">
        <is>
          <t>A</t>
        </is>
      </c>
      <c r="H480" t="n">
        <v>72</v>
      </c>
      <c r="I480" t="n">
        <v>10.28586481</v>
      </c>
      <c r="J480" t="n">
        <v>740.5822663199998</v>
      </c>
      <c r="K480" t="n">
        <v>5.8</v>
      </c>
      <c r="L480" t="n">
        <v>12.41379310344828</v>
      </c>
      <c r="M480" t="n">
        <v>2</v>
      </c>
      <c r="N480" t="n">
        <v>11.6</v>
      </c>
      <c r="O480" t="n">
        <v>60.4</v>
      </c>
      <c r="P480" t="n">
        <v>621.2662345239999</v>
      </c>
      <c r="Q480" t="n">
        <v>0.8388888888888889</v>
      </c>
      <c r="R480" t="inlineStr">
        <is>
          <t>Sobrestock crítico</t>
        </is>
      </c>
    </row>
    <row r="481">
      <c r="A481" t="inlineStr">
        <is>
          <t>MARMICA70TS</t>
        </is>
      </c>
      <c r="B481" t="inlineStr">
        <is>
          <t>MAR ORIGINAL CAB</t>
        </is>
      </c>
      <c r="C481" t="inlineStr">
        <is>
          <t>Manufactura / Caballero / P. Superiores</t>
        </is>
      </c>
      <c r="D481" t="n">
        <v>2119.66708457</v>
      </c>
      <c r="E481" t="n">
        <v>0.0005189635419391032</v>
      </c>
      <c r="F481" t="n">
        <v>0.7014629148036535</v>
      </c>
      <c r="G481" t="inlineStr">
        <is>
          <t>A</t>
        </is>
      </c>
      <c r="H481" t="n">
        <v>23</v>
      </c>
      <c r="I481" t="n">
        <v>4.946357428</v>
      </c>
      <c r="J481" t="n">
        <v>113.766220844</v>
      </c>
      <c r="K481" t="n">
        <v>5</v>
      </c>
      <c r="L481" t="n">
        <v>4.6</v>
      </c>
      <c r="M481" t="n">
        <v>2</v>
      </c>
      <c r="N481" t="n">
        <v>10</v>
      </c>
      <c r="O481" t="n">
        <v>13</v>
      </c>
      <c r="P481" t="n">
        <v>64.302646564</v>
      </c>
      <c r="Q481" t="n">
        <v>0.5652173913043479</v>
      </c>
      <c r="R481" t="inlineStr">
        <is>
          <t>Sobrestock crítico</t>
        </is>
      </c>
    </row>
    <row r="482">
      <c r="A482" t="inlineStr">
        <is>
          <t>DAYCSTDA16TS</t>
        </is>
      </c>
      <c r="B482" t="inlineStr">
        <is>
          <t>CLASICA DAILY 3.0 DAMA</t>
        </is>
      </c>
      <c r="C482" t="inlineStr">
        <is>
          <t>Manufactura / Dama / P. Superiores</t>
        </is>
      </c>
      <c r="D482" t="n">
        <v>2115.75704155</v>
      </c>
      <c r="E482" t="n">
        <v>0.0005180062360538702</v>
      </c>
      <c r="F482" t="n">
        <v>0.7019809210397074</v>
      </c>
      <c r="G482" t="inlineStr">
        <is>
          <t>A</t>
        </is>
      </c>
      <c r="H482" t="n">
        <v>43</v>
      </c>
      <c r="I482" t="n">
        <v>10.28586481</v>
      </c>
      <c r="J482" t="n">
        <v>442.29218683</v>
      </c>
      <c r="K482" t="n">
        <v>7</v>
      </c>
      <c r="L482" t="n">
        <v>6.142857142857143</v>
      </c>
      <c r="M482" t="n">
        <v>2</v>
      </c>
      <c r="N482" t="n">
        <v>14</v>
      </c>
      <c r="O482" t="n">
        <v>29</v>
      </c>
      <c r="P482" t="n">
        <v>298.29007949</v>
      </c>
      <c r="Q482" t="n">
        <v>0.6744186046511628</v>
      </c>
      <c r="R482" t="inlineStr">
        <is>
          <t>Sobrestock crítico</t>
        </is>
      </c>
    </row>
    <row r="483">
      <c r="A483" t="inlineStr">
        <is>
          <t>JAPCA01TM</t>
        </is>
      </c>
      <c r="B483" t="inlineStr">
        <is>
          <t>CUADRO JACKET 2.0 CAB</t>
        </is>
      </c>
      <c r="C483" t="inlineStr">
        <is>
          <t>Equipamiento / Ropa</t>
        </is>
      </c>
      <c r="D483" t="n">
        <v>2108.0991172</v>
      </c>
      <c r="E483" t="n">
        <v>0.0005161313267468816</v>
      </c>
      <c r="F483" t="n">
        <v>0.7024970523664543</v>
      </c>
      <c r="G483" t="inlineStr">
        <is>
          <t>A</t>
        </is>
      </c>
      <c r="H483" t="n">
        <v>271</v>
      </c>
      <c r="I483" t="n">
        <v>20.25000225</v>
      </c>
      <c r="J483" t="n">
        <v>5487.75060975</v>
      </c>
      <c r="K483" t="n">
        <v>3</v>
      </c>
      <c r="L483" t="n">
        <v>90.33333333333333</v>
      </c>
      <c r="M483" t="n">
        <v>2</v>
      </c>
      <c r="N483" t="n">
        <v>6</v>
      </c>
      <c r="O483" t="n">
        <v>265</v>
      </c>
      <c r="P483" t="n">
        <v>5366.25059625</v>
      </c>
      <c r="Q483" t="n">
        <v>0.9778597785977859</v>
      </c>
      <c r="R483" t="inlineStr">
        <is>
          <t>Sobrestock crítico</t>
        </is>
      </c>
    </row>
    <row r="484">
      <c r="A484" t="inlineStr">
        <is>
          <t>PANNTDA66TS</t>
        </is>
      </c>
      <c r="B484" t="inlineStr">
        <is>
          <t>EXPLORE PANTS DAMA</t>
        </is>
      </c>
      <c r="C484" t="inlineStr">
        <is>
          <t>Manufactura / Dama / P. Inferiores</t>
        </is>
      </c>
      <c r="D484" t="n">
        <v>2094.75225656</v>
      </c>
      <c r="E484" t="n">
        <v>0.0005128635805418651</v>
      </c>
      <c r="F484" t="n">
        <v>0.7030099159469961</v>
      </c>
      <c r="G484" t="inlineStr">
        <is>
          <t>A</t>
        </is>
      </c>
      <c r="H484" t="n">
        <v>82</v>
      </c>
      <c r="I484" t="n">
        <v>15.3928899</v>
      </c>
      <c r="J484" t="n">
        <v>1262.2169718</v>
      </c>
      <c r="K484" t="n">
        <v>4</v>
      </c>
      <c r="L484" t="n">
        <v>20.5</v>
      </c>
      <c r="M484" t="n">
        <v>2</v>
      </c>
      <c r="N484" t="n">
        <v>8</v>
      </c>
      <c r="O484" t="n">
        <v>74</v>
      </c>
      <c r="P484" t="n">
        <v>1139.0738526</v>
      </c>
      <c r="Q484" t="n">
        <v>0.9024390243902439</v>
      </c>
      <c r="R484" t="inlineStr">
        <is>
          <t>Sobrestock crítico</t>
        </is>
      </c>
    </row>
    <row r="485">
      <c r="A485" t="inlineStr">
        <is>
          <t>MARMICA30TXL</t>
        </is>
      </c>
      <c r="B485" t="inlineStr">
        <is>
          <t>MAR ORIGINAL CAB</t>
        </is>
      </c>
      <c r="C485" t="inlineStr">
        <is>
          <t>Manufactura / Caballero / P. Superiores</t>
        </is>
      </c>
      <c r="D485" t="n">
        <v>2075.82657161</v>
      </c>
      <c r="E485" t="n">
        <v>0.0005082299564379799</v>
      </c>
      <c r="F485" t="n">
        <v>0.7035181459034342</v>
      </c>
      <c r="G485" t="inlineStr">
        <is>
          <t>A</t>
        </is>
      </c>
      <c r="H485" t="n">
        <v>23</v>
      </c>
      <c r="I485" t="n">
        <v>4.946357428</v>
      </c>
      <c r="J485" t="n">
        <v>113.766220844</v>
      </c>
      <c r="K485" t="n">
        <v>4</v>
      </c>
      <c r="L485" t="n">
        <v>5.75</v>
      </c>
      <c r="M485" t="n">
        <v>2</v>
      </c>
      <c r="N485" t="n">
        <v>8</v>
      </c>
      <c r="O485" t="n">
        <v>15</v>
      </c>
      <c r="P485" t="n">
        <v>74.19536142</v>
      </c>
      <c r="Q485" t="n">
        <v>0.6521739130434783</v>
      </c>
      <c r="R485" t="inlineStr">
        <is>
          <t>Sobrestock crítico</t>
        </is>
      </c>
    </row>
    <row r="486">
      <c r="A486" t="inlineStr">
        <is>
          <t>PANNTCA30TXL</t>
        </is>
      </c>
      <c r="B486" t="inlineStr">
        <is>
          <t>EXPLORE PANTS CAB</t>
        </is>
      </c>
      <c r="C486" t="inlineStr">
        <is>
          <t>Manufactura / Caballero / P. Inferiores</t>
        </is>
      </c>
      <c r="D486" t="n">
        <v>2075.28125934</v>
      </c>
      <c r="E486" t="n">
        <v>0.0005080964462329283</v>
      </c>
      <c r="F486" t="n">
        <v>0.704026242349667</v>
      </c>
      <c r="G486" t="inlineStr">
        <is>
          <t>A</t>
        </is>
      </c>
      <c r="H486" t="n">
        <v>0</v>
      </c>
      <c r="I486" t="n">
        <v>15.68994502</v>
      </c>
      <c r="J486" t="n">
        <v>0</v>
      </c>
      <c r="K486" t="n">
        <v>3.4</v>
      </c>
      <c r="L486" t="n">
        <v>0</v>
      </c>
      <c r="M486" t="n">
        <v>2</v>
      </c>
      <c r="N486" t="n">
        <v>6.8</v>
      </c>
      <c r="O486" t="n">
        <v>0</v>
      </c>
      <c r="P486" t="n">
        <v>0</v>
      </c>
      <c r="Q486" t="n">
        <v>0</v>
      </c>
      <c r="R486" t="inlineStr">
        <is>
          <t>Riesgo bajo stock</t>
        </is>
      </c>
    </row>
    <row r="487">
      <c r="A487" t="inlineStr">
        <is>
          <t>JAPKI35T8</t>
        </is>
      </c>
      <c r="B487" t="inlineStr">
        <is>
          <t>CUADRO JACKET 2.0 KIDS</t>
        </is>
      </c>
      <c r="C487" t="inlineStr">
        <is>
          <t>Equipamiento / Ropa</t>
        </is>
      </c>
      <c r="D487" t="n">
        <v>2058.39428652</v>
      </c>
      <c r="E487" t="n">
        <v>0.0005039619652613213</v>
      </c>
      <c r="F487" t="n">
        <v>0.7045302043149285</v>
      </c>
      <c r="G487" t="inlineStr">
        <is>
          <t>A</t>
        </is>
      </c>
      <c r="H487" t="n">
        <v>89</v>
      </c>
      <c r="I487" t="n">
        <v>15.17</v>
      </c>
      <c r="J487" t="n">
        <v>1350.13</v>
      </c>
      <c r="K487" t="n">
        <v>3.1</v>
      </c>
      <c r="L487" t="n">
        <v>28.70967741935484</v>
      </c>
      <c r="M487" t="n">
        <v>2</v>
      </c>
      <c r="N487" t="n">
        <v>6.2</v>
      </c>
      <c r="O487" t="n">
        <v>82.8</v>
      </c>
      <c r="P487" t="n">
        <v>1256.076</v>
      </c>
      <c r="Q487" t="n">
        <v>0.9303370786516855</v>
      </c>
      <c r="R487" t="inlineStr">
        <is>
          <t>Sobrestock crítico</t>
        </is>
      </c>
    </row>
    <row r="488">
      <c r="A488" t="inlineStr">
        <is>
          <t>SHONRCA12TM</t>
        </is>
      </c>
      <c r="B488" t="inlineStr">
        <is>
          <t>SHORT SPORT CAB</t>
        </is>
      </c>
      <c r="C488" t="inlineStr">
        <is>
          <t>Manufactura / Caballero / P. Inferiores</t>
        </is>
      </c>
      <c r="D488" t="n">
        <v>2057.76472246</v>
      </c>
      <c r="E488" t="n">
        <v>0.0005038078274739141</v>
      </c>
      <c r="F488" t="n">
        <v>0.7050340121424024</v>
      </c>
      <c r="G488" t="inlineStr">
        <is>
          <t>A</t>
        </is>
      </c>
      <c r="H488" t="n">
        <v>4</v>
      </c>
      <c r="I488" t="n">
        <v>10.6514486</v>
      </c>
      <c r="J488" t="n">
        <v>42.6057944</v>
      </c>
      <c r="K488" t="n">
        <v>5.4</v>
      </c>
      <c r="L488" t="n">
        <v>0.7407407407407407</v>
      </c>
      <c r="M488" t="n">
        <v>2</v>
      </c>
      <c r="N488" t="n">
        <v>10.8</v>
      </c>
      <c r="O488" t="n">
        <v>0</v>
      </c>
      <c r="P488" t="n">
        <v>0</v>
      </c>
      <c r="Q488" t="n">
        <v>0</v>
      </c>
      <c r="R488" t="inlineStr">
        <is>
          <t>Riesgo bajo stock</t>
        </is>
      </c>
    </row>
    <row r="489">
      <c r="A489" t="inlineStr">
        <is>
          <t>BUC107EQ</t>
        </is>
      </c>
      <c r="B489" t="inlineStr">
        <is>
          <t>BUCKET HAT ESTAMPADO</t>
        </is>
      </c>
      <c r="C489" t="inlineStr">
        <is>
          <t>Equipamiento / Sombreros</t>
        </is>
      </c>
      <c r="D489" t="n">
        <v>2050.39964704</v>
      </c>
      <c r="E489" t="n">
        <v>0.0005020046171233665</v>
      </c>
      <c r="F489" t="n">
        <v>0.7055360167595257</v>
      </c>
      <c r="G489" t="inlineStr">
        <is>
          <t>A</t>
        </is>
      </c>
      <c r="H489" t="n">
        <v>529</v>
      </c>
      <c r="I489" t="n">
        <v>4.98</v>
      </c>
      <c r="J489" t="n">
        <v>2634.42</v>
      </c>
      <c r="K489" t="n">
        <v>8.800000000000001</v>
      </c>
      <c r="L489" t="n">
        <v>60.11363636363636</v>
      </c>
      <c r="M489" t="n">
        <v>2</v>
      </c>
      <c r="N489" t="n">
        <v>17.6</v>
      </c>
      <c r="O489" t="n">
        <v>511.4</v>
      </c>
      <c r="P489" t="n">
        <v>2546.772</v>
      </c>
      <c r="Q489" t="n">
        <v>0.9667296786389413</v>
      </c>
      <c r="R489" t="inlineStr">
        <is>
          <t>Sobrestock crítico</t>
        </is>
      </c>
    </row>
    <row r="490">
      <c r="A490" t="inlineStr">
        <is>
          <t>POLPLCA14TXL</t>
        </is>
      </c>
      <c r="B490" t="inlineStr">
        <is>
          <t>CLASSIC POLO</t>
        </is>
      </c>
      <c r="C490" t="inlineStr">
        <is>
          <t>Manufactura / Caballero / P. Superiores</t>
        </is>
      </c>
      <c r="D490" t="n">
        <v>2050.34684871</v>
      </c>
      <c r="E490" t="n">
        <v>0.0005019916903724891</v>
      </c>
      <c r="F490" t="n">
        <v>0.7060380084498983</v>
      </c>
      <c r="G490" t="inlineStr">
        <is>
          <t>A</t>
        </is>
      </c>
      <c r="H490" t="n">
        <v>20</v>
      </c>
      <c r="I490" t="n">
        <v>7.339999999999999</v>
      </c>
      <c r="J490" t="n">
        <v>146.8</v>
      </c>
      <c r="K490" t="n">
        <v>4.7</v>
      </c>
      <c r="L490" t="n">
        <v>4.25531914893617</v>
      </c>
      <c r="M490" t="n">
        <v>2</v>
      </c>
      <c r="N490" t="n">
        <v>9.4</v>
      </c>
      <c r="O490" t="n">
        <v>10.6</v>
      </c>
      <c r="P490" t="n">
        <v>77.80399999999999</v>
      </c>
      <c r="Q490" t="n">
        <v>0.53</v>
      </c>
      <c r="R490" t="inlineStr">
        <is>
          <t>Sobrestock crítico</t>
        </is>
      </c>
    </row>
    <row r="491">
      <c r="A491" t="inlineStr">
        <is>
          <t>MARMIDA13TL</t>
        </is>
      </c>
      <c r="B491" t="inlineStr">
        <is>
          <t>MAR ORIGINAL DAMA</t>
        </is>
      </c>
      <c r="C491" t="inlineStr">
        <is>
          <t>Manufactura / Dama / P. Superiores</t>
        </is>
      </c>
      <c r="D491" t="n">
        <v>2047.31432865</v>
      </c>
      <c r="E491" t="n">
        <v>0.0005012492306896478</v>
      </c>
      <c r="F491" t="n">
        <v>0.7065392576805878</v>
      </c>
      <c r="G491" t="inlineStr">
        <is>
          <t>A</t>
        </is>
      </c>
      <c r="H491" t="n">
        <v>41</v>
      </c>
      <c r="I491" t="n">
        <v>4.278324149</v>
      </c>
      <c r="J491" t="n">
        <v>175.411290109</v>
      </c>
      <c r="K491" t="n">
        <v>4.6</v>
      </c>
      <c r="L491" t="n">
        <v>8.913043478260871</v>
      </c>
      <c r="M491" t="n">
        <v>2</v>
      </c>
      <c r="N491" t="n">
        <v>9.199999999999999</v>
      </c>
      <c r="O491" t="n">
        <v>31.8</v>
      </c>
      <c r="P491" t="n">
        <v>136.0507079382</v>
      </c>
      <c r="Q491" t="n">
        <v>0.775609756097561</v>
      </c>
      <c r="R491" t="inlineStr">
        <is>
          <t>Sobrestock crítico</t>
        </is>
      </c>
    </row>
    <row r="492">
      <c r="A492" t="inlineStr">
        <is>
          <t>TOA50SP</t>
        </is>
      </c>
      <c r="B492" t="inlineStr">
        <is>
          <t>TOALLA SPORT</t>
        </is>
      </c>
      <c r="C492" t="inlineStr">
        <is>
          <t>Equipamiento / Toallas</t>
        </is>
      </c>
      <c r="D492" t="n">
        <v>2039.01609119</v>
      </c>
      <c r="E492" t="n">
        <v>0.000499217551877705</v>
      </c>
      <c r="F492" t="n">
        <v>0.7070384752324655</v>
      </c>
      <c r="G492" t="inlineStr">
        <is>
          <t>A</t>
        </is>
      </c>
      <c r="H492" t="n">
        <v>572</v>
      </c>
      <c r="I492" t="n">
        <v>1.8</v>
      </c>
      <c r="J492" t="n">
        <v>1029.6</v>
      </c>
      <c r="K492" t="n">
        <v>14.4</v>
      </c>
      <c r="L492" t="n">
        <v>39.72222222222222</v>
      </c>
      <c r="M492" t="n">
        <v>2</v>
      </c>
      <c r="N492" t="n">
        <v>28.8</v>
      </c>
      <c r="O492" t="n">
        <v>543.2</v>
      </c>
      <c r="P492" t="n">
        <v>977.7600000000001</v>
      </c>
      <c r="Q492" t="n">
        <v>0.9496503496503497</v>
      </c>
      <c r="R492" t="inlineStr">
        <is>
          <t>Sobrestock crítico</t>
        </is>
      </c>
    </row>
    <row r="493">
      <c r="A493" t="inlineStr">
        <is>
          <t>RIOMICA66TL</t>
        </is>
      </c>
      <c r="B493" t="inlineStr">
        <is>
          <t>RIO ORIGINAL CAB</t>
        </is>
      </c>
      <c r="C493" t="inlineStr">
        <is>
          <t>Manufactura / Caballero / P. Superiores</t>
        </is>
      </c>
      <c r="D493" t="n">
        <v>2024.760580622044</v>
      </c>
      <c r="E493" t="n">
        <v>0.0004957273385747053</v>
      </c>
      <c r="F493" t="n">
        <v>0.7075342025710404</v>
      </c>
      <c r="G493" t="inlineStr">
        <is>
          <t>A</t>
        </is>
      </c>
      <c r="H493" t="n">
        <v>4</v>
      </c>
      <c r="I493" t="n">
        <v>5.939350288</v>
      </c>
      <c r="J493" t="n">
        <v>23.757401152</v>
      </c>
      <c r="K493" t="n">
        <v>4.4</v>
      </c>
      <c r="L493" t="n">
        <v>0.9090909090909091</v>
      </c>
      <c r="M493" t="n">
        <v>2</v>
      </c>
      <c r="N493" t="n">
        <v>8.800000000000001</v>
      </c>
      <c r="O493" t="n">
        <v>0</v>
      </c>
      <c r="P493" t="n">
        <v>0</v>
      </c>
      <c r="Q493" t="n">
        <v>0</v>
      </c>
      <c r="R493" t="inlineStr">
        <is>
          <t>Riesgo bajo stock</t>
        </is>
      </c>
    </row>
    <row r="494">
      <c r="A494" t="inlineStr">
        <is>
          <t>PANNTDA30TL</t>
        </is>
      </c>
      <c r="B494" t="inlineStr">
        <is>
          <t>EXPLORE PANTS DAMA</t>
        </is>
      </c>
      <c r="C494" t="inlineStr">
        <is>
          <t>Manufactura / Dama / P. Inferiores</t>
        </is>
      </c>
      <c r="D494" t="n">
        <v>2020.18251151</v>
      </c>
      <c r="E494" t="n">
        <v>0.0004946064781438748</v>
      </c>
      <c r="F494" t="n">
        <v>0.7080288090491842</v>
      </c>
      <c r="G494" t="inlineStr">
        <is>
          <t>A</t>
        </is>
      </c>
      <c r="H494" t="n">
        <v>2</v>
      </c>
      <c r="I494" t="n">
        <v>15.3928899</v>
      </c>
      <c r="J494" t="n">
        <v>30.7857798</v>
      </c>
      <c r="K494" t="n">
        <v>3.6</v>
      </c>
      <c r="L494" t="n">
        <v>0.5555555555555556</v>
      </c>
      <c r="M494" t="n">
        <v>2</v>
      </c>
      <c r="N494" t="n">
        <v>7.2</v>
      </c>
      <c r="O494" t="n">
        <v>0</v>
      </c>
      <c r="P494" t="n">
        <v>0</v>
      </c>
      <c r="Q494" t="n">
        <v>0</v>
      </c>
      <c r="R494" t="inlineStr">
        <is>
          <t>Riesgo bajo stock</t>
        </is>
      </c>
    </row>
    <row r="495">
      <c r="A495" t="inlineStr">
        <is>
          <t>SHOUNCA187TL</t>
        </is>
      </c>
      <c r="B495" t="inlineStr">
        <is>
          <t>SHORT PLAYA CAB</t>
        </is>
      </c>
      <c r="C495" t="inlineStr">
        <is>
          <t>Manufactura / Caballero / P. Inferiores</t>
        </is>
      </c>
      <c r="D495" t="n">
        <v>2001.9357431</v>
      </c>
      <c r="E495" t="n">
        <v>0.0004901390749219595</v>
      </c>
      <c r="F495" t="n">
        <v>0.7085189481241061</v>
      </c>
      <c r="G495" t="inlineStr">
        <is>
          <t>A</t>
        </is>
      </c>
      <c r="H495" t="n">
        <v>14</v>
      </c>
      <c r="I495" t="n">
        <v>9.99</v>
      </c>
      <c r="J495" t="n">
        <v>139.86</v>
      </c>
      <c r="K495" t="n">
        <v>4.1</v>
      </c>
      <c r="L495" t="n">
        <v>3.414634146341464</v>
      </c>
      <c r="M495" t="n">
        <v>2</v>
      </c>
      <c r="N495" t="n">
        <v>8.199999999999999</v>
      </c>
      <c r="O495" t="n">
        <v>5.800000000000001</v>
      </c>
      <c r="P495" t="n">
        <v>57.94200000000001</v>
      </c>
      <c r="Q495" t="n">
        <v>0.4142857142857143</v>
      </c>
      <c r="R495" t="inlineStr">
        <is>
          <t>Sobrestock crítico</t>
        </is>
      </c>
    </row>
    <row r="496">
      <c r="A496" t="inlineStr">
        <is>
          <t>MARMIKI16T6</t>
        </is>
      </c>
      <c r="B496" t="inlineStr">
        <is>
          <t>MAR ORIGINAL KIDS</t>
        </is>
      </c>
      <c r="C496" t="inlineStr">
        <is>
          <t>Manufactura / Kids / P. Superiores</t>
        </is>
      </c>
      <c r="D496" t="n">
        <v>1996.01547159</v>
      </c>
      <c r="E496" t="n">
        <v>0.0004886895996272605</v>
      </c>
      <c r="F496" t="n">
        <v>0.7090076377237334</v>
      </c>
      <c r="G496" t="inlineStr">
        <is>
          <t>A</t>
        </is>
      </c>
      <c r="H496" t="n">
        <v>29</v>
      </c>
      <c r="I496" t="n">
        <v>3.168013332</v>
      </c>
      <c r="J496" t="n">
        <v>91.872386628</v>
      </c>
      <c r="K496" t="n">
        <v>5.6</v>
      </c>
      <c r="L496" t="n">
        <v>5.178571428571429</v>
      </c>
      <c r="M496" t="n">
        <v>2</v>
      </c>
      <c r="N496" t="n">
        <v>11.2</v>
      </c>
      <c r="O496" t="n">
        <v>17.8</v>
      </c>
      <c r="P496" t="n">
        <v>56.3906373096</v>
      </c>
      <c r="Q496" t="n">
        <v>0.6137931034482759</v>
      </c>
      <c r="R496" t="inlineStr">
        <is>
          <t>Sobrestock crítico</t>
        </is>
      </c>
    </row>
    <row r="497">
      <c r="A497" t="inlineStr">
        <is>
          <t>OVE43EQ</t>
        </is>
      </c>
      <c r="B497" t="inlineStr">
        <is>
          <t>OVERGRIP</t>
        </is>
      </c>
      <c r="C497" t="inlineStr">
        <is>
          <t>Equipamiento / Accesorios</t>
        </is>
      </c>
      <c r="D497" t="n">
        <v>1990.928635727</v>
      </c>
      <c r="E497" t="n">
        <v>0.0004874441765247638</v>
      </c>
      <c r="F497" t="n">
        <v>0.7094950819002581</v>
      </c>
      <c r="G497" t="inlineStr">
        <is>
          <t>A</t>
        </is>
      </c>
      <c r="H497" t="n">
        <v>456</v>
      </c>
      <c r="I497" t="n">
        <v>3.2</v>
      </c>
      <c r="J497" t="n">
        <v>1459.2</v>
      </c>
      <c r="K497" t="n">
        <v>23.7</v>
      </c>
      <c r="L497" t="n">
        <v>19.24050632911392</v>
      </c>
      <c r="M497" t="n">
        <v>2</v>
      </c>
      <c r="N497" t="n">
        <v>47.4</v>
      </c>
      <c r="O497" t="n">
        <v>408.6</v>
      </c>
      <c r="P497" t="n">
        <v>1307.52</v>
      </c>
      <c r="Q497" t="n">
        <v>0.8960526315789474</v>
      </c>
      <c r="R497" t="inlineStr">
        <is>
          <t>Sobrestock crítico</t>
        </is>
      </c>
    </row>
    <row r="498">
      <c r="A498" t="inlineStr">
        <is>
          <t>CAP30CM</t>
        </is>
      </c>
      <c r="B498" t="inlineStr">
        <is>
          <t>CAMO CAP</t>
        </is>
      </c>
      <c r="C498" t="inlineStr">
        <is>
          <t>Equipamiento / Gorras</t>
        </is>
      </c>
      <c r="D498" t="n">
        <v>1983.966291042893</v>
      </c>
      <c r="E498" t="n">
        <v>0.0004857395677756979</v>
      </c>
      <c r="F498" t="n">
        <v>0.7099808214680339</v>
      </c>
      <c r="G498" t="inlineStr">
        <is>
          <t>A</t>
        </is>
      </c>
      <c r="H498" t="n">
        <v>397</v>
      </c>
      <c r="I498" t="n">
        <v>3.36</v>
      </c>
      <c r="J498" t="n">
        <v>1333.92</v>
      </c>
      <c r="K498" t="n">
        <v>6.5</v>
      </c>
      <c r="L498" t="n">
        <v>61.07692307692308</v>
      </c>
      <c r="M498" t="n">
        <v>2</v>
      </c>
      <c r="N498" t="n">
        <v>13</v>
      </c>
      <c r="O498" t="n">
        <v>384</v>
      </c>
      <c r="P498" t="n">
        <v>1290.24</v>
      </c>
      <c r="Q498" t="n">
        <v>0.9672544080604535</v>
      </c>
      <c r="R498" t="inlineStr">
        <is>
          <t>Sobrestock crítico</t>
        </is>
      </c>
    </row>
    <row r="499">
      <c r="A499" t="inlineStr">
        <is>
          <t>JACKI01T10</t>
        </is>
      </c>
      <c r="B499" t="inlineStr">
        <is>
          <t>JACKET KIDS</t>
        </is>
      </c>
      <c r="C499" t="inlineStr">
        <is>
          <t>Manufactura / Kids / P. Superiores</t>
        </is>
      </c>
      <c r="D499" t="n">
        <v>1971.59003606</v>
      </c>
      <c r="E499" t="n">
        <v>0.0004827094574491195</v>
      </c>
      <c r="F499" t="n">
        <v>0.7104635309254829</v>
      </c>
      <c r="G499" t="inlineStr">
        <is>
          <t>A</t>
        </is>
      </c>
      <c r="H499" t="n">
        <v>156</v>
      </c>
      <c r="I499" t="n">
        <v>15.17</v>
      </c>
      <c r="J499" t="n">
        <v>2366.52</v>
      </c>
      <c r="K499" t="n">
        <v>3.5</v>
      </c>
      <c r="L499" t="n">
        <v>44.57142857142857</v>
      </c>
      <c r="M499" t="n">
        <v>2</v>
      </c>
      <c r="N499" t="n">
        <v>7</v>
      </c>
      <c r="O499" t="n">
        <v>149</v>
      </c>
      <c r="P499" t="n">
        <v>2260.33</v>
      </c>
      <c r="Q499" t="n">
        <v>0.9551282051282051</v>
      </c>
      <c r="R499" t="inlineStr">
        <is>
          <t>Sobrestock crítico</t>
        </is>
      </c>
    </row>
    <row r="500">
      <c r="A500" t="inlineStr">
        <is>
          <t>JACKI66T10</t>
        </is>
      </c>
      <c r="B500" t="inlineStr">
        <is>
          <t>JACKET KIDS</t>
        </is>
      </c>
      <c r="C500" t="inlineStr">
        <is>
          <t>Manufactura / Kids / P. Superiores</t>
        </is>
      </c>
      <c r="D500" t="n">
        <v>1971.04595101</v>
      </c>
      <c r="E500" t="n">
        <v>0.0004825762477074958</v>
      </c>
      <c r="F500" t="n">
        <v>0.7109461071731903</v>
      </c>
      <c r="G500" t="inlineStr">
        <is>
          <t>A</t>
        </is>
      </c>
      <c r="H500" t="n">
        <v>142</v>
      </c>
      <c r="I500" t="n">
        <v>15.17</v>
      </c>
      <c r="J500" t="n">
        <v>2154.14</v>
      </c>
      <c r="K500" t="n">
        <v>3.4</v>
      </c>
      <c r="L500" t="n">
        <v>41.76470588235294</v>
      </c>
      <c r="M500" t="n">
        <v>2</v>
      </c>
      <c r="N500" t="n">
        <v>6.8</v>
      </c>
      <c r="O500" t="n">
        <v>135.2</v>
      </c>
      <c r="P500" t="n">
        <v>2050.984</v>
      </c>
      <c r="Q500" t="n">
        <v>0.9521126760563381</v>
      </c>
      <c r="R500" t="inlineStr">
        <is>
          <t>Sobrestock crítico</t>
        </is>
      </c>
    </row>
    <row r="501">
      <c r="A501" t="inlineStr">
        <is>
          <t>CLAMICA12TS</t>
        </is>
      </c>
      <c r="B501" t="inlineStr">
        <is>
          <t>CLASICA ORIGINAL CAB</t>
        </is>
      </c>
      <c r="C501" t="inlineStr">
        <is>
          <t>Manufactura / Caballero / P. Superiores</t>
        </is>
      </c>
      <c r="D501" t="n">
        <v>1967.89977383</v>
      </c>
      <c r="E501" t="n">
        <v>0.0004818059610597545</v>
      </c>
      <c r="F501" t="n">
        <v>0.7114279131342501</v>
      </c>
      <c r="G501" t="inlineStr">
        <is>
          <t>A</t>
        </is>
      </c>
      <c r="H501" t="n">
        <v>26</v>
      </c>
      <c r="I501" t="n">
        <v>4.598442536</v>
      </c>
      <c r="J501" t="n">
        <v>119.559505936</v>
      </c>
      <c r="K501" t="n">
        <v>5.2</v>
      </c>
      <c r="L501" t="n">
        <v>5</v>
      </c>
      <c r="M501" t="n">
        <v>2</v>
      </c>
      <c r="N501" t="n">
        <v>10.4</v>
      </c>
      <c r="O501" t="n">
        <v>15.6</v>
      </c>
      <c r="P501" t="n">
        <v>71.7357035616</v>
      </c>
      <c r="Q501" t="n">
        <v>0.6</v>
      </c>
      <c r="R501" t="inlineStr">
        <is>
          <t>Sobrestock crítico</t>
        </is>
      </c>
    </row>
    <row r="502">
      <c r="A502" t="inlineStr">
        <is>
          <t>JAPDA16TXL</t>
        </is>
      </c>
      <c r="B502" t="inlineStr">
        <is>
          <t>CUADRO JACKET 2.0 DAMA</t>
        </is>
      </c>
      <c r="C502" t="inlineStr">
        <is>
          <t>Equipamiento / Ropa</t>
        </is>
      </c>
      <c r="D502" t="n">
        <v>1960.90481432</v>
      </c>
      <c r="E502" t="n">
        <v>0.0004800933671390132</v>
      </c>
      <c r="F502" t="n">
        <v>0.7119080065013892</v>
      </c>
      <c r="G502" t="inlineStr">
        <is>
          <t>A</t>
        </is>
      </c>
      <c r="H502" t="n">
        <v>168</v>
      </c>
      <c r="I502" t="n">
        <v>20.25</v>
      </c>
      <c r="J502" t="n">
        <v>3402</v>
      </c>
      <c r="K502" t="n">
        <v>2.7</v>
      </c>
      <c r="L502" t="n">
        <v>62.22222222222222</v>
      </c>
      <c r="M502" t="n">
        <v>2</v>
      </c>
      <c r="N502" t="n">
        <v>5.4</v>
      </c>
      <c r="O502" t="n">
        <v>162.6</v>
      </c>
      <c r="P502" t="n">
        <v>3292.65</v>
      </c>
      <c r="Q502" t="n">
        <v>0.9678571428571429</v>
      </c>
      <c r="R502" t="inlineStr">
        <is>
          <t>Sobrestock crítico</t>
        </is>
      </c>
    </row>
    <row r="503">
      <c r="A503" t="inlineStr">
        <is>
          <t>JACKI43T10</t>
        </is>
      </c>
      <c r="B503" t="inlineStr">
        <is>
          <t>JACKET KIDS</t>
        </is>
      </c>
      <c r="C503" t="inlineStr">
        <is>
          <t>Manufactura / Kids / P. Superiores</t>
        </is>
      </c>
      <c r="D503" t="n">
        <v>1960.0674526</v>
      </c>
      <c r="E503" t="n">
        <v>0.0004798883537162645</v>
      </c>
      <c r="F503" t="n">
        <v>0.7123878948551053</v>
      </c>
      <c r="G503" t="inlineStr">
        <is>
          <t>A</t>
        </is>
      </c>
      <c r="H503" t="n">
        <v>130</v>
      </c>
      <c r="I503" t="n">
        <v>15.17</v>
      </c>
      <c r="J503" t="n">
        <v>1972.1</v>
      </c>
      <c r="K503" t="n">
        <v>3.5</v>
      </c>
      <c r="L503" t="n">
        <v>37.14285714285715</v>
      </c>
      <c r="M503" t="n">
        <v>2</v>
      </c>
      <c r="N503" t="n">
        <v>7</v>
      </c>
      <c r="O503" t="n">
        <v>123</v>
      </c>
      <c r="P503" t="n">
        <v>1865.91</v>
      </c>
      <c r="Q503" t="n">
        <v>0.9461538461538462</v>
      </c>
      <c r="R503" t="inlineStr">
        <is>
          <t>Sobrestock crítico</t>
        </is>
      </c>
    </row>
    <row r="504">
      <c r="A504" t="inlineStr">
        <is>
          <t>PANNTKI12T12</t>
        </is>
      </c>
      <c r="B504" t="inlineStr">
        <is>
          <t>EXPLORE PANTS KIDS</t>
        </is>
      </c>
      <c r="C504" t="inlineStr">
        <is>
          <t>Manufactura / Kids / P. Inferiores</t>
        </is>
      </c>
      <c r="D504" t="n">
        <v>1954.29993252</v>
      </c>
      <c r="E504" t="n">
        <v>0.0004784762769468935</v>
      </c>
      <c r="F504" t="n">
        <v>0.7128663711320523</v>
      </c>
      <c r="G504" t="inlineStr">
        <is>
          <t>A</t>
        </is>
      </c>
      <c r="H504" t="n">
        <v>17</v>
      </c>
      <c r="I504" t="n">
        <v>13.98</v>
      </c>
      <c r="J504" t="n">
        <v>237.66</v>
      </c>
      <c r="K504" t="n">
        <v>3.7</v>
      </c>
      <c r="L504" t="n">
        <v>4.594594594594595</v>
      </c>
      <c r="M504" t="n">
        <v>2</v>
      </c>
      <c r="N504" t="n">
        <v>7.4</v>
      </c>
      <c r="O504" t="n">
        <v>9.6</v>
      </c>
      <c r="P504" t="n">
        <v>134.208</v>
      </c>
      <c r="Q504" t="n">
        <v>0.5647058823529412</v>
      </c>
      <c r="R504" t="inlineStr">
        <is>
          <t>Sobrestock crítico</t>
        </is>
      </c>
    </row>
    <row r="505">
      <c r="A505" t="inlineStr">
        <is>
          <t>CAP38DC</t>
        </is>
      </c>
      <c r="B505" t="inlineStr">
        <is>
          <t>DAD CAP</t>
        </is>
      </c>
      <c r="C505" t="inlineStr">
        <is>
          <t>Equipamiento / Gorras</t>
        </is>
      </c>
      <c r="D505" t="n">
        <v>1950.13709975</v>
      </c>
      <c r="E505" t="n">
        <v>0.0004774570798972504</v>
      </c>
      <c r="F505" t="n">
        <v>0.7133438282119494</v>
      </c>
      <c r="G505" t="inlineStr">
        <is>
          <t>A</t>
        </is>
      </c>
      <c r="H505" t="n">
        <v>1014</v>
      </c>
      <c r="I505" t="n">
        <v>3.27</v>
      </c>
      <c r="J505" t="n">
        <v>3315.78</v>
      </c>
      <c r="K505" t="n">
        <v>7</v>
      </c>
      <c r="L505" t="n">
        <v>144.8571428571429</v>
      </c>
      <c r="M505" t="n">
        <v>2</v>
      </c>
      <c r="N505" t="n">
        <v>14</v>
      </c>
      <c r="O505" t="n">
        <v>1000</v>
      </c>
      <c r="P505" t="n">
        <v>3270</v>
      </c>
      <c r="Q505" t="n">
        <v>0.9861932938856015</v>
      </c>
      <c r="R505" t="inlineStr">
        <is>
          <t>Sobrestock crítico</t>
        </is>
      </c>
    </row>
    <row r="506">
      <c r="A506" t="inlineStr">
        <is>
          <t>RIOMIDA12TXL</t>
        </is>
      </c>
      <c r="B506" t="inlineStr">
        <is>
          <t>RIO ORIGINAL DAMA</t>
        </is>
      </c>
      <c r="C506" t="inlineStr">
        <is>
          <t>Manufactura / Dama / P. Superiores</t>
        </is>
      </c>
      <c r="D506" t="n">
        <v>1944.1749939</v>
      </c>
      <c r="E506" t="n">
        <v>0.0004759973621935339</v>
      </c>
      <c r="F506" t="n">
        <v>0.7138198255741431</v>
      </c>
      <c r="G506" t="inlineStr">
        <is>
          <t>A</t>
        </is>
      </c>
      <c r="H506" t="n">
        <v>20</v>
      </c>
      <c r="I506" t="n">
        <v>5.538832275</v>
      </c>
      <c r="J506" t="n">
        <v>110.7766455</v>
      </c>
      <c r="K506" t="n">
        <v>3.6</v>
      </c>
      <c r="L506" t="n">
        <v>5.555555555555555</v>
      </c>
      <c r="M506" t="n">
        <v>2</v>
      </c>
      <c r="N506" t="n">
        <v>7.2</v>
      </c>
      <c r="O506" t="n">
        <v>12.8</v>
      </c>
      <c r="P506" t="n">
        <v>70.89705312</v>
      </c>
      <c r="Q506" t="n">
        <v>0.6399999999999999</v>
      </c>
      <c r="R506" t="inlineStr">
        <is>
          <t>Sobrestock crítico</t>
        </is>
      </c>
    </row>
    <row r="507">
      <c r="A507" t="inlineStr">
        <is>
          <t>NOSDA43TU</t>
        </is>
      </c>
      <c r="B507" t="inlineStr">
        <is>
          <t>NO SHOW SOCKS DAMA</t>
        </is>
      </c>
      <c r="C507" t="inlineStr">
        <is>
          <t>Equipamiento / Accesorios</t>
        </is>
      </c>
      <c r="D507" t="n">
        <v>1938.16745186</v>
      </c>
      <c r="E507" t="n">
        <v>0.0004745265202306042</v>
      </c>
      <c r="F507" t="n">
        <v>0.7142943520943736</v>
      </c>
      <c r="G507" t="inlineStr">
        <is>
          <t>A</t>
        </is>
      </c>
      <c r="H507" t="n">
        <v>900</v>
      </c>
      <c r="I507" t="n">
        <v>2.83</v>
      </c>
      <c r="J507" t="n">
        <v>2547</v>
      </c>
      <c r="K507" t="n">
        <v>9.4</v>
      </c>
      <c r="L507" t="n">
        <v>95.74468085106382</v>
      </c>
      <c r="M507" t="n">
        <v>2</v>
      </c>
      <c r="N507" t="n">
        <v>18.8</v>
      </c>
      <c r="O507" t="n">
        <v>881.2</v>
      </c>
      <c r="P507" t="n">
        <v>2493.796</v>
      </c>
      <c r="Q507" t="n">
        <v>0.9791111111111113</v>
      </c>
      <c r="R507" t="inlineStr">
        <is>
          <t>Sobrestock crítico</t>
        </is>
      </c>
    </row>
    <row r="508">
      <c r="A508" t="inlineStr">
        <is>
          <t>BACCCDA43TXS</t>
        </is>
      </c>
      <c r="B508" t="inlineStr">
        <is>
          <t>BASIC LINE CROP TEE DAMA</t>
        </is>
      </c>
      <c r="C508" t="inlineStr">
        <is>
          <t>Manufactura / Dama / P. Superiores</t>
        </is>
      </c>
      <c r="D508" t="n">
        <v>1936.28552053</v>
      </c>
      <c r="E508" t="n">
        <v>0.0004740657621446705</v>
      </c>
      <c r="F508" t="n">
        <v>0.7147684178565183</v>
      </c>
      <c r="G508" t="inlineStr">
        <is>
          <t>A</t>
        </is>
      </c>
      <c r="H508" t="n">
        <v>107</v>
      </c>
      <c r="I508" t="n">
        <v>6.196330833</v>
      </c>
      <c r="J508" t="n">
        <v>663.0073991310001</v>
      </c>
      <c r="K508" t="n">
        <v>4.2</v>
      </c>
      <c r="L508" t="n">
        <v>25.47619047619047</v>
      </c>
      <c r="M508" t="n">
        <v>2</v>
      </c>
      <c r="N508" t="n">
        <v>8.4</v>
      </c>
      <c r="O508" t="n">
        <v>98.59999999999999</v>
      </c>
      <c r="P508" t="n">
        <v>610.9582201338</v>
      </c>
      <c r="Q508" t="n">
        <v>0.9214953271028036</v>
      </c>
      <c r="R508" t="inlineStr">
        <is>
          <t>Sobrestock crítico</t>
        </is>
      </c>
    </row>
    <row r="509">
      <c r="A509" t="inlineStr">
        <is>
          <t>MARMIKI12T10</t>
        </is>
      </c>
      <c r="B509" t="inlineStr">
        <is>
          <t>MAR ORIGINAL KIDS</t>
        </is>
      </c>
      <c r="C509" t="inlineStr">
        <is>
          <t>Manufactura / Kids / P. Superiores</t>
        </is>
      </c>
      <c r="D509" t="n">
        <v>1932.61925626</v>
      </c>
      <c r="E509" t="n">
        <v>0.0004731681412375506</v>
      </c>
      <c r="F509" t="n">
        <v>0.7152415859977559</v>
      </c>
      <c r="G509" t="inlineStr">
        <is>
          <t>A</t>
        </is>
      </c>
      <c r="H509" t="n">
        <v>25</v>
      </c>
      <c r="I509" t="n">
        <v>3.168013332</v>
      </c>
      <c r="J509" t="n">
        <v>79.2003333</v>
      </c>
      <c r="K509" t="n">
        <v>5.3</v>
      </c>
      <c r="L509" t="n">
        <v>4.716981132075472</v>
      </c>
      <c r="M509" t="n">
        <v>2</v>
      </c>
      <c r="N509" t="n">
        <v>10.6</v>
      </c>
      <c r="O509" t="n">
        <v>14.4</v>
      </c>
      <c r="P509" t="n">
        <v>45.6193919808</v>
      </c>
      <c r="Q509" t="n">
        <v>0.5760000000000001</v>
      </c>
      <c r="R509" t="inlineStr">
        <is>
          <t>Sobrestock crítico</t>
        </is>
      </c>
    </row>
    <row r="510">
      <c r="A510" t="inlineStr">
        <is>
          <t>SHOUNCA170TL</t>
        </is>
      </c>
      <c r="B510" t="inlineStr">
        <is>
          <t>SHORT PLAYA CAB</t>
        </is>
      </c>
      <c r="C510" t="inlineStr">
        <is>
          <t>Manufactura / Caballero / P. Inferiores</t>
        </is>
      </c>
      <c r="D510" t="n">
        <v>1925.61628468</v>
      </c>
      <c r="E510" t="n">
        <v>0.0004714535857011123</v>
      </c>
      <c r="F510" t="n">
        <v>0.715713039583457</v>
      </c>
      <c r="G510" t="inlineStr">
        <is>
          <t>A</t>
        </is>
      </c>
      <c r="H510" t="n">
        <v>18</v>
      </c>
      <c r="I510" t="n">
        <v>9.99</v>
      </c>
      <c r="J510" t="n">
        <v>179.82</v>
      </c>
      <c r="K510" t="n">
        <v>3.9</v>
      </c>
      <c r="L510" t="n">
        <v>4.615384615384616</v>
      </c>
      <c r="M510" t="n">
        <v>2</v>
      </c>
      <c r="N510" t="n">
        <v>7.8</v>
      </c>
      <c r="O510" t="n">
        <v>10.2</v>
      </c>
      <c r="P510" t="n">
        <v>101.898</v>
      </c>
      <c r="Q510" t="n">
        <v>0.5666666666666667</v>
      </c>
      <c r="R510" t="inlineStr">
        <is>
          <t>Sobrestock crítico</t>
        </is>
      </c>
    </row>
    <row r="511">
      <c r="A511" t="inlineStr">
        <is>
          <t>CLAMIDA16TM</t>
        </is>
      </c>
      <c r="B511" t="inlineStr">
        <is>
          <t>CLASICA ORIGINAL DAMA</t>
        </is>
      </c>
      <c r="C511" t="inlineStr">
        <is>
          <t>Manufactura / Dama / P. Superiores</t>
        </is>
      </c>
      <c r="D511" t="n">
        <v>1925.26438737</v>
      </c>
      <c r="E511" t="n">
        <v>0.0004713674297779836</v>
      </c>
      <c r="F511" t="n">
        <v>0.716184407013235</v>
      </c>
      <c r="G511" t="inlineStr">
        <is>
          <t>A</t>
        </is>
      </c>
      <c r="H511" t="n">
        <v>35</v>
      </c>
      <c r="I511" t="n">
        <v>3.923227589</v>
      </c>
      <c r="J511" t="n">
        <v>137.312965615</v>
      </c>
      <c r="K511" t="n">
        <v>9.9</v>
      </c>
      <c r="L511" t="n">
        <v>3.535353535353535</v>
      </c>
      <c r="M511" t="n">
        <v>2</v>
      </c>
      <c r="N511" t="n">
        <v>19.8</v>
      </c>
      <c r="O511" t="n">
        <v>15.2</v>
      </c>
      <c r="P511" t="n">
        <v>59.6330593528</v>
      </c>
      <c r="Q511" t="n">
        <v>0.4342857142857143</v>
      </c>
      <c r="R511" t="inlineStr">
        <is>
          <t>Sobrestock crítico</t>
        </is>
      </c>
    </row>
    <row r="512">
      <c r="A512" t="inlineStr">
        <is>
          <t>ANKDA43TU</t>
        </is>
      </c>
      <c r="B512" t="inlineStr">
        <is>
          <t>ANKLE SOCKS DAMA</t>
        </is>
      </c>
      <c r="C512" t="inlineStr">
        <is>
          <t>Equipamiento / Accesorios</t>
        </is>
      </c>
      <c r="D512" t="n">
        <v>1924.739541298</v>
      </c>
      <c r="E512" t="n">
        <v>0.0004712389303648066</v>
      </c>
      <c r="F512" t="n">
        <v>0.7166556459435998</v>
      </c>
      <c r="G512" t="inlineStr">
        <is>
          <t>A</t>
        </is>
      </c>
      <c r="H512" t="n">
        <v>292</v>
      </c>
      <c r="I512" t="n">
        <v>2.67</v>
      </c>
      <c r="J512" t="n">
        <v>779.64</v>
      </c>
      <c r="K512" t="n">
        <v>10.2</v>
      </c>
      <c r="L512" t="n">
        <v>28.62745098039216</v>
      </c>
      <c r="M512" t="n">
        <v>2</v>
      </c>
      <c r="N512" t="n">
        <v>20.4</v>
      </c>
      <c r="O512" t="n">
        <v>271.6</v>
      </c>
      <c r="P512" t="n">
        <v>725.172</v>
      </c>
      <c r="Q512" t="n">
        <v>0.9301369863013699</v>
      </c>
      <c r="R512" t="inlineStr">
        <is>
          <t>Sobrestock crítico</t>
        </is>
      </c>
    </row>
    <row r="513">
      <c r="A513" t="inlineStr">
        <is>
          <t>MARMIDA50TXS</t>
        </is>
      </c>
      <c r="B513" t="inlineStr">
        <is>
          <t>MAR ORIGINAL DAMA</t>
        </is>
      </c>
      <c r="C513" t="inlineStr">
        <is>
          <t>Manufactura / Dama / P. Superiores</t>
        </is>
      </c>
      <c r="D513" t="n">
        <v>1920.65139843</v>
      </c>
      <c r="E513" t="n">
        <v>0.0004702380198358965</v>
      </c>
      <c r="F513" t="n">
        <v>0.7171258839634357</v>
      </c>
      <c r="G513" t="inlineStr">
        <is>
          <t>A</t>
        </is>
      </c>
      <c r="H513" t="n">
        <v>14</v>
      </c>
      <c r="I513" t="n">
        <v>4.278324149</v>
      </c>
      <c r="J513" t="n">
        <v>59.89653808600001</v>
      </c>
      <c r="K513" t="n">
        <v>4.1</v>
      </c>
      <c r="L513" t="n">
        <v>3.414634146341464</v>
      </c>
      <c r="M513" t="n">
        <v>2</v>
      </c>
      <c r="N513" t="n">
        <v>8.199999999999999</v>
      </c>
      <c r="O513" t="n">
        <v>5.800000000000001</v>
      </c>
      <c r="P513" t="n">
        <v>24.81428006420001</v>
      </c>
      <c r="Q513" t="n">
        <v>0.4142857142857143</v>
      </c>
      <c r="R513" t="inlineStr">
        <is>
          <t>Sobrestock crítico</t>
        </is>
      </c>
    </row>
    <row r="514">
      <c r="A514" t="inlineStr">
        <is>
          <t>MARMIKI43T8</t>
        </is>
      </c>
      <c r="B514" t="inlineStr">
        <is>
          <t>MAR ORIGINAL KIDS</t>
        </is>
      </c>
      <c r="C514" t="inlineStr">
        <is>
          <t>Manufactura / Kids / P. Superiores</t>
        </is>
      </c>
      <c r="D514" t="n">
        <v>1919.75892436</v>
      </c>
      <c r="E514" t="n">
        <v>0.0004700195131148045</v>
      </c>
      <c r="F514" t="n">
        <v>0.7175959034765504</v>
      </c>
      <c r="G514" t="inlineStr">
        <is>
          <t>A</t>
        </is>
      </c>
      <c r="H514" t="n">
        <v>23</v>
      </c>
      <c r="I514" t="n">
        <v>3.168013332</v>
      </c>
      <c r="J514" t="n">
        <v>72.86430663600001</v>
      </c>
      <c r="K514" t="n">
        <v>5</v>
      </c>
      <c r="L514" t="n">
        <v>4.6</v>
      </c>
      <c r="M514" t="n">
        <v>2</v>
      </c>
      <c r="N514" t="n">
        <v>10</v>
      </c>
      <c r="O514" t="n">
        <v>13</v>
      </c>
      <c r="P514" t="n">
        <v>41.184173316</v>
      </c>
      <c r="Q514" t="n">
        <v>0.5652173913043478</v>
      </c>
      <c r="R514" t="inlineStr">
        <is>
          <t>Sobrestock crítico</t>
        </is>
      </c>
    </row>
    <row r="515">
      <c r="A515" t="inlineStr">
        <is>
          <t>RIOMIDA50TXS</t>
        </is>
      </c>
      <c r="B515" t="inlineStr">
        <is>
          <t>RIO ORIGINAL DAMA</t>
        </is>
      </c>
      <c r="C515" t="inlineStr">
        <is>
          <t>Manufactura / Dama / P. Superiores</t>
        </is>
      </c>
      <c r="D515" t="n">
        <v>1906.43133631</v>
      </c>
      <c r="E515" t="n">
        <v>0.0004667564854675472</v>
      </c>
      <c r="F515" t="n">
        <v>0.7180626599620181</v>
      </c>
      <c r="G515" t="inlineStr">
        <is>
          <t>A</t>
        </is>
      </c>
      <c r="H515" t="n">
        <v>3</v>
      </c>
      <c r="I515" t="n">
        <v>5.538832275</v>
      </c>
      <c r="J515" t="n">
        <v>16.616496825</v>
      </c>
      <c r="K515" t="n">
        <v>3.5</v>
      </c>
      <c r="L515" t="n">
        <v>0.8571428571428571</v>
      </c>
      <c r="M515" t="n">
        <v>2</v>
      </c>
      <c r="N515" t="n">
        <v>7</v>
      </c>
      <c r="O515" t="n">
        <v>0</v>
      </c>
      <c r="P515" t="n">
        <v>0</v>
      </c>
      <c r="Q515" t="n">
        <v>0</v>
      </c>
      <c r="R515" t="inlineStr">
        <is>
          <t>Riesgo bajo stock</t>
        </is>
      </c>
    </row>
    <row r="516">
      <c r="A516" t="inlineStr">
        <is>
          <t>MARMIDA30TS</t>
        </is>
      </c>
      <c r="B516" t="inlineStr">
        <is>
          <t>MAR ORIGINAL DAMA</t>
        </is>
      </c>
      <c r="C516" t="inlineStr">
        <is>
          <t>Manufactura / Dama / P. Superiores</t>
        </is>
      </c>
      <c r="D516" t="n">
        <v>1903.37275339</v>
      </c>
      <c r="E516" t="n">
        <v>0.0004660076447476849</v>
      </c>
      <c r="F516" t="n">
        <v>0.7185286676067658</v>
      </c>
      <c r="G516" t="inlineStr">
        <is>
          <t>A</t>
        </is>
      </c>
      <c r="H516" t="n">
        <v>4</v>
      </c>
      <c r="I516" t="n">
        <v>4.278324149</v>
      </c>
      <c r="J516" t="n">
        <v>17.113296596</v>
      </c>
      <c r="K516" t="n">
        <v>4.2</v>
      </c>
      <c r="L516" t="n">
        <v>0.9523809523809523</v>
      </c>
      <c r="M516" t="n">
        <v>2</v>
      </c>
      <c r="N516" t="n">
        <v>8.4</v>
      </c>
      <c r="O516" t="n">
        <v>0</v>
      </c>
      <c r="P516" t="n">
        <v>0</v>
      </c>
      <c r="Q516" t="n">
        <v>0</v>
      </c>
      <c r="R516" t="inlineStr">
        <is>
          <t>Riesgo bajo stock</t>
        </is>
      </c>
    </row>
    <row r="517">
      <c r="A517" t="inlineStr">
        <is>
          <t>JACKI47T10</t>
        </is>
      </c>
      <c r="B517" t="inlineStr">
        <is>
          <t>JACKET KIDS</t>
        </is>
      </c>
      <c r="C517" t="inlineStr">
        <is>
          <t>Manufactura / Kids / P. Superiores</t>
        </is>
      </c>
      <c r="D517" t="n">
        <v>1898.04846409</v>
      </c>
      <c r="E517" t="n">
        <v>0.0004647040853097192</v>
      </c>
      <c r="F517" t="n">
        <v>0.7189933716920756</v>
      </c>
      <c r="G517" t="inlineStr">
        <is>
          <t>A</t>
        </is>
      </c>
      <c r="H517" t="n">
        <v>119</v>
      </c>
      <c r="I517" t="n">
        <v>15.17</v>
      </c>
      <c r="J517" t="n">
        <v>1805.23</v>
      </c>
      <c r="K517" t="n">
        <v>3.2</v>
      </c>
      <c r="L517" t="n">
        <v>37.1875</v>
      </c>
      <c r="M517" t="n">
        <v>2</v>
      </c>
      <c r="N517" t="n">
        <v>6.4</v>
      </c>
      <c r="O517" t="n">
        <v>112.6</v>
      </c>
      <c r="P517" t="n">
        <v>1708.142</v>
      </c>
      <c r="Q517" t="n">
        <v>0.9462184873949578</v>
      </c>
      <c r="R517" t="inlineStr">
        <is>
          <t>Sobrestock crítico</t>
        </is>
      </c>
    </row>
    <row r="518">
      <c r="A518" t="inlineStr">
        <is>
          <t>TOA03SP</t>
        </is>
      </c>
      <c r="B518" t="inlineStr">
        <is>
          <t>TOALLA SPORT</t>
        </is>
      </c>
      <c r="C518" t="inlineStr">
        <is>
          <t>Equipamiento / Toallas</t>
        </is>
      </c>
      <c r="D518" t="n">
        <v>1888.473116963</v>
      </c>
      <c r="E518" t="n">
        <v>0.0004623597284545802</v>
      </c>
      <c r="F518" t="n">
        <v>0.7194557314205301</v>
      </c>
      <c r="G518" t="inlineStr">
        <is>
          <t>A</t>
        </is>
      </c>
      <c r="H518" t="n">
        <v>606</v>
      </c>
      <c r="I518" t="n">
        <v>1.8</v>
      </c>
      <c r="J518" t="n">
        <v>1090.8</v>
      </c>
      <c r="K518" t="n">
        <v>10.6</v>
      </c>
      <c r="L518" t="n">
        <v>57.16981132075472</v>
      </c>
      <c r="M518" t="n">
        <v>2</v>
      </c>
      <c r="N518" t="n">
        <v>21.2</v>
      </c>
      <c r="O518" t="n">
        <v>584.8</v>
      </c>
      <c r="P518" t="n">
        <v>1052.64</v>
      </c>
      <c r="Q518" t="n">
        <v>0.9650165016501649</v>
      </c>
      <c r="R518" t="inlineStr">
        <is>
          <t>Sobrestock crítico</t>
        </is>
      </c>
    </row>
    <row r="519">
      <c r="A519" t="inlineStr">
        <is>
          <t>RIOMIKI12T4</t>
        </is>
      </c>
      <c r="B519" t="inlineStr">
        <is>
          <t>RIO ORIGINAL KIDS</t>
        </is>
      </c>
      <c r="C519" t="inlineStr">
        <is>
          <t>Manufactura / Kids / P. Superiores</t>
        </is>
      </c>
      <c r="D519" t="n">
        <v>1885.53280848</v>
      </c>
      <c r="E519" t="n">
        <v>0.00046163984516921</v>
      </c>
      <c r="F519" t="n">
        <v>0.7199173712656993</v>
      </c>
      <c r="G519" t="inlineStr">
        <is>
          <t>A</t>
        </is>
      </c>
      <c r="H519" t="n">
        <v>36</v>
      </c>
      <c r="I519" t="n">
        <v>3.617969464</v>
      </c>
      <c r="J519" t="n">
        <v>130.246900704</v>
      </c>
      <c r="K519" t="n">
        <v>4.4</v>
      </c>
      <c r="L519" t="n">
        <v>8.181818181818182</v>
      </c>
      <c r="M519" t="n">
        <v>2</v>
      </c>
      <c r="N519" t="n">
        <v>8.800000000000001</v>
      </c>
      <c r="O519" t="n">
        <v>27.2</v>
      </c>
      <c r="P519" t="n">
        <v>98.40876942079998</v>
      </c>
      <c r="Q519" t="n">
        <v>0.7555555555555555</v>
      </c>
      <c r="R519" t="inlineStr">
        <is>
          <t>Sobrestock crítico</t>
        </is>
      </c>
    </row>
    <row r="520">
      <c r="A520" t="inlineStr">
        <is>
          <t>SHONRCA16TXL</t>
        </is>
      </c>
      <c r="B520" t="inlineStr">
        <is>
          <t>SHORT SPORT CAB</t>
        </is>
      </c>
      <c r="C520" t="inlineStr">
        <is>
          <t>Manufactura / Caballero / P. Inferiores</t>
        </is>
      </c>
      <c r="D520" t="n">
        <v>1883.24486933</v>
      </c>
      <c r="E520" t="n">
        <v>0.0004610796831448674</v>
      </c>
      <c r="F520" t="n">
        <v>0.7203784509488442</v>
      </c>
      <c r="G520" t="inlineStr">
        <is>
          <t>A</t>
        </is>
      </c>
      <c r="H520" t="n">
        <v>66</v>
      </c>
      <c r="I520" t="n">
        <v>10.6514486</v>
      </c>
      <c r="J520" t="n">
        <v>702.9956076</v>
      </c>
      <c r="K520" t="n">
        <v>4.4</v>
      </c>
      <c r="L520" t="n">
        <v>15</v>
      </c>
      <c r="M520" t="n">
        <v>2</v>
      </c>
      <c r="N520" t="n">
        <v>8.800000000000001</v>
      </c>
      <c r="O520" t="n">
        <v>57.2</v>
      </c>
      <c r="P520" t="n">
        <v>609.26285992</v>
      </c>
      <c r="Q520" t="n">
        <v>0.8666666666666667</v>
      </c>
      <c r="R520" t="inlineStr">
        <is>
          <t>Sobrestock crítico</t>
        </is>
      </c>
    </row>
    <row r="521">
      <c r="A521" t="inlineStr">
        <is>
          <t>PANNTDA12TS</t>
        </is>
      </c>
      <c r="B521" t="inlineStr">
        <is>
          <t>EXPLORE PANTS DAMA</t>
        </is>
      </c>
      <c r="C521" t="inlineStr">
        <is>
          <t>Manufactura / Dama / P. Inferiores</t>
        </is>
      </c>
      <c r="D521" t="n">
        <v>1872.71315141</v>
      </c>
      <c r="E521" t="n">
        <v>0.000458501175569667</v>
      </c>
      <c r="F521" t="n">
        <v>0.7208369521244139</v>
      </c>
      <c r="G521" t="inlineStr">
        <is>
          <t>A</t>
        </is>
      </c>
      <c r="H521" t="n">
        <v>139</v>
      </c>
      <c r="I521" t="n">
        <v>15.3928899</v>
      </c>
      <c r="J521" t="n">
        <v>2139.6116961</v>
      </c>
      <c r="K521" t="n">
        <v>3.1</v>
      </c>
      <c r="L521" t="n">
        <v>44.83870967741935</v>
      </c>
      <c r="M521" t="n">
        <v>2</v>
      </c>
      <c r="N521" t="n">
        <v>6.2</v>
      </c>
      <c r="O521" t="n">
        <v>132.8</v>
      </c>
      <c r="P521" t="n">
        <v>2044.17577872</v>
      </c>
      <c r="Q521" t="n">
        <v>0.9553956834532376</v>
      </c>
      <c r="R521" t="inlineStr">
        <is>
          <t>Sobrestock crítico</t>
        </is>
      </c>
    </row>
    <row r="522">
      <c r="A522" t="inlineStr">
        <is>
          <t>CLAMIDA16TS</t>
        </is>
      </c>
      <c r="B522" t="inlineStr">
        <is>
          <t>CLASICA ORIGINAL DAMA</t>
        </is>
      </c>
      <c r="C522" t="inlineStr">
        <is>
          <t>Manufactura / Dama / P. Superiores</t>
        </is>
      </c>
      <c r="D522" t="n">
        <v>1868.64725226</v>
      </c>
      <c r="E522" t="n">
        <v>0.0004575057110274229</v>
      </c>
      <c r="F522" t="n">
        <v>0.7212944578354413</v>
      </c>
      <c r="G522" t="inlineStr">
        <is>
          <t>A</t>
        </is>
      </c>
      <c r="H522" t="n">
        <v>23</v>
      </c>
      <c r="I522" t="n">
        <v>3.923227589</v>
      </c>
      <c r="J522" t="n">
        <v>90.234234547</v>
      </c>
      <c r="K522" t="n">
        <v>8.5</v>
      </c>
      <c r="L522" t="n">
        <v>2.705882352941177</v>
      </c>
      <c r="M522" t="n">
        <v>2</v>
      </c>
      <c r="N522" t="n">
        <v>17</v>
      </c>
      <c r="O522" t="n">
        <v>6</v>
      </c>
      <c r="P522" t="n">
        <v>23.539365534</v>
      </c>
      <c r="Q522" t="n">
        <v>0.2608695652173913</v>
      </c>
      <c r="R522" t="inlineStr">
        <is>
          <t>Sobrestock</t>
        </is>
      </c>
    </row>
    <row r="523">
      <c r="A523" t="inlineStr">
        <is>
          <t>NOSCA43TU</t>
        </is>
      </c>
      <c r="B523" t="inlineStr">
        <is>
          <t>NO SHOW SOCKS CAB</t>
        </is>
      </c>
      <c r="C523" t="inlineStr">
        <is>
          <t>Equipamiento / Accesorios</t>
        </is>
      </c>
      <c r="D523" t="n">
        <v>1867.14920152</v>
      </c>
      <c r="E523" t="n">
        <v>0.0004571389394132887</v>
      </c>
      <c r="F523" t="n">
        <v>0.7217515967748547</v>
      </c>
      <c r="G523" t="inlineStr">
        <is>
          <t>A</t>
        </is>
      </c>
      <c r="H523" t="n">
        <v>897</v>
      </c>
      <c r="I523" t="n">
        <v>2.83</v>
      </c>
      <c r="J523" t="n">
        <v>2538.51</v>
      </c>
      <c r="K523" t="n">
        <v>10</v>
      </c>
      <c r="L523" t="n">
        <v>89.7</v>
      </c>
      <c r="M523" t="n">
        <v>2</v>
      </c>
      <c r="N523" t="n">
        <v>20</v>
      </c>
      <c r="O523" t="n">
        <v>877</v>
      </c>
      <c r="P523" t="n">
        <v>2481.91</v>
      </c>
      <c r="Q523" t="n">
        <v>0.9777034559643254</v>
      </c>
      <c r="R523" t="inlineStr">
        <is>
          <t>Sobrestock crítico</t>
        </is>
      </c>
    </row>
    <row r="524">
      <c r="A524" t="inlineStr">
        <is>
          <t>DAYCSTDA43TM</t>
        </is>
      </c>
      <c r="B524" t="inlineStr">
        <is>
          <t>CLASICA DAILY 3.0 DAMA</t>
        </is>
      </c>
      <c r="C524" t="inlineStr">
        <is>
          <t>Manufactura / Dama / P. Superiores</t>
        </is>
      </c>
      <c r="D524" t="n">
        <v>1865.65185045</v>
      </c>
      <c r="E524" t="n">
        <v>0.0004567723391011594</v>
      </c>
      <c r="F524" t="n">
        <v>0.7222083691139557</v>
      </c>
      <c r="G524" t="inlineStr">
        <is>
          <t>A</t>
        </is>
      </c>
      <c r="H524" t="n">
        <v>35</v>
      </c>
      <c r="I524" t="n">
        <v>10.28586481</v>
      </c>
      <c r="J524" t="n">
        <v>360.00526835</v>
      </c>
      <c r="K524" t="n">
        <v>5</v>
      </c>
      <c r="L524" t="n">
        <v>7</v>
      </c>
      <c r="M524" t="n">
        <v>2</v>
      </c>
      <c r="N524" t="n">
        <v>10</v>
      </c>
      <c r="O524" t="n">
        <v>25</v>
      </c>
      <c r="P524" t="n">
        <v>257.14662025</v>
      </c>
      <c r="Q524" t="n">
        <v>0.7142857142857143</v>
      </c>
      <c r="R524" t="inlineStr">
        <is>
          <t>Sobrestock crítico</t>
        </is>
      </c>
    </row>
    <row r="525">
      <c r="A525" t="inlineStr">
        <is>
          <t>MAFMIDA43TM</t>
        </is>
      </c>
      <c r="B525" t="inlineStr">
        <is>
          <t>MAFE ORIGINAL DAMA</t>
        </is>
      </c>
      <c r="C525" t="inlineStr">
        <is>
          <t>Manufactura / Dama / P. Superiores</t>
        </is>
      </c>
      <c r="D525" t="n">
        <v>1845.94177696</v>
      </c>
      <c r="E525" t="n">
        <v>0.000451946671134378</v>
      </c>
      <c r="F525" t="n">
        <v>0.7226603157850902</v>
      </c>
      <c r="G525" t="inlineStr">
        <is>
          <t>A</t>
        </is>
      </c>
      <c r="H525" t="n">
        <v>76</v>
      </c>
      <c r="I525" t="n">
        <v>4.54817671</v>
      </c>
      <c r="J525" t="n">
        <v>345.66142996</v>
      </c>
      <c r="K525" t="n">
        <v>6.6</v>
      </c>
      <c r="L525" t="n">
        <v>11.51515151515152</v>
      </c>
      <c r="M525" t="n">
        <v>2</v>
      </c>
      <c r="N525" t="n">
        <v>13.2</v>
      </c>
      <c r="O525" t="n">
        <v>62.8</v>
      </c>
      <c r="P525" t="n">
        <v>285.625497388</v>
      </c>
      <c r="Q525" t="n">
        <v>0.8263157894736842</v>
      </c>
      <c r="R525" t="inlineStr">
        <is>
          <t>Sobrestock crítico</t>
        </is>
      </c>
    </row>
    <row r="526">
      <c r="A526" t="inlineStr">
        <is>
          <t>MARMIKI12T8</t>
        </is>
      </c>
      <c r="B526" t="inlineStr">
        <is>
          <t>MAR ORIGINAL KIDS</t>
        </is>
      </c>
      <c r="C526" t="inlineStr">
        <is>
          <t>Manufactura / Kids / P. Superiores</t>
        </is>
      </c>
      <c r="D526" t="n">
        <v>1842.68847159</v>
      </c>
      <c r="E526" t="n">
        <v>0.0004511501560164546</v>
      </c>
      <c r="F526" t="n">
        <v>0.7231114659411065</v>
      </c>
      <c r="G526" t="inlineStr">
        <is>
          <t>A</t>
        </is>
      </c>
      <c r="H526" t="n">
        <v>26</v>
      </c>
      <c r="I526" t="n">
        <v>3.168013332</v>
      </c>
      <c r="J526" t="n">
        <v>82.368346632</v>
      </c>
      <c r="K526" t="n">
        <v>4.7</v>
      </c>
      <c r="L526" t="n">
        <v>5.531914893617021</v>
      </c>
      <c r="M526" t="n">
        <v>2</v>
      </c>
      <c r="N526" t="n">
        <v>9.4</v>
      </c>
      <c r="O526" t="n">
        <v>16.6</v>
      </c>
      <c r="P526" t="n">
        <v>52.58902131120001</v>
      </c>
      <c r="Q526" t="n">
        <v>0.6384615384615385</v>
      </c>
      <c r="R526" t="inlineStr">
        <is>
          <t>Sobrestock crítico</t>
        </is>
      </c>
    </row>
    <row r="527">
      <c r="A527" t="inlineStr">
        <is>
          <t>JACDA33TL</t>
        </is>
      </c>
      <c r="B527" t="inlineStr">
        <is>
          <t>JACKET DAMA</t>
        </is>
      </c>
      <c r="C527" t="inlineStr">
        <is>
          <t>Equipamiento / Ropa</t>
        </is>
      </c>
      <c r="D527" t="n">
        <v>1825.94140082</v>
      </c>
      <c r="E527" t="n">
        <v>0.0004470499276234345</v>
      </c>
      <c r="F527" t="n">
        <v>0.72355851586873</v>
      </c>
      <c r="G527" t="inlineStr">
        <is>
          <t>A</t>
        </is>
      </c>
      <c r="H527" t="n">
        <v>0</v>
      </c>
      <c r="I527" t="n">
        <v>20.25</v>
      </c>
      <c r="J527" t="n">
        <v>0</v>
      </c>
      <c r="K527" t="n">
        <v>2.7</v>
      </c>
      <c r="L527" t="n">
        <v>0</v>
      </c>
      <c r="M527" t="n">
        <v>2</v>
      </c>
      <c r="N527" t="n">
        <v>5.4</v>
      </c>
      <c r="O527" t="n">
        <v>0</v>
      </c>
      <c r="P527" t="n">
        <v>0</v>
      </c>
      <c r="Q527" t="n">
        <v>0</v>
      </c>
      <c r="R527" t="inlineStr">
        <is>
          <t>Riesgo bajo stock</t>
        </is>
      </c>
    </row>
    <row r="528">
      <c r="A528" t="inlineStr">
        <is>
          <t>RIOMIDA70TXS</t>
        </is>
      </c>
      <c r="B528" t="inlineStr">
        <is>
          <t>RIO ORIGINAL DAMA</t>
        </is>
      </c>
      <c r="C528" t="inlineStr">
        <is>
          <t>Manufactura / Dama / P. Superiores</t>
        </is>
      </c>
      <c r="D528" t="n">
        <v>1822.65059197</v>
      </c>
      <c r="E528" t="n">
        <v>0.0004462442304320819</v>
      </c>
      <c r="F528" t="n">
        <v>0.7240047600991621</v>
      </c>
      <c r="G528" t="inlineStr">
        <is>
          <t>A</t>
        </is>
      </c>
      <c r="H528" t="n">
        <v>43</v>
      </c>
      <c r="I528" t="n">
        <v>5.538832275</v>
      </c>
      <c r="J528" t="n">
        <v>238.169787825</v>
      </c>
      <c r="K528" t="n">
        <v>3.4</v>
      </c>
      <c r="L528" t="n">
        <v>12.64705882352941</v>
      </c>
      <c r="M528" t="n">
        <v>2</v>
      </c>
      <c r="N528" t="n">
        <v>6.8</v>
      </c>
      <c r="O528" t="n">
        <v>36.2</v>
      </c>
      <c r="P528" t="n">
        <v>200.505728355</v>
      </c>
      <c r="Q528" t="n">
        <v>0.8418604651162791</v>
      </c>
      <c r="R528" t="inlineStr">
        <is>
          <t>Sobrestock crítico</t>
        </is>
      </c>
    </row>
    <row r="529">
      <c r="A529" t="inlineStr">
        <is>
          <t>PANNTDA30TS</t>
        </is>
      </c>
      <c r="B529" t="inlineStr">
        <is>
          <t>EXPLORE PANTS DAMA</t>
        </is>
      </c>
      <c r="C529" t="inlineStr">
        <is>
          <t>Manufactura / Dama / P. Inferiores</t>
        </is>
      </c>
      <c r="D529" t="n">
        <v>1820.55845781</v>
      </c>
      <c r="E529" t="n">
        <v>0.0004457320078468519</v>
      </c>
      <c r="F529" t="n">
        <v>0.7244504921070088</v>
      </c>
      <c r="G529" t="inlineStr">
        <is>
          <t>A</t>
        </is>
      </c>
      <c r="H529" t="n">
        <v>35</v>
      </c>
      <c r="I529" t="n">
        <v>15.3928899</v>
      </c>
      <c r="J529" t="n">
        <v>538.7511465</v>
      </c>
      <c r="K529" t="n">
        <v>4.5</v>
      </c>
      <c r="L529" t="n">
        <v>7.777777777777778</v>
      </c>
      <c r="M529" t="n">
        <v>2</v>
      </c>
      <c r="N529" t="n">
        <v>9</v>
      </c>
      <c r="O529" t="n">
        <v>26</v>
      </c>
      <c r="P529" t="n">
        <v>400.2151374</v>
      </c>
      <c r="Q529" t="n">
        <v>0.7428571428571429</v>
      </c>
      <c r="R529" t="inlineStr">
        <is>
          <t>Sobrestock crítico</t>
        </is>
      </c>
    </row>
    <row r="530">
      <c r="A530" t="inlineStr">
        <is>
          <t>SHOSUCA153TS</t>
        </is>
      </c>
      <c r="B530" t="inlineStr">
        <is>
          <t>SHORT PLAYA ESTAMPADO CAB</t>
        </is>
      </c>
      <c r="C530" t="inlineStr">
        <is>
          <t>Manufactura / Caballero / P. Inferiores</t>
        </is>
      </c>
      <c r="D530" t="n">
        <v>1816.81730154</v>
      </c>
      <c r="E530" t="n">
        <v>0.0004448160509388261</v>
      </c>
      <c r="F530" t="n">
        <v>0.7248953081579478</v>
      </c>
      <c r="G530" t="inlineStr">
        <is>
          <t>A</t>
        </is>
      </c>
      <c r="H530" t="n">
        <v>40</v>
      </c>
      <c r="I530" t="n">
        <v>12.11</v>
      </c>
      <c r="J530" t="n">
        <v>484.4</v>
      </c>
      <c r="K530" t="n">
        <v>3.3</v>
      </c>
      <c r="L530" t="n">
        <v>12.12121212121212</v>
      </c>
      <c r="M530" t="n">
        <v>2</v>
      </c>
      <c r="N530" t="n">
        <v>6.6</v>
      </c>
      <c r="O530" t="n">
        <v>33.4</v>
      </c>
      <c r="P530" t="n">
        <v>404.474</v>
      </c>
      <c r="Q530" t="n">
        <v>0.835</v>
      </c>
      <c r="R530" t="inlineStr">
        <is>
          <t>Sobrestock crítico</t>
        </is>
      </c>
    </row>
    <row r="531">
      <c r="A531" t="inlineStr">
        <is>
          <t>MARMICA04TL</t>
        </is>
      </c>
      <c r="B531" t="inlineStr">
        <is>
          <t>MAR ORIGINAL CAB</t>
        </is>
      </c>
      <c r="C531" t="inlineStr">
        <is>
          <t>Manufactura / Caballero / P. Superiores</t>
        </is>
      </c>
      <c r="D531" t="n">
        <v>1815.49886122</v>
      </c>
      <c r="E531" t="n">
        <v>0.0004444932538055954</v>
      </c>
      <c r="F531" t="n">
        <v>0.7253398014117534</v>
      </c>
      <c r="G531" t="inlineStr">
        <is>
          <t>A</t>
        </is>
      </c>
      <c r="H531" t="n">
        <v>24</v>
      </c>
      <c r="I531" t="n">
        <v>4.946357428</v>
      </c>
      <c r="J531" t="n">
        <v>118.712578272</v>
      </c>
      <c r="K531" t="n">
        <v>4.2</v>
      </c>
      <c r="L531" t="n">
        <v>5.714285714285714</v>
      </c>
      <c r="M531" t="n">
        <v>2</v>
      </c>
      <c r="N531" t="n">
        <v>8.4</v>
      </c>
      <c r="O531" t="n">
        <v>15.6</v>
      </c>
      <c r="P531" t="n">
        <v>77.1631758768</v>
      </c>
      <c r="Q531" t="n">
        <v>0.6499999999999999</v>
      </c>
      <c r="R531" t="inlineStr">
        <is>
          <t>Sobrestock crítico</t>
        </is>
      </c>
    </row>
    <row r="532">
      <c r="A532" t="inlineStr">
        <is>
          <t>MARMIKI16T2</t>
        </is>
      </c>
      <c r="B532" t="inlineStr">
        <is>
          <t>MAR ORIGINAL KIDS</t>
        </is>
      </c>
      <c r="C532" t="inlineStr">
        <is>
          <t>Manufactura / Kids / P. Superiores</t>
        </is>
      </c>
      <c r="D532" t="n">
        <v>1812.93749501</v>
      </c>
      <c r="E532" t="n">
        <v>0.0004438661479311772</v>
      </c>
      <c r="F532" t="n">
        <v>0.7257836675596846</v>
      </c>
      <c r="G532" t="inlineStr">
        <is>
          <t>A</t>
        </is>
      </c>
      <c r="H532" t="n">
        <v>16</v>
      </c>
      <c r="I532" t="n">
        <v>3.168013332</v>
      </c>
      <c r="J532" t="n">
        <v>50.688213312</v>
      </c>
      <c r="K532" t="n">
        <v>4.9</v>
      </c>
      <c r="L532" t="n">
        <v>3.265306122448979</v>
      </c>
      <c r="M532" t="n">
        <v>2</v>
      </c>
      <c r="N532" t="n">
        <v>9.800000000000001</v>
      </c>
      <c r="O532" t="n">
        <v>6.199999999999999</v>
      </c>
      <c r="P532" t="n">
        <v>19.6416826584</v>
      </c>
      <c r="Q532" t="n">
        <v>0.3874999999999999</v>
      </c>
      <c r="R532" t="inlineStr">
        <is>
          <t>Sobrestock crítico</t>
        </is>
      </c>
    </row>
    <row r="533">
      <c r="A533" t="inlineStr">
        <is>
          <t>MARMIDA12TXL</t>
        </is>
      </c>
      <c r="B533" t="inlineStr">
        <is>
          <t>MAR ORIGINAL DAMA</t>
        </is>
      </c>
      <c r="C533" t="inlineStr">
        <is>
          <t>Manufactura / Dama / P. Superiores</t>
        </is>
      </c>
      <c r="D533" t="n">
        <v>1812.25983245</v>
      </c>
      <c r="E533" t="n">
        <v>0.0004437002340643549</v>
      </c>
      <c r="F533" t="n">
        <v>0.726227367793749</v>
      </c>
      <c r="G533" t="inlineStr">
        <is>
          <t>A</t>
        </is>
      </c>
      <c r="H533" t="n">
        <v>31</v>
      </c>
      <c r="I533" t="n">
        <v>4.278324149</v>
      </c>
      <c r="J533" t="n">
        <v>132.628048619</v>
      </c>
      <c r="K533" t="n">
        <v>4</v>
      </c>
      <c r="L533" t="n">
        <v>7.75</v>
      </c>
      <c r="M533" t="n">
        <v>2</v>
      </c>
      <c r="N533" t="n">
        <v>8</v>
      </c>
      <c r="O533" t="n">
        <v>23</v>
      </c>
      <c r="P533" t="n">
        <v>98.401455427</v>
      </c>
      <c r="Q533" t="n">
        <v>0.7419354838709677</v>
      </c>
      <c r="R533" t="inlineStr">
        <is>
          <t>Sobrestock crítico</t>
        </is>
      </c>
    </row>
    <row r="534">
      <c r="A534" t="inlineStr">
        <is>
          <t>MARMIKI43T6</t>
        </is>
      </c>
      <c r="B534" t="inlineStr">
        <is>
          <t>MAR ORIGINAL KIDS</t>
        </is>
      </c>
      <c r="C534" t="inlineStr">
        <is>
          <t>Manufactura / Kids / P. Superiores</t>
        </is>
      </c>
      <c r="D534" t="n">
        <v>1809.75124454</v>
      </c>
      <c r="E534" t="n">
        <v>0.0004430860500368177</v>
      </c>
      <c r="F534" t="n">
        <v>0.7266704538437857</v>
      </c>
      <c r="G534" t="inlineStr">
        <is>
          <t>A</t>
        </is>
      </c>
      <c r="H534" t="n">
        <v>44</v>
      </c>
      <c r="I534" t="n">
        <v>3.168013332</v>
      </c>
      <c r="J534" t="n">
        <v>139.392586608</v>
      </c>
      <c r="K534" t="n">
        <v>4.7</v>
      </c>
      <c r="L534" t="n">
        <v>9.361702127659575</v>
      </c>
      <c r="M534" t="n">
        <v>2</v>
      </c>
      <c r="N534" t="n">
        <v>9.4</v>
      </c>
      <c r="O534" t="n">
        <v>34.6</v>
      </c>
      <c r="P534" t="n">
        <v>109.6132612872</v>
      </c>
      <c r="Q534" t="n">
        <v>0.7863636363636363</v>
      </c>
      <c r="R534" t="inlineStr">
        <is>
          <t>Sobrestock crítico</t>
        </is>
      </c>
    </row>
    <row r="535">
      <c r="A535" t="inlineStr">
        <is>
          <t>RIOMIKI11T12</t>
        </is>
      </c>
      <c r="B535" t="inlineStr">
        <is>
          <t>RIO ORIGINAL KIDS</t>
        </is>
      </c>
      <c r="C535" t="inlineStr">
        <is>
          <t>Manufactura / Kids / P. Superiores</t>
        </is>
      </c>
      <c r="D535" t="n">
        <v>1809.25683607</v>
      </c>
      <c r="E535" t="n">
        <v>0.0004429650027399928</v>
      </c>
      <c r="F535" t="n">
        <v>0.7271134188465258</v>
      </c>
      <c r="G535" t="inlineStr">
        <is>
          <t>A</t>
        </is>
      </c>
      <c r="H535" t="n">
        <v>54</v>
      </c>
      <c r="I535" t="n">
        <v>3.617969464</v>
      </c>
      <c r="J535" t="n">
        <v>195.370351056</v>
      </c>
      <c r="K535" t="n">
        <v>4.2</v>
      </c>
      <c r="L535" t="n">
        <v>12.85714285714286</v>
      </c>
      <c r="M535" t="n">
        <v>2</v>
      </c>
      <c r="N535" t="n">
        <v>8.4</v>
      </c>
      <c r="O535" t="n">
        <v>45.6</v>
      </c>
      <c r="P535" t="n">
        <v>164.9794075584</v>
      </c>
      <c r="Q535" t="n">
        <v>0.8444444444444446</v>
      </c>
      <c r="R535" t="inlineStr">
        <is>
          <t>Sobrestock crítico</t>
        </is>
      </c>
    </row>
    <row r="536">
      <c r="A536" t="inlineStr">
        <is>
          <t>NOSDA16TU</t>
        </is>
      </c>
      <c r="B536" t="inlineStr">
        <is>
          <t>NO SHOW SOCKS DAMA</t>
        </is>
      </c>
      <c r="C536" t="inlineStr">
        <is>
          <t>Equipamiento / Accesorios</t>
        </is>
      </c>
      <c r="D536" t="n">
        <v>1803.257044632</v>
      </c>
      <c r="E536" t="n">
        <v>0.0004414960583768774</v>
      </c>
      <c r="F536" t="n">
        <v>0.7275549149049026</v>
      </c>
      <c r="G536" t="inlineStr">
        <is>
          <t>A</t>
        </is>
      </c>
      <c r="H536" t="n">
        <v>70</v>
      </c>
      <c r="I536" t="n">
        <v>2.83</v>
      </c>
      <c r="J536" t="n">
        <v>198.1</v>
      </c>
      <c r="K536" t="n">
        <v>9.5</v>
      </c>
      <c r="L536" t="n">
        <v>7.368421052631579</v>
      </c>
      <c r="M536" t="n">
        <v>2</v>
      </c>
      <c r="N536" t="n">
        <v>19</v>
      </c>
      <c r="O536" t="n">
        <v>51</v>
      </c>
      <c r="P536" t="n">
        <v>144.33</v>
      </c>
      <c r="Q536" t="n">
        <v>0.7285714285714286</v>
      </c>
      <c r="R536" t="inlineStr">
        <is>
          <t>Sobrestock crítico</t>
        </is>
      </c>
    </row>
    <row r="537">
      <c r="A537" t="inlineStr">
        <is>
          <t>CLAMECA30TM</t>
        </is>
      </c>
      <c r="B537" t="inlineStr">
        <is>
          <t>CLASICA SPORT CAB</t>
        </is>
      </c>
      <c r="C537" t="inlineStr">
        <is>
          <t>Manufactura / Caballero / P. Superiores</t>
        </is>
      </c>
      <c r="D537" t="n">
        <v>1799.06629082</v>
      </c>
      <c r="E537" t="n">
        <v>0.0004404700253467369</v>
      </c>
      <c r="F537" t="n">
        <v>0.7279953849302494</v>
      </c>
      <c r="G537" t="inlineStr">
        <is>
          <t>A</t>
        </is>
      </c>
      <c r="H537" t="n">
        <v>10</v>
      </c>
      <c r="I537" t="n">
        <v>10.3013454</v>
      </c>
      <c r="J537" t="n">
        <v>103.013454</v>
      </c>
      <c r="K537" t="n">
        <v>4.7</v>
      </c>
      <c r="L537" t="n">
        <v>2.127659574468085</v>
      </c>
      <c r="M537" t="n">
        <v>2</v>
      </c>
      <c r="N537" t="n">
        <v>9.4</v>
      </c>
      <c r="O537" t="n">
        <v>0.5999999999999996</v>
      </c>
      <c r="P537" t="n">
        <v>6.180807239999996</v>
      </c>
      <c r="Q537" t="n">
        <v>0.05999999999999996</v>
      </c>
      <c r="R537" t="inlineStr">
        <is>
          <t>Sobrestock</t>
        </is>
      </c>
    </row>
    <row r="538">
      <c r="A538" t="inlineStr">
        <is>
          <t>CLAMECA43TS</t>
        </is>
      </c>
      <c r="B538" t="inlineStr">
        <is>
          <t>CLASICA SPORT CAB</t>
        </is>
      </c>
      <c r="C538" t="inlineStr">
        <is>
          <t>Manufactura / Caballero / P. Superiores</t>
        </is>
      </c>
      <c r="D538" t="n">
        <v>1796.38600141</v>
      </c>
      <c r="E538" t="n">
        <v>0.0004398138031995135</v>
      </c>
      <c r="F538" t="n">
        <v>0.7284351987334489</v>
      </c>
      <c r="G538" t="inlineStr">
        <is>
          <t>A</t>
        </is>
      </c>
      <c r="H538" t="n">
        <v>22</v>
      </c>
      <c r="I538" t="n">
        <v>10.3013454</v>
      </c>
      <c r="J538" t="n">
        <v>226.6295988</v>
      </c>
      <c r="K538" t="n">
        <v>4.1</v>
      </c>
      <c r="L538" t="n">
        <v>5.365853658536586</v>
      </c>
      <c r="M538" t="n">
        <v>2</v>
      </c>
      <c r="N538" t="n">
        <v>8.199999999999999</v>
      </c>
      <c r="O538" t="n">
        <v>13.8</v>
      </c>
      <c r="P538" t="n">
        <v>142.15856652</v>
      </c>
      <c r="Q538" t="n">
        <v>0.6272727272727273</v>
      </c>
      <c r="R538" t="inlineStr">
        <is>
          <t>Sobrestock crítico</t>
        </is>
      </c>
    </row>
    <row r="539">
      <c r="A539" t="inlineStr">
        <is>
          <t>RIOMICA01TL</t>
        </is>
      </c>
      <c r="B539" t="inlineStr">
        <is>
          <t>RIO ORIGINAL CAB</t>
        </is>
      </c>
      <c r="C539" t="inlineStr">
        <is>
          <t>Manufactura / Caballero / P. Superiores</t>
        </is>
      </c>
      <c r="D539" t="n">
        <v>1795.68558291</v>
      </c>
      <c r="E539" t="n">
        <v>0.0004396423179373958</v>
      </c>
      <c r="F539" t="n">
        <v>0.7288748410513862</v>
      </c>
      <c r="G539" t="inlineStr">
        <is>
          <t>A</t>
        </is>
      </c>
      <c r="H539" t="n">
        <v>14</v>
      </c>
      <c r="I539" t="n">
        <v>5.939350288</v>
      </c>
      <c r="J539" t="n">
        <v>83.150904032</v>
      </c>
      <c r="K539" t="n">
        <v>3.6</v>
      </c>
      <c r="L539" t="n">
        <v>3.888888888888889</v>
      </c>
      <c r="M539" t="n">
        <v>2</v>
      </c>
      <c r="N539" t="n">
        <v>7.2</v>
      </c>
      <c r="O539" t="n">
        <v>6.8</v>
      </c>
      <c r="P539" t="n">
        <v>40.3875819584</v>
      </c>
      <c r="Q539" t="n">
        <v>0.4857142857142857</v>
      </c>
      <c r="R539" t="inlineStr">
        <is>
          <t>Sobrestock crítico</t>
        </is>
      </c>
    </row>
    <row r="540">
      <c r="A540" t="inlineStr">
        <is>
          <t>BAPCCDA43TL</t>
        </is>
      </c>
      <c r="B540" t="inlineStr">
        <is>
          <t>BASIC LINE PANT DAMA</t>
        </is>
      </c>
      <c r="C540" t="inlineStr">
        <is>
          <t>Manufactura / Dama / P. Inferiores</t>
        </is>
      </c>
      <c r="D540" t="n">
        <v>1794.6115956</v>
      </c>
      <c r="E540" t="n">
        <v>0.0004393793708630875</v>
      </c>
      <c r="F540" t="n">
        <v>0.7293142204222494</v>
      </c>
      <c r="G540" t="inlineStr">
        <is>
          <t>A</t>
        </is>
      </c>
      <c r="H540" t="n">
        <v>34</v>
      </c>
      <c r="I540" t="n">
        <v>11.2</v>
      </c>
      <c r="J540" t="n">
        <v>380.8</v>
      </c>
      <c r="K540" t="n">
        <v>3.3</v>
      </c>
      <c r="L540" t="n">
        <v>10.3030303030303</v>
      </c>
      <c r="M540" t="n">
        <v>2</v>
      </c>
      <c r="N540" t="n">
        <v>6.6</v>
      </c>
      <c r="O540" t="n">
        <v>27.4</v>
      </c>
      <c r="P540" t="n">
        <v>306.8799999999999</v>
      </c>
      <c r="Q540" t="n">
        <v>0.8058823529411764</v>
      </c>
      <c r="R540" t="inlineStr">
        <is>
          <t>Sobrestock crítico</t>
        </is>
      </c>
    </row>
    <row r="541">
      <c r="A541" t="inlineStr">
        <is>
          <t>JAPDA66TXS</t>
        </is>
      </c>
      <c r="B541" t="inlineStr">
        <is>
          <t>CUADRO JACKET 2.0 DAMA</t>
        </is>
      </c>
      <c r="C541" t="inlineStr">
        <is>
          <t>Equipamiento / Ropa</t>
        </is>
      </c>
      <c r="D541" t="n">
        <v>1789.31279268</v>
      </c>
      <c r="E541" t="n">
        <v>0.0004380820513210622</v>
      </c>
      <c r="F541" t="n">
        <v>0.7297523024735704</v>
      </c>
      <c r="G541" t="inlineStr">
        <is>
          <t>A</t>
        </is>
      </c>
      <c r="H541" t="n">
        <v>147</v>
      </c>
      <c r="I541" t="n">
        <v>20.25</v>
      </c>
      <c r="J541" t="n">
        <v>2976.75</v>
      </c>
      <c r="K541" t="n">
        <v>2.2</v>
      </c>
      <c r="L541" t="n">
        <v>66.81818181818181</v>
      </c>
      <c r="M541" t="n">
        <v>2</v>
      </c>
      <c r="N541" t="n">
        <v>4.4</v>
      </c>
      <c r="O541" t="n">
        <v>142.6</v>
      </c>
      <c r="P541" t="n">
        <v>2887.65</v>
      </c>
      <c r="Q541" t="n">
        <v>0.9700680272108844</v>
      </c>
      <c r="R541" t="inlineStr">
        <is>
          <t>Sobrestock crítico</t>
        </is>
      </c>
    </row>
    <row r="542">
      <c r="A542" t="inlineStr">
        <is>
          <t>BAPCCDA184TS</t>
        </is>
      </c>
      <c r="B542" t="inlineStr">
        <is>
          <t>BASIC LINE PANT DAMA</t>
        </is>
      </c>
      <c r="C542" t="inlineStr">
        <is>
          <t>Manufactura / Dama / P. Inferiores</t>
        </is>
      </c>
      <c r="D542" t="n">
        <v>1788.1849353</v>
      </c>
      <c r="E542" t="n">
        <v>0.0004378059150990169</v>
      </c>
      <c r="F542" t="n">
        <v>0.7301901083886694</v>
      </c>
      <c r="G542" t="inlineStr">
        <is>
          <t>A</t>
        </is>
      </c>
      <c r="H542" t="n">
        <v>10</v>
      </c>
      <c r="I542" t="n">
        <v>11.2</v>
      </c>
      <c r="J542" t="n">
        <v>112</v>
      </c>
      <c r="K542" t="n">
        <v>3.1</v>
      </c>
      <c r="L542" t="n">
        <v>3.225806451612903</v>
      </c>
      <c r="M542" t="n">
        <v>2</v>
      </c>
      <c r="N542" t="n">
        <v>6.2</v>
      </c>
      <c r="O542" t="n">
        <v>3.8</v>
      </c>
      <c r="P542" t="n">
        <v>42.56</v>
      </c>
      <c r="Q542" t="n">
        <v>0.3799999999999999</v>
      </c>
      <c r="R542" t="inlineStr">
        <is>
          <t>Sobrestock crítico</t>
        </is>
      </c>
    </row>
    <row r="543">
      <c r="A543" t="inlineStr">
        <is>
          <t>GEODOCACA43TL</t>
        </is>
      </c>
      <c r="B543" t="inlineStr">
        <is>
          <t>ADVANCE GEO DOMINIC CAB</t>
        </is>
      </c>
      <c r="C543" t="inlineStr">
        <is>
          <t>Manufactura / Caballero / P. Superiores</t>
        </is>
      </c>
      <c r="D543" t="n">
        <v>1782.24060482</v>
      </c>
      <c r="E543" t="n">
        <v>0.0004363505493848377</v>
      </c>
      <c r="F543" t="n">
        <v>0.7306264589380542</v>
      </c>
      <c r="G543" t="inlineStr">
        <is>
          <t>A</t>
        </is>
      </c>
      <c r="H543" t="n">
        <v>10</v>
      </c>
      <c r="I543" t="n">
        <v>13.35</v>
      </c>
      <c r="J543" t="n">
        <v>133.5</v>
      </c>
      <c r="K543" t="n">
        <v>3.3</v>
      </c>
      <c r="L543" t="n">
        <v>3.03030303030303</v>
      </c>
      <c r="M543" t="n">
        <v>2</v>
      </c>
      <c r="N543" t="n">
        <v>6.6</v>
      </c>
      <c r="O543" t="n">
        <v>3.4</v>
      </c>
      <c r="P543" t="n">
        <v>45.39</v>
      </c>
      <c r="Q543" t="n">
        <v>0.34</v>
      </c>
      <c r="R543" t="inlineStr">
        <is>
          <t>Sobrestock crítico</t>
        </is>
      </c>
    </row>
    <row r="544">
      <c r="A544" t="inlineStr">
        <is>
          <t>MARMIDA01TL</t>
        </is>
      </c>
      <c r="B544" t="inlineStr">
        <is>
          <t>MAR ORIGINAL DAMA</t>
        </is>
      </c>
      <c r="C544" t="inlineStr">
        <is>
          <t>Manufactura / Dama / P. Superiores</t>
        </is>
      </c>
      <c r="D544" t="n">
        <v>1778.86322932</v>
      </c>
      <c r="E544" t="n">
        <v>0.0004355236578580044</v>
      </c>
      <c r="F544" t="n">
        <v>0.7310619825959123</v>
      </c>
      <c r="G544" t="inlineStr">
        <is>
          <t>A</t>
        </is>
      </c>
      <c r="H544" t="n">
        <v>36</v>
      </c>
      <c r="I544" t="n">
        <v>4.278324149</v>
      </c>
      <c r="J544" t="n">
        <v>154.019669364</v>
      </c>
      <c r="K544" t="n">
        <v>3.6</v>
      </c>
      <c r="L544" t="n">
        <v>10</v>
      </c>
      <c r="M544" t="n">
        <v>2</v>
      </c>
      <c r="N544" t="n">
        <v>7.2</v>
      </c>
      <c r="O544" t="n">
        <v>28.8</v>
      </c>
      <c r="P544" t="n">
        <v>123.2157354912</v>
      </c>
      <c r="Q544" t="n">
        <v>0.8</v>
      </c>
      <c r="R544" t="inlineStr">
        <is>
          <t>Sobrestock crítico</t>
        </is>
      </c>
    </row>
    <row r="545">
      <c r="A545" t="inlineStr">
        <is>
          <t>RIOMIKI11T2</t>
        </is>
      </c>
      <c r="B545" t="inlineStr">
        <is>
          <t>RIO ORIGINAL KIDS</t>
        </is>
      </c>
      <c r="C545" t="inlineStr">
        <is>
          <t>Manufactura / Kids / P. Superiores</t>
        </is>
      </c>
      <c r="D545" t="n">
        <v>1778.20102099</v>
      </c>
      <c r="E545" t="n">
        <v>0.0004353615276900455</v>
      </c>
      <c r="F545" t="n">
        <v>0.7314973441236022</v>
      </c>
      <c r="G545" t="inlineStr">
        <is>
          <t>A</t>
        </is>
      </c>
      <c r="H545" t="n">
        <v>34</v>
      </c>
      <c r="I545" t="n">
        <v>3.617969464</v>
      </c>
      <c r="J545" t="n">
        <v>123.010961776</v>
      </c>
      <c r="K545" t="n">
        <v>4.2</v>
      </c>
      <c r="L545" t="n">
        <v>8.095238095238095</v>
      </c>
      <c r="M545" t="n">
        <v>2</v>
      </c>
      <c r="N545" t="n">
        <v>8.4</v>
      </c>
      <c r="O545" t="n">
        <v>25.6</v>
      </c>
      <c r="P545" t="n">
        <v>92.6200182784</v>
      </c>
      <c r="Q545" t="n">
        <v>0.7529411764705882</v>
      </c>
      <c r="R545" t="inlineStr">
        <is>
          <t>Sobrestock crítico</t>
        </is>
      </c>
    </row>
    <row r="546">
      <c r="A546" t="inlineStr">
        <is>
          <t>JACCA14TS</t>
        </is>
      </c>
      <c r="B546" t="inlineStr">
        <is>
          <t>JACKET CAB</t>
        </is>
      </c>
      <c r="C546" t="inlineStr">
        <is>
          <t>Equipamiento / Ropa</t>
        </is>
      </c>
      <c r="D546" t="n">
        <v>1777.34552418</v>
      </c>
      <c r="E546" t="n">
        <v>0.0004351520742065871</v>
      </c>
      <c r="F546" t="n">
        <v>0.7319324961978089</v>
      </c>
      <c r="G546" t="inlineStr">
        <is>
          <t>A</t>
        </is>
      </c>
      <c r="H546" t="n">
        <v>46</v>
      </c>
      <c r="I546" t="n">
        <v>20.25001933</v>
      </c>
      <c r="J546" t="n">
        <v>931.5008891800001</v>
      </c>
      <c r="K546" t="n">
        <v>2.5</v>
      </c>
      <c r="L546" t="n">
        <v>18.4</v>
      </c>
      <c r="M546" t="n">
        <v>2</v>
      </c>
      <c r="N546" t="n">
        <v>5</v>
      </c>
      <c r="O546" t="n">
        <v>41</v>
      </c>
      <c r="P546" t="n">
        <v>830.25079253</v>
      </c>
      <c r="Q546" t="n">
        <v>0.8913043478260869</v>
      </c>
      <c r="R546" t="inlineStr">
        <is>
          <t>Sobrestock crítico</t>
        </is>
      </c>
    </row>
    <row r="547">
      <c r="A547" t="inlineStr">
        <is>
          <t>PANNTCA66TS</t>
        </is>
      </c>
      <c r="B547" t="inlineStr">
        <is>
          <t>EXPLORE PANTS CAB</t>
        </is>
      </c>
      <c r="C547" t="inlineStr">
        <is>
          <t>Manufactura / Caballero / P. Inferiores</t>
        </is>
      </c>
      <c r="D547" t="n">
        <v>1777.31338773</v>
      </c>
      <c r="E547" t="n">
        <v>0.0004351442061569114</v>
      </c>
      <c r="F547" t="n">
        <v>0.7323676404039657</v>
      </c>
      <c r="G547" t="inlineStr">
        <is>
          <t>A</t>
        </is>
      </c>
      <c r="H547" t="n">
        <v>38</v>
      </c>
      <c r="I547" t="n">
        <v>15.68994502</v>
      </c>
      <c r="J547" t="n">
        <v>596.2179107599999</v>
      </c>
      <c r="K547" t="n">
        <v>3</v>
      </c>
      <c r="L547" t="n">
        <v>12.66666666666667</v>
      </c>
      <c r="M547" t="n">
        <v>2</v>
      </c>
      <c r="N547" t="n">
        <v>6</v>
      </c>
      <c r="O547" t="n">
        <v>32</v>
      </c>
      <c r="P547" t="n">
        <v>502.0782406399999</v>
      </c>
      <c r="Q547" t="n">
        <v>0.8421052631578948</v>
      </c>
      <c r="R547" t="inlineStr">
        <is>
          <t>Sobrestock crítico</t>
        </is>
      </c>
    </row>
    <row r="548">
      <c r="A548" t="inlineStr">
        <is>
          <t>MARMIDA70TL</t>
        </is>
      </c>
      <c r="B548" t="inlineStr">
        <is>
          <t>MAR ORIGINAL DAMA</t>
        </is>
      </c>
      <c r="C548" t="inlineStr">
        <is>
          <t>Manufactura / Dama / P. Superiores</t>
        </is>
      </c>
      <c r="D548" t="n">
        <v>1776.58571104</v>
      </c>
      <c r="E548" t="n">
        <v>0.0004349660472020557</v>
      </c>
      <c r="F548" t="n">
        <v>0.7328026064511678</v>
      </c>
      <c r="G548" t="inlineStr">
        <is>
          <t>A</t>
        </is>
      </c>
      <c r="H548" t="n">
        <v>63</v>
      </c>
      <c r="I548" t="n">
        <v>4.278324149</v>
      </c>
      <c r="J548" t="n">
        <v>269.534421387</v>
      </c>
      <c r="K548" t="n">
        <v>3.8</v>
      </c>
      <c r="L548" t="n">
        <v>16.57894736842105</v>
      </c>
      <c r="M548" t="n">
        <v>2</v>
      </c>
      <c r="N548" t="n">
        <v>7.6</v>
      </c>
      <c r="O548" t="n">
        <v>55.4</v>
      </c>
      <c r="P548" t="n">
        <v>237.0191578546</v>
      </c>
      <c r="Q548" t="n">
        <v>0.8793650793650795</v>
      </c>
      <c r="R548" t="inlineStr">
        <is>
          <t>Sobrestock crítico</t>
        </is>
      </c>
    </row>
    <row r="549">
      <c r="A549" t="inlineStr">
        <is>
          <t>MARMIKI16T4</t>
        </is>
      </c>
      <c r="B549" t="inlineStr">
        <is>
          <t>MAR ORIGINAL KIDS</t>
        </is>
      </c>
      <c r="C549" t="inlineStr">
        <is>
          <t>Manufactura / Kids / P. Superiores</t>
        </is>
      </c>
      <c r="D549" t="n">
        <v>1776.44551818</v>
      </c>
      <c r="E549" t="n">
        <v>0.0004349317234237087</v>
      </c>
      <c r="F549" t="n">
        <v>0.7332375381745915</v>
      </c>
      <c r="G549" t="inlineStr">
        <is>
          <t>A</t>
        </is>
      </c>
      <c r="H549" t="n">
        <v>24</v>
      </c>
      <c r="I549" t="n">
        <v>3.168013332</v>
      </c>
      <c r="J549" t="n">
        <v>76.032319968</v>
      </c>
      <c r="K549" t="n">
        <v>4.9</v>
      </c>
      <c r="L549" t="n">
        <v>4.897959183673469</v>
      </c>
      <c r="M549" t="n">
        <v>2</v>
      </c>
      <c r="N549" t="n">
        <v>9.800000000000001</v>
      </c>
      <c r="O549" t="n">
        <v>14.2</v>
      </c>
      <c r="P549" t="n">
        <v>44.9857893144</v>
      </c>
      <c r="Q549" t="n">
        <v>0.5916666666666667</v>
      </c>
      <c r="R549" t="inlineStr">
        <is>
          <t>Sobrestock crítico</t>
        </is>
      </c>
    </row>
    <row r="550">
      <c r="A550" t="inlineStr">
        <is>
          <t>MAFMIDA16TM</t>
        </is>
      </c>
      <c r="B550" t="inlineStr">
        <is>
          <t>MAFE ORIGINAL DAMA</t>
        </is>
      </c>
      <c r="C550" t="inlineStr">
        <is>
          <t>Manufactura / Dama / P. Superiores</t>
        </is>
      </c>
      <c r="D550" t="n">
        <v>1766.374829</v>
      </c>
      <c r="E550" t="n">
        <v>0.0004324660907002187</v>
      </c>
      <c r="F550" t="n">
        <v>0.7336700042652917</v>
      </c>
      <c r="G550" t="inlineStr">
        <is>
          <t>A</t>
        </is>
      </c>
      <c r="H550" t="n">
        <v>30</v>
      </c>
      <c r="I550" t="n">
        <v>4.54817671</v>
      </c>
      <c r="J550" t="n">
        <v>136.4453013</v>
      </c>
      <c r="K550" t="n">
        <v>7</v>
      </c>
      <c r="L550" t="n">
        <v>4.285714285714286</v>
      </c>
      <c r="M550" t="n">
        <v>2</v>
      </c>
      <c r="N550" t="n">
        <v>14</v>
      </c>
      <c r="O550" t="n">
        <v>16</v>
      </c>
      <c r="P550" t="n">
        <v>72.77082736</v>
      </c>
      <c r="Q550" t="n">
        <v>0.5333333333333334</v>
      </c>
      <c r="R550" t="inlineStr">
        <is>
          <t>Sobrestock crítico</t>
        </is>
      </c>
    </row>
    <row r="551">
      <c r="A551" t="inlineStr">
        <is>
          <t>PANNTDA66TXL</t>
        </is>
      </c>
      <c r="B551" t="inlineStr">
        <is>
          <t>EXPLORE PANTS DAMA</t>
        </is>
      </c>
      <c r="C551" t="inlineStr">
        <is>
          <t>Manufactura / Dama / P. Inferiores</t>
        </is>
      </c>
      <c r="D551" t="n">
        <v>1763.53080337</v>
      </c>
      <c r="E551" t="n">
        <v>0.0004317697805932899</v>
      </c>
      <c r="F551" t="n">
        <v>0.7341017740458851</v>
      </c>
      <c r="G551" t="inlineStr">
        <is>
          <t>A</t>
        </is>
      </c>
      <c r="H551" t="n">
        <v>15</v>
      </c>
      <c r="I551" t="n">
        <v>15.3928899</v>
      </c>
      <c r="J551" t="n">
        <v>230.8933485</v>
      </c>
      <c r="K551" t="n">
        <v>2.6</v>
      </c>
      <c r="L551" t="n">
        <v>5.769230769230769</v>
      </c>
      <c r="M551" t="n">
        <v>2</v>
      </c>
      <c r="N551" t="n">
        <v>5.2</v>
      </c>
      <c r="O551" t="n">
        <v>9.800000000000001</v>
      </c>
      <c r="P551" t="n">
        <v>150.85032102</v>
      </c>
      <c r="Q551" t="n">
        <v>0.6533333333333334</v>
      </c>
      <c r="R551" t="inlineStr">
        <is>
          <t>Sobrestock crítico</t>
        </is>
      </c>
    </row>
    <row r="552">
      <c r="A552" t="inlineStr">
        <is>
          <t>SHOUNCA69TL</t>
        </is>
      </c>
      <c r="B552" t="inlineStr">
        <is>
          <t>SHORT PLAYA CAB</t>
        </is>
      </c>
      <c r="C552" t="inlineStr">
        <is>
          <t>Manufactura / Caballero / P. Inferiores</t>
        </is>
      </c>
      <c r="D552" t="n">
        <v>1761.7672256</v>
      </c>
      <c r="E552" t="n">
        <v>0.0004313379993137358</v>
      </c>
      <c r="F552" t="n">
        <v>0.7345331120451988</v>
      </c>
      <c r="G552" t="inlineStr">
        <is>
          <t>A</t>
        </is>
      </c>
      <c r="H552" t="n">
        <v>19</v>
      </c>
      <c r="I552" t="n">
        <v>9.99</v>
      </c>
      <c r="J552" t="n">
        <v>189.81</v>
      </c>
      <c r="K552" t="n">
        <v>3.5</v>
      </c>
      <c r="L552" t="n">
        <v>5.428571428571429</v>
      </c>
      <c r="M552" t="n">
        <v>2</v>
      </c>
      <c r="N552" t="n">
        <v>7</v>
      </c>
      <c r="O552" t="n">
        <v>12</v>
      </c>
      <c r="P552" t="n">
        <v>119.88</v>
      </c>
      <c r="Q552" t="n">
        <v>0.631578947368421</v>
      </c>
      <c r="R552" t="inlineStr">
        <is>
          <t>Sobrestock crítico</t>
        </is>
      </c>
    </row>
    <row r="553">
      <c r="A553" t="inlineStr">
        <is>
          <t>RIOMIDA11TXS</t>
        </is>
      </c>
      <c r="B553" t="inlineStr">
        <is>
          <t>RIO ORIGINAL DAMA</t>
        </is>
      </c>
      <c r="C553" t="inlineStr">
        <is>
          <t>Manufactura / Dama / P. Superiores</t>
        </is>
      </c>
      <c r="D553" t="n">
        <v>1758.96230709</v>
      </c>
      <c r="E553" t="n">
        <v>0.0004306512639035403</v>
      </c>
      <c r="F553" t="n">
        <v>0.7349637633091023</v>
      </c>
      <c r="G553" t="inlineStr">
        <is>
          <t>A</t>
        </is>
      </c>
      <c r="H553" t="n">
        <v>15</v>
      </c>
      <c r="I553" t="n">
        <v>5.538832275</v>
      </c>
      <c r="J553" t="n">
        <v>83.08248412499999</v>
      </c>
      <c r="K553" t="n">
        <v>3.3</v>
      </c>
      <c r="L553" t="n">
        <v>4.545454545454546</v>
      </c>
      <c r="M553" t="n">
        <v>2</v>
      </c>
      <c r="N553" t="n">
        <v>6.6</v>
      </c>
      <c r="O553" t="n">
        <v>8.4</v>
      </c>
      <c r="P553" t="n">
        <v>46.52619111</v>
      </c>
      <c r="Q553" t="n">
        <v>0.5600000000000001</v>
      </c>
      <c r="R553" t="inlineStr">
        <is>
          <t>Sobrestock crítico</t>
        </is>
      </c>
    </row>
    <row r="554">
      <c r="A554" t="inlineStr">
        <is>
          <t>SHOUNCA69TM</t>
        </is>
      </c>
      <c r="B554" t="inlineStr">
        <is>
          <t>SHORT PLAYA CAB</t>
        </is>
      </c>
      <c r="C554" t="inlineStr">
        <is>
          <t>Manufactura / Caballero / P. Inferiores</t>
        </is>
      </c>
      <c r="D554" t="n">
        <v>1755.12212718</v>
      </c>
      <c r="E554" t="n">
        <v>0.0004297110627831453</v>
      </c>
      <c r="F554" t="n">
        <v>0.7353934743718854</v>
      </c>
      <c r="G554" t="inlineStr">
        <is>
          <t>A</t>
        </is>
      </c>
      <c r="H554" t="n">
        <v>18</v>
      </c>
      <c r="I554" t="n">
        <v>9.99</v>
      </c>
      <c r="J554" t="n">
        <v>179.82</v>
      </c>
      <c r="K554" t="n">
        <v>3.9</v>
      </c>
      <c r="L554" t="n">
        <v>4.615384615384616</v>
      </c>
      <c r="M554" t="n">
        <v>2</v>
      </c>
      <c r="N554" t="n">
        <v>7.8</v>
      </c>
      <c r="O554" t="n">
        <v>10.2</v>
      </c>
      <c r="P554" t="n">
        <v>101.898</v>
      </c>
      <c r="Q554" t="n">
        <v>0.5666666666666667</v>
      </c>
      <c r="R554" t="inlineStr">
        <is>
          <t>Sobrestock crítico</t>
        </is>
      </c>
    </row>
    <row r="555">
      <c r="A555" t="inlineStr">
        <is>
          <t>RIOMIDA70TM</t>
        </is>
      </c>
      <c r="B555" t="inlineStr">
        <is>
          <t>RIO ORIGINAL DAMA</t>
        </is>
      </c>
      <c r="C555" t="inlineStr">
        <is>
          <t>Manufactura / Dama / P. Superiores</t>
        </is>
      </c>
      <c r="D555" t="n">
        <v>1752.98378476</v>
      </c>
      <c r="E555" t="n">
        <v>0.0004291875269108189</v>
      </c>
      <c r="F555" t="n">
        <v>0.7358226618987963</v>
      </c>
      <c r="G555" t="inlineStr">
        <is>
          <t>A</t>
        </is>
      </c>
      <c r="H555" t="n">
        <v>20</v>
      </c>
      <c r="I555" t="n">
        <v>5.538832275</v>
      </c>
      <c r="J555" t="n">
        <v>110.7766455</v>
      </c>
      <c r="K555" t="n">
        <v>3</v>
      </c>
      <c r="L555" t="n">
        <v>6.666666666666667</v>
      </c>
      <c r="M555" t="n">
        <v>2</v>
      </c>
      <c r="N555" t="n">
        <v>6</v>
      </c>
      <c r="O555" t="n">
        <v>14</v>
      </c>
      <c r="P555" t="n">
        <v>77.54365185</v>
      </c>
      <c r="Q555" t="n">
        <v>0.7000000000000001</v>
      </c>
      <c r="R555" t="inlineStr">
        <is>
          <t>Sobrestock crítico</t>
        </is>
      </c>
    </row>
    <row r="556">
      <c r="A556" t="inlineStr">
        <is>
          <t>MARMIDA48TL</t>
        </is>
      </c>
      <c r="B556" t="inlineStr">
        <is>
          <t>MAR ORIGINAL DAMA</t>
        </is>
      </c>
      <c r="C556" t="inlineStr">
        <is>
          <t>Manufactura / Dama / P. Superiores</t>
        </is>
      </c>
      <c r="D556" t="n">
        <v>1751.85769878</v>
      </c>
      <c r="E556" t="n">
        <v>0.0004289118243851899</v>
      </c>
      <c r="F556" t="n">
        <v>0.7362515737231814</v>
      </c>
      <c r="G556" t="inlineStr">
        <is>
          <t>A</t>
        </is>
      </c>
      <c r="H556" t="n">
        <v>45</v>
      </c>
      <c r="I556" t="n">
        <v>4.278324149</v>
      </c>
      <c r="J556" t="n">
        <v>192.524586705</v>
      </c>
      <c r="K556" t="n">
        <v>3.5</v>
      </c>
      <c r="L556" t="n">
        <v>12.85714285714286</v>
      </c>
      <c r="M556" t="n">
        <v>2</v>
      </c>
      <c r="N556" t="n">
        <v>7</v>
      </c>
      <c r="O556" t="n">
        <v>38</v>
      </c>
      <c r="P556" t="n">
        <v>162.576317662</v>
      </c>
      <c r="Q556" t="n">
        <v>0.8444444444444444</v>
      </c>
      <c r="R556" t="inlineStr">
        <is>
          <t>Sobrestock crítico</t>
        </is>
      </c>
    </row>
    <row r="557">
      <c r="A557" t="inlineStr">
        <is>
          <t>TOA50PL</t>
        </is>
      </c>
      <c r="B557" t="inlineStr">
        <is>
          <t>TOALLA PLAYA</t>
        </is>
      </c>
      <c r="C557" t="inlineStr">
        <is>
          <t>Equipamiento / Toallas</t>
        </is>
      </c>
      <c r="D557" t="n">
        <v>1751.84114302</v>
      </c>
      <c r="E557" t="n">
        <v>0.0004289077709959046</v>
      </c>
      <c r="F557" t="n">
        <v>0.7366804814941774</v>
      </c>
      <c r="G557" t="inlineStr">
        <is>
          <t>A</t>
        </is>
      </c>
      <c r="H557" t="n">
        <v>1059</v>
      </c>
      <c r="I557" t="n">
        <v>4.83</v>
      </c>
      <c r="J557" t="n">
        <v>5114.97</v>
      </c>
      <c r="K557" t="n">
        <v>6.9</v>
      </c>
      <c r="L557" t="n">
        <v>153.4782608695652</v>
      </c>
      <c r="M557" t="n">
        <v>2</v>
      </c>
      <c r="N557" t="n">
        <v>13.8</v>
      </c>
      <c r="O557" t="n">
        <v>1045.2</v>
      </c>
      <c r="P557" t="n">
        <v>5048.316000000001</v>
      </c>
      <c r="Q557" t="n">
        <v>0.9869688385269123</v>
      </c>
      <c r="R557" t="inlineStr">
        <is>
          <t>Sobrestock crítico</t>
        </is>
      </c>
    </row>
    <row r="558">
      <c r="A558" t="inlineStr">
        <is>
          <t>RIOMIKI11T8</t>
        </is>
      </c>
      <c r="B558" t="inlineStr">
        <is>
          <t>RIO ORIGINAL KIDS</t>
        </is>
      </c>
      <c r="C558" t="inlineStr">
        <is>
          <t>Manufactura / Kids / P. Superiores</t>
        </is>
      </c>
      <c r="D558" t="n">
        <v>1742.36149788</v>
      </c>
      <c r="E558" t="n">
        <v>0.0004265868451042907</v>
      </c>
      <c r="F558" t="n">
        <v>0.7371070683392816</v>
      </c>
      <c r="G558" t="inlineStr">
        <is>
          <t>A</t>
        </is>
      </c>
      <c r="H558" t="n">
        <v>44</v>
      </c>
      <c r="I558" t="n">
        <v>3.617969464</v>
      </c>
      <c r="J558" t="n">
        <v>159.190656416</v>
      </c>
      <c r="K558" t="n">
        <v>4</v>
      </c>
      <c r="L558" t="n">
        <v>11</v>
      </c>
      <c r="M558" t="n">
        <v>2</v>
      </c>
      <c r="N558" t="n">
        <v>8</v>
      </c>
      <c r="O558" t="n">
        <v>36</v>
      </c>
      <c r="P558" t="n">
        <v>130.246900704</v>
      </c>
      <c r="Q558" t="n">
        <v>0.8181818181818182</v>
      </c>
      <c r="R558" t="inlineStr">
        <is>
          <t>Sobrestock crítico</t>
        </is>
      </c>
    </row>
    <row r="559">
      <c r="A559" t="inlineStr">
        <is>
          <t>PANNTDA31TL</t>
        </is>
      </c>
      <c r="B559" t="inlineStr">
        <is>
          <t>EXPLORE PANTS DAMA</t>
        </is>
      </c>
      <c r="C559" t="inlineStr">
        <is>
          <t>Manufactura / Dama / P. Inferiores</t>
        </is>
      </c>
      <c r="D559" t="n">
        <v>1734.62287582</v>
      </c>
      <c r="E559" t="n">
        <v>0.0004246921783694905</v>
      </c>
      <c r="F559" t="n">
        <v>0.7375317605176511</v>
      </c>
      <c r="G559" t="inlineStr">
        <is>
          <t>A</t>
        </is>
      </c>
      <c r="H559" t="n">
        <v>0</v>
      </c>
      <c r="I559" t="n">
        <v>15.3928899</v>
      </c>
      <c r="J559" t="n">
        <v>0</v>
      </c>
      <c r="K559" t="n">
        <v>2.6</v>
      </c>
      <c r="L559" t="n">
        <v>0</v>
      </c>
      <c r="M559" t="n">
        <v>2</v>
      </c>
      <c r="N559" t="n">
        <v>5.2</v>
      </c>
      <c r="O559" t="n">
        <v>0</v>
      </c>
      <c r="P559" t="n">
        <v>0</v>
      </c>
      <c r="Q559" t="n">
        <v>0</v>
      </c>
      <c r="R559" t="inlineStr">
        <is>
          <t>Riesgo bajo stock</t>
        </is>
      </c>
    </row>
    <row r="560">
      <c r="A560" t="inlineStr">
        <is>
          <t>TOA16CLI</t>
        </is>
      </c>
      <c r="B560" t="inlineStr">
        <is>
          <t>TOALLA CLIP 2.0</t>
        </is>
      </c>
      <c r="C560" t="inlineStr">
        <is>
          <t>Equipamiento / Toallas</t>
        </is>
      </c>
      <c r="D560" t="n">
        <v>1732.054719589</v>
      </c>
      <c r="E560" t="n">
        <v>0.0004240634100767738</v>
      </c>
      <c r="F560" t="n">
        <v>0.7379558239277278</v>
      </c>
      <c r="G560" t="inlineStr">
        <is>
          <t>A</t>
        </is>
      </c>
      <c r="H560" t="n">
        <v>372</v>
      </c>
      <c r="I560" t="n">
        <v>5.11</v>
      </c>
      <c r="J560" t="n">
        <v>1900.92</v>
      </c>
      <c r="K560" t="n">
        <v>8.800000000000001</v>
      </c>
      <c r="L560" t="n">
        <v>42.27272727272727</v>
      </c>
      <c r="M560" t="n">
        <v>2</v>
      </c>
      <c r="N560" t="n">
        <v>17.6</v>
      </c>
      <c r="O560" t="n">
        <v>354.4</v>
      </c>
      <c r="P560" t="n">
        <v>1810.984</v>
      </c>
      <c r="Q560" t="n">
        <v>0.9526881720430107</v>
      </c>
      <c r="R560" t="inlineStr">
        <is>
          <t>Sobrestock crítico</t>
        </is>
      </c>
    </row>
    <row r="561">
      <c r="A561" t="inlineStr">
        <is>
          <t>BAPCCDA184TM</t>
        </is>
      </c>
      <c r="B561" t="inlineStr">
        <is>
          <t>BASIC LINE PANT DAMA</t>
        </is>
      </c>
      <c r="C561" t="inlineStr">
        <is>
          <t>Manufactura / Dama / P. Inferiores</t>
        </is>
      </c>
      <c r="D561" t="n">
        <v>1730.37365855</v>
      </c>
      <c r="E561" t="n">
        <v>0.0004236518315806195</v>
      </c>
      <c r="F561" t="n">
        <v>0.7383794757593085</v>
      </c>
      <c r="G561" t="inlineStr">
        <is>
          <t>A</t>
        </is>
      </c>
      <c r="H561" t="n">
        <v>13</v>
      </c>
      <c r="I561" t="n">
        <v>11.2</v>
      </c>
      <c r="J561" t="n">
        <v>145.6</v>
      </c>
      <c r="K561" t="n">
        <v>3.3</v>
      </c>
      <c r="L561" t="n">
        <v>3.939393939393939</v>
      </c>
      <c r="M561" t="n">
        <v>2</v>
      </c>
      <c r="N561" t="n">
        <v>6.6</v>
      </c>
      <c r="O561" t="n">
        <v>6.4</v>
      </c>
      <c r="P561" t="n">
        <v>71.67999999999999</v>
      </c>
      <c r="Q561" t="n">
        <v>0.4923076923076923</v>
      </c>
      <c r="R561" t="inlineStr">
        <is>
          <t>Sobrestock crítico</t>
        </is>
      </c>
    </row>
    <row r="562">
      <c r="A562" t="inlineStr">
        <is>
          <t>CAP16VS</t>
        </is>
      </c>
      <c r="B562" t="inlineStr">
        <is>
          <t>VISERA</t>
        </is>
      </c>
      <c r="C562" t="inlineStr">
        <is>
          <t>Equipamiento / Gorras</t>
        </is>
      </c>
      <c r="D562" t="n">
        <v>1723.56080708</v>
      </c>
      <c r="E562" t="n">
        <v>0.0004219838236395076</v>
      </c>
      <c r="F562" t="n">
        <v>0.738801459582948</v>
      </c>
      <c r="G562" t="inlineStr">
        <is>
          <t>A</t>
        </is>
      </c>
      <c r="H562" t="n">
        <v>4</v>
      </c>
      <c r="I562" t="n">
        <v>13.5</v>
      </c>
      <c r="J562" t="n">
        <v>54</v>
      </c>
      <c r="K562" t="n">
        <v>5.1</v>
      </c>
      <c r="L562" t="n">
        <v>0.7843137254901962</v>
      </c>
      <c r="M562" t="n">
        <v>2</v>
      </c>
      <c r="N562" t="n">
        <v>10.2</v>
      </c>
      <c r="O562" t="n">
        <v>0</v>
      </c>
      <c r="P562" t="n">
        <v>0</v>
      </c>
      <c r="Q562" t="n">
        <v>0</v>
      </c>
      <c r="R562" t="inlineStr">
        <is>
          <t>Riesgo bajo stock</t>
        </is>
      </c>
    </row>
    <row r="563">
      <c r="A563" t="inlineStr">
        <is>
          <t>MARMIKI66T6</t>
        </is>
      </c>
      <c r="B563" t="inlineStr">
        <is>
          <t>MAR ORIGINAL KIDS</t>
        </is>
      </c>
      <c r="C563" t="inlineStr">
        <is>
          <t>Manufactura / Kids / P. Superiores</t>
        </is>
      </c>
      <c r="D563" t="n">
        <v>1721.87320697</v>
      </c>
      <c r="E563" t="n">
        <v>0.0004215706441657884</v>
      </c>
      <c r="F563" t="n">
        <v>0.7392230302271139</v>
      </c>
      <c r="G563" t="inlineStr">
        <is>
          <t>A</t>
        </is>
      </c>
      <c r="H563" t="n">
        <v>5</v>
      </c>
      <c r="I563" t="n">
        <v>3.168013332</v>
      </c>
      <c r="J563" t="n">
        <v>15.84006666</v>
      </c>
      <c r="K563" t="n">
        <v>4.5</v>
      </c>
      <c r="L563" t="n">
        <v>1.111111111111111</v>
      </c>
      <c r="M563" t="n">
        <v>2</v>
      </c>
      <c r="N563" t="n">
        <v>9</v>
      </c>
      <c r="O563" t="n">
        <v>0</v>
      </c>
      <c r="P563" t="n">
        <v>0</v>
      </c>
      <c r="Q563" t="n">
        <v>0</v>
      </c>
      <c r="R563" t="inlineStr">
        <is>
          <t>OK</t>
        </is>
      </c>
    </row>
    <row r="564">
      <c r="A564" t="inlineStr">
        <is>
          <t>DAYCSTCA16TS</t>
        </is>
      </c>
      <c r="B564" t="inlineStr">
        <is>
          <t>CLASICA DAILY 3.0 CAB</t>
        </is>
      </c>
      <c r="C564" t="inlineStr">
        <is>
          <t>Manufactura / Caballero / P. Superiores</t>
        </is>
      </c>
      <c r="D564" t="n">
        <v>1721.34127485</v>
      </c>
      <c r="E564" t="n">
        <v>0.0004214404098572615</v>
      </c>
      <c r="F564" t="n">
        <v>0.7396444706369711</v>
      </c>
      <c r="G564" t="inlineStr">
        <is>
          <t>A</t>
        </is>
      </c>
      <c r="H564" t="n">
        <v>56</v>
      </c>
      <c r="I564" t="n">
        <v>11.76035097</v>
      </c>
      <c r="J564" t="n">
        <v>658.5796543199999</v>
      </c>
      <c r="K564" t="n">
        <v>4.7</v>
      </c>
      <c r="L564" t="n">
        <v>11.91489361702128</v>
      </c>
      <c r="M564" t="n">
        <v>2</v>
      </c>
      <c r="N564" t="n">
        <v>9.4</v>
      </c>
      <c r="O564" t="n">
        <v>46.6</v>
      </c>
      <c r="P564" t="n">
        <v>548.0323552019998</v>
      </c>
      <c r="Q564" t="n">
        <v>0.832142857142857</v>
      </c>
      <c r="R564" t="inlineStr">
        <is>
          <t>Sobrestock crítico</t>
        </is>
      </c>
    </row>
    <row r="565">
      <c r="A565" t="inlineStr">
        <is>
          <t>MARMIDA13TXS</t>
        </is>
      </c>
      <c r="B565" t="inlineStr">
        <is>
          <t>MAR ORIGINAL DAMA</t>
        </is>
      </c>
      <c r="C565" t="inlineStr">
        <is>
          <t>Manufactura / Dama / P. Superiores</t>
        </is>
      </c>
      <c r="D565" t="n">
        <v>1720.20431794</v>
      </c>
      <c r="E565" t="n">
        <v>0.0004211620457738916</v>
      </c>
      <c r="F565" t="n">
        <v>0.7400656326827449</v>
      </c>
      <c r="G565" t="inlineStr">
        <is>
          <t>A</t>
        </is>
      </c>
      <c r="H565" t="n">
        <v>6</v>
      </c>
      <c r="I565" t="n">
        <v>4.278324149</v>
      </c>
      <c r="J565" t="n">
        <v>25.669944894</v>
      </c>
      <c r="K565" t="n">
        <v>3.8</v>
      </c>
      <c r="L565" t="n">
        <v>1.578947368421053</v>
      </c>
      <c r="M565" t="n">
        <v>2</v>
      </c>
      <c r="N565" t="n">
        <v>7.6</v>
      </c>
      <c r="O565" t="n">
        <v>0</v>
      </c>
      <c r="P565" t="n">
        <v>0</v>
      </c>
      <c r="Q565" t="n">
        <v>0</v>
      </c>
      <c r="R565" t="inlineStr">
        <is>
          <t>OK</t>
        </is>
      </c>
    </row>
    <row r="566">
      <c r="A566" t="inlineStr">
        <is>
          <t>RIOMIKI12T14</t>
        </is>
      </c>
      <c r="B566" t="inlineStr">
        <is>
          <t>RIO ORIGINAL KIDS</t>
        </is>
      </c>
      <c r="C566" t="inlineStr">
        <is>
          <t>Manufactura / Kids / P. Superiores</t>
        </is>
      </c>
      <c r="D566" t="n">
        <v>1717.37418677</v>
      </c>
      <c r="E566" t="n">
        <v>0.0004204691374833269</v>
      </c>
      <c r="F566" t="n">
        <v>0.7404861018202283</v>
      </c>
      <c r="G566" t="inlineStr">
        <is>
          <t>A</t>
        </is>
      </c>
      <c r="H566" t="n">
        <v>61</v>
      </c>
      <c r="I566" t="n">
        <v>3.617969464</v>
      </c>
      <c r="J566" t="n">
        <v>220.696137304</v>
      </c>
      <c r="K566" t="n">
        <v>3.9</v>
      </c>
      <c r="L566" t="n">
        <v>15.64102564102564</v>
      </c>
      <c r="M566" t="n">
        <v>2</v>
      </c>
      <c r="N566" t="n">
        <v>7.8</v>
      </c>
      <c r="O566" t="n">
        <v>53.2</v>
      </c>
      <c r="P566" t="n">
        <v>192.4759754848</v>
      </c>
      <c r="Q566" t="n">
        <v>0.8721311475409836</v>
      </c>
      <c r="R566" t="inlineStr">
        <is>
          <t>Sobrestock crítico</t>
        </is>
      </c>
    </row>
    <row r="567">
      <c r="A567" t="inlineStr">
        <is>
          <t>CLAMECA30TL</t>
        </is>
      </c>
      <c r="B567" t="inlineStr">
        <is>
          <t>CLASICA SPORT CAB</t>
        </is>
      </c>
      <c r="C567" t="inlineStr">
        <is>
          <t>Manufactura / Caballero / P. Superiores</t>
        </is>
      </c>
      <c r="D567" t="n">
        <v>1714.72173302</v>
      </c>
      <c r="E567" t="n">
        <v>0.0004198197304123062</v>
      </c>
      <c r="F567" t="n">
        <v>0.7409059215506407</v>
      </c>
      <c r="G567" t="inlineStr">
        <is>
          <t>A</t>
        </is>
      </c>
      <c r="H567" t="n">
        <v>13</v>
      </c>
      <c r="I567" t="n">
        <v>10.3013454</v>
      </c>
      <c r="J567" t="n">
        <v>133.9174902</v>
      </c>
      <c r="K567" t="n">
        <v>4.2</v>
      </c>
      <c r="L567" t="n">
        <v>3.095238095238095</v>
      </c>
      <c r="M567" t="n">
        <v>2</v>
      </c>
      <c r="N567" t="n">
        <v>8.4</v>
      </c>
      <c r="O567" t="n">
        <v>4.6</v>
      </c>
      <c r="P567" t="n">
        <v>47.38618884</v>
      </c>
      <c r="Q567" t="n">
        <v>0.3538461538461539</v>
      </c>
      <c r="R567" t="inlineStr">
        <is>
          <t>Sobrestock crítico</t>
        </is>
      </c>
    </row>
    <row r="568">
      <c r="A568" t="inlineStr">
        <is>
          <t>JACKI43T8</t>
        </is>
      </c>
      <c r="B568" t="inlineStr">
        <is>
          <t>JACKET KIDS</t>
        </is>
      </c>
      <c r="C568" t="inlineStr">
        <is>
          <t>Manufactura / Kids / P. Superiores</t>
        </is>
      </c>
      <c r="D568" t="n">
        <v>1714.68721866</v>
      </c>
      <c r="E568" t="n">
        <v>0.0004198112801728117</v>
      </c>
      <c r="F568" t="n">
        <v>0.7413257328308135</v>
      </c>
      <c r="G568" t="inlineStr">
        <is>
          <t>A</t>
        </is>
      </c>
      <c r="H568" t="n">
        <v>144</v>
      </c>
      <c r="I568" t="n">
        <v>15.17</v>
      </c>
      <c r="J568" t="n">
        <v>2184.48</v>
      </c>
      <c r="K568" t="n">
        <v>3.2</v>
      </c>
      <c r="L568" t="n">
        <v>45</v>
      </c>
      <c r="M568" t="n">
        <v>2</v>
      </c>
      <c r="N568" t="n">
        <v>6.4</v>
      </c>
      <c r="O568" t="n">
        <v>137.6</v>
      </c>
      <c r="P568" t="n">
        <v>2087.392</v>
      </c>
      <c r="Q568" t="n">
        <v>0.9555555555555555</v>
      </c>
      <c r="R568" t="inlineStr">
        <is>
          <t>Sobrestock crítico</t>
        </is>
      </c>
    </row>
    <row r="569">
      <c r="A569" t="inlineStr">
        <is>
          <t>CREDA43TU</t>
        </is>
      </c>
      <c r="B569" t="inlineStr">
        <is>
          <t>CREW SOCKS DAMA</t>
        </is>
      </c>
      <c r="C569" t="inlineStr">
        <is>
          <t>Equipamiento / Accesorios</t>
        </is>
      </c>
      <c r="D569" t="n">
        <v>1713.204011864</v>
      </c>
      <c r="E569" t="n">
        <v>0.0004194481428396504</v>
      </c>
      <c r="F569" t="n">
        <v>0.7417451809736532</v>
      </c>
      <c r="G569" t="inlineStr">
        <is>
          <t>A</t>
        </is>
      </c>
      <c r="H569" t="n">
        <v>886</v>
      </c>
      <c r="I569" t="n">
        <v>2.830000000000001</v>
      </c>
      <c r="J569" t="n">
        <v>2507.380000000001</v>
      </c>
      <c r="K569" t="n">
        <v>10.4</v>
      </c>
      <c r="L569" t="n">
        <v>85.19230769230769</v>
      </c>
      <c r="M569" t="n">
        <v>2</v>
      </c>
      <c r="N569" t="n">
        <v>20.8</v>
      </c>
      <c r="O569" t="n">
        <v>865.2</v>
      </c>
      <c r="P569" t="n">
        <v>2448.516000000001</v>
      </c>
      <c r="Q569" t="n">
        <v>0.9765237020316027</v>
      </c>
      <c r="R569" t="inlineStr">
        <is>
          <t>Sobrestock crítico</t>
        </is>
      </c>
    </row>
    <row r="570">
      <c r="A570" t="inlineStr">
        <is>
          <t>JAPDA35TXL</t>
        </is>
      </c>
      <c r="B570" t="inlineStr">
        <is>
          <t>CUADRO JACKET 2.0 DAMA</t>
        </is>
      </c>
      <c r="C570" t="inlineStr">
        <is>
          <t>Equipamiento / Ropa</t>
        </is>
      </c>
      <c r="D570" t="n">
        <v>1705.06850632</v>
      </c>
      <c r="E570" t="n">
        <v>0.0004174563061010826</v>
      </c>
      <c r="F570" t="n">
        <v>0.7421626372797542</v>
      </c>
      <c r="G570" t="inlineStr">
        <is>
          <t>A</t>
        </is>
      </c>
      <c r="H570" t="n">
        <v>178</v>
      </c>
      <c r="I570" t="n">
        <v>20.25</v>
      </c>
      <c r="J570" t="n">
        <v>3604.5</v>
      </c>
      <c r="K570" t="n">
        <v>2.1</v>
      </c>
      <c r="L570" t="n">
        <v>84.76190476190476</v>
      </c>
      <c r="M570" t="n">
        <v>2</v>
      </c>
      <c r="N570" t="n">
        <v>4.2</v>
      </c>
      <c r="O570" t="n">
        <v>173.8</v>
      </c>
      <c r="P570" t="n">
        <v>3519.45</v>
      </c>
      <c r="Q570" t="n">
        <v>0.9764044943820226</v>
      </c>
      <c r="R570" t="inlineStr">
        <is>
          <t>Sobrestock crítico</t>
        </is>
      </c>
    </row>
    <row r="571">
      <c r="A571" t="inlineStr">
        <is>
          <t>JAPKI162T4</t>
        </is>
      </c>
      <c r="B571" t="inlineStr">
        <is>
          <t>CUADRO JACKET 2.0 KIDS</t>
        </is>
      </c>
      <c r="C571" t="inlineStr">
        <is>
          <t>Equipamiento / Ropa</t>
        </is>
      </c>
      <c r="D571" t="n">
        <v>1703.06253817</v>
      </c>
      <c r="E571" t="n">
        <v>0.0004169651797616121</v>
      </c>
      <c r="F571" t="n">
        <v>0.7425796024595158</v>
      </c>
      <c r="G571" t="inlineStr">
        <is>
          <t>A</t>
        </is>
      </c>
      <c r="H571" t="n">
        <v>15</v>
      </c>
      <c r="I571" t="n">
        <v>15.17</v>
      </c>
      <c r="J571" t="n">
        <v>227.55</v>
      </c>
      <c r="K571" t="n">
        <v>2.5</v>
      </c>
      <c r="L571" t="n">
        <v>6</v>
      </c>
      <c r="M571" t="n">
        <v>2</v>
      </c>
      <c r="N571" t="n">
        <v>5</v>
      </c>
      <c r="O571" t="n">
        <v>10</v>
      </c>
      <c r="P571" t="n">
        <v>151.7</v>
      </c>
      <c r="Q571" t="n">
        <v>0.6666666666666666</v>
      </c>
      <c r="R571" t="inlineStr">
        <is>
          <t>Sobrestock crítico</t>
        </is>
      </c>
    </row>
    <row r="572">
      <c r="A572" t="inlineStr">
        <is>
          <t>SHOSUCA153T2XL</t>
        </is>
      </c>
      <c r="B572" t="inlineStr">
        <is>
          <t>SHORT PLAYA ESTAMPADO CAB</t>
        </is>
      </c>
      <c r="C572" t="inlineStr">
        <is>
          <t>Manufactura / Caballero / P. Inferiores</t>
        </is>
      </c>
      <c r="D572" t="n">
        <v>1692.90705732</v>
      </c>
      <c r="E572" t="n">
        <v>0.0004144787872755581</v>
      </c>
      <c r="F572" t="n">
        <v>0.7429940812467913</v>
      </c>
      <c r="G572" t="inlineStr">
        <is>
          <t>A</t>
        </is>
      </c>
      <c r="H572" t="n">
        <v>5</v>
      </c>
      <c r="I572" t="n">
        <v>12.11</v>
      </c>
      <c r="J572" t="n">
        <v>60.54999999999999</v>
      </c>
      <c r="K572" t="n">
        <v>3</v>
      </c>
      <c r="L572" t="n">
        <v>1.666666666666667</v>
      </c>
      <c r="M572" t="n">
        <v>2</v>
      </c>
      <c r="N572" t="n">
        <v>6</v>
      </c>
      <c r="O572" t="n">
        <v>0</v>
      </c>
      <c r="P572" t="n">
        <v>0</v>
      </c>
      <c r="Q572" t="n">
        <v>0</v>
      </c>
      <c r="R572" t="inlineStr">
        <is>
          <t>OK</t>
        </is>
      </c>
    </row>
    <row r="573">
      <c r="A573" t="inlineStr">
        <is>
          <t>MARMIKI16T10</t>
        </is>
      </c>
      <c r="B573" t="inlineStr">
        <is>
          <t>MAR ORIGINAL KIDS</t>
        </is>
      </c>
      <c r="C573" t="inlineStr">
        <is>
          <t>Manufactura / Kids / P. Superiores</t>
        </is>
      </c>
      <c r="D573" t="n">
        <v>1691.98203203</v>
      </c>
      <c r="E573" t="n">
        <v>0.000414252310955585</v>
      </c>
      <c r="F573" t="n">
        <v>0.7434083335577469</v>
      </c>
      <c r="G573" t="inlineStr">
        <is>
          <t>A</t>
        </is>
      </c>
      <c r="H573" t="n">
        <v>21</v>
      </c>
      <c r="I573" t="n">
        <v>3.168013332000001</v>
      </c>
      <c r="J573" t="n">
        <v>66.52827997200001</v>
      </c>
      <c r="K573" t="n">
        <v>4.4</v>
      </c>
      <c r="L573" t="n">
        <v>4.772727272727272</v>
      </c>
      <c r="M573" t="n">
        <v>2</v>
      </c>
      <c r="N573" t="n">
        <v>8.800000000000001</v>
      </c>
      <c r="O573" t="n">
        <v>12.2</v>
      </c>
      <c r="P573" t="n">
        <v>38.64976265040001</v>
      </c>
      <c r="Q573" t="n">
        <v>0.580952380952381</v>
      </c>
      <c r="R573" t="inlineStr">
        <is>
          <t>Sobrestock crítico</t>
        </is>
      </c>
    </row>
    <row r="574">
      <c r="A574" t="inlineStr">
        <is>
          <t>CLAMICA30TM</t>
        </is>
      </c>
      <c r="B574" t="inlineStr">
        <is>
          <t>CLASICA ORIGINAL CAB</t>
        </is>
      </c>
      <c r="C574" t="inlineStr">
        <is>
          <t>Manufactura / Caballero / P. Superiores</t>
        </is>
      </c>
      <c r="D574" t="n">
        <v>1689.36987553</v>
      </c>
      <c r="E574" t="n">
        <v>0.0004136127699638852</v>
      </c>
      <c r="F574" t="n">
        <v>0.7438219463277109</v>
      </c>
      <c r="G574" t="inlineStr">
        <is>
          <t>A</t>
        </is>
      </c>
      <c r="H574" t="n">
        <v>0</v>
      </c>
      <c r="I574" t="n">
        <v>4.598442536</v>
      </c>
      <c r="J574" t="n">
        <v>0</v>
      </c>
      <c r="K574" t="n">
        <v>5.6</v>
      </c>
      <c r="L574" t="n">
        <v>0</v>
      </c>
      <c r="M574" t="n">
        <v>2</v>
      </c>
      <c r="N574" t="n">
        <v>11.2</v>
      </c>
      <c r="O574" t="n">
        <v>0</v>
      </c>
      <c r="P574" t="n">
        <v>0</v>
      </c>
      <c r="Q574" t="n">
        <v>0</v>
      </c>
      <c r="R574" t="inlineStr">
        <is>
          <t>Riesgo bajo stock</t>
        </is>
      </c>
    </row>
    <row r="575">
      <c r="A575" t="inlineStr">
        <is>
          <t>BAN62EQ</t>
        </is>
      </c>
      <c r="B575" t="inlineStr">
        <is>
          <t>CUADRO BAND</t>
        </is>
      </c>
      <c r="C575" t="inlineStr">
        <is>
          <t>Equipamiento / Accesorios</t>
        </is>
      </c>
      <c r="D575" t="n">
        <v>1687.397329661729</v>
      </c>
      <c r="E575" t="n">
        <v>0.0004131298264875784</v>
      </c>
      <c r="F575" t="n">
        <v>0.7442350761541985</v>
      </c>
      <c r="G575" t="inlineStr">
        <is>
          <t>A</t>
        </is>
      </c>
      <c r="H575" t="n">
        <v>3197</v>
      </c>
      <c r="I575" t="n">
        <v>0.3159183673</v>
      </c>
      <c r="J575" t="n">
        <v>1009.9910202581</v>
      </c>
      <c r="K575" t="n">
        <v>60</v>
      </c>
      <c r="L575" t="n">
        <v>53.28333333333333</v>
      </c>
      <c r="M575" t="n">
        <v>2</v>
      </c>
      <c r="N575" t="n">
        <v>120</v>
      </c>
      <c r="O575" t="n">
        <v>3077</v>
      </c>
      <c r="P575" t="n">
        <v>972.0808161821</v>
      </c>
      <c r="Q575" t="n">
        <v>0.9624648107600876</v>
      </c>
      <c r="R575" t="inlineStr">
        <is>
          <t>Sobrestock crítico</t>
        </is>
      </c>
    </row>
    <row r="576">
      <c r="A576" t="inlineStr">
        <is>
          <t>SHOSUKI153T14</t>
        </is>
      </c>
      <c r="B576" t="inlineStr">
        <is>
          <t>SHORT PLAYA ESTAMPADO KIDS</t>
        </is>
      </c>
      <c r="C576" t="inlineStr">
        <is>
          <t>Manufactura / Kids / P. Superiores</t>
        </is>
      </c>
      <c r="D576" t="n">
        <v>1685.29388293</v>
      </c>
      <c r="E576" t="n">
        <v>0.0004126148342163277</v>
      </c>
      <c r="F576" t="n">
        <v>0.7446476909884148</v>
      </c>
      <c r="G576" t="inlineStr">
        <is>
          <t>A</t>
        </is>
      </c>
      <c r="H576" t="n">
        <v>6</v>
      </c>
      <c r="I576" t="n">
        <v>7.21</v>
      </c>
      <c r="J576" t="n">
        <v>43.26</v>
      </c>
      <c r="K576" t="n">
        <v>3.7</v>
      </c>
      <c r="L576" t="n">
        <v>1.621621621621621</v>
      </c>
      <c r="M576" t="n">
        <v>2</v>
      </c>
      <c r="N576" t="n">
        <v>7.4</v>
      </c>
      <c r="O576" t="n">
        <v>0</v>
      </c>
      <c r="P576" t="n">
        <v>0</v>
      </c>
      <c r="Q576" t="n">
        <v>0</v>
      </c>
      <c r="R576" t="inlineStr">
        <is>
          <t>OK</t>
        </is>
      </c>
    </row>
    <row r="577">
      <c r="A577" t="inlineStr">
        <is>
          <t>DAYCSTCA66TL</t>
        </is>
      </c>
      <c r="B577" t="inlineStr">
        <is>
          <t>CLASICA DAILY 3.0 CAB</t>
        </is>
      </c>
      <c r="C577" t="inlineStr">
        <is>
          <t>Manufactura / Caballero / P. Superiores</t>
        </is>
      </c>
      <c r="D577" t="n">
        <v>1684.75199577</v>
      </c>
      <c r="E577" t="n">
        <v>0.0004124821625897632</v>
      </c>
      <c r="F577" t="n">
        <v>0.7450601731510045</v>
      </c>
      <c r="G577" t="inlineStr">
        <is>
          <t>A</t>
        </is>
      </c>
      <c r="H577" t="n">
        <v>6</v>
      </c>
      <c r="I577" t="n">
        <v>11.76035097</v>
      </c>
      <c r="J577" t="n">
        <v>70.56210582</v>
      </c>
      <c r="K577" t="n">
        <v>4.4</v>
      </c>
      <c r="L577" t="n">
        <v>1.363636363636364</v>
      </c>
      <c r="M577" t="n">
        <v>2</v>
      </c>
      <c r="N577" t="n">
        <v>8.800000000000001</v>
      </c>
      <c r="O577" t="n">
        <v>0</v>
      </c>
      <c r="P577" t="n">
        <v>0</v>
      </c>
      <c r="Q577" t="n">
        <v>0</v>
      </c>
      <c r="R577" t="inlineStr">
        <is>
          <t>OK</t>
        </is>
      </c>
    </row>
    <row r="578">
      <c r="A578" t="inlineStr">
        <is>
          <t>RIOMIDA16TXL</t>
        </is>
      </c>
      <c r="B578" t="inlineStr">
        <is>
          <t>RIO ORIGINAL DAMA</t>
        </is>
      </c>
      <c r="C578" t="inlineStr">
        <is>
          <t>Manufactura / Dama / P. Superiores</t>
        </is>
      </c>
      <c r="D578" t="n">
        <v>1681.37118432</v>
      </c>
      <c r="E578" t="n">
        <v>0.0004116544298304577</v>
      </c>
      <c r="F578" t="n">
        <v>0.745471827580835</v>
      </c>
      <c r="G578" t="inlineStr">
        <is>
          <t>A</t>
        </is>
      </c>
      <c r="H578" t="n">
        <v>29</v>
      </c>
      <c r="I578" t="n">
        <v>5.538832275</v>
      </c>
      <c r="J578" t="n">
        <v>160.626135975</v>
      </c>
      <c r="K578" t="n">
        <v>3.1</v>
      </c>
      <c r="L578" t="n">
        <v>9.35483870967742</v>
      </c>
      <c r="M578" t="n">
        <v>2</v>
      </c>
      <c r="N578" t="n">
        <v>6.2</v>
      </c>
      <c r="O578" t="n">
        <v>22.8</v>
      </c>
      <c r="P578" t="n">
        <v>126.28537587</v>
      </c>
      <c r="Q578" t="n">
        <v>0.7862068965517242</v>
      </c>
      <c r="R578" t="inlineStr">
        <is>
          <t>Sobrestock crítico</t>
        </is>
      </c>
    </row>
    <row r="579">
      <c r="A579" t="inlineStr">
        <is>
          <t>JACDA66TL</t>
        </is>
      </c>
      <c r="B579" t="inlineStr">
        <is>
          <t>JACKET DAMA</t>
        </is>
      </c>
      <c r="C579" t="inlineStr">
        <is>
          <t>Equipamiento / Ropa</t>
        </is>
      </c>
      <c r="D579" t="n">
        <v>1676.66561309</v>
      </c>
      <c r="E579" t="n">
        <v>0.0004105023527282825</v>
      </c>
      <c r="F579" t="n">
        <v>0.7458823299335631</v>
      </c>
      <c r="G579" t="inlineStr">
        <is>
          <t>A</t>
        </is>
      </c>
      <c r="H579" t="n">
        <v>55</v>
      </c>
      <c r="I579" t="n">
        <v>20.25</v>
      </c>
      <c r="J579" t="n">
        <v>1113.75</v>
      </c>
      <c r="K579" t="n">
        <v>2.9</v>
      </c>
      <c r="L579" t="n">
        <v>18.96551724137931</v>
      </c>
      <c r="M579" t="n">
        <v>2</v>
      </c>
      <c r="N579" t="n">
        <v>5.8</v>
      </c>
      <c r="O579" t="n">
        <v>49.2</v>
      </c>
      <c r="P579" t="n">
        <v>996.3000000000001</v>
      </c>
      <c r="Q579" t="n">
        <v>0.8945454545454546</v>
      </c>
      <c r="R579" t="inlineStr">
        <is>
          <t>Sobrestock crítico</t>
        </is>
      </c>
    </row>
    <row r="580">
      <c r="A580" t="inlineStr">
        <is>
          <t>CLAMICA43T2XL</t>
        </is>
      </c>
      <c r="B580" t="inlineStr">
        <is>
          <t>CLASICA ORIGINAL CAB</t>
        </is>
      </c>
      <c r="C580" t="inlineStr">
        <is>
          <t>Manufactura / Caballero / P. Superiores</t>
        </is>
      </c>
      <c r="D580" t="n">
        <v>1666.45290496</v>
      </c>
      <c r="E580" t="n">
        <v>0.0004080019491401359</v>
      </c>
      <c r="F580" t="n">
        <v>0.7462903318827033</v>
      </c>
      <c r="G580" t="inlineStr">
        <is>
          <t>A</t>
        </is>
      </c>
      <c r="H580" t="n">
        <v>26</v>
      </c>
      <c r="I580" t="n">
        <v>4.598442536</v>
      </c>
      <c r="J580" t="n">
        <v>119.559505936</v>
      </c>
      <c r="K580" t="n">
        <v>4.2</v>
      </c>
      <c r="L580" t="n">
        <v>6.19047619047619</v>
      </c>
      <c r="M580" t="n">
        <v>2</v>
      </c>
      <c r="N580" t="n">
        <v>8.4</v>
      </c>
      <c r="O580" t="n">
        <v>17.6</v>
      </c>
      <c r="P580" t="n">
        <v>80.93258863360001</v>
      </c>
      <c r="Q580" t="n">
        <v>0.676923076923077</v>
      </c>
      <c r="R580" t="inlineStr">
        <is>
          <t>Sobrestock crítico</t>
        </is>
      </c>
    </row>
    <row r="581">
      <c r="A581" t="inlineStr">
        <is>
          <t>JACCA14T2XL</t>
        </is>
      </c>
      <c r="B581" t="inlineStr">
        <is>
          <t>JACKET CAB</t>
        </is>
      </c>
      <c r="C581" t="inlineStr">
        <is>
          <t>Equipamiento / Ropa</t>
        </is>
      </c>
      <c r="D581" t="n">
        <v>1652.98734945</v>
      </c>
      <c r="E581" t="n">
        <v>0.0004047051425649351</v>
      </c>
      <c r="F581" t="n">
        <v>0.7466950370252682</v>
      </c>
      <c r="G581" t="inlineStr">
        <is>
          <t>A</t>
        </is>
      </c>
      <c r="H581" t="n">
        <v>105</v>
      </c>
      <c r="I581" t="n">
        <v>20.25001933</v>
      </c>
      <c r="J581" t="n">
        <v>2126.25202965</v>
      </c>
      <c r="K581" t="n">
        <v>2.5</v>
      </c>
      <c r="L581" t="n">
        <v>42</v>
      </c>
      <c r="M581" t="n">
        <v>2</v>
      </c>
      <c r="N581" t="n">
        <v>5</v>
      </c>
      <c r="O581" t="n">
        <v>100</v>
      </c>
      <c r="P581" t="n">
        <v>2025.001933</v>
      </c>
      <c r="Q581" t="n">
        <v>0.9523809523809523</v>
      </c>
      <c r="R581" t="inlineStr">
        <is>
          <t>Sobrestock crítico</t>
        </is>
      </c>
    </row>
    <row r="582">
      <c r="A582" t="inlineStr">
        <is>
          <t>MARMIDA01TXS</t>
        </is>
      </c>
      <c r="B582" t="inlineStr">
        <is>
          <t>MAR ORIGINAL DAMA</t>
        </is>
      </c>
      <c r="C582" t="inlineStr">
        <is>
          <t>Manufactura / Dama / P. Superiores</t>
        </is>
      </c>
      <c r="D582" t="n">
        <v>1649.45166684</v>
      </c>
      <c r="E582" t="n">
        <v>0.0004038394923013558</v>
      </c>
      <c r="F582" t="n">
        <v>0.7470988765175696</v>
      </c>
      <c r="G582" t="inlineStr">
        <is>
          <t>A</t>
        </is>
      </c>
      <c r="H582" t="n">
        <v>18</v>
      </c>
      <c r="I582" t="n">
        <v>4.278324149</v>
      </c>
      <c r="J582" t="n">
        <v>77.009834682</v>
      </c>
      <c r="K582" t="n">
        <v>3.9</v>
      </c>
      <c r="L582" t="n">
        <v>4.615384615384616</v>
      </c>
      <c r="M582" t="n">
        <v>2</v>
      </c>
      <c r="N582" t="n">
        <v>7.8</v>
      </c>
      <c r="O582" t="n">
        <v>10.2</v>
      </c>
      <c r="P582" t="n">
        <v>43.6389063198</v>
      </c>
      <c r="Q582" t="n">
        <v>0.5666666666666667</v>
      </c>
      <c r="R582" t="inlineStr">
        <is>
          <t>Sobrestock crítico</t>
        </is>
      </c>
    </row>
    <row r="583">
      <c r="A583" t="inlineStr">
        <is>
          <t>SHOSUCA155TS</t>
        </is>
      </c>
      <c r="B583" t="inlineStr">
        <is>
          <t>SHORT PLAYA ESTAMPADO CAB</t>
        </is>
      </c>
      <c r="C583" t="inlineStr">
        <is>
          <t>Manufactura / Caballero / P. Inferiores</t>
        </is>
      </c>
      <c r="D583" t="n">
        <v>1644.26777835</v>
      </c>
      <c r="E583" t="n">
        <v>0.0004025703075546703</v>
      </c>
      <c r="F583" t="n">
        <v>0.7475014468251243</v>
      </c>
      <c r="G583" t="inlineStr">
        <is>
          <t>A</t>
        </is>
      </c>
      <c r="H583" t="n">
        <v>18</v>
      </c>
      <c r="I583" t="n">
        <v>12.11</v>
      </c>
      <c r="J583" t="n">
        <v>217.98</v>
      </c>
      <c r="K583" t="n">
        <v>3</v>
      </c>
      <c r="L583" t="n">
        <v>6</v>
      </c>
      <c r="M583" t="n">
        <v>2</v>
      </c>
      <c r="N583" t="n">
        <v>6</v>
      </c>
      <c r="O583" t="n">
        <v>12</v>
      </c>
      <c r="P583" t="n">
        <v>145.32</v>
      </c>
      <c r="Q583" t="n">
        <v>0.6666666666666666</v>
      </c>
      <c r="R583" t="inlineStr">
        <is>
          <t>Sobrestock crítico</t>
        </is>
      </c>
    </row>
    <row r="584">
      <c r="A584" t="inlineStr">
        <is>
          <t>MARMICA50TS</t>
        </is>
      </c>
      <c r="B584" t="inlineStr">
        <is>
          <t>MAR ORIGINAL CAB</t>
        </is>
      </c>
      <c r="C584" t="inlineStr">
        <is>
          <t>Manufactura / Caballero / P. Superiores</t>
        </is>
      </c>
      <c r="D584" t="n">
        <v>1643.61291212</v>
      </c>
      <c r="E584" t="n">
        <v>0.0004024099749719307</v>
      </c>
      <c r="F584" t="n">
        <v>0.7479038568000962</v>
      </c>
      <c r="G584" t="inlineStr">
        <is>
          <t>A</t>
        </is>
      </c>
      <c r="H584" t="n">
        <v>73</v>
      </c>
      <c r="I584" t="n">
        <v>4.946357428</v>
      </c>
      <c r="J584" t="n">
        <v>361.084092244</v>
      </c>
      <c r="K584" t="n">
        <v>3.5</v>
      </c>
      <c r="L584" t="n">
        <v>20.85714285714286</v>
      </c>
      <c r="M584" t="n">
        <v>2</v>
      </c>
      <c r="N584" t="n">
        <v>7</v>
      </c>
      <c r="O584" t="n">
        <v>66</v>
      </c>
      <c r="P584" t="n">
        <v>326.459590248</v>
      </c>
      <c r="Q584" t="n">
        <v>0.904109589041096</v>
      </c>
      <c r="R584" t="inlineStr">
        <is>
          <t>Sobrestock crítico</t>
        </is>
      </c>
    </row>
    <row r="585">
      <c r="A585" t="inlineStr">
        <is>
          <t>MAFMIDA43TS</t>
        </is>
      </c>
      <c r="B585" t="inlineStr">
        <is>
          <t>MAFE ORIGINAL DAMA</t>
        </is>
      </c>
      <c r="C585" t="inlineStr">
        <is>
          <t>Manufactura / Dama / P. Superiores</t>
        </is>
      </c>
      <c r="D585" t="n">
        <v>1642.82821157</v>
      </c>
      <c r="E585" t="n">
        <v>0.0004022178547188241</v>
      </c>
      <c r="F585" t="n">
        <v>0.7483060746548149</v>
      </c>
      <c r="G585" t="inlineStr">
        <is>
          <t>A</t>
        </is>
      </c>
      <c r="H585" t="n">
        <v>51</v>
      </c>
      <c r="I585" t="n">
        <v>4.54817671</v>
      </c>
      <c r="J585" t="n">
        <v>231.95701221</v>
      </c>
      <c r="K585" t="n">
        <v>5.7</v>
      </c>
      <c r="L585" t="n">
        <v>8.947368421052632</v>
      </c>
      <c r="M585" t="n">
        <v>2</v>
      </c>
      <c r="N585" t="n">
        <v>11.4</v>
      </c>
      <c r="O585" t="n">
        <v>39.6</v>
      </c>
      <c r="P585" t="n">
        <v>180.107797716</v>
      </c>
      <c r="Q585" t="n">
        <v>0.7764705882352941</v>
      </c>
      <c r="R585" t="inlineStr">
        <is>
          <t>Sobrestock crítico</t>
        </is>
      </c>
    </row>
    <row r="586">
      <c r="A586" t="inlineStr">
        <is>
          <t>MARMIKI43T14</t>
        </is>
      </c>
      <c r="B586" t="inlineStr">
        <is>
          <t>MAR ORIGINAL KIDS</t>
        </is>
      </c>
      <c r="C586" t="inlineStr">
        <is>
          <t>Manufactura / Kids / P. Superiores</t>
        </is>
      </c>
      <c r="D586" t="n">
        <v>1642.4423743</v>
      </c>
      <c r="E586" t="n">
        <v>0.0004021233891880296</v>
      </c>
      <c r="F586" t="n">
        <v>0.748708198044003</v>
      </c>
      <c r="G586" t="inlineStr">
        <is>
          <t>A</t>
        </is>
      </c>
      <c r="H586" t="n">
        <v>20</v>
      </c>
      <c r="I586" t="n">
        <v>3.168013332</v>
      </c>
      <c r="J586" t="n">
        <v>63.36026664000001</v>
      </c>
      <c r="K586" t="n">
        <v>4.6</v>
      </c>
      <c r="L586" t="n">
        <v>4.347826086956522</v>
      </c>
      <c r="M586" t="n">
        <v>2</v>
      </c>
      <c r="N586" t="n">
        <v>9.199999999999999</v>
      </c>
      <c r="O586" t="n">
        <v>10.8</v>
      </c>
      <c r="P586" t="n">
        <v>34.2145439856</v>
      </c>
      <c r="Q586" t="n">
        <v>0.54</v>
      </c>
      <c r="R586" t="inlineStr">
        <is>
          <t>Sobrestock crítico</t>
        </is>
      </c>
    </row>
    <row r="587">
      <c r="A587" t="inlineStr">
        <is>
          <t>MAFMIDA16TS</t>
        </is>
      </c>
      <c r="B587" t="inlineStr">
        <is>
          <t>MAFE ORIGINAL DAMA</t>
        </is>
      </c>
      <c r="C587" t="inlineStr">
        <is>
          <t>Manufactura / Dama / P. Superiores</t>
        </is>
      </c>
      <c r="D587" t="n">
        <v>1641.60876892</v>
      </c>
      <c r="E587" t="n">
        <v>0.0004019192954396606</v>
      </c>
      <c r="F587" t="n">
        <v>0.7491101173394427</v>
      </c>
      <c r="G587" t="inlineStr">
        <is>
          <t>A</t>
        </is>
      </c>
      <c r="H587" t="n">
        <v>17</v>
      </c>
      <c r="I587" t="n">
        <v>4.54817671</v>
      </c>
      <c r="J587" t="n">
        <v>77.31900407000001</v>
      </c>
      <c r="K587" t="n">
        <v>6.5</v>
      </c>
      <c r="L587" t="n">
        <v>2.615384615384615</v>
      </c>
      <c r="M587" t="n">
        <v>2</v>
      </c>
      <c r="N587" t="n">
        <v>13</v>
      </c>
      <c r="O587" t="n">
        <v>4</v>
      </c>
      <c r="P587" t="n">
        <v>18.19270684</v>
      </c>
      <c r="Q587" t="n">
        <v>0.2352941176470588</v>
      </c>
      <c r="R587" t="inlineStr">
        <is>
          <t>Sobrestock</t>
        </is>
      </c>
    </row>
    <row r="588">
      <c r="A588" t="inlineStr">
        <is>
          <t>CLAMIDA43TM</t>
        </is>
      </c>
      <c r="B588" t="inlineStr">
        <is>
          <t>CLASICA ORIGINAL DAMA</t>
        </is>
      </c>
      <c r="C588" t="inlineStr">
        <is>
          <t>Manufactura / Dama / P. Superiores</t>
        </is>
      </c>
      <c r="D588" t="n">
        <v>1640.44548963</v>
      </c>
      <c r="E588" t="n">
        <v>0.000401634486780321</v>
      </c>
      <c r="F588" t="n">
        <v>0.749511751826223</v>
      </c>
      <c r="G588" t="inlineStr">
        <is>
          <t>A</t>
        </is>
      </c>
      <c r="H588" t="n">
        <v>21</v>
      </c>
      <c r="I588" t="n">
        <v>3.923227589</v>
      </c>
      <c r="J588" t="n">
        <v>82.387779369</v>
      </c>
      <c r="K588" t="n">
        <v>9.9</v>
      </c>
      <c r="L588" t="n">
        <v>2.121212121212121</v>
      </c>
      <c r="M588" t="n">
        <v>2</v>
      </c>
      <c r="N588" t="n">
        <v>19.8</v>
      </c>
      <c r="O588" t="n">
        <v>1.199999999999999</v>
      </c>
      <c r="P588" t="n">
        <v>4.707873106799997</v>
      </c>
      <c r="Q588" t="n">
        <v>0.05714285714285711</v>
      </c>
      <c r="R588" t="inlineStr">
        <is>
          <t>Sobrestock</t>
        </is>
      </c>
    </row>
    <row r="589">
      <c r="A589" t="inlineStr">
        <is>
          <t>MARMIKI12T6</t>
        </is>
      </c>
      <c r="B589" t="inlineStr">
        <is>
          <t>MAR ORIGINAL KIDS</t>
        </is>
      </c>
      <c r="C589" t="inlineStr">
        <is>
          <t>Manufactura / Kids / P. Superiores</t>
        </is>
      </c>
      <c r="D589" t="n">
        <v>1636.15215966</v>
      </c>
      <c r="E589" t="n">
        <v>0.000400583339765696</v>
      </c>
      <c r="F589" t="n">
        <v>0.7499123351659885</v>
      </c>
      <c r="G589" t="inlineStr">
        <is>
          <t>A</t>
        </is>
      </c>
      <c r="H589" t="n">
        <v>10</v>
      </c>
      <c r="I589" t="n">
        <v>3.168013332000001</v>
      </c>
      <c r="J589" t="n">
        <v>31.68013332000001</v>
      </c>
      <c r="K589" t="n">
        <v>4.5</v>
      </c>
      <c r="L589" t="n">
        <v>2.222222222222222</v>
      </c>
      <c r="M589" t="n">
        <v>2</v>
      </c>
      <c r="N589" t="n">
        <v>9</v>
      </c>
      <c r="O589" t="n">
        <v>1</v>
      </c>
      <c r="P589" t="n">
        <v>3.168013332000001</v>
      </c>
      <c r="Q589" t="n">
        <v>0.09999999999999999</v>
      </c>
      <c r="R589" t="inlineStr">
        <is>
          <t>Sobrestock</t>
        </is>
      </c>
    </row>
    <row r="590">
      <c r="A590" t="inlineStr">
        <is>
          <t>JAPKI35T10</t>
        </is>
      </c>
      <c r="B590" t="inlineStr">
        <is>
          <t>CUADRO JACKET 2.0 KIDS</t>
        </is>
      </c>
      <c r="C590" t="inlineStr">
        <is>
          <t>Equipamiento / Ropa</t>
        </is>
      </c>
      <c r="D590" t="n">
        <v>1634.38198943</v>
      </c>
      <c r="E590" t="n">
        <v>0.0004001499444372111</v>
      </c>
      <c r="F590" t="n">
        <v>0.7503124851104258</v>
      </c>
      <c r="G590" t="inlineStr">
        <is>
          <t>A</t>
        </is>
      </c>
      <c r="H590" t="n">
        <v>93</v>
      </c>
      <c r="I590" t="n">
        <v>15.17</v>
      </c>
      <c r="J590" t="n">
        <v>1410.81</v>
      </c>
      <c r="K590" t="n">
        <v>2.5</v>
      </c>
      <c r="L590" t="n">
        <v>37.2</v>
      </c>
      <c r="M590" t="n">
        <v>2</v>
      </c>
      <c r="N590" t="n">
        <v>5</v>
      </c>
      <c r="O590" t="n">
        <v>88</v>
      </c>
      <c r="P590" t="n">
        <v>1334.96</v>
      </c>
      <c r="Q590" t="n">
        <v>0.946236559139785</v>
      </c>
      <c r="R590" t="inlineStr">
        <is>
          <t>Sobrestock crítico</t>
        </is>
      </c>
    </row>
    <row r="591">
      <c r="A591" t="inlineStr">
        <is>
          <t>BAN43EQ</t>
        </is>
      </c>
      <c r="B591" t="inlineStr">
        <is>
          <t>CUADRO BAND</t>
        </is>
      </c>
      <c r="C591" t="inlineStr">
        <is>
          <t>Equipamiento / Accesorios</t>
        </is>
      </c>
      <c r="D591" t="n">
        <v>1632.312823535</v>
      </c>
      <c r="E591" t="n">
        <v>0.000399643345231352</v>
      </c>
      <c r="F591" t="n">
        <v>0.7507121284556572</v>
      </c>
      <c r="G591" t="inlineStr">
        <is>
          <t>A</t>
        </is>
      </c>
      <c r="H591" t="n">
        <v>4284</v>
      </c>
      <c r="I591" t="n">
        <v>0.3159183673</v>
      </c>
      <c r="J591" t="n">
        <v>1353.3942855132</v>
      </c>
      <c r="K591" t="n">
        <v>110.1</v>
      </c>
      <c r="L591" t="n">
        <v>38.91008174386921</v>
      </c>
      <c r="M591" t="n">
        <v>2</v>
      </c>
      <c r="N591" t="n">
        <v>220.2</v>
      </c>
      <c r="O591" t="n">
        <v>4063.8</v>
      </c>
      <c r="P591" t="n">
        <v>1283.82906103374</v>
      </c>
      <c r="Q591" t="n">
        <v>0.9485994397759104</v>
      </c>
      <c r="R591" t="inlineStr">
        <is>
          <t>Sobrestock crítico</t>
        </is>
      </c>
    </row>
    <row r="592">
      <c r="A592" t="inlineStr">
        <is>
          <t>SHOUNCA38TL</t>
        </is>
      </c>
      <c r="B592" t="inlineStr">
        <is>
          <t>SHORT PLAYA CAB</t>
        </is>
      </c>
      <c r="C592" t="inlineStr">
        <is>
          <t>Manufactura / Caballero / P. Inferiores</t>
        </is>
      </c>
      <c r="D592" t="n">
        <v>1631.92754345</v>
      </c>
      <c r="E592" t="n">
        <v>0.0003995490161175937</v>
      </c>
      <c r="F592" t="n">
        <v>0.7511116774717748</v>
      </c>
      <c r="G592" t="inlineStr">
        <is>
          <t>A</t>
        </is>
      </c>
      <c r="H592" t="n">
        <v>22</v>
      </c>
      <c r="I592" t="n">
        <v>9.99</v>
      </c>
      <c r="J592" t="n">
        <v>219.78</v>
      </c>
      <c r="K592" t="n">
        <v>3.5</v>
      </c>
      <c r="L592" t="n">
        <v>6.285714285714286</v>
      </c>
      <c r="M592" t="n">
        <v>2</v>
      </c>
      <c r="N592" t="n">
        <v>7</v>
      </c>
      <c r="O592" t="n">
        <v>15</v>
      </c>
      <c r="P592" t="n">
        <v>149.85</v>
      </c>
      <c r="Q592" t="n">
        <v>0.6818181818181818</v>
      </c>
      <c r="R592" t="inlineStr">
        <is>
          <t>Sobrestock crítico</t>
        </is>
      </c>
    </row>
    <row r="593">
      <c r="A593" t="inlineStr">
        <is>
          <t>MIKFNDA16TS</t>
        </is>
      </c>
      <c r="B593" t="inlineStr">
        <is>
          <t>MIKA SPORT LITE DAMA</t>
        </is>
      </c>
      <c r="C593" t="inlineStr">
        <is>
          <t>Manufactura / Dama / P. Superiores</t>
        </is>
      </c>
      <c r="D593" t="n">
        <v>1631.62613455</v>
      </c>
      <c r="E593" t="n">
        <v>0.0003994752214016901</v>
      </c>
      <c r="F593" t="n">
        <v>0.7515111526931765</v>
      </c>
      <c r="G593" t="inlineStr">
        <is>
          <t>A</t>
        </is>
      </c>
      <c r="H593" t="n">
        <v>3</v>
      </c>
      <c r="I593" t="n">
        <v>5.484675344</v>
      </c>
      <c r="J593" t="n">
        <v>16.454026032</v>
      </c>
      <c r="K593" t="n">
        <v>5.3</v>
      </c>
      <c r="L593" t="n">
        <v>0.5660377358490566</v>
      </c>
      <c r="M593" t="n">
        <v>2</v>
      </c>
      <c r="N593" t="n">
        <v>10.6</v>
      </c>
      <c r="O593" t="n">
        <v>0</v>
      </c>
      <c r="P593" t="n">
        <v>0</v>
      </c>
      <c r="Q593" t="n">
        <v>0</v>
      </c>
      <c r="R593" t="inlineStr">
        <is>
          <t>Riesgo bajo stock</t>
        </is>
      </c>
    </row>
    <row r="594">
      <c r="A594" t="inlineStr">
        <is>
          <t>SHUNTDA43TM</t>
        </is>
      </c>
      <c r="B594" t="inlineStr">
        <is>
          <t>SHORT SPORT R1 DAMA</t>
        </is>
      </c>
      <c r="C594" t="inlineStr">
        <is>
          <t>Manufactura / Dama / P. Inferiores</t>
        </is>
      </c>
      <c r="D594" t="n">
        <v>1625.20689878</v>
      </c>
      <c r="E594" t="n">
        <v>0.0003979035834043877</v>
      </c>
      <c r="F594" t="n">
        <v>0.7519090562765809</v>
      </c>
      <c r="G594" t="inlineStr">
        <is>
          <t>A</t>
        </is>
      </c>
      <c r="H594" t="n">
        <v>43</v>
      </c>
      <c r="I594" t="n">
        <v>8.33</v>
      </c>
      <c r="J594" t="n">
        <v>358.19</v>
      </c>
      <c r="K594" t="n">
        <v>3.6</v>
      </c>
      <c r="L594" t="n">
        <v>11.94444444444444</v>
      </c>
      <c r="M594" t="n">
        <v>2</v>
      </c>
      <c r="N594" t="n">
        <v>7.2</v>
      </c>
      <c r="O594" t="n">
        <v>35.8</v>
      </c>
      <c r="P594" t="n">
        <v>298.214</v>
      </c>
      <c r="Q594" t="n">
        <v>0.8325581395348837</v>
      </c>
      <c r="R594" t="inlineStr">
        <is>
          <t>Sobrestock crítico</t>
        </is>
      </c>
    </row>
    <row r="595">
      <c r="A595" t="inlineStr">
        <is>
          <t>POLPLCA33TM</t>
        </is>
      </c>
      <c r="B595" t="inlineStr">
        <is>
          <t>CLASSIC POLO</t>
        </is>
      </c>
      <c r="C595" t="inlineStr">
        <is>
          <t>Manufactura / Caballero / P. Superiores</t>
        </is>
      </c>
      <c r="D595" t="n">
        <v>1624.14552763</v>
      </c>
      <c r="E595" t="n">
        <v>0.0003976437251769682</v>
      </c>
      <c r="F595" t="n">
        <v>0.7523067000017578</v>
      </c>
      <c r="G595" t="inlineStr">
        <is>
          <t>A</t>
        </is>
      </c>
      <c r="H595" t="n">
        <v>61</v>
      </c>
      <c r="I595" t="n">
        <v>7.34</v>
      </c>
      <c r="J595" t="n">
        <v>447.74</v>
      </c>
      <c r="K595" t="n">
        <v>3.9</v>
      </c>
      <c r="L595" t="n">
        <v>15.64102564102564</v>
      </c>
      <c r="M595" t="n">
        <v>2</v>
      </c>
      <c r="N595" t="n">
        <v>7.8</v>
      </c>
      <c r="O595" t="n">
        <v>53.2</v>
      </c>
      <c r="P595" t="n">
        <v>390.488</v>
      </c>
      <c r="Q595" t="n">
        <v>0.8721311475409836</v>
      </c>
      <c r="R595" t="inlineStr">
        <is>
          <t>Sobrestock crítico</t>
        </is>
      </c>
    </row>
    <row r="596">
      <c r="A596" t="inlineStr">
        <is>
          <t>RIOMIKI43T12</t>
        </is>
      </c>
      <c r="B596" t="inlineStr">
        <is>
          <t>RIO ORIGINAL KIDS</t>
        </is>
      </c>
      <c r="C596" t="inlineStr">
        <is>
          <t>Manufactura / Kids / P. Superiores</t>
        </is>
      </c>
      <c r="D596" t="n">
        <v>1623.55570211</v>
      </c>
      <c r="E596" t="n">
        <v>0.0003974993166784764</v>
      </c>
      <c r="F596" t="n">
        <v>0.7527041993184364</v>
      </c>
      <c r="G596" t="inlineStr">
        <is>
          <t>A</t>
        </is>
      </c>
      <c r="H596" t="n">
        <v>96</v>
      </c>
      <c r="I596" t="n">
        <v>3.617969464</v>
      </c>
      <c r="J596" t="n">
        <v>347.325068544</v>
      </c>
      <c r="K596" t="n">
        <v>3.7</v>
      </c>
      <c r="L596" t="n">
        <v>25.94594594594594</v>
      </c>
      <c r="M596" t="n">
        <v>2</v>
      </c>
      <c r="N596" t="n">
        <v>7.4</v>
      </c>
      <c r="O596" t="n">
        <v>88.59999999999999</v>
      </c>
      <c r="P596" t="n">
        <v>320.5520945104</v>
      </c>
      <c r="Q596" t="n">
        <v>0.9229166666666665</v>
      </c>
      <c r="R596" t="inlineStr">
        <is>
          <t>Sobrestock crítico</t>
        </is>
      </c>
    </row>
    <row r="597">
      <c r="A597" t="inlineStr">
        <is>
          <t>PANNTDA31TXL</t>
        </is>
      </c>
      <c r="B597" t="inlineStr">
        <is>
          <t>EXPLORE PANTS DAMA</t>
        </is>
      </c>
      <c r="C597" t="inlineStr">
        <is>
          <t>Manufactura / Dama / P. Inferiores</t>
        </is>
      </c>
      <c r="D597" t="n">
        <v>1622.41401747</v>
      </c>
      <c r="E597" t="n">
        <v>0.0003972197950928156</v>
      </c>
      <c r="F597" t="n">
        <v>0.7531014191135291</v>
      </c>
      <c r="G597" t="inlineStr">
        <is>
          <t>A</t>
        </is>
      </c>
      <c r="H597" t="n">
        <v>0</v>
      </c>
      <c r="I597" t="n">
        <v>15.3928899</v>
      </c>
      <c r="J597" t="n">
        <v>0</v>
      </c>
      <c r="K597" t="n">
        <v>2.2</v>
      </c>
      <c r="L597" t="n">
        <v>0</v>
      </c>
      <c r="M597" t="n">
        <v>2</v>
      </c>
      <c r="N597" t="n">
        <v>4.4</v>
      </c>
      <c r="O597" t="n">
        <v>0</v>
      </c>
      <c r="P597" t="n">
        <v>0</v>
      </c>
      <c r="Q597" t="n">
        <v>0</v>
      </c>
      <c r="R597" t="inlineStr">
        <is>
          <t>Riesgo bajo stock</t>
        </is>
      </c>
    </row>
    <row r="598">
      <c r="A598" t="inlineStr">
        <is>
          <t>DAYCSTCA43TS</t>
        </is>
      </c>
      <c r="B598" t="inlineStr">
        <is>
          <t>CLASICA DAILY 3.0 CAB</t>
        </is>
      </c>
      <c r="C598" t="inlineStr">
        <is>
          <t>Manufactura / Caballero / P. Superiores</t>
        </is>
      </c>
      <c r="D598" t="n">
        <v>1620.75619354</v>
      </c>
      <c r="E598" t="n">
        <v>0.0003968139057977998</v>
      </c>
      <c r="F598" t="n">
        <v>0.7534982330193269</v>
      </c>
      <c r="G598" t="inlineStr">
        <is>
          <t>A</t>
        </is>
      </c>
      <c r="H598" t="n">
        <v>12</v>
      </c>
      <c r="I598" t="n">
        <v>11.76035097</v>
      </c>
      <c r="J598" t="n">
        <v>141.12421164</v>
      </c>
      <c r="K598" t="n">
        <v>4.1</v>
      </c>
      <c r="L598" t="n">
        <v>2.926829268292683</v>
      </c>
      <c r="M598" t="n">
        <v>2</v>
      </c>
      <c r="N598" t="n">
        <v>8.199999999999999</v>
      </c>
      <c r="O598" t="n">
        <v>3.800000000000001</v>
      </c>
      <c r="P598" t="n">
        <v>44.689333686</v>
      </c>
      <c r="Q598" t="n">
        <v>0.3166666666666667</v>
      </c>
      <c r="R598" t="inlineStr">
        <is>
          <t>Sobrestock crítico</t>
        </is>
      </c>
    </row>
    <row r="599">
      <c r="A599" t="inlineStr">
        <is>
          <t>HEA75EQ</t>
        </is>
      </c>
      <c r="B599" t="inlineStr">
        <is>
          <t>HEADBAND</t>
        </is>
      </c>
      <c r="C599" t="inlineStr">
        <is>
          <t>Equipamiento / Accesorios</t>
        </is>
      </c>
      <c r="D599" t="n">
        <v>1617.059372994068</v>
      </c>
      <c r="E599" t="n">
        <v>0.000395908803719084</v>
      </c>
      <c r="F599" t="n">
        <v>0.753894141823046</v>
      </c>
      <c r="G599" t="inlineStr">
        <is>
          <t>A</t>
        </is>
      </c>
      <c r="H599" t="n">
        <v>162</v>
      </c>
      <c r="I599" t="n">
        <v>4.26</v>
      </c>
      <c r="J599" t="n">
        <v>690.12</v>
      </c>
      <c r="K599" t="n">
        <v>10.6</v>
      </c>
      <c r="L599" t="n">
        <v>15.28301886792453</v>
      </c>
      <c r="M599" t="n">
        <v>2</v>
      </c>
      <c r="N599" t="n">
        <v>21.2</v>
      </c>
      <c r="O599" t="n">
        <v>140.8</v>
      </c>
      <c r="P599" t="n">
        <v>599.808</v>
      </c>
      <c r="Q599" t="n">
        <v>0.8691358024691358</v>
      </c>
      <c r="R599" t="inlineStr">
        <is>
          <t>Sobrestock crítico</t>
        </is>
      </c>
    </row>
    <row r="600">
      <c r="A600" t="inlineStr">
        <is>
          <t>JACCA12TM</t>
        </is>
      </c>
      <c r="B600" t="inlineStr">
        <is>
          <t>JACKET CAB</t>
        </is>
      </c>
      <c r="C600" t="inlineStr">
        <is>
          <t>Equipamiento / Ropa</t>
        </is>
      </c>
      <c r="D600" t="n">
        <v>1614.9834762</v>
      </c>
      <c r="E600" t="n">
        <v>0.000395400556569901</v>
      </c>
      <c r="F600" t="n">
        <v>0.754289542379616</v>
      </c>
      <c r="G600" t="inlineStr">
        <is>
          <t>A</t>
        </is>
      </c>
      <c r="H600" t="n">
        <v>0</v>
      </c>
      <c r="I600" t="n">
        <v>20.25001933</v>
      </c>
      <c r="J600" t="n">
        <v>0</v>
      </c>
      <c r="K600" t="n">
        <v>2.7</v>
      </c>
      <c r="L600" t="n">
        <v>0</v>
      </c>
      <c r="M600" t="n">
        <v>2</v>
      </c>
      <c r="N600" t="n">
        <v>5.4</v>
      </c>
      <c r="O600" t="n">
        <v>0</v>
      </c>
      <c r="P600" t="n">
        <v>0</v>
      </c>
      <c r="Q600" t="n">
        <v>0</v>
      </c>
      <c r="R600" t="inlineStr">
        <is>
          <t>Sin rotación</t>
        </is>
      </c>
    </row>
    <row r="601">
      <c r="A601" t="inlineStr">
        <is>
          <t>MIKFNDA10TM</t>
        </is>
      </c>
      <c r="B601" t="inlineStr">
        <is>
          <t>MIKA SPORT LITE DAMA</t>
        </is>
      </c>
      <c r="C601" t="inlineStr">
        <is>
          <t>Manufactura / Dama / P. Superiores</t>
        </is>
      </c>
      <c r="D601" t="n">
        <v>1605.08410622</v>
      </c>
      <c r="E601" t="n">
        <v>0.0003929768683666053</v>
      </c>
      <c r="F601" t="n">
        <v>0.7546825192479826</v>
      </c>
      <c r="G601" t="inlineStr">
        <is>
          <t>A</t>
        </is>
      </c>
      <c r="H601" t="n">
        <v>3</v>
      </c>
      <c r="I601" t="n">
        <v>5.484675343999999</v>
      </c>
      <c r="J601" t="n">
        <v>16.454026032</v>
      </c>
      <c r="K601" t="n">
        <v>4.8</v>
      </c>
      <c r="L601" t="n">
        <v>0.625</v>
      </c>
      <c r="M601" t="n">
        <v>2</v>
      </c>
      <c r="N601" t="n">
        <v>9.6</v>
      </c>
      <c r="O601" t="n">
        <v>0</v>
      </c>
      <c r="P601" t="n">
        <v>0</v>
      </c>
      <c r="Q601" t="n">
        <v>0</v>
      </c>
      <c r="R601" t="inlineStr">
        <is>
          <t>Riesgo bajo stock</t>
        </is>
      </c>
    </row>
    <row r="602">
      <c r="A602" t="inlineStr">
        <is>
          <t>MARMIKI43T10</t>
        </is>
      </c>
      <c r="B602" t="inlineStr">
        <is>
          <t>MAR ORIGINAL KIDS</t>
        </is>
      </c>
      <c r="C602" t="inlineStr">
        <is>
          <t>Manufactura / Kids / P. Superiores</t>
        </is>
      </c>
      <c r="D602" t="n">
        <v>1601.042801213524</v>
      </c>
      <c r="E602" t="n">
        <v>0.0003919874252717514</v>
      </c>
      <c r="F602" t="n">
        <v>0.7550745066732543</v>
      </c>
      <c r="G602" t="inlineStr">
        <is>
          <t>A</t>
        </is>
      </c>
      <c r="H602" t="n">
        <v>23</v>
      </c>
      <c r="I602" t="n">
        <v>3.168013332</v>
      </c>
      <c r="J602" t="n">
        <v>72.86430663600001</v>
      </c>
      <c r="K602" t="n">
        <v>4.4</v>
      </c>
      <c r="L602" t="n">
        <v>5.227272727272727</v>
      </c>
      <c r="M602" t="n">
        <v>2</v>
      </c>
      <c r="N602" t="n">
        <v>8.800000000000001</v>
      </c>
      <c r="O602" t="n">
        <v>14.2</v>
      </c>
      <c r="P602" t="n">
        <v>44.9857893144</v>
      </c>
      <c r="Q602" t="n">
        <v>0.6173913043478261</v>
      </c>
      <c r="R602" t="inlineStr">
        <is>
          <t>Sobrestock crítico</t>
        </is>
      </c>
    </row>
    <row r="603">
      <c r="A603" t="inlineStr">
        <is>
          <t>JAPKI162T10</t>
        </is>
      </c>
      <c r="B603" t="inlineStr">
        <is>
          <t>CUADRO JACKET 2.0 KIDS</t>
        </is>
      </c>
      <c r="C603" t="inlineStr">
        <is>
          <t>Equipamiento / Ropa</t>
        </is>
      </c>
      <c r="D603" t="n">
        <v>1597.21070043</v>
      </c>
      <c r="E603" t="n">
        <v>0.0003910492021846628</v>
      </c>
      <c r="F603" t="n">
        <v>0.755465555875439</v>
      </c>
      <c r="G603" t="inlineStr">
        <is>
          <t>A</t>
        </is>
      </c>
      <c r="H603" t="n">
        <v>98</v>
      </c>
      <c r="I603" t="n">
        <v>15.17</v>
      </c>
      <c r="J603" t="n">
        <v>1486.66</v>
      </c>
      <c r="K603" t="n">
        <v>2.5</v>
      </c>
      <c r="L603" t="n">
        <v>39.2</v>
      </c>
      <c r="M603" t="n">
        <v>2</v>
      </c>
      <c r="N603" t="n">
        <v>5</v>
      </c>
      <c r="O603" t="n">
        <v>93</v>
      </c>
      <c r="P603" t="n">
        <v>1410.81</v>
      </c>
      <c r="Q603" t="n">
        <v>0.9489795918367346</v>
      </c>
      <c r="R603" t="inlineStr">
        <is>
          <t>Sobrestock crítico</t>
        </is>
      </c>
    </row>
    <row r="604">
      <c r="A604" t="inlineStr">
        <is>
          <t>CLAMIDA12TS</t>
        </is>
      </c>
      <c r="B604" t="inlineStr">
        <is>
          <t>CLASICA ORIGINAL DAMA</t>
        </is>
      </c>
      <c r="C604" t="inlineStr">
        <is>
          <t>Manufactura / Dama / P. Superiores</t>
        </is>
      </c>
      <c r="D604" t="n">
        <v>1596.50174351</v>
      </c>
      <c r="E604" t="n">
        <v>0.0003908756264392244</v>
      </c>
      <c r="F604" t="n">
        <v>0.7558564315018781</v>
      </c>
      <c r="G604" t="inlineStr">
        <is>
          <t>A</t>
        </is>
      </c>
      <c r="H604" t="n">
        <v>18</v>
      </c>
      <c r="I604" t="n">
        <v>3.923227589</v>
      </c>
      <c r="J604" t="n">
        <v>70.61809660200001</v>
      </c>
      <c r="K604" t="n">
        <v>5.2</v>
      </c>
      <c r="L604" t="n">
        <v>3.461538461538461</v>
      </c>
      <c r="M604" t="n">
        <v>2</v>
      </c>
      <c r="N604" t="n">
        <v>10.4</v>
      </c>
      <c r="O604" t="n">
        <v>7.6</v>
      </c>
      <c r="P604" t="n">
        <v>29.8165296764</v>
      </c>
      <c r="Q604" t="n">
        <v>0.4222222222222222</v>
      </c>
      <c r="R604" t="inlineStr">
        <is>
          <t>Sobrestock crítico</t>
        </is>
      </c>
    </row>
    <row r="605">
      <c r="A605" t="inlineStr">
        <is>
          <t>RIOMICA70TL</t>
        </is>
      </c>
      <c r="B605" t="inlineStr">
        <is>
          <t>RIO ORIGINAL CAB</t>
        </is>
      </c>
      <c r="C605" t="inlineStr">
        <is>
          <t>Manufactura / Caballero / P. Superiores</t>
        </is>
      </c>
      <c r="D605" t="n">
        <v>1595.83971603</v>
      </c>
      <c r="E605" t="n">
        <v>0.000390713540549236</v>
      </c>
      <c r="F605" t="n">
        <v>0.7562471450424273</v>
      </c>
      <c r="G605" t="inlineStr">
        <is>
          <t>A</t>
        </is>
      </c>
      <c r="H605" t="n">
        <v>33</v>
      </c>
      <c r="I605" t="n">
        <v>5.939350288000001</v>
      </c>
      <c r="J605" t="n">
        <v>195.998559504</v>
      </c>
      <c r="K605" t="n">
        <v>2.9</v>
      </c>
      <c r="L605" t="n">
        <v>11.37931034482759</v>
      </c>
      <c r="M605" t="n">
        <v>2</v>
      </c>
      <c r="N605" t="n">
        <v>5.8</v>
      </c>
      <c r="O605" t="n">
        <v>27.2</v>
      </c>
      <c r="P605" t="n">
        <v>161.5503278336</v>
      </c>
      <c r="Q605" t="n">
        <v>0.8242424242424242</v>
      </c>
      <c r="R605" t="inlineStr">
        <is>
          <t>Sobrestock crítico</t>
        </is>
      </c>
    </row>
    <row r="606">
      <c r="A606" t="inlineStr">
        <is>
          <t>RIOMICA70TS</t>
        </is>
      </c>
      <c r="B606" t="inlineStr">
        <is>
          <t>RIO ORIGINAL CAB</t>
        </is>
      </c>
      <c r="C606" t="inlineStr">
        <is>
          <t>Manufactura / Caballero / P. Superiores</t>
        </is>
      </c>
      <c r="D606" t="n">
        <v>1586.69979457</v>
      </c>
      <c r="E606" t="n">
        <v>0.0003884757900796196</v>
      </c>
      <c r="F606" t="n">
        <v>0.7566356208325069</v>
      </c>
      <c r="G606" t="inlineStr">
        <is>
          <t>A</t>
        </is>
      </c>
      <c r="H606" t="n">
        <v>43</v>
      </c>
      <c r="I606" t="n">
        <v>5.939350288</v>
      </c>
      <c r="J606" t="n">
        <v>255.392062384</v>
      </c>
      <c r="K606" t="n">
        <v>2.8</v>
      </c>
      <c r="L606" t="n">
        <v>15.35714285714286</v>
      </c>
      <c r="M606" t="n">
        <v>2</v>
      </c>
      <c r="N606" t="n">
        <v>5.6</v>
      </c>
      <c r="O606" t="n">
        <v>37.4</v>
      </c>
      <c r="P606" t="n">
        <v>222.1317007712</v>
      </c>
      <c r="Q606" t="n">
        <v>0.8697674418604652</v>
      </c>
      <c r="R606" t="inlineStr">
        <is>
          <t>Sobrestock crítico</t>
        </is>
      </c>
    </row>
    <row r="607">
      <c r="A607" t="inlineStr">
        <is>
          <t>POLPLCA12TS</t>
        </is>
      </c>
      <c r="B607" t="inlineStr">
        <is>
          <t>CLASSIC POLO</t>
        </is>
      </c>
      <c r="C607" t="inlineStr">
        <is>
          <t>Manufactura / Caballero / P. Superiores</t>
        </is>
      </c>
      <c r="D607" t="n">
        <v>1582.49900604</v>
      </c>
      <c r="E607" t="n">
        <v>0.0003874473002236722</v>
      </c>
      <c r="F607" t="n">
        <v>0.7570230681327307</v>
      </c>
      <c r="G607" t="inlineStr">
        <is>
          <t>A</t>
        </is>
      </c>
      <c r="H607" t="n">
        <v>24</v>
      </c>
      <c r="I607" t="n">
        <v>7.340000000000001</v>
      </c>
      <c r="J607" t="n">
        <v>176.16</v>
      </c>
      <c r="K607" t="n">
        <v>4.1</v>
      </c>
      <c r="L607" t="n">
        <v>5.853658536585367</v>
      </c>
      <c r="M607" t="n">
        <v>2</v>
      </c>
      <c r="N607" t="n">
        <v>8.199999999999999</v>
      </c>
      <c r="O607" t="n">
        <v>15.8</v>
      </c>
      <c r="P607" t="n">
        <v>115.972</v>
      </c>
      <c r="Q607" t="n">
        <v>0.6583333333333333</v>
      </c>
      <c r="R607" t="inlineStr">
        <is>
          <t>Sobrestock crítico</t>
        </is>
      </c>
    </row>
    <row r="608">
      <c r="A608" t="inlineStr">
        <is>
          <t>RIOMIDA43TXL</t>
        </is>
      </c>
      <c r="B608" t="inlineStr">
        <is>
          <t>RIO ORIGINAL DAMA</t>
        </is>
      </c>
      <c r="C608" t="inlineStr">
        <is>
          <t>Manufactura / Dama / P. Superiores</t>
        </is>
      </c>
      <c r="D608" t="n">
        <v>1581.4383944</v>
      </c>
      <c r="E608" t="n">
        <v>0.0003871876279490386</v>
      </c>
      <c r="F608" t="n">
        <v>0.7574102557606797</v>
      </c>
      <c r="G608" t="inlineStr">
        <is>
          <t>A</t>
        </is>
      </c>
      <c r="H608" t="n">
        <v>27</v>
      </c>
      <c r="I608" t="n">
        <v>5.538832275</v>
      </c>
      <c r="J608" t="n">
        <v>149.548471425</v>
      </c>
      <c r="K608" t="n">
        <v>3.1</v>
      </c>
      <c r="L608" t="n">
        <v>8.709677419354838</v>
      </c>
      <c r="M608" t="n">
        <v>2</v>
      </c>
      <c r="N608" t="n">
        <v>6.2</v>
      </c>
      <c r="O608" t="n">
        <v>20.8</v>
      </c>
      <c r="P608" t="n">
        <v>115.20771132</v>
      </c>
      <c r="Q608" t="n">
        <v>0.7703703703703704</v>
      </c>
      <c r="R608" t="inlineStr">
        <is>
          <t>Sobrestock crítico</t>
        </is>
      </c>
    </row>
    <row r="609">
      <c r="A609" t="inlineStr">
        <is>
          <t>SHOUNCA38TM</t>
        </is>
      </c>
      <c r="B609" t="inlineStr">
        <is>
          <t>SHORT PLAYA CAB</t>
        </is>
      </c>
      <c r="C609" t="inlineStr">
        <is>
          <t>Manufactura / Caballero / P. Inferiores</t>
        </is>
      </c>
      <c r="D609" t="n">
        <v>1581.22678842</v>
      </c>
      <c r="E609" t="n">
        <v>0.0003871358199129202</v>
      </c>
      <c r="F609" t="n">
        <v>0.7577973915805926</v>
      </c>
      <c r="G609" t="inlineStr">
        <is>
          <t>A</t>
        </is>
      </c>
      <c r="H609" t="n">
        <v>29</v>
      </c>
      <c r="I609" t="n">
        <v>9.99</v>
      </c>
      <c r="J609" t="n">
        <v>289.71</v>
      </c>
      <c r="K609" t="n">
        <v>3.2</v>
      </c>
      <c r="L609" t="n">
        <v>9.0625</v>
      </c>
      <c r="M609" t="n">
        <v>2</v>
      </c>
      <c r="N609" t="n">
        <v>6.4</v>
      </c>
      <c r="O609" t="n">
        <v>22.6</v>
      </c>
      <c r="P609" t="n">
        <v>225.774</v>
      </c>
      <c r="Q609" t="n">
        <v>0.7793103448275863</v>
      </c>
      <c r="R609" t="inlineStr">
        <is>
          <t>Sobrestock crítico</t>
        </is>
      </c>
    </row>
    <row r="610">
      <c r="A610" t="inlineStr">
        <is>
          <t>JACKI66T6</t>
        </is>
      </c>
      <c r="B610" t="inlineStr">
        <is>
          <t>JACKET KIDS</t>
        </is>
      </c>
      <c r="C610" t="inlineStr">
        <is>
          <t>Manufactura / Kids / P. Superiores</t>
        </is>
      </c>
      <c r="D610" t="n">
        <v>1580.72984218</v>
      </c>
      <c r="E610" t="n">
        <v>0.0003870141512873417</v>
      </c>
      <c r="F610" t="n">
        <v>0.75818440573188</v>
      </c>
      <c r="G610" t="inlineStr">
        <is>
          <t>A</t>
        </is>
      </c>
      <c r="H610" t="n">
        <v>140</v>
      </c>
      <c r="I610" t="n">
        <v>15.17</v>
      </c>
      <c r="J610" t="n">
        <v>2123.8</v>
      </c>
      <c r="K610" t="n">
        <v>2.7</v>
      </c>
      <c r="L610" t="n">
        <v>51.85185185185185</v>
      </c>
      <c r="M610" t="n">
        <v>2</v>
      </c>
      <c r="N610" t="n">
        <v>5.4</v>
      </c>
      <c r="O610" t="n">
        <v>134.6</v>
      </c>
      <c r="P610" t="n">
        <v>2041.882</v>
      </c>
      <c r="Q610" t="n">
        <v>0.9614285714285713</v>
      </c>
      <c r="R610" t="inlineStr">
        <is>
          <t>Sobrestock crítico</t>
        </is>
      </c>
    </row>
    <row r="611">
      <c r="A611" t="inlineStr">
        <is>
          <t>RIOMIKI48T4</t>
        </is>
      </c>
      <c r="B611" t="inlineStr">
        <is>
          <t>RIO ORIGINAL KIDS</t>
        </is>
      </c>
      <c r="C611" t="inlineStr">
        <is>
          <t>Manufactura / Kids / P. Superiores</t>
        </is>
      </c>
      <c r="D611" t="n">
        <v>1574.72816473</v>
      </c>
      <c r="E611" t="n">
        <v>0.0003855447451670594</v>
      </c>
      <c r="F611" t="n">
        <v>0.7585699504770472</v>
      </c>
      <c r="G611" t="inlineStr">
        <is>
          <t>A</t>
        </is>
      </c>
      <c r="H611" t="n">
        <v>35</v>
      </c>
      <c r="I611" t="n">
        <v>3.617969464</v>
      </c>
      <c r="J611" t="n">
        <v>126.62893124</v>
      </c>
      <c r="K611" t="n">
        <v>3.5</v>
      </c>
      <c r="L611" t="n">
        <v>10</v>
      </c>
      <c r="M611" t="n">
        <v>2</v>
      </c>
      <c r="N611" t="n">
        <v>7</v>
      </c>
      <c r="O611" t="n">
        <v>28</v>
      </c>
      <c r="P611" t="n">
        <v>101.303144992</v>
      </c>
      <c r="Q611" t="n">
        <v>0.8</v>
      </c>
      <c r="R611" t="inlineStr">
        <is>
          <t>Sobrestock crítico</t>
        </is>
      </c>
    </row>
    <row r="612">
      <c r="A612" t="inlineStr">
        <is>
          <t>SHONRCA43TM</t>
        </is>
      </c>
      <c r="B612" t="inlineStr">
        <is>
          <t>SHORT SPORT CAB</t>
        </is>
      </c>
      <c r="C612" t="inlineStr">
        <is>
          <t>Manufactura / Caballero / P. Inferiores</t>
        </is>
      </c>
      <c r="D612" t="n">
        <v>1563.27524595</v>
      </c>
      <c r="E612" t="n">
        <v>0.0003827406976169153</v>
      </c>
      <c r="F612" t="n">
        <v>0.758952691174664</v>
      </c>
      <c r="G612" t="inlineStr">
        <is>
          <t>A</t>
        </is>
      </c>
      <c r="H612" t="n">
        <v>3</v>
      </c>
      <c r="I612" t="n">
        <v>10.6514486</v>
      </c>
      <c r="J612" t="n">
        <v>31.9543458</v>
      </c>
      <c r="K612" t="n">
        <v>5.5</v>
      </c>
      <c r="L612" t="n">
        <v>0.5454545454545454</v>
      </c>
      <c r="M612" t="n">
        <v>2</v>
      </c>
      <c r="N612" t="n">
        <v>11</v>
      </c>
      <c r="O612" t="n">
        <v>0</v>
      </c>
      <c r="P612" t="n">
        <v>0</v>
      </c>
      <c r="Q612" t="n">
        <v>0</v>
      </c>
      <c r="R612" t="inlineStr">
        <is>
          <t>Riesgo bajo stock</t>
        </is>
      </c>
    </row>
    <row r="613">
      <c r="A613" t="inlineStr">
        <is>
          <t>SHUNTCA31TL</t>
        </is>
      </c>
      <c r="B613" t="inlineStr">
        <is>
          <t>SHORT SPORT R1 CAB</t>
        </is>
      </c>
      <c r="C613" t="inlineStr">
        <is>
          <t>Manufactura / Caballero / P. Inferiores</t>
        </is>
      </c>
      <c r="D613" t="n">
        <v>1561.19129186</v>
      </c>
      <c r="E613" t="n">
        <v>0.0003822304777792542</v>
      </c>
      <c r="F613" t="n">
        <v>0.7593349216524433</v>
      </c>
      <c r="G613" t="inlineStr">
        <is>
          <t>A</t>
        </is>
      </c>
      <c r="H613" t="n">
        <v>2</v>
      </c>
      <c r="I613" t="n">
        <v>9.119999999999999</v>
      </c>
      <c r="J613" t="n">
        <v>18.24</v>
      </c>
      <c r="K613" t="n">
        <v>3.3</v>
      </c>
      <c r="L613" t="n">
        <v>0.6060606060606061</v>
      </c>
      <c r="M613" t="n">
        <v>2</v>
      </c>
      <c r="N613" t="n">
        <v>6.6</v>
      </c>
      <c r="O613" t="n">
        <v>0</v>
      </c>
      <c r="P613" t="n">
        <v>0</v>
      </c>
      <c r="Q613" t="n">
        <v>0</v>
      </c>
      <c r="R613" t="inlineStr">
        <is>
          <t>Riesgo bajo stock</t>
        </is>
      </c>
    </row>
    <row r="614">
      <c r="A614" t="inlineStr">
        <is>
          <t>RIOMIKI13T12</t>
        </is>
      </c>
      <c r="B614" t="inlineStr">
        <is>
          <t>RIO ORIGINAL KIDS</t>
        </is>
      </c>
      <c r="C614" t="inlineStr">
        <is>
          <t>Manufactura / Kids / P. Superiores</t>
        </is>
      </c>
      <c r="D614" t="n">
        <v>1554.81048965</v>
      </c>
      <c r="E614" t="n">
        <v>0.0003806682495692585</v>
      </c>
      <c r="F614" t="n">
        <v>0.7597155899020126</v>
      </c>
      <c r="G614" t="inlineStr">
        <is>
          <t>A</t>
        </is>
      </c>
      <c r="H614" t="n">
        <v>31</v>
      </c>
      <c r="I614" t="n">
        <v>3.617969464</v>
      </c>
      <c r="J614" t="n">
        <v>112.157053384</v>
      </c>
      <c r="K614" t="n">
        <v>3.6</v>
      </c>
      <c r="L614" t="n">
        <v>8.611111111111111</v>
      </c>
      <c r="M614" t="n">
        <v>2</v>
      </c>
      <c r="N614" t="n">
        <v>7.2</v>
      </c>
      <c r="O614" t="n">
        <v>23.8</v>
      </c>
      <c r="P614" t="n">
        <v>86.10767324320001</v>
      </c>
      <c r="Q614" t="n">
        <v>0.767741935483871</v>
      </c>
      <c r="R614" t="inlineStr">
        <is>
          <t>Sobrestock crítico</t>
        </is>
      </c>
    </row>
    <row r="615">
      <c r="A615" t="inlineStr">
        <is>
          <t>POLPLCA12TXL</t>
        </is>
      </c>
      <c r="B615" t="inlineStr">
        <is>
          <t>CLASSIC POLO</t>
        </is>
      </c>
      <c r="C615" t="inlineStr">
        <is>
          <t>Manufactura / Caballero / P. Superiores</t>
        </is>
      </c>
      <c r="D615" t="n">
        <v>1551.90442315</v>
      </c>
      <c r="E615" t="n">
        <v>0.0003799567498366217</v>
      </c>
      <c r="F615" t="n">
        <v>0.7600955466518493</v>
      </c>
      <c r="G615" t="inlineStr">
        <is>
          <t>A</t>
        </is>
      </c>
      <c r="H615" t="n">
        <v>0</v>
      </c>
      <c r="I615" t="n">
        <v>7.34</v>
      </c>
      <c r="J615" t="n">
        <v>0</v>
      </c>
      <c r="K615" t="n">
        <v>3.8</v>
      </c>
      <c r="L615" t="n">
        <v>0</v>
      </c>
      <c r="M615" t="n">
        <v>2</v>
      </c>
      <c r="N615" t="n">
        <v>7.6</v>
      </c>
      <c r="O615" t="n">
        <v>0</v>
      </c>
      <c r="P615" t="n">
        <v>0</v>
      </c>
      <c r="Q615" t="n">
        <v>0</v>
      </c>
      <c r="R615" t="inlineStr">
        <is>
          <t>Riesgo bajo stock</t>
        </is>
      </c>
    </row>
    <row r="616">
      <c r="A616" t="inlineStr">
        <is>
          <t>SHONTCA43TL</t>
        </is>
      </c>
      <c r="B616" t="inlineStr">
        <is>
          <t>EXPLORE SHORT CAB</t>
        </is>
      </c>
      <c r="C616" t="inlineStr">
        <is>
          <t>Manufactura / Caballero / P. Inferiores</t>
        </is>
      </c>
      <c r="D616" t="n">
        <v>1551.50833395</v>
      </c>
      <c r="E616" t="n">
        <v>0.0003798597742994479</v>
      </c>
      <c r="F616" t="n">
        <v>0.7604754064261486</v>
      </c>
      <c r="G616" t="inlineStr">
        <is>
          <t>A</t>
        </is>
      </c>
      <c r="H616" t="n">
        <v>3</v>
      </c>
      <c r="I616" t="n">
        <v>11.17</v>
      </c>
      <c r="J616" t="n">
        <v>33.51</v>
      </c>
      <c r="K616" t="n">
        <v>3.2</v>
      </c>
      <c r="L616" t="n">
        <v>0.9375</v>
      </c>
      <c r="M616" t="n">
        <v>2</v>
      </c>
      <c r="N616" t="n">
        <v>6.4</v>
      </c>
      <c r="O616" t="n">
        <v>0</v>
      </c>
      <c r="P616" t="n">
        <v>0</v>
      </c>
      <c r="Q616" t="n">
        <v>0</v>
      </c>
      <c r="R616" t="inlineStr">
        <is>
          <t>Riesgo bajo stock</t>
        </is>
      </c>
    </row>
    <row r="617">
      <c r="A617" t="inlineStr">
        <is>
          <t>LMOFIDA43TM</t>
        </is>
      </c>
      <c r="B617" t="inlineStr">
        <is>
          <t>LEGGING MOVA</t>
        </is>
      </c>
      <c r="C617" t="inlineStr">
        <is>
          <t>Manufactura / Dama / P. Inferiores</t>
        </is>
      </c>
      <c r="D617" t="n">
        <v>1550.53579755</v>
      </c>
      <c r="E617" t="n">
        <v>0.0003796216657122633</v>
      </c>
      <c r="F617" t="n">
        <v>0.7608550280918609</v>
      </c>
      <c r="G617" t="inlineStr">
        <is>
          <t>A</t>
        </is>
      </c>
      <c r="H617" t="n">
        <v>12</v>
      </c>
      <c r="I617" t="n">
        <v>17.7</v>
      </c>
      <c r="J617" t="n">
        <v>212.4</v>
      </c>
      <c r="K617" t="n">
        <v>2.7</v>
      </c>
      <c r="L617" t="n">
        <v>4.444444444444444</v>
      </c>
      <c r="M617" t="n">
        <v>2</v>
      </c>
      <c r="N617" t="n">
        <v>5.4</v>
      </c>
      <c r="O617" t="n">
        <v>6.6</v>
      </c>
      <c r="P617" t="n">
        <v>116.82</v>
      </c>
      <c r="Q617" t="n">
        <v>0.55</v>
      </c>
      <c r="R617" t="inlineStr">
        <is>
          <t>Sobrestock crítico</t>
        </is>
      </c>
    </row>
    <row r="618">
      <c r="A618" t="inlineStr">
        <is>
          <t>SARSPDA12TM</t>
        </is>
      </c>
      <c r="B618" t="inlineStr">
        <is>
          <t>FALDA SARA DAMA</t>
        </is>
      </c>
      <c r="C618" t="inlineStr">
        <is>
          <t>Manufactura / Dama / P. Inferiores</t>
        </is>
      </c>
      <c r="D618" t="n">
        <v>1546.17656724</v>
      </c>
      <c r="E618" t="n">
        <v>0.0003785543841479676</v>
      </c>
      <c r="F618" t="n">
        <v>0.7612335824760089</v>
      </c>
      <c r="G618" t="inlineStr">
        <is>
          <t>A</t>
        </is>
      </c>
      <c r="H618" t="n">
        <v>13</v>
      </c>
      <c r="I618" t="n">
        <v>9.500113852</v>
      </c>
      <c r="J618" t="n">
        <v>123.501480076</v>
      </c>
      <c r="K618" t="n">
        <v>3.4</v>
      </c>
      <c r="L618" t="n">
        <v>3.823529411764706</v>
      </c>
      <c r="M618" t="n">
        <v>2</v>
      </c>
      <c r="N618" t="n">
        <v>6.8</v>
      </c>
      <c r="O618" t="n">
        <v>6.2</v>
      </c>
      <c r="P618" t="n">
        <v>58.9007058824</v>
      </c>
      <c r="Q618" t="n">
        <v>0.4769230769230769</v>
      </c>
      <c r="R618" t="inlineStr">
        <is>
          <t>Sobrestock crítico</t>
        </is>
      </c>
    </row>
    <row r="619">
      <c r="A619" t="inlineStr">
        <is>
          <t>DAYCSTDA16TM</t>
        </is>
      </c>
      <c r="B619" t="inlineStr">
        <is>
          <t>CLASICA DAILY 3.0 DAMA</t>
        </is>
      </c>
      <c r="C619" t="inlineStr">
        <is>
          <t>Manufactura / Dama / P. Superiores</t>
        </is>
      </c>
      <c r="D619" t="n">
        <v>1544.02441635</v>
      </c>
      <c r="E619" t="n">
        <v>0.0003780274675124298</v>
      </c>
      <c r="F619" t="n">
        <v>0.7616116099435213</v>
      </c>
      <c r="G619" t="inlineStr">
        <is>
          <t>A</t>
        </is>
      </c>
      <c r="H619" t="n">
        <v>24</v>
      </c>
      <c r="I619" t="n">
        <v>10.28586481</v>
      </c>
      <c r="J619" t="n">
        <v>246.86075544</v>
      </c>
      <c r="K619" t="n">
        <v>5.2</v>
      </c>
      <c r="L619" t="n">
        <v>4.615384615384615</v>
      </c>
      <c r="M619" t="n">
        <v>2</v>
      </c>
      <c r="N619" t="n">
        <v>10.4</v>
      </c>
      <c r="O619" t="n">
        <v>13.6</v>
      </c>
      <c r="P619" t="n">
        <v>139.887761416</v>
      </c>
      <c r="Q619" t="n">
        <v>0.5666666666666667</v>
      </c>
      <c r="R619" t="inlineStr">
        <is>
          <t>Sobrestock crítico</t>
        </is>
      </c>
    </row>
    <row r="620">
      <c r="A620" t="inlineStr">
        <is>
          <t>JAPKI162T8</t>
        </is>
      </c>
      <c r="B620" t="inlineStr">
        <is>
          <t>CUADRO JACKET 2.0 KIDS</t>
        </is>
      </c>
      <c r="C620" t="inlineStr">
        <is>
          <t>Equipamiento / Ropa</t>
        </is>
      </c>
      <c r="D620" t="n">
        <v>1541.91409428</v>
      </c>
      <c r="E620" t="n">
        <v>0.0003775107919344337</v>
      </c>
      <c r="F620" t="n">
        <v>0.7619891207354558</v>
      </c>
      <c r="G620" t="inlineStr">
        <is>
          <t>A</t>
        </is>
      </c>
      <c r="H620" t="n">
        <v>95</v>
      </c>
      <c r="I620" t="n">
        <v>15.17</v>
      </c>
      <c r="J620" t="n">
        <v>1441.15</v>
      </c>
      <c r="K620" t="n">
        <v>2.3</v>
      </c>
      <c r="L620" t="n">
        <v>41.30434782608696</v>
      </c>
      <c r="M620" t="n">
        <v>2</v>
      </c>
      <c r="N620" t="n">
        <v>4.6</v>
      </c>
      <c r="O620" t="n">
        <v>90.40000000000001</v>
      </c>
      <c r="P620" t="n">
        <v>1371.368</v>
      </c>
      <c r="Q620" t="n">
        <v>0.9515789473684211</v>
      </c>
      <c r="R620" t="inlineStr">
        <is>
          <t>Sobrestock crítico</t>
        </is>
      </c>
    </row>
    <row r="621">
      <c r="A621" t="inlineStr">
        <is>
          <t>CLAMICA16TXL</t>
        </is>
      </c>
      <c r="B621" t="inlineStr">
        <is>
          <t>CLASICA ORIGINAL CAB</t>
        </is>
      </c>
      <c r="C621" t="inlineStr">
        <is>
          <t>Manufactura / Caballero / P. Superiores</t>
        </is>
      </c>
      <c r="D621" t="n">
        <v>1535.78689995</v>
      </c>
      <c r="E621" t="n">
        <v>0.0003760106551937196</v>
      </c>
      <c r="F621" t="n">
        <v>0.7623651313906494</v>
      </c>
      <c r="G621" t="inlineStr">
        <is>
          <t>A</t>
        </is>
      </c>
      <c r="H621" t="n">
        <v>64</v>
      </c>
      <c r="I621" t="n">
        <v>4.598442536</v>
      </c>
      <c r="J621" t="n">
        <v>294.300322304</v>
      </c>
      <c r="K621" t="n">
        <v>5</v>
      </c>
      <c r="L621" t="n">
        <v>12.8</v>
      </c>
      <c r="M621" t="n">
        <v>2</v>
      </c>
      <c r="N621" t="n">
        <v>10</v>
      </c>
      <c r="O621" t="n">
        <v>54</v>
      </c>
      <c r="P621" t="n">
        <v>248.315896944</v>
      </c>
      <c r="Q621" t="n">
        <v>0.84375</v>
      </c>
      <c r="R621" t="inlineStr">
        <is>
          <t>Sobrestock crítico</t>
        </is>
      </c>
    </row>
    <row r="622">
      <c r="A622" t="inlineStr">
        <is>
          <t>JAPKI01T12</t>
        </is>
      </c>
      <c r="B622" t="inlineStr">
        <is>
          <t>CUADRO JACKET 2.0 KIDS</t>
        </is>
      </c>
      <c r="C622" t="inlineStr">
        <is>
          <t>Equipamiento / Ropa</t>
        </is>
      </c>
      <c r="D622" t="n">
        <v>1523.1051167</v>
      </c>
      <c r="E622" t="n">
        <v>0.0003729057415959981</v>
      </c>
      <c r="F622" t="n">
        <v>0.7627380371322455</v>
      </c>
      <c r="G622" t="inlineStr">
        <is>
          <t>A</t>
        </is>
      </c>
      <c r="H622" t="n">
        <v>53</v>
      </c>
      <c r="I622" t="n">
        <v>15.17</v>
      </c>
      <c r="J622" t="n">
        <v>804.01</v>
      </c>
      <c r="K622" t="n">
        <v>2.3</v>
      </c>
      <c r="L622" t="n">
        <v>23.04347826086957</v>
      </c>
      <c r="M622" t="n">
        <v>2</v>
      </c>
      <c r="N622" t="n">
        <v>4.6</v>
      </c>
      <c r="O622" t="n">
        <v>48.4</v>
      </c>
      <c r="P622" t="n">
        <v>734.228</v>
      </c>
      <c r="Q622" t="n">
        <v>0.9132075471698112</v>
      </c>
      <c r="R622" t="inlineStr">
        <is>
          <t>Sobrestock crítico</t>
        </is>
      </c>
    </row>
    <row r="623">
      <c r="A623" t="inlineStr">
        <is>
          <t>JAPKI162T6</t>
        </is>
      </c>
      <c r="B623" t="inlineStr">
        <is>
          <t>CUADRO JACKET 2.0 KIDS</t>
        </is>
      </c>
      <c r="C623" t="inlineStr">
        <is>
          <t>Equipamiento / Ropa</t>
        </is>
      </c>
      <c r="D623" t="n">
        <v>1516.72185724</v>
      </c>
      <c r="E623" t="n">
        <v>0.0003713429117711674</v>
      </c>
      <c r="F623" t="n">
        <v>0.7631093800440166</v>
      </c>
      <c r="G623" t="inlineStr">
        <is>
          <t>A</t>
        </is>
      </c>
      <c r="H623" t="n">
        <v>6</v>
      </c>
      <c r="I623" t="n">
        <v>15.17</v>
      </c>
      <c r="J623" t="n">
        <v>91.02</v>
      </c>
      <c r="K623" t="n">
        <v>2.4</v>
      </c>
      <c r="L623" t="n">
        <v>2.5</v>
      </c>
      <c r="M623" t="n">
        <v>2</v>
      </c>
      <c r="N623" t="n">
        <v>4.8</v>
      </c>
      <c r="O623" t="n">
        <v>1.2</v>
      </c>
      <c r="P623" t="n">
        <v>18.204</v>
      </c>
      <c r="Q623" t="n">
        <v>0.2000000000000001</v>
      </c>
      <c r="R623" t="inlineStr">
        <is>
          <t>Sobrestock</t>
        </is>
      </c>
    </row>
    <row r="624">
      <c r="A624" t="inlineStr">
        <is>
          <t>CLAMECA16TL</t>
        </is>
      </c>
      <c r="B624" t="inlineStr">
        <is>
          <t>CLASICA SPORT CAB</t>
        </is>
      </c>
      <c r="C624" t="inlineStr">
        <is>
          <t>Manufactura / Caballero / P. Superiores</t>
        </is>
      </c>
      <c r="D624" t="n">
        <v>1510.362971724416</v>
      </c>
      <c r="E624" t="n">
        <v>0.0003697860494818129</v>
      </c>
      <c r="F624" t="n">
        <v>0.7634791660934985</v>
      </c>
      <c r="G624" t="inlineStr">
        <is>
          <t>A</t>
        </is>
      </c>
      <c r="H624" t="n">
        <v>5</v>
      </c>
      <c r="I624" t="n">
        <v>10.3013454</v>
      </c>
      <c r="J624" t="n">
        <v>51.50672700000001</v>
      </c>
      <c r="K624" t="n">
        <v>3.4</v>
      </c>
      <c r="L624" t="n">
        <v>1.470588235294118</v>
      </c>
      <c r="M624" t="n">
        <v>2</v>
      </c>
      <c r="N624" t="n">
        <v>6.8</v>
      </c>
      <c r="O624" t="n">
        <v>0</v>
      </c>
      <c r="P624" t="n">
        <v>0</v>
      </c>
      <c r="Q624" t="n">
        <v>0</v>
      </c>
      <c r="R624" t="inlineStr">
        <is>
          <t>OK</t>
        </is>
      </c>
    </row>
    <row r="625">
      <c r="A625" t="inlineStr">
        <is>
          <t>BAPCCDA43TXL</t>
        </is>
      </c>
      <c r="B625" t="inlineStr">
        <is>
          <t>BASIC LINE PANT DAMA</t>
        </is>
      </c>
      <c r="C625" t="inlineStr">
        <is>
          <t>Manufactura / Dama / P. Inferiores</t>
        </is>
      </c>
      <c r="D625" t="n">
        <v>1510.00296177</v>
      </c>
      <c r="E625" t="n">
        <v>0.0003696979073190946</v>
      </c>
      <c r="F625" t="n">
        <v>0.7638488640008175</v>
      </c>
      <c r="G625" t="inlineStr">
        <is>
          <t>A</t>
        </is>
      </c>
      <c r="H625" t="n">
        <v>26</v>
      </c>
      <c r="I625" t="n">
        <v>11.2</v>
      </c>
      <c r="J625" t="n">
        <v>291.2</v>
      </c>
      <c r="K625" t="n">
        <v>2.3</v>
      </c>
      <c r="L625" t="n">
        <v>11.30434782608696</v>
      </c>
      <c r="M625" t="n">
        <v>2</v>
      </c>
      <c r="N625" t="n">
        <v>4.6</v>
      </c>
      <c r="O625" t="n">
        <v>21.4</v>
      </c>
      <c r="P625" t="n">
        <v>239.68</v>
      </c>
      <c r="Q625" t="n">
        <v>0.823076923076923</v>
      </c>
      <c r="R625" t="inlineStr">
        <is>
          <t>Sobrestock crítico</t>
        </is>
      </c>
    </row>
    <row r="626">
      <c r="A626" t="inlineStr">
        <is>
          <t>MARMIKI16T14</t>
        </is>
      </c>
      <c r="B626" t="inlineStr">
        <is>
          <t>MAR ORIGINAL KIDS</t>
        </is>
      </c>
      <c r="C626" t="inlineStr">
        <is>
          <t>Manufactura / Kids / P. Superiores</t>
        </is>
      </c>
      <c r="D626" t="n">
        <v>1504.05020718</v>
      </c>
      <c r="E626" t="n">
        <v>0.0003682404791084059</v>
      </c>
      <c r="F626" t="n">
        <v>0.7642171044799259</v>
      </c>
      <c r="G626" t="inlineStr">
        <is>
          <t>A</t>
        </is>
      </c>
      <c r="H626" t="n">
        <v>17</v>
      </c>
      <c r="I626" t="n">
        <v>3.168013332</v>
      </c>
      <c r="J626" t="n">
        <v>53.856226644</v>
      </c>
      <c r="K626" t="n">
        <v>4.1</v>
      </c>
      <c r="L626" t="n">
        <v>4.146341463414634</v>
      </c>
      <c r="M626" t="n">
        <v>2</v>
      </c>
      <c r="N626" t="n">
        <v>8.199999999999999</v>
      </c>
      <c r="O626" t="n">
        <v>8.800000000000001</v>
      </c>
      <c r="P626" t="n">
        <v>27.8785173216</v>
      </c>
      <c r="Q626" t="n">
        <v>0.5176470588235295</v>
      </c>
      <c r="R626" t="inlineStr">
        <is>
          <t>Sobrestock crítico</t>
        </is>
      </c>
    </row>
    <row r="627">
      <c r="A627" t="inlineStr">
        <is>
          <t>MARMIKI53T12</t>
        </is>
      </c>
      <c r="B627" t="inlineStr">
        <is>
          <t>MAR ORIGINAL KIDS</t>
        </is>
      </c>
      <c r="C627" t="inlineStr">
        <is>
          <t>Manufactura / Kids / P. Superiores</t>
        </is>
      </c>
      <c r="D627" t="n">
        <v>1503.35921292</v>
      </c>
      <c r="E627" t="n">
        <v>0.000368071301207197</v>
      </c>
      <c r="F627" t="n">
        <v>0.7645851757811332</v>
      </c>
      <c r="G627" t="inlineStr">
        <is>
          <t>A</t>
        </is>
      </c>
      <c r="H627" t="n">
        <v>33</v>
      </c>
      <c r="I627" t="n">
        <v>3.168013332</v>
      </c>
      <c r="J627" t="n">
        <v>104.544439956</v>
      </c>
      <c r="K627" t="n">
        <v>3.9</v>
      </c>
      <c r="L627" t="n">
        <v>8.461538461538462</v>
      </c>
      <c r="M627" t="n">
        <v>2</v>
      </c>
      <c r="N627" t="n">
        <v>7.8</v>
      </c>
      <c r="O627" t="n">
        <v>25.2</v>
      </c>
      <c r="P627" t="n">
        <v>79.83393596640001</v>
      </c>
      <c r="Q627" t="n">
        <v>0.7636363636363637</v>
      </c>
      <c r="R627" t="inlineStr">
        <is>
          <t>Sobrestock crítico</t>
        </is>
      </c>
    </row>
    <row r="628">
      <c r="A628" t="inlineStr">
        <is>
          <t>SARSPDA12TS</t>
        </is>
      </c>
      <c r="B628" t="inlineStr">
        <is>
          <t>FALDA SARA DAMA</t>
        </is>
      </c>
      <c r="C628" t="inlineStr">
        <is>
          <t>Manufactura / Dama / P. Inferiores</t>
        </is>
      </c>
      <c r="D628" t="n">
        <v>1500.60989769</v>
      </c>
      <c r="E628" t="n">
        <v>0.0003673981792909988</v>
      </c>
      <c r="F628" t="n">
        <v>0.764952573960424</v>
      </c>
      <c r="G628" t="inlineStr">
        <is>
          <t>A</t>
        </is>
      </c>
      <c r="H628" t="n">
        <v>17</v>
      </c>
      <c r="I628" t="n">
        <v>9.500113852</v>
      </c>
      <c r="J628" t="n">
        <v>161.501935484</v>
      </c>
      <c r="K628" t="n">
        <v>3.1</v>
      </c>
      <c r="L628" t="n">
        <v>5.483870967741935</v>
      </c>
      <c r="M628" t="n">
        <v>2</v>
      </c>
      <c r="N628" t="n">
        <v>6.2</v>
      </c>
      <c r="O628" t="n">
        <v>10.8</v>
      </c>
      <c r="P628" t="n">
        <v>102.6012296016</v>
      </c>
      <c r="Q628" t="n">
        <v>0.6352941176470589</v>
      </c>
      <c r="R628" t="inlineStr">
        <is>
          <t>Sobrestock crítico</t>
        </is>
      </c>
    </row>
    <row r="629">
      <c r="A629" t="inlineStr">
        <is>
          <t>RIOMICA66TM</t>
        </is>
      </c>
      <c r="B629" t="inlineStr">
        <is>
          <t>RIO ORIGINAL CAB</t>
        </is>
      </c>
      <c r="C629" t="inlineStr">
        <is>
          <t>Manufactura / Caballero / P. Superiores</t>
        </is>
      </c>
      <c r="D629" t="n">
        <v>1497.10238782</v>
      </c>
      <c r="E629" t="n">
        <v>0.0003665394266317855</v>
      </c>
      <c r="F629" t="n">
        <v>0.7653191133870559</v>
      </c>
      <c r="G629" t="inlineStr">
        <is>
          <t>A</t>
        </is>
      </c>
      <c r="H629" t="n">
        <v>2</v>
      </c>
      <c r="I629" t="n">
        <v>5.939350288</v>
      </c>
      <c r="J629" t="n">
        <v>11.878700576</v>
      </c>
      <c r="K629" t="n">
        <v>3</v>
      </c>
      <c r="L629" t="n">
        <v>0.6666666666666666</v>
      </c>
      <c r="M629" t="n">
        <v>2</v>
      </c>
      <c r="N629" t="n">
        <v>6</v>
      </c>
      <c r="O629" t="n">
        <v>0</v>
      </c>
      <c r="P629" t="n">
        <v>0</v>
      </c>
      <c r="Q629" t="n">
        <v>0</v>
      </c>
      <c r="R629" t="inlineStr">
        <is>
          <t>Riesgo bajo stock</t>
        </is>
      </c>
    </row>
    <row r="630">
      <c r="A630" t="inlineStr">
        <is>
          <t>BACCCDA38TM</t>
        </is>
      </c>
      <c r="B630" t="inlineStr">
        <is>
          <t>BASIC LINE CROP TEE DAMA</t>
        </is>
      </c>
      <c r="C630" t="inlineStr">
        <is>
          <t>Manufactura / Dama / P. Superiores</t>
        </is>
      </c>
      <c r="D630" t="n">
        <v>1495.00338386</v>
      </c>
      <c r="E630" t="n">
        <v>0.0003660255220957593</v>
      </c>
      <c r="F630" t="n">
        <v>0.7656851389091517</v>
      </c>
      <c r="G630" t="inlineStr">
        <is>
          <t>A</t>
        </is>
      </c>
      <c r="H630" t="n">
        <v>10</v>
      </c>
      <c r="I630" t="n">
        <v>6.196330833</v>
      </c>
      <c r="J630" t="n">
        <v>61.96330833</v>
      </c>
      <c r="K630" t="n">
        <v>3.4</v>
      </c>
      <c r="L630" t="n">
        <v>2.941176470588236</v>
      </c>
      <c r="M630" t="n">
        <v>2</v>
      </c>
      <c r="N630" t="n">
        <v>6.8</v>
      </c>
      <c r="O630" t="n">
        <v>3.2</v>
      </c>
      <c r="P630" t="n">
        <v>19.8282586656</v>
      </c>
      <c r="Q630" t="n">
        <v>0.3200000000000001</v>
      </c>
      <c r="R630" t="inlineStr">
        <is>
          <t>Sobrestock crítico</t>
        </is>
      </c>
    </row>
    <row r="631">
      <c r="A631" t="inlineStr">
        <is>
          <t>RIOMIKI50T4</t>
        </is>
      </c>
      <c r="B631" t="inlineStr">
        <is>
          <t>RIO ORIGINAL KIDS</t>
        </is>
      </c>
      <c r="C631" t="inlineStr">
        <is>
          <t>Manufactura / Kids / P. Superiores</t>
        </is>
      </c>
      <c r="D631" t="n">
        <v>1493.01389153</v>
      </c>
      <c r="E631" t="n">
        <v>0.0003655384295736584</v>
      </c>
      <c r="F631" t="n">
        <v>0.7660506773387253</v>
      </c>
      <c r="G631" t="inlineStr">
        <is>
          <t>A</t>
        </is>
      </c>
      <c r="H631" t="n">
        <v>53</v>
      </c>
      <c r="I631" t="n">
        <v>3.617969464</v>
      </c>
      <c r="J631" t="n">
        <v>191.752381592</v>
      </c>
      <c r="K631" t="n">
        <v>3.5</v>
      </c>
      <c r="L631" t="n">
        <v>15.14285714285714</v>
      </c>
      <c r="M631" t="n">
        <v>2</v>
      </c>
      <c r="N631" t="n">
        <v>7</v>
      </c>
      <c r="O631" t="n">
        <v>46</v>
      </c>
      <c r="P631" t="n">
        <v>166.426595344</v>
      </c>
      <c r="Q631" t="n">
        <v>0.8679245283018868</v>
      </c>
      <c r="R631" t="inlineStr">
        <is>
          <t>Sobrestock crítico</t>
        </is>
      </c>
    </row>
    <row r="632">
      <c r="A632" t="inlineStr">
        <is>
          <t>BACCCDA43TS</t>
        </is>
      </c>
      <c r="B632" t="inlineStr">
        <is>
          <t>BASIC LINE CROP TEE DAMA</t>
        </is>
      </c>
      <c r="C632" t="inlineStr">
        <is>
          <t>Manufactura / Dama / P. Superiores</t>
        </is>
      </c>
      <c r="D632" t="n">
        <v>1486.25471677</v>
      </c>
      <c r="E632" t="n">
        <v>0.0003638835634394576</v>
      </c>
      <c r="F632" t="n">
        <v>0.7664145609021649</v>
      </c>
      <c r="G632" t="inlineStr">
        <is>
          <t>A</t>
        </is>
      </c>
      <c r="H632" t="n">
        <v>84</v>
      </c>
      <c r="I632" t="n">
        <v>6.196330833</v>
      </c>
      <c r="J632" t="n">
        <v>520.491789972</v>
      </c>
      <c r="K632" t="n">
        <v>3.3</v>
      </c>
      <c r="L632" t="n">
        <v>25.45454545454546</v>
      </c>
      <c r="M632" t="n">
        <v>2</v>
      </c>
      <c r="N632" t="n">
        <v>6.6</v>
      </c>
      <c r="O632" t="n">
        <v>77.40000000000001</v>
      </c>
      <c r="P632" t="n">
        <v>479.5960064742001</v>
      </c>
      <c r="Q632" t="n">
        <v>0.9214285714285716</v>
      </c>
      <c r="R632" t="inlineStr">
        <is>
          <t>Sobrestock crítico</t>
        </is>
      </c>
    </row>
    <row r="633">
      <c r="A633" t="inlineStr">
        <is>
          <t>JACKI47T6</t>
        </is>
      </c>
      <c r="B633" t="inlineStr">
        <is>
          <t>JACKET KIDS</t>
        </is>
      </c>
      <c r="C633" t="inlineStr">
        <is>
          <t>Manufactura / Kids / P. Superiores</t>
        </is>
      </c>
      <c r="D633" t="n">
        <v>1483.38047999</v>
      </c>
      <c r="E633" t="n">
        <v>0.000363179856659002</v>
      </c>
      <c r="F633" t="n">
        <v>0.7667777407588238</v>
      </c>
      <c r="G633" t="inlineStr">
        <is>
          <t>A</t>
        </is>
      </c>
      <c r="H633" t="n">
        <v>33</v>
      </c>
      <c r="I633" t="n">
        <v>15.17</v>
      </c>
      <c r="J633" t="n">
        <v>500.61</v>
      </c>
      <c r="K633" t="n">
        <v>2.7</v>
      </c>
      <c r="L633" t="n">
        <v>12.22222222222222</v>
      </c>
      <c r="M633" t="n">
        <v>2</v>
      </c>
      <c r="N633" t="n">
        <v>5.4</v>
      </c>
      <c r="O633" t="n">
        <v>27.6</v>
      </c>
      <c r="P633" t="n">
        <v>418.692</v>
      </c>
      <c r="Q633" t="n">
        <v>0.8363636363636363</v>
      </c>
      <c r="R633" t="inlineStr">
        <is>
          <t>Sobrestock crítico</t>
        </is>
      </c>
    </row>
    <row r="634">
      <c r="A634" t="inlineStr">
        <is>
          <t>BAOCCCA43TS</t>
        </is>
      </c>
      <c r="B634" t="inlineStr">
        <is>
          <t>BASIC LINE OVERSIZED CAB</t>
        </is>
      </c>
      <c r="C634" t="inlineStr">
        <is>
          <t>Manufactura / Caballero / P. Superiores</t>
        </is>
      </c>
      <c r="D634" t="n">
        <v>1482.89844223</v>
      </c>
      <c r="E634" t="n">
        <v>0.0003630618381149113</v>
      </c>
      <c r="F634" t="n">
        <v>0.7671408025969387</v>
      </c>
      <c r="G634" t="inlineStr">
        <is>
          <t>A</t>
        </is>
      </c>
      <c r="H634" t="n">
        <v>89</v>
      </c>
      <c r="I634" t="n">
        <v>9.336740741</v>
      </c>
      <c r="J634" t="n">
        <v>830.969925949</v>
      </c>
      <c r="K634" t="n">
        <v>3.3</v>
      </c>
      <c r="L634" t="n">
        <v>26.96969696969697</v>
      </c>
      <c r="M634" t="n">
        <v>2</v>
      </c>
      <c r="N634" t="n">
        <v>6.6</v>
      </c>
      <c r="O634" t="n">
        <v>82.40000000000001</v>
      </c>
      <c r="P634" t="n">
        <v>769.3474370584</v>
      </c>
      <c r="Q634" t="n">
        <v>0.9258426966292136</v>
      </c>
      <c r="R634" t="inlineStr">
        <is>
          <t>Sobrestock crítico</t>
        </is>
      </c>
    </row>
    <row r="635">
      <c r="A635" t="inlineStr">
        <is>
          <t>MARMIDA50TL</t>
        </is>
      </c>
      <c r="B635" t="inlineStr">
        <is>
          <t>MAR ORIGINAL DAMA</t>
        </is>
      </c>
      <c r="C635" t="inlineStr">
        <is>
          <t>Manufactura / Dama / P. Superiores</t>
        </is>
      </c>
      <c r="D635" t="n">
        <v>1481.39075901</v>
      </c>
      <c r="E635" t="n">
        <v>0.0003626927081559338</v>
      </c>
      <c r="F635" t="n">
        <v>0.7675034953050947</v>
      </c>
      <c r="G635" t="inlineStr">
        <is>
          <t>A</t>
        </is>
      </c>
      <c r="H635" t="n">
        <v>60</v>
      </c>
      <c r="I635" t="n">
        <v>4.278324149</v>
      </c>
      <c r="J635" t="n">
        <v>256.69944894</v>
      </c>
      <c r="K635" t="n">
        <v>3.6</v>
      </c>
      <c r="L635" t="n">
        <v>16.66666666666667</v>
      </c>
      <c r="M635" t="n">
        <v>2</v>
      </c>
      <c r="N635" t="n">
        <v>7.2</v>
      </c>
      <c r="O635" t="n">
        <v>52.8</v>
      </c>
      <c r="P635" t="n">
        <v>225.8955150672</v>
      </c>
      <c r="Q635" t="n">
        <v>0.8799999999999999</v>
      </c>
      <c r="R635" t="inlineStr">
        <is>
          <t>Sobrestock crítico</t>
        </is>
      </c>
    </row>
    <row r="636">
      <c r="A636" t="inlineStr">
        <is>
          <t>SHOSUCA154T2XL</t>
        </is>
      </c>
      <c r="B636" t="inlineStr">
        <is>
          <t>SHORT PLAYA ESTAMPADO CAB</t>
        </is>
      </c>
      <c r="C636" t="inlineStr">
        <is>
          <t>Manufactura / Caballero / P. Inferiores</t>
        </is>
      </c>
      <c r="D636" t="n">
        <v>1472.1153101</v>
      </c>
      <c r="E636" t="n">
        <v>0.0003604217761522955</v>
      </c>
      <c r="F636" t="n">
        <v>0.7678639170812469</v>
      </c>
      <c r="G636" t="inlineStr">
        <is>
          <t>A</t>
        </is>
      </c>
      <c r="H636" t="n">
        <v>14</v>
      </c>
      <c r="I636" t="n">
        <v>12.11</v>
      </c>
      <c r="J636" t="n">
        <v>169.54</v>
      </c>
      <c r="K636" t="n">
        <v>2.8</v>
      </c>
      <c r="L636" t="n">
        <v>5</v>
      </c>
      <c r="M636" t="n">
        <v>2</v>
      </c>
      <c r="N636" t="n">
        <v>5.6</v>
      </c>
      <c r="O636" t="n">
        <v>8.4</v>
      </c>
      <c r="P636" t="n">
        <v>101.724</v>
      </c>
      <c r="Q636" t="n">
        <v>0.6000000000000001</v>
      </c>
      <c r="R636" t="inlineStr">
        <is>
          <t>Sobrestock crítico</t>
        </is>
      </c>
    </row>
    <row r="637">
      <c r="A637" t="inlineStr">
        <is>
          <t>RIOMIKI43T8</t>
        </is>
      </c>
      <c r="B637" t="inlineStr">
        <is>
          <t>RIO ORIGINAL KIDS</t>
        </is>
      </c>
      <c r="C637" t="inlineStr">
        <is>
          <t>Manufactura / Kids / P. Superiores</t>
        </is>
      </c>
      <c r="D637" t="n">
        <v>1470.19339179</v>
      </c>
      <c r="E637" t="n">
        <v>0.0003599512279512427</v>
      </c>
      <c r="F637" t="n">
        <v>0.7682238683091982</v>
      </c>
      <c r="G637" t="inlineStr">
        <is>
          <t>A</t>
        </is>
      </c>
      <c r="H637" t="n">
        <v>75</v>
      </c>
      <c r="I637" t="n">
        <v>3.617969464</v>
      </c>
      <c r="J637" t="n">
        <v>271.3477098</v>
      </c>
      <c r="K637" t="n">
        <v>3.4</v>
      </c>
      <c r="L637" t="n">
        <v>22.05882352941176</v>
      </c>
      <c r="M637" t="n">
        <v>2</v>
      </c>
      <c r="N637" t="n">
        <v>6.8</v>
      </c>
      <c r="O637" t="n">
        <v>68.2</v>
      </c>
      <c r="P637" t="n">
        <v>246.7455174448</v>
      </c>
      <c r="Q637" t="n">
        <v>0.9093333333333333</v>
      </c>
      <c r="R637" t="inlineStr">
        <is>
          <t>Sobrestock crítico</t>
        </is>
      </c>
    </row>
    <row r="638">
      <c r="A638" t="inlineStr">
        <is>
          <t>SHUNTCA43TS</t>
        </is>
      </c>
      <c r="B638" t="inlineStr">
        <is>
          <t>SHORT SPORT R1 CAB</t>
        </is>
      </c>
      <c r="C638" t="inlineStr">
        <is>
          <t>Manufactura / Caballero / P. Inferiores</t>
        </is>
      </c>
      <c r="D638" t="n">
        <v>1469.571988</v>
      </c>
      <c r="E638" t="n">
        <v>0.0003597990880637196</v>
      </c>
      <c r="F638" t="n">
        <v>0.7685836673972619</v>
      </c>
      <c r="G638" t="inlineStr">
        <is>
          <t>A</t>
        </is>
      </c>
      <c r="H638" t="n">
        <v>26</v>
      </c>
      <c r="I638" t="n">
        <v>9.119999999999999</v>
      </c>
      <c r="J638" t="n">
        <v>237.12</v>
      </c>
      <c r="K638" t="n">
        <v>3.2</v>
      </c>
      <c r="L638" t="n">
        <v>8.125</v>
      </c>
      <c r="M638" t="n">
        <v>2</v>
      </c>
      <c r="N638" t="n">
        <v>6.4</v>
      </c>
      <c r="O638" t="n">
        <v>19.6</v>
      </c>
      <c r="P638" t="n">
        <v>178.752</v>
      </c>
      <c r="Q638" t="n">
        <v>0.7538461538461539</v>
      </c>
      <c r="R638" t="inlineStr">
        <is>
          <t>Sobrestock crítico</t>
        </is>
      </c>
    </row>
    <row r="639">
      <c r="A639" t="inlineStr">
        <is>
          <t>SHOSUCA156T2XL</t>
        </is>
      </c>
      <c r="B639" t="inlineStr">
        <is>
          <t>SHORT PLAYA ESTAMPADO CAB</t>
        </is>
      </c>
      <c r="C639" t="inlineStr">
        <is>
          <t>Manufactura / Caballero / P. Inferiores</t>
        </is>
      </c>
      <c r="D639" t="n">
        <v>1469.30442508</v>
      </c>
      <c r="E639" t="n">
        <v>0.0003597335799461168</v>
      </c>
      <c r="F639" t="n">
        <v>0.768943400977208</v>
      </c>
      <c r="G639" t="inlineStr">
        <is>
          <t>A</t>
        </is>
      </c>
      <c r="H639" t="n">
        <v>9</v>
      </c>
      <c r="I639" t="n">
        <v>12.11</v>
      </c>
      <c r="J639" t="n">
        <v>108.99</v>
      </c>
      <c r="K639" t="n">
        <v>2.8</v>
      </c>
      <c r="L639" t="n">
        <v>3.214285714285714</v>
      </c>
      <c r="M639" t="n">
        <v>2</v>
      </c>
      <c r="N639" t="n">
        <v>5.6</v>
      </c>
      <c r="O639" t="n">
        <v>3.4</v>
      </c>
      <c r="P639" t="n">
        <v>41.174</v>
      </c>
      <c r="Q639" t="n">
        <v>0.3777777777777778</v>
      </c>
      <c r="R639" t="inlineStr">
        <is>
          <t>Sobrestock crítico</t>
        </is>
      </c>
    </row>
    <row r="640">
      <c r="A640" t="inlineStr">
        <is>
          <t>MIKFNDA16TM</t>
        </is>
      </c>
      <c r="B640" t="inlineStr">
        <is>
          <t>MIKA SPORT LITE DAMA</t>
        </is>
      </c>
      <c r="C640" t="inlineStr">
        <is>
          <t>Manufactura / Dama / P. Superiores</t>
        </is>
      </c>
      <c r="D640" t="n">
        <v>1467.63952245</v>
      </c>
      <c r="E640" t="n">
        <v>0.0003593259575547809</v>
      </c>
      <c r="F640" t="n">
        <v>0.7693027269347628</v>
      </c>
      <c r="G640" t="inlineStr">
        <is>
          <t>A</t>
        </is>
      </c>
      <c r="H640" t="n">
        <v>8</v>
      </c>
      <c r="I640" t="n">
        <v>5.484675344</v>
      </c>
      <c r="J640" t="n">
        <v>43.877402752</v>
      </c>
      <c r="K640" t="n">
        <v>4.4</v>
      </c>
      <c r="L640" t="n">
        <v>1.818181818181818</v>
      </c>
      <c r="M640" t="n">
        <v>2</v>
      </c>
      <c r="N640" t="n">
        <v>8.800000000000001</v>
      </c>
      <c r="O640" t="n">
        <v>0</v>
      </c>
      <c r="P640" t="n">
        <v>0</v>
      </c>
      <c r="Q640" t="n">
        <v>0</v>
      </c>
      <c r="R640" t="inlineStr">
        <is>
          <t>OK</t>
        </is>
      </c>
    </row>
    <row r="641">
      <c r="A641" t="inlineStr">
        <is>
          <t>HEA73EQ</t>
        </is>
      </c>
      <c r="B641" t="inlineStr">
        <is>
          <t>HEADBAND</t>
        </is>
      </c>
      <c r="C641" t="inlineStr">
        <is>
          <t>Equipamiento / Accesorios</t>
        </is>
      </c>
      <c r="D641" t="n">
        <v>1461.415538245</v>
      </c>
      <c r="E641" t="n">
        <v>0.0003578021235001255</v>
      </c>
      <c r="F641" t="n">
        <v>0.769660529058263</v>
      </c>
      <c r="G641" t="inlineStr">
        <is>
          <t>A</t>
        </is>
      </c>
      <c r="H641" t="n">
        <v>211</v>
      </c>
      <c r="I641" t="n">
        <v>4.26</v>
      </c>
      <c r="J641" t="n">
        <v>898.8599999999999</v>
      </c>
      <c r="K641" t="n">
        <v>9.5</v>
      </c>
      <c r="L641" t="n">
        <v>22.21052631578947</v>
      </c>
      <c r="M641" t="n">
        <v>2</v>
      </c>
      <c r="N641" t="n">
        <v>19</v>
      </c>
      <c r="O641" t="n">
        <v>192</v>
      </c>
      <c r="P641" t="n">
        <v>817.92</v>
      </c>
      <c r="Q641" t="n">
        <v>0.9099526066350712</v>
      </c>
      <c r="R641" t="inlineStr">
        <is>
          <t>Sobrestock crítico</t>
        </is>
      </c>
    </row>
    <row r="642">
      <c r="A642" t="inlineStr">
        <is>
          <t>JACCA70TS</t>
        </is>
      </c>
      <c r="B642" t="inlineStr">
        <is>
          <t>JACKET CAB</t>
        </is>
      </c>
      <c r="C642" t="inlineStr">
        <is>
          <t>Equipamiento / Ropa</t>
        </is>
      </c>
      <c r="D642" t="n">
        <v>1460.54730724</v>
      </c>
      <c r="E642" t="n">
        <v>0.0003575895522709659</v>
      </c>
      <c r="F642" t="n">
        <v>0.7700181186105339</v>
      </c>
      <c r="G642" t="inlineStr">
        <is>
          <t>A</t>
        </is>
      </c>
      <c r="H642" t="n">
        <v>71</v>
      </c>
      <c r="I642" t="n">
        <v>20.25001933</v>
      </c>
      <c r="J642" t="n">
        <v>1437.75137243</v>
      </c>
      <c r="K642" t="n">
        <v>2.5</v>
      </c>
      <c r="L642" t="n">
        <v>28.4</v>
      </c>
      <c r="M642" t="n">
        <v>2</v>
      </c>
      <c r="N642" t="n">
        <v>5</v>
      </c>
      <c r="O642" t="n">
        <v>66</v>
      </c>
      <c r="P642" t="n">
        <v>1336.50127578</v>
      </c>
      <c r="Q642" t="n">
        <v>0.9295774647887323</v>
      </c>
      <c r="R642" t="inlineStr">
        <is>
          <t>Sobrestock crítico</t>
        </is>
      </c>
    </row>
    <row r="643">
      <c r="A643" t="inlineStr">
        <is>
          <t>POLPLCA33T2XL</t>
        </is>
      </c>
      <c r="B643" t="inlineStr">
        <is>
          <t>CLASSIC POLO</t>
        </is>
      </c>
      <c r="C643" t="inlineStr">
        <is>
          <t>Manufactura / Caballero / P. Superiores</t>
        </is>
      </c>
      <c r="D643" t="n">
        <v>1457.00580934</v>
      </c>
      <c r="E643" t="n">
        <v>0.0003567224782349851</v>
      </c>
      <c r="F643" t="n">
        <v>0.7703748410887689</v>
      </c>
      <c r="G643" t="inlineStr">
        <is>
          <t>A</t>
        </is>
      </c>
      <c r="H643" t="n">
        <v>0</v>
      </c>
      <c r="I643" t="n">
        <v>7.34</v>
      </c>
      <c r="J643" t="n">
        <v>0</v>
      </c>
      <c r="K643" t="n">
        <v>3</v>
      </c>
      <c r="L643" t="n">
        <v>0</v>
      </c>
      <c r="M643" t="n">
        <v>2</v>
      </c>
      <c r="N643" t="n">
        <v>6</v>
      </c>
      <c r="O643" t="n">
        <v>0</v>
      </c>
      <c r="P643" t="n">
        <v>0</v>
      </c>
      <c r="Q643" t="n">
        <v>0</v>
      </c>
      <c r="R643" t="inlineStr">
        <is>
          <t>Riesgo bajo stock</t>
        </is>
      </c>
    </row>
    <row r="644">
      <c r="A644" t="inlineStr">
        <is>
          <t>MARMIDA04TM</t>
        </is>
      </c>
      <c r="B644" t="inlineStr">
        <is>
          <t>MAR ORIGINAL DAMA</t>
        </is>
      </c>
      <c r="C644" t="inlineStr">
        <is>
          <t>Manufactura / Dama / P. Superiores</t>
        </is>
      </c>
      <c r="D644" t="n">
        <v>1455.9664098</v>
      </c>
      <c r="E644" t="n">
        <v>0.0003564679993733304</v>
      </c>
      <c r="F644" t="n">
        <v>0.7707313090881421</v>
      </c>
      <c r="G644" t="inlineStr">
        <is>
          <t>A</t>
        </is>
      </c>
      <c r="H644" t="n">
        <v>50</v>
      </c>
      <c r="I644" t="n">
        <v>4.278324149</v>
      </c>
      <c r="J644" t="n">
        <v>213.91620745</v>
      </c>
      <c r="K644" t="n">
        <v>2.9</v>
      </c>
      <c r="L644" t="n">
        <v>17.24137931034483</v>
      </c>
      <c r="M644" t="n">
        <v>2</v>
      </c>
      <c r="N644" t="n">
        <v>5.8</v>
      </c>
      <c r="O644" t="n">
        <v>44.2</v>
      </c>
      <c r="P644" t="n">
        <v>189.1019273858</v>
      </c>
      <c r="Q644" t="n">
        <v>0.884</v>
      </c>
      <c r="R644" t="inlineStr">
        <is>
          <t>Sobrestock crítico</t>
        </is>
      </c>
    </row>
    <row r="645">
      <c r="A645" t="inlineStr">
        <is>
          <t>RIOMIKI16T2</t>
        </is>
      </c>
      <c r="B645" t="inlineStr">
        <is>
          <t>RIO ORIGINAL KIDS</t>
        </is>
      </c>
      <c r="C645" t="inlineStr">
        <is>
          <t>Manufactura / Kids / P. Superiores</t>
        </is>
      </c>
      <c r="D645" t="n">
        <v>1452.41425907</v>
      </c>
      <c r="E645" t="n">
        <v>0.0003555983171775924</v>
      </c>
      <c r="F645" t="n">
        <v>0.7710869074053198</v>
      </c>
      <c r="G645" t="inlineStr">
        <is>
          <t>A</t>
        </is>
      </c>
      <c r="H645" t="n">
        <v>33</v>
      </c>
      <c r="I645" t="n">
        <v>3.617969464</v>
      </c>
      <c r="J645" t="n">
        <v>119.392992312</v>
      </c>
      <c r="K645" t="n">
        <v>3.5</v>
      </c>
      <c r="L645" t="n">
        <v>9.428571428571429</v>
      </c>
      <c r="M645" t="n">
        <v>2</v>
      </c>
      <c r="N645" t="n">
        <v>7</v>
      </c>
      <c r="O645" t="n">
        <v>26</v>
      </c>
      <c r="P645" t="n">
        <v>94.067206064</v>
      </c>
      <c r="Q645" t="n">
        <v>0.7878787878787878</v>
      </c>
      <c r="R645" t="inlineStr">
        <is>
          <t>Sobrestock crítico</t>
        </is>
      </c>
    </row>
    <row r="646">
      <c r="A646" t="inlineStr">
        <is>
          <t>RIOMIDA70TS</t>
        </is>
      </c>
      <c r="B646" t="inlineStr">
        <is>
          <t>RIO ORIGINAL DAMA</t>
        </is>
      </c>
      <c r="C646" t="inlineStr">
        <is>
          <t>Manufactura / Dama / P. Superiores</t>
        </is>
      </c>
      <c r="D646" t="n">
        <v>1450.99842551</v>
      </c>
      <c r="E646" t="n">
        <v>0.0003552516750070164</v>
      </c>
      <c r="F646" t="n">
        <v>0.7714421590803268</v>
      </c>
      <c r="G646" t="inlineStr">
        <is>
          <t>A</t>
        </is>
      </c>
      <c r="H646" t="n">
        <v>34</v>
      </c>
      <c r="I646" t="n">
        <v>5.538832275</v>
      </c>
      <c r="J646" t="n">
        <v>188.32029735</v>
      </c>
      <c r="K646" t="n">
        <v>2.6</v>
      </c>
      <c r="L646" t="n">
        <v>13.07692307692308</v>
      </c>
      <c r="M646" t="n">
        <v>2</v>
      </c>
      <c r="N646" t="n">
        <v>5.2</v>
      </c>
      <c r="O646" t="n">
        <v>28.8</v>
      </c>
      <c r="P646" t="n">
        <v>159.51836952</v>
      </c>
      <c r="Q646" t="n">
        <v>0.8470588235294118</v>
      </c>
      <c r="R646" t="inlineStr">
        <is>
          <t>Sobrestock crítico</t>
        </is>
      </c>
    </row>
    <row r="647">
      <c r="A647" t="inlineStr">
        <is>
          <t>CLAMECA13TL</t>
        </is>
      </c>
      <c r="B647" t="inlineStr">
        <is>
          <t>CLASICA SPORT CAB</t>
        </is>
      </c>
      <c r="C647" t="inlineStr">
        <is>
          <t>Manufactura / Caballero / P. Superiores</t>
        </is>
      </c>
      <c r="D647" t="n">
        <v>1449.27348485</v>
      </c>
      <c r="E647" t="n">
        <v>0.0003548293533504389</v>
      </c>
      <c r="F647" t="n">
        <v>0.7717969884336773</v>
      </c>
      <c r="G647" t="inlineStr">
        <is>
          <t>A</t>
        </is>
      </c>
      <c r="H647" t="n">
        <v>1</v>
      </c>
      <c r="I647" t="n">
        <v>10.3013454</v>
      </c>
      <c r="J647" t="n">
        <v>10.3013454</v>
      </c>
      <c r="K647" t="n">
        <v>2.9</v>
      </c>
      <c r="L647" t="n">
        <v>0.3448275862068966</v>
      </c>
      <c r="M647" t="n">
        <v>2</v>
      </c>
      <c r="N647" t="n">
        <v>5.8</v>
      </c>
      <c r="O647" t="n">
        <v>0</v>
      </c>
      <c r="P647" t="n">
        <v>0</v>
      </c>
      <c r="Q647" t="n">
        <v>0</v>
      </c>
      <c r="R647" t="inlineStr">
        <is>
          <t>Riesgo bajo stock</t>
        </is>
      </c>
    </row>
    <row r="648">
      <c r="A648" t="inlineStr">
        <is>
          <t>CLAMECA30TS</t>
        </is>
      </c>
      <c r="B648" t="inlineStr">
        <is>
          <t>CLASICA SPORT CAB</t>
        </is>
      </c>
      <c r="C648" t="inlineStr">
        <is>
          <t>Manufactura / Caballero / P. Superiores</t>
        </is>
      </c>
      <c r="D648" t="n">
        <v>1439.12032578</v>
      </c>
      <c r="E648" t="n">
        <v>0.0003523435293117516</v>
      </c>
      <c r="F648" t="n">
        <v>0.772149331962989</v>
      </c>
      <c r="G648" t="inlineStr">
        <is>
          <t>A</t>
        </is>
      </c>
      <c r="H648" t="n">
        <v>18</v>
      </c>
      <c r="I648" t="n">
        <v>10.3013454</v>
      </c>
      <c r="J648" t="n">
        <v>185.4242172</v>
      </c>
      <c r="K648" t="n">
        <v>2.7</v>
      </c>
      <c r="L648" t="n">
        <v>6.666666666666666</v>
      </c>
      <c r="M648" t="n">
        <v>2</v>
      </c>
      <c r="N648" t="n">
        <v>5.4</v>
      </c>
      <c r="O648" t="n">
        <v>12.6</v>
      </c>
      <c r="P648" t="n">
        <v>129.79695204</v>
      </c>
      <c r="Q648" t="n">
        <v>0.7</v>
      </c>
      <c r="R648" t="inlineStr">
        <is>
          <t>Sobrestock crítico</t>
        </is>
      </c>
    </row>
    <row r="649">
      <c r="A649" t="inlineStr">
        <is>
          <t>MARMICA30TS</t>
        </is>
      </c>
      <c r="B649" t="inlineStr">
        <is>
          <t>MAR ORIGINAL CAB</t>
        </is>
      </c>
      <c r="C649" t="inlineStr">
        <is>
          <t>Manufactura / Caballero / P. Superiores</t>
        </is>
      </c>
      <c r="D649" t="n">
        <v>1433.58408871</v>
      </c>
      <c r="E649" t="n">
        <v>0.0003509880781563432</v>
      </c>
      <c r="F649" t="n">
        <v>0.7725003200411453</v>
      </c>
      <c r="G649" t="inlineStr">
        <is>
          <t>A</t>
        </is>
      </c>
      <c r="H649" t="n">
        <v>37</v>
      </c>
      <c r="I649" t="n">
        <v>4.946357428</v>
      </c>
      <c r="J649" t="n">
        <v>183.015224836</v>
      </c>
      <c r="K649" t="n">
        <v>3</v>
      </c>
      <c r="L649" t="n">
        <v>12.33333333333333</v>
      </c>
      <c r="M649" t="n">
        <v>2</v>
      </c>
      <c r="N649" t="n">
        <v>6</v>
      </c>
      <c r="O649" t="n">
        <v>31</v>
      </c>
      <c r="P649" t="n">
        <v>153.337080268</v>
      </c>
      <c r="Q649" t="n">
        <v>0.8378378378378378</v>
      </c>
      <c r="R649" t="inlineStr">
        <is>
          <t>Sobrestock crítico</t>
        </is>
      </c>
    </row>
    <row r="650">
      <c r="A650" t="inlineStr">
        <is>
          <t>JAPKI43T8</t>
        </is>
      </c>
      <c r="B650" t="inlineStr">
        <is>
          <t>CUADRO JACKET 2.0 KIDS</t>
        </is>
      </c>
      <c r="C650" t="inlineStr">
        <is>
          <t>Equipamiento / Ropa</t>
        </is>
      </c>
      <c r="D650" t="n">
        <v>1430.66387643</v>
      </c>
      <c r="E650" t="n">
        <v>0.0003502731150760204</v>
      </c>
      <c r="F650" t="n">
        <v>0.7728505931562213</v>
      </c>
      <c r="G650" t="inlineStr">
        <is>
          <t>A</t>
        </is>
      </c>
      <c r="H650" t="n">
        <v>76</v>
      </c>
      <c r="I650" t="n">
        <v>15.17</v>
      </c>
      <c r="J650" t="n">
        <v>1152.92</v>
      </c>
      <c r="K650" t="n">
        <v>2.2</v>
      </c>
      <c r="L650" t="n">
        <v>34.54545454545454</v>
      </c>
      <c r="M650" t="n">
        <v>2</v>
      </c>
      <c r="N650" t="n">
        <v>4.4</v>
      </c>
      <c r="O650" t="n">
        <v>71.59999999999999</v>
      </c>
      <c r="P650" t="n">
        <v>1086.172</v>
      </c>
      <c r="Q650" t="n">
        <v>0.9421052631578947</v>
      </c>
      <c r="R650" t="inlineStr">
        <is>
          <t>Sobrestock crítico</t>
        </is>
      </c>
    </row>
    <row r="651">
      <c r="A651" t="inlineStr">
        <is>
          <t>SNA66EQ</t>
        </is>
      </c>
      <c r="B651" t="inlineStr">
        <is>
          <t>LLAVERO SNAP</t>
        </is>
      </c>
      <c r="C651" t="inlineStr">
        <is>
          <t>Equipamiento / Accesorios</t>
        </is>
      </c>
      <c r="D651" t="n">
        <v>1424.358392463</v>
      </c>
      <c r="E651" t="n">
        <v>0.0003487293272251002</v>
      </c>
      <c r="F651" t="n">
        <v>0.7731993224834465</v>
      </c>
      <c r="G651" t="inlineStr">
        <is>
          <t>A</t>
        </is>
      </c>
      <c r="H651" t="n">
        <v>605</v>
      </c>
      <c r="I651" t="n">
        <v>1</v>
      </c>
      <c r="J651" t="n">
        <v>605</v>
      </c>
      <c r="K651" t="n">
        <v>23.8</v>
      </c>
      <c r="L651" t="n">
        <v>25.42016806722689</v>
      </c>
      <c r="M651" t="n">
        <v>2</v>
      </c>
      <c r="N651" t="n">
        <v>47.6</v>
      </c>
      <c r="O651" t="n">
        <v>557.4</v>
      </c>
      <c r="P651" t="n">
        <v>557.4</v>
      </c>
      <c r="Q651" t="n">
        <v>0.9213223140495868</v>
      </c>
      <c r="R651" t="inlineStr">
        <is>
          <t>Sobrestock crítico</t>
        </is>
      </c>
    </row>
    <row r="652">
      <c r="A652" t="inlineStr">
        <is>
          <t>MARMICA30T2XL</t>
        </is>
      </c>
      <c r="B652" t="inlineStr">
        <is>
          <t>MAR ORIGINAL CAB</t>
        </is>
      </c>
      <c r="C652" t="inlineStr">
        <is>
          <t>Manufactura / Caballero / P. Superiores</t>
        </is>
      </c>
      <c r="D652" t="n">
        <v>1412.72250558</v>
      </c>
      <c r="E652" t="n">
        <v>0.0003458804831238911</v>
      </c>
      <c r="F652" t="n">
        <v>0.7735452029665704</v>
      </c>
      <c r="G652" t="inlineStr">
        <is>
          <t>A</t>
        </is>
      </c>
      <c r="H652" t="n">
        <v>50</v>
      </c>
      <c r="I652" t="n">
        <v>4.946357428</v>
      </c>
      <c r="J652" t="n">
        <v>247.3178714</v>
      </c>
      <c r="K652" t="n">
        <v>2.9</v>
      </c>
      <c r="L652" t="n">
        <v>17.24137931034483</v>
      </c>
      <c r="M652" t="n">
        <v>2</v>
      </c>
      <c r="N652" t="n">
        <v>5.8</v>
      </c>
      <c r="O652" t="n">
        <v>44.2</v>
      </c>
      <c r="P652" t="n">
        <v>218.6289983176</v>
      </c>
      <c r="Q652" t="n">
        <v>0.884</v>
      </c>
      <c r="R652" t="inlineStr">
        <is>
          <t>Sobrestock crítico</t>
        </is>
      </c>
    </row>
    <row r="653">
      <c r="A653" t="inlineStr">
        <is>
          <t>CAP16FC</t>
        </is>
      </c>
      <c r="B653" t="inlineStr">
        <is>
          <t>FIT CAP</t>
        </is>
      </c>
      <c r="C653" t="inlineStr">
        <is>
          <t>Equipamiento / Gorras</t>
        </is>
      </c>
      <c r="D653" t="n">
        <v>1407.98503341</v>
      </c>
      <c r="E653" t="n">
        <v>0.0003447205956325589</v>
      </c>
      <c r="F653" t="n">
        <v>0.773889923562203</v>
      </c>
      <c r="G653" t="inlineStr">
        <is>
          <t>A</t>
        </is>
      </c>
      <c r="H653" t="n">
        <v>980</v>
      </c>
      <c r="I653" t="n">
        <v>4.11</v>
      </c>
      <c r="J653" t="n">
        <v>4027.8</v>
      </c>
      <c r="K653" t="n">
        <v>5.9</v>
      </c>
      <c r="L653" t="n">
        <v>166.1016949152542</v>
      </c>
      <c r="M653" t="n">
        <v>2</v>
      </c>
      <c r="N653" t="n">
        <v>11.8</v>
      </c>
      <c r="O653" t="n">
        <v>968.2</v>
      </c>
      <c r="P653" t="n">
        <v>3979.302000000001</v>
      </c>
      <c r="Q653" t="n">
        <v>0.9879591836734695</v>
      </c>
      <c r="R653" t="inlineStr">
        <is>
          <t>Sobrestock crítico</t>
        </is>
      </c>
    </row>
    <row r="654">
      <c r="A654" t="inlineStr">
        <is>
          <t>MARMIDA30TL</t>
        </is>
      </c>
      <c r="B654" t="inlineStr">
        <is>
          <t>MAR ORIGINAL DAMA</t>
        </is>
      </c>
      <c r="C654" t="inlineStr">
        <is>
          <t>Manufactura / Dama / P. Superiores</t>
        </is>
      </c>
      <c r="D654" t="n">
        <v>1407.95992149</v>
      </c>
      <c r="E654" t="n">
        <v>0.0003447144474166231</v>
      </c>
      <c r="F654" t="n">
        <v>0.7742346380096194</v>
      </c>
      <c r="G654" t="inlineStr">
        <is>
          <t>A</t>
        </is>
      </c>
      <c r="H654" t="n">
        <v>27</v>
      </c>
      <c r="I654" t="n">
        <v>4.278324149</v>
      </c>
      <c r="J654" t="n">
        <v>115.514752023</v>
      </c>
      <c r="K654" t="n">
        <v>2.9</v>
      </c>
      <c r="L654" t="n">
        <v>9.310344827586206</v>
      </c>
      <c r="M654" t="n">
        <v>2</v>
      </c>
      <c r="N654" t="n">
        <v>5.8</v>
      </c>
      <c r="O654" t="n">
        <v>21.2</v>
      </c>
      <c r="P654" t="n">
        <v>90.70047195880001</v>
      </c>
      <c r="Q654" t="n">
        <v>0.7851851851851852</v>
      </c>
      <c r="R654" t="inlineStr">
        <is>
          <t>Sobrestock crítico</t>
        </is>
      </c>
    </row>
    <row r="655">
      <c r="A655" t="inlineStr">
        <is>
          <t>RIOMIKI11T6</t>
        </is>
      </c>
      <c r="B655" t="inlineStr">
        <is>
          <t>RIO ORIGINAL KIDS</t>
        </is>
      </c>
      <c r="C655" t="inlineStr">
        <is>
          <t>Manufactura / Kids / P. Superiores</t>
        </is>
      </c>
      <c r="D655" t="n">
        <v>1406.38008651</v>
      </c>
      <c r="E655" t="n">
        <v>0.0003443276523567439</v>
      </c>
      <c r="F655" t="n">
        <v>0.7745789656619763</v>
      </c>
      <c r="G655" t="inlineStr">
        <is>
          <t>A</t>
        </is>
      </c>
      <c r="H655" t="n">
        <v>18</v>
      </c>
      <c r="I655" t="n">
        <v>3.617969464</v>
      </c>
      <c r="J655" t="n">
        <v>65.12345035200001</v>
      </c>
      <c r="K655" t="n">
        <v>3.2</v>
      </c>
      <c r="L655" t="n">
        <v>5.625</v>
      </c>
      <c r="M655" t="n">
        <v>2</v>
      </c>
      <c r="N655" t="n">
        <v>6.4</v>
      </c>
      <c r="O655" t="n">
        <v>11.6</v>
      </c>
      <c r="P655" t="n">
        <v>41.9684457824</v>
      </c>
      <c r="Q655" t="n">
        <v>0.6444444444444445</v>
      </c>
      <c r="R655" t="inlineStr">
        <is>
          <t>Sobrestock crítico</t>
        </is>
      </c>
    </row>
    <row r="656">
      <c r="A656" t="inlineStr">
        <is>
          <t>CLAMIDA16TL</t>
        </is>
      </c>
      <c r="B656" t="inlineStr">
        <is>
          <t>CLASICA ORIGINAL DAMA</t>
        </is>
      </c>
      <c r="C656" t="inlineStr">
        <is>
          <t>Manufactura / Dama / P. Superiores</t>
        </is>
      </c>
      <c r="D656" t="n">
        <v>1405.4109094</v>
      </c>
      <c r="E656" t="n">
        <v>0.0003440903662331667</v>
      </c>
      <c r="F656" t="n">
        <v>0.7749230560282094</v>
      </c>
      <c r="G656" t="inlineStr">
        <is>
          <t>A</t>
        </is>
      </c>
      <c r="H656" t="n">
        <v>30</v>
      </c>
      <c r="I656" t="n">
        <v>3.923227589</v>
      </c>
      <c r="J656" t="n">
        <v>117.69682767</v>
      </c>
      <c r="K656" t="n">
        <v>5.9</v>
      </c>
      <c r="L656" t="n">
        <v>5.084745762711864</v>
      </c>
      <c r="M656" t="n">
        <v>2</v>
      </c>
      <c r="N656" t="n">
        <v>11.8</v>
      </c>
      <c r="O656" t="n">
        <v>18.2</v>
      </c>
      <c r="P656" t="n">
        <v>71.4027421198</v>
      </c>
      <c r="Q656" t="n">
        <v>0.6066666666666666</v>
      </c>
      <c r="R656" t="inlineStr">
        <is>
          <t>Sobrestock crítico</t>
        </is>
      </c>
    </row>
    <row r="657">
      <c r="A657" t="inlineStr">
        <is>
          <t>CLAMICA13TL</t>
        </is>
      </c>
      <c r="B657" t="inlineStr">
        <is>
          <t>CLASICA ORIGINAL CAB</t>
        </is>
      </c>
      <c r="C657" t="inlineStr">
        <is>
          <t>Manufactura / Caballero / P. Superiores</t>
        </is>
      </c>
      <c r="D657" t="n">
        <v>1403.98297355</v>
      </c>
      <c r="E657" t="n">
        <v>0.0003437407610278152</v>
      </c>
      <c r="F657" t="n">
        <v>0.7752667967892373</v>
      </c>
      <c r="G657" t="inlineStr">
        <is>
          <t>A</t>
        </is>
      </c>
      <c r="H657" t="n">
        <v>6</v>
      </c>
      <c r="I657" t="n">
        <v>4.598442536</v>
      </c>
      <c r="J657" t="n">
        <v>27.590655216</v>
      </c>
      <c r="K657" t="n">
        <v>3.6</v>
      </c>
      <c r="L657" t="n">
        <v>1.666666666666667</v>
      </c>
      <c r="M657" t="n">
        <v>2</v>
      </c>
      <c r="N657" t="n">
        <v>7.2</v>
      </c>
      <c r="O657" t="n">
        <v>0</v>
      </c>
      <c r="P657" t="n">
        <v>0</v>
      </c>
      <c r="Q657" t="n">
        <v>0</v>
      </c>
      <c r="R657" t="inlineStr">
        <is>
          <t>OK</t>
        </is>
      </c>
    </row>
    <row r="658">
      <c r="A658" t="inlineStr">
        <is>
          <t>JAPKI35T4</t>
        </is>
      </c>
      <c r="B658" t="inlineStr">
        <is>
          <t>CUADRO JACKET 2.0 KIDS</t>
        </is>
      </c>
      <c r="C658" t="inlineStr">
        <is>
          <t>Equipamiento / Ropa</t>
        </is>
      </c>
      <c r="D658" t="n">
        <v>1400.81312134</v>
      </c>
      <c r="E658" t="n">
        <v>0.0003429646779616111</v>
      </c>
      <c r="F658" t="n">
        <v>0.775609761467199</v>
      </c>
      <c r="G658" t="inlineStr">
        <is>
          <t>A</t>
        </is>
      </c>
      <c r="H658" t="n">
        <v>22</v>
      </c>
      <c r="I658" t="n">
        <v>15.17</v>
      </c>
      <c r="J658" t="n">
        <v>333.74</v>
      </c>
      <c r="K658" t="n">
        <v>2</v>
      </c>
      <c r="L658" t="n">
        <v>11</v>
      </c>
      <c r="M658" t="n">
        <v>2</v>
      </c>
      <c r="N658" t="n">
        <v>4</v>
      </c>
      <c r="O658" t="n">
        <v>18</v>
      </c>
      <c r="P658" t="n">
        <v>273.0600000000001</v>
      </c>
      <c r="Q658" t="n">
        <v>0.8181818181818183</v>
      </c>
      <c r="R658" t="inlineStr">
        <is>
          <t>Sobrestock crítico</t>
        </is>
      </c>
    </row>
    <row r="659">
      <c r="A659" t="inlineStr">
        <is>
          <t>SHONRCA16TM</t>
        </is>
      </c>
      <c r="B659" t="inlineStr">
        <is>
          <t>SHORT SPORT CAB</t>
        </is>
      </c>
      <c r="C659" t="inlineStr">
        <is>
          <t>Manufactura / Caballero / P. Inferiores</t>
        </is>
      </c>
      <c r="D659" t="n">
        <v>1400.18392088</v>
      </c>
      <c r="E659" t="n">
        <v>0.0003428106291953268</v>
      </c>
      <c r="F659" t="n">
        <v>0.7759525720963942</v>
      </c>
      <c r="G659" t="inlineStr">
        <is>
          <t>A</t>
        </is>
      </c>
      <c r="H659" t="n">
        <v>0</v>
      </c>
      <c r="I659" t="n">
        <v>10.6514486</v>
      </c>
      <c r="J659" t="n">
        <v>0</v>
      </c>
      <c r="K659" t="n">
        <v>5.8</v>
      </c>
      <c r="L659" t="n">
        <v>0</v>
      </c>
      <c r="M659" t="n">
        <v>2</v>
      </c>
      <c r="N659" t="n">
        <v>11.6</v>
      </c>
      <c r="O659" t="n">
        <v>0</v>
      </c>
      <c r="P659" t="n">
        <v>0</v>
      </c>
      <c r="Q659" t="n">
        <v>0</v>
      </c>
      <c r="R659" t="inlineStr">
        <is>
          <t>Riesgo bajo stock</t>
        </is>
      </c>
    </row>
    <row r="660">
      <c r="A660" t="inlineStr">
        <is>
          <t>SNA30EQ</t>
        </is>
      </c>
      <c r="B660" t="inlineStr">
        <is>
          <t>LLAVERO SNAP</t>
        </is>
      </c>
      <c r="C660" t="inlineStr">
        <is>
          <t>Equipamiento / Accesorios</t>
        </is>
      </c>
      <c r="D660" t="n">
        <v>1399.527249285</v>
      </c>
      <c r="E660" t="n">
        <v>0.0003426498546004328</v>
      </c>
      <c r="F660" t="n">
        <v>0.7762952219509947</v>
      </c>
      <c r="G660" t="inlineStr">
        <is>
          <t>A</t>
        </is>
      </c>
      <c r="H660" t="n">
        <v>617</v>
      </c>
      <c r="I660" t="n">
        <v>1</v>
      </c>
      <c r="J660" t="n">
        <v>617</v>
      </c>
      <c r="K660" t="n">
        <v>25.6</v>
      </c>
      <c r="L660" t="n">
        <v>24.1015625</v>
      </c>
      <c r="M660" t="n">
        <v>2</v>
      </c>
      <c r="N660" t="n">
        <v>51.2</v>
      </c>
      <c r="O660" t="n">
        <v>565.8</v>
      </c>
      <c r="P660" t="n">
        <v>565.8</v>
      </c>
      <c r="Q660" t="n">
        <v>0.9170178282009723</v>
      </c>
      <c r="R660" t="inlineStr">
        <is>
          <t>Sobrestock crítico</t>
        </is>
      </c>
    </row>
    <row r="661">
      <c r="A661" t="inlineStr">
        <is>
          <t>LMOFIDA12TM</t>
        </is>
      </c>
      <c r="B661" t="inlineStr">
        <is>
          <t>LEGGING MOVA</t>
        </is>
      </c>
      <c r="C661" t="inlineStr">
        <is>
          <t>Manufactura / Dama / P. Inferiores</t>
        </is>
      </c>
      <c r="D661" t="n">
        <v>1399.41664195</v>
      </c>
      <c r="E661" t="n">
        <v>0.0003426227743222354</v>
      </c>
      <c r="F661" t="n">
        <v>0.7766378447253168</v>
      </c>
      <c r="G661" t="inlineStr">
        <is>
          <t>A</t>
        </is>
      </c>
      <c r="H661" t="n">
        <v>9</v>
      </c>
      <c r="I661" t="n">
        <v>17.7</v>
      </c>
      <c r="J661" t="n">
        <v>159.3</v>
      </c>
      <c r="K661" t="n">
        <v>2.2</v>
      </c>
      <c r="L661" t="n">
        <v>4.090909090909091</v>
      </c>
      <c r="M661" t="n">
        <v>2</v>
      </c>
      <c r="N661" t="n">
        <v>4.4</v>
      </c>
      <c r="O661" t="n">
        <v>4.6</v>
      </c>
      <c r="P661" t="n">
        <v>81.41999999999999</v>
      </c>
      <c r="Q661" t="n">
        <v>0.5111111111111111</v>
      </c>
      <c r="R661" t="inlineStr">
        <is>
          <t>Sobrestock crítico</t>
        </is>
      </c>
    </row>
    <row r="662">
      <c r="A662" t="inlineStr">
        <is>
          <t>CLAMICA66TL</t>
        </is>
      </c>
      <c r="B662" t="inlineStr">
        <is>
          <t>CLASICA ORIGINAL CAB</t>
        </is>
      </c>
      <c r="C662" t="inlineStr">
        <is>
          <t>Manufactura / Caballero / P. Superiores</t>
        </is>
      </c>
      <c r="D662" t="n">
        <v>1396.29550823</v>
      </c>
      <c r="E662" t="n">
        <v>0.0003418586191291923</v>
      </c>
      <c r="F662" t="n">
        <v>0.776979703344446</v>
      </c>
      <c r="G662" t="inlineStr">
        <is>
          <t>A</t>
        </is>
      </c>
      <c r="H662" t="n">
        <v>17</v>
      </c>
      <c r="I662" t="n">
        <v>4.598442536</v>
      </c>
      <c r="J662" t="n">
        <v>78.173523112</v>
      </c>
      <c r="K662" t="n">
        <v>5.5</v>
      </c>
      <c r="L662" t="n">
        <v>3.090909090909091</v>
      </c>
      <c r="M662" t="n">
        <v>2</v>
      </c>
      <c r="N662" t="n">
        <v>11</v>
      </c>
      <c r="O662" t="n">
        <v>6</v>
      </c>
      <c r="P662" t="n">
        <v>27.590655216</v>
      </c>
      <c r="Q662" t="n">
        <v>0.3529411764705883</v>
      </c>
      <c r="R662" t="inlineStr">
        <is>
          <t>Sobrestock crítico</t>
        </is>
      </c>
    </row>
    <row r="663">
      <c r="A663" t="inlineStr">
        <is>
          <t>POLPLCA14TL</t>
        </is>
      </c>
      <c r="B663" t="inlineStr">
        <is>
          <t>CLASSIC POLO</t>
        </is>
      </c>
      <c r="C663" t="inlineStr">
        <is>
          <t>Manufactura / Caballero / P. Superiores</t>
        </is>
      </c>
      <c r="D663" t="n">
        <v>1392.94359329</v>
      </c>
      <c r="E663" t="n">
        <v>0.0003410379611767224</v>
      </c>
      <c r="F663" t="n">
        <v>0.7773207413056228</v>
      </c>
      <c r="G663" t="inlineStr">
        <is>
          <t>A</t>
        </is>
      </c>
      <c r="H663" t="n">
        <v>92</v>
      </c>
      <c r="I663" t="n">
        <v>7.340000000000001</v>
      </c>
      <c r="J663" t="n">
        <v>675.2800000000001</v>
      </c>
      <c r="K663" t="n">
        <v>3.1</v>
      </c>
      <c r="L663" t="n">
        <v>29.67741935483871</v>
      </c>
      <c r="M663" t="n">
        <v>2</v>
      </c>
      <c r="N663" t="n">
        <v>6.2</v>
      </c>
      <c r="O663" t="n">
        <v>85.8</v>
      </c>
      <c r="P663" t="n">
        <v>629.772</v>
      </c>
      <c r="Q663" t="n">
        <v>0.9326086956521739</v>
      </c>
      <c r="R663" t="inlineStr">
        <is>
          <t>Sobrestock crítico</t>
        </is>
      </c>
    </row>
    <row r="664">
      <c r="A664" t="inlineStr">
        <is>
          <t>MARMIKI34T6</t>
        </is>
      </c>
      <c r="B664" t="inlineStr">
        <is>
          <t>MAR ORIGINAL KIDS</t>
        </is>
      </c>
      <c r="C664" t="inlineStr">
        <is>
          <t>Manufactura / Kids / P. Superiores</t>
        </is>
      </c>
      <c r="D664" t="n">
        <v>1389.26429809</v>
      </c>
      <c r="E664" t="n">
        <v>0.0003401371498735083</v>
      </c>
      <c r="F664" t="n">
        <v>0.7776608784554963</v>
      </c>
      <c r="G664" t="inlineStr">
        <is>
          <t>A</t>
        </is>
      </c>
      <c r="H664" t="n">
        <v>19</v>
      </c>
      <c r="I664" t="n">
        <v>3.168013332</v>
      </c>
      <c r="J664" t="n">
        <v>60.19225330800001</v>
      </c>
      <c r="K664" t="n">
        <v>3.7</v>
      </c>
      <c r="L664" t="n">
        <v>5.135135135135135</v>
      </c>
      <c r="M664" t="n">
        <v>2</v>
      </c>
      <c r="N664" t="n">
        <v>7.4</v>
      </c>
      <c r="O664" t="n">
        <v>11.6</v>
      </c>
      <c r="P664" t="n">
        <v>36.7489546512</v>
      </c>
      <c r="Q664" t="n">
        <v>0.6105263157894737</v>
      </c>
      <c r="R664" t="inlineStr">
        <is>
          <t>Sobrestock crítico</t>
        </is>
      </c>
    </row>
    <row r="665">
      <c r="A665" t="inlineStr">
        <is>
          <t>RIOMIKI11T10</t>
        </is>
      </c>
      <c r="B665" t="inlineStr">
        <is>
          <t>RIO ORIGINAL KIDS</t>
        </is>
      </c>
      <c r="C665" t="inlineStr">
        <is>
          <t>Manufactura / Kids / P. Superiores</t>
        </is>
      </c>
      <c r="D665" t="n">
        <v>1388.66420127</v>
      </c>
      <c r="E665" t="n">
        <v>0.0003399902266262301</v>
      </c>
      <c r="F665" t="n">
        <v>0.7780008686821226</v>
      </c>
      <c r="G665" t="inlineStr">
        <is>
          <t>A</t>
        </is>
      </c>
      <c r="H665" t="n">
        <v>65</v>
      </c>
      <c r="I665" t="n">
        <v>3.617969464</v>
      </c>
      <c r="J665" t="n">
        <v>235.16801516</v>
      </c>
      <c r="K665" t="n">
        <v>3.3</v>
      </c>
      <c r="L665" t="n">
        <v>19.6969696969697</v>
      </c>
      <c r="M665" t="n">
        <v>2</v>
      </c>
      <c r="N665" t="n">
        <v>6.6</v>
      </c>
      <c r="O665" t="n">
        <v>58.4</v>
      </c>
      <c r="P665" t="n">
        <v>211.2894166976</v>
      </c>
      <c r="Q665" t="n">
        <v>0.8984615384615385</v>
      </c>
      <c r="R665" t="inlineStr">
        <is>
          <t>Sobrestock crítico</t>
        </is>
      </c>
    </row>
    <row r="666">
      <c r="A666" t="inlineStr">
        <is>
          <t>PONC43EQ</t>
        </is>
      </c>
      <c r="B666" t="inlineStr">
        <is>
          <t>PONCHO KIDS</t>
        </is>
      </c>
      <c r="C666" t="inlineStr">
        <is>
          <t>Equipamiento / Ponchos</t>
        </is>
      </c>
      <c r="D666" t="n">
        <v>1384.79382871</v>
      </c>
      <c r="E666" t="n">
        <v>0.000339042633361711</v>
      </c>
      <c r="F666" t="n">
        <v>0.7783399113154843</v>
      </c>
      <c r="G666" t="inlineStr">
        <is>
          <t>A</t>
        </is>
      </c>
      <c r="H666" t="n">
        <v>161</v>
      </c>
      <c r="I666" t="n">
        <v>7.990000000000001</v>
      </c>
      <c r="J666" t="n">
        <v>1286.39</v>
      </c>
      <c r="K666" t="n">
        <v>3.5</v>
      </c>
      <c r="L666" t="n">
        <v>46</v>
      </c>
      <c r="M666" t="n">
        <v>2</v>
      </c>
      <c r="N666" t="n">
        <v>7</v>
      </c>
      <c r="O666" t="n">
        <v>154</v>
      </c>
      <c r="P666" t="n">
        <v>1230.46</v>
      </c>
      <c r="Q666" t="n">
        <v>0.9565217391304349</v>
      </c>
      <c r="R666" t="inlineStr">
        <is>
          <t>Sobrestock crítico</t>
        </is>
      </c>
    </row>
    <row r="667">
      <c r="A667" t="inlineStr">
        <is>
          <t>CREDA16TU</t>
        </is>
      </c>
      <c r="B667" t="inlineStr">
        <is>
          <t>CREW SOCKS DAMA</t>
        </is>
      </c>
      <c r="C667" t="inlineStr">
        <is>
          <t>Equipamiento / Accesorios</t>
        </is>
      </c>
      <c r="D667" t="n">
        <v>1381.76290505</v>
      </c>
      <c r="E667" t="n">
        <v>0.000338300564529586</v>
      </c>
      <c r="F667" t="n">
        <v>0.7786782118800138</v>
      </c>
      <c r="G667" t="inlineStr">
        <is>
          <t>A</t>
        </is>
      </c>
      <c r="H667" t="n">
        <v>915</v>
      </c>
      <c r="I667" t="n">
        <v>2.83</v>
      </c>
      <c r="J667" t="n">
        <v>2589.45</v>
      </c>
      <c r="K667" t="n">
        <v>8.6</v>
      </c>
      <c r="L667" t="n">
        <v>106.3953488372093</v>
      </c>
      <c r="M667" t="n">
        <v>2</v>
      </c>
      <c r="N667" t="n">
        <v>17.2</v>
      </c>
      <c r="O667" t="n">
        <v>897.8</v>
      </c>
      <c r="P667" t="n">
        <v>2540.774</v>
      </c>
      <c r="Q667" t="n">
        <v>0.9812021857923496</v>
      </c>
      <c r="R667" t="inlineStr">
        <is>
          <t>Sobrestock crítico</t>
        </is>
      </c>
    </row>
    <row r="668">
      <c r="A668" t="inlineStr">
        <is>
          <t>BAOCCCA158T2XL</t>
        </is>
      </c>
      <c r="B668" t="inlineStr">
        <is>
          <t>BASIC LINE OVERSIZED CAB</t>
        </is>
      </c>
      <c r="C668" t="inlineStr">
        <is>
          <t>Manufactura / Caballero / P. Superiores</t>
        </is>
      </c>
      <c r="D668" t="n">
        <v>1381.67781139</v>
      </c>
      <c r="E668" t="n">
        <v>0.000338279730830034</v>
      </c>
      <c r="F668" t="n">
        <v>0.7790164916108439</v>
      </c>
      <c r="G668" t="inlineStr">
        <is>
          <t>A</t>
        </is>
      </c>
      <c r="H668" t="n">
        <v>39</v>
      </c>
      <c r="I668" t="n">
        <v>9.336740741</v>
      </c>
      <c r="J668" t="n">
        <v>364.132888899</v>
      </c>
      <c r="K668" t="n">
        <v>2.1</v>
      </c>
      <c r="L668" t="n">
        <v>18.57142857142857</v>
      </c>
      <c r="M668" t="n">
        <v>2</v>
      </c>
      <c r="N668" t="n">
        <v>4.2</v>
      </c>
      <c r="O668" t="n">
        <v>34.8</v>
      </c>
      <c r="P668" t="n">
        <v>324.9185777868</v>
      </c>
      <c r="Q668" t="n">
        <v>0.8923076923076921</v>
      </c>
      <c r="R668" t="inlineStr">
        <is>
          <t>Sobrestock crítico</t>
        </is>
      </c>
    </row>
    <row r="669">
      <c r="A669" t="inlineStr">
        <is>
          <t>MARMIKI12T2</t>
        </is>
      </c>
      <c r="B669" t="inlineStr">
        <is>
          <t>MAR ORIGINAL KIDS</t>
        </is>
      </c>
      <c r="C669" t="inlineStr">
        <is>
          <t>Manufactura / Kids / P. Superiores</t>
        </is>
      </c>
      <c r="D669" t="n">
        <v>1380.474086894638</v>
      </c>
      <c r="E669" t="n">
        <v>0.0003379850198670818</v>
      </c>
      <c r="F669" t="n">
        <v>0.7793544766307109</v>
      </c>
      <c r="G669" t="inlineStr">
        <is>
          <t>A</t>
        </is>
      </c>
      <c r="H669" t="n">
        <v>24</v>
      </c>
      <c r="I669" t="n">
        <v>3.168013332</v>
      </c>
      <c r="J669" t="n">
        <v>76.032319968</v>
      </c>
      <c r="K669" t="n">
        <v>3.7</v>
      </c>
      <c r="L669" t="n">
        <v>6.486486486486486</v>
      </c>
      <c r="M669" t="n">
        <v>2</v>
      </c>
      <c r="N669" t="n">
        <v>7.4</v>
      </c>
      <c r="O669" t="n">
        <v>16.6</v>
      </c>
      <c r="P669" t="n">
        <v>52.58902131120001</v>
      </c>
      <c r="Q669" t="n">
        <v>0.6916666666666668</v>
      </c>
      <c r="R669" t="inlineStr">
        <is>
          <t>Sobrestock crítico</t>
        </is>
      </c>
    </row>
    <row r="670">
      <c r="A670" t="inlineStr">
        <is>
          <t>PANNTCA12TS</t>
        </is>
      </c>
      <c r="B670" t="inlineStr">
        <is>
          <t>EXPLORE PANTS CAB</t>
        </is>
      </c>
      <c r="C670" t="inlineStr">
        <is>
          <t>Manufactura / Caballero / P. Inferiores</t>
        </is>
      </c>
      <c r="D670" t="n">
        <v>1379.44764159</v>
      </c>
      <c r="E670" t="n">
        <v>0.0003377337126241758</v>
      </c>
      <c r="F670" t="n">
        <v>0.779692210343335</v>
      </c>
      <c r="G670" t="inlineStr">
        <is>
          <t>A</t>
        </is>
      </c>
      <c r="H670" t="n">
        <v>44</v>
      </c>
      <c r="I670" t="n">
        <v>15.68994502</v>
      </c>
      <c r="J670" t="n">
        <v>690.35758088</v>
      </c>
      <c r="K670" t="n">
        <v>2.2</v>
      </c>
      <c r="L670" t="n">
        <v>20</v>
      </c>
      <c r="M670" t="n">
        <v>2</v>
      </c>
      <c r="N670" t="n">
        <v>4.4</v>
      </c>
      <c r="O670" t="n">
        <v>39.6</v>
      </c>
      <c r="P670" t="n">
        <v>621.321822792</v>
      </c>
      <c r="Q670" t="n">
        <v>0.9</v>
      </c>
      <c r="R670" t="inlineStr">
        <is>
          <t>Sobrestock crítico</t>
        </is>
      </c>
    </row>
    <row r="671">
      <c r="A671" t="inlineStr">
        <is>
          <t>RIOMIKI43T10</t>
        </is>
      </c>
      <c r="B671" t="inlineStr">
        <is>
          <t>RIO ORIGINAL KIDS</t>
        </is>
      </c>
      <c r="C671" t="inlineStr">
        <is>
          <t>Manufactura / Kids / P. Superiores</t>
        </is>
      </c>
      <c r="D671" t="n">
        <v>1369.95614944</v>
      </c>
      <c r="E671" t="n">
        <v>0.0003354098861986452</v>
      </c>
      <c r="F671" t="n">
        <v>0.7800276202295338</v>
      </c>
      <c r="G671" t="inlineStr">
        <is>
          <t>A</t>
        </is>
      </c>
      <c r="H671" t="n">
        <v>80</v>
      </c>
      <c r="I671" t="n">
        <v>3.617969464</v>
      </c>
      <c r="J671" t="n">
        <v>289.43755712</v>
      </c>
      <c r="K671" t="n">
        <v>3.2</v>
      </c>
      <c r="L671" t="n">
        <v>25</v>
      </c>
      <c r="M671" t="n">
        <v>2</v>
      </c>
      <c r="N671" t="n">
        <v>6.4</v>
      </c>
      <c r="O671" t="n">
        <v>73.59999999999999</v>
      </c>
      <c r="P671" t="n">
        <v>266.2825525504</v>
      </c>
      <c r="Q671" t="n">
        <v>0.9199999999999999</v>
      </c>
      <c r="R671" t="inlineStr">
        <is>
          <t>Sobrestock crítico</t>
        </is>
      </c>
    </row>
    <row r="672">
      <c r="A672" t="inlineStr">
        <is>
          <t>TOA03PL</t>
        </is>
      </c>
      <c r="B672" t="inlineStr">
        <is>
          <t>TOALLA PLAYA</t>
        </is>
      </c>
      <c r="C672" t="inlineStr">
        <is>
          <t>Equipamiento / Toallas</t>
        </is>
      </c>
      <c r="D672" t="n">
        <v>1369.93445106</v>
      </c>
      <c r="E672" t="n">
        <v>0.0003354045737284836</v>
      </c>
      <c r="F672" t="n">
        <v>0.7803630248032621</v>
      </c>
      <c r="G672" t="inlineStr">
        <is>
          <t>A</t>
        </is>
      </c>
      <c r="H672" t="n">
        <v>676</v>
      </c>
      <c r="I672" t="n">
        <v>4.83</v>
      </c>
      <c r="J672" t="n">
        <v>3265.08</v>
      </c>
      <c r="K672" t="n">
        <v>4.6</v>
      </c>
      <c r="L672" t="n">
        <v>146.9565217391304</v>
      </c>
      <c r="M672" t="n">
        <v>2</v>
      </c>
      <c r="N672" t="n">
        <v>9.199999999999999</v>
      </c>
      <c r="O672" t="n">
        <v>666.8</v>
      </c>
      <c r="P672" t="n">
        <v>3220.644</v>
      </c>
      <c r="Q672" t="n">
        <v>0.9863905325443787</v>
      </c>
      <c r="R672" t="inlineStr">
        <is>
          <t>Sobrestock crítico</t>
        </is>
      </c>
    </row>
    <row r="673">
      <c r="A673" t="inlineStr">
        <is>
          <t>RIOMIKI12T2</t>
        </is>
      </c>
      <c r="B673" t="inlineStr">
        <is>
          <t>RIO ORIGINAL KIDS</t>
        </is>
      </c>
      <c r="C673" t="inlineStr">
        <is>
          <t>Manufactura / Kids / P. Superiores</t>
        </is>
      </c>
      <c r="D673" t="n">
        <v>1367.31732166</v>
      </c>
      <c r="E673" t="n">
        <v>0.0003347638152088917</v>
      </c>
      <c r="F673" t="n">
        <v>0.7806977886184711</v>
      </c>
      <c r="G673" t="inlineStr">
        <is>
          <t>A</t>
        </is>
      </c>
      <c r="H673" t="n">
        <v>58</v>
      </c>
      <c r="I673" t="n">
        <v>3.617969464</v>
      </c>
      <c r="J673" t="n">
        <v>209.842228912</v>
      </c>
      <c r="K673" t="n">
        <v>3.2</v>
      </c>
      <c r="L673" t="n">
        <v>18.125</v>
      </c>
      <c r="M673" t="n">
        <v>2</v>
      </c>
      <c r="N673" t="n">
        <v>6.4</v>
      </c>
      <c r="O673" t="n">
        <v>51.6</v>
      </c>
      <c r="P673" t="n">
        <v>186.6872243424</v>
      </c>
      <c r="Q673" t="n">
        <v>0.8896551724137931</v>
      </c>
      <c r="R673" t="inlineStr">
        <is>
          <t>Sobrestock crítico</t>
        </is>
      </c>
    </row>
    <row r="674">
      <c r="A674" t="inlineStr">
        <is>
          <t>RIOMIKI34T4</t>
        </is>
      </c>
      <c r="B674" t="inlineStr">
        <is>
          <t>RIO ORIGINAL KIDS</t>
        </is>
      </c>
      <c r="C674" t="inlineStr">
        <is>
          <t>Manufactura / Kids / P. Superiores</t>
        </is>
      </c>
      <c r="D674" t="n">
        <v>1366.64194367</v>
      </c>
      <c r="E674" t="n">
        <v>0.000334598460679216</v>
      </c>
      <c r="F674" t="n">
        <v>0.7810323870791503</v>
      </c>
      <c r="G674" t="inlineStr">
        <is>
          <t>A</t>
        </is>
      </c>
      <c r="H674" t="n">
        <v>13</v>
      </c>
      <c r="I674" t="n">
        <v>3.617969464</v>
      </c>
      <c r="J674" t="n">
        <v>47.033603032</v>
      </c>
      <c r="K674" t="n">
        <v>3.1</v>
      </c>
      <c r="L674" t="n">
        <v>4.193548387096774</v>
      </c>
      <c r="M674" t="n">
        <v>2</v>
      </c>
      <c r="N674" t="n">
        <v>6.2</v>
      </c>
      <c r="O674" t="n">
        <v>6.8</v>
      </c>
      <c r="P674" t="n">
        <v>24.6021923552</v>
      </c>
      <c r="Q674" t="n">
        <v>0.523076923076923</v>
      </c>
      <c r="R674" t="inlineStr">
        <is>
          <t>Sobrestock crítico</t>
        </is>
      </c>
    </row>
    <row r="675">
      <c r="A675" t="inlineStr">
        <is>
          <t>HEA160EQ</t>
        </is>
      </c>
      <c r="B675" t="inlineStr">
        <is>
          <t>HEADBAND</t>
        </is>
      </c>
      <c r="C675" t="inlineStr">
        <is>
          <t>Equipamiento / Accesorios</t>
        </is>
      </c>
      <c r="D675" t="n">
        <v>1366.58747881</v>
      </c>
      <c r="E675" t="n">
        <v>0.0003345851259075141</v>
      </c>
      <c r="F675" t="n">
        <v>0.7813669722050579</v>
      </c>
      <c r="G675" t="inlineStr">
        <is>
          <t>A</t>
        </is>
      </c>
      <c r="H675" t="n">
        <v>693</v>
      </c>
      <c r="I675" t="n">
        <v>4.26</v>
      </c>
      <c r="J675" t="n">
        <v>2952.18</v>
      </c>
      <c r="K675" t="n">
        <v>9.1</v>
      </c>
      <c r="L675" t="n">
        <v>76.15384615384616</v>
      </c>
      <c r="M675" t="n">
        <v>2</v>
      </c>
      <c r="N675" t="n">
        <v>18.2</v>
      </c>
      <c r="O675" t="n">
        <v>674.8</v>
      </c>
      <c r="P675" t="n">
        <v>2874.648</v>
      </c>
      <c r="Q675" t="n">
        <v>0.9737373737373737</v>
      </c>
      <c r="R675" t="inlineStr">
        <is>
          <t>Sobrestock crítico</t>
        </is>
      </c>
    </row>
    <row r="676">
      <c r="A676" t="inlineStr">
        <is>
          <t>MAFMIDA34TXS</t>
        </is>
      </c>
      <c r="B676" t="inlineStr">
        <is>
          <t>MAFE ORIGINAL DAMA</t>
        </is>
      </c>
      <c r="C676" t="inlineStr">
        <is>
          <t>Manufactura / Dama / P. Superiores</t>
        </is>
      </c>
      <c r="D676" t="n">
        <v>1366.47094925</v>
      </c>
      <c r="E676" t="n">
        <v>0.000334556595675744</v>
      </c>
      <c r="F676" t="n">
        <v>0.7817015288007336</v>
      </c>
      <c r="G676" t="inlineStr">
        <is>
          <t>A</t>
        </is>
      </c>
      <c r="H676" t="n">
        <v>0</v>
      </c>
      <c r="I676" t="n">
        <v>4.54817671</v>
      </c>
      <c r="J676" t="n">
        <v>0</v>
      </c>
      <c r="K676" t="n">
        <v>9.199999999999999</v>
      </c>
      <c r="L676" t="n">
        <v>0</v>
      </c>
      <c r="M676" t="n">
        <v>2</v>
      </c>
      <c r="N676" t="n">
        <v>18.4</v>
      </c>
      <c r="O676" t="n">
        <v>0</v>
      </c>
      <c r="P676" t="n">
        <v>0</v>
      </c>
      <c r="Q676" t="n">
        <v>0</v>
      </c>
      <c r="R676" t="inlineStr">
        <is>
          <t>Riesgo bajo stock</t>
        </is>
      </c>
    </row>
    <row r="677">
      <c r="A677" t="inlineStr">
        <is>
          <t>DAYCSTCA66TS</t>
        </is>
      </c>
      <c r="B677" t="inlineStr">
        <is>
          <t>CLASICA DAILY 3.0 CAB</t>
        </is>
      </c>
      <c r="C677" t="inlineStr">
        <is>
          <t>Manufactura / Caballero / P. Superiores</t>
        </is>
      </c>
      <c r="D677" t="n">
        <v>1363.5828491</v>
      </c>
      <c r="E677" t="n">
        <v>0.0003338494946907688</v>
      </c>
      <c r="F677" t="n">
        <v>0.7820353782954242</v>
      </c>
      <c r="G677" t="inlineStr">
        <is>
          <t>A</t>
        </is>
      </c>
      <c r="H677" t="n">
        <v>87</v>
      </c>
      <c r="I677" t="n">
        <v>11.76035097</v>
      </c>
      <c r="J677" t="n">
        <v>1023.15053439</v>
      </c>
      <c r="K677" t="n">
        <v>3.2</v>
      </c>
      <c r="L677" t="n">
        <v>27.1875</v>
      </c>
      <c r="M677" t="n">
        <v>2</v>
      </c>
      <c r="N677" t="n">
        <v>6.4</v>
      </c>
      <c r="O677" t="n">
        <v>80.59999999999999</v>
      </c>
      <c r="P677" t="n">
        <v>947.8842881819999</v>
      </c>
      <c r="Q677" t="n">
        <v>0.9264367816091953</v>
      </c>
      <c r="R677" t="inlineStr">
        <is>
          <t>Sobrestock crítico</t>
        </is>
      </c>
    </row>
    <row r="678">
      <c r="A678" t="inlineStr">
        <is>
          <t>RIOMIKI12T12</t>
        </is>
      </c>
      <c r="B678" t="inlineStr">
        <is>
          <t>RIO ORIGINAL KIDS</t>
        </is>
      </c>
      <c r="C678" t="inlineStr">
        <is>
          <t>Manufactura / Kids / P. Superiores</t>
        </is>
      </c>
      <c r="D678" t="n">
        <v>1363.14303008</v>
      </c>
      <c r="E678" t="n">
        <v>0.0003337418126693359</v>
      </c>
      <c r="F678" t="n">
        <v>0.7823691201080937</v>
      </c>
      <c r="G678" t="inlineStr">
        <is>
          <t>A</t>
        </is>
      </c>
      <c r="H678" t="n">
        <v>61</v>
      </c>
      <c r="I678" t="n">
        <v>3.617969464</v>
      </c>
      <c r="J678" t="n">
        <v>220.696137304</v>
      </c>
      <c r="K678" t="n">
        <v>3.2</v>
      </c>
      <c r="L678" t="n">
        <v>19.0625</v>
      </c>
      <c r="M678" t="n">
        <v>2</v>
      </c>
      <c r="N678" t="n">
        <v>6.4</v>
      </c>
      <c r="O678" t="n">
        <v>54.6</v>
      </c>
      <c r="P678" t="n">
        <v>197.5411327344</v>
      </c>
      <c r="Q678" t="n">
        <v>0.8950819672131147</v>
      </c>
      <c r="R678" t="inlineStr">
        <is>
          <t>Sobrestock crítico</t>
        </is>
      </c>
    </row>
    <row r="679">
      <c r="A679" t="inlineStr">
        <is>
          <t>JAPKI35T6</t>
        </is>
      </c>
      <c r="B679" t="inlineStr">
        <is>
          <t>CUADRO JACKET 2.0 KIDS</t>
        </is>
      </c>
      <c r="C679" t="inlineStr">
        <is>
          <t>Equipamiento / Ropa</t>
        </is>
      </c>
      <c r="D679" t="n">
        <v>1361.11737954</v>
      </c>
      <c r="E679" t="n">
        <v>0.0003332458674397186</v>
      </c>
      <c r="F679" t="n">
        <v>0.7827023659755334</v>
      </c>
      <c r="G679" t="inlineStr">
        <is>
          <t>A</t>
        </is>
      </c>
      <c r="H679" t="n">
        <v>16</v>
      </c>
      <c r="I679" t="n">
        <v>15.17</v>
      </c>
      <c r="J679" t="n">
        <v>242.72</v>
      </c>
      <c r="K679" t="n">
        <v>2.2</v>
      </c>
      <c r="L679" t="n">
        <v>7.272727272727272</v>
      </c>
      <c r="M679" t="n">
        <v>2</v>
      </c>
      <c r="N679" t="n">
        <v>4.4</v>
      </c>
      <c r="O679" t="n">
        <v>11.6</v>
      </c>
      <c r="P679" t="n">
        <v>175.972</v>
      </c>
      <c r="Q679" t="n">
        <v>0.7249999999999999</v>
      </c>
      <c r="R679" t="inlineStr">
        <is>
          <t>Sobrestock crítico</t>
        </is>
      </c>
    </row>
    <row r="680">
      <c r="A680" t="inlineStr">
        <is>
          <t>MARMICA04TM</t>
        </is>
      </c>
      <c r="B680" t="inlineStr">
        <is>
          <t>MAR ORIGINAL CAB</t>
        </is>
      </c>
      <c r="C680" t="inlineStr">
        <is>
          <t>Manufactura / Caballero / P. Superiores</t>
        </is>
      </c>
      <c r="D680" t="n">
        <v>1354.02238603</v>
      </c>
      <c r="E680" t="n">
        <v>0.0003315087819375717</v>
      </c>
      <c r="F680" t="n">
        <v>0.783033874757471</v>
      </c>
      <c r="G680" t="inlineStr">
        <is>
          <t>A</t>
        </is>
      </c>
      <c r="H680" t="n">
        <v>53</v>
      </c>
      <c r="I680" t="n">
        <v>4.946357428</v>
      </c>
      <c r="J680" t="n">
        <v>262.156943684</v>
      </c>
      <c r="K680" t="n">
        <v>3.3</v>
      </c>
      <c r="L680" t="n">
        <v>16.06060606060606</v>
      </c>
      <c r="M680" t="n">
        <v>2</v>
      </c>
      <c r="N680" t="n">
        <v>6.6</v>
      </c>
      <c r="O680" t="n">
        <v>46.4</v>
      </c>
      <c r="P680" t="n">
        <v>229.5109846592</v>
      </c>
      <c r="Q680" t="n">
        <v>0.8754716981132075</v>
      </c>
      <c r="R680" t="inlineStr">
        <is>
          <t>Sobrestock crítico</t>
        </is>
      </c>
    </row>
    <row r="681">
      <c r="A681" t="inlineStr">
        <is>
          <t>BAOCCCA38TXL</t>
        </is>
      </c>
      <c r="B681" t="inlineStr">
        <is>
          <t>BASIC LINE OVERSIZED CAB</t>
        </is>
      </c>
      <c r="C681" t="inlineStr">
        <is>
          <t>Manufactura / Caballero / P. Superiores</t>
        </is>
      </c>
      <c r="D681" t="n">
        <v>1353.68697125</v>
      </c>
      <c r="E681" t="n">
        <v>0.0003314266614746392</v>
      </c>
      <c r="F681" t="n">
        <v>0.7833653014189457</v>
      </c>
      <c r="G681" t="inlineStr">
        <is>
          <t>A</t>
        </is>
      </c>
      <c r="H681" t="n">
        <v>26</v>
      </c>
      <c r="I681" t="n">
        <v>9.336740741</v>
      </c>
      <c r="J681" t="n">
        <v>242.755259266</v>
      </c>
      <c r="K681" t="n">
        <v>2.2</v>
      </c>
      <c r="L681" t="n">
        <v>11.81818181818182</v>
      </c>
      <c r="M681" t="n">
        <v>2</v>
      </c>
      <c r="N681" t="n">
        <v>4.4</v>
      </c>
      <c r="O681" t="n">
        <v>21.6</v>
      </c>
      <c r="P681" t="n">
        <v>201.6736000056</v>
      </c>
      <c r="Q681" t="n">
        <v>0.8307692307692308</v>
      </c>
      <c r="R681" t="inlineStr">
        <is>
          <t>Sobrestock crítico</t>
        </is>
      </c>
    </row>
    <row r="682">
      <c r="A682" t="inlineStr">
        <is>
          <t>SHOUNCA187TM</t>
        </is>
      </c>
      <c r="B682" t="inlineStr">
        <is>
          <t>SHORT PLAYA CAB</t>
        </is>
      </c>
      <c r="C682" t="inlineStr">
        <is>
          <t>Manufactura / Caballero / P. Inferiores</t>
        </is>
      </c>
      <c r="D682" t="n">
        <v>1353.65836538</v>
      </c>
      <c r="E682" t="n">
        <v>0.0003314196578259421</v>
      </c>
      <c r="F682" t="n">
        <v>0.7836967210767716</v>
      </c>
      <c r="G682" t="inlineStr">
        <is>
          <t>A</t>
        </is>
      </c>
      <c r="H682" t="n">
        <v>25</v>
      </c>
      <c r="I682" t="n">
        <v>9.99</v>
      </c>
      <c r="J682" t="n">
        <v>249.75</v>
      </c>
      <c r="K682" t="n">
        <v>2.9</v>
      </c>
      <c r="L682" t="n">
        <v>8.620689655172415</v>
      </c>
      <c r="M682" t="n">
        <v>2</v>
      </c>
      <c r="N682" t="n">
        <v>5.8</v>
      </c>
      <c r="O682" t="n">
        <v>19.2</v>
      </c>
      <c r="P682" t="n">
        <v>191.808</v>
      </c>
      <c r="Q682" t="n">
        <v>0.768</v>
      </c>
      <c r="R682" t="inlineStr">
        <is>
          <t>Sobrestock crítico</t>
        </is>
      </c>
    </row>
    <row r="683">
      <c r="A683" t="inlineStr">
        <is>
          <t>BAOCCCA38TS</t>
        </is>
      </c>
      <c r="B683" t="inlineStr">
        <is>
          <t>BASIC LINE OVERSIZED CAB</t>
        </is>
      </c>
      <c r="C683" t="inlineStr">
        <is>
          <t>Manufactura / Caballero / P. Superiores</t>
        </is>
      </c>
      <c r="D683" t="n">
        <v>1352.07468403</v>
      </c>
      <c r="E683" t="n">
        <v>0.0003310319210494069</v>
      </c>
      <c r="F683" t="n">
        <v>0.784027752997821</v>
      </c>
      <c r="G683" t="inlineStr">
        <is>
          <t>A</t>
        </is>
      </c>
      <c r="H683" t="n">
        <v>59</v>
      </c>
      <c r="I683" t="n">
        <v>9.336740741</v>
      </c>
      <c r="J683" t="n">
        <v>550.867703719</v>
      </c>
      <c r="K683" t="n">
        <v>3.2</v>
      </c>
      <c r="L683" t="n">
        <v>18.4375</v>
      </c>
      <c r="M683" t="n">
        <v>2</v>
      </c>
      <c r="N683" t="n">
        <v>6.4</v>
      </c>
      <c r="O683" t="n">
        <v>52.6</v>
      </c>
      <c r="P683" t="n">
        <v>491.1125629766</v>
      </c>
      <c r="Q683" t="n">
        <v>0.8915254237288136</v>
      </c>
      <c r="R683" t="inlineStr">
        <is>
          <t>Sobrestock crítico</t>
        </is>
      </c>
    </row>
    <row r="684">
      <c r="A684" t="inlineStr">
        <is>
          <t>CRECA16TU</t>
        </is>
      </c>
      <c r="B684" t="inlineStr">
        <is>
          <t>CREW SOCKS CAB</t>
        </is>
      </c>
      <c r="C684" t="inlineStr">
        <is>
          <t>Equipamiento / Accesorios</t>
        </is>
      </c>
      <c r="D684" t="n">
        <v>1350.077570671</v>
      </c>
      <c r="E684" t="n">
        <v>0.0003305429626511824</v>
      </c>
      <c r="F684" t="n">
        <v>0.7843582959604722</v>
      </c>
      <c r="G684" t="inlineStr">
        <is>
          <t>A</t>
        </is>
      </c>
      <c r="H684" t="n">
        <v>907</v>
      </c>
      <c r="I684" t="n">
        <v>2.83</v>
      </c>
      <c r="J684" t="n">
        <v>2566.81</v>
      </c>
      <c r="K684" t="n">
        <v>8.6</v>
      </c>
      <c r="L684" t="n">
        <v>105.4651162790698</v>
      </c>
      <c r="M684" t="n">
        <v>2</v>
      </c>
      <c r="N684" t="n">
        <v>17.2</v>
      </c>
      <c r="O684" t="n">
        <v>889.8</v>
      </c>
      <c r="P684" t="n">
        <v>2518.134</v>
      </c>
      <c r="Q684" t="n">
        <v>0.9810363836824697</v>
      </c>
      <c r="R684" t="inlineStr">
        <is>
          <t>Sobrestock crítico</t>
        </is>
      </c>
    </row>
    <row r="685">
      <c r="A685" t="inlineStr">
        <is>
          <t>MARMIKI48T12</t>
        </is>
      </c>
      <c r="B685" t="inlineStr">
        <is>
          <t>MAR ORIGINAL KIDS</t>
        </is>
      </c>
      <c r="C685" t="inlineStr">
        <is>
          <t>Manufactura / Kids / P. Superiores</t>
        </is>
      </c>
      <c r="D685" t="n">
        <v>1349.73515264</v>
      </c>
      <c r="E685" t="n">
        <v>0.0003304591275643023</v>
      </c>
      <c r="F685" t="n">
        <v>0.7846887550880364</v>
      </c>
      <c r="G685" t="inlineStr">
        <is>
          <t>A</t>
        </is>
      </c>
      <c r="H685" t="n">
        <v>26</v>
      </c>
      <c r="I685" t="n">
        <v>3.168013332</v>
      </c>
      <c r="J685" t="n">
        <v>82.368346632</v>
      </c>
      <c r="K685" t="n">
        <v>3.4</v>
      </c>
      <c r="L685" t="n">
        <v>7.647058823529412</v>
      </c>
      <c r="M685" t="n">
        <v>2</v>
      </c>
      <c r="N685" t="n">
        <v>6.8</v>
      </c>
      <c r="O685" t="n">
        <v>19.2</v>
      </c>
      <c r="P685" t="n">
        <v>60.8258559744</v>
      </c>
      <c r="Q685" t="n">
        <v>0.7384615384615385</v>
      </c>
      <c r="R685" t="inlineStr">
        <is>
          <t>Sobrestock crítico</t>
        </is>
      </c>
    </row>
    <row r="686">
      <c r="A686" t="inlineStr">
        <is>
          <t>SHUNTCA31TXL</t>
        </is>
      </c>
      <c r="B686" t="inlineStr">
        <is>
          <t>SHORT SPORT R1 CAB</t>
        </is>
      </c>
      <c r="C686" t="inlineStr">
        <is>
          <t>Manufactura / Caballero / P. Inferiores</t>
        </is>
      </c>
      <c r="D686" t="n">
        <v>1349.41179686</v>
      </c>
      <c r="E686" t="n">
        <v>0.0003303799595373434</v>
      </c>
      <c r="F686" t="n">
        <v>0.7850191350475738</v>
      </c>
      <c r="G686" t="inlineStr">
        <is>
          <t>A</t>
        </is>
      </c>
      <c r="H686" t="n">
        <v>5</v>
      </c>
      <c r="I686" t="n">
        <v>9.119999999999999</v>
      </c>
      <c r="J686" t="n">
        <v>45.59999999999999</v>
      </c>
      <c r="K686" t="n">
        <v>2.6</v>
      </c>
      <c r="L686" t="n">
        <v>1.923076923076923</v>
      </c>
      <c r="M686" t="n">
        <v>2</v>
      </c>
      <c r="N686" t="n">
        <v>5.2</v>
      </c>
      <c r="O686" t="n">
        <v>0</v>
      </c>
      <c r="P686" t="n">
        <v>0</v>
      </c>
      <c r="Q686" t="n">
        <v>0</v>
      </c>
      <c r="R686" t="inlineStr">
        <is>
          <t>OK</t>
        </is>
      </c>
    </row>
    <row r="687">
      <c r="A687" t="inlineStr">
        <is>
          <t>MARMICA01TXL</t>
        </is>
      </c>
      <c r="B687" t="inlineStr">
        <is>
          <t>MAR ORIGINAL CAB</t>
        </is>
      </c>
      <c r="C687" t="inlineStr">
        <is>
          <t>Manufactura / Caballero / P. Superiores</t>
        </is>
      </c>
      <c r="D687" t="n">
        <v>1346.03641143</v>
      </c>
      <c r="E687" t="n">
        <v>0.0003295535552444646</v>
      </c>
      <c r="F687" t="n">
        <v>0.7853486886028183</v>
      </c>
      <c r="G687" t="inlineStr">
        <is>
          <t>A</t>
        </is>
      </c>
      <c r="H687" t="n">
        <v>36</v>
      </c>
      <c r="I687" t="n">
        <v>4.946357428</v>
      </c>
      <c r="J687" t="n">
        <v>178.068867408</v>
      </c>
      <c r="K687" t="n">
        <v>2.7</v>
      </c>
      <c r="L687" t="n">
        <v>13.33333333333333</v>
      </c>
      <c r="M687" t="n">
        <v>2</v>
      </c>
      <c r="N687" t="n">
        <v>5.4</v>
      </c>
      <c r="O687" t="n">
        <v>30.6</v>
      </c>
      <c r="P687" t="n">
        <v>151.3585372968</v>
      </c>
      <c r="Q687" t="n">
        <v>0.85</v>
      </c>
      <c r="R687" t="inlineStr">
        <is>
          <t>Sobrestock crítico</t>
        </is>
      </c>
    </row>
    <row r="688">
      <c r="A688" t="inlineStr">
        <is>
          <t>PANNTCA31TXL</t>
        </is>
      </c>
      <c r="B688" t="inlineStr">
        <is>
          <t>EXPLORE PANTS CAB</t>
        </is>
      </c>
      <c r="C688" t="inlineStr">
        <is>
          <t>Manufactura / Caballero / P. Inferiores</t>
        </is>
      </c>
      <c r="D688" t="n">
        <v>1345.88255421</v>
      </c>
      <c r="E688" t="n">
        <v>0.000329515885985728</v>
      </c>
      <c r="F688" t="n">
        <v>0.7856782044888039</v>
      </c>
      <c r="G688" t="inlineStr">
        <is>
          <t>A</t>
        </is>
      </c>
      <c r="H688" t="n">
        <v>0</v>
      </c>
      <c r="I688" t="n">
        <v>15.68994502</v>
      </c>
      <c r="J688" t="n">
        <v>0</v>
      </c>
      <c r="K688" t="n">
        <v>2.1</v>
      </c>
      <c r="L688" t="n">
        <v>0</v>
      </c>
      <c r="M688" t="n">
        <v>2</v>
      </c>
      <c r="N688" t="n">
        <v>4.2</v>
      </c>
      <c r="O688" t="n">
        <v>0</v>
      </c>
      <c r="P688" t="n">
        <v>0</v>
      </c>
      <c r="Q688" t="n">
        <v>0</v>
      </c>
      <c r="R688" t="inlineStr">
        <is>
          <t>Riesgo bajo stock</t>
        </is>
      </c>
    </row>
    <row r="689">
      <c r="A689" t="inlineStr">
        <is>
          <t>RIOMIKI34T10</t>
        </is>
      </c>
      <c r="B689" t="inlineStr">
        <is>
          <t>RIO ORIGINAL KIDS</t>
        </is>
      </c>
      <c r="C689" t="inlineStr">
        <is>
          <t>Manufactura / Kids / P. Superiores</t>
        </is>
      </c>
      <c r="D689" t="n">
        <v>1345.83103107</v>
      </c>
      <c r="E689" t="n">
        <v>0.0003295032714428968</v>
      </c>
      <c r="F689" t="n">
        <v>0.7860077077602469</v>
      </c>
      <c r="G689" t="inlineStr">
        <is>
          <t>A</t>
        </is>
      </c>
      <c r="H689" t="n">
        <v>44</v>
      </c>
      <c r="I689" t="n">
        <v>3.617969464</v>
      </c>
      <c r="J689" t="n">
        <v>159.190656416</v>
      </c>
      <c r="K689" t="n">
        <v>3</v>
      </c>
      <c r="L689" t="n">
        <v>14.66666666666667</v>
      </c>
      <c r="M689" t="n">
        <v>2</v>
      </c>
      <c r="N689" t="n">
        <v>6</v>
      </c>
      <c r="O689" t="n">
        <v>38</v>
      </c>
      <c r="P689" t="n">
        <v>137.482839632</v>
      </c>
      <c r="Q689" t="n">
        <v>0.8636363636363638</v>
      </c>
      <c r="R689" t="inlineStr">
        <is>
          <t>Sobrestock crítico</t>
        </is>
      </c>
    </row>
    <row r="690">
      <c r="A690" t="inlineStr">
        <is>
          <t>PANNTKI66T12</t>
        </is>
      </c>
      <c r="B690" t="inlineStr">
        <is>
          <t>EXPLORE PANTS KIDS</t>
        </is>
      </c>
      <c r="C690" t="inlineStr">
        <is>
          <t>Manufactura / Kids / P. Inferiores</t>
        </is>
      </c>
      <c r="D690" t="n">
        <v>1343.23666084</v>
      </c>
      <c r="E690" t="n">
        <v>0.0003288680851094093</v>
      </c>
      <c r="F690" t="n">
        <v>0.7863365758453562</v>
      </c>
      <c r="G690" t="inlineStr">
        <is>
          <t>A</t>
        </is>
      </c>
      <c r="H690" t="n">
        <v>18</v>
      </c>
      <c r="I690" t="n">
        <v>13.98</v>
      </c>
      <c r="J690" t="n">
        <v>251.64</v>
      </c>
      <c r="K690" t="n">
        <v>2.7</v>
      </c>
      <c r="L690" t="n">
        <v>6.666666666666666</v>
      </c>
      <c r="M690" t="n">
        <v>2</v>
      </c>
      <c r="N690" t="n">
        <v>5.4</v>
      </c>
      <c r="O690" t="n">
        <v>12.6</v>
      </c>
      <c r="P690" t="n">
        <v>176.148</v>
      </c>
      <c r="Q690" t="n">
        <v>0.7</v>
      </c>
      <c r="R690" t="inlineStr">
        <is>
          <t>Sobrestock crítico</t>
        </is>
      </c>
    </row>
    <row r="691">
      <c r="A691" t="inlineStr">
        <is>
          <t>MARMIKI50T12</t>
        </is>
      </c>
      <c r="B691" t="inlineStr">
        <is>
          <t>MAR ORIGINAL KIDS</t>
        </is>
      </c>
      <c r="C691" t="inlineStr">
        <is>
          <t>Manufactura / Kids / P. Superiores</t>
        </is>
      </c>
      <c r="D691" t="n">
        <v>1340.83169786</v>
      </c>
      <c r="E691" t="n">
        <v>0.0003282792718399018</v>
      </c>
      <c r="F691" t="n">
        <v>0.7866648551171962</v>
      </c>
      <c r="G691" t="inlineStr">
        <is>
          <t>A</t>
        </is>
      </c>
      <c r="H691" t="n">
        <v>23</v>
      </c>
      <c r="I691" t="n">
        <v>3.168013332</v>
      </c>
      <c r="J691" t="n">
        <v>72.86430663600001</v>
      </c>
      <c r="K691" t="n">
        <v>3.7</v>
      </c>
      <c r="L691" t="n">
        <v>6.216216216216216</v>
      </c>
      <c r="M691" t="n">
        <v>2</v>
      </c>
      <c r="N691" t="n">
        <v>7.4</v>
      </c>
      <c r="O691" t="n">
        <v>15.6</v>
      </c>
      <c r="P691" t="n">
        <v>49.4210079792</v>
      </c>
      <c r="Q691" t="n">
        <v>0.6782608695652173</v>
      </c>
      <c r="R691" t="inlineStr">
        <is>
          <t>Sobrestock crítico</t>
        </is>
      </c>
    </row>
    <row r="692">
      <c r="A692" t="inlineStr">
        <is>
          <t>MARMIKI12T4</t>
        </is>
      </c>
      <c r="B692" t="inlineStr">
        <is>
          <t>MAR ORIGINAL KIDS</t>
        </is>
      </c>
      <c r="C692" t="inlineStr">
        <is>
          <t>Manufactura / Kids / P. Superiores</t>
        </is>
      </c>
      <c r="D692" t="n">
        <v>1337.86122106</v>
      </c>
      <c r="E692" t="n">
        <v>0.0003275520023679183</v>
      </c>
      <c r="F692" t="n">
        <v>0.7869924071195642</v>
      </c>
      <c r="G692" t="inlineStr">
        <is>
          <t>A</t>
        </is>
      </c>
      <c r="H692" t="n">
        <v>14</v>
      </c>
      <c r="I692" t="n">
        <v>3.168013332</v>
      </c>
      <c r="J692" t="n">
        <v>44.352186648</v>
      </c>
      <c r="K692" t="n">
        <v>3.7</v>
      </c>
      <c r="L692" t="n">
        <v>3.783783783783784</v>
      </c>
      <c r="M692" t="n">
        <v>2</v>
      </c>
      <c r="N692" t="n">
        <v>7.4</v>
      </c>
      <c r="O692" t="n">
        <v>6.6</v>
      </c>
      <c r="P692" t="n">
        <v>20.9088879912</v>
      </c>
      <c r="Q692" t="n">
        <v>0.4714285714285714</v>
      </c>
      <c r="R692" t="inlineStr">
        <is>
          <t>Sobrestock crítico</t>
        </is>
      </c>
    </row>
    <row r="693">
      <c r="A693" t="inlineStr">
        <is>
          <t>PANNTDA31TS</t>
        </is>
      </c>
      <c r="B693" t="inlineStr">
        <is>
          <t>EXPLORE PANTS DAMA</t>
        </is>
      </c>
      <c r="C693" t="inlineStr">
        <is>
          <t>Manufactura / Dama / P. Inferiores</t>
        </is>
      </c>
      <c r="D693" t="n">
        <v>1336.46621339</v>
      </c>
      <c r="E693" t="n">
        <v>0.000327210459053534</v>
      </c>
      <c r="F693" t="n">
        <v>0.7873196175786177</v>
      </c>
      <c r="G693" t="inlineStr">
        <is>
          <t>A</t>
        </is>
      </c>
      <c r="H693" t="n">
        <v>36</v>
      </c>
      <c r="I693" t="n">
        <v>15.3928899</v>
      </c>
      <c r="J693" t="n">
        <v>554.1440364</v>
      </c>
      <c r="K693" t="n">
        <v>1.9</v>
      </c>
      <c r="L693" t="n">
        <v>18.94736842105263</v>
      </c>
      <c r="M693" t="n">
        <v>2</v>
      </c>
      <c r="N693" t="n">
        <v>3.8</v>
      </c>
      <c r="O693" t="n">
        <v>32.2</v>
      </c>
      <c r="P693" t="n">
        <v>495.65105478</v>
      </c>
      <c r="Q693" t="n">
        <v>0.8944444444444445</v>
      </c>
      <c r="R693" t="inlineStr">
        <is>
          <t>Sobrestock crítico</t>
        </is>
      </c>
    </row>
    <row r="694">
      <c r="A694" t="inlineStr">
        <is>
          <t>CLAMECA30TXL</t>
        </is>
      </c>
      <c r="B694" t="inlineStr">
        <is>
          <t>CLASICA SPORT CAB</t>
        </is>
      </c>
      <c r="C694" t="inlineStr">
        <is>
          <t>Manufactura / Caballero / P. Superiores</t>
        </is>
      </c>
      <c r="D694" t="n">
        <v>1336.06855391</v>
      </c>
      <c r="E694" t="n">
        <v>0.0003271130990606706</v>
      </c>
      <c r="F694" t="n">
        <v>0.7876467306776783</v>
      </c>
      <c r="G694" t="inlineStr">
        <is>
          <t>A</t>
        </is>
      </c>
      <c r="H694" t="n">
        <v>34</v>
      </c>
      <c r="I694" t="n">
        <v>10.3013454</v>
      </c>
      <c r="J694" t="n">
        <v>350.2457436</v>
      </c>
      <c r="K694" t="n">
        <v>2.8</v>
      </c>
      <c r="L694" t="n">
        <v>12.14285714285714</v>
      </c>
      <c r="M694" t="n">
        <v>2</v>
      </c>
      <c r="N694" t="n">
        <v>5.6</v>
      </c>
      <c r="O694" t="n">
        <v>28.4</v>
      </c>
      <c r="P694" t="n">
        <v>292.55820936</v>
      </c>
      <c r="Q694" t="n">
        <v>0.8352941176470587</v>
      </c>
      <c r="R694" t="inlineStr">
        <is>
          <t>Sobrestock crítico</t>
        </is>
      </c>
    </row>
    <row r="695">
      <c r="A695" t="inlineStr">
        <is>
          <t>RIOMIKI13T8</t>
        </is>
      </c>
      <c r="B695" t="inlineStr">
        <is>
          <t>RIO ORIGINAL KIDS</t>
        </is>
      </c>
      <c r="C695" t="inlineStr">
        <is>
          <t>Manufactura / Kids / P. Superiores</t>
        </is>
      </c>
      <c r="D695" t="n">
        <v>1332.82910025</v>
      </c>
      <c r="E695" t="n">
        <v>0.0003263199752925189</v>
      </c>
      <c r="F695" t="n">
        <v>0.7879730506529709</v>
      </c>
      <c r="G695" t="inlineStr">
        <is>
          <t>A</t>
        </is>
      </c>
      <c r="H695" t="n">
        <v>20</v>
      </c>
      <c r="I695" t="n">
        <v>3.617969464</v>
      </c>
      <c r="J695" t="n">
        <v>72.35938928</v>
      </c>
      <c r="K695" t="n">
        <v>3.2</v>
      </c>
      <c r="L695" t="n">
        <v>6.25</v>
      </c>
      <c r="M695" t="n">
        <v>2</v>
      </c>
      <c r="N695" t="n">
        <v>6.4</v>
      </c>
      <c r="O695" t="n">
        <v>13.6</v>
      </c>
      <c r="P695" t="n">
        <v>49.2043847104</v>
      </c>
      <c r="Q695" t="n">
        <v>0.6799999999999999</v>
      </c>
      <c r="R695" t="inlineStr">
        <is>
          <t>Sobrestock crítico</t>
        </is>
      </c>
    </row>
    <row r="696">
      <c r="A696" t="inlineStr">
        <is>
          <t>SHOSUKI155T12</t>
        </is>
      </c>
      <c r="B696" t="inlineStr">
        <is>
          <t>SHORT PLAYA ESTAMPADO KIDS</t>
        </is>
      </c>
      <c r="C696" t="inlineStr">
        <is>
          <t>Manufactura / Kids / P. Superiores</t>
        </is>
      </c>
      <c r="D696" t="n">
        <v>1327.92536615</v>
      </c>
      <c r="E696" t="n">
        <v>0.0003251193814654086</v>
      </c>
      <c r="F696" t="n">
        <v>0.7882981700344363</v>
      </c>
      <c r="G696" t="inlineStr">
        <is>
          <t>A</t>
        </is>
      </c>
      <c r="H696" t="n">
        <v>7</v>
      </c>
      <c r="I696" t="n">
        <v>7.21</v>
      </c>
      <c r="J696" t="n">
        <v>50.47</v>
      </c>
      <c r="K696" t="n">
        <v>3</v>
      </c>
      <c r="L696" t="n">
        <v>2.333333333333333</v>
      </c>
      <c r="M696" t="n">
        <v>2</v>
      </c>
      <c r="N696" t="n">
        <v>6</v>
      </c>
      <c r="O696" t="n">
        <v>1</v>
      </c>
      <c r="P696" t="n">
        <v>7.21</v>
      </c>
      <c r="Q696" t="n">
        <v>0.1428571428571428</v>
      </c>
      <c r="R696" t="inlineStr">
        <is>
          <t>Sobrestock</t>
        </is>
      </c>
    </row>
    <row r="697">
      <c r="A697" t="inlineStr">
        <is>
          <t>SHOSUCA156TS</t>
        </is>
      </c>
      <c r="B697" t="inlineStr">
        <is>
          <t>SHORT PLAYA ESTAMPADO CAB</t>
        </is>
      </c>
      <c r="C697" t="inlineStr">
        <is>
          <t>Manufactura / Caballero / P. Inferiores</t>
        </is>
      </c>
      <c r="D697" t="n">
        <v>1327.61955198</v>
      </c>
      <c r="E697" t="n">
        <v>0.0003250445081959251</v>
      </c>
      <c r="F697" t="n">
        <v>0.7886232145426322</v>
      </c>
      <c r="G697" t="inlineStr">
        <is>
          <t>A</t>
        </is>
      </c>
      <c r="H697" t="n">
        <v>22</v>
      </c>
      <c r="I697" t="n">
        <v>12.11</v>
      </c>
      <c r="J697" t="n">
        <v>266.42</v>
      </c>
      <c r="K697" t="n">
        <v>2.5</v>
      </c>
      <c r="L697" t="n">
        <v>8.800000000000001</v>
      </c>
      <c r="M697" t="n">
        <v>2</v>
      </c>
      <c r="N697" t="n">
        <v>5</v>
      </c>
      <c r="O697" t="n">
        <v>17</v>
      </c>
      <c r="P697" t="n">
        <v>205.87</v>
      </c>
      <c r="Q697" t="n">
        <v>0.7727272727272728</v>
      </c>
      <c r="R697" t="inlineStr">
        <is>
          <t>Sobrestock crítico</t>
        </is>
      </c>
    </row>
    <row r="698">
      <c r="A698" t="inlineStr">
        <is>
          <t>RIOMIDA11TXL</t>
        </is>
      </c>
      <c r="B698" t="inlineStr">
        <is>
          <t>RIO ORIGINAL DAMA</t>
        </is>
      </c>
      <c r="C698" t="inlineStr">
        <is>
          <t>Manufactura / Dama / P. Superiores</t>
        </is>
      </c>
      <c r="D698" t="n">
        <v>1326.87579001</v>
      </c>
      <c r="E698" t="n">
        <v>0.0003248624110406121</v>
      </c>
      <c r="F698" t="n">
        <v>0.7889480769536729</v>
      </c>
      <c r="G698" t="inlineStr">
        <is>
          <t>A</t>
        </is>
      </c>
      <c r="H698" t="n">
        <v>33</v>
      </c>
      <c r="I698" t="n">
        <v>5.538832275</v>
      </c>
      <c r="J698" t="n">
        <v>182.781465075</v>
      </c>
      <c r="K698" t="n">
        <v>2.5</v>
      </c>
      <c r="L698" t="n">
        <v>13.2</v>
      </c>
      <c r="M698" t="n">
        <v>2</v>
      </c>
      <c r="N698" t="n">
        <v>5</v>
      </c>
      <c r="O698" t="n">
        <v>28</v>
      </c>
      <c r="P698" t="n">
        <v>155.0873037</v>
      </c>
      <c r="Q698" t="n">
        <v>0.8484848484848485</v>
      </c>
      <c r="R698" t="inlineStr">
        <is>
          <t>Sobrestock crítico</t>
        </is>
      </c>
    </row>
    <row r="699">
      <c r="A699" t="inlineStr">
        <is>
          <t>POLPLCA16TXL</t>
        </is>
      </c>
      <c r="B699" t="inlineStr">
        <is>
          <t>CLASSIC POLO</t>
        </is>
      </c>
      <c r="C699" t="inlineStr">
        <is>
          <t>Manufactura / Caballero / P. Superiores</t>
        </is>
      </c>
      <c r="D699" t="n">
        <v>1326.42182333</v>
      </c>
      <c r="E699" t="n">
        <v>0.0003247512652112081</v>
      </c>
      <c r="F699" t="n">
        <v>0.789272828218884</v>
      </c>
      <c r="G699" t="inlineStr">
        <is>
          <t>A</t>
        </is>
      </c>
      <c r="H699" t="n">
        <v>0</v>
      </c>
      <c r="I699" t="n">
        <v>7.34</v>
      </c>
      <c r="J699" t="n">
        <v>0</v>
      </c>
      <c r="K699" t="n">
        <v>3.4</v>
      </c>
      <c r="L699" t="n">
        <v>0</v>
      </c>
      <c r="M699" t="n">
        <v>2</v>
      </c>
      <c r="N699" t="n">
        <v>6.8</v>
      </c>
      <c r="O699" t="n">
        <v>0</v>
      </c>
      <c r="P699" t="n">
        <v>0</v>
      </c>
      <c r="Q699" t="n">
        <v>0</v>
      </c>
      <c r="R699" t="inlineStr">
        <is>
          <t>Riesgo bajo stock</t>
        </is>
      </c>
    </row>
    <row r="700">
      <c r="A700" t="inlineStr">
        <is>
          <t>NOSCA16TU</t>
        </is>
      </c>
      <c r="B700" t="inlineStr">
        <is>
          <t>NO SHOW SOCKS CAB</t>
        </is>
      </c>
      <c r="C700" t="inlineStr">
        <is>
          <t>Equipamiento / Accesorios</t>
        </is>
      </c>
      <c r="D700" t="n">
        <v>1326.370644113</v>
      </c>
      <c r="E700" t="n">
        <v>0.0003247387348719291</v>
      </c>
      <c r="F700" t="n">
        <v>0.7895975669537559</v>
      </c>
      <c r="G700" t="inlineStr">
        <is>
          <t>A</t>
        </is>
      </c>
      <c r="H700" t="n">
        <v>173</v>
      </c>
      <c r="I700" t="n">
        <v>2.83</v>
      </c>
      <c r="J700" t="n">
        <v>489.59</v>
      </c>
      <c r="K700" t="n">
        <v>7.4</v>
      </c>
      <c r="L700" t="n">
        <v>23.37837837837838</v>
      </c>
      <c r="M700" t="n">
        <v>2</v>
      </c>
      <c r="N700" t="n">
        <v>14.8</v>
      </c>
      <c r="O700" t="n">
        <v>158.2</v>
      </c>
      <c r="P700" t="n">
        <v>447.706</v>
      </c>
      <c r="Q700" t="n">
        <v>0.9144508670520229</v>
      </c>
      <c r="R700" t="inlineStr">
        <is>
          <t>Sobrestock crítico</t>
        </is>
      </c>
    </row>
    <row r="701">
      <c r="A701" t="inlineStr">
        <is>
          <t>NAHFNCA70TM</t>
        </is>
      </c>
      <c r="B701" t="inlineStr">
        <is>
          <t>NOAH SPORT LITE CAB</t>
        </is>
      </c>
      <c r="C701" t="inlineStr">
        <is>
          <t>Manufactura / Caballero / P. Superiores</t>
        </is>
      </c>
      <c r="D701" t="n">
        <v>1323.0868864</v>
      </c>
      <c r="E701" t="n">
        <v>0.0003239347640285766</v>
      </c>
      <c r="F701" t="n">
        <v>0.7899215017177845</v>
      </c>
      <c r="G701" t="inlineStr">
        <is>
          <t>A</t>
        </is>
      </c>
      <c r="H701" t="n">
        <v>9</v>
      </c>
      <c r="I701" t="n">
        <v>17.61141534</v>
      </c>
      <c r="J701" t="n">
        <v>158.50273806</v>
      </c>
      <c r="K701" t="n">
        <v>4.1</v>
      </c>
      <c r="L701" t="n">
        <v>2.195121951219512</v>
      </c>
      <c r="M701" t="n">
        <v>2</v>
      </c>
      <c r="N701" t="n">
        <v>8.199999999999999</v>
      </c>
      <c r="O701" t="n">
        <v>0.8000000000000007</v>
      </c>
      <c r="P701" t="n">
        <v>14.08913227200001</v>
      </c>
      <c r="Q701" t="n">
        <v>0.08888888888888896</v>
      </c>
      <c r="R701" t="inlineStr">
        <is>
          <t>Sobrestock</t>
        </is>
      </c>
    </row>
    <row r="702">
      <c r="A702" t="inlineStr">
        <is>
          <t>RIOMIDA50TM</t>
        </is>
      </c>
      <c r="B702" t="inlineStr">
        <is>
          <t>RIO ORIGINAL DAMA</t>
        </is>
      </c>
      <c r="C702" t="inlineStr">
        <is>
          <t>Manufactura / Dama / P. Superiores</t>
        </is>
      </c>
      <c r="D702" t="n">
        <v>1322.21659895</v>
      </c>
      <c r="E702" t="n">
        <v>0.0003237216893147005</v>
      </c>
      <c r="F702" t="n">
        <v>0.7902452234070992</v>
      </c>
      <c r="G702" t="inlineStr">
        <is>
          <t>A</t>
        </is>
      </c>
      <c r="H702" t="n">
        <v>23</v>
      </c>
      <c r="I702" t="n">
        <v>5.538832275</v>
      </c>
      <c r="J702" t="n">
        <v>127.393142325</v>
      </c>
      <c r="K702" t="n">
        <v>2.4</v>
      </c>
      <c r="L702" t="n">
        <v>9.583333333333334</v>
      </c>
      <c r="M702" t="n">
        <v>2</v>
      </c>
      <c r="N702" t="n">
        <v>4.8</v>
      </c>
      <c r="O702" t="n">
        <v>18.2</v>
      </c>
      <c r="P702" t="n">
        <v>100.806747405</v>
      </c>
      <c r="Q702" t="n">
        <v>0.7913043478260869</v>
      </c>
      <c r="R702" t="inlineStr">
        <is>
          <t>Sobrestock crítico</t>
        </is>
      </c>
    </row>
    <row r="703">
      <c r="A703" t="inlineStr">
        <is>
          <t>RIOMICA11TS</t>
        </is>
      </c>
      <c r="B703" t="inlineStr">
        <is>
          <t>RIO ORIGINAL CAB</t>
        </is>
      </c>
      <c r="C703" t="inlineStr">
        <is>
          <t>Manufactura / Caballero / P. Superiores</t>
        </is>
      </c>
      <c r="D703" t="n">
        <v>1319.99788316</v>
      </c>
      <c r="E703" t="n">
        <v>0.0003231784754235587</v>
      </c>
      <c r="F703" t="n">
        <v>0.7905684018825228</v>
      </c>
      <c r="G703" t="inlineStr">
        <is>
          <t>A</t>
        </is>
      </c>
      <c r="H703" t="n">
        <v>29</v>
      </c>
      <c r="I703" t="n">
        <v>5.939350288000001</v>
      </c>
      <c r="J703" t="n">
        <v>172.241158352</v>
      </c>
      <c r="K703" t="n">
        <v>2.4</v>
      </c>
      <c r="L703" t="n">
        <v>12.08333333333333</v>
      </c>
      <c r="M703" t="n">
        <v>2</v>
      </c>
      <c r="N703" t="n">
        <v>4.8</v>
      </c>
      <c r="O703" t="n">
        <v>24.2</v>
      </c>
      <c r="P703" t="n">
        <v>143.7322769696</v>
      </c>
      <c r="Q703" t="n">
        <v>0.8344827586206897</v>
      </c>
      <c r="R703" t="inlineStr">
        <is>
          <t>Sobrestock crítico</t>
        </is>
      </c>
    </row>
    <row r="704">
      <c r="A704" t="inlineStr">
        <is>
          <t>JACCA12TL</t>
        </is>
      </c>
      <c r="B704" t="inlineStr">
        <is>
          <t>JACKET CAB</t>
        </is>
      </c>
      <c r="C704" t="inlineStr">
        <is>
          <t>Equipamiento / Ropa</t>
        </is>
      </c>
      <c r="D704" t="n">
        <v>1318.17643186</v>
      </c>
      <c r="E704" t="n">
        <v>0.000322732524818863</v>
      </c>
      <c r="F704" t="n">
        <v>0.7908911344073416</v>
      </c>
      <c r="G704" t="inlineStr">
        <is>
          <t>A</t>
        </is>
      </c>
      <c r="H704" t="n">
        <v>0</v>
      </c>
      <c r="I704" t="n">
        <v>20.25001933</v>
      </c>
      <c r="J704" t="n">
        <v>0</v>
      </c>
      <c r="K704" t="n">
        <v>2.1</v>
      </c>
      <c r="L704" t="n">
        <v>0</v>
      </c>
      <c r="M704" t="n">
        <v>2</v>
      </c>
      <c r="N704" t="n">
        <v>4.2</v>
      </c>
      <c r="O704" t="n">
        <v>0</v>
      </c>
      <c r="P704" t="n">
        <v>0</v>
      </c>
      <c r="Q704" t="n">
        <v>0</v>
      </c>
      <c r="R704" t="inlineStr">
        <is>
          <t>Sin rotación</t>
        </is>
      </c>
    </row>
    <row r="705">
      <c r="A705" t="inlineStr">
        <is>
          <t>CLAMIDA43TS</t>
        </is>
      </c>
      <c r="B705" t="inlineStr">
        <is>
          <t>CLASICA ORIGINAL DAMA</t>
        </is>
      </c>
      <c r="C705" t="inlineStr">
        <is>
          <t>Manufactura / Dama / P. Superiores</t>
        </is>
      </c>
      <c r="D705" t="n">
        <v>1317.3921838</v>
      </c>
      <c r="E705" t="n">
        <v>0.0003225405153500463</v>
      </c>
      <c r="F705" t="n">
        <v>0.7912136749226917</v>
      </c>
      <c r="G705" t="inlineStr">
        <is>
          <t>A</t>
        </is>
      </c>
      <c r="H705" t="n">
        <v>55</v>
      </c>
      <c r="I705" t="n">
        <v>3.923227589</v>
      </c>
      <c r="J705" t="n">
        <v>215.777517395</v>
      </c>
      <c r="K705" t="n">
        <v>7.9</v>
      </c>
      <c r="L705" t="n">
        <v>6.962025316455696</v>
      </c>
      <c r="M705" t="n">
        <v>2</v>
      </c>
      <c r="N705" t="n">
        <v>15.8</v>
      </c>
      <c r="O705" t="n">
        <v>39.2</v>
      </c>
      <c r="P705" t="n">
        <v>153.7905214888</v>
      </c>
      <c r="Q705" t="n">
        <v>0.7127272727272728</v>
      </c>
      <c r="R705" t="inlineStr">
        <is>
          <t>Sobrestock crítico</t>
        </is>
      </c>
    </row>
    <row r="706">
      <c r="A706" t="inlineStr">
        <is>
          <t>PANNTDA30TXL</t>
        </is>
      </c>
      <c r="B706" t="inlineStr">
        <is>
          <t>EXPLORE PANTS DAMA</t>
        </is>
      </c>
      <c r="C706" t="inlineStr">
        <is>
          <t>Manufactura / Dama / P. Inferiores</t>
        </is>
      </c>
      <c r="D706" t="n">
        <v>1316.71571612</v>
      </c>
      <c r="E706" t="n">
        <v>0.0003223748940287664</v>
      </c>
      <c r="F706" t="n">
        <v>0.7915360498167204</v>
      </c>
      <c r="G706" t="inlineStr">
        <is>
          <t>A</t>
        </is>
      </c>
      <c r="H706" t="n">
        <v>12</v>
      </c>
      <c r="I706" t="n">
        <v>15.3928899</v>
      </c>
      <c r="J706" t="n">
        <v>184.7146788</v>
      </c>
      <c r="K706" t="n">
        <v>2</v>
      </c>
      <c r="L706" t="n">
        <v>6</v>
      </c>
      <c r="M706" t="n">
        <v>2</v>
      </c>
      <c r="N706" t="n">
        <v>4</v>
      </c>
      <c r="O706" t="n">
        <v>8</v>
      </c>
      <c r="P706" t="n">
        <v>123.1431192</v>
      </c>
      <c r="Q706" t="n">
        <v>0.6666666666666666</v>
      </c>
      <c r="R706" t="inlineStr">
        <is>
          <t>Sobrestock crítico</t>
        </is>
      </c>
    </row>
    <row r="707">
      <c r="A707" t="inlineStr">
        <is>
          <t>TOA65SP</t>
        </is>
      </c>
      <c r="B707" t="inlineStr">
        <is>
          <t>TOALLA SPORT</t>
        </is>
      </c>
      <c r="C707" t="inlineStr">
        <is>
          <t>Equipamiento / Toallas</t>
        </is>
      </c>
      <c r="D707" t="n">
        <v>1311.362254252</v>
      </c>
      <c r="E707" t="n">
        <v>0.0003210641921959751</v>
      </c>
      <c r="F707" t="n">
        <v>0.7918571140089165</v>
      </c>
      <c r="G707" t="inlineStr">
        <is>
          <t>A</t>
        </is>
      </c>
      <c r="H707" t="n">
        <v>681</v>
      </c>
      <c r="I707" t="n">
        <v>1.8</v>
      </c>
      <c r="J707" t="n">
        <v>1225.8</v>
      </c>
      <c r="K707" t="n">
        <v>8.4</v>
      </c>
      <c r="L707" t="n">
        <v>81.07142857142857</v>
      </c>
      <c r="M707" t="n">
        <v>2</v>
      </c>
      <c r="N707" t="n">
        <v>16.8</v>
      </c>
      <c r="O707" t="n">
        <v>664.2</v>
      </c>
      <c r="P707" t="n">
        <v>1195.56</v>
      </c>
      <c r="Q707" t="n">
        <v>0.9753303964757711</v>
      </c>
      <c r="R707" t="inlineStr">
        <is>
          <t>Sobrestock crítico</t>
        </is>
      </c>
    </row>
    <row r="708">
      <c r="A708" t="inlineStr">
        <is>
          <t>CLAMICA12TXL</t>
        </is>
      </c>
      <c r="B708" t="inlineStr">
        <is>
          <t>CLASICA ORIGINAL CAB</t>
        </is>
      </c>
      <c r="C708" t="inlineStr">
        <is>
          <t>Manufactura / Caballero / P. Superiores</t>
        </is>
      </c>
      <c r="D708" t="n">
        <v>1310.98691239</v>
      </c>
      <c r="E708" t="n">
        <v>0.0003209722962829048</v>
      </c>
      <c r="F708" t="n">
        <v>0.7921780863051994</v>
      </c>
      <c r="G708" t="inlineStr">
        <is>
          <t>A</t>
        </is>
      </c>
      <c r="H708" t="n">
        <v>22</v>
      </c>
      <c r="I708" t="n">
        <v>4.598442536</v>
      </c>
      <c r="J708" t="n">
        <v>101.165735792</v>
      </c>
      <c r="K708" t="n">
        <v>3.7</v>
      </c>
      <c r="L708" t="n">
        <v>5.945945945945946</v>
      </c>
      <c r="M708" t="n">
        <v>2</v>
      </c>
      <c r="N708" t="n">
        <v>7.4</v>
      </c>
      <c r="O708" t="n">
        <v>14.6</v>
      </c>
      <c r="P708" t="n">
        <v>67.1372610256</v>
      </c>
      <c r="Q708" t="n">
        <v>0.6636363636363636</v>
      </c>
      <c r="R708" t="inlineStr">
        <is>
          <t>Sobrestock crítico</t>
        </is>
      </c>
    </row>
    <row r="709">
      <c r="A709" t="inlineStr">
        <is>
          <t>PANNTKI12T10</t>
        </is>
      </c>
      <c r="B709" t="inlineStr">
        <is>
          <t>EXPLORE PANTS KIDS</t>
        </is>
      </c>
      <c r="C709" t="inlineStr">
        <is>
          <t>Manufactura / Kids / P. Inferiores</t>
        </is>
      </c>
      <c r="D709" t="n">
        <v>1307.135143</v>
      </c>
      <c r="E709" t="n">
        <v>0.0003200292576803252</v>
      </c>
      <c r="F709" t="n">
        <v>0.7924981155628797</v>
      </c>
      <c r="G709" t="inlineStr">
        <is>
          <t>A</t>
        </is>
      </c>
      <c r="H709" t="n">
        <v>28</v>
      </c>
      <c r="I709" t="n">
        <v>13.98</v>
      </c>
      <c r="J709" t="n">
        <v>391.44</v>
      </c>
      <c r="K709" t="n">
        <v>2.5</v>
      </c>
      <c r="L709" t="n">
        <v>11.2</v>
      </c>
      <c r="M709" t="n">
        <v>2</v>
      </c>
      <c r="N709" t="n">
        <v>5</v>
      </c>
      <c r="O709" t="n">
        <v>23</v>
      </c>
      <c r="P709" t="n">
        <v>321.54</v>
      </c>
      <c r="Q709" t="n">
        <v>0.8214285714285715</v>
      </c>
      <c r="R709" t="inlineStr">
        <is>
          <t>Sobrestock crítico</t>
        </is>
      </c>
    </row>
    <row r="710">
      <c r="A710" t="inlineStr">
        <is>
          <t>JACCA12T2XL</t>
        </is>
      </c>
      <c r="B710" t="inlineStr">
        <is>
          <t>JACKET CAB</t>
        </is>
      </c>
      <c r="C710" t="inlineStr">
        <is>
          <t>Equipamiento / Ropa</t>
        </is>
      </c>
      <c r="D710" t="n">
        <v>1307.059062</v>
      </c>
      <c r="E710" t="n">
        <v>0.0003200106305734924</v>
      </c>
      <c r="F710" t="n">
        <v>0.7928181261934533</v>
      </c>
      <c r="G710" t="inlineStr">
        <is>
          <t>A</t>
        </is>
      </c>
      <c r="H710" t="n">
        <v>0</v>
      </c>
      <c r="I710" t="n">
        <v>20.25001933</v>
      </c>
      <c r="J710" t="n">
        <v>0</v>
      </c>
      <c r="K710" t="n">
        <v>2</v>
      </c>
      <c r="L710" t="n">
        <v>0</v>
      </c>
      <c r="M710" t="n">
        <v>2</v>
      </c>
      <c r="N710" t="n">
        <v>4</v>
      </c>
      <c r="O710" t="n">
        <v>0</v>
      </c>
      <c r="P710" t="n">
        <v>0</v>
      </c>
      <c r="Q710" t="n">
        <v>0</v>
      </c>
      <c r="R710" t="inlineStr">
        <is>
          <t>Sin rotación</t>
        </is>
      </c>
    </row>
    <row r="711">
      <c r="A711" t="inlineStr">
        <is>
          <t>RIOMIDA01TXL</t>
        </is>
      </c>
      <c r="B711" t="inlineStr">
        <is>
          <t>RIO ORIGINAL DAMA</t>
        </is>
      </c>
      <c r="C711" t="inlineStr">
        <is>
          <t>Manufactura / Dama / P. Superiores</t>
        </is>
      </c>
      <c r="D711" t="n">
        <v>1304.42282575</v>
      </c>
      <c r="E711" t="n">
        <v>0.0003193651940746915</v>
      </c>
      <c r="F711" t="n">
        <v>0.7931374913875279</v>
      </c>
      <c r="G711" t="inlineStr">
        <is>
          <t>A</t>
        </is>
      </c>
      <c r="H711" t="n">
        <v>31</v>
      </c>
      <c r="I711" t="n">
        <v>5.538832275</v>
      </c>
      <c r="J711" t="n">
        <v>171.703800525</v>
      </c>
      <c r="K711" t="n">
        <v>2.5</v>
      </c>
      <c r="L711" t="n">
        <v>12.4</v>
      </c>
      <c r="M711" t="n">
        <v>2</v>
      </c>
      <c r="N711" t="n">
        <v>5</v>
      </c>
      <c r="O711" t="n">
        <v>26</v>
      </c>
      <c r="P711" t="n">
        <v>144.00963915</v>
      </c>
      <c r="Q711" t="n">
        <v>0.8387096774193549</v>
      </c>
      <c r="R711" t="inlineStr">
        <is>
          <t>Sobrestock crítico</t>
        </is>
      </c>
    </row>
    <row r="712">
      <c r="A712" t="inlineStr">
        <is>
          <t>RIOMIDA16TXS</t>
        </is>
      </c>
      <c r="B712" t="inlineStr">
        <is>
          <t>RIO ORIGINAL DAMA</t>
        </is>
      </c>
      <c r="C712" t="inlineStr">
        <is>
          <t>Manufactura / Dama / P. Superiores</t>
        </is>
      </c>
      <c r="D712" t="n">
        <v>1299.68383785</v>
      </c>
      <c r="E712" t="n">
        <v>0.0003182049354832866</v>
      </c>
      <c r="F712" t="n">
        <v>0.7934556963230112</v>
      </c>
      <c r="G712" t="inlineStr">
        <is>
          <t>A</t>
        </is>
      </c>
      <c r="H712" t="n">
        <v>15</v>
      </c>
      <c r="I712" t="n">
        <v>5.538832275</v>
      </c>
      <c r="J712" t="n">
        <v>83.08248412499999</v>
      </c>
      <c r="K712" t="n">
        <v>2.5</v>
      </c>
      <c r="L712" t="n">
        <v>6</v>
      </c>
      <c r="M712" t="n">
        <v>2</v>
      </c>
      <c r="N712" t="n">
        <v>5</v>
      </c>
      <c r="O712" t="n">
        <v>10</v>
      </c>
      <c r="P712" t="n">
        <v>55.38832275</v>
      </c>
      <c r="Q712" t="n">
        <v>0.6666666666666667</v>
      </c>
      <c r="R712" t="inlineStr">
        <is>
          <t>Sobrestock crítico</t>
        </is>
      </c>
    </row>
    <row r="713">
      <c r="A713" t="inlineStr">
        <is>
          <t>POLPLCA14T2XL</t>
        </is>
      </c>
      <c r="B713" t="inlineStr">
        <is>
          <t>CLASSIC POLO</t>
        </is>
      </c>
      <c r="C713" t="inlineStr">
        <is>
          <t>Manufactura / Caballero / P. Superiores</t>
        </is>
      </c>
      <c r="D713" t="n">
        <v>1299.45796994</v>
      </c>
      <c r="E713" t="n">
        <v>0.0003181496356621792</v>
      </c>
      <c r="F713" t="n">
        <v>0.7937738459586734</v>
      </c>
      <c r="G713" t="inlineStr">
        <is>
          <t>A</t>
        </is>
      </c>
      <c r="H713" t="n">
        <v>4</v>
      </c>
      <c r="I713" t="n">
        <v>7.339999999999999</v>
      </c>
      <c r="J713" t="n">
        <v>29.36</v>
      </c>
      <c r="K713" t="n">
        <v>2.8</v>
      </c>
      <c r="L713" t="n">
        <v>1.428571428571429</v>
      </c>
      <c r="M713" t="n">
        <v>2</v>
      </c>
      <c r="N713" t="n">
        <v>5.6</v>
      </c>
      <c r="O713" t="n">
        <v>0</v>
      </c>
      <c r="P713" t="n">
        <v>0</v>
      </c>
      <c r="Q713" t="n">
        <v>0</v>
      </c>
      <c r="R713" t="inlineStr">
        <is>
          <t>OK</t>
        </is>
      </c>
    </row>
    <row r="714">
      <c r="A714" t="inlineStr">
        <is>
          <t>RIOMIKI11T4</t>
        </is>
      </c>
      <c r="B714" t="inlineStr">
        <is>
          <t>RIO ORIGINAL KIDS</t>
        </is>
      </c>
      <c r="C714" t="inlineStr">
        <is>
          <t>Manufactura / Kids / P. Superiores</t>
        </is>
      </c>
      <c r="D714" t="n">
        <v>1297.47462313</v>
      </c>
      <c r="E714" t="n">
        <v>0.0003176640477635399</v>
      </c>
      <c r="F714" t="n">
        <v>0.794091510006437</v>
      </c>
      <c r="G714" t="inlineStr">
        <is>
          <t>A</t>
        </is>
      </c>
      <c r="H714" t="n">
        <v>11</v>
      </c>
      <c r="I714" t="n">
        <v>3.617969464</v>
      </c>
      <c r="J714" t="n">
        <v>39.797664104</v>
      </c>
      <c r="K714" t="n">
        <v>3.2</v>
      </c>
      <c r="L714" t="n">
        <v>3.4375</v>
      </c>
      <c r="M714" t="n">
        <v>2</v>
      </c>
      <c r="N714" t="n">
        <v>6.4</v>
      </c>
      <c r="O714" t="n">
        <v>4.6</v>
      </c>
      <c r="P714" t="n">
        <v>16.6426595344</v>
      </c>
      <c r="Q714" t="n">
        <v>0.4181818181818182</v>
      </c>
      <c r="R714" t="inlineStr">
        <is>
          <t>Sobrestock crítico</t>
        </is>
      </c>
    </row>
    <row r="715">
      <c r="A715" t="inlineStr">
        <is>
          <t>BANDVZLA</t>
        </is>
      </c>
      <c r="B715" t="inlineStr">
        <is>
          <t>CUADRO BAND</t>
        </is>
      </c>
      <c r="C715" t="inlineStr">
        <is>
          <t>Equipamiento / Accesorios</t>
        </is>
      </c>
      <c r="D715" t="n">
        <v>1292.587898298357</v>
      </c>
      <c r="E715" t="n">
        <v>0.000316467618359332</v>
      </c>
      <c r="F715" t="n">
        <v>0.7944079776247962</v>
      </c>
      <c r="G715" t="inlineStr">
        <is>
          <t>A</t>
        </is>
      </c>
      <c r="H715" t="n">
        <v>9607</v>
      </c>
      <c r="I715" t="n">
        <v>0.3159183673</v>
      </c>
      <c r="J715" t="n">
        <v>3035.0277546511</v>
      </c>
      <c r="K715" t="n">
        <v>101.7</v>
      </c>
      <c r="L715" t="n">
        <v>94.46411012782694</v>
      </c>
      <c r="M715" t="n">
        <v>2</v>
      </c>
      <c r="N715" t="n">
        <v>203.4</v>
      </c>
      <c r="O715" t="n">
        <v>9403.6</v>
      </c>
      <c r="P715" t="n">
        <v>2970.76995874228</v>
      </c>
      <c r="Q715" t="n">
        <v>0.9788279379619028</v>
      </c>
      <c r="R715" t="inlineStr">
        <is>
          <t>Sobrestock crítico</t>
        </is>
      </c>
    </row>
    <row r="716">
      <c r="A716" t="inlineStr">
        <is>
          <t>CAP46MC</t>
        </is>
      </c>
      <c r="B716" t="inlineStr">
        <is>
          <t>MESH CAP</t>
        </is>
      </c>
      <c r="C716" t="inlineStr">
        <is>
          <t>Equipamiento / Gorras</t>
        </is>
      </c>
      <c r="D716" t="n">
        <v>1291.98009721</v>
      </c>
      <c r="E716" t="n">
        <v>0.0003163188088562245</v>
      </c>
      <c r="F716" t="n">
        <v>0.7947242964336525</v>
      </c>
      <c r="G716" t="inlineStr">
        <is>
          <t>A</t>
        </is>
      </c>
      <c r="H716" t="n">
        <v>1</v>
      </c>
      <c r="I716" t="n">
        <v>3.36</v>
      </c>
      <c r="J716" t="n">
        <v>3.36</v>
      </c>
      <c r="K716" t="n">
        <v>5.1</v>
      </c>
      <c r="L716" t="n">
        <v>0.196078431372549</v>
      </c>
      <c r="M716" t="n">
        <v>2</v>
      </c>
      <c r="N716" t="n">
        <v>10.2</v>
      </c>
      <c r="O716" t="n">
        <v>0</v>
      </c>
      <c r="P716" t="n">
        <v>0</v>
      </c>
      <c r="Q716" t="n">
        <v>0</v>
      </c>
      <c r="R716" t="inlineStr">
        <is>
          <t>Riesgo bajo stock</t>
        </is>
      </c>
    </row>
    <row r="717">
      <c r="A717" t="inlineStr">
        <is>
          <t>BAOCCCA38T2XL</t>
        </is>
      </c>
      <c r="B717" t="inlineStr">
        <is>
          <t>BASIC LINE OVERSIZED CAB</t>
        </is>
      </c>
      <c r="C717" t="inlineStr">
        <is>
          <t>Manufactura / Caballero / P. Superiores</t>
        </is>
      </c>
      <c r="D717" t="n">
        <v>1288.06668099</v>
      </c>
      <c r="E717" t="n">
        <v>0.000315360677101763</v>
      </c>
      <c r="F717" t="n">
        <v>0.7950396571107542</v>
      </c>
      <c r="G717" t="inlineStr">
        <is>
          <t>A</t>
        </is>
      </c>
      <c r="H717" t="n">
        <v>13</v>
      </c>
      <c r="I717" t="n">
        <v>9.336740741</v>
      </c>
      <c r="J717" t="n">
        <v>121.377629633</v>
      </c>
      <c r="K717" t="n">
        <v>2.2</v>
      </c>
      <c r="L717" t="n">
        <v>5.909090909090908</v>
      </c>
      <c r="M717" t="n">
        <v>2</v>
      </c>
      <c r="N717" t="n">
        <v>4.4</v>
      </c>
      <c r="O717" t="n">
        <v>8.6</v>
      </c>
      <c r="P717" t="n">
        <v>80.2959703726</v>
      </c>
      <c r="Q717" t="n">
        <v>0.6615384615384615</v>
      </c>
      <c r="R717" t="inlineStr">
        <is>
          <t>Sobrestock crítico</t>
        </is>
      </c>
    </row>
    <row r="718">
      <c r="A718" t="inlineStr">
        <is>
          <t>CLAMECA16TXL</t>
        </is>
      </c>
      <c r="B718" t="inlineStr">
        <is>
          <t>CLASICA SPORT CAB</t>
        </is>
      </c>
      <c r="C718" t="inlineStr">
        <is>
          <t>Manufactura / Caballero / P. Superiores</t>
        </is>
      </c>
      <c r="D718" t="n">
        <v>1283.89209316</v>
      </c>
      <c r="E718" t="n">
        <v>0.0003143386020305582</v>
      </c>
      <c r="F718" t="n">
        <v>0.7953539957127848</v>
      </c>
      <c r="G718" t="inlineStr">
        <is>
          <t>A</t>
        </is>
      </c>
      <c r="H718" t="n">
        <v>9</v>
      </c>
      <c r="I718" t="n">
        <v>10.3013454</v>
      </c>
      <c r="J718" t="n">
        <v>92.71210860000001</v>
      </c>
      <c r="K718" t="n">
        <v>2.5</v>
      </c>
      <c r="L718" t="n">
        <v>3.6</v>
      </c>
      <c r="M718" t="n">
        <v>2</v>
      </c>
      <c r="N718" t="n">
        <v>5</v>
      </c>
      <c r="O718" t="n">
        <v>4</v>
      </c>
      <c r="P718" t="n">
        <v>41.2053816</v>
      </c>
      <c r="Q718" t="n">
        <v>0.4444444444444444</v>
      </c>
      <c r="R718" t="inlineStr">
        <is>
          <t>Sobrestock crítico</t>
        </is>
      </c>
    </row>
    <row r="719">
      <c r="A719" t="inlineStr">
        <is>
          <t>RIOMIKI34T12</t>
        </is>
      </c>
      <c r="B719" t="inlineStr">
        <is>
          <t>RIO ORIGINAL KIDS</t>
        </is>
      </c>
      <c r="C719" t="inlineStr">
        <is>
          <t>Manufactura / Kids / P. Superiores</t>
        </is>
      </c>
      <c r="D719" t="n">
        <v>1281.70154135</v>
      </c>
      <c r="E719" t="n">
        <v>0.0003138022835990487</v>
      </c>
      <c r="F719" t="n">
        <v>0.7956677979963839</v>
      </c>
      <c r="G719" t="inlineStr">
        <is>
          <t>A</t>
        </is>
      </c>
      <c r="H719" t="n">
        <v>46</v>
      </c>
      <c r="I719" t="n">
        <v>3.617969464</v>
      </c>
      <c r="J719" t="n">
        <v>166.426595344</v>
      </c>
      <c r="K719" t="n">
        <v>2.9</v>
      </c>
      <c r="L719" t="n">
        <v>15.86206896551724</v>
      </c>
      <c r="M719" t="n">
        <v>2</v>
      </c>
      <c r="N719" t="n">
        <v>5.8</v>
      </c>
      <c r="O719" t="n">
        <v>40.2</v>
      </c>
      <c r="P719" t="n">
        <v>145.4423724528</v>
      </c>
      <c r="Q719" t="n">
        <v>0.8739130434782608</v>
      </c>
      <c r="R719" t="inlineStr">
        <is>
          <t>Sobrestock crítico</t>
        </is>
      </c>
    </row>
    <row r="720">
      <c r="A720" t="inlineStr">
        <is>
          <t>BAN59EQ</t>
        </is>
      </c>
      <c r="B720" t="inlineStr">
        <is>
          <t>CUADRO BAND</t>
        </is>
      </c>
      <c r="C720" t="inlineStr">
        <is>
          <t>Equipamiento / Accesorios</t>
        </is>
      </c>
      <c r="D720" t="n">
        <v>1278.340714161</v>
      </c>
      <c r="E720" t="n">
        <v>0.000312979443637743</v>
      </c>
      <c r="F720" t="n">
        <v>0.7959807774400215</v>
      </c>
      <c r="G720" t="inlineStr">
        <is>
          <t>A</t>
        </is>
      </c>
      <c r="H720" t="n">
        <v>785</v>
      </c>
      <c r="I720" t="n">
        <v>0.3159183673</v>
      </c>
      <c r="J720" t="n">
        <v>247.9959183305</v>
      </c>
      <c r="K720" t="n">
        <v>45.1</v>
      </c>
      <c r="L720" t="n">
        <v>17.40576496674058</v>
      </c>
      <c r="M720" t="n">
        <v>2</v>
      </c>
      <c r="N720" t="n">
        <v>90.2</v>
      </c>
      <c r="O720" t="n">
        <v>694.8</v>
      </c>
      <c r="P720" t="n">
        <v>219.50008160004</v>
      </c>
      <c r="Q720" t="n">
        <v>0.8850955414012738</v>
      </c>
      <c r="R720" t="inlineStr">
        <is>
          <t>Sobrestock crítico</t>
        </is>
      </c>
    </row>
    <row r="721">
      <c r="A721" t="inlineStr">
        <is>
          <t>RIOMIKI43T6</t>
        </is>
      </c>
      <c r="B721" t="inlineStr">
        <is>
          <t>RIO ORIGINAL KIDS</t>
        </is>
      </c>
      <c r="C721" t="inlineStr">
        <is>
          <t>Manufactura / Kids / P. Superiores</t>
        </is>
      </c>
      <c r="D721" t="n">
        <v>1276.81578056</v>
      </c>
      <c r="E721" t="n">
        <v>0.0003126060902236348</v>
      </c>
      <c r="F721" t="n">
        <v>0.7962933835302451</v>
      </c>
      <c r="G721" t="inlineStr">
        <is>
          <t>A</t>
        </is>
      </c>
      <c r="H721" t="n">
        <v>26</v>
      </c>
      <c r="I721" t="n">
        <v>3.617969464</v>
      </c>
      <c r="J721" t="n">
        <v>94.067206064</v>
      </c>
      <c r="K721" t="n">
        <v>2.8</v>
      </c>
      <c r="L721" t="n">
        <v>9.285714285714286</v>
      </c>
      <c r="M721" t="n">
        <v>2</v>
      </c>
      <c r="N721" t="n">
        <v>5.6</v>
      </c>
      <c r="O721" t="n">
        <v>20.4</v>
      </c>
      <c r="P721" t="n">
        <v>73.8065770656</v>
      </c>
      <c r="Q721" t="n">
        <v>0.7846153846153845</v>
      </c>
      <c r="R721" t="inlineStr">
        <is>
          <t>Sobrestock crítico</t>
        </is>
      </c>
    </row>
    <row r="722">
      <c r="A722" t="inlineStr">
        <is>
          <t>MARMICA50TXL</t>
        </is>
      </c>
      <c r="B722" t="inlineStr">
        <is>
          <t>MAR ORIGINAL CAB</t>
        </is>
      </c>
      <c r="C722" t="inlineStr">
        <is>
          <t>Manufactura / Caballero / P. Superiores</t>
        </is>
      </c>
      <c r="D722" t="n">
        <v>1272.801188</v>
      </c>
      <c r="E722" t="n">
        <v>0.0003116231872057287</v>
      </c>
      <c r="F722" t="n">
        <v>0.7966050067174509</v>
      </c>
      <c r="G722" t="inlineStr">
        <is>
          <t>A</t>
        </is>
      </c>
      <c r="H722" t="n">
        <v>43</v>
      </c>
      <c r="I722" t="n">
        <v>4.946357428</v>
      </c>
      <c r="J722" t="n">
        <v>212.693369404</v>
      </c>
      <c r="K722" t="n">
        <v>2.6</v>
      </c>
      <c r="L722" t="n">
        <v>16.53846153846154</v>
      </c>
      <c r="M722" t="n">
        <v>2</v>
      </c>
      <c r="N722" t="n">
        <v>5.2</v>
      </c>
      <c r="O722" t="n">
        <v>37.8</v>
      </c>
      <c r="P722" t="n">
        <v>186.9723107784</v>
      </c>
      <c r="Q722" t="n">
        <v>0.8790697674418605</v>
      </c>
      <c r="R722" t="inlineStr">
        <is>
          <t>Sobrestock crítico</t>
        </is>
      </c>
    </row>
    <row r="723">
      <c r="A723" t="inlineStr">
        <is>
          <t>RIOMIKI12T8</t>
        </is>
      </c>
      <c r="B723" t="inlineStr">
        <is>
          <t>RIO ORIGINAL KIDS</t>
        </is>
      </c>
      <c r="C723" t="inlineStr">
        <is>
          <t>Manufactura / Kids / P. Superiores</t>
        </is>
      </c>
      <c r="D723" t="n">
        <v>1269.98321272</v>
      </c>
      <c r="E723" t="n">
        <v>0.0003109332550729654</v>
      </c>
      <c r="F723" t="n">
        <v>0.7969159399725239</v>
      </c>
      <c r="G723" t="inlineStr">
        <is>
          <t>A</t>
        </is>
      </c>
      <c r="H723" t="n">
        <v>77</v>
      </c>
      <c r="I723" t="n">
        <v>3.617969464</v>
      </c>
      <c r="J723" t="n">
        <v>278.583648728</v>
      </c>
      <c r="K723" t="n">
        <v>3.1</v>
      </c>
      <c r="L723" t="n">
        <v>24.83870967741936</v>
      </c>
      <c r="M723" t="n">
        <v>2</v>
      </c>
      <c r="N723" t="n">
        <v>6.2</v>
      </c>
      <c r="O723" t="n">
        <v>70.8</v>
      </c>
      <c r="P723" t="n">
        <v>256.1522380512</v>
      </c>
      <c r="Q723" t="n">
        <v>0.9194805194805195</v>
      </c>
      <c r="R723" t="inlineStr">
        <is>
          <t>Sobrestock crítico</t>
        </is>
      </c>
    </row>
    <row r="724">
      <c r="A724" t="inlineStr">
        <is>
          <t>RIOMIDA01TL</t>
        </is>
      </c>
      <c r="B724" t="inlineStr">
        <is>
          <t>RIO ORIGINAL DAMA</t>
        </is>
      </c>
      <c r="C724" t="inlineStr">
        <is>
          <t>Manufactura / Dama / P. Superiores</t>
        </is>
      </c>
      <c r="D724" t="n">
        <v>1267.50880494</v>
      </c>
      <c r="E724" t="n">
        <v>0.0003103274394545325</v>
      </c>
      <c r="F724" t="n">
        <v>0.7972262674119784</v>
      </c>
      <c r="G724" t="inlineStr">
        <is>
          <t>A</t>
        </is>
      </c>
      <c r="H724" t="n">
        <v>27</v>
      </c>
      <c r="I724" t="n">
        <v>5.538832275</v>
      </c>
      <c r="J724" t="n">
        <v>149.548471425</v>
      </c>
      <c r="K724" t="n">
        <v>2.5</v>
      </c>
      <c r="L724" t="n">
        <v>10.8</v>
      </c>
      <c r="M724" t="n">
        <v>2</v>
      </c>
      <c r="N724" t="n">
        <v>5</v>
      </c>
      <c r="O724" t="n">
        <v>22</v>
      </c>
      <c r="P724" t="n">
        <v>121.85431005</v>
      </c>
      <c r="Q724" t="n">
        <v>0.8148148148148148</v>
      </c>
      <c r="R724" t="inlineStr">
        <is>
          <t>Sobrestock crítico</t>
        </is>
      </c>
    </row>
    <row r="725">
      <c r="A725" t="inlineStr">
        <is>
          <t>RIOMICA50TXL</t>
        </is>
      </c>
      <c r="B725" t="inlineStr">
        <is>
          <t>RIO ORIGINAL CAB</t>
        </is>
      </c>
      <c r="C725" t="inlineStr">
        <is>
          <t>Manufactura / Caballero / P. Superiores</t>
        </is>
      </c>
      <c r="D725" t="n">
        <v>1265.48645</v>
      </c>
      <c r="E725" t="n">
        <v>0.0003098323010951362</v>
      </c>
      <c r="F725" t="n">
        <v>0.7975360997130736</v>
      </c>
      <c r="G725" t="inlineStr">
        <is>
          <t>A</t>
        </is>
      </c>
      <c r="H725" t="n">
        <v>32</v>
      </c>
      <c r="I725" t="n">
        <v>5.939350288000001</v>
      </c>
      <c r="J725" t="n">
        <v>190.059209216</v>
      </c>
      <c r="K725" t="n">
        <v>2.3</v>
      </c>
      <c r="L725" t="n">
        <v>13.91304347826087</v>
      </c>
      <c r="M725" t="n">
        <v>2</v>
      </c>
      <c r="N725" t="n">
        <v>4.6</v>
      </c>
      <c r="O725" t="n">
        <v>27.4</v>
      </c>
      <c r="P725" t="n">
        <v>162.7381978912</v>
      </c>
      <c r="Q725" t="n">
        <v>0.8562499999999998</v>
      </c>
      <c r="R725" t="inlineStr">
        <is>
          <t>Sobrestock crítico</t>
        </is>
      </c>
    </row>
    <row r="726">
      <c r="A726" t="inlineStr">
        <is>
          <t>RIOMIDA66TS</t>
        </is>
      </c>
      <c r="B726" t="inlineStr">
        <is>
          <t>RIO ORIGINAL DAMA</t>
        </is>
      </c>
      <c r="C726" t="inlineStr">
        <is>
          <t>Manufactura / Dama / P. Superiores</t>
        </is>
      </c>
      <c r="D726" t="n">
        <v>1265.21241833</v>
      </c>
      <c r="E726" t="n">
        <v>0.0003097652092168399</v>
      </c>
      <c r="F726" t="n">
        <v>0.7978458649222904</v>
      </c>
      <c r="G726" t="inlineStr">
        <is>
          <t>A</t>
        </is>
      </c>
      <c r="H726" t="n">
        <v>21</v>
      </c>
      <c r="I726" t="n">
        <v>5.538832275</v>
      </c>
      <c r="J726" t="n">
        <v>116.315477775</v>
      </c>
      <c r="K726" t="n">
        <v>2.6</v>
      </c>
      <c r="L726" t="n">
        <v>8.076923076923077</v>
      </c>
      <c r="M726" t="n">
        <v>2</v>
      </c>
      <c r="N726" t="n">
        <v>5.2</v>
      </c>
      <c r="O726" t="n">
        <v>15.8</v>
      </c>
      <c r="P726" t="n">
        <v>87.51354994500001</v>
      </c>
      <c r="Q726" t="n">
        <v>0.7523809523809525</v>
      </c>
      <c r="R726" t="inlineStr">
        <is>
          <t>Sobrestock crítico</t>
        </is>
      </c>
    </row>
    <row r="727">
      <c r="A727" t="inlineStr">
        <is>
          <t>DAYCSTCA66TXL</t>
        </is>
      </c>
      <c r="B727" t="inlineStr">
        <is>
          <t>CLASICA DAILY 3.0 CAB</t>
        </is>
      </c>
      <c r="C727" t="inlineStr">
        <is>
          <t>Manufactura / Caballero / P. Superiores</t>
        </is>
      </c>
      <c r="D727" t="n">
        <v>1262.15155012</v>
      </c>
      <c r="E727" t="n">
        <v>0.0003090158089835515</v>
      </c>
      <c r="F727" t="n">
        <v>0.7981548807312739</v>
      </c>
      <c r="G727" t="inlineStr">
        <is>
          <t>A</t>
        </is>
      </c>
      <c r="H727" t="n">
        <v>18</v>
      </c>
      <c r="I727" t="n">
        <v>11.76035097</v>
      </c>
      <c r="J727" t="n">
        <v>211.68631746</v>
      </c>
      <c r="K727" t="n">
        <v>2.6</v>
      </c>
      <c r="L727" t="n">
        <v>6.923076923076922</v>
      </c>
      <c r="M727" t="n">
        <v>2</v>
      </c>
      <c r="N727" t="n">
        <v>5.2</v>
      </c>
      <c r="O727" t="n">
        <v>12.8</v>
      </c>
      <c r="P727" t="n">
        <v>150.532492416</v>
      </c>
      <c r="Q727" t="n">
        <v>0.7111111111111111</v>
      </c>
      <c r="R727" t="inlineStr">
        <is>
          <t>Sobrestock crítico</t>
        </is>
      </c>
    </row>
    <row r="728">
      <c r="A728" t="inlineStr">
        <is>
          <t>RIOMICA50TS</t>
        </is>
      </c>
      <c r="B728" t="inlineStr">
        <is>
          <t>RIO ORIGINAL CAB</t>
        </is>
      </c>
      <c r="C728" t="inlineStr">
        <is>
          <t>Manufactura / Caballero / P. Superiores</t>
        </is>
      </c>
      <c r="D728" t="n">
        <v>1262.05162946</v>
      </c>
      <c r="E728" t="n">
        <v>0.0003089913451514696</v>
      </c>
      <c r="F728" t="n">
        <v>0.7984638720764254</v>
      </c>
      <c r="G728" t="inlineStr">
        <is>
          <t>A</t>
        </is>
      </c>
      <c r="H728" t="n">
        <v>17</v>
      </c>
      <c r="I728" t="n">
        <v>5.939350287999999</v>
      </c>
      <c r="J728" t="n">
        <v>100.968954896</v>
      </c>
      <c r="K728" t="n">
        <v>2.3</v>
      </c>
      <c r="L728" t="n">
        <v>7.391304347826088</v>
      </c>
      <c r="M728" t="n">
        <v>2</v>
      </c>
      <c r="N728" t="n">
        <v>4.6</v>
      </c>
      <c r="O728" t="n">
        <v>12.4</v>
      </c>
      <c r="P728" t="n">
        <v>73.64794357119999</v>
      </c>
      <c r="Q728" t="n">
        <v>0.7294117647058823</v>
      </c>
      <c r="R728" t="inlineStr">
        <is>
          <t>Sobrestock crítico</t>
        </is>
      </c>
    </row>
    <row r="729">
      <c r="A729" t="inlineStr">
        <is>
          <t>RIOMIKI13T10</t>
        </is>
      </c>
      <c r="B729" t="inlineStr">
        <is>
          <t>RIO ORIGINAL KIDS</t>
        </is>
      </c>
      <c r="C729" t="inlineStr">
        <is>
          <t>Manufactura / Kids / P. Superiores</t>
        </is>
      </c>
      <c r="D729" t="n">
        <v>1249.34458774</v>
      </c>
      <c r="E729" t="n">
        <v>0.000305880247457599</v>
      </c>
      <c r="F729" t="n">
        <v>0.798769752323883</v>
      </c>
      <c r="G729" t="inlineStr">
        <is>
          <t>A</t>
        </is>
      </c>
      <c r="H729" t="n">
        <v>30</v>
      </c>
      <c r="I729" t="n">
        <v>3.617969464000001</v>
      </c>
      <c r="J729" t="n">
        <v>108.53908392</v>
      </c>
      <c r="K729" t="n">
        <v>3</v>
      </c>
      <c r="L729" t="n">
        <v>10</v>
      </c>
      <c r="M729" t="n">
        <v>2</v>
      </c>
      <c r="N729" t="n">
        <v>6</v>
      </c>
      <c r="O729" t="n">
        <v>24</v>
      </c>
      <c r="P729" t="n">
        <v>86.83126713600001</v>
      </c>
      <c r="Q729" t="n">
        <v>0.7999999999999999</v>
      </c>
      <c r="R729" t="inlineStr">
        <is>
          <t>Sobrestock crítico</t>
        </is>
      </c>
    </row>
    <row r="730">
      <c r="A730" t="inlineStr">
        <is>
          <t>JACKI66T4</t>
        </is>
      </c>
      <c r="B730" t="inlineStr">
        <is>
          <t>JACKET KIDS</t>
        </is>
      </c>
      <c r="C730" t="inlineStr">
        <is>
          <t>Manufactura / Kids / P. Superiores</t>
        </is>
      </c>
      <c r="D730" t="n">
        <v>1248.60932222</v>
      </c>
      <c r="E730" t="n">
        <v>0.0003057002305099837</v>
      </c>
      <c r="F730" t="n">
        <v>0.7990754525543929</v>
      </c>
      <c r="G730" t="inlineStr">
        <is>
          <t>A</t>
        </is>
      </c>
      <c r="H730" t="n">
        <v>43</v>
      </c>
      <c r="I730" t="n">
        <v>15.17</v>
      </c>
      <c r="J730" t="n">
        <v>652.3099999999999</v>
      </c>
      <c r="K730" t="n">
        <v>2.3</v>
      </c>
      <c r="L730" t="n">
        <v>18.69565217391305</v>
      </c>
      <c r="M730" t="n">
        <v>2</v>
      </c>
      <c r="N730" t="n">
        <v>4.6</v>
      </c>
      <c r="O730" t="n">
        <v>38.4</v>
      </c>
      <c r="P730" t="n">
        <v>582.528</v>
      </c>
      <c r="Q730" t="n">
        <v>0.8930232558139536</v>
      </c>
      <c r="R730" t="inlineStr">
        <is>
          <t>Sobrestock crítico</t>
        </is>
      </c>
    </row>
    <row r="731">
      <c r="A731" t="inlineStr">
        <is>
          <t>RIOMIKI01T4</t>
        </is>
      </c>
      <c r="B731" t="inlineStr">
        <is>
          <t>RIO ORIGINAL KIDS</t>
        </is>
      </c>
      <c r="C731" t="inlineStr">
        <is>
          <t>Manufactura / Kids / P. Superiores</t>
        </is>
      </c>
      <c r="D731" t="n">
        <v>1248.20801097</v>
      </c>
      <c r="E731" t="n">
        <v>0.0003056019764448826</v>
      </c>
      <c r="F731" t="n">
        <v>0.7993810545308379</v>
      </c>
      <c r="G731" t="inlineStr">
        <is>
          <t>A</t>
        </is>
      </c>
      <c r="H731" t="n">
        <v>25</v>
      </c>
      <c r="I731" t="n">
        <v>3.617969464</v>
      </c>
      <c r="J731" t="n">
        <v>90.44923660000001</v>
      </c>
      <c r="K731" t="n">
        <v>2.9</v>
      </c>
      <c r="L731" t="n">
        <v>8.620689655172415</v>
      </c>
      <c r="M731" t="n">
        <v>2</v>
      </c>
      <c r="N731" t="n">
        <v>5.8</v>
      </c>
      <c r="O731" t="n">
        <v>19.2</v>
      </c>
      <c r="P731" t="n">
        <v>69.4650137088</v>
      </c>
      <c r="Q731" t="n">
        <v>0.7679999999999999</v>
      </c>
      <c r="R731" t="inlineStr">
        <is>
          <t>Sobrestock crítico</t>
        </is>
      </c>
    </row>
    <row r="732">
      <c r="A732" t="inlineStr">
        <is>
          <t>CLAMECA16TS</t>
        </is>
      </c>
      <c r="B732" t="inlineStr">
        <is>
          <t>CLASICA SPORT CAB</t>
        </is>
      </c>
      <c r="C732" t="inlineStr">
        <is>
          <t>Manufactura / Caballero / P. Superiores</t>
        </is>
      </c>
      <c r="D732" t="n">
        <v>1245.8720552</v>
      </c>
      <c r="E732" t="n">
        <v>0.0003050300583880156</v>
      </c>
      <c r="F732" t="n">
        <v>0.7996860845892259</v>
      </c>
      <c r="G732" t="inlineStr">
        <is>
          <t>A</t>
        </is>
      </c>
      <c r="H732" t="n">
        <v>12</v>
      </c>
      <c r="I732" t="n">
        <v>10.3013454</v>
      </c>
      <c r="J732" t="n">
        <v>123.6161448</v>
      </c>
      <c r="K732" t="n">
        <v>2.4</v>
      </c>
      <c r="L732" t="n">
        <v>5</v>
      </c>
      <c r="M732" t="n">
        <v>2</v>
      </c>
      <c r="N732" t="n">
        <v>4.8</v>
      </c>
      <c r="O732" t="n">
        <v>7.2</v>
      </c>
      <c r="P732" t="n">
        <v>74.16968688</v>
      </c>
      <c r="Q732" t="n">
        <v>0.6</v>
      </c>
      <c r="R732" t="inlineStr">
        <is>
          <t>Sobrestock crítico</t>
        </is>
      </c>
    </row>
    <row r="733">
      <c r="A733" t="inlineStr">
        <is>
          <t>ADUMMCA16TL</t>
        </is>
      </c>
      <c r="B733" t="inlineStr">
        <is>
          <t>ACTIVE DUO CAB</t>
        </is>
      </c>
      <c r="C733" t="inlineStr">
        <is>
          <t>Manufactura / Caballero / P. Superiores</t>
        </is>
      </c>
      <c r="D733" t="n">
        <v>1241.97320839</v>
      </c>
      <c r="E733" t="n">
        <v>0.0003040754936996622</v>
      </c>
      <c r="F733" t="n">
        <v>0.7999901600829256</v>
      </c>
      <c r="G733" t="inlineStr">
        <is>
          <t>A</t>
        </is>
      </c>
      <c r="H733" t="n">
        <v>5</v>
      </c>
      <c r="I733" t="n">
        <v>5.09</v>
      </c>
      <c r="J733" t="n">
        <v>25.45</v>
      </c>
      <c r="K733" t="n">
        <v>3.2</v>
      </c>
      <c r="L733" t="n">
        <v>1.5625</v>
      </c>
      <c r="M733" t="n">
        <v>2</v>
      </c>
      <c r="N733" t="n">
        <v>6.4</v>
      </c>
      <c r="O733" t="n">
        <v>0</v>
      </c>
      <c r="P733" t="n">
        <v>0</v>
      </c>
      <c r="Q733" t="n">
        <v>0</v>
      </c>
      <c r="R733" t="inlineStr">
        <is>
          <t>OK</t>
        </is>
      </c>
    </row>
    <row r="734">
      <c r="A734" t="inlineStr">
        <is>
          <t>RIOMIKI34T8</t>
        </is>
      </c>
      <c r="B734" t="inlineStr">
        <is>
          <t>RIO ORIGINAL KIDS</t>
        </is>
      </c>
      <c r="C734" t="inlineStr">
        <is>
          <t>Manufactura / Kids / P. Superiores</t>
        </is>
      </c>
      <c r="D734" t="n">
        <v>1240.67561235</v>
      </c>
      <c r="E734" t="n">
        <v>0.0003037577999250942</v>
      </c>
      <c r="F734" t="n">
        <v>0.8002939178828506</v>
      </c>
      <c r="G734" t="inlineStr">
        <is>
          <t>B</t>
        </is>
      </c>
      <c r="H734" t="n">
        <v>32</v>
      </c>
      <c r="I734" t="n">
        <v>3.617969464</v>
      </c>
      <c r="J734" t="n">
        <v>115.775022848</v>
      </c>
      <c r="K734" t="n">
        <v>3.1</v>
      </c>
      <c r="L734" t="n">
        <v>10.32258064516129</v>
      </c>
      <c r="M734" t="n">
        <v>3</v>
      </c>
      <c r="N734" t="n">
        <v>9.300000000000001</v>
      </c>
      <c r="O734" t="n">
        <v>22.7</v>
      </c>
      <c r="P734" t="n">
        <v>82.12790683280001</v>
      </c>
      <c r="Q734" t="n">
        <v>0.709375</v>
      </c>
      <c r="R734" t="inlineStr">
        <is>
          <t>Sobrestock crítico</t>
        </is>
      </c>
    </row>
    <row r="735">
      <c r="A735" t="inlineStr">
        <is>
          <t>BAN135EQ</t>
        </is>
      </c>
      <c r="B735" t="inlineStr">
        <is>
          <t>CUADRO BAND</t>
        </is>
      </c>
      <c r="C735" t="inlineStr">
        <is>
          <t>Equipamiento / Accesorios</t>
        </is>
      </c>
      <c r="D735" t="n">
        <v>1238.576385256</v>
      </c>
      <c r="E735" t="n">
        <v>0.0003032438407585972</v>
      </c>
      <c r="F735" t="n">
        <v>0.8005971617236092</v>
      </c>
      <c r="G735" t="inlineStr">
        <is>
          <t>B</t>
        </is>
      </c>
      <c r="H735" t="n">
        <v>3688</v>
      </c>
      <c r="I735" t="n">
        <v>0.3159183673</v>
      </c>
      <c r="J735" t="n">
        <v>1165.1069386024</v>
      </c>
      <c r="K735" t="n">
        <v>43.4</v>
      </c>
      <c r="L735" t="n">
        <v>84.97695852534562</v>
      </c>
      <c r="M735" t="n">
        <v>3</v>
      </c>
      <c r="N735" t="n">
        <v>130.2</v>
      </c>
      <c r="O735" t="n">
        <v>3557.8</v>
      </c>
      <c r="P735" t="n">
        <v>1123.97436717994</v>
      </c>
      <c r="Q735" t="n">
        <v>0.9646963123644252</v>
      </c>
      <c r="R735" t="inlineStr">
        <is>
          <t>Sobrestock crítico</t>
        </is>
      </c>
    </row>
    <row r="736">
      <c r="A736" t="inlineStr">
        <is>
          <t>RIOMIDA48TS</t>
        </is>
      </c>
      <c r="B736" t="inlineStr">
        <is>
          <t>RIO ORIGINAL DAMA</t>
        </is>
      </c>
      <c r="C736" t="inlineStr">
        <is>
          <t>Manufactura / Dama / P. Superiores</t>
        </is>
      </c>
      <c r="D736" t="n">
        <v>1236.75545663</v>
      </c>
      <c r="E736" t="n">
        <v>0.0003027980181215207</v>
      </c>
      <c r="F736" t="n">
        <v>0.8008999597417308</v>
      </c>
      <c r="G736" t="inlineStr">
        <is>
          <t>B</t>
        </is>
      </c>
      <c r="H736" t="n">
        <v>26</v>
      </c>
      <c r="I736" t="n">
        <v>5.538832275</v>
      </c>
      <c r="J736" t="n">
        <v>144.00963915</v>
      </c>
      <c r="K736" t="n">
        <v>2.2</v>
      </c>
      <c r="L736" t="n">
        <v>11.81818181818182</v>
      </c>
      <c r="M736" t="n">
        <v>3</v>
      </c>
      <c r="N736" t="n">
        <v>6.600000000000001</v>
      </c>
      <c r="O736" t="n">
        <v>19.4</v>
      </c>
      <c r="P736" t="n">
        <v>107.453346135</v>
      </c>
      <c r="Q736" t="n">
        <v>0.7461538461538461</v>
      </c>
      <c r="R736" t="inlineStr">
        <is>
          <t>Sobrestock crítico</t>
        </is>
      </c>
    </row>
    <row r="737">
      <c r="A737" t="inlineStr">
        <is>
          <t>MIKFNDA16TXS</t>
        </is>
      </c>
      <c r="B737" t="inlineStr">
        <is>
          <t>MIKA SPORT LITE DAMA</t>
        </is>
      </c>
      <c r="C737" t="inlineStr">
        <is>
          <t>Manufactura / Dama / P. Superiores</t>
        </is>
      </c>
      <c r="D737" t="n">
        <v>1236.07537417</v>
      </c>
      <c r="E737" t="n">
        <v>0.0003026315117843598</v>
      </c>
      <c r="F737" t="n">
        <v>0.8012025912535151</v>
      </c>
      <c r="G737" t="inlineStr">
        <is>
          <t>B</t>
        </is>
      </c>
      <c r="H737" t="n">
        <v>33</v>
      </c>
      <c r="I737" t="n">
        <v>5.484675344</v>
      </c>
      <c r="J737" t="n">
        <v>180.994286352</v>
      </c>
      <c r="K737" t="n">
        <v>3.6</v>
      </c>
      <c r="L737" t="n">
        <v>9.166666666666666</v>
      </c>
      <c r="M737" t="n">
        <v>3</v>
      </c>
      <c r="N737" t="n">
        <v>10.8</v>
      </c>
      <c r="O737" t="n">
        <v>22.2</v>
      </c>
      <c r="P737" t="n">
        <v>121.7597926368</v>
      </c>
      <c r="Q737" t="n">
        <v>0.6727272727272726</v>
      </c>
      <c r="R737" t="inlineStr">
        <is>
          <t>Sobrestock crítico</t>
        </is>
      </c>
    </row>
    <row r="738">
      <c r="A738" t="inlineStr">
        <is>
          <t>RIOMIDA12TL</t>
        </is>
      </c>
      <c r="B738" t="inlineStr">
        <is>
          <t>RIO ORIGINAL DAMA</t>
        </is>
      </c>
      <c r="C738" t="inlineStr">
        <is>
          <t>Manufactura / Dama / P. Superiores</t>
        </is>
      </c>
      <c r="D738" t="n">
        <v>1234.44615768</v>
      </c>
      <c r="E738" t="n">
        <v>0.0003022326265224284</v>
      </c>
      <c r="F738" t="n">
        <v>0.8015048238800374</v>
      </c>
      <c r="G738" t="inlineStr">
        <is>
          <t>B</t>
        </is>
      </c>
      <c r="H738" t="n">
        <v>31</v>
      </c>
      <c r="I738" t="n">
        <v>5.538832275</v>
      </c>
      <c r="J738" t="n">
        <v>171.703800525</v>
      </c>
      <c r="K738" t="n">
        <v>2.2</v>
      </c>
      <c r="L738" t="n">
        <v>14.09090909090909</v>
      </c>
      <c r="M738" t="n">
        <v>3</v>
      </c>
      <c r="N738" t="n">
        <v>6.600000000000001</v>
      </c>
      <c r="O738" t="n">
        <v>24.4</v>
      </c>
      <c r="P738" t="n">
        <v>135.14750751</v>
      </c>
      <c r="Q738" t="n">
        <v>0.7870967741935484</v>
      </c>
      <c r="R738" t="inlineStr">
        <is>
          <t>Sobrestock crítico</t>
        </is>
      </c>
    </row>
    <row r="739">
      <c r="A739" t="inlineStr">
        <is>
          <t>MARMIKI13T10</t>
        </is>
      </c>
      <c r="B739" t="inlineStr">
        <is>
          <t>MAR ORIGINAL KIDS</t>
        </is>
      </c>
      <c r="C739" t="inlineStr">
        <is>
          <t>Manufactura / Kids / P. Superiores</t>
        </is>
      </c>
      <c r="D739" t="n">
        <v>1234.06555642</v>
      </c>
      <c r="E739" t="n">
        <v>0.000302139442937424</v>
      </c>
      <c r="F739" t="n">
        <v>0.801806963322975</v>
      </c>
      <c r="G739" t="inlineStr">
        <is>
          <t>B</t>
        </is>
      </c>
      <c r="H739" t="n">
        <v>22</v>
      </c>
      <c r="I739" t="n">
        <v>3.168013332</v>
      </c>
      <c r="J739" t="n">
        <v>69.69629330400001</v>
      </c>
      <c r="K739" t="n">
        <v>3.3</v>
      </c>
      <c r="L739" t="n">
        <v>6.666666666666667</v>
      </c>
      <c r="M739" t="n">
        <v>3</v>
      </c>
      <c r="N739" t="n">
        <v>9.899999999999999</v>
      </c>
      <c r="O739" t="n">
        <v>12.1</v>
      </c>
      <c r="P739" t="n">
        <v>38.33296131720001</v>
      </c>
      <c r="Q739" t="n">
        <v>0.55</v>
      </c>
      <c r="R739" t="inlineStr">
        <is>
          <t>Sobrestock crítico</t>
        </is>
      </c>
    </row>
    <row r="740">
      <c r="A740" t="inlineStr">
        <is>
          <t>PANNTCA30TS</t>
        </is>
      </c>
      <c r="B740" t="inlineStr">
        <is>
          <t>EXPLORE PANTS CAB</t>
        </is>
      </c>
      <c r="C740" t="inlineStr">
        <is>
          <t>Manufactura / Caballero / P. Inferiores</t>
        </is>
      </c>
      <c r="D740" t="n">
        <v>1229.77717044</v>
      </c>
      <c r="E740" t="n">
        <v>0.0003010895063725817</v>
      </c>
      <c r="F740" t="n">
        <v>0.8021080528293476</v>
      </c>
      <c r="G740" t="inlineStr">
        <is>
          <t>B</t>
        </is>
      </c>
      <c r="H740" t="n">
        <v>6</v>
      </c>
      <c r="I740" t="n">
        <v>15.68994502</v>
      </c>
      <c r="J740" t="n">
        <v>94.13967012000001</v>
      </c>
      <c r="K740" t="n">
        <v>2.5</v>
      </c>
      <c r="L740" t="n">
        <v>2.4</v>
      </c>
      <c r="M740" t="n">
        <v>3</v>
      </c>
      <c r="N740" t="n">
        <v>7.5</v>
      </c>
      <c r="O740" t="n">
        <v>0</v>
      </c>
      <c r="P740" t="n">
        <v>0</v>
      </c>
      <c r="Q740" t="n">
        <v>0</v>
      </c>
      <c r="R740" t="inlineStr">
        <is>
          <t>OK</t>
        </is>
      </c>
    </row>
    <row r="741">
      <c r="A741" t="inlineStr">
        <is>
          <t>DAYCSTDA16TL</t>
        </is>
      </c>
      <c r="B741" t="inlineStr">
        <is>
          <t>CLASICA DAILY 3.0 DAMA</t>
        </is>
      </c>
      <c r="C741" t="inlineStr">
        <is>
          <t>Manufactura / Dama / P. Superiores</t>
        </is>
      </c>
      <c r="D741" t="n">
        <v>1229.77122707</v>
      </c>
      <c r="E741" t="n">
        <v>0.0003010880512420242</v>
      </c>
      <c r="F741" t="n">
        <v>0.8024091408805896</v>
      </c>
      <c r="G741" t="inlineStr">
        <is>
          <t>B</t>
        </is>
      </c>
      <c r="H741" t="n">
        <v>21</v>
      </c>
      <c r="I741" t="n">
        <v>10.28586481</v>
      </c>
      <c r="J741" t="n">
        <v>216.00316101</v>
      </c>
      <c r="K741" t="n">
        <v>3.2</v>
      </c>
      <c r="L741" t="n">
        <v>6.5625</v>
      </c>
      <c r="M741" t="n">
        <v>3</v>
      </c>
      <c r="N741" t="n">
        <v>9.600000000000001</v>
      </c>
      <c r="O741" t="n">
        <v>11.4</v>
      </c>
      <c r="P741" t="n">
        <v>117.258858834</v>
      </c>
      <c r="Q741" t="n">
        <v>0.5428571428571428</v>
      </c>
      <c r="R741" t="inlineStr">
        <is>
          <t>Sobrestock crítico</t>
        </is>
      </c>
    </row>
    <row r="742">
      <c r="A742" t="inlineStr">
        <is>
          <t>SHUNTCA31TM</t>
        </is>
      </c>
      <c r="B742" t="inlineStr">
        <is>
          <t>SHORT SPORT R1 CAB</t>
        </is>
      </c>
      <c r="C742" t="inlineStr">
        <is>
          <t>Manufactura / Caballero / P. Inferiores</t>
        </is>
      </c>
      <c r="D742" t="n">
        <v>1227.3141947</v>
      </c>
      <c r="E742" t="n">
        <v>0.0003004864896898935</v>
      </c>
      <c r="F742" t="n">
        <v>0.8027096273702795</v>
      </c>
      <c r="G742" t="inlineStr">
        <is>
          <t>B</t>
        </is>
      </c>
      <c r="H742" t="n">
        <v>2</v>
      </c>
      <c r="I742" t="n">
        <v>9.119999999999999</v>
      </c>
      <c r="J742" t="n">
        <v>18.24</v>
      </c>
      <c r="K742" t="n">
        <v>2.9</v>
      </c>
      <c r="L742" t="n">
        <v>0.6896551724137931</v>
      </c>
      <c r="M742" t="n">
        <v>3</v>
      </c>
      <c r="N742" t="n">
        <v>8.699999999999999</v>
      </c>
      <c r="O742" t="n">
        <v>0</v>
      </c>
      <c r="P742" t="n">
        <v>0</v>
      </c>
      <c r="Q742" t="n">
        <v>0</v>
      </c>
      <c r="R742" t="inlineStr">
        <is>
          <t>Riesgo bajo stock</t>
        </is>
      </c>
    </row>
    <row r="743">
      <c r="A743" t="inlineStr">
        <is>
          <t>MARMIKI43T4</t>
        </is>
      </c>
      <c r="B743" t="inlineStr">
        <is>
          <t>MAR ORIGINAL KIDS</t>
        </is>
      </c>
      <c r="C743" t="inlineStr">
        <is>
          <t>Manufactura / Kids / P. Superiores</t>
        </is>
      </c>
      <c r="D743" t="n">
        <v>1226.38984582</v>
      </c>
      <c r="E743" t="n">
        <v>0.0003002601789771198</v>
      </c>
      <c r="F743" t="n">
        <v>0.8030098875492567</v>
      </c>
      <c r="G743" t="inlineStr">
        <is>
          <t>B</t>
        </is>
      </c>
      <c r="H743" t="n">
        <v>55</v>
      </c>
      <c r="I743" t="n">
        <v>3.168013332</v>
      </c>
      <c r="J743" t="n">
        <v>174.24073326</v>
      </c>
      <c r="K743" t="n">
        <v>3.1</v>
      </c>
      <c r="L743" t="n">
        <v>17.74193548387097</v>
      </c>
      <c r="M743" t="n">
        <v>3</v>
      </c>
      <c r="N743" t="n">
        <v>9.300000000000001</v>
      </c>
      <c r="O743" t="n">
        <v>45.7</v>
      </c>
      <c r="P743" t="n">
        <v>144.7782092724</v>
      </c>
      <c r="Q743" t="n">
        <v>0.8309090909090909</v>
      </c>
      <c r="R743" t="inlineStr">
        <is>
          <t>Sobrestock crítico</t>
        </is>
      </c>
    </row>
    <row r="744">
      <c r="A744" t="inlineStr">
        <is>
          <t>CUTAG81</t>
        </is>
      </c>
      <c r="B744" t="inlineStr">
        <is>
          <t>CUADRO TAG</t>
        </is>
      </c>
      <c r="C744" t="inlineStr">
        <is>
          <t>Equipamiento / Accesorios</t>
        </is>
      </c>
      <c r="D744" t="n">
        <v>1220.202013241</v>
      </c>
      <c r="E744" t="n">
        <v>0.0002987451960180032</v>
      </c>
      <c r="F744" t="n">
        <v>0.8033086327452746</v>
      </c>
      <c r="G744" t="inlineStr">
        <is>
          <t>B</t>
        </is>
      </c>
      <c r="H744" t="n">
        <v>163</v>
      </c>
      <c r="I744" t="n">
        <v>0.8100000000000001</v>
      </c>
      <c r="J744" t="n">
        <v>132.03</v>
      </c>
      <c r="K744" t="n">
        <v>17.8</v>
      </c>
      <c r="L744" t="n">
        <v>9.157303370786517</v>
      </c>
      <c r="M744" t="n">
        <v>3</v>
      </c>
      <c r="N744" t="n">
        <v>53.40000000000001</v>
      </c>
      <c r="O744" t="n">
        <v>109.6</v>
      </c>
      <c r="P744" t="n">
        <v>88.776</v>
      </c>
      <c r="Q744" t="n">
        <v>0.6723926380368098</v>
      </c>
      <c r="R744" t="inlineStr">
        <is>
          <t>Sobrestock crítico</t>
        </is>
      </c>
    </row>
    <row r="745">
      <c r="A745" t="inlineStr">
        <is>
          <t>MARMIKI01T8</t>
        </is>
      </c>
      <c r="B745" t="inlineStr">
        <is>
          <t>MAR ORIGINAL KIDS</t>
        </is>
      </c>
      <c r="C745" t="inlineStr">
        <is>
          <t>Manufactura / Kids / P. Superiores</t>
        </is>
      </c>
      <c r="D745" t="n">
        <v>1219.81374725</v>
      </c>
      <c r="E745" t="n">
        <v>0.0002986501358572021</v>
      </c>
      <c r="F745" t="n">
        <v>0.8036072828811319</v>
      </c>
      <c r="G745" t="inlineStr">
        <is>
          <t>B</t>
        </is>
      </c>
      <c r="H745" t="n">
        <v>46</v>
      </c>
      <c r="I745" t="n">
        <v>3.168013332</v>
      </c>
      <c r="J745" t="n">
        <v>145.728613272</v>
      </c>
      <c r="K745" t="n">
        <v>3.4</v>
      </c>
      <c r="L745" t="n">
        <v>13.52941176470588</v>
      </c>
      <c r="M745" t="n">
        <v>3</v>
      </c>
      <c r="N745" t="n">
        <v>10.2</v>
      </c>
      <c r="O745" t="n">
        <v>35.8</v>
      </c>
      <c r="P745" t="n">
        <v>113.4148772856</v>
      </c>
      <c r="Q745" t="n">
        <v>0.7782608695652173</v>
      </c>
      <c r="R745" t="inlineStr">
        <is>
          <t>Sobrestock crítico</t>
        </is>
      </c>
    </row>
    <row r="746">
      <c r="A746" t="inlineStr">
        <is>
          <t>RIOMICA30TXL</t>
        </is>
      </c>
      <c r="B746" t="inlineStr">
        <is>
          <t>RIO ORIGINAL CAB</t>
        </is>
      </c>
      <c r="C746" t="inlineStr">
        <is>
          <t>Manufactura / Caballero / P. Superiores</t>
        </is>
      </c>
      <c r="D746" t="n">
        <v>1209.70299622</v>
      </c>
      <c r="E746" t="n">
        <v>0.0002961746946879783</v>
      </c>
      <c r="F746" t="n">
        <v>0.8039034575758198</v>
      </c>
      <c r="G746" t="inlineStr">
        <is>
          <t>B</t>
        </is>
      </c>
      <c r="H746" t="n">
        <v>23</v>
      </c>
      <c r="I746" t="n">
        <v>5.939350288000001</v>
      </c>
      <c r="J746" t="n">
        <v>136.605056624</v>
      </c>
      <c r="K746" t="n">
        <v>2.3</v>
      </c>
      <c r="L746" t="n">
        <v>10</v>
      </c>
      <c r="M746" t="n">
        <v>3</v>
      </c>
      <c r="N746" t="n">
        <v>6.899999999999999</v>
      </c>
      <c r="O746" t="n">
        <v>16.1</v>
      </c>
      <c r="P746" t="n">
        <v>95.62353963680002</v>
      </c>
      <c r="Q746" t="n">
        <v>0.7000000000000001</v>
      </c>
      <c r="R746" t="inlineStr">
        <is>
          <t>Sobrestock crítico</t>
        </is>
      </c>
    </row>
    <row r="747">
      <c r="A747" t="inlineStr">
        <is>
          <t>POLPLCA16TS</t>
        </is>
      </c>
      <c r="B747" t="inlineStr">
        <is>
          <t>CLASSIC POLO</t>
        </is>
      </c>
      <c r="C747" t="inlineStr">
        <is>
          <t>Manufactura / Caballero / P. Superiores</t>
        </is>
      </c>
      <c r="D747" t="n">
        <v>1208.192267321148</v>
      </c>
      <c r="E747" t="n">
        <v>0.000295804819047617</v>
      </c>
      <c r="F747" t="n">
        <v>0.8041992623948675</v>
      </c>
      <c r="G747" t="inlineStr">
        <is>
          <t>B</t>
        </is>
      </c>
      <c r="H747" t="n">
        <v>55</v>
      </c>
      <c r="I747" t="n">
        <v>7.34</v>
      </c>
      <c r="J747" t="n">
        <v>403.7</v>
      </c>
      <c r="K747" t="n">
        <v>2.8</v>
      </c>
      <c r="L747" t="n">
        <v>19.64285714285714</v>
      </c>
      <c r="M747" t="n">
        <v>3</v>
      </c>
      <c r="N747" t="n">
        <v>8.399999999999999</v>
      </c>
      <c r="O747" t="n">
        <v>46.6</v>
      </c>
      <c r="P747" t="n">
        <v>342.044</v>
      </c>
      <c r="Q747" t="n">
        <v>0.8472727272727273</v>
      </c>
      <c r="R747" t="inlineStr">
        <is>
          <t>Sobrestock crítico</t>
        </is>
      </c>
    </row>
    <row r="748">
      <c r="A748" t="inlineStr">
        <is>
          <t>JACDA34TL</t>
        </is>
      </c>
      <c r="B748" t="inlineStr">
        <is>
          <t>JACKET DAMA</t>
        </is>
      </c>
      <c r="C748" t="inlineStr">
        <is>
          <t>Equipamiento / Ropa</t>
        </is>
      </c>
      <c r="D748" t="n">
        <v>1208.00885029</v>
      </c>
      <c r="E748" t="n">
        <v>0.0002957599125843193</v>
      </c>
      <c r="F748" t="n">
        <v>0.8044950223074518</v>
      </c>
      <c r="G748" t="inlineStr">
        <is>
          <t>B</t>
        </is>
      </c>
      <c r="H748" t="n">
        <v>0</v>
      </c>
      <c r="I748" t="n">
        <v>20.25</v>
      </c>
      <c r="J748" t="n">
        <v>0</v>
      </c>
      <c r="K748" t="n">
        <v>1.8</v>
      </c>
      <c r="L748" t="n">
        <v>0</v>
      </c>
      <c r="M748" t="n">
        <v>3</v>
      </c>
      <c r="N748" t="n">
        <v>5.4</v>
      </c>
      <c r="O748" t="n">
        <v>0</v>
      </c>
      <c r="P748" t="n">
        <v>0</v>
      </c>
      <c r="Q748" t="n">
        <v>0</v>
      </c>
      <c r="R748" t="inlineStr">
        <is>
          <t>Riesgo bajo stock</t>
        </is>
      </c>
    </row>
    <row r="749">
      <c r="A749" t="inlineStr">
        <is>
          <t>RIOMIKI12T6</t>
        </is>
      </c>
      <c r="B749" t="inlineStr">
        <is>
          <t>RIO ORIGINAL KIDS</t>
        </is>
      </c>
      <c r="C749" t="inlineStr">
        <is>
          <t>Manufactura / Kids / P. Superiores</t>
        </is>
      </c>
      <c r="D749" t="n">
        <v>1204.77750899</v>
      </c>
      <c r="E749" t="n">
        <v>0.0002949687749861232</v>
      </c>
      <c r="F749" t="n">
        <v>0.8047899910824379</v>
      </c>
      <c r="G749" t="inlineStr">
        <is>
          <t>B</t>
        </is>
      </c>
      <c r="H749" t="n">
        <v>76</v>
      </c>
      <c r="I749" t="n">
        <v>3.617969464</v>
      </c>
      <c r="J749" t="n">
        <v>274.965679264</v>
      </c>
      <c r="K749" t="n">
        <v>2.9</v>
      </c>
      <c r="L749" t="n">
        <v>26.20689655172414</v>
      </c>
      <c r="M749" t="n">
        <v>3</v>
      </c>
      <c r="N749" t="n">
        <v>8.699999999999999</v>
      </c>
      <c r="O749" t="n">
        <v>67.3</v>
      </c>
      <c r="P749" t="n">
        <v>243.4893449272</v>
      </c>
      <c r="Q749" t="n">
        <v>0.8855263157894736</v>
      </c>
      <c r="R749" t="inlineStr">
        <is>
          <t>Sobrestock crítico</t>
        </is>
      </c>
    </row>
    <row r="750">
      <c r="A750" t="inlineStr">
        <is>
          <t>MARMICA16T2XL</t>
        </is>
      </c>
      <c r="B750" t="inlineStr">
        <is>
          <t>MAR ORIGINAL CAB</t>
        </is>
      </c>
      <c r="C750" t="inlineStr">
        <is>
          <t>Manufactura / Caballero / P. Superiores</t>
        </is>
      </c>
      <c r="D750" t="n">
        <v>1202.81693297</v>
      </c>
      <c r="E750" t="n">
        <v>0.0002944887621185429</v>
      </c>
      <c r="F750" t="n">
        <v>0.8050844798445563</v>
      </c>
      <c r="G750" t="inlineStr">
        <is>
          <t>B</t>
        </is>
      </c>
      <c r="H750" t="n">
        <v>70</v>
      </c>
      <c r="I750" t="n">
        <v>4.946357428</v>
      </c>
      <c r="J750" t="n">
        <v>346.24501996</v>
      </c>
      <c r="K750" t="n">
        <v>2.4</v>
      </c>
      <c r="L750" t="n">
        <v>29.16666666666667</v>
      </c>
      <c r="M750" t="n">
        <v>3</v>
      </c>
      <c r="N750" t="n">
        <v>7.199999999999999</v>
      </c>
      <c r="O750" t="n">
        <v>62.8</v>
      </c>
      <c r="P750" t="n">
        <v>310.6312464784</v>
      </c>
      <c r="Q750" t="n">
        <v>0.8971428571428571</v>
      </c>
      <c r="R750" t="inlineStr">
        <is>
          <t>Sobrestock crítico</t>
        </is>
      </c>
    </row>
    <row r="751">
      <c r="A751" t="inlineStr">
        <is>
          <t>MARMICA13T2XL</t>
        </is>
      </c>
      <c r="B751" t="inlineStr">
        <is>
          <t>MAR ORIGINAL CAB</t>
        </is>
      </c>
      <c r="C751" t="inlineStr">
        <is>
          <t>Manufactura / Caballero / P. Superiores</t>
        </is>
      </c>
      <c r="D751" t="n">
        <v>1201.79877708</v>
      </c>
      <c r="E751" t="n">
        <v>0.0002942394843943347</v>
      </c>
      <c r="F751" t="n">
        <v>0.8053787193289508</v>
      </c>
      <c r="G751" t="inlineStr">
        <is>
          <t>B</t>
        </is>
      </c>
      <c r="H751" t="n">
        <v>87</v>
      </c>
      <c r="I751" t="n">
        <v>4.946357428</v>
      </c>
      <c r="J751" t="n">
        <v>430.333096236</v>
      </c>
      <c r="K751" t="n">
        <v>2.3</v>
      </c>
      <c r="L751" t="n">
        <v>37.82608695652174</v>
      </c>
      <c r="M751" t="n">
        <v>3</v>
      </c>
      <c r="N751" t="n">
        <v>6.899999999999999</v>
      </c>
      <c r="O751" t="n">
        <v>80.09999999999999</v>
      </c>
      <c r="P751" t="n">
        <v>396.2032299827999</v>
      </c>
      <c r="Q751" t="n">
        <v>0.9206896551724137</v>
      </c>
      <c r="R751" t="inlineStr">
        <is>
          <t>Sobrestock crítico</t>
        </is>
      </c>
    </row>
    <row r="752">
      <c r="A752" t="inlineStr">
        <is>
          <t>MARMIDA04TS</t>
        </is>
      </c>
      <c r="B752" t="inlineStr">
        <is>
          <t>MAR ORIGINAL DAMA</t>
        </is>
      </c>
      <c r="C752" t="inlineStr">
        <is>
          <t>Manufactura / Dama / P. Superiores</t>
        </is>
      </c>
      <c r="D752" t="n">
        <v>1201.73079073</v>
      </c>
      <c r="E752" t="n">
        <v>0.0002942228391214726</v>
      </c>
      <c r="F752" t="n">
        <v>0.8056729421680723</v>
      </c>
      <c r="G752" t="inlineStr">
        <is>
          <t>B</t>
        </is>
      </c>
      <c r="H752" t="n">
        <v>49</v>
      </c>
      <c r="I752" t="n">
        <v>4.278324149</v>
      </c>
      <c r="J752" t="n">
        <v>209.637883301</v>
      </c>
      <c r="K752" t="n">
        <v>2.3</v>
      </c>
      <c r="L752" t="n">
        <v>21.30434782608696</v>
      </c>
      <c r="M752" t="n">
        <v>3</v>
      </c>
      <c r="N752" t="n">
        <v>6.899999999999999</v>
      </c>
      <c r="O752" t="n">
        <v>42.1</v>
      </c>
      <c r="P752" t="n">
        <v>180.1174466729</v>
      </c>
      <c r="Q752" t="n">
        <v>0.8591836734693878</v>
      </c>
      <c r="R752" t="inlineStr">
        <is>
          <t>Sobrestock crítico</t>
        </is>
      </c>
    </row>
    <row r="753">
      <c r="A753" t="inlineStr">
        <is>
          <t>MARMIDA66TXL</t>
        </is>
      </c>
      <c r="B753" t="inlineStr">
        <is>
          <t>MAR ORIGINAL DAMA</t>
        </is>
      </c>
      <c r="C753" t="inlineStr">
        <is>
          <t>Manufactura / Dama / P. Superiores</t>
        </is>
      </c>
      <c r="D753" t="n">
        <v>1198.38527113</v>
      </c>
      <c r="E753" t="n">
        <v>0.0002934037469565373</v>
      </c>
      <c r="F753" t="n">
        <v>0.8059663459150288</v>
      </c>
      <c r="G753" t="inlineStr">
        <is>
          <t>B</t>
        </is>
      </c>
      <c r="H753" t="n">
        <v>38</v>
      </c>
      <c r="I753" t="n">
        <v>4.278324149</v>
      </c>
      <c r="J753" t="n">
        <v>162.576317662</v>
      </c>
      <c r="K753" t="n">
        <v>2.5</v>
      </c>
      <c r="L753" t="n">
        <v>15.2</v>
      </c>
      <c r="M753" t="n">
        <v>3</v>
      </c>
      <c r="N753" t="n">
        <v>7.5</v>
      </c>
      <c r="O753" t="n">
        <v>30.5</v>
      </c>
      <c r="P753" t="n">
        <v>130.4888865445</v>
      </c>
      <c r="Q753" t="n">
        <v>0.8026315789473685</v>
      </c>
      <c r="R753" t="inlineStr">
        <is>
          <t>Sobrestock crítico</t>
        </is>
      </c>
    </row>
    <row r="754">
      <c r="A754" t="inlineStr">
        <is>
          <t>CLAMICA66TS</t>
        </is>
      </c>
      <c r="B754" t="inlineStr">
        <is>
          <t>CLASICA ORIGINAL CAB</t>
        </is>
      </c>
      <c r="C754" t="inlineStr">
        <is>
          <t>Manufactura / Caballero / P. Superiores</t>
        </is>
      </c>
      <c r="D754" t="n">
        <v>1194.06783898</v>
      </c>
      <c r="E754" t="n">
        <v>0.0002923466989432166</v>
      </c>
      <c r="F754" t="n">
        <v>0.806258692613972</v>
      </c>
      <c r="G754" t="inlineStr">
        <is>
          <t>B</t>
        </is>
      </c>
      <c r="H754" t="n">
        <v>41</v>
      </c>
      <c r="I754" t="n">
        <v>4.598442536</v>
      </c>
      <c r="J754" t="n">
        <v>188.536143976</v>
      </c>
      <c r="K754" t="n">
        <v>3.5</v>
      </c>
      <c r="L754" t="n">
        <v>11.71428571428571</v>
      </c>
      <c r="M754" t="n">
        <v>3</v>
      </c>
      <c r="N754" t="n">
        <v>10.5</v>
      </c>
      <c r="O754" t="n">
        <v>30.5</v>
      </c>
      <c r="P754" t="n">
        <v>140.252497348</v>
      </c>
      <c r="Q754" t="n">
        <v>0.7439024390243903</v>
      </c>
      <c r="R754" t="inlineStr">
        <is>
          <t>Sobrestock crítico</t>
        </is>
      </c>
    </row>
    <row r="755">
      <c r="A755" t="inlineStr">
        <is>
          <t>SHOSUCA156TXL</t>
        </is>
      </c>
      <c r="B755" t="inlineStr">
        <is>
          <t>SHORT PLAYA ESTAMPADO CAB</t>
        </is>
      </c>
      <c r="C755" t="inlineStr">
        <is>
          <t>Manufactura / Caballero / P. Inferiores</t>
        </is>
      </c>
      <c r="D755" t="n">
        <v>1193.07481547</v>
      </c>
      <c r="E755" t="n">
        <v>0.0002921035744442187</v>
      </c>
      <c r="F755" t="n">
        <v>0.8065507961884163</v>
      </c>
      <c r="G755" t="inlineStr">
        <is>
          <t>B</t>
        </is>
      </c>
      <c r="H755" t="n">
        <v>41</v>
      </c>
      <c r="I755" t="n">
        <v>12.11</v>
      </c>
      <c r="J755" t="n">
        <v>496.51</v>
      </c>
      <c r="K755" t="n">
        <v>2.3</v>
      </c>
      <c r="L755" t="n">
        <v>17.82608695652174</v>
      </c>
      <c r="M755" t="n">
        <v>3</v>
      </c>
      <c r="N755" t="n">
        <v>6.899999999999999</v>
      </c>
      <c r="O755" t="n">
        <v>34.1</v>
      </c>
      <c r="P755" t="n">
        <v>412.951</v>
      </c>
      <c r="Q755" t="n">
        <v>0.8317073170731708</v>
      </c>
      <c r="R755" t="inlineStr">
        <is>
          <t>Sobrestock crítico</t>
        </is>
      </c>
    </row>
    <row r="756">
      <c r="A756" t="inlineStr">
        <is>
          <t>SHOSUCA155T2XL</t>
        </is>
      </c>
      <c r="B756" t="inlineStr">
        <is>
          <t>SHORT PLAYA ESTAMPADO CAB</t>
        </is>
      </c>
      <c r="C756" t="inlineStr">
        <is>
          <t>Manufactura / Caballero / P. Inferiores</t>
        </is>
      </c>
      <c r="D756" t="n">
        <v>1188.7054299</v>
      </c>
      <c r="E756" t="n">
        <v>0.0002910338065415083</v>
      </c>
      <c r="F756" t="n">
        <v>0.8068418299949577</v>
      </c>
      <c r="G756" t="inlineStr">
        <is>
          <t>B</t>
        </is>
      </c>
      <c r="H756" t="n">
        <v>2</v>
      </c>
      <c r="I756" t="n">
        <v>12.11</v>
      </c>
      <c r="J756" t="n">
        <v>24.22</v>
      </c>
      <c r="K756" t="n">
        <v>2</v>
      </c>
      <c r="L756" t="n">
        <v>1</v>
      </c>
      <c r="M756" t="n">
        <v>3</v>
      </c>
      <c r="N756" t="n">
        <v>6</v>
      </c>
      <c r="O756" t="n">
        <v>0</v>
      </c>
      <c r="P756" t="n">
        <v>0</v>
      </c>
      <c r="Q756" t="n">
        <v>0</v>
      </c>
      <c r="R756" t="inlineStr">
        <is>
          <t>OK</t>
        </is>
      </c>
    </row>
    <row r="757">
      <c r="A757" t="inlineStr">
        <is>
          <t>LPR43EQ</t>
        </is>
      </c>
      <c r="B757" t="inlineStr">
        <is>
          <t>LANYARD PRO</t>
        </is>
      </c>
      <c r="C757" t="inlineStr">
        <is>
          <t>Equipamiento / Accesorios</t>
        </is>
      </c>
      <c r="D757" t="n">
        <v>1187.440455276</v>
      </c>
      <c r="E757" t="n">
        <v>0.0002907240995520886</v>
      </c>
      <c r="F757" t="n">
        <v>0.8071325540945099</v>
      </c>
      <c r="G757" t="inlineStr">
        <is>
          <t>B</t>
        </is>
      </c>
      <c r="H757" t="n">
        <v>450</v>
      </c>
      <c r="I757" t="n">
        <v>1.15</v>
      </c>
      <c r="J757" t="n">
        <v>517.5</v>
      </c>
      <c r="K757" t="n">
        <v>21.2</v>
      </c>
      <c r="L757" t="n">
        <v>21.22641509433962</v>
      </c>
      <c r="M757" t="n">
        <v>3</v>
      </c>
      <c r="N757" t="n">
        <v>63.59999999999999</v>
      </c>
      <c r="O757" t="n">
        <v>386.4</v>
      </c>
      <c r="P757" t="n">
        <v>444.36</v>
      </c>
      <c r="Q757" t="n">
        <v>0.8586666666666666</v>
      </c>
      <c r="R757" t="inlineStr">
        <is>
          <t>Sobrestock crítico</t>
        </is>
      </c>
    </row>
    <row r="758">
      <c r="A758" t="inlineStr">
        <is>
          <t>SHOUNCA170TM</t>
        </is>
      </c>
      <c r="B758" t="inlineStr">
        <is>
          <t>SHORT PLAYA CAB</t>
        </is>
      </c>
      <c r="C758" t="inlineStr">
        <is>
          <t>Manufactura / Caballero / P. Inferiores</t>
        </is>
      </c>
      <c r="D758" t="n">
        <v>1186.85310074</v>
      </c>
      <c r="E758" t="n">
        <v>0.0002905802960309624</v>
      </c>
      <c r="F758" t="n">
        <v>0.8074231343905407</v>
      </c>
      <c r="G758" t="inlineStr">
        <is>
          <t>B</t>
        </is>
      </c>
      <c r="H758" t="n">
        <v>31</v>
      </c>
      <c r="I758" t="n">
        <v>9.99</v>
      </c>
      <c r="J758" t="n">
        <v>309.69</v>
      </c>
      <c r="K758" t="n">
        <v>2.5</v>
      </c>
      <c r="L758" t="n">
        <v>12.4</v>
      </c>
      <c r="M758" t="n">
        <v>3</v>
      </c>
      <c r="N758" t="n">
        <v>7.5</v>
      </c>
      <c r="O758" t="n">
        <v>23.5</v>
      </c>
      <c r="P758" t="n">
        <v>234.765</v>
      </c>
      <c r="Q758" t="n">
        <v>0.7580645161290324</v>
      </c>
      <c r="R758" t="inlineStr">
        <is>
          <t>Sobrestock crítico</t>
        </is>
      </c>
    </row>
    <row r="759">
      <c r="A759" t="inlineStr">
        <is>
          <t>PANNTKI12T8</t>
        </is>
      </c>
      <c r="B759" t="inlineStr">
        <is>
          <t>EXPLORE PANTS KIDS</t>
        </is>
      </c>
      <c r="C759" t="inlineStr">
        <is>
          <t>Manufactura / Kids / P. Inferiores</t>
        </is>
      </c>
      <c r="D759" t="n">
        <v>1185.0095236</v>
      </c>
      <c r="E759" t="n">
        <v>0.0002901289282999744</v>
      </c>
      <c r="F759" t="n">
        <v>0.8077132633188407</v>
      </c>
      <c r="G759" t="inlineStr">
        <is>
          <t>B</t>
        </is>
      </c>
      <c r="H759" t="n">
        <v>28</v>
      </c>
      <c r="I759" t="n">
        <v>13.98</v>
      </c>
      <c r="J759" t="n">
        <v>391.44</v>
      </c>
      <c r="K759" t="n">
        <v>2.3</v>
      </c>
      <c r="L759" t="n">
        <v>12.17391304347826</v>
      </c>
      <c r="M759" t="n">
        <v>3</v>
      </c>
      <c r="N759" t="n">
        <v>6.899999999999999</v>
      </c>
      <c r="O759" t="n">
        <v>21.1</v>
      </c>
      <c r="P759" t="n">
        <v>294.978</v>
      </c>
      <c r="Q759" t="n">
        <v>0.7535714285714286</v>
      </c>
      <c r="R759" t="inlineStr">
        <is>
          <t>Sobrestock crítico</t>
        </is>
      </c>
    </row>
    <row r="760">
      <c r="A760" t="inlineStr">
        <is>
          <t>GEODOCACA168TM</t>
        </is>
      </c>
      <c r="B760" t="inlineStr">
        <is>
          <t>ADVANCE GEO DOMINIC CAB</t>
        </is>
      </c>
      <c r="C760" t="inlineStr">
        <is>
          <t>Manufactura / Caballero / P. Superiores</t>
        </is>
      </c>
      <c r="D760" t="n">
        <v>1184.85370875</v>
      </c>
      <c r="E760" t="n">
        <v>0.0002900907797496518</v>
      </c>
      <c r="F760" t="n">
        <v>0.8080033540985905</v>
      </c>
      <c r="G760" t="inlineStr">
        <is>
          <t>B</t>
        </is>
      </c>
      <c r="H760" t="n">
        <v>17</v>
      </c>
      <c r="I760" t="n">
        <v>13.35</v>
      </c>
      <c r="J760" t="n">
        <v>226.95</v>
      </c>
      <c r="K760" t="n">
        <v>2.2</v>
      </c>
      <c r="L760" t="n">
        <v>7.727272727272727</v>
      </c>
      <c r="M760" t="n">
        <v>3</v>
      </c>
      <c r="N760" t="n">
        <v>6.600000000000001</v>
      </c>
      <c r="O760" t="n">
        <v>10.4</v>
      </c>
      <c r="P760" t="n">
        <v>138.84</v>
      </c>
      <c r="Q760" t="n">
        <v>0.6117647058823529</v>
      </c>
      <c r="R760" t="inlineStr">
        <is>
          <t>Sobrestock crítico</t>
        </is>
      </c>
    </row>
    <row r="761">
      <c r="A761" t="inlineStr">
        <is>
          <t>MARMIKI12T14</t>
        </is>
      </c>
      <c r="B761" t="inlineStr">
        <is>
          <t>MAR ORIGINAL KIDS</t>
        </is>
      </c>
      <c r="C761" t="inlineStr">
        <is>
          <t>Manufactura / Kids / P. Superiores</t>
        </is>
      </c>
      <c r="D761" t="n">
        <v>1182.99086859</v>
      </c>
      <c r="E761" t="n">
        <v>0.0002896346958039524</v>
      </c>
      <c r="F761" t="n">
        <v>0.8082929887943944</v>
      </c>
      <c r="G761" t="inlineStr">
        <is>
          <t>B</t>
        </is>
      </c>
      <c r="H761" t="n">
        <v>21</v>
      </c>
      <c r="I761" t="n">
        <v>3.168013332</v>
      </c>
      <c r="J761" t="n">
        <v>66.52827997200001</v>
      </c>
      <c r="K761" t="n">
        <v>3.2</v>
      </c>
      <c r="L761" t="n">
        <v>6.5625</v>
      </c>
      <c r="M761" t="n">
        <v>3</v>
      </c>
      <c r="N761" t="n">
        <v>9.600000000000001</v>
      </c>
      <c r="O761" t="n">
        <v>11.4</v>
      </c>
      <c r="P761" t="n">
        <v>36.1153519848</v>
      </c>
      <c r="Q761" t="n">
        <v>0.5428571428571428</v>
      </c>
      <c r="R761" t="inlineStr">
        <is>
          <t>Sobrestock crítico</t>
        </is>
      </c>
    </row>
    <row r="762">
      <c r="A762" t="inlineStr">
        <is>
          <t>RIOMIKI16T4</t>
        </is>
      </c>
      <c r="B762" t="inlineStr">
        <is>
          <t>RIO ORIGINAL KIDS</t>
        </is>
      </c>
      <c r="C762" t="inlineStr">
        <is>
          <t>Manufactura / Kids / P. Superiores</t>
        </is>
      </c>
      <c r="D762" t="n">
        <v>1182.82025439</v>
      </c>
      <c r="E762" t="n">
        <v>0.0002895929238907205</v>
      </c>
      <c r="F762" t="n">
        <v>0.8085825817182851</v>
      </c>
      <c r="G762" t="inlineStr">
        <is>
          <t>B</t>
        </is>
      </c>
      <c r="H762" t="n">
        <v>15</v>
      </c>
      <c r="I762" t="n">
        <v>3.617969464000001</v>
      </c>
      <c r="J762" t="n">
        <v>54.26954196000001</v>
      </c>
      <c r="K762" t="n">
        <v>2.9</v>
      </c>
      <c r="L762" t="n">
        <v>5.172413793103448</v>
      </c>
      <c r="M762" t="n">
        <v>3</v>
      </c>
      <c r="N762" t="n">
        <v>8.699999999999999</v>
      </c>
      <c r="O762" t="n">
        <v>6.300000000000001</v>
      </c>
      <c r="P762" t="n">
        <v>22.79320762320001</v>
      </c>
      <c r="Q762" t="n">
        <v>0.42</v>
      </c>
      <c r="R762" t="inlineStr">
        <is>
          <t>Sobrestock crítico</t>
        </is>
      </c>
    </row>
    <row r="763">
      <c r="A763" t="inlineStr">
        <is>
          <t>SHONTDA43TM</t>
        </is>
      </c>
      <c r="B763" t="inlineStr">
        <is>
          <t>EXPLORE SHORT DAMA</t>
        </is>
      </c>
      <c r="C763" t="inlineStr">
        <is>
          <t>Manufactura / Dama / P. Inferiores</t>
        </is>
      </c>
      <c r="D763" t="n">
        <v>1182.6192112</v>
      </c>
      <c r="E763" t="n">
        <v>0.0002895437019696346</v>
      </c>
      <c r="F763" t="n">
        <v>0.8088721254202548</v>
      </c>
      <c r="G763" t="inlineStr">
        <is>
          <t>B</t>
        </is>
      </c>
      <c r="H763" t="n">
        <v>44</v>
      </c>
      <c r="I763" t="n">
        <v>10.22113744</v>
      </c>
      <c r="J763" t="n">
        <v>449.73004736</v>
      </c>
      <c r="K763" t="n">
        <v>2.4</v>
      </c>
      <c r="L763" t="n">
        <v>18.33333333333334</v>
      </c>
      <c r="M763" t="n">
        <v>3</v>
      </c>
      <c r="N763" t="n">
        <v>7.199999999999999</v>
      </c>
      <c r="O763" t="n">
        <v>36.8</v>
      </c>
      <c r="P763" t="n">
        <v>376.137857792</v>
      </c>
      <c r="Q763" t="n">
        <v>0.8363636363636364</v>
      </c>
      <c r="R763" t="inlineStr">
        <is>
          <t>Sobrestock crítico</t>
        </is>
      </c>
    </row>
    <row r="764">
      <c r="A764" t="inlineStr">
        <is>
          <t>PANNTDA30TXS</t>
        </is>
      </c>
      <c r="B764" t="inlineStr">
        <is>
          <t>EXPLORE PANTS DAMA</t>
        </is>
      </c>
      <c r="C764" t="inlineStr">
        <is>
          <t>Manufactura / Dama / P. Inferiores</t>
        </is>
      </c>
      <c r="D764" t="n">
        <v>1181.69242166</v>
      </c>
      <c r="E764" t="n">
        <v>0.0002893167937037981</v>
      </c>
      <c r="F764" t="n">
        <v>0.8091614422139586</v>
      </c>
      <c r="G764" t="inlineStr">
        <is>
          <t>B</t>
        </is>
      </c>
      <c r="H764" t="n">
        <v>36</v>
      </c>
      <c r="I764" t="n">
        <v>15.3928899</v>
      </c>
      <c r="J764" t="n">
        <v>554.1440364</v>
      </c>
      <c r="K764" t="n">
        <v>1.8</v>
      </c>
      <c r="L764" t="n">
        <v>20</v>
      </c>
      <c r="M764" t="n">
        <v>3</v>
      </c>
      <c r="N764" t="n">
        <v>5.4</v>
      </c>
      <c r="O764" t="n">
        <v>30.6</v>
      </c>
      <c r="P764" t="n">
        <v>471.02243094</v>
      </c>
      <c r="Q764" t="n">
        <v>0.8500000000000001</v>
      </c>
      <c r="R764" t="inlineStr">
        <is>
          <t>Sobrestock crítico</t>
        </is>
      </c>
    </row>
    <row r="765">
      <c r="A765" t="inlineStr">
        <is>
          <t>CAP70EC</t>
        </is>
      </c>
      <c r="B765" t="inlineStr">
        <is>
          <t>EXPLORE CAP</t>
        </is>
      </c>
      <c r="C765" t="inlineStr">
        <is>
          <t>Equipamiento / Gorras</t>
        </is>
      </c>
      <c r="D765" t="n">
        <v>1180.40450776</v>
      </c>
      <c r="E765" t="n">
        <v>0.0002890014704324589</v>
      </c>
      <c r="F765" t="n">
        <v>0.809450443684391</v>
      </c>
      <c r="G765" t="inlineStr">
        <is>
          <t>B</t>
        </is>
      </c>
      <c r="H765" t="n">
        <v>264</v>
      </c>
      <c r="I765" t="n">
        <v>3.360013258</v>
      </c>
      <c r="J765" t="n">
        <v>887.0435001119999</v>
      </c>
      <c r="K765" t="n">
        <v>4.6</v>
      </c>
      <c r="L765" t="n">
        <v>57.39130434782609</v>
      </c>
      <c r="M765" t="n">
        <v>3</v>
      </c>
      <c r="N765" t="n">
        <v>13.8</v>
      </c>
      <c r="O765" t="n">
        <v>250.2</v>
      </c>
      <c r="P765" t="n">
        <v>840.6753171516</v>
      </c>
      <c r="Q765" t="n">
        <v>0.9477272727272728</v>
      </c>
      <c r="R765" t="inlineStr">
        <is>
          <t>Sobrestock crítico</t>
        </is>
      </c>
    </row>
    <row r="766">
      <c r="A766" t="inlineStr">
        <is>
          <t>REFVERTOEQ152EQ</t>
        </is>
      </c>
      <c r="B766" t="inlineStr">
        <is>
          <t>REFRESH VERDE</t>
        </is>
      </c>
      <c r="C766" t="inlineStr">
        <is>
          <t>Manufactura / Refresh</t>
        </is>
      </c>
      <c r="D766" t="n">
        <v>1175.42032035</v>
      </c>
      <c r="E766" t="n">
        <v>0.0002877811790146174</v>
      </c>
      <c r="F766" t="n">
        <v>0.8097382248634055</v>
      </c>
      <c r="G766" t="inlineStr">
        <is>
          <t>B</t>
        </is>
      </c>
      <c r="H766" t="n">
        <v>58</v>
      </c>
      <c r="I766" t="n">
        <v>14.96</v>
      </c>
      <c r="J766" t="n">
        <v>867.6800000000001</v>
      </c>
      <c r="K766" t="n">
        <v>4.8</v>
      </c>
      <c r="L766" t="n">
        <v>12.08333333333333</v>
      </c>
      <c r="M766" t="n">
        <v>3</v>
      </c>
      <c r="N766" t="n">
        <v>14.4</v>
      </c>
      <c r="O766" t="n">
        <v>43.6</v>
      </c>
      <c r="P766" t="n">
        <v>652.2560000000001</v>
      </c>
      <c r="Q766" t="n">
        <v>0.7517241379310345</v>
      </c>
      <c r="R766" t="inlineStr">
        <is>
          <t>Sobrestock crítico</t>
        </is>
      </c>
    </row>
    <row r="767">
      <c r="A767" t="inlineStr">
        <is>
          <t>JACKI66T2</t>
        </is>
      </c>
      <c r="B767" t="inlineStr">
        <is>
          <t>JACKET KIDS</t>
        </is>
      </c>
      <c r="C767" t="inlineStr">
        <is>
          <t>Manufactura / Kids / P. Superiores</t>
        </is>
      </c>
      <c r="D767" t="n">
        <v>1175.36151856</v>
      </c>
      <c r="E767" t="n">
        <v>0.0002877667824211934</v>
      </c>
      <c r="F767" t="n">
        <v>0.8100259916458267</v>
      </c>
      <c r="G767" t="inlineStr">
        <is>
          <t>B</t>
        </is>
      </c>
      <c r="H767" t="n">
        <v>72</v>
      </c>
      <c r="I767" t="n">
        <v>15.17</v>
      </c>
      <c r="J767" t="n">
        <v>1092.24</v>
      </c>
      <c r="K767" t="n">
        <v>2</v>
      </c>
      <c r="L767" t="n">
        <v>36</v>
      </c>
      <c r="M767" t="n">
        <v>3</v>
      </c>
      <c r="N767" t="n">
        <v>6</v>
      </c>
      <c r="O767" t="n">
        <v>66</v>
      </c>
      <c r="P767" t="n">
        <v>1001.22</v>
      </c>
      <c r="Q767" t="n">
        <v>0.9166666666666667</v>
      </c>
      <c r="R767" t="inlineStr">
        <is>
          <t>Sobrestock crítico</t>
        </is>
      </c>
    </row>
    <row r="768">
      <c r="A768" t="inlineStr">
        <is>
          <t>RIOMIKI50T6</t>
        </is>
      </c>
      <c r="B768" t="inlineStr">
        <is>
          <t>RIO ORIGINAL KIDS</t>
        </is>
      </c>
      <c r="C768" t="inlineStr">
        <is>
          <t>Manufactura / Kids / P. Superiores</t>
        </is>
      </c>
      <c r="D768" t="n">
        <v>1174.52536869</v>
      </c>
      <c r="E768" t="n">
        <v>0.0002875620656987959</v>
      </c>
      <c r="F768" t="n">
        <v>0.8103135537115256</v>
      </c>
      <c r="G768" t="inlineStr">
        <is>
          <t>B</t>
        </is>
      </c>
      <c r="H768" t="n">
        <v>33</v>
      </c>
      <c r="I768" t="n">
        <v>3.617969464</v>
      </c>
      <c r="J768" t="n">
        <v>119.392992312</v>
      </c>
      <c r="K768" t="n">
        <v>2.8</v>
      </c>
      <c r="L768" t="n">
        <v>11.78571428571429</v>
      </c>
      <c r="M768" t="n">
        <v>3</v>
      </c>
      <c r="N768" t="n">
        <v>8.399999999999999</v>
      </c>
      <c r="O768" t="n">
        <v>24.6</v>
      </c>
      <c r="P768" t="n">
        <v>89.00204881440001</v>
      </c>
      <c r="Q768" t="n">
        <v>0.7454545454545455</v>
      </c>
      <c r="R768" t="inlineStr">
        <is>
          <t>Sobrestock crítico</t>
        </is>
      </c>
    </row>
    <row r="769">
      <c r="A769" t="inlineStr">
        <is>
          <t>JAPCA01TXL</t>
        </is>
      </c>
      <c r="B769" t="inlineStr">
        <is>
          <t>CUADRO JACKET 2.0 CAB</t>
        </is>
      </c>
      <c r="C769" t="inlineStr">
        <is>
          <t>Equipamiento / Ropa</t>
        </is>
      </c>
      <c r="D769" t="n">
        <v>1173.55512457</v>
      </c>
      <c r="E769" t="n">
        <v>0.0002873245183364171</v>
      </c>
      <c r="F769" t="n">
        <v>0.8106008782298619</v>
      </c>
      <c r="G769" t="inlineStr">
        <is>
          <t>B</t>
        </is>
      </c>
      <c r="H769" t="n">
        <v>218</v>
      </c>
      <c r="I769" t="n">
        <v>20.25000225</v>
      </c>
      <c r="J769" t="n">
        <v>4414.500490500001</v>
      </c>
      <c r="K769" t="n">
        <v>1.7</v>
      </c>
      <c r="L769" t="n">
        <v>128.2352941176471</v>
      </c>
      <c r="M769" t="n">
        <v>3</v>
      </c>
      <c r="N769" t="n">
        <v>5.1</v>
      </c>
      <c r="O769" t="n">
        <v>212.9</v>
      </c>
      <c r="P769" t="n">
        <v>4311.225479025001</v>
      </c>
      <c r="Q769" t="n">
        <v>0.976605504587156</v>
      </c>
      <c r="R769" t="inlineStr">
        <is>
          <t>Sobrestock crítico</t>
        </is>
      </c>
    </row>
    <row r="770">
      <c r="A770" t="inlineStr">
        <is>
          <t>RIOMIKI13T6</t>
        </is>
      </c>
      <c r="B770" t="inlineStr">
        <is>
          <t>RIO ORIGINAL KIDS</t>
        </is>
      </c>
      <c r="C770" t="inlineStr">
        <is>
          <t>Manufactura / Kids / P. Superiores</t>
        </is>
      </c>
      <c r="D770" t="n">
        <v>1172.92758493</v>
      </c>
      <c r="E770" t="n">
        <v>0.0002871708761929633</v>
      </c>
      <c r="F770" t="n">
        <v>0.8108880491060551</v>
      </c>
      <c r="G770" t="inlineStr">
        <is>
          <t>B</t>
        </is>
      </c>
      <c r="H770" t="n">
        <v>26</v>
      </c>
      <c r="I770" t="n">
        <v>3.617969464</v>
      </c>
      <c r="J770" t="n">
        <v>94.067206064</v>
      </c>
      <c r="K770" t="n">
        <v>2.7</v>
      </c>
      <c r="L770" t="n">
        <v>9.62962962962963</v>
      </c>
      <c r="M770" t="n">
        <v>3</v>
      </c>
      <c r="N770" t="n">
        <v>8.100000000000001</v>
      </c>
      <c r="O770" t="n">
        <v>17.9</v>
      </c>
      <c r="P770" t="n">
        <v>64.7616534056</v>
      </c>
      <c r="Q770" t="n">
        <v>0.6884615384615385</v>
      </c>
      <c r="R770" t="inlineStr">
        <is>
          <t>Sobrestock crítico</t>
        </is>
      </c>
    </row>
    <row r="771">
      <c r="A771" t="inlineStr">
        <is>
          <t>SHONRCA12TS</t>
        </is>
      </c>
      <c r="B771" t="inlineStr">
        <is>
          <t>SHORT SPORT CAB</t>
        </is>
      </c>
      <c r="C771" t="inlineStr">
        <is>
          <t>Manufactura / Caballero / P. Inferiores</t>
        </is>
      </c>
      <c r="D771" t="n">
        <v>1170.15314537</v>
      </c>
      <c r="E771" t="n">
        <v>0.0002864916030224571</v>
      </c>
      <c r="F771" t="n">
        <v>0.8111745407090774</v>
      </c>
      <c r="G771" t="inlineStr">
        <is>
          <t>B</t>
        </is>
      </c>
      <c r="H771" t="n">
        <v>9</v>
      </c>
      <c r="I771" t="n">
        <v>10.6514486</v>
      </c>
      <c r="J771" t="n">
        <v>95.8630374</v>
      </c>
      <c r="K771" t="n">
        <v>3.7</v>
      </c>
      <c r="L771" t="n">
        <v>2.432432432432432</v>
      </c>
      <c r="M771" t="n">
        <v>3</v>
      </c>
      <c r="N771" t="n">
        <v>11.1</v>
      </c>
      <c r="O771" t="n">
        <v>0</v>
      </c>
      <c r="P771" t="n">
        <v>0</v>
      </c>
      <c r="Q771" t="n">
        <v>0</v>
      </c>
      <c r="R771" t="inlineStr">
        <is>
          <t>OK</t>
        </is>
      </c>
    </row>
    <row r="772">
      <c r="A772" t="inlineStr">
        <is>
          <t>MARMIKI50T8</t>
        </is>
      </c>
      <c r="B772" t="inlineStr">
        <is>
          <t>MAR ORIGINAL KIDS</t>
        </is>
      </c>
      <c r="C772" t="inlineStr">
        <is>
          <t>Manufactura / Kids / P. Superiores</t>
        </is>
      </c>
      <c r="D772" t="n">
        <v>1169.66720355</v>
      </c>
      <c r="E772" t="n">
        <v>0.0002863726286373194</v>
      </c>
      <c r="F772" t="n">
        <v>0.8114609133377146</v>
      </c>
      <c r="G772" t="inlineStr">
        <is>
          <t>B</t>
        </is>
      </c>
      <c r="H772" t="n">
        <v>53</v>
      </c>
      <c r="I772" t="n">
        <v>3.168013332</v>
      </c>
      <c r="J772" t="n">
        <v>167.904706596</v>
      </c>
      <c r="K772" t="n">
        <v>3.5</v>
      </c>
      <c r="L772" t="n">
        <v>15.14285714285714</v>
      </c>
      <c r="M772" t="n">
        <v>3</v>
      </c>
      <c r="N772" t="n">
        <v>10.5</v>
      </c>
      <c r="O772" t="n">
        <v>42.5</v>
      </c>
      <c r="P772" t="n">
        <v>134.64056661</v>
      </c>
      <c r="Q772" t="n">
        <v>0.8018867924528302</v>
      </c>
      <c r="R772" t="inlineStr">
        <is>
          <t>Sobrestock crítico</t>
        </is>
      </c>
    </row>
    <row r="773">
      <c r="A773" t="inlineStr">
        <is>
          <t>SHOSUKI155T14</t>
        </is>
      </c>
      <c r="B773" t="inlineStr">
        <is>
          <t>SHORT PLAYA ESTAMPADO KIDS</t>
        </is>
      </c>
      <c r="C773" t="inlineStr">
        <is>
          <t>Manufactura / Kids / P. Superiores</t>
        </is>
      </c>
      <c r="D773" t="n">
        <v>1169.07159734</v>
      </c>
      <c r="E773" t="n">
        <v>0.0002862268048376328</v>
      </c>
      <c r="F773" t="n">
        <v>0.8117471401425523</v>
      </c>
      <c r="G773" t="inlineStr">
        <is>
          <t>B</t>
        </is>
      </c>
      <c r="H773" t="n">
        <v>7</v>
      </c>
      <c r="I773" t="n">
        <v>7.21</v>
      </c>
      <c r="J773" t="n">
        <v>50.47</v>
      </c>
      <c r="K773" t="n">
        <v>2.6</v>
      </c>
      <c r="L773" t="n">
        <v>2.692307692307692</v>
      </c>
      <c r="M773" t="n">
        <v>3</v>
      </c>
      <c r="N773" t="n">
        <v>7.800000000000001</v>
      </c>
      <c r="O773" t="n">
        <v>0</v>
      </c>
      <c r="P773" t="n">
        <v>0</v>
      </c>
      <c r="Q773" t="n">
        <v>0</v>
      </c>
      <c r="R773" t="inlineStr">
        <is>
          <t>OK</t>
        </is>
      </c>
    </row>
    <row r="774">
      <c r="A774" t="inlineStr">
        <is>
          <t>MARMIKI50T10</t>
        </is>
      </c>
      <c r="B774" t="inlineStr">
        <is>
          <t>MAR ORIGINAL KIDS</t>
        </is>
      </c>
      <c r="C774" t="inlineStr">
        <is>
          <t>Manufactura / Kids / P. Superiores</t>
        </is>
      </c>
      <c r="D774" t="n">
        <v>1166.93503942</v>
      </c>
      <c r="E774" t="n">
        <v>0.0002857037058690293</v>
      </c>
      <c r="F774" t="n">
        <v>0.8120328438484213</v>
      </c>
      <c r="G774" t="inlineStr">
        <is>
          <t>B</t>
        </is>
      </c>
      <c r="H774" t="n">
        <v>51</v>
      </c>
      <c r="I774" t="n">
        <v>3.168013332</v>
      </c>
      <c r="J774" t="n">
        <v>161.568679932</v>
      </c>
      <c r="K774" t="n">
        <v>3</v>
      </c>
      <c r="L774" t="n">
        <v>17</v>
      </c>
      <c r="M774" t="n">
        <v>3</v>
      </c>
      <c r="N774" t="n">
        <v>9</v>
      </c>
      <c r="O774" t="n">
        <v>42</v>
      </c>
      <c r="P774" t="n">
        <v>133.056559944</v>
      </c>
      <c r="Q774" t="n">
        <v>0.823529411764706</v>
      </c>
      <c r="R774" t="inlineStr">
        <is>
          <t>Sobrestock crítico</t>
        </is>
      </c>
    </row>
    <row r="775">
      <c r="A775" t="inlineStr">
        <is>
          <t>JAPDA162TXL</t>
        </is>
      </c>
      <c r="B775" t="inlineStr">
        <is>
          <t>CUADRO JACKET 2.0 DAMA</t>
        </is>
      </c>
      <c r="C775" t="inlineStr">
        <is>
          <t>Equipamiento / Ropa</t>
        </is>
      </c>
      <c r="D775" t="n">
        <v>1166.79572781</v>
      </c>
      <c r="E775" t="n">
        <v>0.0002856695978493855</v>
      </c>
      <c r="F775" t="n">
        <v>0.8123185134462707</v>
      </c>
      <c r="G775" t="inlineStr">
        <is>
          <t>B</t>
        </is>
      </c>
      <c r="H775" t="n">
        <v>108</v>
      </c>
      <c r="I775" t="n">
        <v>20.25</v>
      </c>
      <c r="J775" t="n">
        <v>2187</v>
      </c>
      <c r="K775" t="n">
        <v>1.5</v>
      </c>
      <c r="L775" t="n">
        <v>72</v>
      </c>
      <c r="M775" t="n">
        <v>3</v>
      </c>
      <c r="N775" t="n">
        <v>4.5</v>
      </c>
      <c r="O775" t="n">
        <v>103.5</v>
      </c>
      <c r="P775" t="n">
        <v>2095.875</v>
      </c>
      <c r="Q775" t="n">
        <v>0.9583333333333334</v>
      </c>
      <c r="R775" t="inlineStr">
        <is>
          <t>Sobrestock crítico</t>
        </is>
      </c>
    </row>
    <row r="776">
      <c r="A776" t="inlineStr">
        <is>
          <t>HELBFDA16TM</t>
        </is>
      </c>
      <c r="B776" t="inlineStr">
        <is>
          <t>HELEN BIO MOVE DAMA</t>
        </is>
      </c>
      <c r="C776" t="inlineStr">
        <is>
          <t>Manufactura / Dama / P. Superiores</t>
        </is>
      </c>
      <c r="D776" t="n">
        <v>1165.0296602</v>
      </c>
      <c r="E776" t="n">
        <v>0.000285237206975903</v>
      </c>
      <c r="F776" t="n">
        <v>0.8126037506532465</v>
      </c>
      <c r="G776" t="inlineStr">
        <is>
          <t>B</t>
        </is>
      </c>
      <c r="H776" t="n">
        <v>8</v>
      </c>
      <c r="I776" t="n">
        <v>7.34081746</v>
      </c>
      <c r="J776" t="n">
        <v>58.72653968</v>
      </c>
      <c r="K776" t="n">
        <v>2</v>
      </c>
      <c r="L776" t="n">
        <v>4</v>
      </c>
      <c r="M776" t="n">
        <v>3</v>
      </c>
      <c r="N776" t="n">
        <v>6</v>
      </c>
      <c r="O776" t="n">
        <v>2</v>
      </c>
      <c r="P776" t="n">
        <v>14.68163492</v>
      </c>
      <c r="Q776" t="n">
        <v>0.25</v>
      </c>
      <c r="R776" t="inlineStr">
        <is>
          <t>Sobrestock</t>
        </is>
      </c>
    </row>
    <row r="777">
      <c r="A777" t="inlineStr">
        <is>
          <t>MARMIDA48TXL</t>
        </is>
      </c>
      <c r="B777" t="inlineStr">
        <is>
          <t>MAR ORIGINAL DAMA</t>
        </is>
      </c>
      <c r="C777" t="inlineStr">
        <is>
          <t>Manufactura / Dama / P. Superiores</t>
        </is>
      </c>
      <c r="D777" t="n">
        <v>1161.60821773</v>
      </c>
      <c r="E777" t="n">
        <v>0.0002843995264195092</v>
      </c>
      <c r="F777" t="n">
        <v>0.8128881501796661</v>
      </c>
      <c r="G777" t="inlineStr">
        <is>
          <t>B</t>
        </is>
      </c>
      <c r="H777" t="n">
        <v>44</v>
      </c>
      <c r="I777" t="n">
        <v>4.278324149</v>
      </c>
      <c r="J777" t="n">
        <v>188.246262556</v>
      </c>
      <c r="K777" t="n">
        <v>2.4</v>
      </c>
      <c r="L777" t="n">
        <v>18.33333333333334</v>
      </c>
      <c r="M777" t="n">
        <v>3</v>
      </c>
      <c r="N777" t="n">
        <v>7.199999999999999</v>
      </c>
      <c r="O777" t="n">
        <v>36.8</v>
      </c>
      <c r="P777" t="n">
        <v>157.4423286832</v>
      </c>
      <c r="Q777" t="n">
        <v>0.8363636363636363</v>
      </c>
      <c r="R777" t="inlineStr">
        <is>
          <t>Sobrestock crítico</t>
        </is>
      </c>
    </row>
    <row r="778">
      <c r="A778" t="inlineStr">
        <is>
          <t>SHOSUCA154TXL</t>
        </is>
      </c>
      <c r="B778" t="inlineStr">
        <is>
          <t>SHORT PLAYA ESTAMPADO CAB</t>
        </is>
      </c>
      <c r="C778" t="inlineStr">
        <is>
          <t>Manufactura / Caballero / P. Inferiores</t>
        </is>
      </c>
      <c r="D778" t="n">
        <v>1161.55897417</v>
      </c>
      <c r="E778" t="n">
        <v>0.0002843874699921102</v>
      </c>
      <c r="F778" t="n">
        <v>0.8131725376496582</v>
      </c>
      <c r="G778" t="inlineStr">
        <is>
          <t>B</t>
        </is>
      </c>
      <c r="H778" t="n">
        <v>15</v>
      </c>
      <c r="I778" t="n">
        <v>12.11</v>
      </c>
      <c r="J778" t="n">
        <v>181.65</v>
      </c>
      <c r="K778" t="n">
        <v>2.3</v>
      </c>
      <c r="L778" t="n">
        <v>6.521739130434783</v>
      </c>
      <c r="M778" t="n">
        <v>3</v>
      </c>
      <c r="N778" t="n">
        <v>6.899999999999999</v>
      </c>
      <c r="O778" t="n">
        <v>8.100000000000001</v>
      </c>
      <c r="P778" t="n">
        <v>98.09100000000001</v>
      </c>
      <c r="Q778" t="n">
        <v>0.5400000000000001</v>
      </c>
      <c r="R778" t="inlineStr">
        <is>
          <t>Sobrestock crítico</t>
        </is>
      </c>
    </row>
    <row r="779">
      <c r="A779" t="inlineStr">
        <is>
          <t>POLPLCA30T2XL</t>
        </is>
      </c>
      <c r="B779" t="inlineStr">
        <is>
          <t>CLASSIC POLO</t>
        </is>
      </c>
      <c r="C779" t="inlineStr">
        <is>
          <t>Manufactura / Caballero / P. Superiores</t>
        </is>
      </c>
      <c r="D779" t="n">
        <v>1159.14007718</v>
      </c>
      <c r="E779" t="n">
        <v>0.0002837952452231102</v>
      </c>
      <c r="F779" t="n">
        <v>0.8134563328948814</v>
      </c>
      <c r="G779" t="inlineStr">
        <is>
          <t>B</t>
        </is>
      </c>
      <c r="H779" t="n">
        <v>1</v>
      </c>
      <c r="I779" t="n">
        <v>7.34</v>
      </c>
      <c r="J779" t="n">
        <v>7.34</v>
      </c>
      <c r="K779" t="n">
        <v>2.4</v>
      </c>
      <c r="L779" t="n">
        <v>0.4166666666666667</v>
      </c>
      <c r="M779" t="n">
        <v>3</v>
      </c>
      <c r="N779" t="n">
        <v>7.199999999999999</v>
      </c>
      <c r="O779" t="n">
        <v>0</v>
      </c>
      <c r="P779" t="n">
        <v>0</v>
      </c>
      <c r="Q779" t="n">
        <v>0</v>
      </c>
      <c r="R779" t="inlineStr">
        <is>
          <t>Riesgo bajo stock</t>
        </is>
      </c>
    </row>
    <row r="780">
      <c r="A780" t="inlineStr">
        <is>
          <t>RIOMICA66T2XL</t>
        </is>
      </c>
      <c r="B780" t="inlineStr">
        <is>
          <t>RIO ORIGINAL CAB</t>
        </is>
      </c>
      <c r="C780" t="inlineStr">
        <is>
          <t>Manufactura / Caballero / P. Superiores</t>
        </is>
      </c>
      <c r="D780" t="n">
        <v>1159.07263241</v>
      </c>
      <c r="E780" t="n">
        <v>0.0002837787325466719</v>
      </c>
      <c r="F780" t="n">
        <v>0.813740111627428</v>
      </c>
      <c r="G780" t="inlineStr">
        <is>
          <t>B</t>
        </is>
      </c>
      <c r="H780" t="n">
        <v>1</v>
      </c>
      <c r="I780" t="n">
        <v>5.939350287999999</v>
      </c>
      <c r="J780" t="n">
        <v>5.939350287999999</v>
      </c>
      <c r="K780" t="n">
        <v>2.4</v>
      </c>
      <c r="L780" t="n">
        <v>0.4166666666666667</v>
      </c>
      <c r="M780" t="n">
        <v>3</v>
      </c>
      <c r="N780" t="n">
        <v>7.199999999999999</v>
      </c>
      <c r="O780" t="n">
        <v>0</v>
      </c>
      <c r="P780" t="n">
        <v>0</v>
      </c>
      <c r="Q780" t="n">
        <v>0</v>
      </c>
      <c r="R780" t="inlineStr">
        <is>
          <t>Riesgo bajo stock</t>
        </is>
      </c>
    </row>
    <row r="781">
      <c r="A781" t="inlineStr">
        <is>
          <t>RIOMIKI13T4</t>
        </is>
      </c>
      <c r="B781" t="inlineStr">
        <is>
          <t>RIO ORIGINAL KIDS</t>
        </is>
      </c>
      <c r="C781" t="inlineStr">
        <is>
          <t>Manufactura / Kids / P. Superiores</t>
        </is>
      </c>
      <c r="D781" t="n">
        <v>1155.38996891</v>
      </c>
      <c r="E781" t="n">
        <v>0.0002828770965739089</v>
      </c>
      <c r="F781" t="n">
        <v>0.8140229887240019</v>
      </c>
      <c r="G781" t="inlineStr">
        <is>
          <t>B</t>
        </is>
      </c>
      <c r="H781" t="n">
        <v>18</v>
      </c>
      <c r="I781" t="n">
        <v>3.617969464</v>
      </c>
      <c r="J781" t="n">
        <v>65.12345035200001</v>
      </c>
      <c r="K781" t="n">
        <v>2.7</v>
      </c>
      <c r="L781" t="n">
        <v>6.666666666666666</v>
      </c>
      <c r="M781" t="n">
        <v>3</v>
      </c>
      <c r="N781" t="n">
        <v>8.100000000000001</v>
      </c>
      <c r="O781" t="n">
        <v>9.899999999999999</v>
      </c>
      <c r="P781" t="n">
        <v>35.8178976936</v>
      </c>
      <c r="Q781" t="n">
        <v>0.5499999999999999</v>
      </c>
      <c r="R781" t="inlineStr">
        <is>
          <t>Sobrestock crítico</t>
        </is>
      </c>
    </row>
    <row r="782">
      <c r="A782" t="inlineStr">
        <is>
          <t>POLPLCA14TM</t>
        </is>
      </c>
      <c r="B782" t="inlineStr">
        <is>
          <t>CLASSIC POLO</t>
        </is>
      </c>
      <c r="C782" t="inlineStr">
        <is>
          <t>Manufactura / Caballero / P. Superiores</t>
        </is>
      </c>
      <c r="D782" t="n">
        <v>1152.243188115277</v>
      </c>
      <c r="E782" t="n">
        <v>0.0002821066621416232</v>
      </c>
      <c r="F782" t="n">
        <v>0.8143050953861436</v>
      </c>
      <c r="G782" t="inlineStr">
        <is>
          <t>B</t>
        </is>
      </c>
      <c r="H782" t="n">
        <v>89</v>
      </c>
      <c r="I782" t="n">
        <v>7.34</v>
      </c>
      <c r="J782" t="n">
        <v>653.26</v>
      </c>
      <c r="K782" t="n">
        <v>2.7</v>
      </c>
      <c r="L782" t="n">
        <v>32.96296296296296</v>
      </c>
      <c r="M782" t="n">
        <v>3</v>
      </c>
      <c r="N782" t="n">
        <v>8.100000000000001</v>
      </c>
      <c r="O782" t="n">
        <v>80.90000000000001</v>
      </c>
      <c r="P782" t="n">
        <v>593.806</v>
      </c>
      <c r="Q782" t="n">
        <v>0.9089887640449439</v>
      </c>
      <c r="R782" t="inlineStr">
        <is>
          <t>Sobrestock crítico</t>
        </is>
      </c>
    </row>
    <row r="783">
      <c r="A783" t="inlineStr">
        <is>
          <t>RIOMIDA11TL</t>
        </is>
      </c>
      <c r="B783" t="inlineStr">
        <is>
          <t>RIO ORIGINAL DAMA</t>
        </is>
      </c>
      <c r="C783" t="inlineStr">
        <is>
          <t>Manufactura / Dama / P. Superiores</t>
        </is>
      </c>
      <c r="D783" t="n">
        <v>1151.32623673</v>
      </c>
      <c r="E783" t="n">
        <v>0.0002818821625765013</v>
      </c>
      <c r="F783" t="n">
        <v>0.8145869775487201</v>
      </c>
      <c r="G783" t="inlineStr">
        <is>
          <t>B</t>
        </is>
      </c>
      <c r="H783" t="n">
        <v>4</v>
      </c>
      <c r="I783" t="n">
        <v>5.538832275</v>
      </c>
      <c r="J783" t="n">
        <v>22.1553291</v>
      </c>
      <c r="K783" t="n">
        <v>2.2</v>
      </c>
      <c r="L783" t="n">
        <v>1.818181818181818</v>
      </c>
      <c r="M783" t="n">
        <v>3</v>
      </c>
      <c r="N783" t="n">
        <v>6.600000000000001</v>
      </c>
      <c r="O783" t="n">
        <v>0</v>
      </c>
      <c r="P783" t="n">
        <v>0</v>
      </c>
      <c r="Q783" t="n">
        <v>0</v>
      </c>
      <c r="R783" t="inlineStr">
        <is>
          <t>OK</t>
        </is>
      </c>
    </row>
    <row r="784">
      <c r="A784" t="inlineStr">
        <is>
          <t>MARMIDA16TXL</t>
        </is>
      </c>
      <c r="B784" t="inlineStr">
        <is>
          <t>MAR ORIGINAL DAMA</t>
        </is>
      </c>
      <c r="C784" t="inlineStr">
        <is>
          <t>Manufactura / Dama / P. Superiores</t>
        </is>
      </c>
      <c r="D784" t="n">
        <v>1149.85960888</v>
      </c>
      <c r="E784" t="n">
        <v>0.0002815230843093134</v>
      </c>
      <c r="F784" t="n">
        <v>0.8148685006330294</v>
      </c>
      <c r="G784" t="inlineStr">
        <is>
          <t>B</t>
        </is>
      </c>
      <c r="H784" t="n">
        <v>108</v>
      </c>
      <c r="I784" t="n">
        <v>4.278324149</v>
      </c>
      <c r="J784" t="n">
        <v>462.0590080920001</v>
      </c>
      <c r="K784" t="n">
        <v>2.5</v>
      </c>
      <c r="L784" t="n">
        <v>43.2</v>
      </c>
      <c r="M784" t="n">
        <v>3</v>
      </c>
      <c r="N784" t="n">
        <v>7.5</v>
      </c>
      <c r="O784" t="n">
        <v>100.5</v>
      </c>
      <c r="P784" t="n">
        <v>429.9715769745</v>
      </c>
      <c r="Q784" t="n">
        <v>0.9305555555555555</v>
      </c>
      <c r="R784" t="inlineStr">
        <is>
          <t>Sobrestock crítico</t>
        </is>
      </c>
    </row>
    <row r="785">
      <c r="A785" t="inlineStr">
        <is>
          <t>CLAMICA66TM</t>
        </is>
      </c>
      <c r="B785" t="inlineStr">
        <is>
          <t>CLASICA ORIGINAL CAB</t>
        </is>
      </c>
      <c r="C785" t="inlineStr">
        <is>
          <t>Manufactura / Caballero / P. Superiores</t>
        </is>
      </c>
      <c r="D785" t="n">
        <v>1148.7960443</v>
      </c>
      <c r="E785" t="n">
        <v>0.0002812626890587876</v>
      </c>
      <c r="F785" t="n">
        <v>0.8151497633220881</v>
      </c>
      <c r="G785" t="inlineStr">
        <is>
          <t>B</t>
        </is>
      </c>
      <c r="H785" t="n">
        <v>14</v>
      </c>
      <c r="I785" t="n">
        <v>4.598442536</v>
      </c>
      <c r="J785" t="n">
        <v>64.378195504</v>
      </c>
      <c r="K785" t="n">
        <v>5.1</v>
      </c>
      <c r="L785" t="n">
        <v>2.745098039215686</v>
      </c>
      <c r="M785" t="n">
        <v>3</v>
      </c>
      <c r="N785" t="n">
        <v>15.3</v>
      </c>
      <c r="O785" t="n">
        <v>0</v>
      </c>
      <c r="P785" t="n">
        <v>0</v>
      </c>
      <c r="Q785" t="n">
        <v>0</v>
      </c>
      <c r="R785" t="inlineStr">
        <is>
          <t>OK</t>
        </is>
      </c>
    </row>
    <row r="786">
      <c r="A786" t="inlineStr">
        <is>
          <t>SNA13EQ</t>
        </is>
      </c>
      <c r="B786" t="inlineStr">
        <is>
          <t>LLAVERO SNAP</t>
        </is>
      </c>
      <c r="C786" t="inlineStr">
        <is>
          <t>Equipamiento / Accesorios</t>
        </is>
      </c>
      <c r="D786" t="n">
        <v>1146.998714233624</v>
      </c>
      <c r="E786" t="n">
        <v>0.0002808226441177355</v>
      </c>
      <c r="F786" t="n">
        <v>0.8154305859662059</v>
      </c>
      <c r="G786" t="inlineStr">
        <is>
          <t>B</t>
        </is>
      </c>
      <c r="H786" t="n">
        <v>703</v>
      </c>
      <c r="I786" t="n">
        <v>1</v>
      </c>
      <c r="J786" t="n">
        <v>703</v>
      </c>
      <c r="K786" t="n">
        <v>20.9</v>
      </c>
      <c r="L786" t="n">
        <v>33.63636363636364</v>
      </c>
      <c r="M786" t="n">
        <v>3</v>
      </c>
      <c r="N786" t="n">
        <v>62.7</v>
      </c>
      <c r="O786" t="n">
        <v>640.3</v>
      </c>
      <c r="P786" t="n">
        <v>640.3</v>
      </c>
      <c r="Q786" t="n">
        <v>0.9108108108108107</v>
      </c>
      <c r="R786" t="inlineStr">
        <is>
          <t>Sobrestock crítico</t>
        </is>
      </c>
    </row>
    <row r="787">
      <c r="A787" t="inlineStr">
        <is>
          <t>DOMBFCA43TM</t>
        </is>
      </c>
      <c r="B787" t="inlineStr">
        <is>
          <t>DOMINIC BIO MOVE CAB</t>
        </is>
      </c>
      <c r="C787" t="inlineStr">
        <is>
          <t>Manufactura / Caballero / P. Superiores</t>
        </is>
      </c>
      <c r="D787" t="n">
        <v>1144.53017816</v>
      </c>
      <c r="E787" t="n">
        <v>0.0002802182660842707</v>
      </c>
      <c r="F787" t="n">
        <v>0.8157108042322903</v>
      </c>
      <c r="G787" t="inlineStr">
        <is>
          <t>B</t>
        </is>
      </c>
      <c r="H787" t="n">
        <v>17</v>
      </c>
      <c r="I787" t="n">
        <v>13.86</v>
      </c>
      <c r="J787" t="n">
        <v>235.62</v>
      </c>
      <c r="K787" t="n">
        <v>2.1</v>
      </c>
      <c r="L787" t="n">
        <v>8.095238095238095</v>
      </c>
      <c r="M787" t="n">
        <v>3</v>
      </c>
      <c r="N787" t="n">
        <v>6.300000000000001</v>
      </c>
      <c r="O787" t="n">
        <v>10.7</v>
      </c>
      <c r="P787" t="n">
        <v>148.302</v>
      </c>
      <c r="Q787" t="n">
        <v>0.6294117647058823</v>
      </c>
      <c r="R787" t="inlineStr">
        <is>
          <t>Sobrestock crítico</t>
        </is>
      </c>
    </row>
    <row r="788">
      <c r="A788" t="inlineStr">
        <is>
          <t>MARMIDA11TXL</t>
        </is>
      </c>
      <c r="B788" t="inlineStr">
        <is>
          <t>MAR ORIGINAL DAMA</t>
        </is>
      </c>
      <c r="C788" t="inlineStr">
        <is>
          <t>Manufactura / Dama / P. Superiores</t>
        </is>
      </c>
      <c r="D788" t="n">
        <v>1140.16377969</v>
      </c>
      <c r="E788" t="n">
        <v>0.0002791492295209329</v>
      </c>
      <c r="F788" t="n">
        <v>0.8159899534618111</v>
      </c>
      <c r="G788" t="inlineStr">
        <is>
          <t>B</t>
        </is>
      </c>
      <c r="H788" t="n">
        <v>31</v>
      </c>
      <c r="I788" t="n">
        <v>4.278324149</v>
      </c>
      <c r="J788" t="n">
        <v>132.628048619</v>
      </c>
      <c r="K788" t="n">
        <v>2.4</v>
      </c>
      <c r="L788" t="n">
        <v>12.91666666666667</v>
      </c>
      <c r="M788" t="n">
        <v>3</v>
      </c>
      <c r="N788" t="n">
        <v>7.199999999999999</v>
      </c>
      <c r="O788" t="n">
        <v>23.8</v>
      </c>
      <c r="P788" t="n">
        <v>101.8241147462</v>
      </c>
      <c r="Q788" t="n">
        <v>0.767741935483871</v>
      </c>
      <c r="R788" t="inlineStr">
        <is>
          <t>Sobrestock crítico</t>
        </is>
      </c>
    </row>
    <row r="789">
      <c r="A789" t="inlineStr">
        <is>
          <t>PANNTDA66TXS</t>
        </is>
      </c>
      <c r="B789" t="inlineStr">
        <is>
          <t>EXPLORE PANTS DAMA</t>
        </is>
      </c>
      <c r="C789" t="inlineStr">
        <is>
          <t>Manufactura / Dama / P. Inferiores</t>
        </is>
      </c>
      <c r="D789" t="n">
        <v>1133.06614526</v>
      </c>
      <c r="E789" t="n">
        <v>0.0002774114974355527</v>
      </c>
      <c r="F789" t="n">
        <v>0.8162673649592467</v>
      </c>
      <c r="G789" t="inlineStr">
        <is>
          <t>B</t>
        </is>
      </c>
      <c r="H789" t="n">
        <v>50</v>
      </c>
      <c r="I789" t="n">
        <v>15.3928899</v>
      </c>
      <c r="J789" t="n">
        <v>769.644495</v>
      </c>
      <c r="K789" t="n">
        <v>1.9</v>
      </c>
      <c r="L789" t="n">
        <v>26.31578947368421</v>
      </c>
      <c r="M789" t="n">
        <v>3</v>
      </c>
      <c r="N789" t="n">
        <v>5.699999999999999</v>
      </c>
      <c r="O789" t="n">
        <v>44.3</v>
      </c>
      <c r="P789" t="n">
        <v>681.9050225699999</v>
      </c>
      <c r="Q789" t="n">
        <v>0.8859999999999999</v>
      </c>
      <c r="R789" t="inlineStr">
        <is>
          <t>Sobrestock crítico</t>
        </is>
      </c>
    </row>
    <row r="790">
      <c r="A790" t="inlineStr">
        <is>
          <t>RIOMIDA34TXL</t>
        </is>
      </c>
      <c r="B790" t="inlineStr">
        <is>
          <t>RIO ORIGINAL DAMA</t>
        </is>
      </c>
      <c r="C790" t="inlineStr">
        <is>
          <t>Manufactura / Dama / P. Superiores</t>
        </is>
      </c>
      <c r="D790" t="n">
        <v>1130.68362939</v>
      </c>
      <c r="E790" t="n">
        <v>0.0002768281799496975</v>
      </c>
      <c r="F790" t="n">
        <v>0.8165441931391964</v>
      </c>
      <c r="G790" t="inlineStr">
        <is>
          <t>B</t>
        </is>
      </c>
      <c r="H790" t="n">
        <v>33</v>
      </c>
      <c r="I790" t="n">
        <v>5.538832275</v>
      </c>
      <c r="J790" t="n">
        <v>182.781465075</v>
      </c>
      <c r="K790" t="n">
        <v>2</v>
      </c>
      <c r="L790" t="n">
        <v>16.5</v>
      </c>
      <c r="M790" t="n">
        <v>3</v>
      </c>
      <c r="N790" t="n">
        <v>6</v>
      </c>
      <c r="O790" t="n">
        <v>27</v>
      </c>
      <c r="P790" t="n">
        <v>149.548471425</v>
      </c>
      <c r="Q790" t="n">
        <v>0.8181818181818182</v>
      </c>
      <c r="R790" t="inlineStr">
        <is>
          <t>Sobrestock crítico</t>
        </is>
      </c>
    </row>
    <row r="791">
      <c r="A791" t="inlineStr">
        <is>
          <t>MARMIKI01T6</t>
        </is>
      </c>
      <c r="B791" t="inlineStr">
        <is>
          <t>MAR ORIGINAL KIDS</t>
        </is>
      </c>
      <c r="C791" t="inlineStr">
        <is>
          <t>Manufactura / Kids / P. Superiores</t>
        </is>
      </c>
      <c r="D791" t="n">
        <v>1130.41779951</v>
      </c>
      <c r="E791" t="n">
        <v>0.0002767630961367335</v>
      </c>
      <c r="F791" t="n">
        <v>0.8168209562353331</v>
      </c>
      <c r="G791" t="inlineStr">
        <is>
          <t>B</t>
        </is>
      </c>
      <c r="H791" t="n">
        <v>51</v>
      </c>
      <c r="I791" t="n">
        <v>3.168013332</v>
      </c>
      <c r="J791" t="n">
        <v>161.568679932</v>
      </c>
      <c r="K791" t="n">
        <v>3.1</v>
      </c>
      <c r="L791" t="n">
        <v>16.4516129032258</v>
      </c>
      <c r="M791" t="n">
        <v>3</v>
      </c>
      <c r="N791" t="n">
        <v>9.300000000000001</v>
      </c>
      <c r="O791" t="n">
        <v>41.7</v>
      </c>
      <c r="P791" t="n">
        <v>132.1061559444</v>
      </c>
      <c r="Q791" t="n">
        <v>0.8176470588235294</v>
      </c>
      <c r="R791" t="inlineStr">
        <is>
          <t>Sobrestock crítico</t>
        </is>
      </c>
    </row>
    <row r="792">
      <c r="A792" t="inlineStr">
        <is>
          <t>RIOMIKI43T2</t>
        </is>
      </c>
      <c r="B792" t="inlineStr">
        <is>
          <t>RIO ORIGINAL KIDS</t>
        </is>
      </c>
      <c r="C792" t="inlineStr">
        <is>
          <t>Manufactura / Kids / P. Superiores</t>
        </is>
      </c>
      <c r="D792" t="n">
        <v>1127.70107849</v>
      </c>
      <c r="E792" t="n">
        <v>0.0002760979543447688</v>
      </c>
      <c r="F792" t="n">
        <v>0.8170970541896779</v>
      </c>
      <c r="G792" t="inlineStr">
        <is>
          <t>B</t>
        </is>
      </c>
      <c r="H792" t="n">
        <v>49</v>
      </c>
      <c r="I792" t="n">
        <v>3.617969464</v>
      </c>
      <c r="J792" t="n">
        <v>177.280503736</v>
      </c>
      <c r="K792" t="n">
        <v>2.8</v>
      </c>
      <c r="L792" t="n">
        <v>17.5</v>
      </c>
      <c r="M792" t="n">
        <v>3</v>
      </c>
      <c r="N792" t="n">
        <v>8.399999999999999</v>
      </c>
      <c r="O792" t="n">
        <v>40.6</v>
      </c>
      <c r="P792" t="n">
        <v>146.8895602384</v>
      </c>
      <c r="Q792" t="n">
        <v>0.8285714285714285</v>
      </c>
      <c r="R792" t="inlineStr">
        <is>
          <t>Sobrestock crítico</t>
        </is>
      </c>
    </row>
    <row r="793">
      <c r="A793" t="inlineStr">
        <is>
          <t>BAC13BF</t>
        </is>
      </c>
      <c r="B793" t="inlineStr">
        <is>
          <t>BACKPACK FLEX</t>
        </is>
      </c>
      <c r="C793" t="inlineStr">
        <is>
          <t>Equipamiento / Bolsos</t>
        </is>
      </c>
      <c r="D793" t="n">
        <v>1125.70018217</v>
      </c>
      <c r="E793" t="n">
        <v>0.0002756080697544768</v>
      </c>
      <c r="F793" t="n">
        <v>0.8173726622594324</v>
      </c>
      <c r="G793" t="inlineStr">
        <is>
          <t>B</t>
        </is>
      </c>
      <c r="H793" t="n">
        <v>480</v>
      </c>
      <c r="I793" t="n">
        <v>17.91</v>
      </c>
      <c r="J793" t="n">
        <v>8596.799999999999</v>
      </c>
      <c r="K793" t="n">
        <v>2.2</v>
      </c>
      <c r="L793" t="n">
        <v>218.1818181818182</v>
      </c>
      <c r="M793" t="n">
        <v>3</v>
      </c>
      <c r="N793" t="n">
        <v>6.600000000000001</v>
      </c>
      <c r="O793" t="n">
        <v>473.4</v>
      </c>
      <c r="P793" t="n">
        <v>8478.593999999999</v>
      </c>
      <c r="Q793" t="n">
        <v>0.98625</v>
      </c>
      <c r="R793" t="inlineStr">
        <is>
          <t>Sobrestock crítico</t>
        </is>
      </c>
    </row>
    <row r="794">
      <c r="A794" t="inlineStr">
        <is>
          <t>TOA64WA</t>
        </is>
      </c>
      <c r="B794" t="inlineStr">
        <is>
          <t>TOALLA WAFFLE</t>
        </is>
      </c>
      <c r="C794" t="inlineStr">
        <is>
          <t>Equipamiento / Toallas</t>
        </is>
      </c>
      <c r="D794" t="n">
        <v>1123.6201075</v>
      </c>
      <c r="E794" t="n">
        <v>0.0002750987997251881</v>
      </c>
      <c r="F794" t="n">
        <v>0.8176477610591575</v>
      </c>
      <c r="G794" t="inlineStr">
        <is>
          <t>B</t>
        </is>
      </c>
      <c r="H794" t="n">
        <v>18</v>
      </c>
      <c r="I794" t="n">
        <v>5.5</v>
      </c>
      <c r="J794" t="n">
        <v>99</v>
      </c>
      <c r="K794" t="n">
        <v>5.3</v>
      </c>
      <c r="L794" t="n">
        <v>3.39622641509434</v>
      </c>
      <c r="M794" t="n">
        <v>3</v>
      </c>
      <c r="N794" t="n">
        <v>15.9</v>
      </c>
      <c r="O794" t="n">
        <v>2.100000000000001</v>
      </c>
      <c r="P794" t="n">
        <v>11.55000000000001</v>
      </c>
      <c r="Q794" t="n">
        <v>0.1166666666666668</v>
      </c>
      <c r="R794" t="inlineStr">
        <is>
          <t>Sobrestock</t>
        </is>
      </c>
    </row>
    <row r="795">
      <c r="A795" t="inlineStr">
        <is>
          <t>SARSPDA43TXS</t>
        </is>
      </c>
      <c r="B795" t="inlineStr">
        <is>
          <t>FALDA SARA DAMA</t>
        </is>
      </c>
      <c r="C795" t="inlineStr">
        <is>
          <t>Manufactura / Dama / P. Inferiores</t>
        </is>
      </c>
      <c r="D795" t="n">
        <v>1114.93320685</v>
      </c>
      <c r="E795" t="n">
        <v>0.000272971963505192</v>
      </c>
      <c r="F795" t="n">
        <v>0.8179207330226628</v>
      </c>
      <c r="G795" t="inlineStr">
        <is>
          <t>B</t>
        </is>
      </c>
      <c r="H795" t="n">
        <v>9</v>
      </c>
      <c r="I795" t="n">
        <v>9.500113852</v>
      </c>
      <c r="J795" t="n">
        <v>85.501024668</v>
      </c>
      <c r="K795" t="n">
        <v>2.6</v>
      </c>
      <c r="L795" t="n">
        <v>3.461538461538461</v>
      </c>
      <c r="M795" t="n">
        <v>3</v>
      </c>
      <c r="N795" t="n">
        <v>7.800000000000001</v>
      </c>
      <c r="O795" t="n">
        <v>1.199999999999999</v>
      </c>
      <c r="P795" t="n">
        <v>11.40013662239999</v>
      </c>
      <c r="Q795" t="n">
        <v>0.1333333333333332</v>
      </c>
      <c r="R795" t="inlineStr">
        <is>
          <t>Sobrestock</t>
        </is>
      </c>
    </row>
    <row r="796">
      <c r="A796" t="inlineStr">
        <is>
          <t>DAYCSTDA43TL</t>
        </is>
      </c>
      <c r="B796" t="inlineStr">
        <is>
          <t>CLASICA DAILY 3.0 DAMA</t>
        </is>
      </c>
      <c r="C796" t="inlineStr">
        <is>
          <t>Manufactura / Dama / P. Superiores</t>
        </is>
      </c>
      <c r="D796" t="n">
        <v>1114.87964076</v>
      </c>
      <c r="E796" t="n">
        <v>0.0002729588487816599</v>
      </c>
      <c r="F796" t="n">
        <v>0.8181936918714444</v>
      </c>
      <c r="G796" t="inlineStr">
        <is>
          <t>B</t>
        </is>
      </c>
      <c r="H796" t="n">
        <v>2</v>
      </c>
      <c r="I796" t="n">
        <v>10.28586481</v>
      </c>
      <c r="J796" t="n">
        <v>20.57172962</v>
      </c>
      <c r="K796" t="n">
        <v>2.6</v>
      </c>
      <c r="L796" t="n">
        <v>0.7692307692307692</v>
      </c>
      <c r="M796" t="n">
        <v>3</v>
      </c>
      <c r="N796" t="n">
        <v>7.800000000000001</v>
      </c>
      <c r="O796" t="n">
        <v>0</v>
      </c>
      <c r="P796" t="n">
        <v>0</v>
      </c>
      <c r="Q796" t="n">
        <v>0</v>
      </c>
      <c r="R796" t="inlineStr">
        <is>
          <t>Riesgo bajo stock</t>
        </is>
      </c>
    </row>
    <row r="797">
      <c r="A797" t="inlineStr">
        <is>
          <t>MARMIKI53T14</t>
        </is>
      </c>
      <c r="B797" t="inlineStr">
        <is>
          <t>MAR ORIGINAL KIDS</t>
        </is>
      </c>
      <c r="C797" t="inlineStr">
        <is>
          <t>Manufactura / Kids / P. Superiores</t>
        </is>
      </c>
      <c r="D797" t="n">
        <v>1114.55769334</v>
      </c>
      <c r="E797" t="n">
        <v>0.0002728800255671006</v>
      </c>
      <c r="F797" t="n">
        <v>0.8184665718970116</v>
      </c>
      <c r="G797" t="inlineStr">
        <is>
          <t>B</t>
        </is>
      </c>
      <c r="H797" t="n">
        <v>42</v>
      </c>
      <c r="I797" t="n">
        <v>3.168013332</v>
      </c>
      <c r="J797" t="n">
        <v>133.056559944</v>
      </c>
      <c r="K797" t="n">
        <v>3.1</v>
      </c>
      <c r="L797" t="n">
        <v>13.54838709677419</v>
      </c>
      <c r="M797" t="n">
        <v>3</v>
      </c>
      <c r="N797" t="n">
        <v>9.300000000000001</v>
      </c>
      <c r="O797" t="n">
        <v>32.7</v>
      </c>
      <c r="P797" t="n">
        <v>103.5940359564</v>
      </c>
      <c r="Q797" t="n">
        <v>0.7785714285714286</v>
      </c>
      <c r="R797" t="inlineStr">
        <is>
          <t>Sobrestock crítico</t>
        </is>
      </c>
    </row>
    <row r="798">
      <c r="A798" t="inlineStr">
        <is>
          <t>SHUNTCA43TM</t>
        </is>
      </c>
      <c r="B798" t="inlineStr">
        <is>
          <t>SHORT SPORT R1 CAB</t>
        </is>
      </c>
      <c r="C798" t="inlineStr">
        <is>
          <t>Manufactura / Caballero / P. Inferiores</t>
        </is>
      </c>
      <c r="D798" t="n">
        <v>1112.04463073</v>
      </c>
      <c r="E798" t="n">
        <v>0.0002722647459872581</v>
      </c>
      <c r="F798" t="n">
        <v>0.8187388366429987</v>
      </c>
      <c r="G798" t="inlineStr">
        <is>
          <t>B</t>
        </is>
      </c>
      <c r="H798" t="n">
        <v>18</v>
      </c>
      <c r="I798" t="n">
        <v>9.119999999999999</v>
      </c>
      <c r="J798" t="n">
        <v>164.16</v>
      </c>
      <c r="K798" t="n">
        <v>3.1</v>
      </c>
      <c r="L798" t="n">
        <v>5.806451612903226</v>
      </c>
      <c r="M798" t="n">
        <v>3</v>
      </c>
      <c r="N798" t="n">
        <v>9.300000000000001</v>
      </c>
      <c r="O798" t="n">
        <v>8.699999999999999</v>
      </c>
      <c r="P798" t="n">
        <v>79.34399999999998</v>
      </c>
      <c r="Q798" t="n">
        <v>0.4833333333333332</v>
      </c>
      <c r="R798" t="inlineStr">
        <is>
          <t>Sobrestock crítico</t>
        </is>
      </c>
    </row>
    <row r="799">
      <c r="A799" t="inlineStr">
        <is>
          <t>CLAMIDA12TL</t>
        </is>
      </c>
      <c r="B799" t="inlineStr">
        <is>
          <t>CLASICA ORIGINAL DAMA</t>
        </is>
      </c>
      <c r="C799" t="inlineStr">
        <is>
          <t>Manufactura / Dama / P. Superiores</t>
        </is>
      </c>
      <c r="D799" t="n">
        <v>1111.48881751</v>
      </c>
      <c r="E799" t="n">
        <v>0.0002721286648076202</v>
      </c>
      <c r="F799" t="n">
        <v>0.8190109653078064</v>
      </c>
      <c r="G799" t="inlineStr">
        <is>
          <t>B</t>
        </is>
      </c>
      <c r="H799" t="n">
        <v>19</v>
      </c>
      <c r="I799" t="n">
        <v>3.923227589</v>
      </c>
      <c r="J799" t="n">
        <v>74.541324191</v>
      </c>
      <c r="K799" t="n">
        <v>3.6</v>
      </c>
      <c r="L799" t="n">
        <v>5.277777777777778</v>
      </c>
      <c r="M799" t="n">
        <v>3</v>
      </c>
      <c r="N799" t="n">
        <v>10.8</v>
      </c>
      <c r="O799" t="n">
        <v>8.199999999999999</v>
      </c>
      <c r="P799" t="n">
        <v>32.1704662298</v>
      </c>
      <c r="Q799" t="n">
        <v>0.431578947368421</v>
      </c>
      <c r="R799" t="inlineStr">
        <is>
          <t>Sobrestock crítico</t>
        </is>
      </c>
    </row>
    <row r="800">
      <c r="A800" t="inlineStr">
        <is>
          <t>MARMIKI01T12</t>
        </is>
      </c>
      <c r="B800" t="inlineStr">
        <is>
          <t>MAR ORIGINAL KIDS</t>
        </is>
      </c>
      <c r="C800" t="inlineStr">
        <is>
          <t>Manufactura / Kids / P. Superiores</t>
        </is>
      </c>
      <c r="D800" t="n">
        <v>1110.91196017</v>
      </c>
      <c r="E800" t="n">
        <v>0.0002719874313419787</v>
      </c>
      <c r="F800" t="n">
        <v>0.8192829527391483</v>
      </c>
      <c r="G800" t="inlineStr">
        <is>
          <t>B</t>
        </is>
      </c>
      <c r="H800" t="n">
        <v>56</v>
      </c>
      <c r="I800" t="n">
        <v>3.168013332</v>
      </c>
      <c r="J800" t="n">
        <v>177.408746592</v>
      </c>
      <c r="K800" t="n">
        <v>3</v>
      </c>
      <c r="L800" t="n">
        <v>18.66666666666667</v>
      </c>
      <c r="M800" t="n">
        <v>3</v>
      </c>
      <c r="N800" t="n">
        <v>9</v>
      </c>
      <c r="O800" t="n">
        <v>47</v>
      </c>
      <c r="P800" t="n">
        <v>148.896626604</v>
      </c>
      <c r="Q800" t="n">
        <v>0.8392857142857143</v>
      </c>
      <c r="R800" t="inlineStr">
        <is>
          <t>Sobrestock crítico</t>
        </is>
      </c>
    </row>
    <row r="801">
      <c r="A801" t="inlineStr">
        <is>
          <t>MARMIKI13T4</t>
        </is>
      </c>
      <c r="B801" t="inlineStr">
        <is>
          <t>MAR ORIGINAL KIDS</t>
        </is>
      </c>
      <c r="C801" t="inlineStr">
        <is>
          <t>Manufactura / Kids / P. Superiores</t>
        </is>
      </c>
      <c r="D801" t="n">
        <v>1110.63501391</v>
      </c>
      <c r="E801" t="n">
        <v>0.0002719196258771194</v>
      </c>
      <c r="F801" t="n">
        <v>0.8195548723650254</v>
      </c>
      <c r="G801" t="inlineStr">
        <is>
          <t>B</t>
        </is>
      </c>
      <c r="H801" t="n">
        <v>15</v>
      </c>
      <c r="I801" t="n">
        <v>3.168013332</v>
      </c>
      <c r="J801" t="n">
        <v>47.52019998</v>
      </c>
      <c r="K801" t="n">
        <v>3.2</v>
      </c>
      <c r="L801" t="n">
        <v>4.6875</v>
      </c>
      <c r="M801" t="n">
        <v>3</v>
      </c>
      <c r="N801" t="n">
        <v>9.600000000000001</v>
      </c>
      <c r="O801" t="n">
        <v>5.399999999999999</v>
      </c>
      <c r="P801" t="n">
        <v>17.1072719928</v>
      </c>
      <c r="Q801" t="n">
        <v>0.3599999999999999</v>
      </c>
      <c r="R801" t="inlineStr">
        <is>
          <t>Sobrestock crítico</t>
        </is>
      </c>
    </row>
    <row r="802">
      <c r="A802" t="inlineStr">
        <is>
          <t>BAPCCDA184TL</t>
        </is>
      </c>
      <c r="B802" t="inlineStr">
        <is>
          <t>BASIC LINE PANT DAMA</t>
        </is>
      </c>
      <c r="C802" t="inlineStr">
        <is>
          <t>Manufactura / Dama / P. Inferiores</t>
        </is>
      </c>
      <c r="D802" t="n">
        <v>1109.12972638</v>
      </c>
      <c r="E802" t="n">
        <v>0.0002715510824610838</v>
      </c>
      <c r="F802" t="n">
        <v>0.8198264234474866</v>
      </c>
      <c r="G802" t="inlineStr">
        <is>
          <t>B</t>
        </is>
      </c>
      <c r="H802" t="n">
        <v>9</v>
      </c>
      <c r="I802" t="n">
        <v>11.2</v>
      </c>
      <c r="J802" t="n">
        <v>100.8</v>
      </c>
      <c r="K802" t="n">
        <v>2</v>
      </c>
      <c r="L802" t="n">
        <v>4.5</v>
      </c>
      <c r="M802" t="n">
        <v>3</v>
      </c>
      <c r="N802" t="n">
        <v>6</v>
      </c>
      <c r="O802" t="n">
        <v>3</v>
      </c>
      <c r="P802" t="n">
        <v>33.59999999999999</v>
      </c>
      <c r="Q802" t="n">
        <v>0.3333333333333333</v>
      </c>
      <c r="R802" t="inlineStr">
        <is>
          <t>Sobrestock crítico</t>
        </is>
      </c>
    </row>
    <row r="803">
      <c r="A803" t="inlineStr">
        <is>
          <t>JACKI47T4</t>
        </is>
      </c>
      <c r="B803" t="inlineStr">
        <is>
          <t>JACKET KIDS</t>
        </is>
      </c>
      <c r="C803" t="inlineStr">
        <is>
          <t>Manufactura / Kids / P. Superiores</t>
        </is>
      </c>
      <c r="D803" t="n">
        <v>1109.05126806</v>
      </c>
      <c r="E803" t="n">
        <v>0.0002715318733088834</v>
      </c>
      <c r="F803" t="n">
        <v>0.8200979553207953</v>
      </c>
      <c r="G803" t="inlineStr">
        <is>
          <t>B</t>
        </is>
      </c>
      <c r="H803" t="n">
        <v>8</v>
      </c>
      <c r="I803" t="n">
        <v>15.17</v>
      </c>
      <c r="J803" t="n">
        <v>121.36</v>
      </c>
      <c r="K803" t="n">
        <v>2.1</v>
      </c>
      <c r="L803" t="n">
        <v>3.809523809523809</v>
      </c>
      <c r="M803" t="n">
        <v>3</v>
      </c>
      <c r="N803" t="n">
        <v>6.300000000000001</v>
      </c>
      <c r="O803" t="n">
        <v>1.699999999999999</v>
      </c>
      <c r="P803" t="n">
        <v>25.78899999999999</v>
      </c>
      <c r="Q803" t="n">
        <v>0.2124999999999999</v>
      </c>
      <c r="R803" t="inlineStr">
        <is>
          <t>Sobrestock</t>
        </is>
      </c>
    </row>
    <row r="804">
      <c r="A804" t="inlineStr">
        <is>
          <t>SHUNTDA43TS</t>
        </is>
      </c>
      <c r="B804" t="inlineStr">
        <is>
          <t>SHORT SPORT R1 DAMA</t>
        </is>
      </c>
      <c r="C804" t="inlineStr">
        <is>
          <t>Manufactura / Dama / P. Inferiores</t>
        </is>
      </c>
      <c r="D804" t="n">
        <v>1108.48866644</v>
      </c>
      <c r="E804" t="n">
        <v>0.0002713941301078207</v>
      </c>
      <c r="F804" t="n">
        <v>0.8203693494509032</v>
      </c>
      <c r="G804" t="inlineStr">
        <is>
          <t>B</t>
        </is>
      </c>
      <c r="H804" t="n">
        <v>31</v>
      </c>
      <c r="I804" t="n">
        <v>8.33</v>
      </c>
      <c r="J804" t="n">
        <v>258.23</v>
      </c>
      <c r="K804" t="n">
        <v>2.7</v>
      </c>
      <c r="L804" t="n">
        <v>11.48148148148148</v>
      </c>
      <c r="M804" t="n">
        <v>3</v>
      </c>
      <c r="N804" t="n">
        <v>8.100000000000001</v>
      </c>
      <c r="O804" t="n">
        <v>22.9</v>
      </c>
      <c r="P804" t="n">
        <v>190.757</v>
      </c>
      <c r="Q804" t="n">
        <v>0.7387096774193547</v>
      </c>
      <c r="R804" t="inlineStr">
        <is>
          <t>Sobrestock crítico</t>
        </is>
      </c>
    </row>
    <row r="805">
      <c r="A805" t="inlineStr">
        <is>
          <t>MARMICA01TS</t>
        </is>
      </c>
      <c r="B805" t="inlineStr">
        <is>
          <t>MAR ORIGINAL CAB</t>
        </is>
      </c>
      <c r="C805" t="inlineStr">
        <is>
          <t>Manufactura / Caballero / P. Superiores</t>
        </is>
      </c>
      <c r="D805" t="n">
        <v>1103.95045057</v>
      </c>
      <c r="E805" t="n">
        <v>0.0002702830270487017</v>
      </c>
      <c r="F805" t="n">
        <v>0.8206396324779519</v>
      </c>
      <c r="G805" t="inlineStr">
        <is>
          <t>B</t>
        </is>
      </c>
      <c r="H805" t="n">
        <v>52</v>
      </c>
      <c r="I805" t="n">
        <v>4.946357428</v>
      </c>
      <c r="J805" t="n">
        <v>257.210586256</v>
      </c>
      <c r="K805" t="n">
        <v>4.3</v>
      </c>
      <c r="L805" t="n">
        <v>12.09302325581395</v>
      </c>
      <c r="M805" t="n">
        <v>3</v>
      </c>
      <c r="N805" t="n">
        <v>12.9</v>
      </c>
      <c r="O805" t="n">
        <v>39.1</v>
      </c>
      <c r="P805" t="n">
        <v>193.4025754348</v>
      </c>
      <c r="Q805" t="n">
        <v>0.7519230769230769</v>
      </c>
      <c r="R805" t="inlineStr">
        <is>
          <t>Sobrestock crítico</t>
        </is>
      </c>
    </row>
    <row r="806">
      <c r="A806" t="inlineStr">
        <is>
          <t>RIOMIKI50T14</t>
        </is>
      </c>
      <c r="B806" t="inlineStr">
        <is>
          <t>RIO ORIGINAL KIDS</t>
        </is>
      </c>
      <c r="C806" t="inlineStr">
        <is>
          <t>Manufactura / Kids / P. Superiores</t>
        </is>
      </c>
      <c r="D806" t="n">
        <v>1103.30881119</v>
      </c>
      <c r="E806" t="n">
        <v>0.0002701259328296537</v>
      </c>
      <c r="F806" t="n">
        <v>0.8209097584107816</v>
      </c>
      <c r="G806" t="inlineStr">
        <is>
          <t>B</t>
        </is>
      </c>
      <c r="H806" t="n">
        <v>7</v>
      </c>
      <c r="I806" t="n">
        <v>3.617969464</v>
      </c>
      <c r="J806" t="n">
        <v>25.325786248</v>
      </c>
      <c r="K806" t="n">
        <v>2.4</v>
      </c>
      <c r="L806" t="n">
        <v>2.916666666666667</v>
      </c>
      <c r="M806" t="n">
        <v>3</v>
      </c>
      <c r="N806" t="n">
        <v>7.199999999999999</v>
      </c>
      <c r="O806" t="n">
        <v>0</v>
      </c>
      <c r="P806" t="n">
        <v>0</v>
      </c>
      <c r="Q806" t="n">
        <v>0</v>
      </c>
      <c r="R806" t="inlineStr">
        <is>
          <t>OK</t>
        </is>
      </c>
    </row>
    <row r="807">
      <c r="A807" t="inlineStr">
        <is>
          <t>MARMIKI50T6</t>
        </is>
      </c>
      <c r="B807" t="inlineStr">
        <is>
          <t>MAR ORIGINAL KIDS</t>
        </is>
      </c>
      <c r="C807" t="inlineStr">
        <is>
          <t>Manufactura / Kids / P. Superiores</t>
        </is>
      </c>
      <c r="D807" t="n">
        <v>1103.30755841</v>
      </c>
      <c r="E807" t="n">
        <v>0.0002701256261083054</v>
      </c>
      <c r="F807" t="n">
        <v>0.8211798840368899</v>
      </c>
      <c r="G807" t="inlineStr">
        <is>
          <t>B</t>
        </is>
      </c>
      <c r="H807" t="n">
        <v>12</v>
      </c>
      <c r="I807" t="n">
        <v>3.168013332</v>
      </c>
      <c r="J807" t="n">
        <v>38.016159984</v>
      </c>
      <c r="K807" t="n">
        <v>3.3</v>
      </c>
      <c r="L807" t="n">
        <v>3.636363636363637</v>
      </c>
      <c r="M807" t="n">
        <v>3</v>
      </c>
      <c r="N807" t="n">
        <v>9.899999999999999</v>
      </c>
      <c r="O807" t="n">
        <v>2.100000000000001</v>
      </c>
      <c r="P807" t="n">
        <v>6.652827997200005</v>
      </c>
      <c r="Q807" t="n">
        <v>0.1750000000000001</v>
      </c>
      <c r="R807" t="inlineStr">
        <is>
          <t>Sobrestock</t>
        </is>
      </c>
    </row>
    <row r="808">
      <c r="A808" t="inlineStr">
        <is>
          <t>MIKFNDA10TS</t>
        </is>
      </c>
      <c r="B808" t="inlineStr">
        <is>
          <t>MIKA SPORT LITE DAMA</t>
        </is>
      </c>
      <c r="C808" t="inlineStr">
        <is>
          <t>Manufactura / Dama / P. Superiores</t>
        </is>
      </c>
      <c r="D808" t="n">
        <v>1101.22565508</v>
      </c>
      <c r="E808" t="n">
        <v>0.0002696159083634876</v>
      </c>
      <c r="F808" t="n">
        <v>0.8214494999452533</v>
      </c>
      <c r="G808" t="inlineStr">
        <is>
          <t>B</t>
        </is>
      </c>
      <c r="H808" t="n">
        <v>11</v>
      </c>
      <c r="I808" t="n">
        <v>5.484675344</v>
      </c>
      <c r="J808" t="n">
        <v>60.331428784</v>
      </c>
      <c r="K808" t="n">
        <v>4.3</v>
      </c>
      <c r="L808" t="n">
        <v>2.558139534883721</v>
      </c>
      <c r="M808" t="n">
        <v>3</v>
      </c>
      <c r="N808" t="n">
        <v>12.9</v>
      </c>
      <c r="O808" t="n">
        <v>0</v>
      </c>
      <c r="P808" t="n">
        <v>0</v>
      </c>
      <c r="Q808" t="n">
        <v>0</v>
      </c>
      <c r="R808" t="inlineStr">
        <is>
          <t>OK</t>
        </is>
      </c>
    </row>
    <row r="809">
      <c r="A809" t="inlineStr">
        <is>
          <t>RIOMIKI43T14</t>
        </is>
      </c>
      <c r="B809" t="inlineStr">
        <is>
          <t>RIO ORIGINAL KIDS</t>
        </is>
      </c>
      <c r="C809" t="inlineStr">
        <is>
          <t>Manufactura / Kids / P. Superiores</t>
        </is>
      </c>
      <c r="D809" t="n">
        <v>1099.26152284</v>
      </c>
      <c r="E809" t="n">
        <v>0.0002691350248174217</v>
      </c>
      <c r="F809" t="n">
        <v>0.8217186349700708</v>
      </c>
      <c r="G809" t="inlineStr">
        <is>
          <t>B</t>
        </is>
      </c>
      <c r="H809" t="n">
        <v>7</v>
      </c>
      <c r="I809" t="n">
        <v>3.617969464</v>
      </c>
      <c r="J809" t="n">
        <v>25.325786248</v>
      </c>
      <c r="K809" t="n">
        <v>2.5</v>
      </c>
      <c r="L809" t="n">
        <v>2.8</v>
      </c>
      <c r="M809" t="n">
        <v>3</v>
      </c>
      <c r="N809" t="n">
        <v>7.5</v>
      </c>
      <c r="O809" t="n">
        <v>0</v>
      </c>
      <c r="P809" t="n">
        <v>0</v>
      </c>
      <c r="Q809" t="n">
        <v>0</v>
      </c>
      <c r="R809" t="inlineStr">
        <is>
          <t>OK</t>
        </is>
      </c>
    </row>
    <row r="810">
      <c r="A810" t="inlineStr">
        <is>
          <t>POLPLCA50TXL</t>
        </is>
      </c>
      <c r="B810" t="inlineStr">
        <is>
          <t>CLASSIC POLO</t>
        </is>
      </c>
      <c r="C810" t="inlineStr">
        <is>
          <t>Manufactura / Caballero / P. Superiores</t>
        </is>
      </c>
      <c r="D810" t="n">
        <v>1098.18439113</v>
      </c>
      <c r="E810" t="n">
        <v>0.0002688713078915772</v>
      </c>
      <c r="F810" t="n">
        <v>0.8219875062779625</v>
      </c>
      <c r="G810" t="inlineStr">
        <is>
          <t>B</t>
        </is>
      </c>
      <c r="H810" t="n">
        <v>40</v>
      </c>
      <c r="I810" t="n">
        <v>7.34</v>
      </c>
      <c r="J810" t="n">
        <v>293.6</v>
      </c>
      <c r="K810" t="n">
        <v>2.4</v>
      </c>
      <c r="L810" t="n">
        <v>16.66666666666667</v>
      </c>
      <c r="M810" t="n">
        <v>3</v>
      </c>
      <c r="N810" t="n">
        <v>7.199999999999999</v>
      </c>
      <c r="O810" t="n">
        <v>32.8</v>
      </c>
      <c r="P810" t="n">
        <v>240.752</v>
      </c>
      <c r="Q810" t="n">
        <v>0.8199999999999998</v>
      </c>
      <c r="R810" t="inlineStr">
        <is>
          <t>Sobrestock crítico</t>
        </is>
      </c>
    </row>
    <row r="811">
      <c r="A811" t="inlineStr">
        <is>
          <t>SNA70EQ</t>
        </is>
      </c>
      <c r="B811" t="inlineStr">
        <is>
          <t>LLAVERO SNAP</t>
        </is>
      </c>
      <c r="C811" t="inlineStr">
        <is>
          <t>Equipamiento / Accesorios</t>
        </is>
      </c>
      <c r="D811" t="n">
        <v>1094.07079686594</v>
      </c>
      <c r="E811" t="n">
        <v>0.0002678641660319346</v>
      </c>
      <c r="F811" t="n">
        <v>0.8222553704439943</v>
      </c>
      <c r="G811" t="inlineStr">
        <is>
          <t>B</t>
        </is>
      </c>
      <c r="H811" t="n">
        <v>351</v>
      </c>
      <c r="I811" t="n">
        <v>1</v>
      </c>
      <c r="J811" t="n">
        <v>351</v>
      </c>
      <c r="K811" t="n">
        <v>18.8</v>
      </c>
      <c r="L811" t="n">
        <v>18.67021276595744</v>
      </c>
      <c r="M811" t="n">
        <v>3</v>
      </c>
      <c r="N811" t="n">
        <v>56.40000000000001</v>
      </c>
      <c r="O811" t="n">
        <v>294.6</v>
      </c>
      <c r="P811" t="n">
        <v>294.6</v>
      </c>
      <c r="Q811" t="n">
        <v>0.8393162393162393</v>
      </c>
      <c r="R811" t="inlineStr">
        <is>
          <t>Sobrestock crítico</t>
        </is>
      </c>
    </row>
    <row r="812">
      <c r="A812" t="inlineStr">
        <is>
          <t>SHOSUKI153T10</t>
        </is>
      </c>
      <c r="B812" t="inlineStr">
        <is>
          <t>SHORT PLAYA ESTAMPADO KIDS</t>
        </is>
      </c>
      <c r="C812" t="inlineStr">
        <is>
          <t>Manufactura / Kids / P. Superiores</t>
        </is>
      </c>
      <c r="D812" t="n">
        <v>1093.80906321</v>
      </c>
      <c r="E812" t="n">
        <v>0.0002678000851080386</v>
      </c>
      <c r="F812" t="n">
        <v>0.8225231705291023</v>
      </c>
      <c r="G812" t="inlineStr">
        <is>
          <t>B</t>
        </is>
      </c>
      <c r="H812" t="n">
        <v>9</v>
      </c>
      <c r="I812" t="n">
        <v>7.21</v>
      </c>
      <c r="J812" t="n">
        <v>64.89</v>
      </c>
      <c r="K812" t="n">
        <v>2.5</v>
      </c>
      <c r="L812" t="n">
        <v>3.6</v>
      </c>
      <c r="M812" t="n">
        <v>3</v>
      </c>
      <c r="N812" t="n">
        <v>7.5</v>
      </c>
      <c r="O812" t="n">
        <v>1.5</v>
      </c>
      <c r="P812" t="n">
        <v>10.815</v>
      </c>
      <c r="Q812" t="n">
        <v>0.1666666666666667</v>
      </c>
      <c r="R812" t="inlineStr">
        <is>
          <t>Sobrestock</t>
        </is>
      </c>
    </row>
    <row r="813">
      <c r="A813" t="inlineStr">
        <is>
          <t>BAPCCDA43TXS</t>
        </is>
      </c>
      <c r="B813" t="inlineStr">
        <is>
          <t>BASIC LINE PANT DAMA</t>
        </is>
      </c>
      <c r="C813" t="inlineStr">
        <is>
          <t>Manufactura / Dama / P. Inferiores</t>
        </is>
      </c>
      <c r="D813" t="n">
        <v>1089.82427676919</v>
      </c>
      <c r="E813" t="n">
        <v>0.0002668244795989248</v>
      </c>
      <c r="F813" t="n">
        <v>0.8227899950087012</v>
      </c>
      <c r="G813" t="inlineStr">
        <is>
          <t>B</t>
        </is>
      </c>
      <c r="H813" t="n">
        <v>41</v>
      </c>
      <c r="I813" t="n">
        <v>11.2</v>
      </c>
      <c r="J813" t="n">
        <v>459.2</v>
      </c>
      <c r="K813" t="n">
        <v>2.8</v>
      </c>
      <c r="L813" t="n">
        <v>14.64285714285714</v>
      </c>
      <c r="M813" t="n">
        <v>3</v>
      </c>
      <c r="N813" t="n">
        <v>8.399999999999999</v>
      </c>
      <c r="O813" t="n">
        <v>32.6</v>
      </c>
      <c r="P813" t="n">
        <v>365.12</v>
      </c>
      <c r="Q813" t="n">
        <v>0.7951219512195122</v>
      </c>
      <c r="R813" t="inlineStr">
        <is>
          <t>Sobrestock crítico</t>
        </is>
      </c>
    </row>
    <row r="814">
      <c r="A814" t="inlineStr">
        <is>
          <t>RIOMICA66TS</t>
        </is>
      </c>
      <c r="B814" t="inlineStr">
        <is>
          <t>RIO ORIGINAL CAB</t>
        </is>
      </c>
      <c r="C814" t="inlineStr">
        <is>
          <t>Manufactura / Caballero / P. Superiores</t>
        </is>
      </c>
      <c r="D814" t="n">
        <v>1087.25296716</v>
      </c>
      <c r="E814" t="n">
        <v>0.0002661949392565186</v>
      </c>
      <c r="F814" t="n">
        <v>0.8230561899479578</v>
      </c>
      <c r="G814" t="inlineStr">
        <is>
          <t>B</t>
        </is>
      </c>
      <c r="H814" t="n">
        <v>18</v>
      </c>
      <c r="I814" t="n">
        <v>5.939350288</v>
      </c>
      <c r="J814" t="n">
        <v>106.908305184</v>
      </c>
      <c r="K814" t="n">
        <v>1.9</v>
      </c>
      <c r="L814" t="n">
        <v>9.473684210526317</v>
      </c>
      <c r="M814" t="n">
        <v>3</v>
      </c>
      <c r="N814" t="n">
        <v>5.699999999999999</v>
      </c>
      <c r="O814" t="n">
        <v>12.3</v>
      </c>
      <c r="P814" t="n">
        <v>73.0540085424</v>
      </c>
      <c r="Q814" t="n">
        <v>0.6833333333333333</v>
      </c>
      <c r="R814" t="inlineStr">
        <is>
          <t>Sobrestock crítico</t>
        </is>
      </c>
    </row>
    <row r="815">
      <c r="A815" t="inlineStr">
        <is>
          <t>BAOCCCA43T2XL</t>
        </is>
      </c>
      <c r="B815" t="inlineStr">
        <is>
          <t>BASIC LINE OVERSIZED CAB</t>
        </is>
      </c>
      <c r="C815" t="inlineStr">
        <is>
          <t>Manufactura / Caballero / P. Superiores</t>
        </is>
      </c>
      <c r="D815" t="n">
        <v>1086.37913908</v>
      </c>
      <c r="E815" t="n">
        <v>0.0002659809976810968</v>
      </c>
      <c r="F815" t="n">
        <v>0.8233221709456389</v>
      </c>
      <c r="G815" t="inlineStr">
        <is>
          <t>B</t>
        </is>
      </c>
      <c r="H815" t="n">
        <v>46</v>
      </c>
      <c r="I815" t="n">
        <v>9.336740741</v>
      </c>
      <c r="J815" t="n">
        <v>429.490074086</v>
      </c>
      <c r="K815" t="n">
        <v>1.7</v>
      </c>
      <c r="L815" t="n">
        <v>27.05882352941176</v>
      </c>
      <c r="M815" t="n">
        <v>3</v>
      </c>
      <c r="N815" t="n">
        <v>5.1</v>
      </c>
      <c r="O815" t="n">
        <v>40.9</v>
      </c>
      <c r="P815" t="n">
        <v>381.8726963069</v>
      </c>
      <c r="Q815" t="n">
        <v>0.8891304347826087</v>
      </c>
      <c r="R815" t="inlineStr">
        <is>
          <t>Sobrestock crítico</t>
        </is>
      </c>
    </row>
    <row r="816">
      <c r="A816" t="inlineStr">
        <is>
          <t>MARMIKI30T6</t>
        </is>
      </c>
      <c r="B816" t="inlineStr">
        <is>
          <t>MAR ORIGINAL KIDS</t>
        </is>
      </c>
      <c r="C816" t="inlineStr">
        <is>
          <t>Manufactura / Kids / P. Superiores</t>
        </is>
      </c>
      <c r="D816" t="n">
        <v>1084.08937229</v>
      </c>
      <c r="E816" t="n">
        <v>0.0002654203881909541</v>
      </c>
      <c r="F816" t="n">
        <v>0.8235875913338299</v>
      </c>
      <c r="G816" t="inlineStr">
        <is>
          <t>B</t>
        </is>
      </c>
      <c r="H816" t="n">
        <v>6</v>
      </c>
      <c r="I816" t="n">
        <v>3.168013332</v>
      </c>
      <c r="J816" t="n">
        <v>19.008079992</v>
      </c>
      <c r="K816" t="n">
        <v>2.9</v>
      </c>
      <c r="L816" t="n">
        <v>2.068965517241379</v>
      </c>
      <c r="M816" t="n">
        <v>3</v>
      </c>
      <c r="N816" t="n">
        <v>8.699999999999999</v>
      </c>
      <c r="O816" t="n">
        <v>0</v>
      </c>
      <c r="P816" t="n">
        <v>0</v>
      </c>
      <c r="Q816" t="n">
        <v>0</v>
      </c>
      <c r="R816" t="inlineStr">
        <is>
          <t>OK</t>
        </is>
      </c>
    </row>
    <row r="817">
      <c r="A817" t="inlineStr">
        <is>
          <t>SHOSUKI155T6</t>
        </is>
      </c>
      <c r="B817" t="inlineStr">
        <is>
          <t>SHORT PLAYA ESTAMPADO KIDS</t>
        </is>
      </c>
      <c r="C817" t="inlineStr">
        <is>
          <t>Manufactura / Kids / P. Superiores</t>
        </is>
      </c>
      <c r="D817" t="n">
        <v>1083.2322947</v>
      </c>
      <c r="E817" t="n">
        <v>0.0002652105476810642</v>
      </c>
      <c r="F817" t="n">
        <v>0.8238528018815109</v>
      </c>
      <c r="G817" t="inlineStr">
        <is>
          <t>B</t>
        </is>
      </c>
      <c r="H817" t="n">
        <v>11</v>
      </c>
      <c r="I817" t="n">
        <v>7.21</v>
      </c>
      <c r="J817" t="n">
        <v>79.31</v>
      </c>
      <c r="K817" t="n">
        <v>2.5</v>
      </c>
      <c r="L817" t="n">
        <v>4.4</v>
      </c>
      <c r="M817" t="n">
        <v>3</v>
      </c>
      <c r="N817" t="n">
        <v>7.5</v>
      </c>
      <c r="O817" t="n">
        <v>3.5</v>
      </c>
      <c r="P817" t="n">
        <v>25.235</v>
      </c>
      <c r="Q817" t="n">
        <v>0.3181818181818182</v>
      </c>
      <c r="R817" t="inlineStr">
        <is>
          <t>Sobrestock crítico</t>
        </is>
      </c>
    </row>
    <row r="818">
      <c r="A818" t="inlineStr">
        <is>
          <t>CAP15MC</t>
        </is>
      </c>
      <c r="B818" t="inlineStr">
        <is>
          <t>MESH CAP</t>
        </is>
      </c>
      <c r="C818" t="inlineStr">
        <is>
          <t>Equipamiento / Gorras</t>
        </is>
      </c>
      <c r="D818" t="n">
        <v>1081.10010549</v>
      </c>
      <c r="E818" t="n">
        <v>0.000264688518314962</v>
      </c>
      <c r="F818" t="n">
        <v>0.8241174903998258</v>
      </c>
      <c r="G818" t="inlineStr">
        <is>
          <t>B</t>
        </is>
      </c>
      <c r="H818" t="n">
        <v>0</v>
      </c>
      <c r="I818" t="n">
        <v>3.36</v>
      </c>
      <c r="J818" t="n">
        <v>0</v>
      </c>
      <c r="K818" t="n">
        <v>3.6</v>
      </c>
      <c r="L818" t="n">
        <v>0</v>
      </c>
      <c r="M818" t="n">
        <v>3</v>
      </c>
      <c r="N818" t="n">
        <v>10.8</v>
      </c>
      <c r="O818" t="n">
        <v>0</v>
      </c>
      <c r="P818" t="n">
        <v>0</v>
      </c>
      <c r="Q818" t="n">
        <v>0</v>
      </c>
      <c r="R818" t="inlineStr">
        <is>
          <t>Riesgo bajo stock</t>
        </is>
      </c>
    </row>
    <row r="819">
      <c r="A819" t="inlineStr">
        <is>
          <t>MARMICA01T2XL</t>
        </is>
      </c>
      <c r="B819" t="inlineStr">
        <is>
          <t>MAR ORIGINAL CAB</t>
        </is>
      </c>
      <c r="C819" t="inlineStr">
        <is>
          <t>Manufactura / Caballero / P. Superiores</t>
        </is>
      </c>
      <c r="D819" t="n">
        <v>1080.77036606</v>
      </c>
      <c r="E819" t="n">
        <v>0.0002646077873625613</v>
      </c>
      <c r="F819" t="n">
        <v>0.8243820981871886</v>
      </c>
      <c r="G819" t="inlineStr">
        <is>
          <t>B</t>
        </is>
      </c>
      <c r="H819" t="n">
        <v>53</v>
      </c>
      <c r="I819" t="n">
        <v>4.946357428</v>
      </c>
      <c r="J819" t="n">
        <v>262.156943684</v>
      </c>
      <c r="K819" t="n">
        <v>2.2</v>
      </c>
      <c r="L819" t="n">
        <v>24.09090909090909</v>
      </c>
      <c r="M819" t="n">
        <v>3</v>
      </c>
      <c r="N819" t="n">
        <v>6.600000000000001</v>
      </c>
      <c r="O819" t="n">
        <v>46.4</v>
      </c>
      <c r="P819" t="n">
        <v>229.5109846592</v>
      </c>
      <c r="Q819" t="n">
        <v>0.8754716981132075</v>
      </c>
      <c r="R819" t="inlineStr">
        <is>
          <t>Sobrestock crítico</t>
        </is>
      </c>
    </row>
    <row r="820">
      <c r="A820" t="inlineStr">
        <is>
          <t>MARMIDA34TXL</t>
        </is>
      </c>
      <c r="B820" t="inlineStr">
        <is>
          <t>MAR ORIGINAL DAMA</t>
        </is>
      </c>
      <c r="C820" t="inlineStr">
        <is>
          <t>Manufactura / Dama / P. Superiores</t>
        </is>
      </c>
      <c r="D820" t="n">
        <v>1080.09190954</v>
      </c>
      <c r="E820" t="n">
        <v>0.0002644416791084708</v>
      </c>
      <c r="F820" t="n">
        <v>0.824646539866297</v>
      </c>
      <c r="G820" t="inlineStr">
        <is>
          <t>B</t>
        </is>
      </c>
      <c r="H820" t="n">
        <v>38</v>
      </c>
      <c r="I820" t="n">
        <v>4.278324149</v>
      </c>
      <c r="J820" t="n">
        <v>162.576317662</v>
      </c>
      <c r="K820" t="n">
        <v>2.2</v>
      </c>
      <c r="L820" t="n">
        <v>17.27272727272727</v>
      </c>
      <c r="M820" t="n">
        <v>3</v>
      </c>
      <c r="N820" t="n">
        <v>6.600000000000001</v>
      </c>
      <c r="O820" t="n">
        <v>31.4</v>
      </c>
      <c r="P820" t="n">
        <v>134.3393782786</v>
      </c>
      <c r="Q820" t="n">
        <v>0.8263157894736842</v>
      </c>
      <c r="R820" t="inlineStr">
        <is>
          <t>Sobrestock crítico</t>
        </is>
      </c>
    </row>
    <row r="821">
      <c r="A821" t="inlineStr">
        <is>
          <t>JACDA33TS</t>
        </is>
      </c>
      <c r="B821" t="inlineStr">
        <is>
          <t>JACKET DAMA</t>
        </is>
      </c>
      <c r="C821" t="inlineStr">
        <is>
          <t>Equipamiento / Ropa</t>
        </is>
      </c>
      <c r="D821" t="n">
        <v>1078.87569894</v>
      </c>
      <c r="E821" t="n">
        <v>0.0002641439111404185</v>
      </c>
      <c r="F821" t="n">
        <v>0.8249106837774374</v>
      </c>
      <c r="G821" t="inlineStr">
        <is>
          <t>B</t>
        </is>
      </c>
      <c r="H821" t="n">
        <v>0</v>
      </c>
      <c r="I821" t="n">
        <v>20.25</v>
      </c>
      <c r="J821" t="n">
        <v>0</v>
      </c>
      <c r="K821" t="n">
        <v>1.8</v>
      </c>
      <c r="L821" t="n">
        <v>0</v>
      </c>
      <c r="M821" t="n">
        <v>3</v>
      </c>
      <c r="N821" t="n">
        <v>5.4</v>
      </c>
      <c r="O821" t="n">
        <v>0</v>
      </c>
      <c r="P821" t="n">
        <v>0</v>
      </c>
      <c r="Q821" t="n">
        <v>0</v>
      </c>
      <c r="R821" t="inlineStr">
        <is>
          <t>Riesgo bajo stock</t>
        </is>
      </c>
    </row>
    <row r="822">
      <c r="A822" t="inlineStr">
        <is>
          <t>SHOUNCA187TS</t>
        </is>
      </c>
      <c r="B822" t="inlineStr">
        <is>
          <t>SHORT PLAYA CAB</t>
        </is>
      </c>
      <c r="C822" t="inlineStr">
        <is>
          <t>Manufactura / Caballero / P. Inferiores</t>
        </is>
      </c>
      <c r="D822" t="n">
        <v>1078.65163029</v>
      </c>
      <c r="E822" t="n">
        <v>0.0002640890518367627</v>
      </c>
      <c r="F822" t="n">
        <v>0.8251747728292741</v>
      </c>
      <c r="G822" t="inlineStr">
        <is>
          <t>B</t>
        </is>
      </c>
      <c r="H822" t="n">
        <v>37</v>
      </c>
      <c r="I822" t="n">
        <v>9.99</v>
      </c>
      <c r="J822" t="n">
        <v>369.63</v>
      </c>
      <c r="K822" t="n">
        <v>2</v>
      </c>
      <c r="L822" t="n">
        <v>18.5</v>
      </c>
      <c r="M822" t="n">
        <v>3</v>
      </c>
      <c r="N822" t="n">
        <v>6</v>
      </c>
      <c r="O822" t="n">
        <v>31</v>
      </c>
      <c r="P822" t="n">
        <v>309.69</v>
      </c>
      <c r="Q822" t="n">
        <v>0.8378378378378378</v>
      </c>
      <c r="R822" t="inlineStr">
        <is>
          <t>Sobrestock crítico</t>
        </is>
      </c>
    </row>
    <row r="823">
      <c r="A823" t="inlineStr">
        <is>
          <t>CAP43VS</t>
        </is>
      </c>
      <c r="B823" t="inlineStr">
        <is>
          <t>VISERA</t>
        </is>
      </c>
      <c r="C823" t="inlineStr">
        <is>
          <t>Equipamiento / Gorras</t>
        </is>
      </c>
      <c r="D823" t="n">
        <v>1077.57286313</v>
      </c>
      <c r="E823" t="n">
        <v>0.00026382493449949</v>
      </c>
      <c r="F823" t="n">
        <v>0.8254385977637735</v>
      </c>
      <c r="G823" t="inlineStr">
        <is>
          <t>B</t>
        </is>
      </c>
      <c r="H823" t="n">
        <v>0</v>
      </c>
      <c r="I823" t="n">
        <v>13.5</v>
      </c>
      <c r="J823" t="n">
        <v>0</v>
      </c>
      <c r="K823" t="n">
        <v>3.4</v>
      </c>
      <c r="L823" t="n">
        <v>0</v>
      </c>
      <c r="M823" t="n">
        <v>3</v>
      </c>
      <c r="N823" t="n">
        <v>10.2</v>
      </c>
      <c r="O823" t="n">
        <v>0</v>
      </c>
      <c r="P823" t="n">
        <v>0</v>
      </c>
      <c r="Q823" t="n">
        <v>0</v>
      </c>
      <c r="R823" t="inlineStr">
        <is>
          <t>Riesgo bajo stock</t>
        </is>
      </c>
    </row>
    <row r="824">
      <c r="A824" t="inlineStr">
        <is>
          <t>MARMIKI34T14</t>
        </is>
      </c>
      <c r="B824" t="inlineStr">
        <is>
          <t>MAR ORIGINAL KIDS</t>
        </is>
      </c>
      <c r="C824" t="inlineStr">
        <is>
          <t>Manufactura / Kids / P. Superiores</t>
        </is>
      </c>
      <c r="D824" t="n">
        <v>1077.28165335</v>
      </c>
      <c r="E824" t="n">
        <v>0.0002637536368603578</v>
      </c>
      <c r="F824" t="n">
        <v>0.825702351400634</v>
      </c>
      <c r="G824" t="inlineStr">
        <is>
          <t>B</t>
        </is>
      </c>
      <c r="H824" t="n">
        <v>27</v>
      </c>
      <c r="I824" t="n">
        <v>3.168013332</v>
      </c>
      <c r="J824" t="n">
        <v>85.536359964</v>
      </c>
      <c r="K824" t="n">
        <v>2.9</v>
      </c>
      <c r="L824" t="n">
        <v>9.310344827586206</v>
      </c>
      <c r="M824" t="n">
        <v>3</v>
      </c>
      <c r="N824" t="n">
        <v>8.699999999999999</v>
      </c>
      <c r="O824" t="n">
        <v>18.3</v>
      </c>
      <c r="P824" t="n">
        <v>57.9746439756</v>
      </c>
      <c r="Q824" t="n">
        <v>0.6777777777777778</v>
      </c>
      <c r="R824" t="inlineStr">
        <is>
          <t>Sobrestock crítico</t>
        </is>
      </c>
    </row>
    <row r="825">
      <c r="A825" t="inlineStr">
        <is>
          <t>RIOMIKI01T2</t>
        </is>
      </c>
      <c r="B825" t="inlineStr">
        <is>
          <t>RIO ORIGINAL KIDS</t>
        </is>
      </c>
      <c r="C825" t="inlineStr">
        <is>
          <t>Manufactura / Kids / P. Superiores</t>
        </is>
      </c>
      <c r="D825" t="n">
        <v>1074.18050788</v>
      </c>
      <c r="E825" t="n">
        <v>0.0002629943754419516</v>
      </c>
      <c r="F825" t="n">
        <v>0.8259653457760758</v>
      </c>
      <c r="G825" t="inlineStr">
        <is>
          <t>B</t>
        </is>
      </c>
      <c r="H825" t="n">
        <v>15</v>
      </c>
      <c r="I825" t="n">
        <v>3.617969464</v>
      </c>
      <c r="J825" t="n">
        <v>54.26954196000001</v>
      </c>
      <c r="K825" t="n">
        <v>2.6</v>
      </c>
      <c r="L825" t="n">
        <v>5.769230769230769</v>
      </c>
      <c r="M825" t="n">
        <v>3</v>
      </c>
      <c r="N825" t="n">
        <v>7.800000000000001</v>
      </c>
      <c r="O825" t="n">
        <v>7.199999999999999</v>
      </c>
      <c r="P825" t="n">
        <v>26.0493801408</v>
      </c>
      <c r="Q825" t="n">
        <v>0.48</v>
      </c>
      <c r="R825" t="inlineStr">
        <is>
          <t>Sobrestock crítico</t>
        </is>
      </c>
    </row>
    <row r="826">
      <c r="A826" t="inlineStr">
        <is>
          <t>JACCA12TS</t>
        </is>
      </c>
      <c r="B826" t="inlineStr">
        <is>
          <t>JACKET CAB</t>
        </is>
      </c>
      <c r="C826" t="inlineStr">
        <is>
          <t>Equipamiento / Ropa</t>
        </is>
      </c>
      <c r="D826" t="n">
        <v>1072.3802217</v>
      </c>
      <c r="E826" t="n">
        <v>0.0002625536067480006</v>
      </c>
      <c r="F826" t="n">
        <v>0.8262278993828239</v>
      </c>
      <c r="G826" t="inlineStr">
        <is>
          <t>B</t>
        </is>
      </c>
      <c r="H826" t="n">
        <v>0</v>
      </c>
      <c r="I826" t="n">
        <v>20.25001933</v>
      </c>
      <c r="J826" t="n">
        <v>0</v>
      </c>
      <c r="K826" t="n">
        <v>1.8</v>
      </c>
      <c r="L826" t="n">
        <v>0</v>
      </c>
      <c r="M826" t="n">
        <v>3</v>
      </c>
      <c r="N826" t="n">
        <v>5.4</v>
      </c>
      <c r="O826" t="n">
        <v>0</v>
      </c>
      <c r="P826" t="n">
        <v>0</v>
      </c>
      <c r="Q826" t="n">
        <v>0</v>
      </c>
      <c r="R826" t="inlineStr">
        <is>
          <t>Riesgo bajo stock</t>
        </is>
      </c>
    </row>
    <row r="827">
      <c r="A827" t="inlineStr">
        <is>
          <t>RIOMICA13T2XL</t>
        </is>
      </c>
      <c r="B827" t="inlineStr">
        <is>
          <t>RIO ORIGINAL CAB</t>
        </is>
      </c>
      <c r="C827" t="inlineStr">
        <is>
          <t>Manufactura / Caballero / P. Superiores</t>
        </is>
      </c>
      <c r="D827" t="n">
        <v>1071.88970851</v>
      </c>
      <c r="E827" t="n">
        <v>0.0002624335131425928</v>
      </c>
      <c r="F827" t="n">
        <v>0.8264903328959664</v>
      </c>
      <c r="G827" t="inlineStr">
        <is>
          <t>B</t>
        </is>
      </c>
      <c r="H827" t="n">
        <v>8</v>
      </c>
      <c r="I827" t="n">
        <v>5.939350287999999</v>
      </c>
      <c r="J827" t="n">
        <v>47.51480230399999</v>
      </c>
      <c r="K827" t="n">
        <v>2</v>
      </c>
      <c r="L827" t="n">
        <v>4</v>
      </c>
      <c r="M827" t="n">
        <v>3</v>
      </c>
      <c r="N827" t="n">
        <v>6</v>
      </c>
      <c r="O827" t="n">
        <v>2</v>
      </c>
      <c r="P827" t="n">
        <v>11.878700576</v>
      </c>
      <c r="Q827" t="n">
        <v>0.25</v>
      </c>
      <c r="R827" t="inlineStr">
        <is>
          <t>Sobrestock</t>
        </is>
      </c>
    </row>
    <row r="828">
      <c r="A828" t="inlineStr">
        <is>
          <t>MARMIDA04TXS</t>
        </is>
      </c>
      <c r="B828" t="inlineStr">
        <is>
          <t>MAR ORIGINAL DAMA</t>
        </is>
      </c>
      <c r="C828" t="inlineStr">
        <is>
          <t>Manufactura / Dama / P. Superiores</t>
        </is>
      </c>
      <c r="D828" t="n">
        <v>1071.11403666</v>
      </c>
      <c r="E828" t="n">
        <v>0.0002622436034093197</v>
      </c>
      <c r="F828" t="n">
        <v>0.8267525764993757</v>
      </c>
      <c r="G828" t="inlineStr">
        <is>
          <t>B</t>
        </is>
      </c>
      <c r="H828" t="n">
        <v>48</v>
      </c>
      <c r="I828" t="n">
        <v>4.278324149</v>
      </c>
      <c r="J828" t="n">
        <v>205.359559152</v>
      </c>
      <c r="K828" t="n">
        <v>2.2</v>
      </c>
      <c r="L828" t="n">
        <v>21.81818181818182</v>
      </c>
      <c r="M828" t="n">
        <v>3</v>
      </c>
      <c r="N828" t="n">
        <v>6.600000000000001</v>
      </c>
      <c r="O828" t="n">
        <v>41.4</v>
      </c>
      <c r="P828" t="n">
        <v>177.1226197686</v>
      </c>
      <c r="Q828" t="n">
        <v>0.8624999999999999</v>
      </c>
      <c r="R828" t="inlineStr">
        <is>
          <t>Sobrestock crítico</t>
        </is>
      </c>
    </row>
    <row r="829">
      <c r="A829" t="inlineStr">
        <is>
          <t>DAYCSTDA43TXS</t>
        </is>
      </c>
      <c r="B829" t="inlineStr">
        <is>
          <t>CLASICA DAILY 3.0 DAMA</t>
        </is>
      </c>
      <c r="C829" t="inlineStr">
        <is>
          <t>Manufactura / Dama / P. Superiores</t>
        </is>
      </c>
      <c r="D829" t="n">
        <v>1071.10396796</v>
      </c>
      <c r="E829" t="n">
        <v>0.0002622411382636123</v>
      </c>
      <c r="F829" t="n">
        <v>0.8270148176376394</v>
      </c>
      <c r="G829" t="inlineStr">
        <is>
          <t>B</t>
        </is>
      </c>
      <c r="H829" t="n">
        <v>80</v>
      </c>
      <c r="I829" t="n">
        <v>10.28586481</v>
      </c>
      <c r="J829" t="n">
        <v>822.8691848</v>
      </c>
      <c r="K829" t="n">
        <v>2.7</v>
      </c>
      <c r="L829" t="n">
        <v>29.62962962962963</v>
      </c>
      <c r="M829" t="n">
        <v>3</v>
      </c>
      <c r="N829" t="n">
        <v>8.100000000000001</v>
      </c>
      <c r="O829" t="n">
        <v>71.90000000000001</v>
      </c>
      <c r="P829" t="n">
        <v>739.553679839</v>
      </c>
      <c r="Q829" t="n">
        <v>0.89875</v>
      </c>
      <c r="R829" t="inlineStr">
        <is>
          <t>Sobrestock crítico</t>
        </is>
      </c>
    </row>
    <row r="830">
      <c r="A830" t="inlineStr">
        <is>
          <t>MARMICA70TXL</t>
        </is>
      </c>
      <c r="B830" t="inlineStr">
        <is>
          <t>MAR ORIGINAL CAB</t>
        </is>
      </c>
      <c r="C830" t="inlineStr">
        <is>
          <t>Manufactura / Caballero / P. Superiores</t>
        </is>
      </c>
      <c r="D830" t="n">
        <v>1066.81094838</v>
      </c>
      <c r="E830" t="n">
        <v>0.000261190067242569</v>
      </c>
      <c r="F830" t="n">
        <v>0.8272760077048819</v>
      </c>
      <c r="G830" t="inlineStr">
        <is>
          <t>B</t>
        </is>
      </c>
      <c r="H830" t="n">
        <v>26</v>
      </c>
      <c r="I830" t="n">
        <v>4.946357428</v>
      </c>
      <c r="J830" t="n">
        <v>128.605293128</v>
      </c>
      <c r="K830" t="n">
        <v>2.2</v>
      </c>
      <c r="L830" t="n">
        <v>11.81818181818182</v>
      </c>
      <c r="M830" t="n">
        <v>3</v>
      </c>
      <c r="N830" t="n">
        <v>6.600000000000001</v>
      </c>
      <c r="O830" t="n">
        <v>19.4</v>
      </c>
      <c r="P830" t="n">
        <v>95.95933410319999</v>
      </c>
      <c r="Q830" t="n">
        <v>0.7461538461538461</v>
      </c>
      <c r="R830" t="inlineStr">
        <is>
          <t>Sobrestock crítico</t>
        </is>
      </c>
    </row>
    <row r="831">
      <c r="A831" t="inlineStr">
        <is>
          <t>SHONRKI43T14</t>
        </is>
      </c>
      <c r="B831" t="inlineStr">
        <is>
          <t>SHORT SPORT KIDS</t>
        </is>
      </c>
      <c r="C831" t="inlineStr">
        <is>
          <t>Manufactura / Kids / P. Inferiores</t>
        </is>
      </c>
      <c r="D831" t="n">
        <v>1065.75134102</v>
      </c>
      <c r="E831" t="n">
        <v>0.0002609306408483898</v>
      </c>
      <c r="F831" t="n">
        <v>0.8275369383457304</v>
      </c>
      <c r="G831" t="inlineStr">
        <is>
          <t>B</t>
        </is>
      </c>
      <c r="H831" t="n">
        <v>11</v>
      </c>
      <c r="I831" t="n">
        <v>6.465724382</v>
      </c>
      <c r="J831" t="n">
        <v>71.12296820200001</v>
      </c>
      <c r="K831" t="n">
        <v>2.6</v>
      </c>
      <c r="L831" t="n">
        <v>4.230769230769231</v>
      </c>
      <c r="M831" t="n">
        <v>3</v>
      </c>
      <c r="N831" t="n">
        <v>7.800000000000001</v>
      </c>
      <c r="O831" t="n">
        <v>3.199999999999999</v>
      </c>
      <c r="P831" t="n">
        <v>20.6903180224</v>
      </c>
      <c r="Q831" t="n">
        <v>0.2909090909090908</v>
      </c>
      <c r="R831" t="inlineStr">
        <is>
          <t>Sobrestock</t>
        </is>
      </c>
    </row>
    <row r="832">
      <c r="A832" t="inlineStr">
        <is>
          <t>JAPKI43T10</t>
        </is>
      </c>
      <c r="B832" t="inlineStr">
        <is>
          <t>CUADRO JACKET 2.0 KIDS</t>
        </is>
      </c>
      <c r="C832" t="inlineStr">
        <is>
          <t>Equipamiento / Ropa</t>
        </is>
      </c>
      <c r="D832" t="n">
        <v>1064.63023125</v>
      </c>
      <c r="E832" t="n">
        <v>0.0002606561566610488</v>
      </c>
      <c r="F832" t="n">
        <v>0.8277975945023914</v>
      </c>
      <c r="G832" t="inlineStr">
        <is>
          <t>B</t>
        </is>
      </c>
      <c r="H832" t="n">
        <v>100</v>
      </c>
      <c r="I832" t="n">
        <v>15.17</v>
      </c>
      <c r="J832" t="n">
        <v>1517</v>
      </c>
      <c r="K832" t="n">
        <v>1.6</v>
      </c>
      <c r="L832" t="n">
        <v>62.5</v>
      </c>
      <c r="M832" t="n">
        <v>3</v>
      </c>
      <c r="N832" t="n">
        <v>4.800000000000001</v>
      </c>
      <c r="O832" t="n">
        <v>95.2</v>
      </c>
      <c r="P832" t="n">
        <v>1444.184</v>
      </c>
      <c r="Q832" t="n">
        <v>0.952</v>
      </c>
      <c r="R832" t="inlineStr">
        <is>
          <t>Sobrestock crítico</t>
        </is>
      </c>
    </row>
    <row r="833">
      <c r="A833" t="inlineStr">
        <is>
          <t>RIOMICA01TM</t>
        </is>
      </c>
      <c r="B833" t="inlineStr">
        <is>
          <t>RIO ORIGINAL CAB</t>
        </is>
      </c>
      <c r="C833" t="inlineStr">
        <is>
          <t>Manufactura / Caballero / P. Superiores</t>
        </is>
      </c>
      <c r="D833" t="n">
        <v>1063.76888203</v>
      </c>
      <c r="E833" t="n">
        <v>0.0002604452703170037</v>
      </c>
      <c r="F833" t="n">
        <v>0.8280580397727084</v>
      </c>
      <c r="G833" t="inlineStr">
        <is>
          <t>B</t>
        </is>
      </c>
      <c r="H833" t="n">
        <v>19</v>
      </c>
      <c r="I833" t="n">
        <v>5.939350287999999</v>
      </c>
      <c r="J833" t="n">
        <v>112.847655472</v>
      </c>
      <c r="K833" t="n">
        <v>2</v>
      </c>
      <c r="L833" t="n">
        <v>9.5</v>
      </c>
      <c r="M833" t="n">
        <v>3</v>
      </c>
      <c r="N833" t="n">
        <v>6</v>
      </c>
      <c r="O833" t="n">
        <v>13</v>
      </c>
      <c r="P833" t="n">
        <v>77.21155374399999</v>
      </c>
      <c r="Q833" t="n">
        <v>0.6842105263157894</v>
      </c>
      <c r="R833" t="inlineStr">
        <is>
          <t>Sobrestock crítico</t>
        </is>
      </c>
    </row>
    <row r="834">
      <c r="A834" t="inlineStr">
        <is>
          <t>SHUNTCA157TL</t>
        </is>
      </c>
      <c r="B834" t="inlineStr">
        <is>
          <t>SHORT SPORT R1 CAB</t>
        </is>
      </c>
      <c r="C834" t="inlineStr">
        <is>
          <t>Manufactura / Caballero / P. Inferiores</t>
        </is>
      </c>
      <c r="D834" t="n">
        <v>1061.52224187</v>
      </c>
      <c r="E834" t="n">
        <v>0.0002598952196305617</v>
      </c>
      <c r="F834" t="n">
        <v>0.828317934992339</v>
      </c>
      <c r="G834" t="inlineStr">
        <is>
          <t>B</t>
        </is>
      </c>
      <c r="H834" t="n">
        <v>1</v>
      </c>
      <c r="I834" t="n">
        <v>9.119999999999999</v>
      </c>
      <c r="J834" t="n">
        <v>9.119999999999999</v>
      </c>
      <c r="K834" t="n">
        <v>2.2</v>
      </c>
      <c r="L834" t="n">
        <v>0.4545454545454545</v>
      </c>
      <c r="M834" t="n">
        <v>3</v>
      </c>
      <c r="N834" t="n">
        <v>6.600000000000001</v>
      </c>
      <c r="O834" t="n">
        <v>0</v>
      </c>
      <c r="P834" t="n">
        <v>0</v>
      </c>
      <c r="Q834" t="n">
        <v>0</v>
      </c>
      <c r="R834" t="inlineStr">
        <is>
          <t>Riesgo bajo stock</t>
        </is>
      </c>
    </row>
    <row r="835">
      <c r="A835" t="inlineStr">
        <is>
          <t>CLAMICA13TM</t>
        </is>
      </c>
      <c r="B835" t="inlineStr">
        <is>
          <t>CLASICA ORIGINAL CAB</t>
        </is>
      </c>
      <c r="C835" t="inlineStr">
        <is>
          <t>Manufactura / Caballero / P. Superiores</t>
        </is>
      </c>
      <c r="D835" t="n">
        <v>1059.8999215</v>
      </c>
      <c r="E835" t="n">
        <v>0.0002594980227634197</v>
      </c>
      <c r="F835" t="n">
        <v>0.8285774330151024</v>
      </c>
      <c r="G835" t="inlineStr">
        <is>
          <t>B</t>
        </is>
      </c>
      <c r="H835" t="n">
        <v>9</v>
      </c>
      <c r="I835" t="n">
        <v>4.598442536</v>
      </c>
      <c r="J835" t="n">
        <v>41.385982824</v>
      </c>
      <c r="K835" t="n">
        <v>2.8</v>
      </c>
      <c r="L835" t="n">
        <v>3.214285714285714</v>
      </c>
      <c r="M835" t="n">
        <v>3</v>
      </c>
      <c r="N835" t="n">
        <v>8.399999999999999</v>
      </c>
      <c r="O835" t="n">
        <v>0.6000000000000014</v>
      </c>
      <c r="P835" t="n">
        <v>2.759065521600007</v>
      </c>
      <c r="Q835" t="n">
        <v>0.06666666666666683</v>
      </c>
      <c r="R835" t="inlineStr">
        <is>
          <t>Sobrestock</t>
        </is>
      </c>
    </row>
    <row r="836">
      <c r="A836" t="inlineStr">
        <is>
          <t>JACKI01T8</t>
        </is>
      </c>
      <c r="B836" t="inlineStr">
        <is>
          <t>JACKET KIDS</t>
        </is>
      </c>
      <c r="C836" t="inlineStr">
        <is>
          <t>Manufactura / Kids / P. Superiores</t>
        </is>
      </c>
      <c r="D836" t="n">
        <v>1057.92093597</v>
      </c>
      <c r="E836" t="n">
        <v>0.0002590135026481756</v>
      </c>
      <c r="F836" t="n">
        <v>0.8288364465177506</v>
      </c>
      <c r="G836" t="inlineStr">
        <is>
          <t>B</t>
        </is>
      </c>
      <c r="H836" t="n">
        <v>169</v>
      </c>
      <c r="I836" t="n">
        <v>15.17</v>
      </c>
      <c r="J836" t="n">
        <v>2563.73</v>
      </c>
      <c r="K836" t="n">
        <v>1.9</v>
      </c>
      <c r="L836" t="n">
        <v>88.94736842105263</v>
      </c>
      <c r="M836" t="n">
        <v>3</v>
      </c>
      <c r="N836" t="n">
        <v>5.699999999999999</v>
      </c>
      <c r="O836" t="n">
        <v>163.3</v>
      </c>
      <c r="P836" t="n">
        <v>2477.261</v>
      </c>
      <c r="Q836" t="n">
        <v>0.9662721893491124</v>
      </c>
      <c r="R836" t="inlineStr">
        <is>
          <t>Sobrestock crítico</t>
        </is>
      </c>
    </row>
    <row r="837">
      <c r="A837" t="inlineStr">
        <is>
          <t>RIOMICA01TXL</t>
        </is>
      </c>
      <c r="B837" t="inlineStr">
        <is>
          <t>RIO ORIGINAL CAB</t>
        </is>
      </c>
      <c r="C837" t="inlineStr">
        <is>
          <t>Manufactura / Caballero / P. Superiores</t>
        </is>
      </c>
      <c r="D837" t="n">
        <v>1055.35726384</v>
      </c>
      <c r="E837" t="n">
        <v>0.0002583858322094353</v>
      </c>
      <c r="F837" t="n">
        <v>0.82909483234996</v>
      </c>
      <c r="G837" t="inlineStr">
        <is>
          <t>B</t>
        </is>
      </c>
      <c r="H837" t="n">
        <v>32</v>
      </c>
      <c r="I837" t="n">
        <v>5.939350287999999</v>
      </c>
      <c r="J837" t="n">
        <v>190.059209216</v>
      </c>
      <c r="K837" t="n">
        <v>2.1</v>
      </c>
      <c r="L837" t="n">
        <v>15.23809523809524</v>
      </c>
      <c r="M837" t="n">
        <v>3</v>
      </c>
      <c r="N837" t="n">
        <v>6.300000000000001</v>
      </c>
      <c r="O837" t="n">
        <v>25.7</v>
      </c>
      <c r="P837" t="n">
        <v>152.6413024016</v>
      </c>
      <c r="Q837" t="n">
        <v>0.803125</v>
      </c>
      <c r="R837" t="inlineStr">
        <is>
          <t>Sobrestock crítico</t>
        </is>
      </c>
    </row>
    <row r="838">
      <c r="A838" t="inlineStr">
        <is>
          <t>SHONRCA12T2XL</t>
        </is>
      </c>
      <c r="B838" t="inlineStr">
        <is>
          <t>SHORT SPORT CAB</t>
        </is>
      </c>
      <c r="C838" t="inlineStr">
        <is>
          <t>Manufactura / Caballero / P. Inferiores</t>
        </is>
      </c>
      <c r="D838" t="n">
        <v>1053.24450812</v>
      </c>
      <c r="E838" t="n">
        <v>0.0002578685607946529</v>
      </c>
      <c r="F838" t="n">
        <v>0.8293527009107546</v>
      </c>
      <c r="G838" t="inlineStr">
        <is>
          <t>B</t>
        </is>
      </c>
      <c r="H838" t="n">
        <v>3</v>
      </c>
      <c r="I838" t="n">
        <v>10.6514486</v>
      </c>
      <c r="J838" t="n">
        <v>31.9543458</v>
      </c>
      <c r="K838" t="n">
        <v>2.2</v>
      </c>
      <c r="L838" t="n">
        <v>1.363636363636364</v>
      </c>
      <c r="M838" t="n">
        <v>3</v>
      </c>
      <c r="N838" t="n">
        <v>6.600000000000001</v>
      </c>
      <c r="O838" t="n">
        <v>0</v>
      </c>
      <c r="P838" t="n">
        <v>0</v>
      </c>
      <c r="Q838" t="n">
        <v>0</v>
      </c>
      <c r="R838" t="inlineStr">
        <is>
          <t>OK</t>
        </is>
      </c>
    </row>
    <row r="839">
      <c r="A839" t="inlineStr">
        <is>
          <t>RIOMIKI50T8</t>
        </is>
      </c>
      <c r="B839" t="inlineStr">
        <is>
          <t>RIO ORIGINAL KIDS</t>
        </is>
      </c>
      <c r="C839" t="inlineStr">
        <is>
          <t>Manufactura / Kids / P. Superiores</t>
        </is>
      </c>
      <c r="D839" t="n">
        <v>1052.06905223</v>
      </c>
      <c r="E839" t="n">
        <v>0.0002575807709070294</v>
      </c>
      <c r="F839" t="n">
        <v>0.8296102816816617</v>
      </c>
      <c r="G839" t="inlineStr">
        <is>
          <t>B</t>
        </is>
      </c>
      <c r="H839" t="n">
        <v>57</v>
      </c>
      <c r="I839" t="n">
        <v>3.617969464</v>
      </c>
      <c r="J839" t="n">
        <v>206.224259448</v>
      </c>
      <c r="K839" t="n">
        <v>2.5</v>
      </c>
      <c r="L839" t="n">
        <v>22.8</v>
      </c>
      <c r="M839" t="n">
        <v>3</v>
      </c>
      <c r="N839" t="n">
        <v>7.5</v>
      </c>
      <c r="O839" t="n">
        <v>49.5</v>
      </c>
      <c r="P839" t="n">
        <v>179.089488468</v>
      </c>
      <c r="Q839" t="n">
        <v>0.868421052631579</v>
      </c>
      <c r="R839" t="inlineStr">
        <is>
          <t>Sobrestock crítico</t>
        </is>
      </c>
    </row>
    <row r="840">
      <c r="A840" t="inlineStr">
        <is>
          <t>LPR34EQ</t>
        </is>
      </c>
      <c r="B840" t="inlineStr">
        <is>
          <t>LANYARD PRO</t>
        </is>
      </c>
      <c r="C840" t="inlineStr">
        <is>
          <t>Equipamiento / Accesorios</t>
        </is>
      </c>
      <c r="D840" t="n">
        <v>1050.754482357</v>
      </c>
      <c r="E840" t="n">
        <v>0.0002572589213852887</v>
      </c>
      <c r="F840" t="n">
        <v>0.829867540603047</v>
      </c>
      <c r="G840" t="inlineStr">
        <is>
          <t>B</t>
        </is>
      </c>
      <c r="H840" t="n">
        <v>404</v>
      </c>
      <c r="I840" t="n">
        <v>1.15</v>
      </c>
      <c r="J840" t="n">
        <v>464.6</v>
      </c>
      <c r="K840" t="n">
        <v>18.2</v>
      </c>
      <c r="L840" t="n">
        <v>22.1978021978022</v>
      </c>
      <c r="M840" t="n">
        <v>3</v>
      </c>
      <c r="N840" t="n">
        <v>54.59999999999999</v>
      </c>
      <c r="O840" t="n">
        <v>349.4</v>
      </c>
      <c r="P840" t="n">
        <v>401.8099999999999</v>
      </c>
      <c r="Q840" t="n">
        <v>0.8648514851485148</v>
      </c>
      <c r="R840" t="inlineStr">
        <is>
          <t>Sobrestock crítico</t>
        </is>
      </c>
    </row>
    <row r="841">
      <c r="A841" t="inlineStr">
        <is>
          <t>SHONRCA30T2XL</t>
        </is>
      </c>
      <c r="B841" t="inlineStr">
        <is>
          <t>SHORT SPORT CAB</t>
        </is>
      </c>
      <c r="C841" t="inlineStr">
        <is>
          <t>Manufactura / Caballero / P. Inferiores</t>
        </is>
      </c>
      <c r="D841" t="n">
        <v>1047.619560755418</v>
      </c>
      <c r="E841" t="n">
        <v>0.0002564913904697495</v>
      </c>
      <c r="F841" t="n">
        <v>0.8301240319935167</v>
      </c>
      <c r="G841" t="inlineStr">
        <is>
          <t>B</t>
        </is>
      </c>
      <c r="H841" t="n">
        <v>3</v>
      </c>
      <c r="I841" t="n">
        <v>10.6514486</v>
      </c>
      <c r="J841" t="n">
        <v>31.9543458</v>
      </c>
      <c r="K841" t="n">
        <v>2.4</v>
      </c>
      <c r="L841" t="n">
        <v>1.25</v>
      </c>
      <c r="M841" t="n">
        <v>3</v>
      </c>
      <c r="N841" t="n">
        <v>7.199999999999999</v>
      </c>
      <c r="O841" t="n">
        <v>0</v>
      </c>
      <c r="P841" t="n">
        <v>0</v>
      </c>
      <c r="Q841" t="n">
        <v>0</v>
      </c>
      <c r="R841" t="inlineStr">
        <is>
          <t>OK</t>
        </is>
      </c>
    </row>
    <row r="842">
      <c r="A842" t="inlineStr">
        <is>
          <t>BAOCCCA43TXS</t>
        </is>
      </c>
      <c r="B842" t="inlineStr">
        <is>
          <t>BASIC LINE OVERSIZED CAB</t>
        </is>
      </c>
      <c r="C842" t="inlineStr">
        <is>
          <t>Manufactura / Caballero / P. Superiores</t>
        </is>
      </c>
      <c r="D842" t="n">
        <v>1044.96529422</v>
      </c>
      <c r="E842" t="n">
        <v>0.0002558415395698142</v>
      </c>
      <c r="F842" t="n">
        <v>0.8303798735330866</v>
      </c>
      <c r="G842" t="inlineStr">
        <is>
          <t>B</t>
        </is>
      </c>
      <c r="H842" t="n">
        <v>26</v>
      </c>
      <c r="I842" t="n">
        <v>9.336740741</v>
      </c>
      <c r="J842" t="n">
        <v>242.755259266</v>
      </c>
      <c r="K842" t="n">
        <v>1.6</v>
      </c>
      <c r="L842" t="n">
        <v>16.25</v>
      </c>
      <c r="M842" t="n">
        <v>3</v>
      </c>
      <c r="N842" t="n">
        <v>4.800000000000001</v>
      </c>
      <c r="O842" t="n">
        <v>21.2</v>
      </c>
      <c r="P842" t="n">
        <v>197.9389037092</v>
      </c>
      <c r="Q842" t="n">
        <v>0.8153846153846154</v>
      </c>
      <c r="R842" t="inlineStr">
        <is>
          <t>Sobrestock crítico</t>
        </is>
      </c>
    </row>
    <row r="843">
      <c r="A843" t="inlineStr">
        <is>
          <t>MARMIKI34T4</t>
        </is>
      </c>
      <c r="B843" t="inlineStr">
        <is>
          <t>MAR ORIGINAL KIDS</t>
        </is>
      </c>
      <c r="C843" t="inlineStr">
        <is>
          <t>Manufactura / Kids / P. Superiores</t>
        </is>
      </c>
      <c r="D843" t="n">
        <v>1043.17904309</v>
      </c>
      <c r="E843" t="n">
        <v>0.0002554042071132385</v>
      </c>
      <c r="F843" t="n">
        <v>0.8306352777401999</v>
      </c>
      <c r="G843" t="inlineStr">
        <is>
          <t>B</t>
        </is>
      </c>
      <c r="H843" t="n">
        <v>26</v>
      </c>
      <c r="I843" t="n">
        <v>3.168013332</v>
      </c>
      <c r="J843" t="n">
        <v>82.368346632</v>
      </c>
      <c r="K843" t="n">
        <v>2.8</v>
      </c>
      <c r="L843" t="n">
        <v>9.285714285714286</v>
      </c>
      <c r="M843" t="n">
        <v>3</v>
      </c>
      <c r="N843" t="n">
        <v>8.399999999999999</v>
      </c>
      <c r="O843" t="n">
        <v>17.6</v>
      </c>
      <c r="P843" t="n">
        <v>55.75703464320001</v>
      </c>
      <c r="Q843" t="n">
        <v>0.6769230769230771</v>
      </c>
      <c r="R843" t="inlineStr">
        <is>
          <t>Sobrestock crítico</t>
        </is>
      </c>
    </row>
    <row r="844">
      <c r="A844" t="inlineStr">
        <is>
          <t>RIOMIKI48T6</t>
        </is>
      </c>
      <c r="B844" t="inlineStr">
        <is>
          <t>RIO ORIGINAL KIDS</t>
        </is>
      </c>
      <c r="C844" t="inlineStr">
        <is>
          <t>Manufactura / Kids / P. Superiores</t>
        </is>
      </c>
      <c r="D844" t="n">
        <v>1042.87768001</v>
      </c>
      <c r="E844" t="n">
        <v>0.0002553304236155634</v>
      </c>
      <c r="F844" t="n">
        <v>0.8308906081638153</v>
      </c>
      <c r="G844" t="inlineStr">
        <is>
          <t>B</t>
        </is>
      </c>
      <c r="H844" t="n">
        <v>45</v>
      </c>
      <c r="I844" t="n">
        <v>3.617969464</v>
      </c>
      <c r="J844" t="n">
        <v>162.80862588</v>
      </c>
      <c r="K844" t="n">
        <v>2.5</v>
      </c>
      <c r="L844" t="n">
        <v>18</v>
      </c>
      <c r="M844" t="n">
        <v>3</v>
      </c>
      <c r="N844" t="n">
        <v>7.5</v>
      </c>
      <c r="O844" t="n">
        <v>37.5</v>
      </c>
      <c r="P844" t="n">
        <v>135.6738549</v>
      </c>
      <c r="Q844" t="n">
        <v>0.8333333333333333</v>
      </c>
      <c r="R844" t="inlineStr">
        <is>
          <t>Sobrestock crítico</t>
        </is>
      </c>
    </row>
    <row r="845">
      <c r="A845" t="inlineStr">
        <is>
          <t>JACKI66T8</t>
        </is>
      </c>
      <c r="B845" t="inlineStr">
        <is>
          <t>JACKET KIDS</t>
        </is>
      </c>
      <c r="C845" t="inlineStr">
        <is>
          <t>Manufactura / Kids / P. Superiores</t>
        </is>
      </c>
      <c r="D845" t="n">
        <v>1042.79281449</v>
      </c>
      <c r="E845" t="n">
        <v>0.0002553096457721141</v>
      </c>
      <c r="F845" t="n">
        <v>0.8311459178095875</v>
      </c>
      <c r="G845" t="inlineStr">
        <is>
          <t>B</t>
        </is>
      </c>
      <c r="H845" t="n">
        <v>191</v>
      </c>
      <c r="I845" t="n">
        <v>15.17</v>
      </c>
      <c r="J845" t="n">
        <v>2897.47</v>
      </c>
      <c r="K845" t="n">
        <v>1.9</v>
      </c>
      <c r="L845" t="n">
        <v>100.5263157894737</v>
      </c>
      <c r="M845" t="n">
        <v>3</v>
      </c>
      <c r="N845" t="n">
        <v>5.699999999999999</v>
      </c>
      <c r="O845" t="n">
        <v>185.3</v>
      </c>
      <c r="P845" t="n">
        <v>2811.001</v>
      </c>
      <c r="Q845" t="n">
        <v>0.9701570680628273</v>
      </c>
      <c r="R845" t="inlineStr">
        <is>
          <t>Sobrestock crítico</t>
        </is>
      </c>
    </row>
    <row r="846">
      <c r="A846" t="inlineStr">
        <is>
          <t>CLAMICA70TM</t>
        </is>
      </c>
      <c r="B846" t="inlineStr">
        <is>
          <t>CLASICA ORIGINAL CAB</t>
        </is>
      </c>
      <c r="C846" t="inlineStr">
        <is>
          <t>Manufactura / Caballero / P. Superiores</t>
        </is>
      </c>
      <c r="D846" t="n">
        <v>1041.61404771</v>
      </c>
      <c r="E846" t="n">
        <v>0.0002550210452707797</v>
      </c>
      <c r="F846" t="n">
        <v>0.8314009388548582</v>
      </c>
      <c r="G846" t="inlineStr">
        <is>
          <t>B</t>
        </is>
      </c>
      <c r="H846" t="n">
        <v>42</v>
      </c>
      <c r="I846" t="n">
        <v>4.598442536</v>
      </c>
      <c r="J846" t="n">
        <v>193.134586512</v>
      </c>
      <c r="K846" t="n">
        <v>5.7</v>
      </c>
      <c r="L846" t="n">
        <v>7.368421052631579</v>
      </c>
      <c r="M846" t="n">
        <v>3</v>
      </c>
      <c r="N846" t="n">
        <v>17.1</v>
      </c>
      <c r="O846" t="n">
        <v>24.9</v>
      </c>
      <c r="P846" t="n">
        <v>114.5012191464</v>
      </c>
      <c r="Q846" t="n">
        <v>0.5928571428571429</v>
      </c>
      <c r="R846" t="inlineStr">
        <is>
          <t>Sobrestock crítico</t>
        </is>
      </c>
    </row>
    <row r="847">
      <c r="A847" t="inlineStr">
        <is>
          <t>CLAMIDA43TXS</t>
        </is>
      </c>
      <c r="B847" t="inlineStr">
        <is>
          <t>CLASICA ORIGINAL DAMA</t>
        </is>
      </c>
      <c r="C847" t="inlineStr">
        <is>
          <t>Manufactura / Dama / P. Superiores</t>
        </is>
      </c>
      <c r="D847" t="n">
        <v>1039.81300733</v>
      </c>
      <c r="E847" t="n">
        <v>0.0002545800919241037</v>
      </c>
      <c r="F847" t="n">
        <v>0.8316555189467825</v>
      </c>
      <c r="G847" t="inlineStr">
        <is>
          <t>B</t>
        </is>
      </c>
      <c r="H847" t="n">
        <v>9</v>
      </c>
      <c r="I847" t="n">
        <v>3.923227589000001</v>
      </c>
      <c r="J847" t="n">
        <v>35.309048301</v>
      </c>
      <c r="K847" t="n">
        <v>5.3</v>
      </c>
      <c r="L847" t="n">
        <v>1.69811320754717</v>
      </c>
      <c r="M847" t="n">
        <v>3</v>
      </c>
      <c r="N847" t="n">
        <v>15.9</v>
      </c>
      <c r="O847" t="n">
        <v>0</v>
      </c>
      <c r="P847" t="n">
        <v>0</v>
      </c>
      <c r="Q847" t="n">
        <v>0</v>
      </c>
      <c r="R847" t="inlineStr">
        <is>
          <t>OK</t>
        </is>
      </c>
    </row>
    <row r="848">
      <c r="A848" t="inlineStr">
        <is>
          <t>CREKI43TU</t>
        </is>
      </c>
      <c r="B848" t="inlineStr">
        <is>
          <t>CREW SOCKS KIDS</t>
        </is>
      </c>
      <c r="C848" t="inlineStr">
        <is>
          <t>Equipamiento / Accesorios</t>
        </is>
      </c>
      <c r="D848" t="n">
        <v>1036.711956754</v>
      </c>
      <c r="E848" t="n">
        <v>0.0002538208537388395</v>
      </c>
      <c r="F848" t="n">
        <v>0.8319093398005212</v>
      </c>
      <c r="G848" t="inlineStr">
        <is>
          <t>B</t>
        </is>
      </c>
      <c r="H848" t="n">
        <v>0</v>
      </c>
      <c r="I848" t="n">
        <v>2.83</v>
      </c>
      <c r="J848" t="n">
        <v>0</v>
      </c>
      <c r="K848" t="n">
        <v>7.2</v>
      </c>
      <c r="L848" t="n">
        <v>0</v>
      </c>
      <c r="M848" t="n">
        <v>3</v>
      </c>
      <c r="N848" t="n">
        <v>21.6</v>
      </c>
      <c r="O848" t="n">
        <v>0</v>
      </c>
      <c r="P848" t="n">
        <v>0</v>
      </c>
      <c r="Q848" t="n">
        <v>0</v>
      </c>
      <c r="R848" t="inlineStr">
        <is>
          <t>Riesgo bajo stock</t>
        </is>
      </c>
    </row>
    <row r="849">
      <c r="A849" t="inlineStr">
        <is>
          <t>MARMIKI04T12</t>
        </is>
      </c>
      <c r="B849" t="inlineStr">
        <is>
          <t>MAR ORIGINAL KIDS</t>
        </is>
      </c>
      <c r="C849" t="inlineStr">
        <is>
          <t>Manufactura / Kids / P. Superiores</t>
        </is>
      </c>
      <c r="D849" t="n">
        <v>1035.60285012</v>
      </c>
      <c r="E849" t="n">
        <v>0.0002535493083101451</v>
      </c>
      <c r="F849" t="n">
        <v>0.8321628891088314</v>
      </c>
      <c r="G849" t="inlineStr">
        <is>
          <t>B</t>
        </is>
      </c>
      <c r="H849" t="n">
        <v>11</v>
      </c>
      <c r="I849" t="n">
        <v>3.168013332</v>
      </c>
      <c r="J849" t="n">
        <v>34.848146652</v>
      </c>
      <c r="K849" t="n">
        <v>2.7</v>
      </c>
      <c r="L849" t="n">
        <v>4.074074074074074</v>
      </c>
      <c r="M849" t="n">
        <v>3</v>
      </c>
      <c r="N849" t="n">
        <v>8.100000000000001</v>
      </c>
      <c r="O849" t="n">
        <v>2.899999999999999</v>
      </c>
      <c r="P849" t="n">
        <v>9.187238662799995</v>
      </c>
      <c r="Q849" t="n">
        <v>0.2636363636363634</v>
      </c>
      <c r="R849" t="inlineStr">
        <is>
          <t>Sobrestock</t>
        </is>
      </c>
    </row>
    <row r="850">
      <c r="A850" t="inlineStr">
        <is>
          <t>MARMIKI34T12</t>
        </is>
      </c>
      <c r="B850" t="inlineStr">
        <is>
          <t>MAR ORIGINAL KIDS</t>
        </is>
      </c>
      <c r="C850" t="inlineStr">
        <is>
          <t>Manufactura / Kids / P. Superiores</t>
        </is>
      </c>
      <c r="D850" t="n">
        <v>1035.56069054</v>
      </c>
      <c r="E850" t="n">
        <v>0.0002535389862717823</v>
      </c>
      <c r="F850" t="n">
        <v>0.8324164280951032</v>
      </c>
      <c r="G850" t="inlineStr">
        <is>
          <t>B</t>
        </is>
      </c>
      <c r="H850" t="n">
        <v>26</v>
      </c>
      <c r="I850" t="n">
        <v>3.168013332</v>
      </c>
      <c r="J850" t="n">
        <v>82.368346632</v>
      </c>
      <c r="K850" t="n">
        <v>2.7</v>
      </c>
      <c r="L850" t="n">
        <v>9.62962962962963</v>
      </c>
      <c r="M850" t="n">
        <v>3</v>
      </c>
      <c r="N850" t="n">
        <v>8.100000000000001</v>
      </c>
      <c r="O850" t="n">
        <v>17.9</v>
      </c>
      <c r="P850" t="n">
        <v>56.7074386428</v>
      </c>
      <c r="Q850" t="n">
        <v>0.6884615384615385</v>
      </c>
      <c r="R850" t="inlineStr">
        <is>
          <t>Sobrestock crítico</t>
        </is>
      </c>
    </row>
    <row r="851">
      <c r="A851" t="inlineStr">
        <is>
          <t>TALGOTADA166TM</t>
        </is>
      </c>
      <c r="B851" t="inlineStr">
        <is>
          <t>URBAN COTTON TOP SUNSET DAMA</t>
        </is>
      </c>
      <c r="C851" t="inlineStr">
        <is>
          <t>Manufactura / Dama / P. Superiores</t>
        </is>
      </c>
      <c r="D851" t="n">
        <v>1035.44397103</v>
      </c>
      <c r="E851" t="n">
        <v>0.0002535104095340653</v>
      </c>
      <c r="F851" t="n">
        <v>0.8326699385046373</v>
      </c>
      <c r="G851" t="inlineStr">
        <is>
          <t>B</t>
        </is>
      </c>
      <c r="H851" t="n">
        <v>23</v>
      </c>
      <c r="I851" t="n">
        <v>7.815168793999999</v>
      </c>
      <c r="J851" t="n">
        <v>179.748882262</v>
      </c>
      <c r="K851" t="n">
        <v>2.1</v>
      </c>
      <c r="L851" t="n">
        <v>10.95238095238095</v>
      </c>
      <c r="M851" t="n">
        <v>3</v>
      </c>
      <c r="N851" t="n">
        <v>6.300000000000001</v>
      </c>
      <c r="O851" t="n">
        <v>16.7</v>
      </c>
      <c r="P851" t="n">
        <v>130.5133188598</v>
      </c>
      <c r="Q851" t="n">
        <v>0.726086956521739</v>
      </c>
      <c r="R851" t="inlineStr">
        <is>
          <t>Sobrestock crítico</t>
        </is>
      </c>
    </row>
    <row r="852">
      <c r="A852" t="inlineStr">
        <is>
          <t>DAYCSTDA66TS</t>
        </is>
      </c>
      <c r="B852" t="inlineStr">
        <is>
          <t>CLASICA DAILY 3.0 DAMA</t>
        </is>
      </c>
      <c r="C852" t="inlineStr">
        <is>
          <t>Manufactura / Dama / P. Superiores</t>
        </is>
      </c>
      <c r="D852" t="n">
        <v>1033.36782306</v>
      </c>
      <c r="E852" t="n">
        <v>0.0002530021008888332</v>
      </c>
      <c r="F852" t="n">
        <v>0.8329229406055261</v>
      </c>
      <c r="G852" t="inlineStr">
        <is>
          <t>B</t>
        </is>
      </c>
      <c r="H852" t="n">
        <v>24</v>
      </c>
      <c r="I852" t="n">
        <v>10.28586481</v>
      </c>
      <c r="J852" t="n">
        <v>246.86075544</v>
      </c>
      <c r="K852" t="n">
        <v>2.9</v>
      </c>
      <c r="L852" t="n">
        <v>8.275862068965518</v>
      </c>
      <c r="M852" t="n">
        <v>3</v>
      </c>
      <c r="N852" t="n">
        <v>8.699999999999999</v>
      </c>
      <c r="O852" t="n">
        <v>15.3</v>
      </c>
      <c r="P852" t="n">
        <v>157.373731593</v>
      </c>
      <c r="Q852" t="n">
        <v>0.6375</v>
      </c>
      <c r="R852" t="inlineStr">
        <is>
          <t>Sobrestock crítico</t>
        </is>
      </c>
    </row>
    <row r="853">
      <c r="A853" t="inlineStr">
        <is>
          <t>GEODOCACA168TL</t>
        </is>
      </c>
      <c r="B853" t="inlineStr">
        <is>
          <t>ADVANCE GEO DOMINIC CAB</t>
        </is>
      </c>
      <c r="C853" t="inlineStr">
        <is>
          <t>Manufactura / Caballero / P. Superiores</t>
        </is>
      </c>
      <c r="D853" t="n">
        <v>1032.88893178</v>
      </c>
      <c r="E853" t="n">
        <v>0.0002528848527055304</v>
      </c>
      <c r="F853" t="n">
        <v>0.8331758254582317</v>
      </c>
      <c r="G853" t="inlineStr">
        <is>
          <t>B</t>
        </is>
      </c>
      <c r="H853" t="n">
        <v>11</v>
      </c>
      <c r="I853" t="n">
        <v>13.35</v>
      </c>
      <c r="J853" t="n">
        <v>146.85</v>
      </c>
      <c r="K853" t="n">
        <v>2.4</v>
      </c>
      <c r="L853" t="n">
        <v>4.583333333333334</v>
      </c>
      <c r="M853" t="n">
        <v>3</v>
      </c>
      <c r="N853" t="n">
        <v>7.199999999999999</v>
      </c>
      <c r="O853" t="n">
        <v>3.800000000000001</v>
      </c>
      <c r="P853" t="n">
        <v>50.73000000000001</v>
      </c>
      <c r="Q853" t="n">
        <v>0.3454545454545456</v>
      </c>
      <c r="R853" t="inlineStr">
        <is>
          <t>Sobrestock crítico</t>
        </is>
      </c>
    </row>
    <row r="854">
      <c r="A854" t="inlineStr">
        <is>
          <t>MARMIKI34T2</t>
        </is>
      </c>
      <c r="B854" t="inlineStr">
        <is>
          <t>MAR ORIGINAL KIDS</t>
        </is>
      </c>
      <c r="C854" t="inlineStr">
        <is>
          <t>Manufactura / Kids / P. Superiores</t>
        </is>
      </c>
      <c r="D854" t="n">
        <v>1032.82445746</v>
      </c>
      <c r="E854" t="n">
        <v>0.0002528690672920026</v>
      </c>
      <c r="F854" t="n">
        <v>0.8334286945255236</v>
      </c>
      <c r="G854" t="inlineStr">
        <is>
          <t>B</t>
        </is>
      </c>
      <c r="H854" t="n">
        <v>17</v>
      </c>
      <c r="I854" t="n">
        <v>3.168013332</v>
      </c>
      <c r="J854" t="n">
        <v>53.856226644</v>
      </c>
      <c r="K854" t="n">
        <v>2.9</v>
      </c>
      <c r="L854" t="n">
        <v>5.862068965517242</v>
      </c>
      <c r="M854" t="n">
        <v>3</v>
      </c>
      <c r="N854" t="n">
        <v>8.699999999999999</v>
      </c>
      <c r="O854" t="n">
        <v>8.300000000000001</v>
      </c>
      <c r="P854" t="n">
        <v>26.2945106556</v>
      </c>
      <c r="Q854" t="n">
        <v>0.4882352941176471</v>
      </c>
      <c r="R854" t="inlineStr">
        <is>
          <t>Sobrestock crítico</t>
        </is>
      </c>
    </row>
    <row r="855">
      <c r="A855" t="inlineStr">
        <is>
          <t>RIOMICA30TL</t>
        </is>
      </c>
      <c r="B855" t="inlineStr">
        <is>
          <t>RIO ORIGINAL CAB</t>
        </is>
      </c>
      <c r="C855" t="inlineStr">
        <is>
          <t>Manufactura / Caballero / P. Superiores</t>
        </is>
      </c>
      <c r="D855" t="n">
        <v>1032.62092925</v>
      </c>
      <c r="E855" t="n">
        <v>0.0002528192369570811</v>
      </c>
      <c r="F855" t="n">
        <v>0.8336815137624807</v>
      </c>
      <c r="G855" t="inlineStr">
        <is>
          <t>B</t>
        </is>
      </c>
      <c r="H855" t="n">
        <v>25</v>
      </c>
      <c r="I855" t="n">
        <v>5.939350288</v>
      </c>
      <c r="J855" t="n">
        <v>148.4837572</v>
      </c>
      <c r="K855" t="n">
        <v>1.8</v>
      </c>
      <c r="L855" t="n">
        <v>13.88888888888889</v>
      </c>
      <c r="M855" t="n">
        <v>3</v>
      </c>
      <c r="N855" t="n">
        <v>5.4</v>
      </c>
      <c r="O855" t="n">
        <v>19.6</v>
      </c>
      <c r="P855" t="n">
        <v>116.4112656448</v>
      </c>
      <c r="Q855" t="n">
        <v>0.784</v>
      </c>
      <c r="R855" t="inlineStr">
        <is>
          <t>Sobrestock crítico</t>
        </is>
      </c>
    </row>
    <row r="856">
      <c r="A856" t="inlineStr">
        <is>
          <t>CLAMIDA30TM</t>
        </is>
      </c>
      <c r="B856" t="inlineStr">
        <is>
          <t>CLASICA ORIGINAL DAMA</t>
        </is>
      </c>
      <c r="C856" t="inlineStr">
        <is>
          <t>Manufactura / Dama / P. Superiores</t>
        </is>
      </c>
      <c r="D856" t="n">
        <v>1032.5428448</v>
      </c>
      <c r="E856" t="n">
        <v>0.0002528001193404339</v>
      </c>
      <c r="F856" t="n">
        <v>0.8339343138818212</v>
      </c>
      <c r="G856" t="inlineStr">
        <is>
          <t>B</t>
        </is>
      </c>
      <c r="H856" t="n">
        <v>35</v>
      </c>
      <c r="I856" t="n">
        <v>3.923227589</v>
      </c>
      <c r="J856" t="n">
        <v>137.312965615</v>
      </c>
      <c r="K856" t="n">
        <v>2.9</v>
      </c>
      <c r="L856" t="n">
        <v>12.06896551724138</v>
      </c>
      <c r="M856" t="n">
        <v>3</v>
      </c>
      <c r="N856" t="n">
        <v>8.699999999999999</v>
      </c>
      <c r="O856" t="n">
        <v>26.3</v>
      </c>
      <c r="P856" t="n">
        <v>103.1808855907</v>
      </c>
      <c r="Q856" t="n">
        <v>0.7514285714285714</v>
      </c>
      <c r="R856" t="inlineStr">
        <is>
          <t>Sobrestock crítico</t>
        </is>
      </c>
    </row>
    <row r="857">
      <c r="A857" t="inlineStr">
        <is>
          <t>MARMIKI48T6</t>
        </is>
      </c>
      <c r="B857" t="inlineStr">
        <is>
          <t>MAR ORIGINAL KIDS</t>
        </is>
      </c>
      <c r="C857" t="inlineStr">
        <is>
          <t>Manufactura / Kids / P. Superiores</t>
        </is>
      </c>
      <c r="D857" t="n">
        <v>1031.7568913</v>
      </c>
      <c r="E857" t="n">
        <v>0.0002526076923243574</v>
      </c>
      <c r="F857" t="n">
        <v>0.8341869215741454</v>
      </c>
      <c r="G857" t="inlineStr">
        <is>
          <t>B</t>
        </is>
      </c>
      <c r="H857" t="n">
        <v>8</v>
      </c>
      <c r="I857" t="n">
        <v>3.168013332</v>
      </c>
      <c r="J857" t="n">
        <v>25.344106656</v>
      </c>
      <c r="K857" t="n">
        <v>2.6</v>
      </c>
      <c r="L857" t="n">
        <v>3.076923076923077</v>
      </c>
      <c r="M857" t="n">
        <v>3</v>
      </c>
      <c r="N857" t="n">
        <v>7.800000000000001</v>
      </c>
      <c r="O857" t="n">
        <v>0.1999999999999993</v>
      </c>
      <c r="P857" t="n">
        <v>0.6336026663999977</v>
      </c>
      <c r="Q857" t="n">
        <v>0.02499999999999991</v>
      </c>
      <c r="R857" t="inlineStr">
        <is>
          <t>Sobrestock</t>
        </is>
      </c>
    </row>
    <row r="858">
      <c r="A858" t="inlineStr">
        <is>
          <t>SHOSUCA154TS</t>
        </is>
      </c>
      <c r="B858" t="inlineStr">
        <is>
          <t>SHORT PLAYA ESTAMPADO CAB</t>
        </is>
      </c>
      <c r="C858" t="inlineStr">
        <is>
          <t>Manufactura / Caballero / P. Inferiores</t>
        </is>
      </c>
      <c r="D858" t="n">
        <v>1030.22903041</v>
      </c>
      <c r="E858" t="n">
        <v>0.0002522336222145574</v>
      </c>
      <c r="F858" t="n">
        <v>0.83443915519636</v>
      </c>
      <c r="G858" t="inlineStr">
        <is>
          <t>B</t>
        </is>
      </c>
      <c r="H858" t="n">
        <v>46</v>
      </c>
      <c r="I858" t="n">
        <v>12.11</v>
      </c>
      <c r="J858" t="n">
        <v>557.0599999999999</v>
      </c>
      <c r="K858" t="n">
        <v>1.7</v>
      </c>
      <c r="L858" t="n">
        <v>27.05882352941176</v>
      </c>
      <c r="M858" t="n">
        <v>3</v>
      </c>
      <c r="N858" t="n">
        <v>5.1</v>
      </c>
      <c r="O858" t="n">
        <v>40.9</v>
      </c>
      <c r="P858" t="n">
        <v>495.299</v>
      </c>
      <c r="Q858" t="n">
        <v>0.8891304347826088</v>
      </c>
      <c r="R858" t="inlineStr">
        <is>
          <t>Sobrestock crítico</t>
        </is>
      </c>
    </row>
    <row r="859">
      <c r="A859" t="inlineStr">
        <is>
          <t>SHONRCA43T2XL</t>
        </is>
      </c>
      <c r="B859" t="inlineStr">
        <is>
          <t>SHORT SPORT CAB</t>
        </is>
      </c>
      <c r="C859" t="inlineStr">
        <is>
          <t>Manufactura / Caballero / P. Inferiores</t>
        </is>
      </c>
      <c r="D859" t="n">
        <v>1029.396532485418</v>
      </c>
      <c r="E859" t="n">
        <v>0.0002520297996073457</v>
      </c>
      <c r="F859" t="n">
        <v>0.8346911849959674</v>
      </c>
      <c r="G859" t="inlineStr">
        <is>
          <t>B</t>
        </is>
      </c>
      <c r="H859" t="n">
        <v>6</v>
      </c>
      <c r="I859" t="n">
        <v>10.6514486</v>
      </c>
      <c r="J859" t="n">
        <v>63.90869160000001</v>
      </c>
      <c r="K859" t="n">
        <v>2.1</v>
      </c>
      <c r="L859" t="n">
        <v>2.857142857142857</v>
      </c>
      <c r="M859" t="n">
        <v>3</v>
      </c>
      <c r="N859" t="n">
        <v>6.300000000000001</v>
      </c>
      <c r="O859" t="n">
        <v>0</v>
      </c>
      <c r="P859" t="n">
        <v>0</v>
      </c>
      <c r="Q859" t="n">
        <v>0</v>
      </c>
      <c r="R859" t="inlineStr">
        <is>
          <t>OK</t>
        </is>
      </c>
    </row>
    <row r="860">
      <c r="A860" t="inlineStr">
        <is>
          <t>PANNTKI66T8</t>
        </is>
      </c>
      <c r="B860" t="inlineStr">
        <is>
          <t>EXPLORE PANTS KIDS</t>
        </is>
      </c>
      <c r="C860" t="inlineStr">
        <is>
          <t>Manufactura / Kids / P. Inferiores</t>
        </is>
      </c>
      <c r="D860" t="n">
        <v>1027.77087628</v>
      </c>
      <c r="E860" t="n">
        <v>0.0002516317860190419</v>
      </c>
      <c r="F860" t="n">
        <v>0.8349428167819865</v>
      </c>
      <c r="G860" t="inlineStr">
        <is>
          <t>B</t>
        </is>
      </c>
      <c r="H860" t="n">
        <v>24</v>
      </c>
      <c r="I860" t="n">
        <v>13.98</v>
      </c>
      <c r="J860" t="n">
        <v>335.52</v>
      </c>
      <c r="K860" t="n">
        <v>2.1</v>
      </c>
      <c r="L860" t="n">
        <v>11.42857142857143</v>
      </c>
      <c r="M860" t="n">
        <v>3</v>
      </c>
      <c r="N860" t="n">
        <v>6.300000000000001</v>
      </c>
      <c r="O860" t="n">
        <v>17.7</v>
      </c>
      <c r="P860" t="n">
        <v>247.446</v>
      </c>
      <c r="Q860" t="n">
        <v>0.7374999999999999</v>
      </c>
      <c r="R860" t="inlineStr">
        <is>
          <t>Sobrestock crítico</t>
        </is>
      </c>
    </row>
    <row r="861">
      <c r="A861" t="inlineStr">
        <is>
          <t>SHUNTCA43T2XL</t>
        </is>
      </c>
      <c r="B861" t="inlineStr">
        <is>
          <t>SHORT SPORT R1 CAB</t>
        </is>
      </c>
      <c r="C861" t="inlineStr">
        <is>
          <t>Manufactura / Caballero / P. Inferiores</t>
        </is>
      </c>
      <c r="D861" t="n">
        <v>1027.26031194</v>
      </c>
      <c r="E861" t="n">
        <v>0.0002515067832390285</v>
      </c>
      <c r="F861" t="n">
        <v>0.8351943235652255</v>
      </c>
      <c r="G861" t="inlineStr">
        <is>
          <t>B</t>
        </is>
      </c>
      <c r="H861" t="n">
        <v>21</v>
      </c>
      <c r="I861" t="n">
        <v>9.119999999999999</v>
      </c>
      <c r="J861" t="n">
        <v>191.52</v>
      </c>
      <c r="K861" t="n">
        <v>2</v>
      </c>
      <c r="L861" t="n">
        <v>10.5</v>
      </c>
      <c r="M861" t="n">
        <v>3</v>
      </c>
      <c r="N861" t="n">
        <v>6</v>
      </c>
      <c r="O861" t="n">
        <v>15</v>
      </c>
      <c r="P861" t="n">
        <v>136.8</v>
      </c>
      <c r="Q861" t="n">
        <v>0.7142857142857143</v>
      </c>
      <c r="R861" t="inlineStr">
        <is>
          <t>Sobrestock crítico</t>
        </is>
      </c>
    </row>
    <row r="862">
      <c r="A862" t="inlineStr">
        <is>
          <t>RIOMIDA48TL</t>
        </is>
      </c>
      <c r="B862" t="inlineStr">
        <is>
          <t>RIO ORIGINAL DAMA</t>
        </is>
      </c>
      <c r="C862" t="inlineStr">
        <is>
          <t>Manufactura / Dama / P. Superiores</t>
        </is>
      </c>
      <c r="D862" t="n">
        <v>1026.86244307</v>
      </c>
      <c r="E862" t="n">
        <v>0.0002514093719806731</v>
      </c>
      <c r="F862" t="n">
        <v>0.8354457329372061</v>
      </c>
      <c r="G862" t="inlineStr">
        <is>
          <t>B</t>
        </is>
      </c>
      <c r="H862" t="n">
        <v>35</v>
      </c>
      <c r="I862" t="n">
        <v>5.538832275</v>
      </c>
      <c r="J862" t="n">
        <v>193.859129625</v>
      </c>
      <c r="K862" t="n">
        <v>1.8</v>
      </c>
      <c r="L862" t="n">
        <v>19.44444444444444</v>
      </c>
      <c r="M862" t="n">
        <v>3</v>
      </c>
      <c r="N862" t="n">
        <v>5.4</v>
      </c>
      <c r="O862" t="n">
        <v>29.6</v>
      </c>
      <c r="P862" t="n">
        <v>163.94943534</v>
      </c>
      <c r="Q862" t="n">
        <v>0.8457142857142858</v>
      </c>
      <c r="R862" t="inlineStr">
        <is>
          <t>Sobrestock crítico</t>
        </is>
      </c>
    </row>
    <row r="863">
      <c r="A863" t="inlineStr">
        <is>
          <t>DOMBFCA43TS</t>
        </is>
      </c>
      <c r="B863" t="inlineStr">
        <is>
          <t>DOMINIC BIO MOVE CAB</t>
        </is>
      </c>
      <c r="C863" t="inlineStr">
        <is>
          <t>Manufactura / Caballero / P. Superiores</t>
        </is>
      </c>
      <c r="D863" t="n">
        <v>1023.4940409</v>
      </c>
      <c r="E863" t="n">
        <v>0.0002505846774172939</v>
      </c>
      <c r="F863" t="n">
        <v>0.8356963176146235</v>
      </c>
      <c r="G863" t="inlineStr">
        <is>
          <t>B</t>
        </is>
      </c>
      <c r="H863" t="n">
        <v>86</v>
      </c>
      <c r="I863" t="n">
        <v>13.86</v>
      </c>
      <c r="J863" t="n">
        <v>1191.96</v>
      </c>
      <c r="K863" t="n">
        <v>2.2</v>
      </c>
      <c r="L863" t="n">
        <v>39.09090909090909</v>
      </c>
      <c r="M863" t="n">
        <v>3</v>
      </c>
      <c r="N863" t="n">
        <v>6.600000000000001</v>
      </c>
      <c r="O863" t="n">
        <v>79.40000000000001</v>
      </c>
      <c r="P863" t="n">
        <v>1100.484</v>
      </c>
      <c r="Q863" t="n">
        <v>0.9232558139534883</v>
      </c>
      <c r="R863" t="inlineStr">
        <is>
          <t>Sobrestock crítico</t>
        </is>
      </c>
    </row>
    <row r="864">
      <c r="A864" t="inlineStr">
        <is>
          <t>BACCCDA158TXL</t>
        </is>
      </c>
      <c r="B864" t="inlineStr">
        <is>
          <t>BASIC LINE CROP TEE DAMA</t>
        </is>
      </c>
      <c r="C864" t="inlineStr">
        <is>
          <t>Manufactura / Dama / P. Superiores</t>
        </is>
      </c>
      <c r="D864" t="n">
        <v>1022.49950584</v>
      </c>
      <c r="E864" t="n">
        <v>0.0002503411828416234</v>
      </c>
      <c r="F864" t="n">
        <v>0.835946658797465</v>
      </c>
      <c r="G864" t="inlineStr">
        <is>
          <t>B</t>
        </is>
      </c>
      <c r="H864" t="n">
        <v>19</v>
      </c>
      <c r="I864" t="n">
        <v>6.196330833</v>
      </c>
      <c r="J864" t="n">
        <v>117.730285827</v>
      </c>
      <c r="K864" t="n">
        <v>1.9</v>
      </c>
      <c r="L864" t="n">
        <v>10</v>
      </c>
      <c r="M864" t="n">
        <v>3</v>
      </c>
      <c r="N864" t="n">
        <v>5.699999999999999</v>
      </c>
      <c r="O864" t="n">
        <v>13.3</v>
      </c>
      <c r="P864" t="n">
        <v>82.41120007890001</v>
      </c>
      <c r="Q864" t="n">
        <v>0.7000000000000001</v>
      </c>
      <c r="R864" t="inlineStr">
        <is>
          <t>Sobrestock crítico</t>
        </is>
      </c>
    </row>
    <row r="865">
      <c r="A865" t="inlineStr">
        <is>
          <t>SHUNTDA157TM</t>
        </is>
      </c>
      <c r="B865" t="inlineStr">
        <is>
          <t>SHORT SPORT R1 DAMA</t>
        </is>
      </c>
      <c r="C865" t="inlineStr">
        <is>
          <t>Manufactura / Dama / P. Inferiores</t>
        </is>
      </c>
      <c r="D865" t="n">
        <v>1021.87514409</v>
      </c>
      <c r="E865" t="n">
        <v>0.0002501883187491487</v>
      </c>
      <c r="F865" t="n">
        <v>0.8361968471162142</v>
      </c>
      <c r="G865" t="inlineStr">
        <is>
          <t>B</t>
        </is>
      </c>
      <c r="H865" t="n">
        <v>41</v>
      </c>
      <c r="I865" t="n">
        <v>8.33</v>
      </c>
      <c r="J865" t="n">
        <v>341.53</v>
      </c>
      <c r="K865" t="n">
        <v>2.2</v>
      </c>
      <c r="L865" t="n">
        <v>18.63636363636363</v>
      </c>
      <c r="M865" t="n">
        <v>3</v>
      </c>
      <c r="N865" t="n">
        <v>6.600000000000001</v>
      </c>
      <c r="O865" t="n">
        <v>34.4</v>
      </c>
      <c r="P865" t="n">
        <v>286.552</v>
      </c>
      <c r="Q865" t="n">
        <v>0.8390243902439023</v>
      </c>
      <c r="R865" t="inlineStr">
        <is>
          <t>Sobrestock crítico</t>
        </is>
      </c>
    </row>
    <row r="866">
      <c r="A866" t="inlineStr">
        <is>
          <t>NAHFNCA16TM</t>
        </is>
      </c>
      <c r="B866" t="inlineStr">
        <is>
          <t>NOAH SPORT LITE CAB</t>
        </is>
      </c>
      <c r="C866" t="inlineStr">
        <is>
          <t>Manufactura / Caballero / P. Superiores</t>
        </is>
      </c>
      <c r="D866" t="n">
        <v>1019.49807071</v>
      </c>
      <c r="E866" t="n">
        <v>0.0002496063337621127</v>
      </c>
      <c r="F866" t="n">
        <v>0.8364464534499764</v>
      </c>
      <c r="G866" t="inlineStr">
        <is>
          <t>B</t>
        </is>
      </c>
      <c r="H866" t="n">
        <v>0</v>
      </c>
      <c r="I866" t="n">
        <v>17.61141534</v>
      </c>
      <c r="J866" t="n">
        <v>0</v>
      </c>
      <c r="K866" t="n">
        <v>3.8</v>
      </c>
      <c r="L866" t="n">
        <v>0</v>
      </c>
      <c r="M866" t="n">
        <v>3</v>
      </c>
      <c r="N866" t="n">
        <v>11.4</v>
      </c>
      <c r="O866" t="n">
        <v>0</v>
      </c>
      <c r="P866" t="n">
        <v>0</v>
      </c>
      <c r="Q866" t="n">
        <v>0</v>
      </c>
      <c r="R866" t="inlineStr">
        <is>
          <t>Riesgo bajo stock</t>
        </is>
      </c>
    </row>
    <row r="867">
      <c r="A867" t="inlineStr">
        <is>
          <t>PANNTCA31TS</t>
        </is>
      </c>
      <c r="B867" t="inlineStr">
        <is>
          <t>EXPLORE PANTS CAB</t>
        </is>
      </c>
      <c r="C867" t="inlineStr">
        <is>
          <t>Manufactura / Caballero / P. Inferiores</t>
        </is>
      </c>
      <c r="D867" t="n">
        <v>1019.10932876</v>
      </c>
      <c r="E867" t="n">
        <v>0.0002495111570710461</v>
      </c>
      <c r="F867" t="n">
        <v>0.8366959646070472</v>
      </c>
      <c r="G867" t="inlineStr">
        <is>
          <t>B</t>
        </is>
      </c>
      <c r="H867" t="n">
        <v>9</v>
      </c>
      <c r="I867" t="n">
        <v>15.68994502</v>
      </c>
      <c r="J867" t="n">
        <v>141.20950518</v>
      </c>
      <c r="K867" t="n">
        <v>1.4</v>
      </c>
      <c r="L867" t="n">
        <v>6.428571428571429</v>
      </c>
      <c r="M867" t="n">
        <v>3</v>
      </c>
      <c r="N867" t="n">
        <v>4.199999999999999</v>
      </c>
      <c r="O867" t="n">
        <v>4.800000000000001</v>
      </c>
      <c r="P867" t="n">
        <v>75.311736096</v>
      </c>
      <c r="Q867" t="n">
        <v>0.5333333333333333</v>
      </c>
      <c r="R867" t="inlineStr">
        <is>
          <t>Sobrestock crítico</t>
        </is>
      </c>
    </row>
    <row r="868">
      <c r="A868" t="inlineStr">
        <is>
          <t>JACKI01T6</t>
        </is>
      </c>
      <c r="B868" t="inlineStr">
        <is>
          <t>JACKET KIDS</t>
        </is>
      </c>
      <c r="C868" t="inlineStr">
        <is>
          <t>Manufactura / Kids / P. Superiores</t>
        </is>
      </c>
      <c r="D868" t="n">
        <v>1019.06817015</v>
      </c>
      <c r="E868" t="n">
        <v>0.0002495010801027418</v>
      </c>
      <c r="F868" t="n">
        <v>0.83694546568715</v>
      </c>
      <c r="G868" t="inlineStr">
        <is>
          <t>B</t>
        </is>
      </c>
      <c r="H868" t="n">
        <v>111</v>
      </c>
      <c r="I868" t="n">
        <v>15.17</v>
      </c>
      <c r="J868" t="n">
        <v>1683.87</v>
      </c>
      <c r="K868" t="n">
        <v>1.9</v>
      </c>
      <c r="L868" t="n">
        <v>58.42105263157895</v>
      </c>
      <c r="M868" t="n">
        <v>3</v>
      </c>
      <c r="N868" t="n">
        <v>5.699999999999999</v>
      </c>
      <c r="O868" t="n">
        <v>105.3</v>
      </c>
      <c r="P868" t="n">
        <v>1597.401</v>
      </c>
      <c r="Q868" t="n">
        <v>0.9486486486486486</v>
      </c>
      <c r="R868" t="inlineStr">
        <is>
          <t>Sobrestock crítico</t>
        </is>
      </c>
    </row>
    <row r="869">
      <c r="A869" t="inlineStr">
        <is>
          <t>RIOMIKI43T4</t>
        </is>
      </c>
      <c r="B869" t="inlineStr">
        <is>
          <t>RIO ORIGINAL KIDS</t>
        </is>
      </c>
      <c r="C869" t="inlineStr">
        <is>
          <t>Manufactura / Kids / P. Superiores</t>
        </is>
      </c>
      <c r="D869" t="n">
        <v>1018.88201339</v>
      </c>
      <c r="E869" t="n">
        <v>0.0002494555028645855</v>
      </c>
      <c r="F869" t="n">
        <v>0.8371949211900146</v>
      </c>
      <c r="G869" t="inlineStr">
        <is>
          <t>B</t>
        </is>
      </c>
      <c r="H869" t="n">
        <v>32</v>
      </c>
      <c r="I869" t="n">
        <v>3.617969464000001</v>
      </c>
      <c r="J869" t="n">
        <v>115.775022848</v>
      </c>
      <c r="K869" t="n">
        <v>2.3</v>
      </c>
      <c r="L869" t="n">
        <v>13.91304347826087</v>
      </c>
      <c r="M869" t="n">
        <v>3</v>
      </c>
      <c r="N869" t="n">
        <v>6.899999999999999</v>
      </c>
      <c r="O869" t="n">
        <v>25.1</v>
      </c>
      <c r="P869" t="n">
        <v>90.81103354640003</v>
      </c>
      <c r="Q869" t="n">
        <v>0.784375</v>
      </c>
      <c r="R869" t="inlineStr">
        <is>
          <t>Sobrestock crítico</t>
        </is>
      </c>
    </row>
    <row r="870">
      <c r="A870" t="inlineStr">
        <is>
          <t>MARMIKI48T14</t>
        </is>
      </c>
      <c r="B870" t="inlineStr">
        <is>
          <t>MAR ORIGINAL KIDS</t>
        </is>
      </c>
      <c r="C870" t="inlineStr">
        <is>
          <t>Manufactura / Kids / P. Superiores</t>
        </is>
      </c>
      <c r="D870" t="n">
        <v>1017.32991987</v>
      </c>
      <c r="E870" t="n">
        <v>0.0002490754998176809</v>
      </c>
      <c r="F870" t="n">
        <v>0.8374439966898323</v>
      </c>
      <c r="G870" t="inlineStr">
        <is>
          <t>B</t>
        </is>
      </c>
      <c r="H870" t="n">
        <v>27</v>
      </c>
      <c r="I870" t="n">
        <v>3.168013332</v>
      </c>
      <c r="J870" t="n">
        <v>85.536359964</v>
      </c>
      <c r="K870" t="n">
        <v>2.7</v>
      </c>
      <c r="L870" t="n">
        <v>10</v>
      </c>
      <c r="M870" t="n">
        <v>3</v>
      </c>
      <c r="N870" t="n">
        <v>8.100000000000001</v>
      </c>
      <c r="O870" t="n">
        <v>18.9</v>
      </c>
      <c r="P870" t="n">
        <v>59.8754519748</v>
      </c>
      <c r="Q870" t="n">
        <v>0.7000000000000001</v>
      </c>
      <c r="R870" t="inlineStr">
        <is>
          <t>Sobrestock crítico</t>
        </is>
      </c>
    </row>
    <row r="871">
      <c r="A871" t="inlineStr">
        <is>
          <t>BAN13EQ</t>
        </is>
      </c>
      <c r="B871" t="inlineStr">
        <is>
          <t>CUADRO BAND</t>
        </is>
      </c>
      <c r="C871" t="inlineStr">
        <is>
          <t>Equipamiento / Accesorios</t>
        </is>
      </c>
      <c r="D871" t="n">
        <v>1017.084407848453</v>
      </c>
      <c r="E871" t="n">
        <v>0.0002490153904782387</v>
      </c>
      <c r="F871" t="n">
        <v>0.8376930120803106</v>
      </c>
      <c r="G871" t="inlineStr">
        <is>
          <t>B</t>
        </is>
      </c>
      <c r="H871" t="n">
        <v>6798</v>
      </c>
      <c r="I871" t="n">
        <v>0.3159183673</v>
      </c>
      <c r="J871" t="n">
        <v>2147.6130609054</v>
      </c>
      <c r="K871" t="n">
        <v>199.5</v>
      </c>
      <c r="L871" t="n">
        <v>34.07518796992481</v>
      </c>
      <c r="M871" t="n">
        <v>3</v>
      </c>
      <c r="N871" t="n">
        <v>598.5</v>
      </c>
      <c r="O871" t="n">
        <v>6199.5</v>
      </c>
      <c r="P871" t="n">
        <v>1958.53591807635</v>
      </c>
      <c r="Q871" t="n">
        <v>0.9119593998234776</v>
      </c>
      <c r="R871" t="inlineStr">
        <is>
          <t>Sobrestock crítico</t>
        </is>
      </c>
    </row>
    <row r="872">
      <c r="A872" t="inlineStr">
        <is>
          <t>JAPDA01TXL</t>
        </is>
      </c>
      <c r="B872" t="inlineStr">
        <is>
          <t>CUADRO JACKET 2.0 DAMA</t>
        </is>
      </c>
      <c r="C872" t="inlineStr">
        <is>
          <t>Equipamiento / Ropa</t>
        </is>
      </c>
      <c r="D872" t="n">
        <v>1016.76660802</v>
      </c>
      <c r="E872" t="n">
        <v>0.0002489375827291813</v>
      </c>
      <c r="F872" t="n">
        <v>0.8379419496630397</v>
      </c>
      <c r="G872" t="inlineStr">
        <is>
          <t>B</t>
        </is>
      </c>
      <c r="H872" t="n">
        <v>124</v>
      </c>
      <c r="I872" t="n">
        <v>20.25</v>
      </c>
      <c r="J872" t="n">
        <v>2511</v>
      </c>
      <c r="K872" t="n">
        <v>1.2</v>
      </c>
      <c r="L872" t="n">
        <v>103.3333333333333</v>
      </c>
      <c r="M872" t="n">
        <v>3</v>
      </c>
      <c r="N872" t="n">
        <v>3.6</v>
      </c>
      <c r="O872" t="n">
        <v>120.4</v>
      </c>
      <c r="P872" t="n">
        <v>2438.1</v>
      </c>
      <c r="Q872" t="n">
        <v>0.9709677419354839</v>
      </c>
      <c r="R872" t="inlineStr">
        <is>
          <t>Sobrestock crítico</t>
        </is>
      </c>
    </row>
    <row r="873">
      <c r="A873" t="inlineStr">
        <is>
          <t>CLAMIDA43TL</t>
        </is>
      </c>
      <c r="B873" t="inlineStr">
        <is>
          <t>CLASICA ORIGINAL DAMA</t>
        </is>
      </c>
      <c r="C873" t="inlineStr">
        <is>
          <t>Manufactura / Dama / P. Superiores</t>
        </is>
      </c>
      <c r="D873" t="n">
        <v>1015.25800048</v>
      </c>
      <c r="E873" t="n">
        <v>0.0002485682264665618</v>
      </c>
      <c r="F873" t="n">
        <v>0.8381905178895063</v>
      </c>
      <c r="G873" t="inlineStr">
        <is>
          <t>B</t>
        </is>
      </c>
      <c r="H873" t="n">
        <v>27</v>
      </c>
      <c r="I873" t="n">
        <v>3.923227589</v>
      </c>
      <c r="J873" t="n">
        <v>105.927144903</v>
      </c>
      <c r="K873" t="n">
        <v>5.4</v>
      </c>
      <c r="L873" t="n">
        <v>5</v>
      </c>
      <c r="M873" t="n">
        <v>3</v>
      </c>
      <c r="N873" t="n">
        <v>16.2</v>
      </c>
      <c r="O873" t="n">
        <v>10.8</v>
      </c>
      <c r="P873" t="n">
        <v>42.37085796119999</v>
      </c>
      <c r="Q873" t="n">
        <v>0.3999999999999999</v>
      </c>
      <c r="R873" t="inlineStr">
        <is>
          <t>Sobrestock crítico</t>
        </is>
      </c>
    </row>
    <row r="874">
      <c r="A874" t="inlineStr">
        <is>
          <t>SHOSUKI153T12</t>
        </is>
      </c>
      <c r="B874" t="inlineStr">
        <is>
          <t>SHORT PLAYA ESTAMPADO KIDS</t>
        </is>
      </c>
      <c r="C874" t="inlineStr">
        <is>
          <t>Manufactura / Kids / P. Superiores</t>
        </is>
      </c>
      <c r="D874" t="n">
        <v>1012.74379391</v>
      </c>
      <c r="E874" t="n">
        <v>0.0002479526668080513</v>
      </c>
      <c r="F874" t="n">
        <v>0.8384384705563143</v>
      </c>
      <c r="G874" t="inlineStr">
        <is>
          <t>B</t>
        </is>
      </c>
      <c r="H874" t="n">
        <v>10</v>
      </c>
      <c r="I874" t="n">
        <v>7.21</v>
      </c>
      <c r="J874" t="n">
        <v>72.09999999999999</v>
      </c>
      <c r="K874" t="n">
        <v>2.3</v>
      </c>
      <c r="L874" t="n">
        <v>4.347826086956522</v>
      </c>
      <c r="M874" t="n">
        <v>3</v>
      </c>
      <c r="N874" t="n">
        <v>6.899999999999999</v>
      </c>
      <c r="O874" t="n">
        <v>3.100000000000001</v>
      </c>
      <c r="P874" t="n">
        <v>22.351</v>
      </c>
      <c r="Q874" t="n">
        <v>0.3100000000000001</v>
      </c>
      <c r="R874" t="inlineStr">
        <is>
          <t>Sobrestock crítico</t>
        </is>
      </c>
    </row>
    <row r="875">
      <c r="A875" t="inlineStr">
        <is>
          <t>MIKFNDA70TS</t>
        </is>
      </c>
      <c r="B875" t="inlineStr">
        <is>
          <t>MIKA SPORT LITE DAMA</t>
        </is>
      </c>
      <c r="C875" t="inlineStr">
        <is>
          <t>Manufactura / Dama / P. Superiores</t>
        </is>
      </c>
      <c r="D875" t="n">
        <v>1012.27972192</v>
      </c>
      <c r="E875" t="n">
        <v>0.0002478390468696193</v>
      </c>
      <c r="F875" t="n">
        <v>0.8386863096031839</v>
      </c>
      <c r="G875" t="inlineStr">
        <is>
          <t>B</t>
        </is>
      </c>
      <c r="H875" t="n">
        <v>23</v>
      </c>
      <c r="I875" t="n">
        <v>5.484675344</v>
      </c>
      <c r="J875" t="n">
        <v>126.147532912</v>
      </c>
      <c r="K875" t="n">
        <v>2.9</v>
      </c>
      <c r="L875" t="n">
        <v>7.931034482758621</v>
      </c>
      <c r="M875" t="n">
        <v>3</v>
      </c>
      <c r="N875" t="n">
        <v>8.699999999999999</v>
      </c>
      <c r="O875" t="n">
        <v>14.3</v>
      </c>
      <c r="P875" t="n">
        <v>78.43085741920001</v>
      </c>
      <c r="Q875" t="n">
        <v>0.6217391304347827</v>
      </c>
      <c r="R875" t="inlineStr">
        <is>
          <t>Sobrestock crítico</t>
        </is>
      </c>
    </row>
    <row r="876">
      <c r="A876" t="inlineStr">
        <is>
          <t>SARSPKI16T6</t>
        </is>
      </c>
      <c r="B876" t="inlineStr">
        <is>
          <t>FALDA SARA KIDS</t>
        </is>
      </c>
      <c r="C876" t="inlineStr">
        <is>
          <t>Manufactura / Kids / P. Inferiores</t>
        </is>
      </c>
      <c r="D876" t="n">
        <v>1011.84977529</v>
      </c>
      <c r="E876" t="n">
        <v>0.0002477337819308119</v>
      </c>
      <c r="F876" t="n">
        <v>0.8389340433851147</v>
      </c>
      <c r="G876" t="inlineStr">
        <is>
          <t>B</t>
        </is>
      </c>
      <c r="H876" t="n">
        <v>15</v>
      </c>
      <c r="I876" t="n">
        <v>5.753743316</v>
      </c>
      <c r="J876" t="n">
        <v>86.30614974000001</v>
      </c>
      <c r="K876" t="n">
        <v>2.3</v>
      </c>
      <c r="L876" t="n">
        <v>6.521739130434783</v>
      </c>
      <c r="M876" t="n">
        <v>3</v>
      </c>
      <c r="N876" t="n">
        <v>6.899999999999999</v>
      </c>
      <c r="O876" t="n">
        <v>8.100000000000001</v>
      </c>
      <c r="P876" t="n">
        <v>46.60532085960001</v>
      </c>
      <c r="Q876" t="n">
        <v>0.5400000000000001</v>
      </c>
      <c r="R876" t="inlineStr">
        <is>
          <t>Sobrestock crítico</t>
        </is>
      </c>
    </row>
    <row r="877">
      <c r="A877" t="inlineStr">
        <is>
          <t>MARMIKI66T14</t>
        </is>
      </c>
      <c r="B877" t="inlineStr">
        <is>
          <t>MAR ORIGINAL KIDS</t>
        </is>
      </c>
      <c r="C877" t="inlineStr">
        <is>
          <t>Manufactura / Kids / P. Superiores</t>
        </is>
      </c>
      <c r="D877" t="n">
        <v>1011.61860934</v>
      </c>
      <c r="E877" t="n">
        <v>0.0002476771849769501</v>
      </c>
      <c r="F877" t="n">
        <v>0.8391817205700917</v>
      </c>
      <c r="G877" t="inlineStr">
        <is>
          <t>B</t>
        </is>
      </c>
      <c r="H877" t="n">
        <v>17</v>
      </c>
      <c r="I877" t="n">
        <v>3.168013332</v>
      </c>
      <c r="J877" t="n">
        <v>53.856226644</v>
      </c>
      <c r="K877" t="n">
        <v>2.6</v>
      </c>
      <c r="L877" t="n">
        <v>6.538461538461538</v>
      </c>
      <c r="M877" t="n">
        <v>3</v>
      </c>
      <c r="N877" t="n">
        <v>7.800000000000001</v>
      </c>
      <c r="O877" t="n">
        <v>9.199999999999999</v>
      </c>
      <c r="P877" t="n">
        <v>29.1457226544</v>
      </c>
      <c r="Q877" t="n">
        <v>0.5411764705882353</v>
      </c>
      <c r="R877" t="inlineStr">
        <is>
          <t>Sobrestock crítico</t>
        </is>
      </c>
    </row>
    <row r="878">
      <c r="A878" t="inlineStr">
        <is>
          <t>RIOMIKI13T2</t>
        </is>
      </c>
      <c r="B878" t="inlineStr">
        <is>
          <t>RIO ORIGINAL KIDS</t>
        </is>
      </c>
      <c r="C878" t="inlineStr">
        <is>
          <t>Manufactura / Kids / P. Superiores</t>
        </is>
      </c>
      <c r="D878" t="n">
        <v>1010.94188628</v>
      </c>
      <c r="E878" t="n">
        <v>0.0002475115011303281</v>
      </c>
      <c r="F878" t="n">
        <v>0.839429232071222</v>
      </c>
      <c r="G878" t="inlineStr">
        <is>
          <t>B</t>
        </is>
      </c>
      <c r="H878" t="n">
        <v>38</v>
      </c>
      <c r="I878" t="n">
        <v>3.617969464000001</v>
      </c>
      <c r="J878" t="n">
        <v>137.482839632</v>
      </c>
      <c r="K878" t="n">
        <v>2.4</v>
      </c>
      <c r="L878" t="n">
        <v>15.83333333333333</v>
      </c>
      <c r="M878" t="n">
        <v>3</v>
      </c>
      <c r="N878" t="n">
        <v>7.199999999999999</v>
      </c>
      <c r="O878" t="n">
        <v>30.8</v>
      </c>
      <c r="P878" t="n">
        <v>111.4334594912</v>
      </c>
      <c r="Q878" t="n">
        <v>0.8105263157894737</v>
      </c>
      <c r="R878" t="inlineStr">
        <is>
          <t>Sobrestock crítico</t>
        </is>
      </c>
    </row>
    <row r="879">
      <c r="A879" t="inlineStr">
        <is>
          <t>CAP07MC</t>
        </is>
      </c>
      <c r="B879" t="inlineStr">
        <is>
          <t>MESH CAP</t>
        </is>
      </c>
      <c r="C879" t="inlineStr">
        <is>
          <t>Equipamiento / Gorras</t>
        </is>
      </c>
      <c r="D879" t="n">
        <v>1006.48671654</v>
      </c>
      <c r="E879" t="n">
        <v>0.0002464207304687271</v>
      </c>
      <c r="F879" t="n">
        <v>0.8396756528016908</v>
      </c>
      <c r="G879" t="inlineStr">
        <is>
          <t>B</t>
        </is>
      </c>
      <c r="H879" t="n">
        <v>0</v>
      </c>
      <c r="I879" t="n">
        <v>3.36</v>
      </c>
      <c r="J879" t="n">
        <v>0</v>
      </c>
      <c r="K879" t="n">
        <v>3.4</v>
      </c>
      <c r="L879" t="n">
        <v>0</v>
      </c>
      <c r="M879" t="n">
        <v>3</v>
      </c>
      <c r="N879" t="n">
        <v>10.2</v>
      </c>
      <c r="O879" t="n">
        <v>0</v>
      </c>
      <c r="P879" t="n">
        <v>0</v>
      </c>
      <c r="Q879" t="n">
        <v>0</v>
      </c>
      <c r="R879" t="inlineStr">
        <is>
          <t>Riesgo bajo stock</t>
        </is>
      </c>
    </row>
    <row r="880">
      <c r="A880" t="inlineStr">
        <is>
          <t>MARMIDA53TXS</t>
        </is>
      </c>
      <c r="B880" t="inlineStr">
        <is>
          <t>MAR ORIGINAL DAMA</t>
        </is>
      </c>
      <c r="C880" t="inlineStr">
        <is>
          <t>Manufactura / Dama / P. Superiores</t>
        </is>
      </c>
      <c r="D880" t="n">
        <v>1006.26946413</v>
      </c>
      <c r="E880" t="n">
        <v>0.000246367540002635</v>
      </c>
      <c r="F880" t="n">
        <v>0.8399220203416934</v>
      </c>
      <c r="G880" t="inlineStr">
        <is>
          <t>B</t>
        </is>
      </c>
      <c r="H880" t="n">
        <v>20</v>
      </c>
      <c r="I880" t="n">
        <v>4.278324149</v>
      </c>
      <c r="J880" t="n">
        <v>85.56648298</v>
      </c>
      <c r="K880" t="n">
        <v>1.8</v>
      </c>
      <c r="L880" t="n">
        <v>11.11111111111111</v>
      </c>
      <c r="M880" t="n">
        <v>3</v>
      </c>
      <c r="N880" t="n">
        <v>5.4</v>
      </c>
      <c r="O880" t="n">
        <v>14.6</v>
      </c>
      <c r="P880" t="n">
        <v>62.4635325754</v>
      </c>
      <c r="Q880" t="n">
        <v>0.73</v>
      </c>
      <c r="R880" t="inlineStr">
        <is>
          <t>Sobrestock crítico</t>
        </is>
      </c>
    </row>
    <row r="881">
      <c r="A881" t="inlineStr">
        <is>
          <t>SHOUNCA69TXL</t>
        </is>
      </c>
      <c r="B881" t="inlineStr">
        <is>
          <t>SHORT PLAYA CAB</t>
        </is>
      </c>
      <c r="C881" t="inlineStr">
        <is>
          <t>Manufactura / Caballero / P. Inferiores</t>
        </is>
      </c>
      <c r="D881" t="n">
        <v>1005.84424658</v>
      </c>
      <c r="E881" t="n">
        <v>0.0002462634328966422</v>
      </c>
      <c r="F881" t="n">
        <v>0.84016828377459</v>
      </c>
      <c r="G881" t="inlineStr">
        <is>
          <t>B</t>
        </is>
      </c>
      <c r="H881" t="n">
        <v>13</v>
      </c>
      <c r="I881" t="n">
        <v>9.99</v>
      </c>
      <c r="J881" t="n">
        <v>129.87</v>
      </c>
      <c r="K881" t="n">
        <v>2</v>
      </c>
      <c r="L881" t="n">
        <v>6.5</v>
      </c>
      <c r="M881" t="n">
        <v>3</v>
      </c>
      <c r="N881" t="n">
        <v>6</v>
      </c>
      <c r="O881" t="n">
        <v>7</v>
      </c>
      <c r="P881" t="n">
        <v>69.93000000000001</v>
      </c>
      <c r="Q881" t="n">
        <v>0.5384615384615385</v>
      </c>
      <c r="R881" t="inlineStr">
        <is>
          <t>Sobrestock crítico</t>
        </is>
      </c>
    </row>
    <row r="882">
      <c r="A882" t="inlineStr">
        <is>
          <t>SHOUNCA187TXL</t>
        </is>
      </c>
      <c r="B882" t="inlineStr">
        <is>
          <t>SHORT PLAYA CAB</t>
        </is>
      </c>
      <c r="C882" t="inlineStr">
        <is>
          <t>Manufactura / Caballero / P. Inferiores</t>
        </is>
      </c>
      <c r="D882" t="n">
        <v>1001.28942059</v>
      </c>
      <c r="E882" t="n">
        <v>0.0002451482631391394</v>
      </c>
      <c r="F882" t="n">
        <v>0.8404134320377292</v>
      </c>
      <c r="G882" t="inlineStr">
        <is>
          <t>B</t>
        </is>
      </c>
      <c r="H882" t="n">
        <v>14</v>
      </c>
      <c r="I882" t="n">
        <v>9.99</v>
      </c>
      <c r="J882" t="n">
        <v>139.86</v>
      </c>
      <c r="K882" t="n">
        <v>2</v>
      </c>
      <c r="L882" t="n">
        <v>7</v>
      </c>
      <c r="M882" t="n">
        <v>3</v>
      </c>
      <c r="N882" t="n">
        <v>6</v>
      </c>
      <c r="O882" t="n">
        <v>8</v>
      </c>
      <c r="P882" t="n">
        <v>79.92</v>
      </c>
      <c r="Q882" t="n">
        <v>0.5714285714285714</v>
      </c>
      <c r="R882" t="inlineStr">
        <is>
          <t>Sobrestock crítico</t>
        </is>
      </c>
    </row>
    <row r="883">
      <c r="A883" t="inlineStr">
        <is>
          <t>LPR13EQ</t>
        </is>
      </c>
      <c r="B883" t="inlineStr">
        <is>
          <t>LANYARD PRO</t>
        </is>
      </c>
      <c r="C883" t="inlineStr">
        <is>
          <t>Equipamiento / Accesorios</t>
        </is>
      </c>
      <c r="D883" t="n">
        <v>999.810703422</v>
      </c>
      <c r="E883" t="n">
        <v>0.0002447862250131442</v>
      </c>
      <c r="F883" t="n">
        <v>0.8406582182627423</v>
      </c>
      <c r="G883" t="inlineStr">
        <is>
          <t>B</t>
        </is>
      </c>
      <c r="H883" t="n">
        <v>557</v>
      </c>
      <c r="I883" t="n">
        <v>1.15</v>
      </c>
      <c r="J883" t="n">
        <v>640.55</v>
      </c>
      <c r="K883" t="n">
        <v>17.1</v>
      </c>
      <c r="L883" t="n">
        <v>32.57309941520467</v>
      </c>
      <c r="M883" t="n">
        <v>3</v>
      </c>
      <c r="N883" t="n">
        <v>51.3</v>
      </c>
      <c r="O883" t="n">
        <v>505.7</v>
      </c>
      <c r="P883" t="n">
        <v>581.5549999999999</v>
      </c>
      <c r="Q883" t="n">
        <v>0.907899461400359</v>
      </c>
      <c r="R883" t="inlineStr">
        <is>
          <t>Sobrestock crítico</t>
        </is>
      </c>
    </row>
    <row r="884">
      <c r="A884" t="inlineStr">
        <is>
          <t>SARSPKI43T6</t>
        </is>
      </c>
      <c r="B884" t="inlineStr">
        <is>
          <t>FALDA SARA KIDS</t>
        </is>
      </c>
      <c r="C884" t="inlineStr">
        <is>
          <t>Manufactura / Kids / P. Inferiores</t>
        </is>
      </c>
      <c r="D884" t="n">
        <v>996.63560986</v>
      </c>
      <c r="E884" t="n">
        <v>0.0002440088586932545</v>
      </c>
      <c r="F884" t="n">
        <v>0.8409022271214356</v>
      </c>
      <c r="G884" t="inlineStr">
        <is>
          <t>B</t>
        </is>
      </c>
      <c r="H884" t="n">
        <v>18</v>
      </c>
      <c r="I884" t="n">
        <v>5.753743316</v>
      </c>
      <c r="J884" t="n">
        <v>103.567379688</v>
      </c>
      <c r="K884" t="n">
        <v>2.4</v>
      </c>
      <c r="L884" t="n">
        <v>7.5</v>
      </c>
      <c r="M884" t="n">
        <v>3</v>
      </c>
      <c r="N884" t="n">
        <v>7.199999999999999</v>
      </c>
      <c r="O884" t="n">
        <v>10.8</v>
      </c>
      <c r="P884" t="n">
        <v>62.14042781280001</v>
      </c>
      <c r="Q884" t="n">
        <v>0.6000000000000001</v>
      </c>
      <c r="R884" t="inlineStr">
        <is>
          <t>Sobrestock crítico</t>
        </is>
      </c>
    </row>
    <row r="885">
      <c r="A885" t="inlineStr">
        <is>
          <t>RIOMIKI16T6</t>
        </is>
      </c>
      <c r="B885" t="inlineStr">
        <is>
          <t>RIO ORIGINAL KIDS</t>
        </is>
      </c>
      <c r="C885" t="inlineStr">
        <is>
          <t>Manufactura / Kids / P. Superiores</t>
        </is>
      </c>
      <c r="D885" t="n">
        <v>994.65038321</v>
      </c>
      <c r="E885" t="n">
        <v>0.0002435228105485549</v>
      </c>
      <c r="F885" t="n">
        <v>0.8411457499319841</v>
      </c>
      <c r="G885" t="inlineStr">
        <is>
          <t>B</t>
        </is>
      </c>
      <c r="H885" t="n">
        <v>10</v>
      </c>
      <c r="I885" t="n">
        <v>3.617969464</v>
      </c>
      <c r="J885" t="n">
        <v>36.17969464</v>
      </c>
      <c r="K885" t="n">
        <v>2.6</v>
      </c>
      <c r="L885" t="n">
        <v>3.846153846153846</v>
      </c>
      <c r="M885" t="n">
        <v>3</v>
      </c>
      <c r="N885" t="n">
        <v>7.800000000000001</v>
      </c>
      <c r="O885" t="n">
        <v>2.199999999999999</v>
      </c>
      <c r="P885" t="n">
        <v>7.959532820799998</v>
      </c>
      <c r="Q885" t="n">
        <v>0.2199999999999999</v>
      </c>
      <c r="R885" t="inlineStr">
        <is>
          <t>Sobrestock</t>
        </is>
      </c>
    </row>
    <row r="886">
      <c r="A886" t="inlineStr">
        <is>
          <t>RIOMIKI66T12</t>
        </is>
      </c>
      <c r="B886" t="inlineStr">
        <is>
          <t>RIO ORIGINAL KIDS</t>
        </is>
      </c>
      <c r="C886" t="inlineStr">
        <is>
          <t>Manufactura / Kids / P. Superiores</t>
        </is>
      </c>
      <c r="D886" t="n">
        <v>993.45797386</v>
      </c>
      <c r="E886" t="n">
        <v>0.0002432308699017326</v>
      </c>
      <c r="F886" t="n">
        <v>0.8413889808018857</v>
      </c>
      <c r="G886" t="inlineStr">
        <is>
          <t>B</t>
        </is>
      </c>
      <c r="H886" t="n">
        <v>22</v>
      </c>
      <c r="I886" t="n">
        <v>3.617969464</v>
      </c>
      <c r="J886" t="n">
        <v>79.595328208</v>
      </c>
      <c r="K886" t="n">
        <v>2.4</v>
      </c>
      <c r="L886" t="n">
        <v>9.166666666666668</v>
      </c>
      <c r="M886" t="n">
        <v>3</v>
      </c>
      <c r="N886" t="n">
        <v>7.199999999999999</v>
      </c>
      <c r="O886" t="n">
        <v>14.8</v>
      </c>
      <c r="P886" t="n">
        <v>53.54594806720001</v>
      </c>
      <c r="Q886" t="n">
        <v>0.6727272727272728</v>
      </c>
      <c r="R886" t="inlineStr">
        <is>
          <t>Sobrestock crítico</t>
        </is>
      </c>
    </row>
    <row r="887">
      <c r="A887" t="inlineStr">
        <is>
          <t>CLAMIDA16TXS</t>
        </is>
      </c>
      <c r="B887" t="inlineStr">
        <is>
          <t>CLASICA ORIGINAL DAMA</t>
        </is>
      </c>
      <c r="C887" t="inlineStr">
        <is>
          <t>Manufactura / Dama / P. Superiores</t>
        </is>
      </c>
      <c r="D887" t="n">
        <v>991.9705481999999</v>
      </c>
      <c r="E887" t="n">
        <v>0.0002428666996532517</v>
      </c>
      <c r="F887" t="n">
        <v>0.8416318475015391</v>
      </c>
      <c r="G887" t="inlineStr">
        <is>
          <t>B</t>
        </is>
      </c>
      <c r="H887" t="n">
        <v>13</v>
      </c>
      <c r="I887" t="n">
        <v>3.923227589</v>
      </c>
      <c r="J887" t="n">
        <v>51.001958657</v>
      </c>
      <c r="K887" t="n">
        <v>4.8</v>
      </c>
      <c r="L887" t="n">
        <v>2.708333333333333</v>
      </c>
      <c r="M887" t="n">
        <v>3</v>
      </c>
      <c r="N887" t="n">
        <v>14.4</v>
      </c>
      <c r="O887" t="n">
        <v>0</v>
      </c>
      <c r="P887" t="n">
        <v>0</v>
      </c>
      <c r="Q887" t="n">
        <v>0</v>
      </c>
      <c r="R887" t="inlineStr">
        <is>
          <t>OK</t>
        </is>
      </c>
    </row>
    <row r="888">
      <c r="A888" t="inlineStr">
        <is>
          <t>CLMSUCA152TS</t>
        </is>
      </c>
      <c r="B888" t="inlineStr">
        <is>
          <t>CLASICA MOTION CAB</t>
        </is>
      </c>
      <c r="C888" t="inlineStr">
        <is>
          <t>Manufactura / Caballero / P. Superiores</t>
        </is>
      </c>
      <c r="D888" t="n">
        <v>991.18611002</v>
      </c>
      <c r="E888" t="n">
        <v>0.0002426746436368666</v>
      </c>
      <c r="F888" t="n">
        <v>0.8418745221451759</v>
      </c>
      <c r="G888" t="inlineStr">
        <is>
          <t>B</t>
        </is>
      </c>
      <c r="H888" t="n">
        <v>1</v>
      </c>
      <c r="I888" t="n">
        <v>12.26</v>
      </c>
      <c r="J888" t="n">
        <v>12.26</v>
      </c>
      <c r="K888" t="n">
        <v>2.4</v>
      </c>
      <c r="L888" t="n">
        <v>0.4166666666666667</v>
      </c>
      <c r="M888" t="n">
        <v>3</v>
      </c>
      <c r="N888" t="n">
        <v>7.199999999999999</v>
      </c>
      <c r="O888" t="n">
        <v>0</v>
      </c>
      <c r="P888" t="n">
        <v>0</v>
      </c>
      <c r="Q888" t="n">
        <v>0</v>
      </c>
      <c r="R888" t="inlineStr">
        <is>
          <t>Riesgo bajo stock</t>
        </is>
      </c>
    </row>
    <row r="889">
      <c r="A889" t="inlineStr">
        <is>
          <t>RIOMIKI50T2</t>
        </is>
      </c>
      <c r="B889" t="inlineStr">
        <is>
          <t>RIO ORIGINAL KIDS</t>
        </is>
      </c>
      <c r="C889" t="inlineStr">
        <is>
          <t>Manufactura / Kids / P. Superiores</t>
        </is>
      </c>
      <c r="D889" t="n">
        <v>988.49754962</v>
      </c>
      <c r="E889" t="n">
        <v>0.0002420163964818969</v>
      </c>
      <c r="F889" t="n">
        <v>0.8421165385416579</v>
      </c>
      <c r="G889" t="inlineStr">
        <is>
          <t>B</t>
        </is>
      </c>
      <c r="H889" t="n">
        <v>43</v>
      </c>
      <c r="I889" t="n">
        <v>3.617969464000001</v>
      </c>
      <c r="J889" t="n">
        <v>155.572686952</v>
      </c>
      <c r="K889" t="n">
        <v>2.4</v>
      </c>
      <c r="L889" t="n">
        <v>17.91666666666667</v>
      </c>
      <c r="M889" t="n">
        <v>3</v>
      </c>
      <c r="N889" t="n">
        <v>7.199999999999999</v>
      </c>
      <c r="O889" t="n">
        <v>35.8</v>
      </c>
      <c r="P889" t="n">
        <v>129.5233068112</v>
      </c>
      <c r="Q889" t="n">
        <v>0.8325581395348836</v>
      </c>
      <c r="R889" t="inlineStr">
        <is>
          <t>Sobrestock crítico</t>
        </is>
      </c>
    </row>
    <row r="890">
      <c r="A890" t="inlineStr">
        <is>
          <t>NAHFNCA70TL</t>
        </is>
      </c>
      <c r="B890" t="inlineStr">
        <is>
          <t>NOAH SPORT LITE CAB</t>
        </is>
      </c>
      <c r="C890" t="inlineStr">
        <is>
          <t>Manufactura / Caballero / P. Superiores</t>
        </is>
      </c>
      <c r="D890" t="n">
        <v>988.15378835</v>
      </c>
      <c r="E890" t="n">
        <v>0.0002419322325263591</v>
      </c>
      <c r="F890" t="n">
        <v>0.8423584707741841</v>
      </c>
      <c r="G890" t="inlineStr">
        <is>
          <t>B</t>
        </is>
      </c>
      <c r="H890" t="n">
        <v>15</v>
      </c>
      <c r="I890" t="n">
        <v>17.61141534</v>
      </c>
      <c r="J890" t="n">
        <v>264.1712301</v>
      </c>
      <c r="K890" t="n">
        <v>3.3</v>
      </c>
      <c r="L890" t="n">
        <v>4.545454545454546</v>
      </c>
      <c r="M890" t="n">
        <v>3</v>
      </c>
      <c r="N890" t="n">
        <v>9.899999999999999</v>
      </c>
      <c r="O890" t="n">
        <v>5.100000000000001</v>
      </c>
      <c r="P890" t="n">
        <v>89.81821823400003</v>
      </c>
      <c r="Q890" t="n">
        <v>0.3400000000000001</v>
      </c>
      <c r="R890" t="inlineStr">
        <is>
          <t>Sobrestock crítico</t>
        </is>
      </c>
    </row>
    <row r="891">
      <c r="A891" t="inlineStr">
        <is>
          <t>SARSPDA12TXS</t>
        </is>
      </c>
      <c r="B891" t="inlineStr">
        <is>
          <t>FALDA SARA DAMA</t>
        </is>
      </c>
      <c r="C891" t="inlineStr">
        <is>
          <t>Manufactura / Dama / P. Inferiores</t>
        </is>
      </c>
      <c r="D891" t="n">
        <v>987.92317329</v>
      </c>
      <c r="E891" t="n">
        <v>0.0002418757704483124</v>
      </c>
      <c r="F891" t="n">
        <v>0.8426003465446326</v>
      </c>
      <c r="G891" t="inlineStr">
        <is>
          <t>B</t>
        </is>
      </c>
      <c r="H891" t="n">
        <v>33</v>
      </c>
      <c r="I891" t="n">
        <v>9.500113852</v>
      </c>
      <c r="J891" t="n">
        <v>313.503757116</v>
      </c>
      <c r="K891" t="n">
        <v>2.1</v>
      </c>
      <c r="L891" t="n">
        <v>15.71428571428571</v>
      </c>
      <c r="M891" t="n">
        <v>3</v>
      </c>
      <c r="N891" t="n">
        <v>6.300000000000001</v>
      </c>
      <c r="O891" t="n">
        <v>26.7</v>
      </c>
      <c r="P891" t="n">
        <v>253.6530398484</v>
      </c>
      <c r="Q891" t="n">
        <v>0.809090909090909</v>
      </c>
      <c r="R891" t="inlineStr">
        <is>
          <t>Sobrestock crítico</t>
        </is>
      </c>
    </row>
    <row r="892">
      <c r="A892" t="inlineStr">
        <is>
          <t>DOMBFCA16TS</t>
        </is>
      </c>
      <c r="B892" t="inlineStr">
        <is>
          <t>DOMINIC BIO MOVE CAB</t>
        </is>
      </c>
      <c r="C892" t="inlineStr">
        <is>
          <t>Manufactura / Caballero / P. Superiores</t>
        </is>
      </c>
      <c r="D892" t="n">
        <v>987.75583334</v>
      </c>
      <c r="E892" t="n">
        <v>0.000241834800178126</v>
      </c>
      <c r="F892" t="n">
        <v>0.8428421813448106</v>
      </c>
      <c r="G892" t="inlineStr">
        <is>
          <t>B</t>
        </is>
      </c>
      <c r="H892" t="n">
        <v>55</v>
      </c>
      <c r="I892" t="n">
        <v>13.86</v>
      </c>
      <c r="J892" t="n">
        <v>762.2999999999998</v>
      </c>
      <c r="K892" t="n">
        <v>2.2</v>
      </c>
      <c r="L892" t="n">
        <v>25</v>
      </c>
      <c r="M892" t="n">
        <v>3</v>
      </c>
      <c r="N892" t="n">
        <v>6.600000000000001</v>
      </c>
      <c r="O892" t="n">
        <v>48.4</v>
      </c>
      <c r="P892" t="n">
        <v>670.8239999999998</v>
      </c>
      <c r="Q892" t="n">
        <v>0.88</v>
      </c>
      <c r="R892" t="inlineStr">
        <is>
          <t>Sobrestock crítico</t>
        </is>
      </c>
    </row>
    <row r="893">
      <c r="A893" t="inlineStr">
        <is>
          <t>SHOUNCA186TL</t>
        </is>
      </c>
      <c r="B893" t="inlineStr">
        <is>
          <t>SHORT PLAYA CAB</t>
        </is>
      </c>
      <c r="C893" t="inlineStr">
        <is>
          <t>Manufactura / Caballero / P. Inferiores</t>
        </is>
      </c>
      <c r="D893" t="n">
        <v>987.37684023</v>
      </c>
      <c r="E893" t="n">
        <v>0.0002417420103206206</v>
      </c>
      <c r="F893" t="n">
        <v>0.8430839233551313</v>
      </c>
      <c r="G893" t="inlineStr">
        <is>
          <t>B</t>
        </is>
      </c>
      <c r="H893" t="n">
        <v>32</v>
      </c>
      <c r="I893" t="n">
        <v>9.99</v>
      </c>
      <c r="J893" t="n">
        <v>319.68</v>
      </c>
      <c r="K893" t="n">
        <v>2.1</v>
      </c>
      <c r="L893" t="n">
        <v>15.23809523809524</v>
      </c>
      <c r="M893" t="n">
        <v>3</v>
      </c>
      <c r="N893" t="n">
        <v>6.300000000000001</v>
      </c>
      <c r="O893" t="n">
        <v>25.7</v>
      </c>
      <c r="P893" t="n">
        <v>256.743</v>
      </c>
      <c r="Q893" t="n">
        <v>0.803125</v>
      </c>
      <c r="R893" t="inlineStr">
        <is>
          <t>Sobrestock crítico</t>
        </is>
      </c>
    </row>
    <row r="894">
      <c r="A894" t="inlineStr">
        <is>
          <t>MARMIKI66T2</t>
        </is>
      </c>
      <c r="B894" t="inlineStr">
        <is>
          <t>MAR ORIGINAL KIDS</t>
        </is>
      </c>
      <c r="C894" t="inlineStr">
        <is>
          <t>Manufactura / Kids / P. Superiores</t>
        </is>
      </c>
      <c r="D894" t="n">
        <v>983.8922330299999</v>
      </c>
      <c r="E894" t="n">
        <v>0.0002408888649809857</v>
      </c>
      <c r="F894" t="n">
        <v>0.8433248122201122</v>
      </c>
      <c r="G894" t="inlineStr">
        <is>
          <t>B</t>
        </is>
      </c>
      <c r="H894" t="n">
        <v>7</v>
      </c>
      <c r="I894" t="n">
        <v>3.168013332</v>
      </c>
      <c r="J894" t="n">
        <v>22.176093324</v>
      </c>
      <c r="K894" t="n">
        <v>2.7</v>
      </c>
      <c r="L894" t="n">
        <v>2.592592592592593</v>
      </c>
      <c r="M894" t="n">
        <v>3</v>
      </c>
      <c r="N894" t="n">
        <v>8.100000000000001</v>
      </c>
      <c r="O894" t="n">
        <v>0</v>
      </c>
      <c r="P894" t="n">
        <v>0</v>
      </c>
      <c r="Q894" t="n">
        <v>0</v>
      </c>
      <c r="R894" t="inlineStr">
        <is>
          <t>OK</t>
        </is>
      </c>
    </row>
    <row r="895">
      <c r="A895" t="inlineStr">
        <is>
          <t>DAYCSTCA43TXL</t>
        </is>
      </c>
      <c r="B895" t="inlineStr">
        <is>
          <t>CLASICA DAILY 3.0 CAB</t>
        </is>
      </c>
      <c r="C895" t="inlineStr">
        <is>
          <t>Manufactura / Caballero / P. Superiores</t>
        </is>
      </c>
      <c r="D895" t="n">
        <v>982.79048808</v>
      </c>
      <c r="E895" t="n">
        <v>0.0002406191219323118</v>
      </c>
      <c r="F895" t="n">
        <v>0.8435654313420445</v>
      </c>
      <c r="G895" t="inlineStr">
        <is>
          <t>B</t>
        </is>
      </c>
      <c r="H895" t="n">
        <v>10</v>
      </c>
      <c r="I895" t="n">
        <v>11.76035097</v>
      </c>
      <c r="J895" t="n">
        <v>117.6035097</v>
      </c>
      <c r="K895" t="n">
        <v>2.1</v>
      </c>
      <c r="L895" t="n">
        <v>4.761904761904762</v>
      </c>
      <c r="M895" t="n">
        <v>3</v>
      </c>
      <c r="N895" t="n">
        <v>6.300000000000001</v>
      </c>
      <c r="O895" t="n">
        <v>3.699999999999999</v>
      </c>
      <c r="P895" t="n">
        <v>43.51329858899999</v>
      </c>
      <c r="Q895" t="n">
        <v>0.3699999999999999</v>
      </c>
      <c r="R895" t="inlineStr">
        <is>
          <t>Sobrestock crítico</t>
        </is>
      </c>
    </row>
    <row r="896">
      <c r="A896" t="inlineStr">
        <is>
          <t>TMOFIDA43TS</t>
        </is>
      </c>
      <c r="B896" t="inlineStr">
        <is>
          <t>TOP MOVA</t>
        </is>
      </c>
      <c r="C896" t="inlineStr">
        <is>
          <t>Manufactura / Dama / P. Superiores</t>
        </is>
      </c>
      <c r="D896" t="n">
        <v>982.74737063</v>
      </c>
      <c r="E896" t="n">
        <v>0.0002406085653761742</v>
      </c>
      <c r="F896" t="n">
        <v>0.8438060399074208</v>
      </c>
      <c r="G896" t="inlineStr">
        <is>
          <t>B</t>
        </is>
      </c>
      <c r="H896" t="n">
        <v>22</v>
      </c>
      <c r="I896" t="n">
        <v>9.942967033</v>
      </c>
      <c r="J896" t="n">
        <v>218.745274726</v>
      </c>
      <c r="K896" t="n">
        <v>2.8</v>
      </c>
      <c r="L896" t="n">
        <v>7.857142857142858</v>
      </c>
      <c r="M896" t="n">
        <v>3</v>
      </c>
      <c r="N896" t="n">
        <v>8.399999999999999</v>
      </c>
      <c r="O896" t="n">
        <v>13.6</v>
      </c>
      <c r="P896" t="n">
        <v>135.2243516488</v>
      </c>
      <c r="Q896" t="n">
        <v>0.6181818181818183</v>
      </c>
      <c r="R896" t="inlineStr">
        <is>
          <t>Sobrestock crítico</t>
        </is>
      </c>
    </row>
    <row r="897">
      <c r="A897" t="inlineStr">
        <is>
          <t>SARSPDA43TL</t>
        </is>
      </c>
      <c r="B897" t="inlineStr">
        <is>
          <t>FALDA SARA DAMA</t>
        </is>
      </c>
      <c r="C897" t="inlineStr">
        <is>
          <t>Manufactura / Dama / P. Inferiores</t>
        </is>
      </c>
      <c r="D897" t="n">
        <v>982.69218749</v>
      </c>
      <c r="E897" t="n">
        <v>0.0002405950547461332</v>
      </c>
      <c r="F897" t="n">
        <v>0.8440466349621669</v>
      </c>
      <c r="G897" t="inlineStr">
        <is>
          <t>B</t>
        </is>
      </c>
      <c r="H897" t="n">
        <v>23</v>
      </c>
      <c r="I897" t="n">
        <v>9.500113852</v>
      </c>
      <c r="J897" t="n">
        <v>218.502618596</v>
      </c>
      <c r="K897" t="n">
        <v>2</v>
      </c>
      <c r="L897" t="n">
        <v>11.5</v>
      </c>
      <c r="M897" t="n">
        <v>3</v>
      </c>
      <c r="N897" t="n">
        <v>6</v>
      </c>
      <c r="O897" t="n">
        <v>17</v>
      </c>
      <c r="P897" t="n">
        <v>161.501935484</v>
      </c>
      <c r="Q897" t="n">
        <v>0.7391304347826088</v>
      </c>
      <c r="R897" t="inlineStr">
        <is>
          <t>Sobrestock crítico</t>
        </is>
      </c>
    </row>
    <row r="898">
      <c r="A898" t="inlineStr">
        <is>
          <t>PANNTKI66T10</t>
        </is>
      </c>
      <c r="B898" t="inlineStr">
        <is>
          <t>EXPLORE PANTS KIDS</t>
        </is>
      </c>
      <c r="C898" t="inlineStr">
        <is>
          <t>Manufactura / Kids / P. Inferiores</t>
        </is>
      </c>
      <c r="D898" t="n">
        <v>979.61706498</v>
      </c>
      <c r="E898" t="n">
        <v>0.0002398421645959283</v>
      </c>
      <c r="F898" t="n">
        <v>0.8442864771267627</v>
      </c>
      <c r="G898" t="inlineStr">
        <is>
          <t>B</t>
        </is>
      </c>
      <c r="H898" t="n">
        <v>20</v>
      </c>
      <c r="I898" t="n">
        <v>13.98</v>
      </c>
      <c r="J898" t="n">
        <v>279.6</v>
      </c>
      <c r="K898" t="n">
        <v>2</v>
      </c>
      <c r="L898" t="n">
        <v>10</v>
      </c>
      <c r="M898" t="n">
        <v>3</v>
      </c>
      <c r="N898" t="n">
        <v>6</v>
      </c>
      <c r="O898" t="n">
        <v>14</v>
      </c>
      <c r="P898" t="n">
        <v>195.72</v>
      </c>
      <c r="Q898" t="n">
        <v>0.7</v>
      </c>
      <c r="R898" t="inlineStr">
        <is>
          <t>Sobrestock crítico</t>
        </is>
      </c>
    </row>
    <row r="899">
      <c r="A899" t="inlineStr">
        <is>
          <t>SUC16EQ</t>
        </is>
      </c>
      <c r="B899" t="inlineStr">
        <is>
          <t>SUNNY CORD 2.0</t>
        </is>
      </c>
      <c r="C899" t="inlineStr">
        <is>
          <t>Equipamiento / Accesorios</t>
        </is>
      </c>
      <c r="D899" t="n">
        <v>979.0851706460001</v>
      </c>
      <c r="E899" t="n">
        <v>0.0002397119395386449</v>
      </c>
      <c r="F899" t="n">
        <v>0.8445261890663014</v>
      </c>
      <c r="G899" t="inlineStr">
        <is>
          <t>B</t>
        </is>
      </c>
      <c r="H899" t="n">
        <v>167</v>
      </c>
      <c r="I899" t="n">
        <v>0.66</v>
      </c>
      <c r="J899" t="n">
        <v>110.22</v>
      </c>
      <c r="K899" t="n">
        <v>15.4</v>
      </c>
      <c r="L899" t="n">
        <v>10.84415584415584</v>
      </c>
      <c r="M899" t="n">
        <v>3</v>
      </c>
      <c r="N899" t="n">
        <v>46.2</v>
      </c>
      <c r="O899" t="n">
        <v>120.8</v>
      </c>
      <c r="P899" t="n">
        <v>79.72800000000001</v>
      </c>
      <c r="Q899" t="n">
        <v>0.7233532934131738</v>
      </c>
      <c r="R899" t="inlineStr">
        <is>
          <t>Sobrestock crítico</t>
        </is>
      </c>
    </row>
    <row r="900">
      <c r="A900" t="inlineStr">
        <is>
          <t>SHOSUKI153T8</t>
        </is>
      </c>
      <c r="B900" t="inlineStr">
        <is>
          <t>SHORT PLAYA ESTAMPADO KIDS</t>
        </is>
      </c>
      <c r="C900" t="inlineStr">
        <is>
          <t>Manufactura / Kids / P. Superiores</t>
        </is>
      </c>
      <c r="D900" t="n">
        <v>976.84048779</v>
      </c>
      <c r="E900" t="n">
        <v>0.0002391623680639734</v>
      </c>
      <c r="F900" t="n">
        <v>0.8447653514343653</v>
      </c>
      <c r="G900" t="inlineStr">
        <is>
          <t>B</t>
        </is>
      </c>
      <c r="H900" t="n">
        <v>20</v>
      </c>
      <c r="I900" t="n">
        <v>7.210000000000001</v>
      </c>
      <c r="J900" t="n">
        <v>144.2</v>
      </c>
      <c r="K900" t="n">
        <v>2.3</v>
      </c>
      <c r="L900" t="n">
        <v>8.695652173913045</v>
      </c>
      <c r="M900" t="n">
        <v>3</v>
      </c>
      <c r="N900" t="n">
        <v>6.899999999999999</v>
      </c>
      <c r="O900" t="n">
        <v>13.1</v>
      </c>
      <c r="P900" t="n">
        <v>94.45100000000002</v>
      </c>
      <c r="Q900" t="n">
        <v>0.655</v>
      </c>
      <c r="R900" t="inlineStr">
        <is>
          <t>Sobrestock crítico</t>
        </is>
      </c>
    </row>
    <row r="901">
      <c r="A901" t="inlineStr">
        <is>
          <t>SHOSUKI155T10</t>
        </is>
      </c>
      <c r="B901" t="inlineStr">
        <is>
          <t>SHORT PLAYA ESTAMPADO KIDS</t>
        </is>
      </c>
      <c r="C901" t="inlineStr">
        <is>
          <t>Manufactura / Kids / P. Superiores</t>
        </is>
      </c>
      <c r="D901" t="n">
        <v>976.81632997</v>
      </c>
      <c r="E901" t="n">
        <v>0.0002391564534427935</v>
      </c>
      <c r="F901" t="n">
        <v>0.8450045078878081</v>
      </c>
      <c r="G901" t="inlineStr">
        <is>
          <t>B</t>
        </is>
      </c>
      <c r="H901" t="n">
        <v>4</v>
      </c>
      <c r="I901" t="n">
        <v>7.21</v>
      </c>
      <c r="J901" t="n">
        <v>28.84</v>
      </c>
      <c r="K901" t="n">
        <v>2.3</v>
      </c>
      <c r="L901" t="n">
        <v>1.739130434782609</v>
      </c>
      <c r="M901" t="n">
        <v>3</v>
      </c>
      <c r="N901" t="n">
        <v>6.899999999999999</v>
      </c>
      <c r="O901" t="n">
        <v>0</v>
      </c>
      <c r="P901" t="n">
        <v>0</v>
      </c>
      <c r="Q901" t="n">
        <v>0</v>
      </c>
      <c r="R901" t="inlineStr">
        <is>
          <t>OK</t>
        </is>
      </c>
    </row>
    <row r="902">
      <c r="A902" t="inlineStr">
        <is>
          <t>RIOMIKI01T6</t>
        </is>
      </c>
      <c r="B902" t="inlineStr">
        <is>
          <t>RIO ORIGINAL KIDS</t>
        </is>
      </c>
      <c r="C902" t="inlineStr">
        <is>
          <t>Manufactura / Kids / P. Superiores</t>
        </is>
      </c>
      <c r="D902" t="n">
        <v>976.62386356</v>
      </c>
      <c r="E902" t="n">
        <v>0.0002391093313968057</v>
      </c>
      <c r="F902" t="n">
        <v>0.8452436172192049</v>
      </c>
      <c r="G902" t="inlineStr">
        <is>
          <t>B</t>
        </is>
      </c>
      <c r="H902" t="n">
        <v>32</v>
      </c>
      <c r="I902" t="n">
        <v>3.617969464000001</v>
      </c>
      <c r="J902" t="n">
        <v>115.775022848</v>
      </c>
      <c r="K902" t="n">
        <v>2.3</v>
      </c>
      <c r="L902" t="n">
        <v>13.91304347826087</v>
      </c>
      <c r="M902" t="n">
        <v>3</v>
      </c>
      <c r="N902" t="n">
        <v>6.899999999999999</v>
      </c>
      <c r="O902" t="n">
        <v>25.1</v>
      </c>
      <c r="P902" t="n">
        <v>90.81103354640003</v>
      </c>
      <c r="Q902" t="n">
        <v>0.784375</v>
      </c>
      <c r="R902" t="inlineStr">
        <is>
          <t>Sobrestock crítico</t>
        </is>
      </c>
    </row>
    <row r="903">
      <c r="A903" t="inlineStr">
        <is>
          <t>JAPDA66TXL</t>
        </is>
      </c>
      <c r="B903" t="inlineStr">
        <is>
          <t>CUADRO JACKET 2.0 DAMA</t>
        </is>
      </c>
      <c r="C903" t="inlineStr">
        <is>
          <t>Equipamiento / Ropa</t>
        </is>
      </c>
      <c r="D903" t="n">
        <v>976.42128372</v>
      </c>
      <c r="E903" t="n">
        <v>0.0002390597332537496</v>
      </c>
      <c r="F903" t="n">
        <v>0.8454826769524587</v>
      </c>
      <c r="G903" t="inlineStr">
        <is>
          <t>B</t>
        </is>
      </c>
      <c r="H903" t="n">
        <v>175</v>
      </c>
      <c r="I903" t="n">
        <v>20.25</v>
      </c>
      <c r="J903" t="n">
        <v>3543.75</v>
      </c>
      <c r="K903" t="n">
        <v>1.2</v>
      </c>
      <c r="L903" t="n">
        <v>145.8333333333333</v>
      </c>
      <c r="M903" t="n">
        <v>3</v>
      </c>
      <c r="N903" t="n">
        <v>3.6</v>
      </c>
      <c r="O903" t="n">
        <v>171.4</v>
      </c>
      <c r="P903" t="n">
        <v>3470.85</v>
      </c>
      <c r="Q903" t="n">
        <v>0.9794285714285714</v>
      </c>
      <c r="R903" t="inlineStr">
        <is>
          <t>Sobrestock crítico</t>
        </is>
      </c>
    </row>
    <row r="904">
      <c r="A904" t="inlineStr">
        <is>
          <t>CLAMECA13TM</t>
        </is>
      </c>
      <c r="B904" t="inlineStr">
        <is>
          <t>CLASICA SPORT CAB</t>
        </is>
      </c>
      <c r="C904" t="inlineStr">
        <is>
          <t>Manufactura / Caballero / P. Superiores</t>
        </is>
      </c>
      <c r="D904" t="n">
        <v>975.92468565</v>
      </c>
      <c r="E904" t="n">
        <v>0.0002389381498715273</v>
      </c>
      <c r="F904" t="n">
        <v>0.8457216151023302</v>
      </c>
      <c r="G904" t="inlineStr">
        <is>
          <t>B</t>
        </is>
      </c>
      <c r="H904" t="n">
        <v>0</v>
      </c>
      <c r="I904" t="n">
        <v>10.3013454</v>
      </c>
      <c r="J904" t="n">
        <v>0</v>
      </c>
      <c r="K904" t="n">
        <v>2.3</v>
      </c>
      <c r="L904" t="n">
        <v>0</v>
      </c>
      <c r="M904" t="n">
        <v>3</v>
      </c>
      <c r="N904" t="n">
        <v>6.899999999999999</v>
      </c>
      <c r="O904" t="n">
        <v>0</v>
      </c>
      <c r="P904" t="n">
        <v>0</v>
      </c>
      <c r="Q904" t="n">
        <v>0</v>
      </c>
      <c r="R904" t="inlineStr">
        <is>
          <t>Riesgo bajo stock</t>
        </is>
      </c>
    </row>
    <row r="905">
      <c r="A905" t="inlineStr">
        <is>
          <t>JACKI43T4</t>
        </is>
      </c>
      <c r="B905" t="inlineStr">
        <is>
          <t>JACKET KIDS</t>
        </is>
      </c>
      <c r="C905" t="inlineStr">
        <is>
          <t>Manufactura / Kids / P. Superiores</t>
        </is>
      </c>
      <c r="D905" t="n">
        <v>974.16532806</v>
      </c>
      <c r="E905" t="n">
        <v>0.0002385074018294926</v>
      </c>
      <c r="F905" t="n">
        <v>0.8459601225041596</v>
      </c>
      <c r="G905" t="inlineStr">
        <is>
          <t>B</t>
        </is>
      </c>
      <c r="H905" t="n">
        <v>66</v>
      </c>
      <c r="I905" t="n">
        <v>15.17</v>
      </c>
      <c r="J905" t="n">
        <v>1001.22</v>
      </c>
      <c r="K905" t="n">
        <v>1.7</v>
      </c>
      <c r="L905" t="n">
        <v>38.82352941176471</v>
      </c>
      <c r="M905" t="n">
        <v>3</v>
      </c>
      <c r="N905" t="n">
        <v>5.1</v>
      </c>
      <c r="O905" t="n">
        <v>60.9</v>
      </c>
      <c r="P905" t="n">
        <v>923.853</v>
      </c>
      <c r="Q905" t="n">
        <v>0.9227272727272726</v>
      </c>
      <c r="R905" t="inlineStr">
        <is>
          <t>Sobrestock crítico</t>
        </is>
      </c>
    </row>
    <row r="906">
      <c r="A906" t="inlineStr">
        <is>
          <t>BAN16EQ</t>
        </is>
      </c>
      <c r="B906" t="inlineStr">
        <is>
          <t>CUADRO BAND</t>
        </is>
      </c>
      <c r="C906" t="inlineStr">
        <is>
          <t>Equipamiento / Accesorios</t>
        </is>
      </c>
      <c r="D906" t="n">
        <v>973.100951136</v>
      </c>
      <c r="E906" t="n">
        <v>0.0002382468076906968</v>
      </c>
      <c r="F906" t="n">
        <v>0.8461983693118504</v>
      </c>
      <c r="G906" t="inlineStr">
        <is>
          <t>B</t>
        </is>
      </c>
      <c r="H906" t="n">
        <v>5193</v>
      </c>
      <c r="I906" t="n">
        <v>0.3159183673</v>
      </c>
      <c r="J906" t="n">
        <v>1640.5640813889</v>
      </c>
      <c r="K906" t="n">
        <v>71.40000000000001</v>
      </c>
      <c r="L906" t="n">
        <v>72.73109243697479</v>
      </c>
      <c r="M906" t="n">
        <v>3</v>
      </c>
      <c r="N906" t="n">
        <v>214.2</v>
      </c>
      <c r="O906" t="n">
        <v>4978.8</v>
      </c>
      <c r="P906" t="n">
        <v>1572.89436711324</v>
      </c>
      <c r="Q906" t="n">
        <v>0.9587521663778165</v>
      </c>
      <c r="R906" t="inlineStr">
        <is>
          <t>Sobrestock crítico</t>
        </is>
      </c>
    </row>
    <row r="907">
      <c r="A907" t="inlineStr">
        <is>
          <t>BACCCDA43TL</t>
        </is>
      </c>
      <c r="B907" t="inlineStr">
        <is>
          <t>BASIC LINE CROP TEE DAMA</t>
        </is>
      </c>
      <c r="C907" t="inlineStr">
        <is>
          <t>Manufactura / Dama / P. Superiores</t>
        </is>
      </c>
      <c r="D907" t="n">
        <v>971.58244742</v>
      </c>
      <c r="E907" t="n">
        <v>0.0002378750285218643</v>
      </c>
      <c r="F907" t="n">
        <v>0.8464362443403722</v>
      </c>
      <c r="G907" t="inlineStr">
        <is>
          <t>B</t>
        </is>
      </c>
      <c r="H907" t="n">
        <v>43</v>
      </c>
      <c r="I907" t="n">
        <v>6.196330833</v>
      </c>
      <c r="J907" t="n">
        <v>266.442225819</v>
      </c>
      <c r="K907" t="n">
        <v>2.3</v>
      </c>
      <c r="L907" t="n">
        <v>18.69565217391305</v>
      </c>
      <c r="M907" t="n">
        <v>3</v>
      </c>
      <c r="N907" t="n">
        <v>6.899999999999999</v>
      </c>
      <c r="O907" t="n">
        <v>36.1</v>
      </c>
      <c r="P907" t="n">
        <v>223.6875430713</v>
      </c>
      <c r="Q907" t="n">
        <v>0.8395348837209303</v>
      </c>
      <c r="R907" t="inlineStr">
        <is>
          <t>Sobrestock crítico</t>
        </is>
      </c>
    </row>
    <row r="908">
      <c r="A908" t="inlineStr">
        <is>
          <t>MARMIKI01T10</t>
        </is>
      </c>
      <c r="B908" t="inlineStr">
        <is>
          <t>MAR ORIGINAL KIDS</t>
        </is>
      </c>
      <c r="C908" t="inlineStr">
        <is>
          <t>Manufactura / Kids / P. Superiores</t>
        </is>
      </c>
      <c r="D908" t="n">
        <v>970.59953406</v>
      </c>
      <c r="E908" t="n">
        <v>0.0002376343793168839</v>
      </c>
      <c r="F908" t="n">
        <v>0.8466738787196892</v>
      </c>
      <c r="G908" t="inlineStr">
        <is>
          <t>B</t>
        </is>
      </c>
      <c r="H908" t="n">
        <v>48</v>
      </c>
      <c r="I908" t="n">
        <v>3.168013332</v>
      </c>
      <c r="J908" t="n">
        <v>152.064639936</v>
      </c>
      <c r="K908" t="n">
        <v>2.5</v>
      </c>
      <c r="L908" t="n">
        <v>19.2</v>
      </c>
      <c r="M908" t="n">
        <v>3</v>
      </c>
      <c r="N908" t="n">
        <v>7.5</v>
      </c>
      <c r="O908" t="n">
        <v>40.5</v>
      </c>
      <c r="P908" t="n">
        <v>128.304539946</v>
      </c>
      <c r="Q908" t="n">
        <v>0.8437499999999999</v>
      </c>
      <c r="R908" t="inlineStr">
        <is>
          <t>Sobrestock crítico</t>
        </is>
      </c>
    </row>
    <row r="909">
      <c r="A909" t="inlineStr">
        <is>
          <t>RIOMIKI12T10</t>
        </is>
      </c>
      <c r="B909" t="inlineStr">
        <is>
          <t>RIO ORIGINAL KIDS</t>
        </is>
      </c>
      <c r="C909" t="inlineStr">
        <is>
          <t>Manufactura / Kids / P. Superiores</t>
        </is>
      </c>
      <c r="D909" t="n">
        <v>970.54070387</v>
      </c>
      <c r="E909" t="n">
        <v>0.0002376199757702149</v>
      </c>
      <c r="F909" t="n">
        <v>0.8469114986954593</v>
      </c>
      <c r="G909" t="inlineStr">
        <is>
          <t>B</t>
        </is>
      </c>
      <c r="H909" t="n">
        <v>87</v>
      </c>
      <c r="I909" t="n">
        <v>3.617969464</v>
      </c>
      <c r="J909" t="n">
        <v>314.763343368</v>
      </c>
      <c r="K909" t="n">
        <v>2.2</v>
      </c>
      <c r="L909" t="n">
        <v>39.54545454545454</v>
      </c>
      <c r="M909" t="n">
        <v>3</v>
      </c>
      <c r="N909" t="n">
        <v>6.600000000000001</v>
      </c>
      <c r="O909" t="n">
        <v>80.40000000000001</v>
      </c>
      <c r="P909" t="n">
        <v>290.8847449056</v>
      </c>
      <c r="Q909" t="n">
        <v>0.9241379310344827</v>
      </c>
      <c r="R909" t="inlineStr">
        <is>
          <t>Sobrestock crítico</t>
        </is>
      </c>
    </row>
    <row r="910">
      <c r="A910" t="inlineStr">
        <is>
          <t>BAN09EQ</t>
        </is>
      </c>
      <c r="B910" t="inlineStr">
        <is>
          <t>CUADRO BAND</t>
        </is>
      </c>
      <c r="C910" t="inlineStr">
        <is>
          <t>Equipamiento / Accesorios</t>
        </is>
      </c>
      <c r="D910" t="n">
        <v>969.820599822</v>
      </c>
      <c r="E910" t="n">
        <v>0.0002374436708447692</v>
      </c>
      <c r="F910" t="n">
        <v>0.8471489423663041</v>
      </c>
      <c r="G910" t="inlineStr">
        <is>
          <t>B</t>
        </is>
      </c>
      <c r="H910" t="n">
        <v>2814</v>
      </c>
      <c r="I910" t="n">
        <v>0.3159183673</v>
      </c>
      <c r="J910" t="n">
        <v>888.9942855822001</v>
      </c>
      <c r="K910" t="n">
        <v>61.5</v>
      </c>
      <c r="L910" t="n">
        <v>45.75609756097561</v>
      </c>
      <c r="M910" t="n">
        <v>3</v>
      </c>
      <c r="N910" t="n">
        <v>184.5</v>
      </c>
      <c r="O910" t="n">
        <v>2629.5</v>
      </c>
      <c r="P910" t="n">
        <v>830.70734681535</v>
      </c>
      <c r="Q910" t="n">
        <v>0.9344349680170575</v>
      </c>
      <c r="R910" t="inlineStr">
        <is>
          <t>Sobrestock crítico</t>
        </is>
      </c>
    </row>
    <row r="911">
      <c r="A911" t="inlineStr">
        <is>
          <t>SHONRCA30TS</t>
        </is>
      </c>
      <c r="B911" t="inlineStr">
        <is>
          <t>SHORT SPORT CAB</t>
        </is>
      </c>
      <c r="C911" t="inlineStr">
        <is>
          <t>Manufactura / Caballero / P. Inferiores</t>
        </is>
      </c>
      <c r="D911" t="n">
        <v>969.22879287</v>
      </c>
      <c r="E911" t="n">
        <v>0.0002372987772271866</v>
      </c>
      <c r="F911" t="n">
        <v>0.8473862411435313</v>
      </c>
      <c r="G911" t="inlineStr">
        <is>
          <t>B</t>
        </is>
      </c>
      <c r="H911" t="n">
        <v>5</v>
      </c>
      <c r="I911" t="n">
        <v>10.6514486</v>
      </c>
      <c r="J911" t="n">
        <v>53.257243</v>
      </c>
      <c r="K911" t="n">
        <v>2.6</v>
      </c>
      <c r="L911" t="n">
        <v>1.923076923076923</v>
      </c>
      <c r="M911" t="n">
        <v>3</v>
      </c>
      <c r="N911" t="n">
        <v>7.800000000000001</v>
      </c>
      <c r="O911" t="n">
        <v>0</v>
      </c>
      <c r="P911" t="n">
        <v>0</v>
      </c>
      <c r="Q911" t="n">
        <v>0</v>
      </c>
      <c r="R911" t="inlineStr">
        <is>
          <t>OK</t>
        </is>
      </c>
    </row>
    <row r="912">
      <c r="A912" t="inlineStr">
        <is>
          <t>RIOMICA43T3XL</t>
        </is>
      </c>
      <c r="B912" t="inlineStr">
        <is>
          <t>RIO ORIGINAL CAB</t>
        </is>
      </c>
      <c r="C912" t="inlineStr">
        <is>
          <t>Manufactura / Caballero / P. Superiores</t>
        </is>
      </c>
      <c r="D912" t="n">
        <v>968.61147581</v>
      </c>
      <c r="E912" t="n">
        <v>0.0002371476379042764</v>
      </c>
      <c r="F912" t="n">
        <v>0.8476233887814357</v>
      </c>
      <c r="G912" t="inlineStr">
        <is>
          <t>B</t>
        </is>
      </c>
      <c r="H912" t="n">
        <v>2</v>
      </c>
      <c r="I912" t="n">
        <v>5.939350288</v>
      </c>
      <c r="J912" t="n">
        <v>11.878700576</v>
      </c>
      <c r="K912" t="n">
        <v>1.7</v>
      </c>
      <c r="L912" t="n">
        <v>1.176470588235294</v>
      </c>
      <c r="M912" t="n">
        <v>3</v>
      </c>
      <c r="N912" t="n">
        <v>5.1</v>
      </c>
      <c r="O912" t="n">
        <v>0</v>
      </c>
      <c r="P912" t="n">
        <v>0</v>
      </c>
      <c r="Q912" t="n">
        <v>0</v>
      </c>
      <c r="R912" t="inlineStr">
        <is>
          <t>OK</t>
        </is>
      </c>
    </row>
    <row r="913">
      <c r="A913" t="inlineStr">
        <is>
          <t>TMOFIDA43TM</t>
        </is>
      </c>
      <c r="B913" t="inlineStr">
        <is>
          <t>TOP MOVA</t>
        </is>
      </c>
      <c r="C913" t="inlineStr">
        <is>
          <t>Manufactura / Dama / P. Superiores</t>
        </is>
      </c>
      <c r="D913" t="n">
        <v>966.13182234</v>
      </c>
      <c r="E913" t="n">
        <v>0.0002365405379700743</v>
      </c>
      <c r="F913" t="n">
        <v>0.8478599293194057</v>
      </c>
      <c r="G913" t="inlineStr">
        <is>
          <t>B</t>
        </is>
      </c>
      <c r="H913" t="n">
        <v>14</v>
      </c>
      <c r="I913" t="n">
        <v>9.942967033</v>
      </c>
      <c r="J913" t="n">
        <v>139.201538462</v>
      </c>
      <c r="K913" t="n">
        <v>2.8</v>
      </c>
      <c r="L913" t="n">
        <v>5</v>
      </c>
      <c r="M913" t="n">
        <v>3</v>
      </c>
      <c r="N913" t="n">
        <v>8.399999999999999</v>
      </c>
      <c r="O913" t="n">
        <v>5.600000000000001</v>
      </c>
      <c r="P913" t="n">
        <v>55.68061538480001</v>
      </c>
      <c r="Q913" t="n">
        <v>0.4000000000000001</v>
      </c>
      <c r="R913" t="inlineStr">
        <is>
          <t>Sobrestock crítico</t>
        </is>
      </c>
    </row>
    <row r="914">
      <c r="A914" t="inlineStr">
        <is>
          <t>MARMIKI11T8</t>
        </is>
      </c>
      <c r="B914" t="inlineStr">
        <is>
          <t>MAR ORIGINAL KIDS</t>
        </is>
      </c>
      <c r="C914" t="inlineStr">
        <is>
          <t>Manufactura / Kids / P. Superiores</t>
        </is>
      </c>
      <c r="D914" t="n">
        <v>965.39961128</v>
      </c>
      <c r="E914" t="n">
        <v>0.0002363612688537538</v>
      </c>
      <c r="F914" t="n">
        <v>0.8480962905882594</v>
      </c>
      <c r="G914" t="inlineStr">
        <is>
          <t>B</t>
        </is>
      </c>
      <c r="H914" t="n">
        <v>31</v>
      </c>
      <c r="I914" t="n">
        <v>3.168013332</v>
      </c>
      <c r="J914" t="n">
        <v>98.208413292</v>
      </c>
      <c r="K914" t="n">
        <v>2.9</v>
      </c>
      <c r="L914" t="n">
        <v>10.68965517241379</v>
      </c>
      <c r="M914" t="n">
        <v>3</v>
      </c>
      <c r="N914" t="n">
        <v>8.699999999999999</v>
      </c>
      <c r="O914" t="n">
        <v>22.3</v>
      </c>
      <c r="P914" t="n">
        <v>70.64669730360001</v>
      </c>
      <c r="Q914" t="n">
        <v>0.7193548387096774</v>
      </c>
      <c r="R914" t="inlineStr">
        <is>
          <t>Sobrestock crítico</t>
        </is>
      </c>
    </row>
    <row r="915">
      <c r="A915" t="inlineStr">
        <is>
          <t>GEMBADA09TM</t>
        </is>
      </c>
      <c r="B915" t="inlineStr">
        <is>
          <t>VESTIDO GEMMA DAMA</t>
        </is>
      </c>
      <c r="C915" t="inlineStr">
        <is>
          <t>Manufactura / Dama / Conjuntos</t>
        </is>
      </c>
      <c r="D915" t="n">
        <v>963.02640053</v>
      </c>
      <c r="E915" t="n">
        <v>0.0002357802295643515</v>
      </c>
      <c r="F915" t="n">
        <v>0.8483320708178238</v>
      </c>
      <c r="G915" t="inlineStr">
        <is>
          <t>B</t>
        </is>
      </c>
      <c r="H915" t="n">
        <v>40</v>
      </c>
      <c r="I915" t="n">
        <v>23.99</v>
      </c>
      <c r="J915" t="n">
        <v>959.5999999999999</v>
      </c>
      <c r="K915" t="n">
        <v>1.9</v>
      </c>
      <c r="L915" t="n">
        <v>21.05263157894737</v>
      </c>
      <c r="M915" t="n">
        <v>3</v>
      </c>
      <c r="N915" t="n">
        <v>5.699999999999999</v>
      </c>
      <c r="O915" t="n">
        <v>34.3</v>
      </c>
      <c r="P915" t="n">
        <v>822.8569999999999</v>
      </c>
      <c r="Q915" t="n">
        <v>0.8574999999999999</v>
      </c>
      <c r="R915" t="inlineStr">
        <is>
          <t>Sobrestock crítico</t>
        </is>
      </c>
    </row>
    <row r="916">
      <c r="A916" t="inlineStr">
        <is>
          <t>CAP31VS</t>
        </is>
      </c>
      <c r="B916" t="inlineStr">
        <is>
          <t>VISERA</t>
        </is>
      </c>
      <c r="C916" t="inlineStr">
        <is>
          <t>Equipamiento / Gorras</t>
        </is>
      </c>
      <c r="D916" t="n">
        <v>962.72910272</v>
      </c>
      <c r="E916" t="n">
        <v>0.0002357074413771822</v>
      </c>
      <c r="F916" t="n">
        <v>0.848567778259201</v>
      </c>
      <c r="G916" t="inlineStr">
        <is>
          <t>B</t>
        </is>
      </c>
      <c r="H916" t="n">
        <v>2</v>
      </c>
      <c r="I916" t="n">
        <v>13.5</v>
      </c>
      <c r="J916" t="n">
        <v>27</v>
      </c>
      <c r="K916" t="n">
        <v>3</v>
      </c>
      <c r="L916" t="n">
        <v>0.6666666666666666</v>
      </c>
      <c r="M916" t="n">
        <v>3</v>
      </c>
      <c r="N916" t="n">
        <v>9</v>
      </c>
      <c r="O916" t="n">
        <v>0</v>
      </c>
      <c r="P916" t="n">
        <v>0</v>
      </c>
      <c r="Q916" t="n">
        <v>0</v>
      </c>
      <c r="R916" t="inlineStr">
        <is>
          <t>Riesgo bajo stock</t>
        </is>
      </c>
    </row>
    <row r="917">
      <c r="A917" t="inlineStr">
        <is>
          <t>JAPKI43T6</t>
        </is>
      </c>
      <c r="B917" t="inlineStr">
        <is>
          <t>CUADRO JACKET 2.0 KIDS</t>
        </is>
      </c>
      <c r="C917" t="inlineStr">
        <is>
          <t>Equipamiento / Ropa</t>
        </is>
      </c>
      <c r="D917" t="n">
        <v>959.1096429</v>
      </c>
      <c r="E917" t="n">
        <v>0.0002348212797238891</v>
      </c>
      <c r="F917" t="n">
        <v>0.8488025995389249</v>
      </c>
      <c r="G917" t="inlineStr">
        <is>
          <t>B</t>
        </is>
      </c>
      <c r="H917" t="n">
        <v>28</v>
      </c>
      <c r="I917" t="n">
        <v>15.17</v>
      </c>
      <c r="J917" t="n">
        <v>424.76</v>
      </c>
      <c r="K917" t="n">
        <v>1.4</v>
      </c>
      <c r="L917" t="n">
        <v>20</v>
      </c>
      <c r="M917" t="n">
        <v>3</v>
      </c>
      <c r="N917" t="n">
        <v>4.199999999999999</v>
      </c>
      <c r="O917" t="n">
        <v>23.8</v>
      </c>
      <c r="P917" t="n">
        <v>361.046</v>
      </c>
      <c r="Q917" t="n">
        <v>0.85</v>
      </c>
      <c r="R917" t="inlineStr">
        <is>
          <t>Sobrestock crítico</t>
        </is>
      </c>
    </row>
    <row r="918">
      <c r="A918" t="inlineStr">
        <is>
          <t>CAP44MC</t>
        </is>
      </c>
      <c r="B918" t="inlineStr">
        <is>
          <t>MESH CAP</t>
        </is>
      </c>
      <c r="C918" t="inlineStr">
        <is>
          <t>Equipamiento / Gorras</t>
        </is>
      </c>
      <c r="D918" t="n">
        <v>956.12765336</v>
      </c>
      <c r="E918" t="n">
        <v>0.0002340911915581724</v>
      </c>
      <c r="F918" t="n">
        <v>0.849036690730483</v>
      </c>
      <c r="G918" t="inlineStr">
        <is>
          <t>B</t>
        </is>
      </c>
      <c r="H918" t="n">
        <v>0</v>
      </c>
      <c r="I918" t="n">
        <v>3.36</v>
      </c>
      <c r="J918" t="n">
        <v>0</v>
      </c>
      <c r="K918" t="n">
        <v>3.3</v>
      </c>
      <c r="L918" t="n">
        <v>0</v>
      </c>
      <c r="M918" t="n">
        <v>3</v>
      </c>
      <c r="N918" t="n">
        <v>9.899999999999999</v>
      </c>
      <c r="O918" t="n">
        <v>0</v>
      </c>
      <c r="P918" t="n">
        <v>0</v>
      </c>
      <c r="Q918" t="n">
        <v>0</v>
      </c>
      <c r="R918" t="inlineStr">
        <is>
          <t>Riesgo bajo stock</t>
        </is>
      </c>
    </row>
    <row r="919">
      <c r="A919" t="inlineStr">
        <is>
          <t>RIOMIKI50T12</t>
        </is>
      </c>
      <c r="B919" t="inlineStr">
        <is>
          <t>RIO ORIGINAL KIDS</t>
        </is>
      </c>
      <c r="C919" t="inlineStr">
        <is>
          <t>Manufactura / Kids / P. Superiores</t>
        </is>
      </c>
      <c r="D919" t="n">
        <v>953.41668715</v>
      </c>
      <c r="E919" t="n">
        <v>0.0002334274587311354</v>
      </c>
      <c r="F919" t="n">
        <v>0.8492701181892142</v>
      </c>
      <c r="G919" t="inlineStr">
        <is>
          <t>B</t>
        </is>
      </c>
      <c r="H919" t="n">
        <v>58</v>
      </c>
      <c r="I919" t="n">
        <v>3.617969464</v>
      </c>
      <c r="J919" t="n">
        <v>209.842228912</v>
      </c>
      <c r="K919" t="n">
        <v>2.2</v>
      </c>
      <c r="L919" t="n">
        <v>26.36363636363636</v>
      </c>
      <c r="M919" t="n">
        <v>3</v>
      </c>
      <c r="N919" t="n">
        <v>6.600000000000001</v>
      </c>
      <c r="O919" t="n">
        <v>51.4</v>
      </c>
      <c r="P919" t="n">
        <v>185.9636304496</v>
      </c>
      <c r="Q919" t="n">
        <v>0.886206896551724</v>
      </c>
      <c r="R919" t="inlineStr">
        <is>
          <t>Sobrestock crítico</t>
        </is>
      </c>
    </row>
    <row r="920">
      <c r="A920" t="inlineStr">
        <is>
          <t>SHOUNCA187T2XL</t>
        </is>
      </c>
      <c r="B920" t="inlineStr">
        <is>
          <t>SHORT PLAYA CAB</t>
        </is>
      </c>
      <c r="C920" t="inlineStr">
        <is>
          <t>Manufactura / Caballero / P. Inferiores</t>
        </is>
      </c>
      <c r="D920" t="n">
        <v>952.90445699</v>
      </c>
      <c r="E920" t="n">
        <v>0.0002333020481041286</v>
      </c>
      <c r="F920" t="n">
        <v>0.8495034202373183</v>
      </c>
      <c r="G920" t="inlineStr">
        <is>
          <t>B</t>
        </is>
      </c>
      <c r="H920" t="n">
        <v>23</v>
      </c>
      <c r="I920" t="n">
        <v>9.99</v>
      </c>
      <c r="J920" t="n">
        <v>229.77</v>
      </c>
      <c r="K920" t="n">
        <v>1.8</v>
      </c>
      <c r="L920" t="n">
        <v>12.77777777777778</v>
      </c>
      <c r="M920" t="n">
        <v>3</v>
      </c>
      <c r="N920" t="n">
        <v>5.4</v>
      </c>
      <c r="O920" t="n">
        <v>17.6</v>
      </c>
      <c r="P920" t="n">
        <v>175.824</v>
      </c>
      <c r="Q920" t="n">
        <v>0.7652173913043478</v>
      </c>
      <c r="R920" t="inlineStr">
        <is>
          <t>Sobrestock crítico</t>
        </is>
      </c>
    </row>
    <row r="921">
      <c r="A921" t="inlineStr">
        <is>
          <t>RIOMIDA48TXS</t>
        </is>
      </c>
      <c r="B921" t="inlineStr">
        <is>
          <t>RIO ORIGINAL DAMA</t>
        </is>
      </c>
      <c r="C921" t="inlineStr">
        <is>
          <t>Manufactura / Dama / P. Superiores</t>
        </is>
      </c>
      <c r="D921" t="n">
        <v>951.1432046800001</v>
      </c>
      <c r="E921" t="n">
        <v>0.0002328708361729251</v>
      </c>
      <c r="F921" t="n">
        <v>0.8497362910734912</v>
      </c>
      <c r="G921" t="inlineStr">
        <is>
          <t>B</t>
        </is>
      </c>
      <c r="H921" t="n">
        <v>17</v>
      </c>
      <c r="I921" t="n">
        <v>5.538832275</v>
      </c>
      <c r="J921" t="n">
        <v>94.160148675</v>
      </c>
      <c r="K921" t="n">
        <v>1.8</v>
      </c>
      <c r="L921" t="n">
        <v>9.444444444444445</v>
      </c>
      <c r="M921" t="n">
        <v>3</v>
      </c>
      <c r="N921" t="n">
        <v>5.4</v>
      </c>
      <c r="O921" t="n">
        <v>11.6</v>
      </c>
      <c r="P921" t="n">
        <v>64.25045439</v>
      </c>
      <c r="Q921" t="n">
        <v>0.6823529411764706</v>
      </c>
      <c r="R921" t="inlineStr">
        <is>
          <t>Sobrestock crítico</t>
        </is>
      </c>
    </row>
    <row r="922">
      <c r="A922" t="inlineStr">
        <is>
          <t>MIKFNDA10TXS</t>
        </is>
      </c>
      <c r="B922" t="inlineStr">
        <is>
          <t>MIKA SPORT LITE DAMA</t>
        </is>
      </c>
      <c r="C922" t="inlineStr">
        <is>
          <t>Manufactura / Dama / P. Superiores</t>
        </is>
      </c>
      <c r="D922" t="n">
        <v>950.19648726</v>
      </c>
      <c r="E922" t="n">
        <v>0.000232639048912994</v>
      </c>
      <c r="F922" t="n">
        <v>0.8499689301224043</v>
      </c>
      <c r="G922" t="inlineStr">
        <is>
          <t>B</t>
        </is>
      </c>
      <c r="H922" t="n">
        <v>21</v>
      </c>
      <c r="I922" t="n">
        <v>5.484675344</v>
      </c>
      <c r="J922" t="n">
        <v>115.178182224</v>
      </c>
      <c r="K922" t="n">
        <v>2.8</v>
      </c>
      <c r="L922" t="n">
        <v>7.500000000000001</v>
      </c>
      <c r="M922" t="n">
        <v>3</v>
      </c>
      <c r="N922" t="n">
        <v>8.399999999999999</v>
      </c>
      <c r="O922" t="n">
        <v>12.6</v>
      </c>
      <c r="P922" t="n">
        <v>69.10690933440002</v>
      </c>
      <c r="Q922" t="n">
        <v>0.6000000000000001</v>
      </c>
      <c r="R922" t="inlineStr">
        <is>
          <t>Sobrestock crítico</t>
        </is>
      </c>
    </row>
    <row r="923">
      <c r="A923" t="inlineStr">
        <is>
          <t>SHUNTDA43TXL</t>
        </is>
      </c>
      <c r="B923" t="inlineStr">
        <is>
          <t>SHORT SPORT R1 DAMA</t>
        </is>
      </c>
      <c r="C923" t="inlineStr">
        <is>
          <t>Manufactura / Dama / P. Inferiores</t>
        </is>
      </c>
      <c r="D923" t="n">
        <v>949.37912351</v>
      </c>
      <c r="E923" t="n">
        <v>0.0002324389316446548</v>
      </c>
      <c r="F923" t="n">
        <v>0.8502013690540489</v>
      </c>
      <c r="G923" t="inlineStr">
        <is>
          <t>B</t>
        </is>
      </c>
      <c r="H923" t="n">
        <v>58</v>
      </c>
      <c r="I923" t="n">
        <v>8.33</v>
      </c>
      <c r="J923" t="n">
        <v>483.14</v>
      </c>
      <c r="K923" t="n">
        <v>2</v>
      </c>
      <c r="L923" t="n">
        <v>29</v>
      </c>
      <c r="M923" t="n">
        <v>3</v>
      </c>
      <c r="N923" t="n">
        <v>6</v>
      </c>
      <c r="O923" t="n">
        <v>52</v>
      </c>
      <c r="P923" t="n">
        <v>433.16</v>
      </c>
      <c r="Q923" t="n">
        <v>0.8965517241379312</v>
      </c>
      <c r="R923" t="inlineStr">
        <is>
          <t>Sobrestock crítico</t>
        </is>
      </c>
    </row>
    <row r="924">
      <c r="A924" t="inlineStr">
        <is>
          <t>SARSPDA12TL</t>
        </is>
      </c>
      <c r="B924" t="inlineStr">
        <is>
          <t>FALDA SARA DAMA</t>
        </is>
      </c>
      <c r="C924" t="inlineStr">
        <is>
          <t>Manufactura / Dama / P. Inferiores</t>
        </is>
      </c>
      <c r="D924" t="n">
        <v>947.61318102</v>
      </c>
      <c r="E924" t="n">
        <v>0.0002320065714046234</v>
      </c>
      <c r="F924" t="n">
        <v>0.8504333756254535</v>
      </c>
      <c r="G924" t="inlineStr">
        <is>
          <t>B</t>
        </is>
      </c>
      <c r="H924" t="n">
        <v>6</v>
      </c>
      <c r="I924" t="n">
        <v>9.500113852</v>
      </c>
      <c r="J924" t="n">
        <v>57.000683112</v>
      </c>
      <c r="K924" t="n">
        <v>1.9</v>
      </c>
      <c r="L924" t="n">
        <v>3.157894736842105</v>
      </c>
      <c r="M924" t="n">
        <v>3</v>
      </c>
      <c r="N924" t="n">
        <v>5.699999999999999</v>
      </c>
      <c r="O924" t="n">
        <v>0.3000000000000007</v>
      </c>
      <c r="P924" t="n">
        <v>2.850034155600007</v>
      </c>
      <c r="Q924" t="n">
        <v>0.05000000000000011</v>
      </c>
      <c r="R924" t="inlineStr">
        <is>
          <t>Sobrestock</t>
        </is>
      </c>
    </row>
    <row r="925">
      <c r="A925" t="inlineStr">
        <is>
          <t>SARSPKI12T14</t>
        </is>
      </c>
      <c r="B925" t="inlineStr">
        <is>
          <t>FALDA SARA KIDS</t>
        </is>
      </c>
      <c r="C925" t="inlineStr">
        <is>
          <t>Manufactura / Kids / P. Inferiores</t>
        </is>
      </c>
      <c r="D925" t="n">
        <v>946.4554156199999</v>
      </c>
      <c r="E925" t="n">
        <v>0.0002317231127251486</v>
      </c>
      <c r="F925" t="n">
        <v>0.8506650987381786</v>
      </c>
      <c r="G925" t="inlineStr">
        <is>
          <t>B</t>
        </is>
      </c>
      <c r="H925" t="n">
        <v>20</v>
      </c>
      <c r="I925" t="n">
        <v>5.753743316</v>
      </c>
      <c r="J925" t="n">
        <v>115.07486632</v>
      </c>
      <c r="K925" t="n">
        <v>2.1</v>
      </c>
      <c r="L925" t="n">
        <v>9.523809523809524</v>
      </c>
      <c r="M925" t="n">
        <v>3</v>
      </c>
      <c r="N925" t="n">
        <v>6.300000000000001</v>
      </c>
      <c r="O925" t="n">
        <v>13.7</v>
      </c>
      <c r="P925" t="n">
        <v>78.8262834292</v>
      </c>
      <c r="Q925" t="n">
        <v>0.6849999999999999</v>
      </c>
      <c r="R925" t="inlineStr">
        <is>
          <t>Sobrestock crítico</t>
        </is>
      </c>
    </row>
    <row r="926">
      <c r="A926" t="inlineStr">
        <is>
          <t>MARMIDA53TL</t>
        </is>
      </c>
      <c r="B926" t="inlineStr">
        <is>
          <t>MAR ORIGINAL DAMA</t>
        </is>
      </c>
      <c r="C926" t="inlineStr">
        <is>
          <t>Manufactura / Dama / P. Superiores</t>
        </is>
      </c>
      <c r="D926" t="n">
        <v>942.49567151</v>
      </c>
      <c r="E926" t="n">
        <v>0.0002307536383942704</v>
      </c>
      <c r="F926" t="n">
        <v>0.8508958523765729</v>
      </c>
      <c r="G926" t="inlineStr">
        <is>
          <t>B</t>
        </is>
      </c>
      <c r="H926" t="n">
        <v>25</v>
      </c>
      <c r="I926" t="n">
        <v>4.278324149</v>
      </c>
      <c r="J926" t="n">
        <v>106.958103725</v>
      </c>
      <c r="K926" t="n">
        <v>1.9</v>
      </c>
      <c r="L926" t="n">
        <v>13.15789473684211</v>
      </c>
      <c r="M926" t="n">
        <v>3</v>
      </c>
      <c r="N926" t="n">
        <v>5.699999999999999</v>
      </c>
      <c r="O926" t="n">
        <v>19.3</v>
      </c>
      <c r="P926" t="n">
        <v>82.57165607570001</v>
      </c>
      <c r="Q926" t="n">
        <v>0.7719999999999999</v>
      </c>
      <c r="R926" t="inlineStr">
        <is>
          <t>Sobrestock crítico</t>
        </is>
      </c>
    </row>
    <row r="927">
      <c r="A927" t="inlineStr">
        <is>
          <t>DAYCSTCA16TXL</t>
        </is>
      </c>
      <c r="B927" t="inlineStr">
        <is>
          <t>CLASICA DAILY 3.0 CAB</t>
        </is>
      </c>
      <c r="C927" t="inlineStr">
        <is>
          <t>Manufactura / Caballero / P. Superiores</t>
        </is>
      </c>
      <c r="D927" t="n">
        <v>940.88094858</v>
      </c>
      <c r="E927" t="n">
        <v>0.0002303583016278965</v>
      </c>
      <c r="F927" t="n">
        <v>0.8511262106782008</v>
      </c>
      <c r="G927" t="inlineStr">
        <is>
          <t>B</t>
        </is>
      </c>
      <c r="H927" t="n">
        <v>20</v>
      </c>
      <c r="I927" t="n">
        <v>11.76035097</v>
      </c>
      <c r="J927" t="n">
        <v>235.2070194</v>
      </c>
      <c r="K927" t="n">
        <v>2.1</v>
      </c>
      <c r="L927" t="n">
        <v>9.523809523809524</v>
      </c>
      <c r="M927" t="n">
        <v>3</v>
      </c>
      <c r="N927" t="n">
        <v>6.300000000000001</v>
      </c>
      <c r="O927" t="n">
        <v>13.7</v>
      </c>
      <c r="P927" t="n">
        <v>161.116808289</v>
      </c>
      <c r="Q927" t="n">
        <v>0.6849999999999999</v>
      </c>
      <c r="R927" t="inlineStr">
        <is>
          <t>Sobrestock crítico</t>
        </is>
      </c>
    </row>
    <row r="928">
      <c r="A928" t="inlineStr">
        <is>
          <t>RIOMIDA50TL</t>
        </is>
      </c>
      <c r="B928" t="inlineStr">
        <is>
          <t>RIO ORIGINAL DAMA</t>
        </is>
      </c>
      <c r="C928" t="inlineStr">
        <is>
          <t>Manufactura / Dama / P. Superiores</t>
        </is>
      </c>
      <c r="D928" t="n">
        <v>940.4652061</v>
      </c>
      <c r="E928" t="n">
        <v>0.0002302565143276521</v>
      </c>
      <c r="F928" t="n">
        <v>0.8513564671925284</v>
      </c>
      <c r="G928" t="inlineStr">
        <is>
          <t>B</t>
        </is>
      </c>
      <c r="H928" t="n">
        <v>38</v>
      </c>
      <c r="I928" t="n">
        <v>5.538832275</v>
      </c>
      <c r="J928" t="n">
        <v>210.47562645</v>
      </c>
      <c r="K928" t="n">
        <v>1.7</v>
      </c>
      <c r="L928" t="n">
        <v>22.35294117647059</v>
      </c>
      <c r="M928" t="n">
        <v>3</v>
      </c>
      <c r="N928" t="n">
        <v>5.1</v>
      </c>
      <c r="O928" t="n">
        <v>32.9</v>
      </c>
      <c r="P928" t="n">
        <v>182.2275818475</v>
      </c>
      <c r="Q928" t="n">
        <v>0.8657894736842104</v>
      </c>
      <c r="R928" t="inlineStr">
        <is>
          <t>Sobrestock crítico</t>
        </is>
      </c>
    </row>
    <row r="929">
      <c r="A929" t="inlineStr">
        <is>
          <t>MTOT43UN</t>
        </is>
      </c>
      <c r="B929" t="inlineStr">
        <is>
          <t>MAXI TOTE</t>
        </is>
      </c>
      <c r="C929" t="inlineStr">
        <is>
          <t>Equipamiento / Bolsos</t>
        </is>
      </c>
      <c r="D929" t="n">
        <v>939.35361886</v>
      </c>
      <c r="E929" t="n">
        <v>0.0002299843615658132</v>
      </c>
      <c r="F929" t="n">
        <v>0.8515864515540943</v>
      </c>
      <c r="G929" t="inlineStr">
        <is>
          <t>B</t>
        </is>
      </c>
      <c r="H929" t="n">
        <v>450</v>
      </c>
      <c r="I929" t="n">
        <v>17.13</v>
      </c>
      <c r="J929" t="n">
        <v>7708.5</v>
      </c>
      <c r="K929" t="n">
        <v>1.4</v>
      </c>
      <c r="L929" t="n">
        <v>321.4285714285714</v>
      </c>
      <c r="M929" t="n">
        <v>3</v>
      </c>
      <c r="N929" t="n">
        <v>4.199999999999999</v>
      </c>
      <c r="O929" t="n">
        <v>445.8</v>
      </c>
      <c r="P929" t="n">
        <v>7636.554</v>
      </c>
      <c r="Q929" t="n">
        <v>0.9906666666666667</v>
      </c>
      <c r="R929" t="inlineStr">
        <is>
          <t>Sobrestock crítico</t>
        </is>
      </c>
    </row>
    <row r="930">
      <c r="A930" t="inlineStr">
        <is>
          <t>SUC103EQ</t>
        </is>
      </c>
      <c r="B930" t="inlineStr">
        <is>
          <t>SUNNY CORD 2.0</t>
        </is>
      </c>
      <c r="C930" t="inlineStr">
        <is>
          <t>Equipamiento / Accesorios</t>
        </is>
      </c>
      <c r="D930" t="n">
        <v>937.814642102</v>
      </c>
      <c r="E930" t="n">
        <v>0.000229607569929472</v>
      </c>
      <c r="F930" t="n">
        <v>0.8518160591240238</v>
      </c>
      <c r="G930" t="inlineStr">
        <is>
          <t>B</t>
        </is>
      </c>
      <c r="H930" t="n">
        <v>3</v>
      </c>
      <c r="I930" t="n">
        <v>0.66</v>
      </c>
      <c r="J930" t="n">
        <v>1.98</v>
      </c>
      <c r="K930" t="n">
        <v>16.8</v>
      </c>
      <c r="L930" t="n">
        <v>0.1785714285714286</v>
      </c>
      <c r="M930" t="n">
        <v>3</v>
      </c>
      <c r="N930" t="n">
        <v>50.40000000000001</v>
      </c>
      <c r="O930" t="n">
        <v>0</v>
      </c>
      <c r="P930" t="n">
        <v>0</v>
      </c>
      <c r="Q930" t="n">
        <v>0</v>
      </c>
      <c r="R930" t="inlineStr">
        <is>
          <t>Riesgo bajo stock</t>
        </is>
      </c>
    </row>
    <row r="931">
      <c r="A931" t="inlineStr">
        <is>
          <t>CLAMIDA30TS</t>
        </is>
      </c>
      <c r="B931" t="inlineStr">
        <is>
          <t>CLASICA ORIGINAL DAMA</t>
        </is>
      </c>
      <c r="C931" t="inlineStr">
        <is>
          <t>Manufactura / Dama / P. Superiores</t>
        </is>
      </c>
      <c r="D931" t="n">
        <v>934.10723537</v>
      </c>
      <c r="E931" t="n">
        <v>0.0002286998760076041</v>
      </c>
      <c r="F931" t="n">
        <v>0.8520447590000314</v>
      </c>
      <c r="G931" t="inlineStr">
        <is>
          <t>B</t>
        </is>
      </c>
      <c r="H931" t="n">
        <v>38</v>
      </c>
      <c r="I931" t="n">
        <v>3.923227589000001</v>
      </c>
      <c r="J931" t="n">
        <v>149.082648382</v>
      </c>
      <c r="K931" t="n">
        <v>2.6</v>
      </c>
      <c r="L931" t="n">
        <v>14.61538461538461</v>
      </c>
      <c r="M931" t="n">
        <v>3</v>
      </c>
      <c r="N931" t="n">
        <v>7.800000000000001</v>
      </c>
      <c r="O931" t="n">
        <v>30.2</v>
      </c>
      <c r="P931" t="n">
        <v>118.4814731878</v>
      </c>
      <c r="Q931" t="n">
        <v>0.7947368421052632</v>
      </c>
      <c r="R931" t="inlineStr">
        <is>
          <t>Sobrestock crítico</t>
        </is>
      </c>
    </row>
    <row r="932">
      <c r="A932" t="inlineStr">
        <is>
          <t>JACCA67TM</t>
        </is>
      </c>
      <c r="B932" t="inlineStr">
        <is>
          <t>JACKET CAB</t>
        </is>
      </c>
      <c r="C932" t="inlineStr">
        <is>
          <t>Equipamiento / Ropa</t>
        </is>
      </c>
      <c r="D932" t="n">
        <v>933.4292698239121</v>
      </c>
      <c r="E932" t="n">
        <v>0.0002285338879599189</v>
      </c>
      <c r="F932" t="n">
        <v>0.8522732928879914</v>
      </c>
      <c r="G932" t="inlineStr">
        <is>
          <t>B</t>
        </is>
      </c>
      <c r="H932" t="n">
        <v>46</v>
      </c>
      <c r="I932" t="n">
        <v>20.25001933</v>
      </c>
      <c r="J932" t="n">
        <v>931.5008891800002</v>
      </c>
      <c r="K932" t="n">
        <v>1.4</v>
      </c>
      <c r="L932" t="n">
        <v>32.85714285714286</v>
      </c>
      <c r="M932" t="n">
        <v>3</v>
      </c>
      <c r="N932" t="n">
        <v>4.199999999999999</v>
      </c>
      <c r="O932" t="n">
        <v>41.8</v>
      </c>
      <c r="P932" t="n">
        <v>846.4508079940001</v>
      </c>
      <c r="Q932" t="n">
        <v>0.908695652173913</v>
      </c>
      <c r="R932" t="inlineStr">
        <is>
          <t>Sobrestock crítico</t>
        </is>
      </c>
    </row>
    <row r="933">
      <c r="A933" t="inlineStr">
        <is>
          <t>BASCCDA38TL</t>
        </is>
      </c>
      <c r="B933" t="inlineStr">
        <is>
          <t>BASIC LINE SHORT DAMA</t>
        </is>
      </c>
      <c r="C933" t="inlineStr">
        <is>
          <t>Manufactura / Dama / P. Inferiores</t>
        </is>
      </c>
      <c r="D933" t="n">
        <v>926.18871261</v>
      </c>
      <c r="E933" t="n">
        <v>0.0002267611637219017</v>
      </c>
      <c r="F933" t="n">
        <v>0.8525000540517133</v>
      </c>
      <c r="G933" t="inlineStr">
        <is>
          <t>B</t>
        </is>
      </c>
      <c r="H933" t="n">
        <v>30</v>
      </c>
      <c r="I933" t="n">
        <v>6.01</v>
      </c>
      <c r="J933" t="n">
        <v>180.3</v>
      </c>
      <c r="K933" t="n">
        <v>2.1</v>
      </c>
      <c r="L933" t="n">
        <v>14.28571428571428</v>
      </c>
      <c r="M933" t="n">
        <v>3</v>
      </c>
      <c r="N933" t="n">
        <v>6.300000000000001</v>
      </c>
      <c r="O933" t="n">
        <v>23.7</v>
      </c>
      <c r="P933" t="n">
        <v>142.437</v>
      </c>
      <c r="Q933" t="n">
        <v>0.79</v>
      </c>
      <c r="R933" t="inlineStr">
        <is>
          <t>Sobrestock crítico</t>
        </is>
      </c>
    </row>
    <row r="934">
      <c r="A934" t="inlineStr">
        <is>
          <t>MARMICA11T2XL</t>
        </is>
      </c>
      <c r="B934" t="inlineStr">
        <is>
          <t>MAR ORIGINAL CAB</t>
        </is>
      </c>
      <c r="C934" t="inlineStr">
        <is>
          <t>Manufactura / Caballero / P. Superiores</t>
        </is>
      </c>
      <c r="D934" t="n">
        <v>923.73569161</v>
      </c>
      <c r="E934" t="n">
        <v>0.0002261605842838012</v>
      </c>
      <c r="F934" t="n">
        <v>0.8527262146359971</v>
      </c>
      <c r="G934" t="inlineStr">
        <is>
          <t>B</t>
        </is>
      </c>
      <c r="H934" t="n">
        <v>24</v>
      </c>
      <c r="I934" t="n">
        <v>4.946357428</v>
      </c>
      <c r="J934" t="n">
        <v>118.712578272</v>
      </c>
      <c r="K934" t="n">
        <v>1.8</v>
      </c>
      <c r="L934" t="n">
        <v>13.33333333333333</v>
      </c>
      <c r="M934" t="n">
        <v>3</v>
      </c>
      <c r="N934" t="n">
        <v>5.4</v>
      </c>
      <c r="O934" t="n">
        <v>18.6</v>
      </c>
      <c r="P934" t="n">
        <v>92.00224816080001</v>
      </c>
      <c r="Q934" t="n">
        <v>0.775</v>
      </c>
      <c r="R934" t="inlineStr">
        <is>
          <t>Sobrestock crítico</t>
        </is>
      </c>
    </row>
    <row r="935">
      <c r="A935" t="inlineStr">
        <is>
          <t>RIOMIDA66TM</t>
        </is>
      </c>
      <c r="B935" t="inlineStr">
        <is>
          <t>RIO ORIGINAL DAMA</t>
        </is>
      </c>
      <c r="C935" t="inlineStr">
        <is>
          <t>Manufactura / Dama / P. Superiores</t>
        </is>
      </c>
      <c r="D935" t="n">
        <v>923.35969172</v>
      </c>
      <c r="E935" t="n">
        <v>0.000226068527264044</v>
      </c>
      <c r="F935" t="n">
        <v>0.8529522831632611</v>
      </c>
      <c r="G935" t="inlineStr">
        <is>
          <t>B</t>
        </is>
      </c>
      <c r="H935" t="n">
        <v>22</v>
      </c>
      <c r="I935" t="n">
        <v>5.538832275</v>
      </c>
      <c r="J935" t="n">
        <v>121.85431005</v>
      </c>
      <c r="K935" t="n">
        <v>1.7</v>
      </c>
      <c r="L935" t="n">
        <v>12.94117647058824</v>
      </c>
      <c r="M935" t="n">
        <v>3</v>
      </c>
      <c r="N935" t="n">
        <v>5.1</v>
      </c>
      <c r="O935" t="n">
        <v>16.9</v>
      </c>
      <c r="P935" t="n">
        <v>93.60626544749999</v>
      </c>
      <c r="Q935" t="n">
        <v>0.7681818181818182</v>
      </c>
      <c r="R935" t="inlineStr">
        <is>
          <t>Sobrestock crítico</t>
        </is>
      </c>
    </row>
    <row r="936">
      <c r="A936" t="inlineStr">
        <is>
          <t>RIOMICA30TM</t>
        </is>
      </c>
      <c r="B936" t="inlineStr">
        <is>
          <t>RIO ORIGINAL CAB</t>
        </is>
      </c>
      <c r="C936" t="inlineStr">
        <is>
          <t>Manufactura / Caballero / P. Superiores</t>
        </is>
      </c>
      <c r="D936" t="n">
        <v>921.37669092</v>
      </c>
      <c r="E936" t="n">
        <v>0.0002255830240799226</v>
      </c>
      <c r="F936" t="n">
        <v>0.853177866187341</v>
      </c>
      <c r="G936" t="inlineStr">
        <is>
          <t>B</t>
        </is>
      </c>
      <c r="H936" t="n">
        <v>12</v>
      </c>
      <c r="I936" t="n">
        <v>5.939350288</v>
      </c>
      <c r="J936" t="n">
        <v>71.272203456</v>
      </c>
      <c r="K936" t="n">
        <v>1.7</v>
      </c>
      <c r="L936" t="n">
        <v>7.058823529411764</v>
      </c>
      <c r="M936" t="n">
        <v>3</v>
      </c>
      <c r="N936" t="n">
        <v>5.1</v>
      </c>
      <c r="O936" t="n">
        <v>6.9</v>
      </c>
      <c r="P936" t="n">
        <v>40.9815169872</v>
      </c>
      <c r="Q936" t="n">
        <v>0.5750000000000001</v>
      </c>
      <c r="R936" t="inlineStr">
        <is>
          <t>Sobrestock crítico</t>
        </is>
      </c>
    </row>
    <row r="937">
      <c r="A937" t="inlineStr">
        <is>
          <t>MARMIKI11T12</t>
        </is>
      </c>
      <c r="B937" t="inlineStr">
        <is>
          <t>MAR ORIGINAL KIDS</t>
        </is>
      </c>
      <c r="C937" t="inlineStr">
        <is>
          <t>Manufactura / Kids / P. Superiores</t>
        </is>
      </c>
      <c r="D937" t="n">
        <v>920.12933286</v>
      </c>
      <c r="E937" t="n">
        <v>0.0002252776301991589</v>
      </c>
      <c r="F937" t="n">
        <v>0.8534031438175402</v>
      </c>
      <c r="G937" t="inlineStr">
        <is>
          <t>B</t>
        </is>
      </c>
      <c r="H937" t="n">
        <v>15</v>
      </c>
      <c r="I937" t="n">
        <v>3.168013332</v>
      </c>
      <c r="J937" t="n">
        <v>47.52019998</v>
      </c>
      <c r="K937" t="n">
        <v>2.7</v>
      </c>
      <c r="L937" t="n">
        <v>5.555555555555555</v>
      </c>
      <c r="M937" t="n">
        <v>3</v>
      </c>
      <c r="N937" t="n">
        <v>8.100000000000001</v>
      </c>
      <c r="O937" t="n">
        <v>6.899999999999999</v>
      </c>
      <c r="P937" t="n">
        <v>21.8592919908</v>
      </c>
      <c r="Q937" t="n">
        <v>0.4599999999999999</v>
      </c>
      <c r="R937" t="inlineStr">
        <is>
          <t>Sobrestock crítico</t>
        </is>
      </c>
    </row>
    <row r="938">
      <c r="A938" t="inlineStr">
        <is>
          <t>SHONRCA43TS</t>
        </is>
      </c>
      <c r="B938" t="inlineStr">
        <is>
          <t>SHORT SPORT CAB</t>
        </is>
      </c>
      <c r="C938" t="inlineStr">
        <is>
          <t>Manufactura / Caballero / P. Inferiores</t>
        </is>
      </c>
      <c r="D938" t="n">
        <v>913.29353512</v>
      </c>
      <c r="E938" t="n">
        <v>0.0002236040042637685</v>
      </c>
      <c r="F938" t="n">
        <v>0.853626747821804</v>
      </c>
      <c r="G938" t="inlineStr">
        <is>
          <t>B</t>
        </is>
      </c>
      <c r="H938" t="n">
        <v>2</v>
      </c>
      <c r="I938" t="n">
        <v>10.6514486</v>
      </c>
      <c r="J938" t="n">
        <v>21.3028972</v>
      </c>
      <c r="K938" t="n">
        <v>2.8</v>
      </c>
      <c r="L938" t="n">
        <v>0.7142857142857143</v>
      </c>
      <c r="M938" t="n">
        <v>3</v>
      </c>
      <c r="N938" t="n">
        <v>8.399999999999999</v>
      </c>
      <c r="O938" t="n">
        <v>0</v>
      </c>
      <c r="P938" t="n">
        <v>0</v>
      </c>
      <c r="Q938" t="n">
        <v>0</v>
      </c>
      <c r="R938" t="inlineStr">
        <is>
          <t>Riesgo bajo stock</t>
        </is>
      </c>
    </row>
    <row r="939">
      <c r="A939" t="inlineStr">
        <is>
          <t>RIOMIDA66TL</t>
        </is>
      </c>
      <c r="B939" t="inlineStr">
        <is>
          <t>RIO ORIGINAL DAMA</t>
        </is>
      </c>
      <c r="C939" t="inlineStr">
        <is>
          <t>Manufactura / Dama / P. Superiores</t>
        </is>
      </c>
      <c r="D939" t="n">
        <v>912.7864315100001</v>
      </c>
      <c r="E939" t="n">
        <v>0.0002234798487831784</v>
      </c>
      <c r="F939" t="n">
        <v>0.8538502276705872</v>
      </c>
      <c r="G939" t="inlineStr">
        <is>
          <t>B</t>
        </is>
      </c>
      <c r="H939" t="n">
        <v>30</v>
      </c>
      <c r="I939" t="n">
        <v>5.538832275</v>
      </c>
      <c r="J939" t="n">
        <v>166.16496825</v>
      </c>
      <c r="K939" t="n">
        <v>1.7</v>
      </c>
      <c r="L939" t="n">
        <v>17.64705882352941</v>
      </c>
      <c r="M939" t="n">
        <v>3</v>
      </c>
      <c r="N939" t="n">
        <v>5.1</v>
      </c>
      <c r="O939" t="n">
        <v>24.9</v>
      </c>
      <c r="P939" t="n">
        <v>137.9169236475</v>
      </c>
      <c r="Q939" t="n">
        <v>0.8300000000000001</v>
      </c>
      <c r="R939" t="inlineStr">
        <is>
          <t>Sobrestock crítico</t>
        </is>
      </c>
    </row>
    <row r="940">
      <c r="A940" t="inlineStr">
        <is>
          <t>MIKFNDA16TL</t>
        </is>
      </c>
      <c r="B940" t="inlineStr">
        <is>
          <t>MIKA SPORT LITE DAMA</t>
        </is>
      </c>
      <c r="C940" t="inlineStr">
        <is>
          <t>Manufactura / Dama / P. Superiores</t>
        </is>
      </c>
      <c r="D940" t="n">
        <v>912.55637057</v>
      </c>
      <c r="E940" t="n">
        <v>0.0002234235223717559</v>
      </c>
      <c r="F940" t="n">
        <v>0.854073651192959</v>
      </c>
      <c r="G940" t="inlineStr">
        <is>
          <t>B</t>
        </is>
      </c>
      <c r="H940" t="n">
        <v>10</v>
      </c>
      <c r="I940" t="n">
        <v>5.484675343999999</v>
      </c>
      <c r="J940" t="n">
        <v>54.84675343999999</v>
      </c>
      <c r="K940" t="n">
        <v>2.5</v>
      </c>
      <c r="L940" t="n">
        <v>4</v>
      </c>
      <c r="M940" t="n">
        <v>3</v>
      </c>
      <c r="N940" t="n">
        <v>7.5</v>
      </c>
      <c r="O940" t="n">
        <v>2.5</v>
      </c>
      <c r="P940" t="n">
        <v>13.71168836</v>
      </c>
      <c r="Q940" t="n">
        <v>0.25</v>
      </c>
      <c r="R940" t="inlineStr">
        <is>
          <t>Sobrestock</t>
        </is>
      </c>
    </row>
    <row r="941">
      <c r="A941" t="inlineStr">
        <is>
          <t>RIOMICA43T2XL</t>
        </is>
      </c>
      <c r="B941" t="inlineStr">
        <is>
          <t>RIO ORIGINAL CAB</t>
        </is>
      </c>
      <c r="C941" t="inlineStr">
        <is>
          <t>Manufactura / Caballero / P. Superiores</t>
        </is>
      </c>
      <c r="D941" t="n">
        <v>912.13278957</v>
      </c>
      <c r="E941" t="n">
        <v>0.0002233198159465072</v>
      </c>
      <c r="F941" t="n">
        <v>0.8542969710089054</v>
      </c>
      <c r="G941" t="inlineStr">
        <is>
          <t>B</t>
        </is>
      </c>
      <c r="H941" t="n">
        <v>2</v>
      </c>
      <c r="I941" t="n">
        <v>5.939350288</v>
      </c>
      <c r="J941" t="n">
        <v>11.878700576</v>
      </c>
      <c r="K941" t="n">
        <v>1.7</v>
      </c>
      <c r="L941" t="n">
        <v>1.176470588235294</v>
      </c>
      <c r="M941" t="n">
        <v>3</v>
      </c>
      <c r="N941" t="n">
        <v>5.1</v>
      </c>
      <c r="O941" t="n">
        <v>0</v>
      </c>
      <c r="P941" t="n">
        <v>0</v>
      </c>
      <c r="Q941" t="n">
        <v>0</v>
      </c>
      <c r="R941" t="inlineStr">
        <is>
          <t>OK</t>
        </is>
      </c>
    </row>
    <row r="942">
      <c r="A942" t="inlineStr">
        <is>
          <t>ANMSUDA151TXS</t>
        </is>
      </c>
      <c r="B942" t="inlineStr">
        <is>
          <t>ANDRE MOTION DAMA</t>
        </is>
      </c>
      <c r="C942" t="inlineStr">
        <is>
          <t>Manufactura / Dama / P. Superiores</t>
        </is>
      </c>
      <c r="D942" t="n">
        <v>912.05360696</v>
      </c>
      <c r="E942" t="n">
        <v>0.0002233004294645239</v>
      </c>
      <c r="F942" t="n">
        <v>0.8545202714383699</v>
      </c>
      <c r="G942" t="inlineStr">
        <is>
          <t>B</t>
        </is>
      </c>
      <c r="H942" t="n">
        <v>3</v>
      </c>
      <c r="I942" t="n">
        <v>10.6</v>
      </c>
      <c r="J942" t="n">
        <v>31.8</v>
      </c>
      <c r="K942" t="n">
        <v>2</v>
      </c>
      <c r="L942" t="n">
        <v>1.5</v>
      </c>
      <c r="M942" t="n">
        <v>3</v>
      </c>
      <c r="N942" t="n">
        <v>6</v>
      </c>
      <c r="O942" t="n">
        <v>0</v>
      </c>
      <c r="P942" t="n">
        <v>0</v>
      </c>
      <c r="Q942" t="n">
        <v>0</v>
      </c>
      <c r="R942" t="inlineStr">
        <is>
          <t>OK</t>
        </is>
      </c>
    </row>
    <row r="943">
      <c r="A943" t="inlineStr">
        <is>
          <t>MARMICA04TXL</t>
        </is>
      </c>
      <c r="B943" t="inlineStr">
        <is>
          <t>MAR ORIGINAL CAB</t>
        </is>
      </c>
      <c r="C943" t="inlineStr">
        <is>
          <t>Manufactura / Caballero / P. Superiores</t>
        </is>
      </c>
      <c r="D943" t="n">
        <v>910.96892117</v>
      </c>
      <c r="E943" t="n">
        <v>0.0002230348630538516</v>
      </c>
      <c r="F943" t="n">
        <v>0.8547433063014238</v>
      </c>
      <c r="G943" t="inlineStr">
        <is>
          <t>B</t>
        </is>
      </c>
      <c r="H943" t="n">
        <v>13</v>
      </c>
      <c r="I943" t="n">
        <v>4.946357428</v>
      </c>
      <c r="J943" t="n">
        <v>64.302646564</v>
      </c>
      <c r="K943" t="n">
        <v>1.7</v>
      </c>
      <c r="L943" t="n">
        <v>7.647058823529412</v>
      </c>
      <c r="M943" t="n">
        <v>3</v>
      </c>
      <c r="N943" t="n">
        <v>5.1</v>
      </c>
      <c r="O943" t="n">
        <v>7.9</v>
      </c>
      <c r="P943" t="n">
        <v>39.0762236812</v>
      </c>
      <c r="Q943" t="n">
        <v>0.6076923076923076</v>
      </c>
      <c r="R943" t="inlineStr">
        <is>
          <t>Sobrestock crítico</t>
        </is>
      </c>
    </row>
    <row r="944">
      <c r="A944" t="inlineStr">
        <is>
          <t>CLAMICA13TXL</t>
        </is>
      </c>
      <c r="B944" t="inlineStr">
        <is>
          <t>CLASICA ORIGINAL CAB</t>
        </is>
      </c>
      <c r="C944" t="inlineStr">
        <is>
          <t>Manufactura / Caballero / P. Superiores</t>
        </is>
      </c>
      <c r="D944" t="n">
        <v>909.52932858</v>
      </c>
      <c r="E944" t="n">
        <v>0.0002226824038988767</v>
      </c>
      <c r="F944" t="n">
        <v>0.8549659887053227</v>
      </c>
      <c r="G944" t="inlineStr">
        <is>
          <t>B</t>
        </is>
      </c>
      <c r="H944" t="n">
        <v>29</v>
      </c>
      <c r="I944" t="n">
        <v>4.598442536</v>
      </c>
      <c r="J944" t="n">
        <v>133.354833544</v>
      </c>
      <c r="K944" t="n">
        <v>2.4</v>
      </c>
      <c r="L944" t="n">
        <v>12.08333333333333</v>
      </c>
      <c r="M944" t="n">
        <v>3</v>
      </c>
      <c r="N944" t="n">
        <v>7.199999999999999</v>
      </c>
      <c r="O944" t="n">
        <v>21.8</v>
      </c>
      <c r="P944" t="n">
        <v>100.2460472848</v>
      </c>
      <c r="Q944" t="n">
        <v>0.7517241379310345</v>
      </c>
      <c r="R944" t="inlineStr">
        <is>
          <t>Sobrestock crítico</t>
        </is>
      </c>
    </row>
    <row r="945">
      <c r="A945" t="inlineStr">
        <is>
          <t>TALGOTADA166TS</t>
        </is>
      </c>
      <c r="B945" t="inlineStr">
        <is>
          <t>URBAN COTTON TOP SUNSET DAMA</t>
        </is>
      </c>
      <c r="C945" t="inlineStr">
        <is>
          <t>Manufactura / Dama / P. Superiores</t>
        </is>
      </c>
      <c r="D945" t="n">
        <v>908.56305304</v>
      </c>
      <c r="E945" t="n">
        <v>0.0002224458281741425</v>
      </c>
      <c r="F945" t="n">
        <v>0.8551884345334968</v>
      </c>
      <c r="G945" t="inlineStr">
        <is>
          <t>B</t>
        </is>
      </c>
      <c r="H945" t="n">
        <v>28</v>
      </c>
      <c r="I945" t="n">
        <v>7.815168793999999</v>
      </c>
      <c r="J945" t="n">
        <v>218.824726232</v>
      </c>
      <c r="K945" t="n">
        <v>1.9</v>
      </c>
      <c r="L945" t="n">
        <v>14.73684210526316</v>
      </c>
      <c r="M945" t="n">
        <v>3</v>
      </c>
      <c r="N945" t="n">
        <v>5.699999999999999</v>
      </c>
      <c r="O945" t="n">
        <v>22.3</v>
      </c>
      <c r="P945" t="n">
        <v>174.2782641062</v>
      </c>
      <c r="Q945" t="n">
        <v>0.7964285714285715</v>
      </c>
      <c r="R945" t="inlineStr">
        <is>
          <t>Sobrestock crítico</t>
        </is>
      </c>
    </row>
    <row r="946">
      <c r="A946" t="inlineStr">
        <is>
          <t>RIOMICA70TXL</t>
        </is>
      </c>
      <c r="B946" t="inlineStr">
        <is>
          <t>RIO ORIGINAL CAB</t>
        </is>
      </c>
      <c r="C946" t="inlineStr">
        <is>
          <t>Manufactura / Caballero / P. Superiores</t>
        </is>
      </c>
      <c r="D946" t="n">
        <v>906.02863652</v>
      </c>
      <c r="E946" t="n">
        <v>0.0002218253204616141</v>
      </c>
      <c r="F946" t="n">
        <v>0.8554102598539584</v>
      </c>
      <c r="G946" t="inlineStr">
        <is>
          <t>B</t>
        </is>
      </c>
      <c r="H946" t="n">
        <v>37</v>
      </c>
      <c r="I946" t="n">
        <v>5.939350288</v>
      </c>
      <c r="J946" t="n">
        <v>219.755960656</v>
      </c>
      <c r="K946" t="n">
        <v>1.7</v>
      </c>
      <c r="L946" t="n">
        <v>21.76470588235294</v>
      </c>
      <c r="M946" t="n">
        <v>3</v>
      </c>
      <c r="N946" t="n">
        <v>5.1</v>
      </c>
      <c r="O946" t="n">
        <v>31.9</v>
      </c>
      <c r="P946" t="n">
        <v>189.4652741872</v>
      </c>
      <c r="Q946" t="n">
        <v>0.862162162162162</v>
      </c>
      <c r="R946" t="inlineStr">
        <is>
          <t>Sobrestock crítico</t>
        </is>
      </c>
    </row>
    <row r="947">
      <c r="A947" t="inlineStr">
        <is>
          <t>TOA65PL</t>
        </is>
      </c>
      <c r="B947" t="inlineStr">
        <is>
          <t>TOALLA PLAYA</t>
        </is>
      </c>
      <c r="C947" t="inlineStr">
        <is>
          <t>Equipamiento / Toallas</t>
        </is>
      </c>
      <c r="D947" t="n">
        <v>905.53413255</v>
      </c>
      <c r="E947" t="n">
        <v>0.0002217042497832787</v>
      </c>
      <c r="F947" t="n">
        <v>0.8556319641037416</v>
      </c>
      <c r="G947" t="inlineStr">
        <is>
          <t>B</t>
        </is>
      </c>
      <c r="H947" t="n">
        <v>450</v>
      </c>
      <c r="I947" t="n">
        <v>4.83</v>
      </c>
      <c r="J947" t="n">
        <v>2173.5</v>
      </c>
      <c r="K947" t="n">
        <v>2.9</v>
      </c>
      <c r="L947" t="n">
        <v>155.1724137931035</v>
      </c>
      <c r="M947" t="n">
        <v>3</v>
      </c>
      <c r="N947" t="n">
        <v>8.699999999999999</v>
      </c>
      <c r="O947" t="n">
        <v>441.3</v>
      </c>
      <c r="P947" t="n">
        <v>2131.479</v>
      </c>
      <c r="Q947" t="n">
        <v>0.9806666666666668</v>
      </c>
      <c r="R947" t="inlineStr">
        <is>
          <t>Sobrestock crítico</t>
        </is>
      </c>
    </row>
    <row r="948">
      <c r="A948" t="inlineStr">
        <is>
          <t>GEODOCACA43TM</t>
        </is>
      </c>
      <c r="B948" t="inlineStr">
        <is>
          <t>ADVANCE GEO DOMINIC CAB</t>
        </is>
      </c>
      <c r="C948" t="inlineStr">
        <is>
          <t>Manufactura / Caballero / P. Superiores</t>
        </is>
      </c>
      <c r="D948" t="n">
        <v>904.48509466</v>
      </c>
      <c r="E948" t="n">
        <v>0.0002214474111396135</v>
      </c>
      <c r="F948" t="n">
        <v>0.8558534115148813</v>
      </c>
      <c r="G948" t="inlineStr">
        <is>
          <t>B</t>
        </is>
      </c>
      <c r="H948" t="n">
        <v>14</v>
      </c>
      <c r="I948" t="n">
        <v>13.35</v>
      </c>
      <c r="J948" t="n">
        <v>186.9</v>
      </c>
      <c r="K948" t="n">
        <v>2.5</v>
      </c>
      <c r="L948" t="n">
        <v>5.6</v>
      </c>
      <c r="M948" t="n">
        <v>3</v>
      </c>
      <c r="N948" t="n">
        <v>7.5</v>
      </c>
      <c r="O948" t="n">
        <v>6.5</v>
      </c>
      <c r="P948" t="n">
        <v>86.77499999999999</v>
      </c>
      <c r="Q948" t="n">
        <v>0.4642857142857142</v>
      </c>
      <c r="R948" t="inlineStr">
        <is>
          <t>Sobrestock crítico</t>
        </is>
      </c>
    </row>
    <row r="949">
      <c r="A949" t="inlineStr">
        <is>
          <t>CUTAG80</t>
        </is>
      </c>
      <c r="B949" t="inlineStr">
        <is>
          <t>CUADRO TAG</t>
        </is>
      </c>
      <c r="C949" t="inlineStr">
        <is>
          <t>Equipamiento / Accesorios</t>
        </is>
      </c>
      <c r="D949" t="n">
        <v>900.348972336</v>
      </c>
      <c r="E949" t="n">
        <v>0.0002204347536771366</v>
      </c>
      <c r="F949" t="n">
        <v>0.8560738462685583</v>
      </c>
      <c r="G949" t="inlineStr">
        <is>
          <t>B</t>
        </is>
      </c>
      <c r="H949" t="n">
        <v>240</v>
      </c>
      <c r="I949" t="n">
        <v>0.8100000000000001</v>
      </c>
      <c r="J949" t="n">
        <v>194.4</v>
      </c>
      <c r="K949" t="n">
        <v>9.1</v>
      </c>
      <c r="L949" t="n">
        <v>26.37362637362638</v>
      </c>
      <c r="M949" t="n">
        <v>3</v>
      </c>
      <c r="N949" t="n">
        <v>27.3</v>
      </c>
      <c r="O949" t="n">
        <v>212.7</v>
      </c>
      <c r="P949" t="n">
        <v>172.287</v>
      </c>
      <c r="Q949" t="n">
        <v>0.88625</v>
      </c>
      <c r="R949" t="inlineStr">
        <is>
          <t>Sobrestock crítico</t>
        </is>
      </c>
    </row>
    <row r="950">
      <c r="A950" t="inlineStr">
        <is>
          <t>MARMIKI50T4</t>
        </is>
      </c>
      <c r="B950" t="inlineStr">
        <is>
          <t>MAR ORIGINAL KIDS</t>
        </is>
      </c>
      <c r="C950" t="inlineStr">
        <is>
          <t>Manufactura / Kids / P. Superiores</t>
        </is>
      </c>
      <c r="D950" t="n">
        <v>900.10772265</v>
      </c>
      <c r="E950" t="n">
        <v>0.0002203756878962649</v>
      </c>
      <c r="F950" t="n">
        <v>0.8562942219564547</v>
      </c>
      <c r="G950" t="inlineStr">
        <is>
          <t>B</t>
        </is>
      </c>
      <c r="H950" t="n">
        <v>11</v>
      </c>
      <c r="I950" t="n">
        <v>3.168013332</v>
      </c>
      <c r="J950" t="n">
        <v>34.848146652</v>
      </c>
      <c r="K950" t="n">
        <v>2.3</v>
      </c>
      <c r="L950" t="n">
        <v>4.782608695652175</v>
      </c>
      <c r="M950" t="n">
        <v>3</v>
      </c>
      <c r="N950" t="n">
        <v>6.899999999999999</v>
      </c>
      <c r="O950" t="n">
        <v>4.100000000000001</v>
      </c>
      <c r="P950" t="n">
        <v>12.9888546612</v>
      </c>
      <c r="Q950" t="n">
        <v>0.3727272727272727</v>
      </c>
      <c r="R950" t="inlineStr">
        <is>
          <t>Sobrestock crítico</t>
        </is>
      </c>
    </row>
    <row r="951">
      <c r="A951" t="inlineStr">
        <is>
          <t>SARSPDA43TS</t>
        </is>
      </c>
      <c r="B951" t="inlineStr">
        <is>
          <t>FALDA SARA DAMA</t>
        </is>
      </c>
      <c r="C951" t="inlineStr">
        <is>
          <t>Manufactura / Dama / P. Inferiores</t>
        </is>
      </c>
      <c r="D951" t="n">
        <v>899.13347329</v>
      </c>
      <c r="E951" t="n">
        <v>0.0002201371599206794</v>
      </c>
      <c r="F951" t="n">
        <v>0.8565143591163754</v>
      </c>
      <c r="G951" t="inlineStr">
        <is>
          <t>B</t>
        </is>
      </c>
      <c r="H951" t="n">
        <v>35</v>
      </c>
      <c r="I951" t="n">
        <v>9.500113852</v>
      </c>
      <c r="J951" t="n">
        <v>332.50398482</v>
      </c>
      <c r="K951" t="n">
        <v>2.1</v>
      </c>
      <c r="L951" t="n">
        <v>16.66666666666666</v>
      </c>
      <c r="M951" t="n">
        <v>3</v>
      </c>
      <c r="N951" t="n">
        <v>6.300000000000001</v>
      </c>
      <c r="O951" t="n">
        <v>28.7</v>
      </c>
      <c r="P951" t="n">
        <v>272.6532675524</v>
      </c>
      <c r="Q951" t="n">
        <v>0.82</v>
      </c>
      <c r="R951" t="inlineStr">
        <is>
          <t>Sobrestock crítico</t>
        </is>
      </c>
    </row>
    <row r="952">
      <c r="A952" t="inlineStr">
        <is>
          <t>RIOMIKI53T2</t>
        </is>
      </c>
      <c r="B952" t="inlineStr">
        <is>
          <t>RIO ORIGINAL KIDS</t>
        </is>
      </c>
      <c r="C952" t="inlineStr">
        <is>
          <t>Manufactura / Kids / P. Superiores</t>
        </is>
      </c>
      <c r="D952" t="n">
        <v>899.09630309</v>
      </c>
      <c r="E952" t="n">
        <v>0.0002201280594450495</v>
      </c>
      <c r="F952" t="n">
        <v>0.8567344871758203</v>
      </c>
      <c r="G952" t="inlineStr">
        <is>
          <t>B</t>
        </is>
      </c>
      <c r="H952" t="n">
        <v>27</v>
      </c>
      <c r="I952" t="n">
        <v>3.617969464</v>
      </c>
      <c r="J952" t="n">
        <v>97.68517552799999</v>
      </c>
      <c r="K952" t="n">
        <v>2.2</v>
      </c>
      <c r="L952" t="n">
        <v>12.27272727272727</v>
      </c>
      <c r="M952" t="n">
        <v>3</v>
      </c>
      <c r="N952" t="n">
        <v>6.600000000000001</v>
      </c>
      <c r="O952" t="n">
        <v>20.4</v>
      </c>
      <c r="P952" t="n">
        <v>73.8065770656</v>
      </c>
      <c r="Q952" t="n">
        <v>0.7555555555555556</v>
      </c>
      <c r="R952" t="inlineStr">
        <is>
          <t>Sobrestock crítico</t>
        </is>
      </c>
    </row>
    <row r="953">
      <c r="A953" t="inlineStr">
        <is>
          <t>SHUNTDA43TL</t>
        </is>
      </c>
      <c r="B953" t="inlineStr">
        <is>
          <t>SHORT SPORT R1 DAMA</t>
        </is>
      </c>
      <c r="C953" t="inlineStr">
        <is>
          <t>Manufactura / Dama / P. Inferiores</t>
        </is>
      </c>
      <c r="D953" t="n">
        <v>897.794038</v>
      </c>
      <c r="E953" t="n">
        <v>0.000219809222534966</v>
      </c>
      <c r="F953" t="n">
        <v>0.8569542963983554</v>
      </c>
      <c r="G953" t="inlineStr">
        <is>
          <t>B</t>
        </is>
      </c>
      <c r="H953" t="n">
        <v>52</v>
      </c>
      <c r="I953" t="n">
        <v>8.33</v>
      </c>
      <c r="J953" t="n">
        <v>433.16</v>
      </c>
      <c r="K953" t="n">
        <v>2.4</v>
      </c>
      <c r="L953" t="n">
        <v>21.66666666666667</v>
      </c>
      <c r="M953" t="n">
        <v>3</v>
      </c>
      <c r="N953" t="n">
        <v>7.199999999999999</v>
      </c>
      <c r="O953" t="n">
        <v>44.8</v>
      </c>
      <c r="P953" t="n">
        <v>373.184</v>
      </c>
      <c r="Q953" t="n">
        <v>0.8615384615384614</v>
      </c>
      <c r="R953" t="inlineStr">
        <is>
          <t>Sobrestock crítico</t>
        </is>
      </c>
    </row>
    <row r="954">
      <c r="A954" t="inlineStr">
        <is>
          <t>SHUNTCA43TL</t>
        </is>
      </c>
      <c r="B954" t="inlineStr">
        <is>
          <t>SHORT SPORT R1 CAB</t>
        </is>
      </c>
      <c r="C954" t="inlineStr">
        <is>
          <t>Manufactura / Caballero / P. Inferiores</t>
        </is>
      </c>
      <c r="D954" t="n">
        <v>897.15529855</v>
      </c>
      <c r="E954" t="n">
        <v>0.0002196528383132355</v>
      </c>
      <c r="F954" t="n">
        <v>0.8571739492366686</v>
      </c>
      <c r="G954" t="inlineStr">
        <is>
          <t>B</t>
        </is>
      </c>
      <c r="H954" t="n">
        <v>4</v>
      </c>
      <c r="I954" t="n">
        <v>9.119999999999999</v>
      </c>
      <c r="J954" t="n">
        <v>36.48</v>
      </c>
      <c r="K954" t="n">
        <v>2.3</v>
      </c>
      <c r="L954" t="n">
        <v>1.739130434782609</v>
      </c>
      <c r="M954" t="n">
        <v>3</v>
      </c>
      <c r="N954" t="n">
        <v>6.899999999999999</v>
      </c>
      <c r="O954" t="n">
        <v>0</v>
      </c>
      <c r="P954" t="n">
        <v>0</v>
      </c>
      <c r="Q954" t="n">
        <v>0</v>
      </c>
      <c r="R954" t="inlineStr">
        <is>
          <t>OK</t>
        </is>
      </c>
    </row>
    <row r="955">
      <c r="A955" t="inlineStr">
        <is>
          <t>MAFMIDA34TXL</t>
        </is>
      </c>
      <c r="B955" t="inlineStr">
        <is>
          <t>MAFE ORIGINAL DAMA</t>
        </is>
      </c>
      <c r="C955" t="inlineStr">
        <is>
          <t>Manufactura / Dama / P. Superiores</t>
        </is>
      </c>
      <c r="D955" t="n">
        <v>894.5491379</v>
      </c>
      <c r="E955" t="n">
        <v>0.0002190147653009065</v>
      </c>
      <c r="F955" t="n">
        <v>0.8573929640019695</v>
      </c>
      <c r="G955" t="inlineStr">
        <is>
          <t>B</t>
        </is>
      </c>
      <c r="H955" t="n">
        <v>0</v>
      </c>
      <c r="I955" t="n">
        <v>4.54817671</v>
      </c>
      <c r="J955" t="n">
        <v>0</v>
      </c>
      <c r="K955" t="n">
        <v>6</v>
      </c>
      <c r="L955" t="n">
        <v>0</v>
      </c>
      <c r="M955" t="n">
        <v>3</v>
      </c>
      <c r="N955" t="n">
        <v>18</v>
      </c>
      <c r="O955" t="n">
        <v>0</v>
      </c>
      <c r="P955" t="n">
        <v>0</v>
      </c>
      <c r="Q955" t="n">
        <v>0</v>
      </c>
      <c r="R955" t="inlineStr">
        <is>
          <t>Riesgo bajo stock</t>
        </is>
      </c>
    </row>
    <row r="956">
      <c r="A956" t="inlineStr">
        <is>
          <t>SARSPDA16TS</t>
        </is>
      </c>
      <c r="B956" t="inlineStr">
        <is>
          <t>FALDA SARA DAMA</t>
        </is>
      </c>
      <c r="C956" t="inlineStr">
        <is>
          <t>Manufactura / Dama / P. Inferiores</t>
        </is>
      </c>
      <c r="D956" t="n">
        <v>894.37372778</v>
      </c>
      <c r="E956" t="n">
        <v>0.0002189718191902508</v>
      </c>
      <c r="F956" t="n">
        <v>0.8576119358211598</v>
      </c>
      <c r="G956" t="inlineStr">
        <is>
          <t>B</t>
        </is>
      </c>
      <c r="H956" t="n">
        <v>37</v>
      </c>
      <c r="I956" t="n">
        <v>9.500113852</v>
      </c>
      <c r="J956" t="n">
        <v>351.504212524</v>
      </c>
      <c r="K956" t="n">
        <v>2</v>
      </c>
      <c r="L956" t="n">
        <v>18.5</v>
      </c>
      <c r="M956" t="n">
        <v>3</v>
      </c>
      <c r="N956" t="n">
        <v>6</v>
      </c>
      <c r="O956" t="n">
        <v>31</v>
      </c>
      <c r="P956" t="n">
        <v>294.503529412</v>
      </c>
      <c r="Q956" t="n">
        <v>0.8378378378378377</v>
      </c>
      <c r="R956" t="inlineStr">
        <is>
          <t>Sobrestock crítico</t>
        </is>
      </c>
    </row>
    <row r="957">
      <c r="A957" t="inlineStr">
        <is>
          <t>SHPEUNCA211TXL</t>
        </is>
      </c>
      <c r="B957" t="inlineStr">
        <is>
          <t>SHORT PLAYA ESTAMPADO CAB</t>
        </is>
      </c>
      <c r="C957" t="inlineStr">
        <is>
          <t>Manufactura / Caballero / P. Inferiores</t>
        </is>
      </c>
      <c r="D957" t="n">
        <v>893.4255598</v>
      </c>
      <c r="E957" t="n">
        <v>0.0002187396767859855</v>
      </c>
      <c r="F957" t="n">
        <v>0.8578306754979458</v>
      </c>
      <c r="G957" t="inlineStr">
        <is>
          <t>B</t>
        </is>
      </c>
      <c r="H957" t="n">
        <v>0</v>
      </c>
      <c r="I957" t="n">
        <v>12.11</v>
      </c>
      <c r="J957" t="n">
        <v>0</v>
      </c>
      <c r="K957" t="n">
        <v>2.2</v>
      </c>
      <c r="L957" t="n">
        <v>0</v>
      </c>
      <c r="M957" t="n">
        <v>3</v>
      </c>
      <c r="N957" t="n">
        <v>6.600000000000001</v>
      </c>
      <c r="O957" t="n">
        <v>0</v>
      </c>
      <c r="P957" t="n">
        <v>0</v>
      </c>
      <c r="Q957" t="n">
        <v>0</v>
      </c>
      <c r="R957" t="inlineStr">
        <is>
          <t>Riesgo bajo stock</t>
        </is>
      </c>
    </row>
    <row r="958">
      <c r="A958" t="inlineStr">
        <is>
          <t>SARSPKI16T12</t>
        </is>
      </c>
      <c r="B958" t="inlineStr">
        <is>
          <t>FALDA SARA KIDS</t>
        </is>
      </c>
      <c r="C958" t="inlineStr">
        <is>
          <t>Manufactura / Kids / P. Inferiores</t>
        </is>
      </c>
      <c r="D958" t="n">
        <v>892.88703114</v>
      </c>
      <c r="E958" t="n">
        <v>0.0002186078274296108</v>
      </c>
      <c r="F958" t="n">
        <v>0.8580492833253754</v>
      </c>
      <c r="G958" t="inlineStr">
        <is>
          <t>B</t>
        </is>
      </c>
      <c r="H958" t="n">
        <v>19</v>
      </c>
      <c r="I958" t="n">
        <v>5.753743316</v>
      </c>
      <c r="J958" t="n">
        <v>109.321123004</v>
      </c>
      <c r="K958" t="n">
        <v>2.4</v>
      </c>
      <c r="L958" t="n">
        <v>7.916666666666667</v>
      </c>
      <c r="M958" t="n">
        <v>3</v>
      </c>
      <c r="N958" t="n">
        <v>7.199999999999999</v>
      </c>
      <c r="O958" t="n">
        <v>11.8</v>
      </c>
      <c r="P958" t="n">
        <v>67.8941711288</v>
      </c>
      <c r="Q958" t="n">
        <v>0.6210526315789474</v>
      </c>
      <c r="R958" t="inlineStr">
        <is>
          <t>Sobrestock crítico</t>
        </is>
      </c>
    </row>
    <row r="959">
      <c r="A959" t="inlineStr">
        <is>
          <t>BACCCDA38TS</t>
        </is>
      </c>
      <c r="B959" t="inlineStr">
        <is>
          <t>BASIC LINE CROP TEE DAMA</t>
        </is>
      </c>
      <c r="C959" t="inlineStr">
        <is>
          <t>Manufactura / Dama / P. Superiores</t>
        </is>
      </c>
      <c r="D959" t="n">
        <v>892.07541295</v>
      </c>
      <c r="E959" t="n">
        <v>0.0002184091168614981</v>
      </c>
      <c r="F959" t="n">
        <v>0.8582676924422368</v>
      </c>
      <c r="G959" t="inlineStr">
        <is>
          <t>B</t>
        </is>
      </c>
      <c r="H959" t="n">
        <v>21</v>
      </c>
      <c r="I959" t="n">
        <v>6.196330833</v>
      </c>
      <c r="J959" t="n">
        <v>130.122947493</v>
      </c>
      <c r="K959" t="n">
        <v>2.1</v>
      </c>
      <c r="L959" t="n">
        <v>10</v>
      </c>
      <c r="M959" t="n">
        <v>3</v>
      </c>
      <c r="N959" t="n">
        <v>6.300000000000001</v>
      </c>
      <c r="O959" t="n">
        <v>14.7</v>
      </c>
      <c r="P959" t="n">
        <v>91.08606324509999</v>
      </c>
      <c r="Q959" t="n">
        <v>0.7</v>
      </c>
      <c r="R959" t="inlineStr">
        <is>
          <t>Sobrestock crítico</t>
        </is>
      </c>
    </row>
    <row r="960">
      <c r="A960" t="inlineStr">
        <is>
          <t>JACDA67TS</t>
        </is>
      </c>
      <c r="B960" t="inlineStr">
        <is>
          <t>JACKET DAMA</t>
        </is>
      </c>
      <c r="C960" t="inlineStr">
        <is>
          <t>Equipamiento / Ropa</t>
        </is>
      </c>
      <c r="D960" t="n">
        <v>890.4356605099999</v>
      </c>
      <c r="E960" t="n">
        <v>0.0002180076520558405</v>
      </c>
      <c r="F960" t="n">
        <v>0.8584857000942927</v>
      </c>
      <c r="G960" t="inlineStr">
        <is>
          <t>B</t>
        </is>
      </c>
      <c r="H960" t="n">
        <v>30</v>
      </c>
      <c r="I960" t="n">
        <v>20.25</v>
      </c>
      <c r="J960" t="n">
        <v>607.5</v>
      </c>
      <c r="K960" t="n">
        <v>1.3</v>
      </c>
      <c r="L960" t="n">
        <v>23.07692307692308</v>
      </c>
      <c r="M960" t="n">
        <v>3</v>
      </c>
      <c r="N960" t="n">
        <v>3.9</v>
      </c>
      <c r="O960" t="n">
        <v>26.1</v>
      </c>
      <c r="P960" t="n">
        <v>528.525</v>
      </c>
      <c r="Q960" t="n">
        <v>0.87</v>
      </c>
      <c r="R960" t="inlineStr">
        <is>
          <t>Sobrestock crítico</t>
        </is>
      </c>
    </row>
    <row r="961">
      <c r="A961" t="inlineStr">
        <is>
          <t>DOMBFCA43TL</t>
        </is>
      </c>
      <c r="B961" t="inlineStr">
        <is>
          <t>DOMINIC BIO MOVE CAB</t>
        </is>
      </c>
      <c r="C961" t="inlineStr">
        <is>
          <t>Manufactura / Caballero / P. Superiores</t>
        </is>
      </c>
      <c r="D961" t="n">
        <v>890.11089162</v>
      </c>
      <c r="E961" t="n">
        <v>0.0002179281380535272</v>
      </c>
      <c r="F961" t="n">
        <v>0.8587036282323461</v>
      </c>
      <c r="G961" t="inlineStr">
        <is>
          <t>B</t>
        </is>
      </c>
      <c r="H961" t="n">
        <v>30</v>
      </c>
      <c r="I961" t="n">
        <v>13.86</v>
      </c>
      <c r="J961" t="n">
        <v>415.8</v>
      </c>
      <c r="K961" t="n">
        <v>1.7</v>
      </c>
      <c r="L961" t="n">
        <v>17.64705882352941</v>
      </c>
      <c r="M961" t="n">
        <v>3</v>
      </c>
      <c r="N961" t="n">
        <v>5.1</v>
      </c>
      <c r="O961" t="n">
        <v>24.9</v>
      </c>
      <c r="P961" t="n">
        <v>345.114</v>
      </c>
      <c r="Q961" t="n">
        <v>0.8300000000000001</v>
      </c>
      <c r="R961" t="inlineStr">
        <is>
          <t>Sobrestock crítico</t>
        </is>
      </c>
    </row>
    <row r="962">
      <c r="A962" t="inlineStr">
        <is>
          <t>ZOEMIDA34TM</t>
        </is>
      </c>
      <c r="B962" t="inlineStr">
        <is>
          <t>ZOE ORIGINAL DAMA</t>
        </is>
      </c>
      <c r="C962" t="inlineStr">
        <is>
          <t>Manufactura / Dama / P. Superiores</t>
        </is>
      </c>
      <c r="D962" t="n">
        <v>884.48177809</v>
      </c>
      <c r="E962" t="n">
        <v>0.0002165499477156333</v>
      </c>
      <c r="F962" t="n">
        <v>0.8589201781800619</v>
      </c>
      <c r="G962" t="inlineStr">
        <is>
          <t>B</t>
        </is>
      </c>
      <c r="H962" t="n">
        <v>10</v>
      </c>
      <c r="I962" t="n">
        <v>4.116585696</v>
      </c>
      <c r="J962" t="n">
        <v>41.16585696</v>
      </c>
      <c r="K962" t="n">
        <v>2.7</v>
      </c>
      <c r="L962" t="n">
        <v>3.703703703703703</v>
      </c>
      <c r="M962" t="n">
        <v>3</v>
      </c>
      <c r="N962" t="n">
        <v>8.100000000000001</v>
      </c>
      <c r="O962" t="n">
        <v>1.899999999999999</v>
      </c>
      <c r="P962" t="n">
        <v>7.821512822399994</v>
      </c>
      <c r="Q962" t="n">
        <v>0.1899999999999999</v>
      </c>
      <c r="R962" t="inlineStr">
        <is>
          <t>Sobrestock</t>
        </is>
      </c>
    </row>
    <row r="963">
      <c r="A963" t="inlineStr">
        <is>
          <t>POLPLCA12T2XL</t>
        </is>
      </c>
      <c r="B963" t="inlineStr">
        <is>
          <t>CLASSIC POLO</t>
        </is>
      </c>
      <c r="C963" t="inlineStr">
        <is>
          <t>Manufactura / Caballero / P. Superiores</t>
        </is>
      </c>
      <c r="D963" t="n">
        <v>880.02642713</v>
      </c>
      <c r="E963" t="n">
        <v>0.0002154591326854737</v>
      </c>
      <c r="F963" t="n">
        <v>0.8591356373127474</v>
      </c>
      <c r="G963" t="inlineStr">
        <is>
          <t>B</t>
        </is>
      </c>
      <c r="H963" t="n">
        <v>0</v>
      </c>
      <c r="I963" t="n">
        <v>7.34</v>
      </c>
      <c r="J963" t="n">
        <v>0</v>
      </c>
      <c r="K963" t="n">
        <v>2.3</v>
      </c>
      <c r="L963" t="n">
        <v>0</v>
      </c>
      <c r="M963" t="n">
        <v>3</v>
      </c>
      <c r="N963" t="n">
        <v>6.899999999999999</v>
      </c>
      <c r="O963" t="n">
        <v>0</v>
      </c>
      <c r="P963" t="n">
        <v>0</v>
      </c>
      <c r="Q963" t="n">
        <v>0</v>
      </c>
      <c r="R963" t="inlineStr">
        <is>
          <t>Sin rotación</t>
        </is>
      </c>
    </row>
    <row r="964">
      <c r="A964" t="inlineStr">
        <is>
          <t>MARMIKI66T4</t>
        </is>
      </c>
      <c r="B964" t="inlineStr">
        <is>
          <t>MAR ORIGINAL KIDS</t>
        </is>
      </c>
      <c r="C964" t="inlineStr">
        <is>
          <t>Manufactura / Kids / P. Superiores</t>
        </is>
      </c>
      <c r="D964" t="n">
        <v>879.29691422</v>
      </c>
      <c r="E964" t="n">
        <v>0.0002152805241641546</v>
      </c>
      <c r="F964" t="n">
        <v>0.8593509178369115</v>
      </c>
      <c r="G964" t="inlineStr">
        <is>
          <t>B</t>
        </is>
      </c>
      <c r="H964" t="n">
        <v>12</v>
      </c>
      <c r="I964" t="n">
        <v>3.168013332</v>
      </c>
      <c r="J964" t="n">
        <v>38.016159984</v>
      </c>
      <c r="K964" t="n">
        <v>2.5</v>
      </c>
      <c r="L964" t="n">
        <v>4.8</v>
      </c>
      <c r="M964" t="n">
        <v>3</v>
      </c>
      <c r="N964" t="n">
        <v>7.5</v>
      </c>
      <c r="O964" t="n">
        <v>4.5</v>
      </c>
      <c r="P964" t="n">
        <v>14.256059994</v>
      </c>
      <c r="Q964" t="n">
        <v>0.3750000000000001</v>
      </c>
      <c r="R964" t="inlineStr">
        <is>
          <t>Sobrestock crítico</t>
        </is>
      </c>
    </row>
    <row r="965">
      <c r="A965" t="inlineStr">
        <is>
          <t>SHOSUKI156T14</t>
        </is>
      </c>
      <c r="B965" t="inlineStr">
        <is>
          <t>SHORT PLAYA ESTAMPADO KIDS</t>
        </is>
      </c>
      <c r="C965" t="inlineStr">
        <is>
          <t>Manufactura / Kids / P. Superiores</t>
        </is>
      </c>
      <c r="D965" t="n">
        <v>878.41497178</v>
      </c>
      <c r="E965" t="n">
        <v>0.0002150645959291121</v>
      </c>
      <c r="F965" t="n">
        <v>0.8595659824328407</v>
      </c>
      <c r="G965" t="inlineStr">
        <is>
          <t>B</t>
        </is>
      </c>
      <c r="H965" t="n">
        <v>30</v>
      </c>
      <c r="I965" t="n">
        <v>7.21</v>
      </c>
      <c r="J965" t="n">
        <v>216.3</v>
      </c>
      <c r="K965" t="n">
        <v>2</v>
      </c>
      <c r="L965" t="n">
        <v>15</v>
      </c>
      <c r="M965" t="n">
        <v>3</v>
      </c>
      <c r="N965" t="n">
        <v>6</v>
      </c>
      <c r="O965" t="n">
        <v>24</v>
      </c>
      <c r="P965" t="n">
        <v>173.04</v>
      </c>
      <c r="Q965" t="n">
        <v>0.7999999999999999</v>
      </c>
      <c r="R965" t="inlineStr">
        <is>
          <t>Sobrestock crítico</t>
        </is>
      </c>
    </row>
    <row r="966">
      <c r="A966" t="inlineStr">
        <is>
          <t>GEMBADA43TM</t>
        </is>
      </c>
      <c r="B966" t="inlineStr">
        <is>
          <t>VESTIDO GEMMA DAMA</t>
        </is>
      </c>
      <c r="C966" t="inlineStr">
        <is>
          <t>Manufactura / Dama / Conjuntos</t>
        </is>
      </c>
      <c r="D966" t="n">
        <v>877.90437676</v>
      </c>
      <c r="E966" t="n">
        <v>0.0002149395856376354</v>
      </c>
      <c r="F966" t="n">
        <v>0.8597809220184783</v>
      </c>
      <c r="G966" t="inlineStr">
        <is>
          <t>B</t>
        </is>
      </c>
      <c r="H966" t="n">
        <v>14</v>
      </c>
      <c r="I966" t="n">
        <v>23.99</v>
      </c>
      <c r="J966" t="n">
        <v>335.86</v>
      </c>
      <c r="K966" t="n">
        <v>1.6</v>
      </c>
      <c r="L966" t="n">
        <v>8.75</v>
      </c>
      <c r="M966" t="n">
        <v>3</v>
      </c>
      <c r="N966" t="n">
        <v>4.800000000000001</v>
      </c>
      <c r="O966" t="n">
        <v>9.199999999999999</v>
      </c>
      <c r="P966" t="n">
        <v>220.708</v>
      </c>
      <c r="Q966" t="n">
        <v>0.6571428571428571</v>
      </c>
      <c r="R966" t="inlineStr">
        <is>
          <t>Sobrestock crítico</t>
        </is>
      </c>
    </row>
    <row r="967">
      <c r="A967" t="inlineStr">
        <is>
          <t>LMOFIDA43TL</t>
        </is>
      </c>
      <c r="B967" t="inlineStr">
        <is>
          <t>LEGGING MOVA</t>
        </is>
      </c>
      <c r="C967" t="inlineStr">
        <is>
          <t>Manufactura / Dama / P. Inferiores</t>
        </is>
      </c>
      <c r="D967" t="n">
        <v>877.55551717</v>
      </c>
      <c r="E967" t="n">
        <v>0.0002148541734473043</v>
      </c>
      <c r="F967" t="n">
        <v>0.8599957761919257</v>
      </c>
      <c r="G967" t="inlineStr">
        <is>
          <t>B</t>
        </is>
      </c>
      <c r="H967" t="n">
        <v>4</v>
      </c>
      <c r="I967" t="n">
        <v>17.7</v>
      </c>
      <c r="J967" t="n">
        <v>70.8</v>
      </c>
      <c r="K967" t="n">
        <v>1.4</v>
      </c>
      <c r="L967" t="n">
        <v>2.857142857142857</v>
      </c>
      <c r="M967" t="n">
        <v>3</v>
      </c>
      <c r="N967" t="n">
        <v>4.199999999999999</v>
      </c>
      <c r="O967" t="n">
        <v>0</v>
      </c>
      <c r="P967" t="n">
        <v>0</v>
      </c>
      <c r="Q967" t="n">
        <v>0</v>
      </c>
      <c r="R967" t="inlineStr">
        <is>
          <t>OK</t>
        </is>
      </c>
    </row>
    <row r="968">
      <c r="A968" t="inlineStr">
        <is>
          <t>TALGTACA12TM</t>
        </is>
      </c>
      <c r="B968" t="inlineStr">
        <is>
          <t>URBAN COTTON OVERSIZED OUTSIDE CAB</t>
        </is>
      </c>
      <c r="C968" t="inlineStr">
        <is>
          <t>Manufactura / Caballero / P. Superiores</t>
        </is>
      </c>
      <c r="D968" t="n">
        <v>876.06248748</v>
      </c>
      <c r="E968" t="n">
        <v>0.0002144886311497506</v>
      </c>
      <c r="F968" t="n">
        <v>0.8602102648230754</v>
      </c>
      <c r="G968" t="inlineStr">
        <is>
          <t>B</t>
        </is>
      </c>
      <c r="H968" t="n">
        <v>7</v>
      </c>
      <c r="I968" t="n">
        <v>12.16758159</v>
      </c>
      <c r="J968" t="n">
        <v>85.17307113</v>
      </c>
      <c r="K968" t="n">
        <v>2</v>
      </c>
      <c r="L968" t="n">
        <v>3.5</v>
      </c>
      <c r="M968" t="n">
        <v>3</v>
      </c>
      <c r="N968" t="n">
        <v>6</v>
      </c>
      <c r="O968" t="n">
        <v>1</v>
      </c>
      <c r="P968" t="n">
        <v>12.16758159</v>
      </c>
      <c r="Q968" t="n">
        <v>0.1428571428571428</v>
      </c>
      <c r="R968" t="inlineStr">
        <is>
          <t>Sobrestock</t>
        </is>
      </c>
    </row>
    <row r="969">
      <c r="A969" t="inlineStr">
        <is>
          <t>SHOSUKI156T8</t>
        </is>
      </c>
      <c r="B969" t="inlineStr">
        <is>
          <t>SHORT PLAYA ESTAMPADO KIDS</t>
        </is>
      </c>
      <c r="C969" t="inlineStr">
        <is>
          <t>Manufactura / Kids / P. Superiores</t>
        </is>
      </c>
      <c r="D969" t="n">
        <v>875.96417022</v>
      </c>
      <c r="E969" t="n">
        <v>0.000214464559882213</v>
      </c>
      <c r="F969" t="n">
        <v>0.8604247293829576</v>
      </c>
      <c r="G969" t="inlineStr">
        <is>
          <t>B</t>
        </is>
      </c>
      <c r="H969" t="n">
        <v>27</v>
      </c>
      <c r="I969" t="n">
        <v>7.210000000000001</v>
      </c>
      <c r="J969" t="n">
        <v>194.67</v>
      </c>
      <c r="K969" t="n">
        <v>2</v>
      </c>
      <c r="L969" t="n">
        <v>13.5</v>
      </c>
      <c r="M969" t="n">
        <v>3</v>
      </c>
      <c r="N969" t="n">
        <v>6</v>
      </c>
      <c r="O969" t="n">
        <v>21</v>
      </c>
      <c r="P969" t="n">
        <v>151.41</v>
      </c>
      <c r="Q969" t="n">
        <v>0.7777777777777778</v>
      </c>
      <c r="R969" t="inlineStr">
        <is>
          <t>Sobrestock crítico</t>
        </is>
      </c>
    </row>
    <row r="970">
      <c r="A970" t="inlineStr">
        <is>
          <t>MARMIKI66T12</t>
        </is>
      </c>
      <c r="B970" t="inlineStr">
        <is>
          <t>MAR ORIGINAL KIDS</t>
        </is>
      </c>
      <c r="C970" t="inlineStr">
        <is>
          <t>Manufactura / Kids / P. Superiores</t>
        </is>
      </c>
      <c r="D970" t="n">
        <v>875.90568717</v>
      </c>
      <c r="E970" t="n">
        <v>0.0002144502413267227</v>
      </c>
      <c r="F970" t="n">
        <v>0.8606391796242843</v>
      </c>
      <c r="G970" t="inlineStr">
        <is>
          <t>B</t>
        </is>
      </c>
      <c r="H970" t="n">
        <v>46</v>
      </c>
      <c r="I970" t="n">
        <v>3.168013332</v>
      </c>
      <c r="J970" t="n">
        <v>145.728613272</v>
      </c>
      <c r="K970" t="n">
        <v>2.4</v>
      </c>
      <c r="L970" t="n">
        <v>19.16666666666667</v>
      </c>
      <c r="M970" t="n">
        <v>3</v>
      </c>
      <c r="N970" t="n">
        <v>7.199999999999999</v>
      </c>
      <c r="O970" t="n">
        <v>38.8</v>
      </c>
      <c r="P970" t="n">
        <v>122.9189172816</v>
      </c>
      <c r="Q970" t="n">
        <v>0.8434782608695651</v>
      </c>
      <c r="R970" t="inlineStr">
        <is>
          <t>Sobrestock crítico</t>
        </is>
      </c>
    </row>
    <row r="971">
      <c r="A971" t="inlineStr">
        <is>
          <t>BASCCDA38TM</t>
        </is>
      </c>
      <c r="B971" t="inlineStr">
        <is>
          <t>BASIC LINE SHORT DAMA</t>
        </is>
      </c>
      <c r="C971" t="inlineStr">
        <is>
          <t>Manufactura / Dama / P. Inferiores</t>
        </is>
      </c>
      <c r="D971" t="n">
        <v>874.86359269</v>
      </c>
      <c r="E971" t="n">
        <v>0.0002141951026559792</v>
      </c>
      <c r="F971" t="n">
        <v>0.8608533747269402</v>
      </c>
      <c r="G971" t="inlineStr">
        <is>
          <t>B</t>
        </is>
      </c>
      <c r="H971" t="n">
        <v>49</v>
      </c>
      <c r="I971" t="n">
        <v>6.010000000000001</v>
      </c>
      <c r="J971" t="n">
        <v>294.49</v>
      </c>
      <c r="K971" t="n">
        <v>2.2</v>
      </c>
      <c r="L971" t="n">
        <v>22.27272727272727</v>
      </c>
      <c r="M971" t="n">
        <v>3</v>
      </c>
      <c r="N971" t="n">
        <v>6.600000000000001</v>
      </c>
      <c r="O971" t="n">
        <v>42.4</v>
      </c>
      <c r="P971" t="n">
        <v>254.824</v>
      </c>
      <c r="Q971" t="n">
        <v>0.8653061224489796</v>
      </c>
      <c r="R971" t="inlineStr">
        <is>
          <t>Sobrestock crítico</t>
        </is>
      </c>
    </row>
    <row r="972">
      <c r="A972" t="inlineStr">
        <is>
          <t>SHUNTDA43TXS</t>
        </is>
      </c>
      <c r="B972" t="inlineStr">
        <is>
          <t>SHORT SPORT R1 DAMA</t>
        </is>
      </c>
      <c r="C972" t="inlineStr">
        <is>
          <t>Manufactura / Dama / P. Inferiores</t>
        </is>
      </c>
      <c r="D972" t="n">
        <v>873.63605727</v>
      </c>
      <c r="E972" t="n">
        <v>0.0002138945620031303</v>
      </c>
      <c r="F972" t="n">
        <v>0.8610672692889434</v>
      </c>
      <c r="G972" t="inlineStr">
        <is>
          <t>B</t>
        </is>
      </c>
      <c r="H972" t="n">
        <v>46</v>
      </c>
      <c r="I972" t="n">
        <v>8.33</v>
      </c>
      <c r="J972" t="n">
        <v>383.18</v>
      </c>
      <c r="K972" t="n">
        <v>2.2</v>
      </c>
      <c r="L972" t="n">
        <v>20.90909090909091</v>
      </c>
      <c r="M972" t="n">
        <v>3</v>
      </c>
      <c r="N972" t="n">
        <v>6.600000000000001</v>
      </c>
      <c r="O972" t="n">
        <v>39.4</v>
      </c>
      <c r="P972" t="n">
        <v>328.202</v>
      </c>
      <c r="Q972" t="n">
        <v>0.8565217391304347</v>
      </c>
      <c r="R972" t="inlineStr">
        <is>
          <t>Sobrestock crítico</t>
        </is>
      </c>
    </row>
    <row r="973">
      <c r="A973" t="inlineStr">
        <is>
          <t>SHONTCA43TM</t>
        </is>
      </c>
      <c r="B973" t="inlineStr">
        <is>
          <t>EXPLORE SHORT CAB</t>
        </is>
      </c>
      <c r="C973" t="inlineStr">
        <is>
          <t>Manufactura / Caballero / P. Inferiores</t>
        </is>
      </c>
      <c r="D973" t="n">
        <v>871.09440866</v>
      </c>
      <c r="E973" t="n">
        <v>0.0002132722836394137</v>
      </c>
      <c r="F973" t="n">
        <v>0.8612805415725828</v>
      </c>
      <c r="G973" t="inlineStr">
        <is>
          <t>B</t>
        </is>
      </c>
      <c r="H973" t="n">
        <v>2</v>
      </c>
      <c r="I973" t="n">
        <v>11.17</v>
      </c>
      <c r="J973" t="n">
        <v>22.34</v>
      </c>
      <c r="K973" t="n">
        <v>2</v>
      </c>
      <c r="L973" t="n">
        <v>1</v>
      </c>
      <c r="M973" t="n">
        <v>3</v>
      </c>
      <c r="N973" t="n">
        <v>6</v>
      </c>
      <c r="O973" t="n">
        <v>0</v>
      </c>
      <c r="P973" t="n">
        <v>0</v>
      </c>
      <c r="Q973" t="n">
        <v>0</v>
      </c>
      <c r="R973" t="inlineStr">
        <is>
          <t>OK</t>
        </is>
      </c>
    </row>
    <row r="974">
      <c r="A974" t="inlineStr">
        <is>
          <t>DAYCSTDA16TXS</t>
        </is>
      </c>
      <c r="B974" t="inlineStr">
        <is>
          <t>CLASICA DAILY 3.0 DAMA</t>
        </is>
      </c>
      <c r="C974" t="inlineStr">
        <is>
          <t>Manufactura / Dama / P. Superiores</t>
        </is>
      </c>
      <c r="D974" t="n">
        <v>870.6134758000001</v>
      </c>
      <c r="E974" t="n">
        <v>0.0002131545356108307</v>
      </c>
      <c r="F974" t="n">
        <v>0.8614936961081937</v>
      </c>
      <c r="G974" t="inlineStr">
        <is>
          <t>B</t>
        </is>
      </c>
      <c r="H974" t="n">
        <v>40</v>
      </c>
      <c r="I974" t="n">
        <v>10.28586481</v>
      </c>
      <c r="J974" t="n">
        <v>411.4345924</v>
      </c>
      <c r="K974" t="n">
        <v>2.6</v>
      </c>
      <c r="L974" t="n">
        <v>15.38461538461538</v>
      </c>
      <c r="M974" t="n">
        <v>3</v>
      </c>
      <c r="N974" t="n">
        <v>7.800000000000001</v>
      </c>
      <c r="O974" t="n">
        <v>32.2</v>
      </c>
      <c r="P974" t="n">
        <v>331.204846882</v>
      </c>
      <c r="Q974" t="n">
        <v>0.805</v>
      </c>
      <c r="R974" t="inlineStr">
        <is>
          <t>Sobrestock crítico</t>
        </is>
      </c>
    </row>
    <row r="975">
      <c r="A975" t="inlineStr">
        <is>
          <t>MARMIKI13T2</t>
        </is>
      </c>
      <c r="B975" t="inlineStr">
        <is>
          <t>MAR ORIGINAL KIDS</t>
        </is>
      </c>
      <c r="C975" t="inlineStr">
        <is>
          <t>Manufactura / Kids / P. Superiores</t>
        </is>
      </c>
      <c r="D975" t="n">
        <v>869.2875378799999</v>
      </c>
      <c r="E975" t="n">
        <v>0.0002128299028209158</v>
      </c>
      <c r="F975" t="n">
        <v>0.8617065260110146</v>
      </c>
      <c r="G975" t="inlineStr">
        <is>
          <t>B</t>
        </is>
      </c>
      <c r="H975" t="n">
        <v>29</v>
      </c>
      <c r="I975" t="n">
        <v>3.168013332000001</v>
      </c>
      <c r="J975" t="n">
        <v>91.87238662800002</v>
      </c>
      <c r="K975" t="n">
        <v>2.4</v>
      </c>
      <c r="L975" t="n">
        <v>12.08333333333333</v>
      </c>
      <c r="M975" t="n">
        <v>3</v>
      </c>
      <c r="N975" t="n">
        <v>7.199999999999999</v>
      </c>
      <c r="O975" t="n">
        <v>21.8</v>
      </c>
      <c r="P975" t="n">
        <v>69.06269063760001</v>
      </c>
      <c r="Q975" t="n">
        <v>0.7517241379310345</v>
      </c>
      <c r="R975" t="inlineStr">
        <is>
          <t>Sobrestock crítico</t>
        </is>
      </c>
    </row>
    <row r="976">
      <c r="A976" t="inlineStr">
        <is>
          <t>MIKFNDA13TS</t>
        </is>
      </c>
      <c r="B976" t="inlineStr">
        <is>
          <t>MIKA SPORT LITE DAMA</t>
        </is>
      </c>
      <c r="C976" t="inlineStr">
        <is>
          <t>Manufactura / Dama / P. Superiores</t>
        </is>
      </c>
      <c r="D976" t="n">
        <v>867.5099994</v>
      </c>
      <c r="E976" t="n">
        <v>0.0002123947035048398</v>
      </c>
      <c r="F976" t="n">
        <v>0.8619189207145194</v>
      </c>
      <c r="G976" t="inlineStr">
        <is>
          <t>B</t>
        </is>
      </c>
      <c r="H976" t="n">
        <v>28</v>
      </c>
      <c r="I976" t="n">
        <v>5.484675344</v>
      </c>
      <c r="J976" t="n">
        <v>153.570909632</v>
      </c>
      <c r="K976" t="n">
        <v>2.7</v>
      </c>
      <c r="L976" t="n">
        <v>10.37037037037037</v>
      </c>
      <c r="M976" t="n">
        <v>3</v>
      </c>
      <c r="N976" t="n">
        <v>8.100000000000001</v>
      </c>
      <c r="O976" t="n">
        <v>19.9</v>
      </c>
      <c r="P976" t="n">
        <v>109.1450393456</v>
      </c>
      <c r="Q976" t="n">
        <v>0.7107142857142857</v>
      </c>
      <c r="R976" t="inlineStr">
        <is>
          <t>Sobrestock crítico</t>
        </is>
      </c>
    </row>
    <row r="977">
      <c r="A977" t="inlineStr">
        <is>
          <t>CAP01MC</t>
        </is>
      </c>
      <c r="B977" t="inlineStr">
        <is>
          <t>MESH CAP</t>
        </is>
      </c>
      <c r="C977" t="inlineStr">
        <is>
          <t>Equipamiento / Gorras</t>
        </is>
      </c>
      <c r="D977" t="n">
        <v>866.93427668</v>
      </c>
      <c r="E977" t="n">
        <v>0.00021225374783113</v>
      </c>
      <c r="F977" t="n">
        <v>0.8621311744623505</v>
      </c>
      <c r="G977" t="inlineStr">
        <is>
          <t>B</t>
        </is>
      </c>
      <c r="H977" t="n">
        <v>0</v>
      </c>
      <c r="I977" t="n">
        <v>3.36</v>
      </c>
      <c r="J977" t="n">
        <v>0</v>
      </c>
      <c r="K977" t="n">
        <v>3.1</v>
      </c>
      <c r="L977" t="n">
        <v>0</v>
      </c>
      <c r="M977" t="n">
        <v>3</v>
      </c>
      <c r="N977" t="n">
        <v>9.300000000000001</v>
      </c>
      <c r="O977" t="n">
        <v>0</v>
      </c>
      <c r="P977" t="n">
        <v>0</v>
      </c>
      <c r="Q977" t="n">
        <v>0</v>
      </c>
      <c r="R977" t="inlineStr">
        <is>
          <t>Riesgo bajo stock</t>
        </is>
      </c>
    </row>
    <row r="978">
      <c r="A978" t="inlineStr">
        <is>
          <t>SARSPDA16TL</t>
        </is>
      </c>
      <c r="B978" t="inlineStr">
        <is>
          <t>FALDA SARA DAMA</t>
        </is>
      </c>
      <c r="C978" t="inlineStr">
        <is>
          <t>Manufactura / Dama / P. Inferiores</t>
        </is>
      </c>
      <c r="D978" t="n">
        <v>866.36245869</v>
      </c>
      <c r="E978" t="n">
        <v>0.0002121137481625051</v>
      </c>
      <c r="F978" t="n">
        <v>0.8623432882105131</v>
      </c>
      <c r="G978" t="inlineStr">
        <is>
          <t>B</t>
        </is>
      </c>
      <c r="H978" t="n">
        <v>31</v>
      </c>
      <c r="I978" t="n">
        <v>9.500113852</v>
      </c>
      <c r="J978" t="n">
        <v>294.503529412</v>
      </c>
      <c r="K978" t="n">
        <v>2.1</v>
      </c>
      <c r="L978" t="n">
        <v>14.76190476190476</v>
      </c>
      <c r="M978" t="n">
        <v>3</v>
      </c>
      <c r="N978" t="n">
        <v>6.300000000000001</v>
      </c>
      <c r="O978" t="n">
        <v>24.7</v>
      </c>
      <c r="P978" t="n">
        <v>234.6528121444</v>
      </c>
      <c r="Q978" t="n">
        <v>0.7967741935483872</v>
      </c>
      <c r="R978" t="inlineStr">
        <is>
          <t>Sobrestock crítico</t>
        </is>
      </c>
    </row>
    <row r="979">
      <c r="A979" t="inlineStr">
        <is>
          <t>BAOCCCA38TXS</t>
        </is>
      </c>
      <c r="B979" t="inlineStr">
        <is>
          <t>BASIC LINE OVERSIZED CAB</t>
        </is>
      </c>
      <c r="C979" t="inlineStr">
        <is>
          <t>Manufactura / Caballero / P. Superiores</t>
        </is>
      </c>
      <c r="D979" t="n">
        <v>863.52597759</v>
      </c>
      <c r="E979" t="n">
        <v>0.0002114192852022531</v>
      </c>
      <c r="F979" t="n">
        <v>0.8625547074957154</v>
      </c>
      <c r="G979" t="inlineStr">
        <is>
          <t>B</t>
        </is>
      </c>
      <c r="H979" t="n">
        <v>33</v>
      </c>
      <c r="I979" t="n">
        <v>9.336740741</v>
      </c>
      <c r="J979" t="n">
        <v>308.112444453</v>
      </c>
      <c r="K979" t="n">
        <v>1.3</v>
      </c>
      <c r="L979" t="n">
        <v>25.38461538461538</v>
      </c>
      <c r="M979" t="n">
        <v>3</v>
      </c>
      <c r="N979" t="n">
        <v>3.9</v>
      </c>
      <c r="O979" t="n">
        <v>29.1</v>
      </c>
      <c r="P979" t="n">
        <v>271.6991555631</v>
      </c>
      <c r="Q979" t="n">
        <v>0.8818181818181819</v>
      </c>
      <c r="R979" t="inlineStr">
        <is>
          <t>Sobrestock crítico</t>
        </is>
      </c>
    </row>
    <row r="980">
      <c r="A980" t="inlineStr">
        <is>
          <t>NAHFNCA16TS</t>
        </is>
      </c>
      <c r="B980" t="inlineStr">
        <is>
          <t>NOAH SPORT LITE CAB</t>
        </is>
      </c>
      <c r="C980" t="inlineStr">
        <is>
          <t>Manufactura / Caballero / P. Superiores</t>
        </is>
      </c>
      <c r="D980" t="n">
        <v>863.0200224</v>
      </c>
      <c r="E980" t="n">
        <v>0.0002112954108922842</v>
      </c>
      <c r="F980" t="n">
        <v>0.8627660029066075</v>
      </c>
      <c r="G980" t="inlineStr">
        <is>
          <t>B</t>
        </is>
      </c>
      <c r="H980" t="n">
        <v>10</v>
      </c>
      <c r="I980" t="n">
        <v>17.61141534</v>
      </c>
      <c r="J980" t="n">
        <v>176.1141534</v>
      </c>
      <c r="K980" t="n">
        <v>2.9</v>
      </c>
      <c r="L980" t="n">
        <v>3.448275862068966</v>
      </c>
      <c r="M980" t="n">
        <v>3</v>
      </c>
      <c r="N980" t="n">
        <v>8.699999999999999</v>
      </c>
      <c r="O980" t="n">
        <v>1.300000000000001</v>
      </c>
      <c r="P980" t="n">
        <v>22.89483994200002</v>
      </c>
      <c r="Q980" t="n">
        <v>0.1300000000000001</v>
      </c>
      <c r="R980" t="inlineStr">
        <is>
          <t>Sobrestock</t>
        </is>
      </c>
    </row>
    <row r="981">
      <c r="A981" t="inlineStr">
        <is>
          <t>HELBFDA43TS</t>
        </is>
      </c>
      <c r="B981" t="inlineStr">
        <is>
          <t>HELEN BIO MOVE DAMA</t>
        </is>
      </c>
      <c r="C981" t="inlineStr">
        <is>
          <t>Manufactura / Dama / P. Superiores</t>
        </is>
      </c>
      <c r="D981" t="n">
        <v>859.4741984</v>
      </c>
      <c r="E981" t="n">
        <v>0.000210427277686118</v>
      </c>
      <c r="F981" t="n">
        <v>0.8629764301842937</v>
      </c>
      <c r="G981" t="inlineStr">
        <is>
          <t>B</t>
        </is>
      </c>
      <c r="H981" t="n">
        <v>9</v>
      </c>
      <c r="I981" t="n">
        <v>7.340817460000001</v>
      </c>
      <c r="J981" t="n">
        <v>66.06735714000001</v>
      </c>
      <c r="K981" t="n">
        <v>1.4</v>
      </c>
      <c r="L981" t="n">
        <v>6.428571428571429</v>
      </c>
      <c r="M981" t="n">
        <v>3</v>
      </c>
      <c r="N981" t="n">
        <v>4.199999999999999</v>
      </c>
      <c r="O981" t="n">
        <v>4.800000000000001</v>
      </c>
      <c r="P981" t="n">
        <v>35.23592380800001</v>
      </c>
      <c r="Q981" t="n">
        <v>0.5333333333333333</v>
      </c>
      <c r="R981" t="inlineStr">
        <is>
          <t>Sobrestock crítico</t>
        </is>
      </c>
    </row>
    <row r="982">
      <c r="A982" t="inlineStr">
        <is>
          <t>RIOMIKI34T14</t>
        </is>
      </c>
      <c r="B982" t="inlineStr">
        <is>
          <t>RIO ORIGINAL KIDS</t>
        </is>
      </c>
      <c r="C982" t="inlineStr">
        <is>
          <t>Manufactura / Kids / P. Superiores</t>
        </is>
      </c>
      <c r="D982" t="n">
        <v>859.36992078</v>
      </c>
      <c r="E982" t="n">
        <v>0.0002104017471283176</v>
      </c>
      <c r="F982" t="n">
        <v>0.863186831931422</v>
      </c>
      <c r="G982" t="inlineStr">
        <is>
          <t>B</t>
        </is>
      </c>
      <c r="H982" t="n">
        <v>38</v>
      </c>
      <c r="I982" t="n">
        <v>3.617969464</v>
      </c>
      <c r="J982" t="n">
        <v>137.482839632</v>
      </c>
      <c r="K982" t="n">
        <v>2.1</v>
      </c>
      <c r="L982" t="n">
        <v>18.09523809523809</v>
      </c>
      <c r="M982" t="n">
        <v>3</v>
      </c>
      <c r="N982" t="n">
        <v>6.300000000000001</v>
      </c>
      <c r="O982" t="n">
        <v>31.7</v>
      </c>
      <c r="P982" t="n">
        <v>114.6896320088</v>
      </c>
      <c r="Q982" t="n">
        <v>0.8342105263157894</v>
      </c>
      <c r="R982" t="inlineStr">
        <is>
          <t>Sobrestock crítico</t>
        </is>
      </c>
    </row>
    <row r="983">
      <c r="A983" t="inlineStr">
        <is>
          <t>JAPKI35T2</t>
        </is>
      </c>
      <c r="B983" t="inlineStr">
        <is>
          <t>CUADRO JACKET 2.0 KIDS</t>
        </is>
      </c>
      <c r="C983" t="inlineStr">
        <is>
          <t>Equipamiento / Ropa</t>
        </is>
      </c>
      <c r="D983" t="n">
        <v>857.88399434</v>
      </c>
      <c r="E983" t="n">
        <v>0.0002100379439377237</v>
      </c>
      <c r="F983" t="n">
        <v>0.8633968698753597</v>
      </c>
      <c r="G983" t="inlineStr">
        <is>
          <t>B</t>
        </is>
      </c>
      <c r="H983" t="n">
        <v>26</v>
      </c>
      <c r="I983" t="n">
        <v>15.17</v>
      </c>
      <c r="J983" t="n">
        <v>394.42</v>
      </c>
      <c r="K983" t="n">
        <v>1.5</v>
      </c>
      <c r="L983" t="n">
        <v>17.33333333333333</v>
      </c>
      <c r="M983" t="n">
        <v>3</v>
      </c>
      <c r="N983" t="n">
        <v>4.5</v>
      </c>
      <c r="O983" t="n">
        <v>21.5</v>
      </c>
      <c r="P983" t="n">
        <v>326.155</v>
      </c>
      <c r="Q983" t="n">
        <v>0.8269230769230769</v>
      </c>
      <c r="R983" t="inlineStr">
        <is>
          <t>Sobrestock crítico</t>
        </is>
      </c>
    </row>
    <row r="984">
      <c r="A984" t="inlineStr">
        <is>
          <t>RIOMIKI34T6</t>
        </is>
      </c>
      <c r="B984" t="inlineStr">
        <is>
          <t>RIO ORIGINAL KIDS</t>
        </is>
      </c>
      <c r="C984" t="inlineStr">
        <is>
          <t>Manufactura / Kids / P. Superiores</t>
        </is>
      </c>
      <c r="D984" t="n">
        <v>857.46911133</v>
      </c>
      <c r="E984" t="n">
        <v>0.0002099363670637291</v>
      </c>
      <c r="F984" t="n">
        <v>0.8636068062424234</v>
      </c>
      <c r="G984" t="inlineStr">
        <is>
          <t>B</t>
        </is>
      </c>
      <c r="H984" t="n">
        <v>19</v>
      </c>
      <c r="I984" t="n">
        <v>3.617969464</v>
      </c>
      <c r="J984" t="n">
        <v>68.741419816</v>
      </c>
      <c r="K984" t="n">
        <v>2.1</v>
      </c>
      <c r="L984" t="n">
        <v>9.047619047619047</v>
      </c>
      <c r="M984" t="n">
        <v>3</v>
      </c>
      <c r="N984" t="n">
        <v>6.300000000000001</v>
      </c>
      <c r="O984" t="n">
        <v>12.7</v>
      </c>
      <c r="P984" t="n">
        <v>45.9482121928</v>
      </c>
      <c r="Q984" t="n">
        <v>0.6684210526315789</v>
      </c>
      <c r="R984" t="inlineStr">
        <is>
          <t>Sobrestock crítico</t>
        </is>
      </c>
    </row>
    <row r="985">
      <c r="A985" t="inlineStr">
        <is>
          <t>RIOMIDA48TM</t>
        </is>
      </c>
      <c r="B985" t="inlineStr">
        <is>
          <t>RIO ORIGINAL DAMA</t>
        </is>
      </c>
      <c r="C985" t="inlineStr">
        <is>
          <t>Manufactura / Dama / P. Superiores</t>
        </is>
      </c>
      <c r="D985" t="n">
        <v>857.15200769</v>
      </c>
      <c r="E985" t="n">
        <v>0.0002098587297642804</v>
      </c>
      <c r="F985" t="n">
        <v>0.8638166649721878</v>
      </c>
      <c r="G985" t="inlineStr">
        <is>
          <t>B</t>
        </is>
      </c>
      <c r="H985" t="n">
        <v>33</v>
      </c>
      <c r="I985" t="n">
        <v>5.538832275</v>
      </c>
      <c r="J985" t="n">
        <v>182.781465075</v>
      </c>
      <c r="K985" t="n">
        <v>1.6</v>
      </c>
      <c r="L985" t="n">
        <v>20.625</v>
      </c>
      <c r="M985" t="n">
        <v>3</v>
      </c>
      <c r="N985" t="n">
        <v>4.800000000000001</v>
      </c>
      <c r="O985" t="n">
        <v>28.2</v>
      </c>
      <c r="P985" t="n">
        <v>156.195070155</v>
      </c>
      <c r="Q985" t="n">
        <v>0.8545454545454545</v>
      </c>
      <c r="R985" t="inlineStr">
        <is>
          <t>Sobrestock crítico</t>
        </is>
      </c>
    </row>
    <row r="986">
      <c r="A986" t="inlineStr">
        <is>
          <t>PANNTKI43T12</t>
        </is>
      </c>
      <c r="B986" t="inlineStr">
        <is>
          <t>EXPLORE PANTS KIDS</t>
        </is>
      </c>
      <c r="C986" t="inlineStr">
        <is>
          <t>Manufactura / Kids / P. Inferiores</t>
        </is>
      </c>
      <c r="D986" t="n">
        <v>856.4046153099999</v>
      </c>
      <c r="E986" t="n">
        <v>0.0002096757437663534</v>
      </c>
      <c r="F986" t="n">
        <v>0.8640263407159541</v>
      </c>
      <c r="G986" t="inlineStr">
        <is>
          <t>B</t>
        </is>
      </c>
      <c r="H986" t="n">
        <v>10</v>
      </c>
      <c r="I986" t="n">
        <v>13.98</v>
      </c>
      <c r="J986" t="n">
        <v>139.8</v>
      </c>
      <c r="K986" t="n">
        <v>1.7</v>
      </c>
      <c r="L986" t="n">
        <v>5.882352941176471</v>
      </c>
      <c r="M986" t="n">
        <v>3</v>
      </c>
      <c r="N986" t="n">
        <v>5.1</v>
      </c>
      <c r="O986" t="n">
        <v>4.9</v>
      </c>
      <c r="P986" t="n">
        <v>68.50200000000001</v>
      </c>
      <c r="Q986" t="n">
        <v>0.49</v>
      </c>
      <c r="R986" t="inlineStr">
        <is>
          <t>Sobrestock crítico</t>
        </is>
      </c>
    </row>
    <row r="987">
      <c r="A987" t="inlineStr">
        <is>
          <t>NAHFNCA13TL</t>
        </is>
      </c>
      <c r="B987" t="inlineStr">
        <is>
          <t>NOAH SPORT LITE CAB</t>
        </is>
      </c>
      <c r="C987" t="inlineStr">
        <is>
          <t>Manufactura / Caballero / P. Superiores</t>
        </is>
      </c>
      <c r="D987" t="n">
        <v>853.73144618</v>
      </c>
      <c r="E987" t="n">
        <v>0.0002090212648955884</v>
      </c>
      <c r="F987" t="n">
        <v>0.8642353619808497</v>
      </c>
      <c r="G987" t="inlineStr">
        <is>
          <t>B</t>
        </is>
      </c>
      <c r="H987" t="n">
        <v>3</v>
      </c>
      <c r="I987" t="n">
        <v>17.61141534</v>
      </c>
      <c r="J987" t="n">
        <v>52.83424602</v>
      </c>
      <c r="K987" t="n">
        <v>3.1</v>
      </c>
      <c r="L987" t="n">
        <v>0.9677419354838709</v>
      </c>
      <c r="M987" t="n">
        <v>3</v>
      </c>
      <c r="N987" t="n">
        <v>9.300000000000001</v>
      </c>
      <c r="O987" t="n">
        <v>0</v>
      </c>
      <c r="P987" t="n">
        <v>0</v>
      </c>
      <c r="Q987" t="n">
        <v>0</v>
      </c>
      <c r="R987" t="inlineStr">
        <is>
          <t>Riesgo bajo stock</t>
        </is>
      </c>
    </row>
    <row r="988">
      <c r="A988" t="inlineStr">
        <is>
          <t>SARSPKI43T12</t>
        </is>
      </c>
      <c r="B988" t="inlineStr">
        <is>
          <t>FALDA SARA KIDS</t>
        </is>
      </c>
      <c r="C988" t="inlineStr">
        <is>
          <t>Manufactura / Kids / P. Inferiores</t>
        </is>
      </c>
      <c r="D988" t="n">
        <v>850.85432108</v>
      </c>
      <c r="E988" t="n">
        <v>0.0002083168509603214</v>
      </c>
      <c r="F988" t="n">
        <v>0.8644436788318099</v>
      </c>
      <c r="G988" t="inlineStr">
        <is>
          <t>B</t>
        </is>
      </c>
      <c r="H988" t="n">
        <v>13</v>
      </c>
      <c r="I988" t="n">
        <v>5.753743316</v>
      </c>
      <c r="J988" t="n">
        <v>74.798663108</v>
      </c>
      <c r="K988" t="n">
        <v>2</v>
      </c>
      <c r="L988" t="n">
        <v>6.5</v>
      </c>
      <c r="M988" t="n">
        <v>3</v>
      </c>
      <c r="N988" t="n">
        <v>6</v>
      </c>
      <c r="O988" t="n">
        <v>7</v>
      </c>
      <c r="P988" t="n">
        <v>40.27620321200001</v>
      </c>
      <c r="Q988" t="n">
        <v>0.5384615384615385</v>
      </c>
      <c r="R988" t="inlineStr">
        <is>
          <t>Sobrestock crítico</t>
        </is>
      </c>
    </row>
    <row r="989">
      <c r="A989" t="inlineStr">
        <is>
          <t>BAPCCDA184TXL</t>
        </is>
      </c>
      <c r="B989" t="inlineStr">
        <is>
          <t>BASIC LINE PANT DAMA</t>
        </is>
      </c>
      <c r="C989" t="inlineStr">
        <is>
          <t>Manufactura / Dama / P. Inferiores</t>
        </is>
      </c>
      <c r="D989" t="n">
        <v>850.44996081</v>
      </c>
      <c r="E989" t="n">
        <v>0.0002082178503958148</v>
      </c>
      <c r="F989" t="n">
        <v>0.8646518966822058</v>
      </c>
      <c r="G989" t="inlineStr">
        <is>
          <t>B</t>
        </is>
      </c>
      <c r="H989" t="n">
        <v>18</v>
      </c>
      <c r="I989" t="n">
        <v>11.2</v>
      </c>
      <c r="J989" t="n">
        <v>201.6</v>
      </c>
      <c r="K989" t="n">
        <v>1.2</v>
      </c>
      <c r="L989" t="n">
        <v>15</v>
      </c>
      <c r="M989" t="n">
        <v>3</v>
      </c>
      <c r="N989" t="n">
        <v>3.6</v>
      </c>
      <c r="O989" t="n">
        <v>14.4</v>
      </c>
      <c r="P989" t="n">
        <v>161.28</v>
      </c>
      <c r="Q989" t="n">
        <v>0.8</v>
      </c>
      <c r="R989" t="inlineStr">
        <is>
          <t>Sobrestock crítico</t>
        </is>
      </c>
    </row>
    <row r="990">
      <c r="A990" t="inlineStr">
        <is>
          <t>TMOFIDA12TM</t>
        </is>
      </c>
      <c r="B990" t="inlineStr">
        <is>
          <t>TOP MOVA</t>
        </is>
      </c>
      <c r="C990" t="inlineStr">
        <is>
          <t>Manufactura / Dama / P. Superiores</t>
        </is>
      </c>
      <c r="D990" t="n">
        <v>850.2479746399999</v>
      </c>
      <c r="E990" t="n">
        <v>0.000208168397602511</v>
      </c>
      <c r="F990" t="n">
        <v>0.8648600650798084</v>
      </c>
      <c r="G990" t="inlineStr">
        <is>
          <t>B</t>
        </is>
      </c>
      <c r="H990" t="n">
        <v>10</v>
      </c>
      <c r="I990" t="n">
        <v>9.942967033</v>
      </c>
      <c r="J990" t="n">
        <v>99.42967033000001</v>
      </c>
      <c r="K990" t="n">
        <v>2.2</v>
      </c>
      <c r="L990" t="n">
        <v>4.545454545454545</v>
      </c>
      <c r="M990" t="n">
        <v>3</v>
      </c>
      <c r="N990" t="n">
        <v>6.600000000000001</v>
      </c>
      <c r="O990" t="n">
        <v>3.399999999999999</v>
      </c>
      <c r="P990" t="n">
        <v>33.8060879122</v>
      </c>
      <c r="Q990" t="n">
        <v>0.34</v>
      </c>
      <c r="R990" t="inlineStr">
        <is>
          <t>Sobrestock crítico</t>
        </is>
      </c>
    </row>
    <row r="991">
      <c r="A991" t="inlineStr">
        <is>
          <t>MARMIKI70T2</t>
        </is>
      </c>
      <c r="B991" t="inlineStr">
        <is>
          <t>MAR ORIGINAL KIDS</t>
        </is>
      </c>
      <c r="C991" t="inlineStr">
        <is>
          <t>Manufactura / Kids / P. Superiores</t>
        </is>
      </c>
      <c r="D991" t="n">
        <v>849.9628751400001</v>
      </c>
      <c r="E991" t="n">
        <v>0.0002080985959589407</v>
      </c>
      <c r="F991" t="n">
        <v>0.8650681636757673</v>
      </c>
      <c r="G991" t="inlineStr">
        <is>
          <t>B</t>
        </is>
      </c>
      <c r="H991" t="n">
        <v>11</v>
      </c>
      <c r="I991" t="n">
        <v>3.168013332000001</v>
      </c>
      <c r="J991" t="n">
        <v>34.848146652</v>
      </c>
      <c r="K991" t="n">
        <v>2.2</v>
      </c>
      <c r="L991" t="n">
        <v>5</v>
      </c>
      <c r="M991" t="n">
        <v>3</v>
      </c>
      <c r="N991" t="n">
        <v>6.600000000000001</v>
      </c>
      <c r="O991" t="n">
        <v>4.399999999999999</v>
      </c>
      <c r="P991" t="n">
        <v>13.9392586608</v>
      </c>
      <c r="Q991" t="n">
        <v>0.4</v>
      </c>
      <c r="R991" t="inlineStr">
        <is>
          <t>Sobrestock crítico</t>
        </is>
      </c>
    </row>
    <row r="992">
      <c r="A992" t="inlineStr">
        <is>
          <t>SHOUNCA57TM</t>
        </is>
      </c>
      <c r="B992" t="inlineStr">
        <is>
          <t>SHORT PLAYA CAB</t>
        </is>
      </c>
      <c r="C992" t="inlineStr">
        <is>
          <t>Manufactura / Caballero / P. Inferiores</t>
        </is>
      </c>
      <c r="D992" t="n">
        <v>849.66890495</v>
      </c>
      <c r="E992" t="n">
        <v>0.0002080266224815312</v>
      </c>
      <c r="F992" t="n">
        <v>0.8652761902982488</v>
      </c>
      <c r="G992" t="inlineStr">
        <is>
          <t>B</t>
        </is>
      </c>
      <c r="H992" t="n">
        <v>0</v>
      </c>
      <c r="I992" t="n">
        <v>9.99</v>
      </c>
      <c r="J992" t="n">
        <v>0</v>
      </c>
      <c r="K992" t="n">
        <v>1.9</v>
      </c>
      <c r="L992" t="n">
        <v>0</v>
      </c>
      <c r="M992" t="n">
        <v>3</v>
      </c>
      <c r="N992" t="n">
        <v>5.699999999999999</v>
      </c>
      <c r="O992" t="n">
        <v>0</v>
      </c>
      <c r="P992" t="n">
        <v>0</v>
      </c>
      <c r="Q992" t="n">
        <v>0</v>
      </c>
      <c r="R992" t="inlineStr">
        <is>
          <t>Riesgo bajo stock</t>
        </is>
      </c>
    </row>
    <row r="993">
      <c r="A993" t="inlineStr">
        <is>
          <t>MAFMIDA16TXS</t>
        </is>
      </c>
      <c r="B993" t="inlineStr">
        <is>
          <t>MAFE ORIGINAL DAMA</t>
        </is>
      </c>
      <c r="C993" t="inlineStr">
        <is>
          <t>Manufactura / Dama / P. Superiores</t>
        </is>
      </c>
      <c r="D993" t="n">
        <v>849.19706377</v>
      </c>
      <c r="E993" t="n">
        <v>0.0002079111003923371</v>
      </c>
      <c r="F993" t="n">
        <v>0.8654841013986412</v>
      </c>
      <c r="G993" t="inlineStr">
        <is>
          <t>B</t>
        </is>
      </c>
      <c r="H993" t="n">
        <v>51</v>
      </c>
      <c r="I993" t="n">
        <v>4.548176709999999</v>
      </c>
      <c r="J993" t="n">
        <v>231.95701221</v>
      </c>
      <c r="K993" t="n">
        <v>3.3</v>
      </c>
      <c r="L993" t="n">
        <v>15.45454545454546</v>
      </c>
      <c r="M993" t="n">
        <v>3</v>
      </c>
      <c r="N993" t="n">
        <v>9.899999999999999</v>
      </c>
      <c r="O993" t="n">
        <v>41.1</v>
      </c>
      <c r="P993" t="n">
        <v>186.930062781</v>
      </c>
      <c r="Q993" t="n">
        <v>0.8058823529411765</v>
      </c>
      <c r="R993" t="inlineStr">
        <is>
          <t>Sobrestock crítico</t>
        </is>
      </c>
    </row>
    <row r="994">
      <c r="A994" t="inlineStr">
        <is>
          <t>MAFMIDA43TL</t>
        </is>
      </c>
      <c r="B994" t="inlineStr">
        <is>
          <t>MAFE ORIGINAL DAMA</t>
        </is>
      </c>
      <c r="C994" t="inlineStr">
        <is>
          <t>Manufactura / Dama / P. Superiores</t>
        </is>
      </c>
      <c r="D994" t="n">
        <v>843.65140468</v>
      </c>
      <c r="E994" t="n">
        <v>0.0002065533424195481</v>
      </c>
      <c r="F994" t="n">
        <v>0.8656906547410607</v>
      </c>
      <c r="G994" t="inlineStr">
        <is>
          <t>B</t>
        </is>
      </c>
      <c r="H994" t="n">
        <v>36</v>
      </c>
      <c r="I994" t="n">
        <v>4.54817671</v>
      </c>
      <c r="J994" t="n">
        <v>163.73436156</v>
      </c>
      <c r="K994" t="n">
        <v>2.7</v>
      </c>
      <c r="L994" t="n">
        <v>13.33333333333333</v>
      </c>
      <c r="M994" t="n">
        <v>3</v>
      </c>
      <c r="N994" t="n">
        <v>8.100000000000001</v>
      </c>
      <c r="O994" t="n">
        <v>27.9</v>
      </c>
      <c r="P994" t="n">
        <v>126.894130209</v>
      </c>
      <c r="Q994" t="n">
        <v>0.775</v>
      </c>
      <c r="R994" t="inlineStr">
        <is>
          <t>Sobrestock crítico</t>
        </is>
      </c>
    </row>
    <row r="995">
      <c r="A995" t="inlineStr">
        <is>
          <t>JAPKI01T8</t>
        </is>
      </c>
      <c r="B995" t="inlineStr">
        <is>
          <t>CUADRO JACKET 2.0 KIDS</t>
        </is>
      </c>
      <c r="C995" t="inlineStr">
        <is>
          <t>Equipamiento / Ropa</t>
        </is>
      </c>
      <c r="D995" t="n">
        <v>841.6650899699999</v>
      </c>
      <c r="E995" t="n">
        <v>0.0002060670278823214</v>
      </c>
      <c r="F995" t="n">
        <v>0.8658967217689429</v>
      </c>
      <c r="G995" t="inlineStr">
        <is>
          <t>B</t>
        </is>
      </c>
      <c r="H995" t="n">
        <v>85</v>
      </c>
      <c r="I995" t="n">
        <v>15.17</v>
      </c>
      <c r="J995" t="n">
        <v>1289.45</v>
      </c>
      <c r="K995" t="n">
        <v>1.5</v>
      </c>
      <c r="L995" t="n">
        <v>56.66666666666666</v>
      </c>
      <c r="M995" t="n">
        <v>3</v>
      </c>
      <c r="N995" t="n">
        <v>4.5</v>
      </c>
      <c r="O995" t="n">
        <v>80.5</v>
      </c>
      <c r="P995" t="n">
        <v>1221.185</v>
      </c>
      <c r="Q995" t="n">
        <v>0.9470588235294117</v>
      </c>
      <c r="R995" t="inlineStr">
        <is>
          <t>Sobrestock crítico</t>
        </is>
      </c>
    </row>
    <row r="996">
      <c r="A996" t="inlineStr">
        <is>
          <t>CUTAG86</t>
        </is>
      </c>
      <c r="B996" t="inlineStr">
        <is>
          <t>CUADRO TAG</t>
        </is>
      </c>
      <c r="C996" t="inlineStr">
        <is>
          <t>Equipamiento / Accesorios</t>
        </is>
      </c>
      <c r="D996" t="n">
        <v>840.742878098</v>
      </c>
      <c r="E996" t="n">
        <v>0.0002058412403787105</v>
      </c>
      <c r="F996" t="n">
        <v>0.8661025630093216</v>
      </c>
      <c r="G996" t="inlineStr">
        <is>
          <t>B</t>
        </is>
      </c>
      <c r="H996" t="n">
        <v>205</v>
      </c>
      <c r="I996" t="n">
        <v>0.8100000000000001</v>
      </c>
      <c r="J996" t="n">
        <v>166.05</v>
      </c>
      <c r="K996" t="n">
        <v>12.8</v>
      </c>
      <c r="L996" t="n">
        <v>16.015625</v>
      </c>
      <c r="M996" t="n">
        <v>3</v>
      </c>
      <c r="N996" t="n">
        <v>38.40000000000001</v>
      </c>
      <c r="O996" t="n">
        <v>166.6</v>
      </c>
      <c r="P996" t="n">
        <v>134.946</v>
      </c>
      <c r="Q996" t="n">
        <v>0.8126829268292682</v>
      </c>
      <c r="R996" t="inlineStr">
        <is>
          <t>Sobrestock crítico</t>
        </is>
      </c>
    </row>
    <row r="997">
      <c r="A997" t="inlineStr">
        <is>
          <t>JACKI47T2</t>
        </is>
      </c>
      <c r="B997" t="inlineStr">
        <is>
          <t>JACKET KIDS</t>
        </is>
      </c>
      <c r="C997" t="inlineStr">
        <is>
          <t>Manufactura / Kids / P. Superiores</t>
        </is>
      </c>
      <c r="D997" t="n">
        <v>835.0316980600001</v>
      </c>
      <c r="E997" t="n">
        <v>0.0002044429574866715</v>
      </c>
      <c r="F997" t="n">
        <v>0.8663070059668083</v>
      </c>
      <c r="G997" t="inlineStr">
        <is>
          <t>B</t>
        </is>
      </c>
      <c r="H997" t="n">
        <v>28</v>
      </c>
      <c r="I997" t="n">
        <v>15.17</v>
      </c>
      <c r="J997" t="n">
        <v>424.76</v>
      </c>
      <c r="K997" t="n">
        <v>1.7</v>
      </c>
      <c r="L997" t="n">
        <v>16.47058823529412</v>
      </c>
      <c r="M997" t="n">
        <v>3</v>
      </c>
      <c r="N997" t="n">
        <v>5.1</v>
      </c>
      <c r="O997" t="n">
        <v>22.9</v>
      </c>
      <c r="P997" t="n">
        <v>347.393</v>
      </c>
      <c r="Q997" t="n">
        <v>0.8178571428571428</v>
      </c>
      <c r="R997" t="inlineStr">
        <is>
          <t>Sobrestock crítico</t>
        </is>
      </c>
    </row>
    <row r="998">
      <c r="A998" t="inlineStr">
        <is>
          <t>SHUNTCA157T2XL</t>
        </is>
      </c>
      <c r="B998" t="inlineStr">
        <is>
          <t>SHORT SPORT R1 CAB</t>
        </is>
      </c>
      <c r="C998" t="inlineStr">
        <is>
          <t>Manufactura / Caballero / P. Inferiores</t>
        </is>
      </c>
      <c r="D998" t="n">
        <v>831.47673588</v>
      </c>
      <c r="E998" t="n">
        <v>0.0002035725869564018</v>
      </c>
      <c r="F998" t="n">
        <v>0.8665105785537648</v>
      </c>
      <c r="G998" t="inlineStr">
        <is>
          <t>B</t>
        </is>
      </c>
      <c r="H998" t="n">
        <v>13</v>
      </c>
      <c r="I998" t="n">
        <v>9.119999999999999</v>
      </c>
      <c r="J998" t="n">
        <v>118.56</v>
      </c>
      <c r="K998" t="n">
        <v>1.7</v>
      </c>
      <c r="L998" t="n">
        <v>7.647058823529412</v>
      </c>
      <c r="M998" t="n">
        <v>3</v>
      </c>
      <c r="N998" t="n">
        <v>5.1</v>
      </c>
      <c r="O998" t="n">
        <v>7.9</v>
      </c>
      <c r="P998" t="n">
        <v>72.048</v>
      </c>
      <c r="Q998" t="n">
        <v>0.6076923076923078</v>
      </c>
      <c r="R998" t="inlineStr">
        <is>
          <t>Sobrestock crítico</t>
        </is>
      </c>
    </row>
    <row r="999">
      <c r="A999" t="inlineStr">
        <is>
          <t>JACKI01T4</t>
        </is>
      </c>
      <c r="B999" t="inlineStr">
        <is>
          <t>JACKET KIDS</t>
        </is>
      </c>
      <c r="C999" t="inlineStr">
        <is>
          <t>Manufactura / Kids / P. Superiores</t>
        </is>
      </c>
      <c r="D999" t="n">
        <v>830.5215965699999</v>
      </c>
      <c r="E999" t="n">
        <v>0.0002033387377434894</v>
      </c>
      <c r="F999" t="n">
        <v>0.8667139172915083</v>
      </c>
      <c r="G999" t="inlineStr">
        <is>
          <t>B</t>
        </is>
      </c>
      <c r="H999" t="n">
        <v>59</v>
      </c>
      <c r="I999" t="n">
        <v>15.17</v>
      </c>
      <c r="J999" t="n">
        <v>895.0300000000001</v>
      </c>
      <c r="K999" t="n">
        <v>1.7</v>
      </c>
      <c r="L999" t="n">
        <v>34.70588235294117</v>
      </c>
      <c r="M999" t="n">
        <v>3</v>
      </c>
      <c r="N999" t="n">
        <v>5.1</v>
      </c>
      <c r="O999" t="n">
        <v>53.9</v>
      </c>
      <c r="P999" t="n">
        <v>817.6630000000001</v>
      </c>
      <c r="Q999" t="n">
        <v>0.9135593220338983</v>
      </c>
      <c r="R999" t="inlineStr">
        <is>
          <t>Sobrestock crítico</t>
        </is>
      </c>
    </row>
    <row r="1000">
      <c r="A1000" t="inlineStr">
        <is>
          <t>ZOEMIDA43TS</t>
        </is>
      </c>
      <c r="B1000" t="inlineStr">
        <is>
          <t>ZOE ORIGINAL DAMA</t>
        </is>
      </c>
      <c r="C1000" t="inlineStr">
        <is>
          <t>Manufactura / Dama / P. Superiores</t>
        </is>
      </c>
      <c r="D1000" t="n">
        <v>830.42979398</v>
      </c>
      <c r="E1000" t="n">
        <v>0.000203316261479357</v>
      </c>
      <c r="F1000" t="n">
        <v>0.8669172335529876</v>
      </c>
      <c r="G1000" t="inlineStr">
        <is>
          <t>B</t>
        </is>
      </c>
      <c r="H1000" t="n">
        <v>9</v>
      </c>
      <c r="I1000" t="n">
        <v>4.116585696</v>
      </c>
      <c r="J1000" t="n">
        <v>37.049271264</v>
      </c>
      <c r="K1000" t="n">
        <v>3.6</v>
      </c>
      <c r="L1000" t="n">
        <v>2.5</v>
      </c>
      <c r="M1000" t="n">
        <v>3</v>
      </c>
      <c r="N1000" t="n">
        <v>10.8</v>
      </c>
      <c r="O1000" t="n">
        <v>0</v>
      </c>
      <c r="P1000" t="n">
        <v>0</v>
      </c>
      <c r="Q1000" t="n">
        <v>0</v>
      </c>
      <c r="R1000" t="inlineStr">
        <is>
          <t>OK</t>
        </is>
      </c>
    </row>
    <row r="1001">
      <c r="A1001" t="inlineStr">
        <is>
          <t>CLAMEDA30TS</t>
        </is>
      </c>
      <c r="B1001" t="inlineStr">
        <is>
          <t>CLÁSICA SPORT DAMA</t>
        </is>
      </c>
      <c r="C1001" t="inlineStr">
        <is>
          <t>Manufactura / Dama / P. Superiores</t>
        </is>
      </c>
      <c r="D1001" t="n">
        <v>829.98083622</v>
      </c>
      <c r="E1001" t="n">
        <v>0.0002032063419967144</v>
      </c>
      <c r="F1001" t="n">
        <v>0.8671204398949843</v>
      </c>
      <c r="G1001" t="inlineStr">
        <is>
          <t>B</t>
        </is>
      </c>
      <c r="H1001" t="n">
        <v>8</v>
      </c>
      <c r="I1001" t="n">
        <v>6.536105769000001</v>
      </c>
      <c r="J1001" t="n">
        <v>52.288846152</v>
      </c>
      <c r="K1001" t="n">
        <v>1.9</v>
      </c>
      <c r="L1001" t="n">
        <v>4.210526315789473</v>
      </c>
      <c r="M1001" t="n">
        <v>3</v>
      </c>
      <c r="N1001" t="n">
        <v>5.699999999999999</v>
      </c>
      <c r="O1001" t="n">
        <v>2.300000000000001</v>
      </c>
      <c r="P1001" t="n">
        <v>15.03304326870001</v>
      </c>
      <c r="Q1001" t="n">
        <v>0.2875000000000001</v>
      </c>
      <c r="R1001" t="inlineStr">
        <is>
          <t>Sobrestock</t>
        </is>
      </c>
    </row>
    <row r="1002">
      <c r="A1002" t="inlineStr">
        <is>
          <t>GEMBADA39TXS</t>
        </is>
      </c>
      <c r="B1002" t="inlineStr">
        <is>
          <t>VESTIDO GEMMA DAMA</t>
        </is>
      </c>
      <c r="C1002" t="inlineStr">
        <is>
          <t>Manufactura / Dama / Conjuntos</t>
        </is>
      </c>
      <c r="D1002" t="n">
        <v>829.96578297</v>
      </c>
      <c r="E1002" t="n">
        <v>0.0002032026564708152</v>
      </c>
      <c r="F1002" t="n">
        <v>0.8673236425514552</v>
      </c>
      <c r="G1002" t="inlineStr">
        <is>
          <t>B</t>
        </is>
      </c>
      <c r="H1002" t="n">
        <v>8</v>
      </c>
      <c r="I1002" t="n">
        <v>23.99</v>
      </c>
      <c r="J1002" t="n">
        <v>191.92</v>
      </c>
      <c r="K1002" t="n">
        <v>1.7</v>
      </c>
      <c r="L1002" t="n">
        <v>4.705882352941177</v>
      </c>
      <c r="M1002" t="n">
        <v>3</v>
      </c>
      <c r="N1002" t="n">
        <v>5.1</v>
      </c>
      <c r="O1002" t="n">
        <v>2.9</v>
      </c>
      <c r="P1002" t="n">
        <v>69.571</v>
      </c>
      <c r="Q1002" t="n">
        <v>0.3625</v>
      </c>
      <c r="R1002" t="inlineStr">
        <is>
          <t>Sobrestock crítico</t>
        </is>
      </c>
    </row>
    <row r="1003">
      <c r="A1003" t="inlineStr">
        <is>
          <t>GEODOCACA43TXL</t>
        </is>
      </c>
      <c r="B1003" t="inlineStr">
        <is>
          <t>ADVANCE GEO DOMINIC CAB</t>
        </is>
      </c>
      <c r="C1003" t="inlineStr">
        <is>
          <t>Manufactura / Caballero / P. Superiores</t>
        </is>
      </c>
      <c r="D1003" t="n">
        <v>829.45824793</v>
      </c>
      <c r="E1003" t="n">
        <v>0.0002030783953621091</v>
      </c>
      <c r="F1003" t="n">
        <v>0.8675267209468173</v>
      </c>
      <c r="G1003" t="inlineStr">
        <is>
          <t>B</t>
        </is>
      </c>
      <c r="H1003" t="n">
        <v>20</v>
      </c>
      <c r="I1003" t="n">
        <v>13.35</v>
      </c>
      <c r="J1003" t="n">
        <v>267</v>
      </c>
      <c r="K1003" t="n">
        <v>1.4</v>
      </c>
      <c r="L1003" t="n">
        <v>14.28571428571429</v>
      </c>
      <c r="M1003" t="n">
        <v>3</v>
      </c>
      <c r="N1003" t="n">
        <v>4.199999999999999</v>
      </c>
      <c r="O1003" t="n">
        <v>15.8</v>
      </c>
      <c r="P1003" t="n">
        <v>210.93</v>
      </c>
      <c r="Q1003" t="n">
        <v>0.79</v>
      </c>
      <c r="R1003" t="inlineStr">
        <is>
          <t>Sobrestock crítico</t>
        </is>
      </c>
    </row>
    <row r="1004">
      <c r="A1004" t="inlineStr">
        <is>
          <t>RIOMIDA30TXL</t>
        </is>
      </c>
      <c r="B1004" t="inlineStr">
        <is>
          <t>RIO ORIGINAL DAMA</t>
        </is>
      </c>
      <c r="C1004" t="inlineStr">
        <is>
          <t>Manufactura / Dama / P. Superiores</t>
        </is>
      </c>
      <c r="D1004" t="n">
        <v>825.68927275</v>
      </c>
      <c r="E1004" t="n">
        <v>0.0002021556274788261</v>
      </c>
      <c r="F1004" t="n">
        <v>0.8677288765742961</v>
      </c>
      <c r="G1004" t="inlineStr">
        <is>
          <t>B</t>
        </is>
      </c>
      <c r="H1004" t="n">
        <v>5</v>
      </c>
      <c r="I1004" t="n">
        <v>5.538832275</v>
      </c>
      <c r="J1004" t="n">
        <v>27.694161375</v>
      </c>
      <c r="K1004" t="n">
        <v>1.4</v>
      </c>
      <c r="L1004" t="n">
        <v>3.571428571428572</v>
      </c>
      <c r="M1004" t="n">
        <v>3</v>
      </c>
      <c r="N1004" t="n">
        <v>4.199999999999999</v>
      </c>
      <c r="O1004" t="n">
        <v>0.8000000000000007</v>
      </c>
      <c r="P1004" t="n">
        <v>4.431065820000004</v>
      </c>
      <c r="Q1004" t="n">
        <v>0.1600000000000001</v>
      </c>
      <c r="R1004" t="inlineStr">
        <is>
          <t>Sobrestock</t>
        </is>
      </c>
    </row>
    <row r="1005">
      <c r="A1005" t="inlineStr">
        <is>
          <t>MIKFNDA10TL</t>
        </is>
      </c>
      <c r="B1005" t="inlineStr">
        <is>
          <t>MIKA SPORT LITE DAMA</t>
        </is>
      </c>
      <c r="C1005" t="inlineStr">
        <is>
          <t>Manufactura / Dama / P. Superiores</t>
        </is>
      </c>
      <c r="D1005" t="n">
        <v>824.75775917</v>
      </c>
      <c r="E1005" t="n">
        <v>0.0002019275626141309</v>
      </c>
      <c r="F1005" t="n">
        <v>0.8679308041369102</v>
      </c>
      <c r="G1005" t="inlineStr">
        <is>
          <t>B</t>
        </is>
      </c>
      <c r="H1005" t="n">
        <v>2</v>
      </c>
      <c r="I1005" t="n">
        <v>5.484675344</v>
      </c>
      <c r="J1005" t="n">
        <v>10.969350688</v>
      </c>
      <c r="K1005" t="n">
        <v>2.4</v>
      </c>
      <c r="L1005" t="n">
        <v>0.8333333333333334</v>
      </c>
      <c r="M1005" t="n">
        <v>3</v>
      </c>
      <c r="N1005" t="n">
        <v>7.199999999999999</v>
      </c>
      <c r="O1005" t="n">
        <v>0</v>
      </c>
      <c r="P1005" t="n">
        <v>0</v>
      </c>
      <c r="Q1005" t="n">
        <v>0</v>
      </c>
      <c r="R1005" t="inlineStr">
        <is>
          <t>Riesgo bajo stock</t>
        </is>
      </c>
    </row>
    <row r="1006">
      <c r="A1006" t="inlineStr">
        <is>
          <t>JACKI43T6</t>
        </is>
      </c>
      <c r="B1006" t="inlineStr">
        <is>
          <t>JACKET KIDS</t>
        </is>
      </c>
      <c r="C1006" t="inlineStr">
        <is>
          <t>Manufactura / Kids / P. Superiores</t>
        </is>
      </c>
      <c r="D1006" t="n">
        <v>824.45601562</v>
      </c>
      <c r="E1006" t="n">
        <v>0.0002018536859650075</v>
      </c>
      <c r="F1006" t="n">
        <v>0.8681326578228753</v>
      </c>
      <c r="G1006" t="inlineStr">
        <is>
          <t>B</t>
        </is>
      </c>
      <c r="H1006" t="n">
        <v>149</v>
      </c>
      <c r="I1006" t="n">
        <v>15.17</v>
      </c>
      <c r="J1006" t="n">
        <v>2260.33</v>
      </c>
      <c r="K1006" t="n">
        <v>1.5</v>
      </c>
      <c r="L1006" t="n">
        <v>99.33333333333333</v>
      </c>
      <c r="M1006" t="n">
        <v>3</v>
      </c>
      <c r="N1006" t="n">
        <v>4.5</v>
      </c>
      <c r="O1006" t="n">
        <v>144.5</v>
      </c>
      <c r="P1006" t="n">
        <v>2192.065</v>
      </c>
      <c r="Q1006" t="n">
        <v>0.9697986577181209</v>
      </c>
      <c r="R1006" t="inlineStr">
        <is>
          <t>Sobrestock crítico</t>
        </is>
      </c>
    </row>
    <row r="1007">
      <c r="A1007" t="inlineStr">
        <is>
          <t>MARMIDA53TXL</t>
        </is>
      </c>
      <c r="B1007" t="inlineStr">
        <is>
          <t>MAR ORIGINAL DAMA</t>
        </is>
      </c>
      <c r="C1007" t="inlineStr">
        <is>
          <t>Manufactura / Dama / P. Superiores</t>
        </is>
      </c>
      <c r="D1007" t="n">
        <v>824.15031895</v>
      </c>
      <c r="E1007" t="n">
        <v>0.0002017788414633511</v>
      </c>
      <c r="F1007" t="n">
        <v>0.8683344366643385</v>
      </c>
      <c r="G1007" t="inlineStr">
        <is>
          <t>B</t>
        </is>
      </c>
      <c r="H1007" t="n">
        <v>39</v>
      </c>
      <c r="I1007" t="n">
        <v>4.278324149</v>
      </c>
      <c r="J1007" t="n">
        <v>166.854641811</v>
      </c>
      <c r="K1007" t="n">
        <v>1.8</v>
      </c>
      <c r="L1007" t="n">
        <v>21.66666666666667</v>
      </c>
      <c r="M1007" t="n">
        <v>3</v>
      </c>
      <c r="N1007" t="n">
        <v>5.4</v>
      </c>
      <c r="O1007" t="n">
        <v>33.6</v>
      </c>
      <c r="P1007" t="n">
        <v>143.7516914064</v>
      </c>
      <c r="Q1007" t="n">
        <v>0.8615384615384616</v>
      </c>
      <c r="R1007" t="inlineStr">
        <is>
          <t>Sobrestock crítico</t>
        </is>
      </c>
    </row>
    <row r="1008">
      <c r="A1008" t="inlineStr">
        <is>
          <t>SHUNTCA43TXL</t>
        </is>
      </c>
      <c r="B1008" t="inlineStr">
        <is>
          <t>SHORT SPORT R1 CAB</t>
        </is>
      </c>
      <c r="C1008" t="inlineStr">
        <is>
          <t>Manufactura / Caballero / P. Inferiores</t>
        </is>
      </c>
      <c r="D1008" t="n">
        <v>823.79340357</v>
      </c>
      <c r="E1008" t="n">
        <v>0.000201691456953243</v>
      </c>
      <c r="F1008" t="n">
        <v>0.8685361281212919</v>
      </c>
      <c r="G1008" t="inlineStr">
        <is>
          <t>B</t>
        </is>
      </c>
      <c r="H1008" t="n">
        <v>14</v>
      </c>
      <c r="I1008" t="n">
        <v>9.119999999999999</v>
      </c>
      <c r="J1008" t="n">
        <v>127.68</v>
      </c>
      <c r="K1008" t="n">
        <v>1.6</v>
      </c>
      <c r="L1008" t="n">
        <v>8.75</v>
      </c>
      <c r="M1008" t="n">
        <v>3</v>
      </c>
      <c r="N1008" t="n">
        <v>4.800000000000001</v>
      </c>
      <c r="O1008" t="n">
        <v>9.199999999999999</v>
      </c>
      <c r="P1008" t="n">
        <v>83.90399999999998</v>
      </c>
      <c r="Q1008" t="n">
        <v>0.657142857142857</v>
      </c>
      <c r="R1008" t="inlineStr">
        <is>
          <t>Sobrestock crítico</t>
        </is>
      </c>
    </row>
    <row r="1009">
      <c r="A1009" t="inlineStr">
        <is>
          <t>JAPKI01T10</t>
        </is>
      </c>
      <c r="B1009" t="inlineStr">
        <is>
          <t>CUADRO JACKET 2.0 KIDS</t>
        </is>
      </c>
      <c r="C1009" t="inlineStr">
        <is>
          <t>Equipamiento / Ropa</t>
        </is>
      </c>
      <c r="D1009" t="n">
        <v>821.75631264</v>
      </c>
      <c r="E1009" t="n">
        <v>0.000201192710743529</v>
      </c>
      <c r="F1009" t="n">
        <v>0.8687373208320353</v>
      </c>
      <c r="G1009" t="inlineStr">
        <is>
          <t>B</t>
        </is>
      </c>
      <c r="H1009" t="n">
        <v>45</v>
      </c>
      <c r="I1009" t="n">
        <v>15.17</v>
      </c>
      <c r="J1009" t="n">
        <v>682.65</v>
      </c>
      <c r="K1009" t="n">
        <v>1.5</v>
      </c>
      <c r="L1009" t="n">
        <v>30</v>
      </c>
      <c r="M1009" t="n">
        <v>3</v>
      </c>
      <c r="N1009" t="n">
        <v>4.5</v>
      </c>
      <c r="O1009" t="n">
        <v>40.5</v>
      </c>
      <c r="P1009" t="n">
        <v>614.385</v>
      </c>
      <c r="Q1009" t="n">
        <v>0.9</v>
      </c>
      <c r="R1009" t="inlineStr">
        <is>
          <t>Sobrestock crítico</t>
        </is>
      </c>
    </row>
    <row r="1010">
      <c r="A1010" t="inlineStr">
        <is>
          <t>SARSPDA16TXS</t>
        </is>
      </c>
      <c r="B1010" t="inlineStr">
        <is>
          <t>FALDA SARA DAMA</t>
        </is>
      </c>
      <c r="C1010" t="inlineStr">
        <is>
          <t>Manufactura / Dama / P. Inferiores</t>
        </is>
      </c>
      <c r="D1010" t="n">
        <v>821.02386624</v>
      </c>
      <c r="E1010" t="n">
        <v>0.0002010133840083112</v>
      </c>
      <c r="F1010" t="n">
        <v>0.8689383342160436</v>
      </c>
      <c r="G1010" t="inlineStr">
        <is>
          <t>B</t>
        </is>
      </c>
      <c r="H1010" t="n">
        <v>24</v>
      </c>
      <c r="I1010" t="n">
        <v>9.500113852</v>
      </c>
      <c r="J1010" t="n">
        <v>228.002732448</v>
      </c>
      <c r="K1010" t="n">
        <v>2.1</v>
      </c>
      <c r="L1010" t="n">
        <v>11.42857142857143</v>
      </c>
      <c r="M1010" t="n">
        <v>3</v>
      </c>
      <c r="N1010" t="n">
        <v>6.300000000000001</v>
      </c>
      <c r="O1010" t="n">
        <v>17.7</v>
      </c>
      <c r="P1010" t="n">
        <v>168.1520151804</v>
      </c>
      <c r="Q1010" t="n">
        <v>0.7374999999999999</v>
      </c>
      <c r="R1010" t="inlineStr">
        <is>
          <t>Sobrestock crítico</t>
        </is>
      </c>
    </row>
    <row r="1011">
      <c r="A1011" t="inlineStr">
        <is>
          <t>POLPLCA50TL</t>
        </is>
      </c>
      <c r="B1011" t="inlineStr">
        <is>
          <t>CLASSIC POLO</t>
        </is>
      </c>
      <c r="C1011" t="inlineStr">
        <is>
          <t>Manufactura / Caballero / P. Superiores</t>
        </is>
      </c>
      <c r="D1011" t="n">
        <v>820.70092554</v>
      </c>
      <c r="E1011" t="n">
        <v>0.0002009343176064558</v>
      </c>
      <c r="F1011" t="n">
        <v>0.86913926853365</v>
      </c>
      <c r="G1011" t="inlineStr">
        <is>
          <t>B</t>
        </is>
      </c>
      <c r="H1011" t="n">
        <v>63</v>
      </c>
      <c r="I1011" t="n">
        <v>7.34</v>
      </c>
      <c r="J1011" t="n">
        <v>462.42</v>
      </c>
      <c r="K1011" t="n">
        <v>1.9</v>
      </c>
      <c r="L1011" t="n">
        <v>33.15789473684211</v>
      </c>
      <c r="M1011" t="n">
        <v>3</v>
      </c>
      <c r="N1011" t="n">
        <v>5.699999999999999</v>
      </c>
      <c r="O1011" t="n">
        <v>57.3</v>
      </c>
      <c r="P1011" t="n">
        <v>420.582</v>
      </c>
      <c r="Q1011" t="n">
        <v>0.9095238095238095</v>
      </c>
      <c r="R1011" t="inlineStr">
        <is>
          <t>Sobrestock crítico</t>
        </is>
      </c>
    </row>
    <row r="1012">
      <c r="A1012" t="inlineStr">
        <is>
          <t>RIOMIDA34TL</t>
        </is>
      </c>
      <c r="B1012" t="inlineStr">
        <is>
          <t>RIO ORIGINAL DAMA</t>
        </is>
      </c>
      <c r="C1012" t="inlineStr">
        <is>
          <t>Manufactura / Dama / P. Superiores</t>
        </is>
      </c>
      <c r="D1012" t="n">
        <v>820.61965682</v>
      </c>
      <c r="E1012" t="n">
        <v>0.0002009144203767979</v>
      </c>
      <c r="F1012" t="n">
        <v>0.8693401829540268</v>
      </c>
      <c r="G1012" t="inlineStr">
        <is>
          <t>B</t>
        </is>
      </c>
      <c r="H1012" t="n">
        <v>33</v>
      </c>
      <c r="I1012" t="n">
        <v>5.538832275</v>
      </c>
      <c r="J1012" t="n">
        <v>182.781465075</v>
      </c>
      <c r="K1012" t="n">
        <v>1.6</v>
      </c>
      <c r="L1012" t="n">
        <v>20.625</v>
      </c>
      <c r="M1012" t="n">
        <v>3</v>
      </c>
      <c r="N1012" t="n">
        <v>4.800000000000001</v>
      </c>
      <c r="O1012" t="n">
        <v>28.2</v>
      </c>
      <c r="P1012" t="n">
        <v>156.195070155</v>
      </c>
      <c r="Q1012" t="n">
        <v>0.8545454545454545</v>
      </c>
      <c r="R1012" t="inlineStr">
        <is>
          <t>Sobrestock crítico</t>
        </is>
      </c>
    </row>
    <row r="1013">
      <c r="A1013" t="inlineStr">
        <is>
          <t>POLPLCA50T2XL</t>
        </is>
      </c>
      <c r="B1013" t="inlineStr">
        <is>
          <t>CLASSIC POLO</t>
        </is>
      </c>
      <c r="C1013" t="inlineStr">
        <is>
          <t>Manufactura / Caballero / P. Superiores</t>
        </is>
      </c>
      <c r="D1013" t="n">
        <v>820.38856464</v>
      </c>
      <c r="E1013" t="n">
        <v>0.0002008578414842349</v>
      </c>
      <c r="F1013" t="n">
        <v>0.869541040795511</v>
      </c>
      <c r="G1013" t="inlineStr">
        <is>
          <t>B</t>
        </is>
      </c>
      <c r="H1013" t="n">
        <v>16</v>
      </c>
      <c r="I1013" t="n">
        <v>7.340000000000001</v>
      </c>
      <c r="J1013" t="n">
        <v>117.44</v>
      </c>
      <c r="K1013" t="n">
        <v>1.7</v>
      </c>
      <c r="L1013" t="n">
        <v>9.411764705882353</v>
      </c>
      <c r="M1013" t="n">
        <v>3</v>
      </c>
      <c r="N1013" t="n">
        <v>5.1</v>
      </c>
      <c r="O1013" t="n">
        <v>10.9</v>
      </c>
      <c r="P1013" t="n">
        <v>80.00600000000001</v>
      </c>
      <c r="Q1013" t="n">
        <v>0.68125</v>
      </c>
      <c r="R1013" t="inlineStr">
        <is>
          <t>Sobrestock crítico</t>
        </is>
      </c>
    </row>
    <row r="1014">
      <c r="A1014" t="inlineStr">
        <is>
          <t>TALGTACA167TL</t>
        </is>
      </c>
      <c r="B1014" t="inlineStr">
        <is>
          <t>URBAN COTTON OVERSIZED COLOR BLOCK CAB</t>
        </is>
      </c>
      <c r="C1014" t="inlineStr">
        <is>
          <t>Manufactura / Caballero / P. Superiores</t>
        </is>
      </c>
      <c r="D1014" t="n">
        <v>819.99945809</v>
      </c>
      <c r="E1014" t="n">
        <v>0.0002007625755272128</v>
      </c>
      <c r="F1014" t="n">
        <v>0.8697418033710383</v>
      </c>
      <c r="G1014" t="inlineStr">
        <is>
          <t>B</t>
        </is>
      </c>
      <c r="H1014" t="n">
        <v>15</v>
      </c>
      <c r="I1014" t="n">
        <v>12.16641162</v>
      </c>
      <c r="J1014" t="n">
        <v>182.4961743</v>
      </c>
      <c r="K1014" t="n">
        <v>1.8</v>
      </c>
      <c r="L1014" t="n">
        <v>8.333333333333334</v>
      </c>
      <c r="M1014" t="n">
        <v>3</v>
      </c>
      <c r="N1014" t="n">
        <v>5.4</v>
      </c>
      <c r="O1014" t="n">
        <v>9.6</v>
      </c>
      <c r="P1014" t="n">
        <v>116.797551552</v>
      </c>
      <c r="Q1014" t="n">
        <v>0.6399999999999999</v>
      </c>
      <c r="R1014" t="inlineStr">
        <is>
          <t>Sobrestock crítico</t>
        </is>
      </c>
    </row>
    <row r="1015">
      <c r="A1015" t="inlineStr">
        <is>
          <t>SHUNTCA157TM</t>
        </is>
      </c>
      <c r="B1015" t="inlineStr">
        <is>
          <t>SHORT SPORT R1 CAB</t>
        </is>
      </c>
      <c r="C1015" t="inlineStr">
        <is>
          <t>Manufactura / Caballero / P. Inferiores</t>
        </is>
      </c>
      <c r="D1015" t="n">
        <v>817.0279257</v>
      </c>
      <c r="E1015" t="n">
        <v>0.0002000350476124157</v>
      </c>
      <c r="F1015" t="n">
        <v>0.8699418384186507</v>
      </c>
      <c r="G1015" t="inlineStr">
        <is>
          <t>B</t>
        </is>
      </c>
      <c r="H1015" t="n">
        <v>0</v>
      </c>
      <c r="I1015" t="n">
        <v>9.119999999999999</v>
      </c>
      <c r="J1015" t="n">
        <v>0</v>
      </c>
      <c r="K1015" t="n">
        <v>2.5</v>
      </c>
      <c r="L1015" t="n">
        <v>0</v>
      </c>
      <c r="M1015" t="n">
        <v>3</v>
      </c>
      <c r="N1015" t="n">
        <v>7.5</v>
      </c>
      <c r="O1015" t="n">
        <v>0</v>
      </c>
      <c r="P1015" t="n">
        <v>0</v>
      </c>
      <c r="Q1015" t="n">
        <v>0</v>
      </c>
      <c r="R1015" t="inlineStr">
        <is>
          <t>Riesgo bajo stock</t>
        </is>
      </c>
    </row>
    <row r="1016">
      <c r="A1016" t="inlineStr">
        <is>
          <t>MARMICA12T3XL</t>
        </is>
      </c>
      <c r="B1016" t="inlineStr">
        <is>
          <t>MAR ORIGINAL CAB</t>
        </is>
      </c>
      <c r="C1016" t="inlineStr">
        <is>
          <t>Manufactura / Caballero / P. Superiores</t>
        </is>
      </c>
      <c r="D1016" t="n">
        <v>816.76330247</v>
      </c>
      <c r="E1016" t="n">
        <v>0.0001999702592266735</v>
      </c>
      <c r="F1016" t="n">
        <v>0.8701418086778773</v>
      </c>
      <c r="G1016" t="inlineStr">
        <is>
          <t>B</t>
        </is>
      </c>
      <c r="H1016" t="n">
        <v>1</v>
      </c>
      <c r="I1016" t="n">
        <v>4.946357428</v>
      </c>
      <c r="J1016" t="n">
        <v>4.946357428</v>
      </c>
      <c r="K1016" t="n">
        <v>1.7</v>
      </c>
      <c r="L1016" t="n">
        <v>0.5882352941176471</v>
      </c>
      <c r="M1016" t="n">
        <v>3</v>
      </c>
      <c r="N1016" t="n">
        <v>5.1</v>
      </c>
      <c r="O1016" t="n">
        <v>0</v>
      </c>
      <c r="P1016" t="n">
        <v>0</v>
      </c>
      <c r="Q1016" t="n">
        <v>0</v>
      </c>
      <c r="R1016" t="inlineStr">
        <is>
          <t>Riesgo bajo stock</t>
        </is>
      </c>
    </row>
    <row r="1017">
      <c r="A1017" t="inlineStr">
        <is>
          <t>MAFMIDA48TS</t>
        </is>
      </c>
      <c r="B1017" t="inlineStr">
        <is>
          <t>MAFE ORIGINAL DAMA</t>
        </is>
      </c>
      <c r="C1017" t="inlineStr">
        <is>
          <t>Manufactura / Dama / P. Superiores</t>
        </is>
      </c>
      <c r="D1017" t="n">
        <v>815.5930980099999</v>
      </c>
      <c r="E1017" t="n">
        <v>0.0001996837550601583</v>
      </c>
      <c r="F1017" t="n">
        <v>0.8703414924329375</v>
      </c>
      <c r="G1017" t="inlineStr">
        <is>
          <t>B</t>
        </is>
      </c>
      <c r="H1017" t="n">
        <v>22</v>
      </c>
      <c r="I1017" t="n">
        <v>4.54817671</v>
      </c>
      <c r="J1017" t="n">
        <v>100.05988762</v>
      </c>
      <c r="K1017" t="n">
        <v>2.7</v>
      </c>
      <c r="L1017" t="n">
        <v>8.148148148148147</v>
      </c>
      <c r="M1017" t="n">
        <v>3</v>
      </c>
      <c r="N1017" t="n">
        <v>8.100000000000001</v>
      </c>
      <c r="O1017" t="n">
        <v>13.9</v>
      </c>
      <c r="P1017" t="n">
        <v>63.21965626899999</v>
      </c>
      <c r="Q1017" t="n">
        <v>0.6318181818181817</v>
      </c>
      <c r="R1017" t="inlineStr">
        <is>
          <t>Sobrestock crítico</t>
        </is>
      </c>
    </row>
    <row r="1018">
      <c r="A1018" t="inlineStr">
        <is>
          <t>HEA149EQ</t>
        </is>
      </c>
      <c r="B1018" t="inlineStr">
        <is>
          <t>HEADBAND</t>
        </is>
      </c>
      <c r="C1018" t="inlineStr">
        <is>
          <t>Equipamiento / Accesorios</t>
        </is>
      </c>
      <c r="D1018" t="n">
        <v>814.865718927</v>
      </c>
      <c r="E1018" t="n">
        <v>0.0001995056689691896</v>
      </c>
      <c r="F1018" t="n">
        <v>0.8705409981019067</v>
      </c>
      <c r="G1018" t="inlineStr">
        <is>
          <t>B</t>
        </is>
      </c>
      <c r="H1018" t="n">
        <v>346</v>
      </c>
      <c r="I1018" t="n">
        <v>4.26</v>
      </c>
      <c r="J1018" t="n">
        <v>1473.96</v>
      </c>
      <c r="K1018" t="n">
        <v>5.6</v>
      </c>
      <c r="L1018" t="n">
        <v>61.78571428571429</v>
      </c>
      <c r="M1018" t="n">
        <v>3</v>
      </c>
      <c r="N1018" t="n">
        <v>16.8</v>
      </c>
      <c r="O1018" t="n">
        <v>329.2</v>
      </c>
      <c r="P1018" t="n">
        <v>1402.392</v>
      </c>
      <c r="Q1018" t="n">
        <v>0.9514450867052022</v>
      </c>
      <c r="R1018" t="inlineStr">
        <is>
          <t>Sobrestock crítico</t>
        </is>
      </c>
    </row>
    <row r="1019">
      <c r="A1019" t="inlineStr">
        <is>
          <t>ADUMMCA16TM</t>
        </is>
      </c>
      <c r="B1019" t="inlineStr">
        <is>
          <t>ACTIVE DUO CAB</t>
        </is>
      </c>
      <c r="C1019" t="inlineStr">
        <is>
          <t>Manufactura / Caballero / P. Superiores</t>
        </is>
      </c>
      <c r="D1019" t="n">
        <v>814.72074515</v>
      </c>
      <c r="E1019" t="n">
        <v>0.0001994701746666418</v>
      </c>
      <c r="F1019" t="n">
        <v>0.8707404682765734</v>
      </c>
      <c r="G1019" t="inlineStr">
        <is>
          <t>B</t>
        </is>
      </c>
      <c r="H1019" t="n">
        <v>8</v>
      </c>
      <c r="I1019" t="n">
        <v>5.09</v>
      </c>
      <c r="J1019" t="n">
        <v>40.72</v>
      </c>
      <c r="K1019" t="n">
        <v>2.8</v>
      </c>
      <c r="L1019" t="n">
        <v>2.857142857142857</v>
      </c>
      <c r="M1019" t="n">
        <v>3</v>
      </c>
      <c r="N1019" t="n">
        <v>8.399999999999999</v>
      </c>
      <c r="O1019" t="n">
        <v>0</v>
      </c>
      <c r="P1019" t="n">
        <v>0</v>
      </c>
      <c r="Q1019" t="n">
        <v>0</v>
      </c>
      <c r="R1019" t="inlineStr">
        <is>
          <t>OK</t>
        </is>
      </c>
    </row>
    <row r="1020">
      <c r="A1020" t="inlineStr">
        <is>
          <t>CLAMECA16TM</t>
        </is>
      </c>
      <c r="B1020" t="inlineStr">
        <is>
          <t>CLASICA SPORT CAB</t>
        </is>
      </c>
      <c r="C1020" t="inlineStr">
        <is>
          <t>Manufactura / Caballero / P. Superiores</t>
        </is>
      </c>
      <c r="D1020" t="n">
        <v>813.81737099</v>
      </c>
      <c r="E1020" t="n">
        <v>0.0001992489992484912</v>
      </c>
      <c r="F1020" t="n">
        <v>0.8709397172758219</v>
      </c>
      <c r="G1020" t="inlineStr">
        <is>
          <t>B</t>
        </is>
      </c>
      <c r="H1020" t="n">
        <v>1</v>
      </c>
      <c r="I1020" t="n">
        <v>10.3013454</v>
      </c>
      <c r="J1020" t="n">
        <v>10.3013454</v>
      </c>
      <c r="K1020" t="n">
        <v>2.8</v>
      </c>
      <c r="L1020" t="n">
        <v>0.3571428571428572</v>
      </c>
      <c r="M1020" t="n">
        <v>3</v>
      </c>
      <c r="N1020" t="n">
        <v>8.399999999999999</v>
      </c>
      <c r="O1020" t="n">
        <v>0</v>
      </c>
      <c r="P1020" t="n">
        <v>0</v>
      </c>
      <c r="Q1020" t="n">
        <v>0</v>
      </c>
      <c r="R1020" t="inlineStr">
        <is>
          <t>Riesgo bajo stock</t>
        </is>
      </c>
    </row>
    <row r="1021">
      <c r="A1021" t="inlineStr">
        <is>
          <t>JACDA67TM</t>
        </is>
      </c>
      <c r="B1021" t="inlineStr">
        <is>
          <t>JACKET DAMA</t>
        </is>
      </c>
      <c r="C1021" t="inlineStr">
        <is>
          <t>Equipamiento / Ropa</t>
        </is>
      </c>
      <c r="D1021" t="n">
        <v>812.72723831</v>
      </c>
      <c r="E1021" t="n">
        <v>0.0001989820992617364</v>
      </c>
      <c r="F1021" t="n">
        <v>0.8711386993750835</v>
      </c>
      <c r="G1021" t="inlineStr">
        <is>
          <t>B</t>
        </is>
      </c>
      <c r="H1021" t="n">
        <v>37</v>
      </c>
      <c r="I1021" t="n">
        <v>20.25</v>
      </c>
      <c r="J1021" t="n">
        <v>749.25</v>
      </c>
      <c r="K1021" t="n">
        <v>1.2</v>
      </c>
      <c r="L1021" t="n">
        <v>30.83333333333334</v>
      </c>
      <c r="M1021" t="n">
        <v>3</v>
      </c>
      <c r="N1021" t="n">
        <v>3.6</v>
      </c>
      <c r="O1021" t="n">
        <v>33.4</v>
      </c>
      <c r="P1021" t="n">
        <v>676.35</v>
      </c>
      <c r="Q1021" t="n">
        <v>0.9027027027027027</v>
      </c>
      <c r="R1021" t="inlineStr">
        <is>
          <t>Sobrestock crítico</t>
        </is>
      </c>
    </row>
    <row r="1022">
      <c r="A1022" t="inlineStr">
        <is>
          <t>SHOSUKI155T8</t>
        </is>
      </c>
      <c r="B1022" t="inlineStr">
        <is>
          <t>SHORT PLAYA ESTAMPADO KIDS</t>
        </is>
      </c>
      <c r="C1022" t="inlineStr">
        <is>
          <t>Manufactura / Kids / P. Superiores</t>
        </is>
      </c>
      <c r="D1022" t="n">
        <v>811.70919767</v>
      </c>
      <c r="E1022" t="n">
        <v>0.0001987328497544821</v>
      </c>
      <c r="F1022" t="n">
        <v>0.8713374322248381</v>
      </c>
      <c r="G1022" t="inlineStr">
        <is>
          <t>B</t>
        </is>
      </c>
      <c r="H1022" t="n">
        <v>5</v>
      </c>
      <c r="I1022" t="n">
        <v>7.21</v>
      </c>
      <c r="J1022" t="n">
        <v>36.05</v>
      </c>
      <c r="K1022" t="n">
        <v>1.8</v>
      </c>
      <c r="L1022" t="n">
        <v>2.777777777777778</v>
      </c>
      <c r="M1022" t="n">
        <v>3</v>
      </c>
      <c r="N1022" t="n">
        <v>5.4</v>
      </c>
      <c r="O1022" t="n">
        <v>0</v>
      </c>
      <c r="P1022" t="n">
        <v>0</v>
      </c>
      <c r="Q1022" t="n">
        <v>0</v>
      </c>
      <c r="R1022" t="inlineStr">
        <is>
          <t>OK</t>
        </is>
      </c>
    </row>
    <row r="1023">
      <c r="A1023" t="inlineStr">
        <is>
          <t>DAYCSTDA66TM</t>
        </is>
      </c>
      <c r="B1023" t="inlineStr">
        <is>
          <t>CLASICA DAILY 3.0 DAMA</t>
        </is>
      </c>
      <c r="C1023" t="inlineStr">
        <is>
          <t>Manufactura / Dama / P. Superiores</t>
        </is>
      </c>
      <c r="D1023" t="n">
        <v>808.9381446899999</v>
      </c>
      <c r="E1023" t="n">
        <v>0.0001980544057290641</v>
      </c>
      <c r="F1023" t="n">
        <v>0.8715354866305671</v>
      </c>
      <c r="G1023" t="inlineStr">
        <is>
          <t>B</t>
        </is>
      </c>
      <c r="H1023" t="n">
        <v>21</v>
      </c>
      <c r="I1023" t="n">
        <v>10.28586481</v>
      </c>
      <c r="J1023" t="n">
        <v>216.00316101</v>
      </c>
      <c r="K1023" t="n">
        <v>1.8</v>
      </c>
      <c r="L1023" t="n">
        <v>11.66666666666667</v>
      </c>
      <c r="M1023" t="n">
        <v>3</v>
      </c>
      <c r="N1023" t="n">
        <v>5.4</v>
      </c>
      <c r="O1023" t="n">
        <v>15.6</v>
      </c>
      <c r="P1023" t="n">
        <v>160.459491036</v>
      </c>
      <c r="Q1023" t="n">
        <v>0.7428571428571429</v>
      </c>
      <c r="R1023" t="inlineStr">
        <is>
          <t>Sobrestock crítico</t>
        </is>
      </c>
    </row>
    <row r="1024">
      <c r="A1024" t="inlineStr">
        <is>
          <t>RIOMIKI66T2</t>
        </is>
      </c>
      <c r="B1024" t="inlineStr">
        <is>
          <t>RIO ORIGINAL KIDS</t>
        </is>
      </c>
      <c r="C1024" t="inlineStr">
        <is>
          <t>Manufactura / Kids / P. Superiores</t>
        </is>
      </c>
      <c r="D1024" t="n">
        <v>808.7100424400001</v>
      </c>
      <c r="E1024" t="n">
        <v>0.00019799855886875</v>
      </c>
      <c r="F1024" t="n">
        <v>0.8717334851894358</v>
      </c>
      <c r="G1024" t="inlineStr">
        <is>
          <t>B</t>
        </is>
      </c>
      <c r="H1024" t="n">
        <v>19</v>
      </c>
      <c r="I1024" t="n">
        <v>3.617969464</v>
      </c>
      <c r="J1024" t="n">
        <v>68.741419816</v>
      </c>
      <c r="K1024" t="n">
        <v>2</v>
      </c>
      <c r="L1024" t="n">
        <v>9.5</v>
      </c>
      <c r="M1024" t="n">
        <v>3</v>
      </c>
      <c r="N1024" t="n">
        <v>6</v>
      </c>
      <c r="O1024" t="n">
        <v>13</v>
      </c>
      <c r="P1024" t="n">
        <v>47.033603032</v>
      </c>
      <c r="Q1024" t="n">
        <v>0.6842105263157895</v>
      </c>
      <c r="R1024" t="inlineStr">
        <is>
          <t>Sobrestock crítico</t>
        </is>
      </c>
    </row>
    <row r="1025">
      <c r="A1025" t="inlineStr">
        <is>
          <t>RIOMIKI50T10</t>
        </is>
      </c>
      <c r="B1025" t="inlineStr">
        <is>
          <t>RIO ORIGINAL KIDS</t>
        </is>
      </c>
      <c r="C1025" t="inlineStr">
        <is>
          <t>Manufactura / Kids / P. Superiores</t>
        </is>
      </c>
      <c r="D1025" t="n">
        <v>806.81704741</v>
      </c>
      <c r="E1025" t="n">
        <v>0.0001975350920287008</v>
      </c>
      <c r="F1025" t="n">
        <v>0.8719310202814645</v>
      </c>
      <c r="G1025" t="inlineStr">
        <is>
          <t>B</t>
        </is>
      </c>
      <c r="H1025" t="n">
        <v>85</v>
      </c>
      <c r="I1025" t="n">
        <v>3.617969464</v>
      </c>
      <c r="J1025" t="n">
        <v>307.52740444</v>
      </c>
      <c r="K1025" t="n">
        <v>1.9</v>
      </c>
      <c r="L1025" t="n">
        <v>44.73684210526316</v>
      </c>
      <c r="M1025" t="n">
        <v>3</v>
      </c>
      <c r="N1025" t="n">
        <v>5.699999999999999</v>
      </c>
      <c r="O1025" t="n">
        <v>79.3</v>
      </c>
      <c r="P1025" t="n">
        <v>286.9049784952</v>
      </c>
      <c r="Q1025" t="n">
        <v>0.9329411764705883</v>
      </c>
      <c r="R1025" t="inlineStr">
        <is>
          <t>Sobrestock crítico</t>
        </is>
      </c>
    </row>
    <row r="1026">
      <c r="A1026" t="inlineStr">
        <is>
          <t>ADUMMCA16TS</t>
        </is>
      </c>
      <c r="B1026" t="inlineStr">
        <is>
          <t>ACTIVE DUO CAB</t>
        </is>
      </c>
      <c r="C1026" t="inlineStr">
        <is>
          <t>Manufactura / Caballero / P. Superiores</t>
        </is>
      </c>
      <c r="D1026" t="n">
        <v>806.47529253</v>
      </c>
      <c r="E1026" t="n">
        <v>0.0001974514193027851</v>
      </c>
      <c r="F1026" t="n">
        <v>0.8721284717007673</v>
      </c>
      <c r="G1026" t="inlineStr">
        <is>
          <t>B</t>
        </is>
      </c>
      <c r="H1026" t="n">
        <v>14</v>
      </c>
      <c r="I1026" t="n">
        <v>5.09</v>
      </c>
      <c r="J1026" t="n">
        <v>71.25999999999999</v>
      </c>
      <c r="K1026" t="n">
        <v>2.2</v>
      </c>
      <c r="L1026" t="n">
        <v>6.363636363636363</v>
      </c>
      <c r="M1026" t="n">
        <v>3</v>
      </c>
      <c r="N1026" t="n">
        <v>6.600000000000001</v>
      </c>
      <c r="O1026" t="n">
        <v>7.399999999999999</v>
      </c>
      <c r="P1026" t="n">
        <v>37.666</v>
      </c>
      <c r="Q1026" t="n">
        <v>0.5285714285714286</v>
      </c>
      <c r="R1026" t="inlineStr">
        <is>
          <t>Sobrestock crítico</t>
        </is>
      </c>
    </row>
    <row r="1027">
      <c r="A1027" t="inlineStr">
        <is>
          <t>RIOMIDA66TXL</t>
        </is>
      </c>
      <c r="B1027" t="inlineStr">
        <is>
          <t>RIO ORIGINAL DAMA</t>
        </is>
      </c>
      <c r="C1027" t="inlineStr">
        <is>
          <t>Manufactura / Dama / P. Superiores</t>
        </is>
      </c>
      <c r="D1027" t="n">
        <v>804.92995232</v>
      </c>
      <c r="E1027" t="n">
        <v>0.0001970730696861305</v>
      </c>
      <c r="F1027" t="n">
        <v>0.8723255447704534</v>
      </c>
      <c r="G1027" t="inlineStr">
        <is>
          <t>B</t>
        </is>
      </c>
      <c r="H1027" t="n">
        <v>24</v>
      </c>
      <c r="I1027" t="n">
        <v>5.538832275</v>
      </c>
      <c r="J1027" t="n">
        <v>132.9319746</v>
      </c>
      <c r="K1027" t="n">
        <v>1.6</v>
      </c>
      <c r="L1027" t="n">
        <v>15</v>
      </c>
      <c r="M1027" t="n">
        <v>3</v>
      </c>
      <c r="N1027" t="n">
        <v>4.800000000000001</v>
      </c>
      <c r="O1027" t="n">
        <v>19.2</v>
      </c>
      <c r="P1027" t="n">
        <v>106.34557968</v>
      </c>
      <c r="Q1027" t="n">
        <v>0.8</v>
      </c>
      <c r="R1027" t="inlineStr">
        <is>
          <t>Sobrestock crítico</t>
        </is>
      </c>
    </row>
    <row r="1028">
      <c r="A1028" t="inlineStr">
        <is>
          <t>NAHFNCA13TM</t>
        </is>
      </c>
      <c r="B1028" t="inlineStr">
        <is>
          <t>NOAH SPORT LITE CAB</t>
        </is>
      </c>
      <c r="C1028" t="inlineStr">
        <is>
          <t>Manufactura / Caballero / P. Superiores</t>
        </is>
      </c>
      <c r="D1028" t="n">
        <v>804.41974478</v>
      </c>
      <c r="E1028" t="n">
        <v>0.0001969481542623784</v>
      </c>
      <c r="F1028" t="n">
        <v>0.872522492924716</v>
      </c>
      <c r="G1028" t="inlineStr">
        <is>
          <t>B</t>
        </is>
      </c>
      <c r="H1028" t="n">
        <v>4</v>
      </c>
      <c r="I1028" t="n">
        <v>17.61141534</v>
      </c>
      <c r="J1028" t="n">
        <v>70.44566136</v>
      </c>
      <c r="K1028" t="n">
        <v>2.8</v>
      </c>
      <c r="L1028" t="n">
        <v>1.428571428571429</v>
      </c>
      <c r="M1028" t="n">
        <v>3</v>
      </c>
      <c r="N1028" t="n">
        <v>8.399999999999999</v>
      </c>
      <c r="O1028" t="n">
        <v>0</v>
      </c>
      <c r="P1028" t="n">
        <v>0</v>
      </c>
      <c r="Q1028" t="n">
        <v>0</v>
      </c>
      <c r="R1028" t="inlineStr">
        <is>
          <t>OK</t>
        </is>
      </c>
    </row>
    <row r="1029">
      <c r="A1029" t="inlineStr">
        <is>
          <t>CLAMICA12T2XL</t>
        </is>
      </c>
      <c r="B1029" t="inlineStr">
        <is>
          <t>CLASICA ORIGINAL CAB</t>
        </is>
      </c>
      <c r="C1029" t="inlineStr">
        <is>
          <t>Manufactura / Caballero / P. Superiores</t>
        </is>
      </c>
      <c r="D1029" t="n">
        <v>804.3226876799999</v>
      </c>
      <c r="E1029" t="n">
        <v>0.0001969243915230534</v>
      </c>
      <c r="F1029" t="n">
        <v>0.8727194173162389</v>
      </c>
      <c r="G1029" t="inlineStr">
        <is>
          <t>B</t>
        </is>
      </c>
      <c r="H1029" t="n">
        <v>20</v>
      </c>
      <c r="I1029" t="n">
        <v>4.598442536</v>
      </c>
      <c r="J1029" t="n">
        <v>91.96885072000001</v>
      </c>
      <c r="K1029" t="n">
        <v>2.1</v>
      </c>
      <c r="L1029" t="n">
        <v>9.523809523809524</v>
      </c>
      <c r="M1029" t="n">
        <v>3</v>
      </c>
      <c r="N1029" t="n">
        <v>6.300000000000001</v>
      </c>
      <c r="O1029" t="n">
        <v>13.7</v>
      </c>
      <c r="P1029" t="n">
        <v>62.9986627432</v>
      </c>
      <c r="Q1029" t="n">
        <v>0.6849999999999999</v>
      </c>
      <c r="R1029" t="inlineStr">
        <is>
          <t>Sobrestock crítico</t>
        </is>
      </c>
    </row>
    <row r="1030">
      <c r="A1030" t="inlineStr">
        <is>
          <t>MARMIKI13T6</t>
        </is>
      </c>
      <c r="B1030" t="inlineStr">
        <is>
          <t>MAR ORIGINAL KIDS</t>
        </is>
      </c>
      <c r="C1030" t="inlineStr">
        <is>
          <t>Manufactura / Kids / P. Superiores</t>
        </is>
      </c>
      <c r="D1030" t="n">
        <v>803.62876435</v>
      </c>
      <c r="E1030" t="n">
        <v>0.0001967544964901058</v>
      </c>
      <c r="F1030" t="n">
        <v>0.8729161718127291</v>
      </c>
      <c r="G1030" t="inlineStr">
        <is>
          <t>B</t>
        </is>
      </c>
      <c r="H1030" t="n">
        <v>8</v>
      </c>
      <c r="I1030" t="n">
        <v>3.168013332</v>
      </c>
      <c r="J1030" t="n">
        <v>25.344106656</v>
      </c>
      <c r="K1030" t="n">
        <v>2.1</v>
      </c>
      <c r="L1030" t="n">
        <v>3.809523809523809</v>
      </c>
      <c r="M1030" t="n">
        <v>3</v>
      </c>
      <c r="N1030" t="n">
        <v>6.300000000000001</v>
      </c>
      <c r="O1030" t="n">
        <v>1.699999999999999</v>
      </c>
      <c r="P1030" t="n">
        <v>5.385622664399998</v>
      </c>
      <c r="Q1030" t="n">
        <v>0.2124999999999999</v>
      </c>
      <c r="R1030" t="inlineStr">
        <is>
          <t>Sobrestock</t>
        </is>
      </c>
    </row>
    <row r="1031">
      <c r="A1031" t="inlineStr">
        <is>
          <t>SARSPKI16T14</t>
        </is>
      </c>
      <c r="B1031" t="inlineStr">
        <is>
          <t>FALDA SARA KIDS</t>
        </is>
      </c>
      <c r="C1031" t="inlineStr">
        <is>
          <t>Manufactura / Kids / P. Inferiores</t>
        </is>
      </c>
      <c r="D1031" t="n">
        <v>802.44571537</v>
      </c>
      <c r="E1031" t="n">
        <v>0.000196464847566736</v>
      </c>
      <c r="F1031" t="n">
        <v>0.8731126366602958</v>
      </c>
      <c r="G1031" t="inlineStr">
        <is>
          <t>B</t>
        </is>
      </c>
      <c r="H1031" t="n">
        <v>25</v>
      </c>
      <c r="I1031" t="n">
        <v>5.753743316</v>
      </c>
      <c r="J1031" t="n">
        <v>143.8435829</v>
      </c>
      <c r="K1031" t="n">
        <v>2</v>
      </c>
      <c r="L1031" t="n">
        <v>12.5</v>
      </c>
      <c r="M1031" t="n">
        <v>3</v>
      </c>
      <c r="N1031" t="n">
        <v>6</v>
      </c>
      <c r="O1031" t="n">
        <v>19</v>
      </c>
      <c r="P1031" t="n">
        <v>109.321123004</v>
      </c>
      <c r="Q1031" t="n">
        <v>0.7600000000000001</v>
      </c>
      <c r="R1031" t="inlineStr">
        <is>
          <t>Sobrestock crítico</t>
        </is>
      </c>
    </row>
    <row r="1032">
      <c r="A1032" t="inlineStr">
        <is>
          <t>CUTAG85</t>
        </is>
      </c>
      <c r="B1032" t="inlineStr">
        <is>
          <t>CUADRO TAG</t>
        </is>
      </c>
      <c r="C1032" t="inlineStr">
        <is>
          <t>Equipamiento / Accesorios</t>
        </is>
      </c>
      <c r="D1032" t="n">
        <v>801.681744227</v>
      </c>
      <c r="E1032" t="n">
        <v>0.00019627780254764</v>
      </c>
      <c r="F1032" t="n">
        <v>0.8733089144628434</v>
      </c>
      <c r="G1032" t="inlineStr">
        <is>
          <t>B</t>
        </is>
      </c>
      <c r="H1032" t="n">
        <v>168</v>
      </c>
      <c r="I1032" t="n">
        <v>0.8100000000000001</v>
      </c>
      <c r="J1032" t="n">
        <v>136.08</v>
      </c>
      <c r="K1032" t="n">
        <v>8.300000000000001</v>
      </c>
      <c r="L1032" t="n">
        <v>20.24096385542169</v>
      </c>
      <c r="M1032" t="n">
        <v>3</v>
      </c>
      <c r="N1032" t="n">
        <v>24.9</v>
      </c>
      <c r="O1032" t="n">
        <v>143.1</v>
      </c>
      <c r="P1032" t="n">
        <v>115.911</v>
      </c>
      <c r="Q1032" t="n">
        <v>0.8517857142857143</v>
      </c>
      <c r="R1032" t="inlineStr">
        <is>
          <t>Sobrestock crítico</t>
        </is>
      </c>
    </row>
    <row r="1033">
      <c r="A1033" t="inlineStr">
        <is>
          <t>SNA35EQ</t>
        </is>
      </c>
      <c r="B1033" t="inlineStr">
        <is>
          <t>LLAVERO SNAP</t>
        </is>
      </c>
      <c r="C1033" t="inlineStr">
        <is>
          <t>Equipamiento / Accesorios</t>
        </is>
      </c>
      <c r="D1033" t="n">
        <v>799.970448979</v>
      </c>
      <c r="E1033" t="n">
        <v>0.0001958588217323645</v>
      </c>
      <c r="F1033" t="n">
        <v>0.8735047732845758</v>
      </c>
      <c r="G1033" t="inlineStr">
        <is>
          <t>B</t>
        </is>
      </c>
      <c r="H1033" t="n">
        <v>854</v>
      </c>
      <c r="I1033" t="n">
        <v>1</v>
      </c>
      <c r="J1033" t="n">
        <v>854</v>
      </c>
      <c r="K1033" t="n">
        <v>20.2</v>
      </c>
      <c r="L1033" t="n">
        <v>42.27722772277228</v>
      </c>
      <c r="M1033" t="n">
        <v>3</v>
      </c>
      <c r="N1033" t="n">
        <v>60.59999999999999</v>
      </c>
      <c r="O1033" t="n">
        <v>793.4</v>
      </c>
      <c r="P1033" t="n">
        <v>793.4</v>
      </c>
      <c r="Q1033" t="n">
        <v>0.92903981264637</v>
      </c>
      <c r="R1033" t="inlineStr">
        <is>
          <t>Sobrestock crítico</t>
        </is>
      </c>
    </row>
    <row r="1034">
      <c r="A1034" t="inlineStr">
        <is>
          <t>CLAMICA30TS</t>
        </is>
      </c>
      <c r="B1034" t="inlineStr">
        <is>
          <t>CLASICA ORIGINAL CAB</t>
        </is>
      </c>
      <c r="C1034" t="inlineStr">
        <is>
          <t>Manufactura / Caballero / P. Superiores</t>
        </is>
      </c>
      <c r="D1034" t="n">
        <v>799.6805615999999</v>
      </c>
      <c r="E1034" t="n">
        <v>0.000195787847860069</v>
      </c>
      <c r="F1034" t="n">
        <v>0.8737005611324359</v>
      </c>
      <c r="G1034" t="inlineStr">
        <is>
          <t>B</t>
        </is>
      </c>
      <c r="H1034" t="n">
        <v>32</v>
      </c>
      <c r="I1034" t="n">
        <v>4.598442536</v>
      </c>
      <c r="J1034" t="n">
        <v>147.150161152</v>
      </c>
      <c r="K1034" t="n">
        <v>2.2</v>
      </c>
      <c r="L1034" t="n">
        <v>14.54545454545454</v>
      </c>
      <c r="M1034" t="n">
        <v>3</v>
      </c>
      <c r="N1034" t="n">
        <v>6.600000000000001</v>
      </c>
      <c r="O1034" t="n">
        <v>25.4</v>
      </c>
      <c r="P1034" t="n">
        <v>116.8004404144</v>
      </c>
      <c r="Q1034" t="n">
        <v>0.79375</v>
      </c>
      <c r="R1034" t="inlineStr">
        <is>
          <t>Sobrestock crítico</t>
        </is>
      </c>
    </row>
    <row r="1035">
      <c r="A1035" t="inlineStr">
        <is>
          <t>RIOMIKI48T12</t>
        </is>
      </c>
      <c r="B1035" t="inlineStr">
        <is>
          <t>RIO ORIGINAL KIDS</t>
        </is>
      </c>
      <c r="C1035" t="inlineStr">
        <is>
          <t>Manufactura / Kids / P. Superiores</t>
        </is>
      </c>
      <c r="D1035" t="n">
        <v>799.51979032</v>
      </c>
      <c r="E1035" t="n">
        <v>0.0001957484858142467</v>
      </c>
      <c r="F1035" t="n">
        <v>0.8738963096182502</v>
      </c>
      <c r="G1035" t="inlineStr">
        <is>
          <t>B</t>
        </is>
      </c>
      <c r="H1035" t="n">
        <v>9</v>
      </c>
      <c r="I1035" t="n">
        <v>3.617969464</v>
      </c>
      <c r="J1035" t="n">
        <v>32.561725176</v>
      </c>
      <c r="K1035" t="n">
        <v>1.7</v>
      </c>
      <c r="L1035" t="n">
        <v>5.294117647058823</v>
      </c>
      <c r="M1035" t="n">
        <v>3</v>
      </c>
      <c r="N1035" t="n">
        <v>5.1</v>
      </c>
      <c r="O1035" t="n">
        <v>3.9</v>
      </c>
      <c r="P1035" t="n">
        <v>14.1100809096</v>
      </c>
      <c r="Q1035" t="n">
        <v>0.4333333333333333</v>
      </c>
      <c r="R1035" t="inlineStr">
        <is>
          <t>Sobrestock crítico</t>
        </is>
      </c>
    </row>
    <row r="1036">
      <c r="A1036" t="inlineStr">
        <is>
          <t>RIOMIKI16T14</t>
        </is>
      </c>
      <c r="B1036" t="inlineStr">
        <is>
          <t>RIO ORIGINAL KIDS</t>
        </is>
      </c>
      <c r="C1036" t="inlineStr">
        <is>
          <t>Manufactura / Kids / P. Superiores</t>
        </is>
      </c>
      <c r="D1036" t="n">
        <v>795.90710987</v>
      </c>
      <c r="E1036" t="n">
        <v>0.0001948639839715403</v>
      </c>
      <c r="F1036" t="n">
        <v>0.8740911736022217</v>
      </c>
      <c r="G1036" t="inlineStr">
        <is>
          <t>B</t>
        </is>
      </c>
      <c r="H1036" t="n">
        <v>14</v>
      </c>
      <c r="I1036" t="n">
        <v>3.617969464</v>
      </c>
      <c r="J1036" t="n">
        <v>50.651572496</v>
      </c>
      <c r="K1036" t="n">
        <v>1.7</v>
      </c>
      <c r="L1036" t="n">
        <v>8.23529411764706</v>
      </c>
      <c r="M1036" t="n">
        <v>3</v>
      </c>
      <c r="N1036" t="n">
        <v>5.1</v>
      </c>
      <c r="O1036" t="n">
        <v>8.9</v>
      </c>
      <c r="P1036" t="n">
        <v>32.1999282296</v>
      </c>
      <c r="Q1036" t="n">
        <v>0.6357142857142858</v>
      </c>
      <c r="R1036" t="inlineStr">
        <is>
          <t>Sobrestock crítico</t>
        </is>
      </c>
    </row>
    <row r="1037">
      <c r="A1037" t="inlineStr">
        <is>
          <t>SHONRKI12T14</t>
        </is>
      </c>
      <c r="B1037" t="inlineStr">
        <is>
          <t>SHORT SPORT KIDS</t>
        </is>
      </c>
      <c r="C1037" t="inlineStr">
        <is>
          <t>Manufactura / Kids / P. Inferiores</t>
        </is>
      </c>
      <c r="D1037" t="n">
        <v>795.57609384</v>
      </c>
      <c r="E1037" t="n">
        <v>0.0001947829404658795</v>
      </c>
      <c r="F1037" t="n">
        <v>0.8742859565426876</v>
      </c>
      <c r="G1037" t="inlineStr">
        <is>
          <t>B</t>
        </is>
      </c>
      <c r="H1037" t="n">
        <v>50</v>
      </c>
      <c r="I1037" t="n">
        <v>6.465724382</v>
      </c>
      <c r="J1037" t="n">
        <v>323.2862191</v>
      </c>
      <c r="K1037" t="n">
        <v>2</v>
      </c>
      <c r="L1037" t="n">
        <v>25</v>
      </c>
      <c r="M1037" t="n">
        <v>3</v>
      </c>
      <c r="N1037" t="n">
        <v>6</v>
      </c>
      <c r="O1037" t="n">
        <v>44</v>
      </c>
      <c r="P1037" t="n">
        <v>284.491872808</v>
      </c>
      <c r="Q1037" t="n">
        <v>0.88</v>
      </c>
      <c r="R1037" t="inlineStr">
        <is>
          <t>Sobrestock crítico</t>
        </is>
      </c>
    </row>
    <row r="1038">
      <c r="A1038" t="inlineStr">
        <is>
          <t>REFROJTOEQ50EQ</t>
        </is>
      </c>
      <c r="B1038" t="inlineStr">
        <is>
          <t>REFRESH ROJO</t>
        </is>
      </c>
      <c r="C1038" t="inlineStr">
        <is>
          <t>Manufactura / Refresh</t>
        </is>
      </c>
      <c r="D1038" t="n">
        <v>793.12379192</v>
      </c>
      <c r="E1038" t="n">
        <v>0.0001941825370819843</v>
      </c>
      <c r="F1038" t="n">
        <v>0.8744801390797695</v>
      </c>
      <c r="G1038" t="inlineStr">
        <is>
          <t>B</t>
        </is>
      </c>
      <c r="H1038" t="n">
        <v>60</v>
      </c>
      <c r="I1038" t="n">
        <v>10.75</v>
      </c>
      <c r="J1038" t="n">
        <v>645</v>
      </c>
      <c r="K1038" t="n">
        <v>3.3</v>
      </c>
      <c r="L1038" t="n">
        <v>18.18181818181818</v>
      </c>
      <c r="M1038" t="n">
        <v>3</v>
      </c>
      <c r="N1038" t="n">
        <v>9.899999999999999</v>
      </c>
      <c r="O1038" t="n">
        <v>50.1</v>
      </c>
      <c r="P1038" t="n">
        <v>538.575</v>
      </c>
      <c r="Q1038" t="n">
        <v>0.8350000000000001</v>
      </c>
      <c r="R1038" t="inlineStr">
        <is>
          <t>Sobrestock crítico</t>
        </is>
      </c>
    </row>
    <row r="1039">
      <c r="A1039" t="inlineStr">
        <is>
          <t>BUC33EQ</t>
        </is>
      </c>
      <c r="B1039" t="inlineStr">
        <is>
          <t>BUCKET HAT</t>
        </is>
      </c>
      <c r="C1039" t="inlineStr">
        <is>
          <t>Equipamiento / Sombreros</t>
        </is>
      </c>
      <c r="D1039" t="n">
        <v>790.07568102</v>
      </c>
      <c r="E1039" t="n">
        <v>0.000193436260253702</v>
      </c>
      <c r="F1039" t="n">
        <v>0.8746735753400232</v>
      </c>
      <c r="G1039" t="inlineStr">
        <is>
          <t>B</t>
        </is>
      </c>
      <c r="H1039" t="n">
        <v>0</v>
      </c>
      <c r="I1039" t="n">
        <v>4.98</v>
      </c>
      <c r="J1039" t="n">
        <v>0</v>
      </c>
      <c r="K1039" t="n">
        <v>3</v>
      </c>
      <c r="L1039" t="n">
        <v>0</v>
      </c>
      <c r="M1039" t="n">
        <v>3</v>
      </c>
      <c r="N1039" t="n">
        <v>9</v>
      </c>
      <c r="O1039" t="n">
        <v>0</v>
      </c>
      <c r="P1039" t="n">
        <v>0</v>
      </c>
      <c r="Q1039" t="n">
        <v>0</v>
      </c>
      <c r="R1039" t="inlineStr">
        <is>
          <t>Sin rotación</t>
        </is>
      </c>
    </row>
    <row r="1040">
      <c r="A1040" t="inlineStr">
        <is>
          <t>HELBFDA43TXS</t>
        </is>
      </c>
      <c r="B1040" t="inlineStr">
        <is>
          <t>HELEN BIO MOVE DAMA</t>
        </is>
      </c>
      <c r="C1040" t="inlineStr">
        <is>
          <t>Manufactura / Dama / P. Superiores</t>
        </is>
      </c>
      <c r="D1040" t="n">
        <v>789.5900971699999</v>
      </c>
      <c r="E1040" t="n">
        <v>0.0001933173735112796</v>
      </c>
      <c r="F1040" t="n">
        <v>0.8748668927135345</v>
      </c>
      <c r="G1040" t="inlineStr">
        <is>
          <t>B</t>
        </is>
      </c>
      <c r="H1040" t="n">
        <v>150</v>
      </c>
      <c r="I1040" t="n">
        <v>7.34081746</v>
      </c>
      <c r="J1040" t="n">
        <v>1101.122619</v>
      </c>
      <c r="K1040" t="n">
        <v>1.5</v>
      </c>
      <c r="L1040" t="n">
        <v>100</v>
      </c>
      <c r="M1040" t="n">
        <v>3</v>
      </c>
      <c r="N1040" t="n">
        <v>4.5</v>
      </c>
      <c r="O1040" t="n">
        <v>145.5</v>
      </c>
      <c r="P1040" t="n">
        <v>1068.08894043</v>
      </c>
      <c r="Q1040" t="n">
        <v>0.9700000000000001</v>
      </c>
      <c r="R1040" t="inlineStr">
        <is>
          <t>Sobrestock crítico</t>
        </is>
      </c>
    </row>
    <row r="1041">
      <c r="A1041" t="inlineStr">
        <is>
          <t>SHOUNCA170TXL</t>
        </is>
      </c>
      <c r="B1041" t="inlineStr">
        <is>
          <t>SHORT PLAYA CAB</t>
        </is>
      </c>
      <c r="C1041" t="inlineStr">
        <is>
          <t>Manufactura / Caballero / P. Inferiores</t>
        </is>
      </c>
      <c r="D1041" t="n">
        <v>789.15863079</v>
      </c>
      <c r="E1041" t="n">
        <v>0.0001932117364881724</v>
      </c>
      <c r="F1041" t="n">
        <v>0.8750601044500227</v>
      </c>
      <c r="G1041" t="inlineStr">
        <is>
          <t>B</t>
        </is>
      </c>
      <c r="H1041" t="n">
        <v>15</v>
      </c>
      <c r="I1041" t="n">
        <v>9.99</v>
      </c>
      <c r="J1041" t="n">
        <v>149.85</v>
      </c>
      <c r="K1041" t="n">
        <v>1.6</v>
      </c>
      <c r="L1041" t="n">
        <v>9.375</v>
      </c>
      <c r="M1041" t="n">
        <v>3</v>
      </c>
      <c r="N1041" t="n">
        <v>4.800000000000001</v>
      </c>
      <c r="O1041" t="n">
        <v>10.2</v>
      </c>
      <c r="P1041" t="n">
        <v>101.898</v>
      </c>
      <c r="Q1041" t="n">
        <v>0.68</v>
      </c>
      <c r="R1041" t="inlineStr">
        <is>
          <t>Sobrestock crítico</t>
        </is>
      </c>
    </row>
    <row r="1042">
      <c r="A1042" t="inlineStr">
        <is>
          <t>SHONRKI30T12</t>
        </is>
      </c>
      <c r="B1042" t="inlineStr">
        <is>
          <t>SHORT SPORT KIDS</t>
        </is>
      </c>
      <c r="C1042" t="inlineStr">
        <is>
          <t>Manufactura / Kids / P. Inferiores</t>
        </is>
      </c>
      <c r="D1042" t="n">
        <v>787.2929721194974</v>
      </c>
      <c r="E1042" t="n">
        <v>0.0001927549624793002</v>
      </c>
      <c r="F1042" t="n">
        <v>0.875252859412502</v>
      </c>
      <c r="G1042" t="inlineStr">
        <is>
          <t>B</t>
        </is>
      </c>
      <c r="H1042" t="n">
        <v>34</v>
      </c>
      <c r="I1042" t="n">
        <v>6.465724382</v>
      </c>
      <c r="J1042" t="n">
        <v>219.834628988</v>
      </c>
      <c r="K1042" t="n">
        <v>2</v>
      </c>
      <c r="L1042" t="n">
        <v>17</v>
      </c>
      <c r="M1042" t="n">
        <v>3</v>
      </c>
      <c r="N1042" t="n">
        <v>6</v>
      </c>
      <c r="O1042" t="n">
        <v>28</v>
      </c>
      <c r="P1042" t="n">
        <v>181.040282696</v>
      </c>
      <c r="Q1042" t="n">
        <v>0.8235294117647058</v>
      </c>
      <c r="R1042" t="inlineStr">
        <is>
          <t>Sobrestock crítico</t>
        </is>
      </c>
    </row>
    <row r="1043">
      <c r="A1043" t="inlineStr">
        <is>
          <t>BASCCDA43TL</t>
        </is>
      </c>
      <c r="B1043" t="inlineStr">
        <is>
          <t>BASIC LINE SHORT DAMA</t>
        </is>
      </c>
      <c r="C1043" t="inlineStr">
        <is>
          <t>Manufactura / Dama / P. Inferiores</t>
        </is>
      </c>
      <c r="D1043" t="n">
        <v>785.98647257</v>
      </c>
      <c r="E1043" t="n">
        <v>0.0001924350888356112</v>
      </c>
      <c r="F1043" t="n">
        <v>0.8754452945013377</v>
      </c>
      <c r="G1043" t="inlineStr">
        <is>
          <t>B</t>
        </is>
      </c>
      <c r="H1043" t="n">
        <v>52</v>
      </c>
      <c r="I1043" t="n">
        <v>6.01</v>
      </c>
      <c r="J1043" t="n">
        <v>312.52</v>
      </c>
      <c r="K1043" t="n">
        <v>2</v>
      </c>
      <c r="L1043" t="n">
        <v>26</v>
      </c>
      <c r="M1043" t="n">
        <v>3</v>
      </c>
      <c r="N1043" t="n">
        <v>6</v>
      </c>
      <c r="O1043" t="n">
        <v>46</v>
      </c>
      <c r="P1043" t="n">
        <v>276.46</v>
      </c>
      <c r="Q1043" t="n">
        <v>0.8846153846153846</v>
      </c>
      <c r="R1043" t="inlineStr">
        <is>
          <t>Sobrestock crítico</t>
        </is>
      </c>
    </row>
    <row r="1044">
      <c r="A1044" t="inlineStr">
        <is>
          <t>SHOSUKI156T12</t>
        </is>
      </c>
      <c r="B1044" t="inlineStr">
        <is>
          <t>SHORT PLAYA ESTAMPADO KIDS</t>
        </is>
      </c>
      <c r="C1044" t="inlineStr">
        <is>
          <t>Manufactura / Kids / P. Superiores</t>
        </is>
      </c>
      <c r="D1044" t="n">
        <v>785.0368313</v>
      </c>
      <c r="E1044" t="n">
        <v>0.0001922025857219674</v>
      </c>
      <c r="F1044" t="n">
        <v>0.8756374970870596</v>
      </c>
      <c r="G1044" t="inlineStr">
        <is>
          <t>B</t>
        </is>
      </c>
      <c r="H1044" t="n">
        <v>32</v>
      </c>
      <c r="I1044" t="n">
        <v>7.21</v>
      </c>
      <c r="J1044" t="n">
        <v>230.72</v>
      </c>
      <c r="K1044" t="n">
        <v>1.9</v>
      </c>
      <c r="L1044" t="n">
        <v>16.84210526315789</v>
      </c>
      <c r="M1044" t="n">
        <v>3</v>
      </c>
      <c r="N1044" t="n">
        <v>5.699999999999999</v>
      </c>
      <c r="O1044" t="n">
        <v>26.3</v>
      </c>
      <c r="P1044" t="n">
        <v>189.623</v>
      </c>
      <c r="Q1044" t="n">
        <v>0.8218749999999999</v>
      </c>
      <c r="R1044" t="inlineStr">
        <is>
          <t>Sobrestock crítico</t>
        </is>
      </c>
    </row>
    <row r="1045">
      <c r="A1045" t="inlineStr">
        <is>
          <t>RIOMIKI13T14</t>
        </is>
      </c>
      <c r="B1045" t="inlineStr">
        <is>
          <t>RIO ORIGINAL KIDS</t>
        </is>
      </c>
      <c r="C1045" t="inlineStr">
        <is>
          <t>Manufactura / Kids / P. Superiores</t>
        </is>
      </c>
      <c r="D1045" t="n">
        <v>784.65286722</v>
      </c>
      <c r="E1045" t="n">
        <v>0.0001921085788090967</v>
      </c>
      <c r="F1045" t="n">
        <v>0.8758296056658688</v>
      </c>
      <c r="G1045" t="inlineStr">
        <is>
          <t>B</t>
        </is>
      </c>
      <c r="H1045" t="n">
        <v>6</v>
      </c>
      <c r="I1045" t="n">
        <v>3.617969464000001</v>
      </c>
      <c r="J1045" t="n">
        <v>21.707816784</v>
      </c>
      <c r="K1045" t="n">
        <v>1.9</v>
      </c>
      <c r="L1045" t="n">
        <v>3.157894736842105</v>
      </c>
      <c r="M1045" t="n">
        <v>3</v>
      </c>
      <c r="N1045" t="n">
        <v>5.699999999999999</v>
      </c>
      <c r="O1045" t="n">
        <v>0.3000000000000007</v>
      </c>
      <c r="P1045" t="n">
        <v>1.085390839200003</v>
      </c>
      <c r="Q1045" t="n">
        <v>0.05000000000000012</v>
      </c>
      <c r="R1045" t="inlineStr">
        <is>
          <t>Sobrestock</t>
        </is>
      </c>
    </row>
    <row r="1046">
      <c r="A1046" t="inlineStr">
        <is>
          <t>GEODOCACA168TS</t>
        </is>
      </c>
      <c r="B1046" t="inlineStr">
        <is>
          <t>ADVANCE GEO DOMINIC CAB</t>
        </is>
      </c>
      <c r="C1046" t="inlineStr">
        <is>
          <t>Manufactura / Caballero / P. Superiores</t>
        </is>
      </c>
      <c r="D1046" t="n">
        <v>781.58573735</v>
      </c>
      <c r="E1046" t="n">
        <v>0.0001913576455174919</v>
      </c>
      <c r="F1046" t="n">
        <v>0.8760209633113862</v>
      </c>
      <c r="G1046" t="inlineStr">
        <is>
          <t>B</t>
        </is>
      </c>
      <c r="H1046" t="n">
        <v>20</v>
      </c>
      <c r="I1046" t="n">
        <v>13.35</v>
      </c>
      <c r="J1046" t="n">
        <v>267</v>
      </c>
      <c r="K1046" t="n">
        <v>1.5</v>
      </c>
      <c r="L1046" t="n">
        <v>13.33333333333333</v>
      </c>
      <c r="M1046" t="n">
        <v>3</v>
      </c>
      <c r="N1046" t="n">
        <v>4.5</v>
      </c>
      <c r="O1046" t="n">
        <v>15.5</v>
      </c>
      <c r="P1046" t="n">
        <v>206.925</v>
      </c>
      <c r="Q1046" t="n">
        <v>0.7749999999999999</v>
      </c>
      <c r="R1046" t="inlineStr">
        <is>
          <t>Sobrestock crítico</t>
        </is>
      </c>
    </row>
    <row r="1047">
      <c r="A1047" t="inlineStr">
        <is>
          <t>MAFMIDA16TL</t>
        </is>
      </c>
      <c r="B1047" t="inlineStr">
        <is>
          <t>MAFE ORIGINAL DAMA</t>
        </is>
      </c>
      <c r="C1047" t="inlineStr">
        <is>
          <t>Manufactura / Dama / P. Superiores</t>
        </is>
      </c>
      <c r="D1047" t="n">
        <v>781.08739737</v>
      </c>
      <c r="E1047" t="n">
        <v>0.0001912356356589659</v>
      </c>
      <c r="F1047" t="n">
        <v>0.8762121989470453</v>
      </c>
      <c r="G1047" t="inlineStr">
        <is>
          <t>B</t>
        </is>
      </c>
      <c r="H1047" t="n">
        <v>9</v>
      </c>
      <c r="I1047" t="n">
        <v>4.54817671</v>
      </c>
      <c r="J1047" t="n">
        <v>40.93359039</v>
      </c>
      <c r="K1047" t="n">
        <v>2.9</v>
      </c>
      <c r="L1047" t="n">
        <v>3.103448275862069</v>
      </c>
      <c r="M1047" t="n">
        <v>3</v>
      </c>
      <c r="N1047" t="n">
        <v>8.699999999999999</v>
      </c>
      <c r="O1047" t="n">
        <v>0.3000000000000007</v>
      </c>
      <c r="P1047" t="n">
        <v>1.364453013000003</v>
      </c>
      <c r="Q1047" t="n">
        <v>0.03333333333333341</v>
      </c>
      <c r="R1047" t="inlineStr">
        <is>
          <t>Sobrestock</t>
        </is>
      </c>
    </row>
    <row r="1048">
      <c r="A1048" t="inlineStr">
        <is>
          <t>MIKFNDA13TL</t>
        </is>
      </c>
      <c r="B1048" t="inlineStr">
        <is>
          <t>MIKA SPORT LITE DAMA</t>
        </is>
      </c>
      <c r="C1048" t="inlineStr">
        <is>
          <t>Manufactura / Dama / P. Superiores</t>
        </is>
      </c>
      <c r="D1048" t="n">
        <v>779.0974561099999</v>
      </c>
      <c r="E1048" t="n">
        <v>0.0001907484332241789</v>
      </c>
      <c r="F1048" t="n">
        <v>0.8764029473802694</v>
      </c>
      <c r="G1048" t="inlineStr">
        <is>
          <t>B</t>
        </is>
      </c>
      <c r="H1048" t="n">
        <v>19</v>
      </c>
      <c r="I1048" t="n">
        <v>5.484675344</v>
      </c>
      <c r="J1048" t="n">
        <v>104.208831536</v>
      </c>
      <c r="K1048" t="n">
        <v>1.9</v>
      </c>
      <c r="L1048" t="n">
        <v>10</v>
      </c>
      <c r="M1048" t="n">
        <v>3</v>
      </c>
      <c r="N1048" t="n">
        <v>5.699999999999999</v>
      </c>
      <c r="O1048" t="n">
        <v>13.3</v>
      </c>
      <c r="P1048" t="n">
        <v>72.94618207520001</v>
      </c>
      <c r="Q1048" t="n">
        <v>0.7000000000000001</v>
      </c>
      <c r="R1048" t="inlineStr">
        <is>
          <t>Sobrestock crítico</t>
        </is>
      </c>
    </row>
    <row r="1049">
      <c r="A1049" t="inlineStr">
        <is>
          <t>SHONTDA43TXL</t>
        </is>
      </c>
      <c r="B1049" t="inlineStr">
        <is>
          <t>EXPLORE SHORT DAMA</t>
        </is>
      </c>
      <c r="C1049" t="inlineStr">
        <is>
          <t>Manufactura / Dama / P. Inferiores</t>
        </is>
      </c>
      <c r="D1049" t="n">
        <v>777.79821263</v>
      </c>
      <c r="E1049" t="n">
        <v>0.0001904303361026402</v>
      </c>
      <c r="F1049" t="n">
        <v>0.876593377716372</v>
      </c>
      <c r="G1049" t="inlineStr">
        <is>
          <t>B</t>
        </is>
      </c>
      <c r="H1049" t="n">
        <v>27</v>
      </c>
      <c r="I1049" t="n">
        <v>10.22113744</v>
      </c>
      <c r="J1049" t="n">
        <v>275.97071088</v>
      </c>
      <c r="K1049" t="n">
        <v>1.4</v>
      </c>
      <c r="L1049" t="n">
        <v>19.28571428571429</v>
      </c>
      <c r="M1049" t="n">
        <v>3</v>
      </c>
      <c r="N1049" t="n">
        <v>4.199999999999999</v>
      </c>
      <c r="O1049" t="n">
        <v>22.8</v>
      </c>
      <c r="P1049" t="n">
        <v>233.041933632</v>
      </c>
      <c r="Q1049" t="n">
        <v>0.8444444444444444</v>
      </c>
      <c r="R1049" t="inlineStr">
        <is>
          <t>Sobrestock crítico</t>
        </is>
      </c>
    </row>
    <row r="1050">
      <c r="A1050" t="inlineStr">
        <is>
          <t>SARSPKI43T8</t>
        </is>
      </c>
      <c r="B1050" t="inlineStr">
        <is>
          <t>FALDA SARA KIDS</t>
        </is>
      </c>
      <c r="C1050" t="inlineStr">
        <is>
          <t>Manufactura / Kids / P. Inferiores</t>
        </is>
      </c>
      <c r="D1050" t="n">
        <v>777.4973565</v>
      </c>
      <c r="E1050" t="n">
        <v>0.0001903566767228369</v>
      </c>
      <c r="F1050" t="n">
        <v>0.8767837343930949</v>
      </c>
      <c r="G1050" t="inlineStr">
        <is>
          <t>B</t>
        </is>
      </c>
      <c r="H1050" t="n">
        <v>9</v>
      </c>
      <c r="I1050" t="n">
        <v>5.753743316</v>
      </c>
      <c r="J1050" t="n">
        <v>51.783689844</v>
      </c>
      <c r="K1050" t="n">
        <v>1.9</v>
      </c>
      <c r="L1050" t="n">
        <v>4.736842105263158</v>
      </c>
      <c r="M1050" t="n">
        <v>3</v>
      </c>
      <c r="N1050" t="n">
        <v>5.699999999999999</v>
      </c>
      <c r="O1050" t="n">
        <v>3.300000000000001</v>
      </c>
      <c r="P1050" t="n">
        <v>18.9873529428</v>
      </c>
      <c r="Q1050" t="n">
        <v>0.3666666666666668</v>
      </c>
      <c r="R1050" t="inlineStr">
        <is>
          <t>Sobrestock crítico</t>
        </is>
      </c>
    </row>
    <row r="1051">
      <c r="A1051" t="inlineStr">
        <is>
          <t>RIOMIKI04T10</t>
        </is>
      </c>
      <c r="B1051" t="inlineStr">
        <is>
          <t>RIO ORIGINAL KIDS</t>
        </is>
      </c>
      <c r="C1051" t="inlineStr">
        <is>
          <t>Manufactura / Kids / P. Superiores</t>
        </is>
      </c>
      <c r="D1051" t="n">
        <v>776.46877733</v>
      </c>
      <c r="E1051" t="n">
        <v>0.0001901048470401883</v>
      </c>
      <c r="F1051" t="n">
        <v>0.8769738392401351</v>
      </c>
      <c r="G1051" t="inlineStr">
        <is>
          <t>B</t>
        </is>
      </c>
      <c r="H1051" t="n">
        <v>8</v>
      </c>
      <c r="I1051" t="n">
        <v>3.617969464</v>
      </c>
      <c r="J1051" t="n">
        <v>28.943755712</v>
      </c>
      <c r="K1051" t="n">
        <v>1.8</v>
      </c>
      <c r="L1051" t="n">
        <v>4.444444444444445</v>
      </c>
      <c r="M1051" t="n">
        <v>3</v>
      </c>
      <c r="N1051" t="n">
        <v>5.4</v>
      </c>
      <c r="O1051" t="n">
        <v>2.6</v>
      </c>
      <c r="P1051" t="n">
        <v>9.406720606399999</v>
      </c>
      <c r="Q1051" t="n">
        <v>0.325</v>
      </c>
      <c r="R1051" t="inlineStr">
        <is>
          <t>Sobrestock crítico</t>
        </is>
      </c>
    </row>
    <row r="1052">
      <c r="A1052" t="inlineStr">
        <is>
          <t>SARSPKI43T10</t>
        </is>
      </c>
      <c r="B1052" t="inlineStr">
        <is>
          <t>FALDA SARA KIDS</t>
        </is>
      </c>
      <c r="C1052" t="inlineStr">
        <is>
          <t>Manufactura / Kids / P. Inferiores</t>
        </is>
      </c>
      <c r="D1052" t="n">
        <v>774.3459802799999</v>
      </c>
      <c r="E1052" t="n">
        <v>0.0001895851171807658</v>
      </c>
      <c r="F1052" t="n">
        <v>0.8771634243573158</v>
      </c>
      <c r="G1052" t="inlineStr">
        <is>
          <t>B</t>
        </is>
      </c>
      <c r="H1052" t="n">
        <v>10</v>
      </c>
      <c r="I1052" t="n">
        <v>5.753743316</v>
      </c>
      <c r="J1052" t="n">
        <v>57.53743316000001</v>
      </c>
      <c r="K1052" t="n">
        <v>1.8</v>
      </c>
      <c r="L1052" t="n">
        <v>5.555555555555555</v>
      </c>
      <c r="M1052" t="n">
        <v>3</v>
      </c>
      <c r="N1052" t="n">
        <v>5.4</v>
      </c>
      <c r="O1052" t="n">
        <v>4.6</v>
      </c>
      <c r="P1052" t="n">
        <v>26.4672192536</v>
      </c>
      <c r="Q1052" t="n">
        <v>0.46</v>
      </c>
      <c r="R1052" t="inlineStr">
        <is>
          <t>Sobrestock crítico</t>
        </is>
      </c>
    </row>
    <row r="1053">
      <c r="A1053" t="inlineStr">
        <is>
          <t>CAP67FC</t>
        </is>
      </c>
      <c r="B1053" t="inlineStr">
        <is>
          <t>FIT CAP</t>
        </is>
      </c>
      <c r="C1053" t="inlineStr">
        <is>
          <t>Equipamiento / Gorras</t>
        </is>
      </c>
      <c r="D1053" t="n">
        <v>772.86773625</v>
      </c>
      <c r="E1053" t="n">
        <v>0.0001892231948943636</v>
      </c>
      <c r="F1053" t="n">
        <v>0.8773526475522102</v>
      </c>
      <c r="G1053" t="inlineStr">
        <is>
          <t>B</t>
        </is>
      </c>
      <c r="H1053" t="n">
        <v>480</v>
      </c>
      <c r="I1053" t="n">
        <v>4.11</v>
      </c>
      <c r="J1053" t="n">
        <v>1972.8</v>
      </c>
      <c r="K1053" t="n">
        <v>3.2</v>
      </c>
      <c r="L1053" t="n">
        <v>150</v>
      </c>
      <c r="M1053" t="n">
        <v>3</v>
      </c>
      <c r="N1053" t="n">
        <v>9.600000000000001</v>
      </c>
      <c r="O1053" t="n">
        <v>470.4</v>
      </c>
      <c r="P1053" t="n">
        <v>1933.344</v>
      </c>
      <c r="Q1053" t="n">
        <v>0.98</v>
      </c>
      <c r="R1053" t="inlineStr">
        <is>
          <t>Sobrestock crítico</t>
        </is>
      </c>
    </row>
    <row r="1054">
      <c r="A1054" t="inlineStr">
        <is>
          <t>GEMBADA39TS</t>
        </is>
      </c>
      <c r="B1054" t="inlineStr">
        <is>
          <t>VESTIDO GEMMA DAMA</t>
        </is>
      </c>
      <c r="C1054" t="inlineStr">
        <is>
          <t>Manufactura / Dama / Conjuntos</t>
        </is>
      </c>
      <c r="D1054" t="n">
        <v>772.7641412099999</v>
      </c>
      <c r="E1054" t="n">
        <v>0.0001891978314543795</v>
      </c>
      <c r="F1054" t="n">
        <v>0.8775418453836646</v>
      </c>
      <c r="G1054" t="inlineStr">
        <is>
          <t>B</t>
        </is>
      </c>
      <c r="H1054" t="n">
        <v>5</v>
      </c>
      <c r="I1054" t="n">
        <v>23.99</v>
      </c>
      <c r="J1054" t="n">
        <v>119.95</v>
      </c>
      <c r="K1054" t="n">
        <v>1.7</v>
      </c>
      <c r="L1054" t="n">
        <v>2.941176470588236</v>
      </c>
      <c r="M1054" t="n">
        <v>3</v>
      </c>
      <c r="N1054" t="n">
        <v>5.1</v>
      </c>
      <c r="O1054" t="n">
        <v>0</v>
      </c>
      <c r="P1054" t="n">
        <v>0</v>
      </c>
      <c r="Q1054" t="n">
        <v>0</v>
      </c>
      <c r="R1054" t="inlineStr">
        <is>
          <t>OK</t>
        </is>
      </c>
    </row>
    <row r="1055">
      <c r="A1055" t="inlineStr">
        <is>
          <t>DAYCSTDA43TXL</t>
        </is>
      </c>
      <c r="B1055" t="inlineStr">
        <is>
          <t>CLASICA DAILY 3.0 DAMA</t>
        </is>
      </c>
      <c r="C1055" t="inlineStr">
        <is>
          <t>Manufactura / Dama / P. Superiores</t>
        </is>
      </c>
      <c r="D1055" t="n">
        <v>772.40304052</v>
      </c>
      <c r="E1055" t="n">
        <v>0.0001891094222440638</v>
      </c>
      <c r="F1055" t="n">
        <v>0.8777309548059087</v>
      </c>
      <c r="G1055" t="inlineStr">
        <is>
          <t>B</t>
        </is>
      </c>
      <c r="H1055" t="n">
        <v>19</v>
      </c>
      <c r="I1055" t="n">
        <v>10.28586481</v>
      </c>
      <c r="J1055" t="n">
        <v>195.43143139</v>
      </c>
      <c r="K1055" t="n">
        <v>1.6</v>
      </c>
      <c r="L1055" t="n">
        <v>11.875</v>
      </c>
      <c r="M1055" t="n">
        <v>3</v>
      </c>
      <c r="N1055" t="n">
        <v>4.800000000000001</v>
      </c>
      <c r="O1055" t="n">
        <v>14.2</v>
      </c>
      <c r="P1055" t="n">
        <v>146.059280302</v>
      </c>
      <c r="Q1055" t="n">
        <v>0.7473684210526316</v>
      </c>
      <c r="R1055" t="inlineStr">
        <is>
          <t>Sobrestock crítico</t>
        </is>
      </c>
    </row>
    <row r="1056">
      <c r="A1056" t="inlineStr">
        <is>
          <t>RIOMIKI53T4</t>
        </is>
      </c>
      <c r="B1056" t="inlineStr">
        <is>
          <t>RIO ORIGINAL KIDS</t>
        </is>
      </c>
      <c r="C1056" t="inlineStr">
        <is>
          <t>Manufactura / Kids / P. Superiores</t>
        </is>
      </c>
      <c r="D1056" t="n">
        <v>770.96269216</v>
      </c>
      <c r="E1056" t="n">
        <v>0.0001887567780519767</v>
      </c>
      <c r="F1056" t="n">
        <v>0.8779197115839606</v>
      </c>
      <c r="G1056" t="inlineStr">
        <is>
          <t>B</t>
        </is>
      </c>
      <c r="H1056" t="n">
        <v>23</v>
      </c>
      <c r="I1056" t="n">
        <v>3.617969464</v>
      </c>
      <c r="J1056" t="n">
        <v>83.21329767200001</v>
      </c>
      <c r="K1056" t="n">
        <v>1.7</v>
      </c>
      <c r="L1056" t="n">
        <v>13.52941176470588</v>
      </c>
      <c r="M1056" t="n">
        <v>3</v>
      </c>
      <c r="N1056" t="n">
        <v>5.1</v>
      </c>
      <c r="O1056" t="n">
        <v>17.9</v>
      </c>
      <c r="P1056" t="n">
        <v>64.7616534056</v>
      </c>
      <c r="Q1056" t="n">
        <v>0.7782608695652173</v>
      </c>
      <c r="R1056" t="inlineStr">
        <is>
          <t>Sobrestock crítico</t>
        </is>
      </c>
    </row>
    <row r="1057">
      <c r="A1057" t="inlineStr">
        <is>
          <t>SHOUNKI01T12</t>
        </is>
      </c>
      <c r="B1057" t="inlineStr">
        <is>
          <t>SHORT PLAYA KIDS</t>
        </is>
      </c>
      <c r="C1057" t="inlineStr">
        <is>
          <t>Manufactura / Kids / P. Inferiores</t>
        </is>
      </c>
      <c r="D1057" t="n">
        <v>769.70293551</v>
      </c>
      <c r="E1057" t="n">
        <v>0.0001884483485925468</v>
      </c>
      <c r="F1057" t="n">
        <v>0.8781081599325531</v>
      </c>
      <c r="G1057" t="inlineStr">
        <is>
          <t>B</t>
        </is>
      </c>
      <c r="H1057" t="n">
        <v>2</v>
      </c>
      <c r="I1057" t="n">
        <v>6.09</v>
      </c>
      <c r="J1057" t="n">
        <v>12.18</v>
      </c>
      <c r="K1057" t="n">
        <v>1.8</v>
      </c>
      <c r="L1057" t="n">
        <v>1.111111111111111</v>
      </c>
      <c r="M1057" t="n">
        <v>3</v>
      </c>
      <c r="N1057" t="n">
        <v>5.4</v>
      </c>
      <c r="O1057" t="n">
        <v>0</v>
      </c>
      <c r="P1057" t="n">
        <v>0</v>
      </c>
      <c r="Q1057" t="n">
        <v>0</v>
      </c>
      <c r="R1057" t="inlineStr">
        <is>
          <t>OK</t>
        </is>
      </c>
    </row>
    <row r="1058">
      <c r="A1058" t="inlineStr">
        <is>
          <t>PANNTDA12TXS</t>
        </is>
      </c>
      <c r="B1058" t="inlineStr">
        <is>
          <t>EXPLORE PANTS DAMA</t>
        </is>
      </c>
      <c r="C1058" t="inlineStr">
        <is>
          <t>Manufactura / Dama / P. Inferiores</t>
        </is>
      </c>
      <c r="D1058" t="n">
        <v>767.39524749</v>
      </c>
      <c r="E1058" t="n">
        <v>0.0001878833514015881</v>
      </c>
      <c r="F1058" t="n">
        <v>0.8782960432839547</v>
      </c>
      <c r="G1058" t="inlineStr">
        <is>
          <t>B</t>
        </is>
      </c>
      <c r="H1058" t="n">
        <v>85</v>
      </c>
      <c r="I1058" t="n">
        <v>15.3928899</v>
      </c>
      <c r="J1058" t="n">
        <v>1308.3956415</v>
      </c>
      <c r="K1058" t="n">
        <v>1.2</v>
      </c>
      <c r="L1058" t="n">
        <v>70.83333333333334</v>
      </c>
      <c r="M1058" t="n">
        <v>3</v>
      </c>
      <c r="N1058" t="n">
        <v>3.6</v>
      </c>
      <c r="O1058" t="n">
        <v>81.40000000000001</v>
      </c>
      <c r="P1058" t="n">
        <v>1252.98123786</v>
      </c>
      <c r="Q1058" t="n">
        <v>0.9576470588235295</v>
      </c>
      <c r="R1058" t="inlineStr">
        <is>
          <t>Sobrestock crítico</t>
        </is>
      </c>
    </row>
    <row r="1059">
      <c r="A1059" t="inlineStr">
        <is>
          <t>CLAMICA70TL</t>
        </is>
      </c>
      <c r="B1059" t="inlineStr">
        <is>
          <t>CLASICA ORIGINAL CAB</t>
        </is>
      </c>
      <c r="C1059" t="inlineStr">
        <is>
          <t>Manufactura / Caballero / P. Superiores</t>
        </is>
      </c>
      <c r="D1059" t="n">
        <v>766.45448126</v>
      </c>
      <c r="E1059" t="n">
        <v>0.0001876530211868051</v>
      </c>
      <c r="F1059" t="n">
        <v>0.8784836963051416</v>
      </c>
      <c r="G1059" t="inlineStr">
        <is>
          <t>B</t>
        </is>
      </c>
      <c r="H1059" t="n">
        <v>27</v>
      </c>
      <c r="I1059" t="n">
        <v>4.598442536</v>
      </c>
      <c r="J1059" t="n">
        <v>124.157948472</v>
      </c>
      <c r="K1059" t="n">
        <v>2.2</v>
      </c>
      <c r="L1059" t="n">
        <v>12.27272727272727</v>
      </c>
      <c r="M1059" t="n">
        <v>3</v>
      </c>
      <c r="N1059" t="n">
        <v>6.600000000000001</v>
      </c>
      <c r="O1059" t="n">
        <v>20.4</v>
      </c>
      <c r="P1059" t="n">
        <v>93.80822773440001</v>
      </c>
      <c r="Q1059" t="n">
        <v>0.7555555555555555</v>
      </c>
      <c r="R1059" t="inlineStr">
        <is>
          <t>Sobrestock crítico</t>
        </is>
      </c>
    </row>
    <row r="1060">
      <c r="A1060" t="inlineStr">
        <is>
          <t>SHOUNCA186TXL</t>
        </is>
      </c>
      <c r="B1060" t="inlineStr">
        <is>
          <t>SHORT PLAYA CAB</t>
        </is>
      </c>
      <c r="C1060" t="inlineStr">
        <is>
          <t>Manufactura / Caballero / P. Inferiores</t>
        </is>
      </c>
      <c r="D1060" t="n">
        <v>763.06052497</v>
      </c>
      <c r="E1060" t="n">
        <v>0.0001868220701425272</v>
      </c>
      <c r="F1060" t="n">
        <v>0.8786705183752841</v>
      </c>
      <c r="G1060" t="inlineStr">
        <is>
          <t>B</t>
        </is>
      </c>
      <c r="H1060" t="n">
        <v>23</v>
      </c>
      <c r="I1060" t="n">
        <v>9.99</v>
      </c>
      <c r="J1060" t="n">
        <v>229.77</v>
      </c>
      <c r="K1060" t="n">
        <v>1.5</v>
      </c>
      <c r="L1060" t="n">
        <v>15.33333333333333</v>
      </c>
      <c r="M1060" t="n">
        <v>3</v>
      </c>
      <c r="N1060" t="n">
        <v>4.5</v>
      </c>
      <c r="O1060" t="n">
        <v>18.5</v>
      </c>
      <c r="P1060" t="n">
        <v>184.815</v>
      </c>
      <c r="Q1060" t="n">
        <v>0.8043478260869564</v>
      </c>
      <c r="R1060" t="inlineStr">
        <is>
          <t>Sobrestock crítico</t>
        </is>
      </c>
    </row>
    <row r="1061">
      <c r="A1061" t="inlineStr">
        <is>
          <t>MARMIKI53T6</t>
        </is>
      </c>
      <c r="B1061" t="inlineStr">
        <is>
          <t>MAR ORIGINAL KIDS</t>
        </is>
      </c>
      <c r="C1061" t="inlineStr">
        <is>
          <t>Manufactura / Kids / P. Superiores</t>
        </is>
      </c>
      <c r="D1061" t="n">
        <v>762.54808544</v>
      </c>
      <c r="E1061" t="n">
        <v>0.000186696608254925</v>
      </c>
      <c r="F1061" t="n">
        <v>0.8788572149835391</v>
      </c>
      <c r="G1061" t="inlineStr">
        <is>
          <t>B</t>
        </is>
      </c>
      <c r="H1061" t="n">
        <v>36</v>
      </c>
      <c r="I1061" t="n">
        <v>3.168013332</v>
      </c>
      <c r="J1061" t="n">
        <v>114.048479952</v>
      </c>
      <c r="K1061" t="n">
        <v>2.1</v>
      </c>
      <c r="L1061" t="n">
        <v>17.14285714285714</v>
      </c>
      <c r="M1061" t="n">
        <v>3</v>
      </c>
      <c r="N1061" t="n">
        <v>6.300000000000001</v>
      </c>
      <c r="O1061" t="n">
        <v>29.7</v>
      </c>
      <c r="P1061" t="n">
        <v>94.0899959604</v>
      </c>
      <c r="Q1061" t="n">
        <v>0.825</v>
      </c>
      <c r="R1061" t="inlineStr">
        <is>
          <t>Sobrestock crítico</t>
        </is>
      </c>
    </row>
    <row r="1062">
      <c r="A1062" t="inlineStr">
        <is>
          <t>CLAMICA66TXL</t>
        </is>
      </c>
      <c r="B1062" t="inlineStr">
        <is>
          <t>CLASICA ORIGINAL CAB</t>
        </is>
      </c>
      <c r="C1062" t="inlineStr">
        <is>
          <t>Manufactura / Caballero / P. Superiores</t>
        </is>
      </c>
      <c r="D1062" t="n">
        <v>760.65709248</v>
      </c>
      <c r="E1062" t="n">
        <v>0.0001862336315868212</v>
      </c>
      <c r="F1062" t="n">
        <v>0.8790434486151258</v>
      </c>
      <c r="G1062" t="inlineStr">
        <is>
          <t>B</t>
        </is>
      </c>
      <c r="H1062" t="n">
        <v>18</v>
      </c>
      <c r="I1062" t="n">
        <v>4.598442536</v>
      </c>
      <c r="J1062" t="n">
        <v>82.77196564800001</v>
      </c>
      <c r="K1062" t="n">
        <v>2.2</v>
      </c>
      <c r="L1062" t="n">
        <v>8.181818181818182</v>
      </c>
      <c r="M1062" t="n">
        <v>3</v>
      </c>
      <c r="N1062" t="n">
        <v>6.600000000000001</v>
      </c>
      <c r="O1062" t="n">
        <v>11.4</v>
      </c>
      <c r="P1062" t="n">
        <v>52.4222449104</v>
      </c>
      <c r="Q1062" t="n">
        <v>0.6333333333333332</v>
      </c>
      <c r="R1062" t="inlineStr">
        <is>
          <t>Sobrestock crítico</t>
        </is>
      </c>
    </row>
    <row r="1063">
      <c r="A1063" t="inlineStr">
        <is>
          <t>RIOMIDA48TXL</t>
        </is>
      </c>
      <c r="B1063" t="inlineStr">
        <is>
          <t>RIO ORIGINAL DAMA</t>
        </is>
      </c>
      <c r="C1063" t="inlineStr">
        <is>
          <t>Manufactura / Dama / P. Superiores</t>
        </is>
      </c>
      <c r="D1063" t="n">
        <v>760.48753949</v>
      </c>
      <c r="E1063" t="n">
        <v>0.000186192119492362</v>
      </c>
      <c r="F1063" t="n">
        <v>0.8792296407346182</v>
      </c>
      <c r="G1063" t="inlineStr">
        <is>
          <t>B</t>
        </is>
      </c>
      <c r="H1063" t="n">
        <v>23</v>
      </c>
      <c r="I1063" t="n">
        <v>5.538832275</v>
      </c>
      <c r="J1063" t="n">
        <v>127.393142325</v>
      </c>
      <c r="K1063" t="n">
        <v>1.4</v>
      </c>
      <c r="L1063" t="n">
        <v>16.42857142857143</v>
      </c>
      <c r="M1063" t="n">
        <v>3</v>
      </c>
      <c r="N1063" t="n">
        <v>4.199999999999999</v>
      </c>
      <c r="O1063" t="n">
        <v>18.8</v>
      </c>
      <c r="P1063" t="n">
        <v>104.13004677</v>
      </c>
      <c r="Q1063" t="n">
        <v>0.8173913043478261</v>
      </c>
      <c r="R1063" t="inlineStr">
        <is>
          <t>Sobrestock crítico</t>
        </is>
      </c>
    </row>
    <row r="1064">
      <c r="A1064" t="inlineStr">
        <is>
          <t>GEMBADA12TS</t>
        </is>
      </c>
      <c r="B1064" t="inlineStr">
        <is>
          <t>VESTIDO GEMMA DAMA</t>
        </is>
      </c>
      <c r="C1064" t="inlineStr">
        <is>
          <t>Manufactura / Dama / Conjuntos</t>
        </is>
      </c>
      <c r="D1064" t="n">
        <v>760.4704534599999</v>
      </c>
      <c r="E1064" t="n">
        <v>0.0001861879362757092</v>
      </c>
      <c r="F1064" t="n">
        <v>0.879415828670894</v>
      </c>
      <c r="G1064" t="inlineStr">
        <is>
          <t>B</t>
        </is>
      </c>
      <c r="H1064" t="n">
        <v>38</v>
      </c>
      <c r="I1064" t="n">
        <v>23.99</v>
      </c>
      <c r="J1064" t="n">
        <v>911.6199999999999</v>
      </c>
      <c r="K1064" t="n">
        <v>1.5</v>
      </c>
      <c r="L1064" t="n">
        <v>25.33333333333333</v>
      </c>
      <c r="M1064" t="n">
        <v>3</v>
      </c>
      <c r="N1064" t="n">
        <v>4.5</v>
      </c>
      <c r="O1064" t="n">
        <v>33.5</v>
      </c>
      <c r="P1064" t="n">
        <v>803.665</v>
      </c>
      <c r="Q1064" t="n">
        <v>0.8815789473684211</v>
      </c>
      <c r="R1064" t="inlineStr">
        <is>
          <t>Sobrestock crítico</t>
        </is>
      </c>
    </row>
    <row r="1065">
      <c r="A1065" t="inlineStr">
        <is>
          <t>POLPLCA16T2XL</t>
        </is>
      </c>
      <c r="B1065" t="inlineStr">
        <is>
          <t>CLASSIC POLO</t>
        </is>
      </c>
      <c r="C1065" t="inlineStr">
        <is>
          <t>Manufactura / Caballero / P. Superiores</t>
        </is>
      </c>
      <c r="D1065" t="n">
        <v>756.96897268</v>
      </c>
      <c r="E1065" t="n">
        <v>0.0001853306597341012</v>
      </c>
      <c r="F1065" t="n">
        <v>0.879601159330628</v>
      </c>
      <c r="G1065" t="inlineStr">
        <is>
          <t>B</t>
        </is>
      </c>
      <c r="H1065" t="n">
        <v>0</v>
      </c>
      <c r="I1065" t="n">
        <v>7.340000000000001</v>
      </c>
      <c r="J1065" t="n">
        <v>0</v>
      </c>
      <c r="K1065" t="n">
        <v>1.8</v>
      </c>
      <c r="L1065" t="n">
        <v>0</v>
      </c>
      <c r="M1065" t="n">
        <v>3</v>
      </c>
      <c r="N1065" t="n">
        <v>5.4</v>
      </c>
      <c r="O1065" t="n">
        <v>0</v>
      </c>
      <c r="P1065" t="n">
        <v>0</v>
      </c>
      <c r="Q1065" t="n">
        <v>0</v>
      </c>
      <c r="R1065" t="inlineStr">
        <is>
          <t>Riesgo bajo stock</t>
        </is>
      </c>
    </row>
    <row r="1066">
      <c r="A1066" t="inlineStr">
        <is>
          <t>MARMIDA04TL</t>
        </is>
      </c>
      <c r="B1066" t="inlineStr">
        <is>
          <t>MAR ORIGINAL DAMA</t>
        </is>
      </c>
      <c r="C1066" t="inlineStr">
        <is>
          <t>Manufactura / Dama / P. Superiores</t>
        </is>
      </c>
      <c r="D1066" t="n">
        <v>756.94780025</v>
      </c>
      <c r="E1066" t="n">
        <v>0.0001853254760336304</v>
      </c>
      <c r="F1066" t="n">
        <v>0.8797864848066617</v>
      </c>
      <c r="G1066" t="inlineStr">
        <is>
          <t>B</t>
        </is>
      </c>
      <c r="H1066" t="n">
        <v>47</v>
      </c>
      <c r="I1066" t="n">
        <v>4.278324149</v>
      </c>
      <c r="J1066" t="n">
        <v>201.081235003</v>
      </c>
      <c r="K1066" t="n">
        <v>1.4</v>
      </c>
      <c r="L1066" t="n">
        <v>33.57142857142858</v>
      </c>
      <c r="M1066" t="n">
        <v>3</v>
      </c>
      <c r="N1066" t="n">
        <v>4.199999999999999</v>
      </c>
      <c r="O1066" t="n">
        <v>42.8</v>
      </c>
      <c r="P1066" t="n">
        <v>183.1122735772</v>
      </c>
      <c r="Q1066" t="n">
        <v>0.9106382978723403</v>
      </c>
      <c r="R1066" t="inlineStr">
        <is>
          <t>Sobrestock crítico</t>
        </is>
      </c>
    </row>
    <row r="1067">
      <c r="A1067" t="inlineStr">
        <is>
          <t>SARSPKI12T8</t>
        </is>
      </c>
      <c r="B1067" t="inlineStr">
        <is>
          <t>FALDA SARA KIDS</t>
        </is>
      </c>
      <c r="C1067" t="inlineStr">
        <is>
          <t>Manufactura / Kids / P. Inferiores</t>
        </is>
      </c>
      <c r="D1067" t="n">
        <v>755.28260568</v>
      </c>
      <c r="E1067" t="n">
        <v>0.0001849177821658737</v>
      </c>
      <c r="F1067" t="n">
        <v>0.8799714025888276</v>
      </c>
      <c r="G1067" t="inlineStr">
        <is>
          <t>B</t>
        </is>
      </c>
      <c r="H1067" t="n">
        <v>16</v>
      </c>
      <c r="I1067" t="n">
        <v>5.753743316</v>
      </c>
      <c r="J1067" t="n">
        <v>92.05989305600001</v>
      </c>
      <c r="K1067" t="n">
        <v>1.8</v>
      </c>
      <c r="L1067" t="n">
        <v>8.888888888888889</v>
      </c>
      <c r="M1067" t="n">
        <v>3</v>
      </c>
      <c r="N1067" t="n">
        <v>5.4</v>
      </c>
      <c r="O1067" t="n">
        <v>10.6</v>
      </c>
      <c r="P1067" t="n">
        <v>60.9896791496</v>
      </c>
      <c r="Q1067" t="n">
        <v>0.6625</v>
      </c>
      <c r="R1067" t="inlineStr">
        <is>
          <t>Sobrestock crítico</t>
        </is>
      </c>
    </row>
    <row r="1068">
      <c r="A1068" t="inlineStr">
        <is>
          <t>DOMBFCA16TM</t>
        </is>
      </c>
      <c r="B1068" t="inlineStr">
        <is>
          <t>DOMINIC BIO MOVE CAB</t>
        </is>
      </c>
      <c r="C1068" t="inlineStr">
        <is>
          <t>Manufactura / Caballero / P. Superiores</t>
        </is>
      </c>
      <c r="D1068" t="n">
        <v>752.16968759</v>
      </c>
      <c r="E1068" t="n">
        <v>0.0001841556384266457</v>
      </c>
      <c r="F1068" t="n">
        <v>0.8801555582272541</v>
      </c>
      <c r="G1068" t="inlineStr">
        <is>
          <t>B</t>
        </is>
      </c>
      <c r="H1068" t="n">
        <v>30</v>
      </c>
      <c r="I1068" t="n">
        <v>13.86</v>
      </c>
      <c r="J1068" t="n">
        <v>415.8</v>
      </c>
      <c r="K1068" t="n">
        <v>1.5</v>
      </c>
      <c r="L1068" t="n">
        <v>20</v>
      </c>
      <c r="M1068" t="n">
        <v>3</v>
      </c>
      <c r="N1068" t="n">
        <v>4.5</v>
      </c>
      <c r="O1068" t="n">
        <v>25.5</v>
      </c>
      <c r="P1068" t="n">
        <v>353.4299999999999</v>
      </c>
      <c r="Q1068" t="n">
        <v>0.85</v>
      </c>
      <c r="R1068" t="inlineStr">
        <is>
          <t>Sobrestock crítico</t>
        </is>
      </c>
    </row>
    <row r="1069">
      <c r="A1069" t="inlineStr">
        <is>
          <t>HELBFDA16TS</t>
        </is>
      </c>
      <c r="B1069" t="inlineStr">
        <is>
          <t>HELEN BIO MOVE DAMA</t>
        </is>
      </c>
      <c r="C1069" t="inlineStr">
        <is>
          <t>Manufactura / Dama / P. Superiores</t>
        </is>
      </c>
      <c r="D1069" t="n">
        <v>752.06956165</v>
      </c>
      <c r="E1069" t="n">
        <v>0.0001841311243353336</v>
      </c>
      <c r="F1069" t="n">
        <v>0.8803396893515895</v>
      </c>
      <c r="G1069" t="inlineStr">
        <is>
          <t>B</t>
        </is>
      </c>
      <c r="H1069" t="n">
        <v>21</v>
      </c>
      <c r="I1069" t="n">
        <v>7.340817460000001</v>
      </c>
      <c r="J1069" t="n">
        <v>154.15716666</v>
      </c>
      <c r="K1069" t="n">
        <v>1.4</v>
      </c>
      <c r="L1069" t="n">
        <v>15</v>
      </c>
      <c r="M1069" t="n">
        <v>3</v>
      </c>
      <c r="N1069" t="n">
        <v>4.199999999999999</v>
      </c>
      <c r="O1069" t="n">
        <v>16.8</v>
      </c>
      <c r="P1069" t="n">
        <v>123.325733328</v>
      </c>
      <c r="Q1069" t="n">
        <v>0.8</v>
      </c>
      <c r="R1069" t="inlineStr">
        <is>
          <t>Sobrestock crítico</t>
        </is>
      </c>
    </row>
    <row r="1070">
      <c r="A1070" t="inlineStr">
        <is>
          <t>MAFMIDA70TS</t>
        </is>
      </c>
      <c r="B1070" t="inlineStr">
        <is>
          <t>MAFE ORIGINAL DAMA</t>
        </is>
      </c>
      <c r="C1070" t="inlineStr">
        <is>
          <t>Manufactura / Dama / P. Superiores</t>
        </is>
      </c>
      <c r="D1070" t="n">
        <v>749.82249711</v>
      </c>
      <c r="E1070" t="n">
        <v>0.0001835809697468451</v>
      </c>
      <c r="F1070" t="n">
        <v>0.8805232703213363</v>
      </c>
      <c r="G1070" t="inlineStr">
        <is>
          <t>B</t>
        </is>
      </c>
      <c r="H1070" t="n">
        <v>9</v>
      </c>
      <c r="I1070" t="n">
        <v>4.54817671</v>
      </c>
      <c r="J1070" t="n">
        <v>40.93359039</v>
      </c>
      <c r="K1070" t="n">
        <v>3.4</v>
      </c>
      <c r="L1070" t="n">
        <v>2.647058823529412</v>
      </c>
      <c r="M1070" t="n">
        <v>3</v>
      </c>
      <c r="N1070" t="n">
        <v>10.2</v>
      </c>
      <c r="O1070" t="n">
        <v>0</v>
      </c>
      <c r="P1070" t="n">
        <v>0</v>
      </c>
      <c r="Q1070" t="n">
        <v>0</v>
      </c>
      <c r="R1070" t="inlineStr">
        <is>
          <t>OK</t>
        </is>
      </c>
    </row>
    <row r="1071">
      <c r="A1071" t="inlineStr">
        <is>
          <t>GEMBADA12TM</t>
        </is>
      </c>
      <c r="B1071" t="inlineStr">
        <is>
          <t>VESTIDO GEMMA DAMA</t>
        </is>
      </c>
      <c r="C1071" t="inlineStr">
        <is>
          <t>Manufactura / Dama / Conjuntos</t>
        </is>
      </c>
      <c r="D1071" t="n">
        <v>749.48137731</v>
      </c>
      <c r="E1071" t="n">
        <v>0.0001834974525091986</v>
      </c>
      <c r="F1071" t="n">
        <v>0.8807067677738455</v>
      </c>
      <c r="G1071" t="inlineStr">
        <is>
          <t>B</t>
        </is>
      </c>
      <c r="H1071" t="n">
        <v>35</v>
      </c>
      <c r="I1071" t="n">
        <v>23.99</v>
      </c>
      <c r="J1071" t="n">
        <v>839.65</v>
      </c>
      <c r="K1071" t="n">
        <v>1.6</v>
      </c>
      <c r="L1071" t="n">
        <v>21.875</v>
      </c>
      <c r="M1071" t="n">
        <v>3</v>
      </c>
      <c r="N1071" t="n">
        <v>4.800000000000001</v>
      </c>
      <c r="O1071" t="n">
        <v>30.2</v>
      </c>
      <c r="P1071" t="n">
        <v>724.4979999999999</v>
      </c>
      <c r="Q1071" t="n">
        <v>0.8628571428571428</v>
      </c>
      <c r="R1071" t="inlineStr">
        <is>
          <t>Sobrestock crítico</t>
        </is>
      </c>
    </row>
    <row r="1072">
      <c r="A1072" t="inlineStr">
        <is>
          <t>RIOMIKI34T2</t>
        </is>
      </c>
      <c r="B1072" t="inlineStr">
        <is>
          <t>RIO ORIGINAL KIDS</t>
        </is>
      </c>
      <c r="C1072" t="inlineStr">
        <is>
          <t>Manufactura / Kids / P. Superiores</t>
        </is>
      </c>
      <c r="D1072" t="n">
        <v>748.32070816</v>
      </c>
      <c r="E1072" t="n">
        <v>0.0001832132828971457</v>
      </c>
      <c r="F1072" t="n">
        <v>0.8808899810567427</v>
      </c>
      <c r="G1072" t="inlineStr">
        <is>
          <t>B</t>
        </is>
      </c>
      <c r="H1072" t="n">
        <v>15</v>
      </c>
      <c r="I1072" t="n">
        <v>3.617969464</v>
      </c>
      <c r="J1072" t="n">
        <v>54.26954196000001</v>
      </c>
      <c r="K1072" t="n">
        <v>1.9</v>
      </c>
      <c r="L1072" t="n">
        <v>7.894736842105264</v>
      </c>
      <c r="M1072" t="n">
        <v>3</v>
      </c>
      <c r="N1072" t="n">
        <v>5.699999999999999</v>
      </c>
      <c r="O1072" t="n">
        <v>9.300000000000001</v>
      </c>
      <c r="P1072" t="n">
        <v>33.64711601520001</v>
      </c>
      <c r="Q1072" t="n">
        <v>0.62</v>
      </c>
      <c r="R1072" t="inlineStr">
        <is>
          <t>Sobrestock crítico</t>
        </is>
      </c>
    </row>
    <row r="1073">
      <c r="A1073" t="inlineStr">
        <is>
          <t>PANNTKI30T8</t>
        </is>
      </c>
      <c r="B1073" t="inlineStr">
        <is>
          <t>EXPLORE PANTS KIDS</t>
        </is>
      </c>
      <c r="C1073" t="inlineStr">
        <is>
          <t>Manufactura / Kids / P. Inferiores</t>
        </is>
      </c>
      <c r="D1073" t="n">
        <v>747.07272802</v>
      </c>
      <c r="E1073" t="n">
        <v>0.0001829077367109363</v>
      </c>
      <c r="F1073" t="n">
        <v>0.8810728887934537</v>
      </c>
      <c r="G1073" t="inlineStr">
        <is>
          <t>B</t>
        </is>
      </c>
      <c r="H1073" t="n">
        <v>3</v>
      </c>
      <c r="I1073" t="n">
        <v>13.98</v>
      </c>
      <c r="J1073" t="n">
        <v>41.94</v>
      </c>
      <c r="K1073" t="n">
        <v>1.5</v>
      </c>
      <c r="L1073" t="n">
        <v>2</v>
      </c>
      <c r="M1073" t="n">
        <v>3</v>
      </c>
      <c r="N1073" t="n">
        <v>4.5</v>
      </c>
      <c r="O1073" t="n">
        <v>0</v>
      </c>
      <c r="P1073" t="n">
        <v>0</v>
      </c>
      <c r="Q1073" t="n">
        <v>0</v>
      </c>
      <c r="R1073" t="inlineStr">
        <is>
          <t>OK</t>
        </is>
      </c>
    </row>
    <row r="1074">
      <c r="A1074" t="inlineStr">
        <is>
          <t>CLAMECA16T2XL</t>
        </is>
      </c>
      <c r="B1074" t="inlineStr">
        <is>
          <t>CLASICA SPORT CAB</t>
        </is>
      </c>
      <c r="C1074" t="inlineStr">
        <is>
          <t>Manufactura / Caballero / P. Superiores</t>
        </is>
      </c>
      <c r="D1074" t="n">
        <v>746.7528883700001</v>
      </c>
      <c r="E1074" t="n">
        <v>0.0001828294295471251</v>
      </c>
      <c r="F1074" t="n">
        <v>0.8812557182230008</v>
      </c>
      <c r="G1074" t="inlineStr">
        <is>
          <t>B</t>
        </is>
      </c>
      <c r="H1074" t="n">
        <v>5</v>
      </c>
      <c r="I1074" t="n">
        <v>10.3013454</v>
      </c>
      <c r="J1074" t="n">
        <v>51.50672700000001</v>
      </c>
      <c r="K1074" t="n">
        <v>1.7</v>
      </c>
      <c r="L1074" t="n">
        <v>2.941176470588236</v>
      </c>
      <c r="M1074" t="n">
        <v>3</v>
      </c>
      <c r="N1074" t="n">
        <v>5.1</v>
      </c>
      <c r="O1074" t="n">
        <v>0</v>
      </c>
      <c r="P1074" t="n">
        <v>0</v>
      </c>
      <c r="Q1074" t="n">
        <v>0</v>
      </c>
      <c r="R1074" t="inlineStr">
        <is>
          <t>OK</t>
        </is>
      </c>
    </row>
    <row r="1075">
      <c r="A1075" t="inlineStr">
        <is>
          <t>LMOFIDA43TXL</t>
        </is>
      </c>
      <c r="B1075" t="inlineStr">
        <is>
          <t>LEGGING MOVA</t>
        </is>
      </c>
      <c r="C1075" t="inlineStr">
        <is>
          <t>Manufactura / Dama / P. Inferiores</t>
        </is>
      </c>
      <c r="D1075" t="n">
        <v>742.60795682</v>
      </c>
      <c r="E1075" t="n">
        <v>0.0001818146152991983</v>
      </c>
      <c r="F1075" t="n">
        <v>0.8814375328382998</v>
      </c>
      <c r="G1075" t="inlineStr">
        <is>
          <t>B</t>
        </is>
      </c>
      <c r="H1075" t="n">
        <v>9</v>
      </c>
      <c r="I1075" t="n">
        <v>17.7</v>
      </c>
      <c r="J1075" t="n">
        <v>159.3</v>
      </c>
      <c r="K1075" t="n">
        <v>1.1</v>
      </c>
      <c r="L1075" t="n">
        <v>8.181818181818182</v>
      </c>
      <c r="M1075" t="n">
        <v>3</v>
      </c>
      <c r="N1075" t="n">
        <v>3.3</v>
      </c>
      <c r="O1075" t="n">
        <v>5.699999999999999</v>
      </c>
      <c r="P1075" t="n">
        <v>100.89</v>
      </c>
      <c r="Q1075" t="n">
        <v>0.6333333333333333</v>
      </c>
      <c r="R1075" t="inlineStr">
        <is>
          <t>Sobrestock crítico</t>
        </is>
      </c>
    </row>
    <row r="1076">
      <c r="A1076" t="inlineStr">
        <is>
          <t>SARSPDA16TM</t>
        </is>
      </c>
      <c r="B1076" t="inlineStr">
        <is>
          <t>FALDA SARA DAMA</t>
        </is>
      </c>
      <c r="C1076" t="inlineStr">
        <is>
          <t>Manufactura / Dama / P. Inferiores</t>
        </is>
      </c>
      <c r="D1076" t="n">
        <v>740.94837436</v>
      </c>
      <c r="E1076" t="n">
        <v>0.0001814082954587615</v>
      </c>
      <c r="F1076" t="n">
        <v>0.8816189411337586</v>
      </c>
      <c r="G1076" t="inlineStr">
        <is>
          <t>B</t>
        </is>
      </c>
      <c r="H1076" t="n">
        <v>33</v>
      </c>
      <c r="I1076" t="n">
        <v>9.500113852</v>
      </c>
      <c r="J1076" t="n">
        <v>313.503757116</v>
      </c>
      <c r="K1076" t="n">
        <v>1.8</v>
      </c>
      <c r="L1076" t="n">
        <v>18.33333333333333</v>
      </c>
      <c r="M1076" t="n">
        <v>3</v>
      </c>
      <c r="N1076" t="n">
        <v>5.4</v>
      </c>
      <c r="O1076" t="n">
        <v>27.6</v>
      </c>
      <c r="P1076" t="n">
        <v>262.2031423152</v>
      </c>
      <c r="Q1076" t="n">
        <v>0.8363636363636363</v>
      </c>
      <c r="R1076" t="inlineStr">
        <is>
          <t>Sobrestock crítico</t>
        </is>
      </c>
    </row>
    <row r="1077">
      <c r="A1077" t="inlineStr">
        <is>
          <t>SARSPDA30TXS</t>
        </is>
      </c>
      <c r="B1077" t="inlineStr">
        <is>
          <t>FALDA SARA DAMA</t>
        </is>
      </c>
      <c r="C1077" t="inlineStr">
        <is>
          <t>Manufactura / Dama / P. Inferiores</t>
        </is>
      </c>
      <c r="D1077" t="n">
        <v>739.44795005</v>
      </c>
      <c r="E1077" t="n">
        <v>0.0001810409427173818</v>
      </c>
      <c r="F1077" t="n">
        <v>0.881799982076476</v>
      </c>
      <c r="G1077" t="inlineStr">
        <is>
          <t>B</t>
        </is>
      </c>
      <c r="H1077" t="n">
        <v>3</v>
      </c>
      <c r="I1077" t="n">
        <v>9.500113852</v>
      </c>
      <c r="J1077" t="n">
        <v>28.500341556</v>
      </c>
      <c r="K1077" t="n">
        <v>1.9</v>
      </c>
      <c r="L1077" t="n">
        <v>1.578947368421053</v>
      </c>
      <c r="M1077" t="n">
        <v>3</v>
      </c>
      <c r="N1077" t="n">
        <v>5.699999999999999</v>
      </c>
      <c r="O1077" t="n">
        <v>0</v>
      </c>
      <c r="P1077" t="n">
        <v>0</v>
      </c>
      <c r="Q1077" t="n">
        <v>0</v>
      </c>
      <c r="R1077" t="inlineStr">
        <is>
          <t>OK</t>
        </is>
      </c>
    </row>
    <row r="1078">
      <c r="A1078" t="inlineStr">
        <is>
          <t>LPR66EQ</t>
        </is>
      </c>
      <c r="B1078" t="inlineStr">
        <is>
          <t>LANYARD PRO</t>
        </is>
      </c>
      <c r="C1078" t="inlineStr">
        <is>
          <t>Equipamiento / Accesorios</t>
        </is>
      </c>
      <c r="D1078" t="n">
        <v>737.363512866</v>
      </c>
      <c r="E1078" t="n">
        <v>0.0001805306046025746</v>
      </c>
      <c r="F1078" t="n">
        <v>0.8819805126810787</v>
      </c>
      <c r="G1078" t="inlineStr">
        <is>
          <t>B</t>
        </is>
      </c>
      <c r="H1078" t="n">
        <v>547</v>
      </c>
      <c r="I1078" t="n">
        <v>1.15</v>
      </c>
      <c r="J1078" t="n">
        <v>629.05</v>
      </c>
      <c r="K1078" t="n">
        <v>12.4</v>
      </c>
      <c r="L1078" t="n">
        <v>44.11290322580645</v>
      </c>
      <c r="M1078" t="n">
        <v>3</v>
      </c>
      <c r="N1078" t="n">
        <v>37.2</v>
      </c>
      <c r="O1078" t="n">
        <v>509.8</v>
      </c>
      <c r="P1078" t="n">
        <v>586.27</v>
      </c>
      <c r="Q1078" t="n">
        <v>0.9319926873857405</v>
      </c>
      <c r="R1078" t="inlineStr">
        <is>
          <t>Sobrestock crítico</t>
        </is>
      </c>
    </row>
    <row r="1079">
      <c r="A1079" t="inlineStr">
        <is>
          <t>DOMBFCA16TL</t>
        </is>
      </c>
      <c r="B1079" t="inlineStr">
        <is>
          <t>DOMINIC BIO MOVE CAB</t>
        </is>
      </c>
      <c r="C1079" t="inlineStr">
        <is>
          <t>Manufactura / Caballero / P. Superiores</t>
        </is>
      </c>
      <c r="D1079" t="n">
        <v>735.20528095</v>
      </c>
      <c r="E1079" t="n">
        <v>0.0001800021991338071</v>
      </c>
      <c r="F1079" t="n">
        <v>0.8821605148802124</v>
      </c>
      <c r="G1079" t="inlineStr">
        <is>
          <t>B</t>
        </is>
      </c>
      <c r="H1079" t="n">
        <v>31</v>
      </c>
      <c r="I1079" t="n">
        <v>13.86</v>
      </c>
      <c r="J1079" t="n">
        <v>429.66</v>
      </c>
      <c r="K1079" t="n">
        <v>1.5</v>
      </c>
      <c r="L1079" t="n">
        <v>20.66666666666667</v>
      </c>
      <c r="M1079" t="n">
        <v>3</v>
      </c>
      <c r="N1079" t="n">
        <v>4.5</v>
      </c>
      <c r="O1079" t="n">
        <v>26.5</v>
      </c>
      <c r="P1079" t="n">
        <v>367.29</v>
      </c>
      <c r="Q1079" t="n">
        <v>0.8548387096774194</v>
      </c>
      <c r="R1079" t="inlineStr">
        <is>
          <t>Sobrestock crítico</t>
        </is>
      </c>
    </row>
    <row r="1080">
      <c r="A1080" t="inlineStr">
        <is>
          <t>HEA161EQ</t>
        </is>
      </c>
      <c r="B1080" t="inlineStr">
        <is>
          <t>HEADBAND</t>
        </is>
      </c>
      <c r="C1080" t="inlineStr">
        <is>
          <t>Equipamiento / Accesorios</t>
        </is>
      </c>
      <c r="D1080" t="n">
        <v>733.94294292</v>
      </c>
      <c r="E1080" t="n">
        <v>0.0001796931376684751</v>
      </c>
      <c r="F1080" t="n">
        <v>0.8823402080178808</v>
      </c>
      <c r="G1080" t="inlineStr">
        <is>
          <t>B</t>
        </is>
      </c>
      <c r="H1080" t="n">
        <v>733</v>
      </c>
      <c r="I1080" t="n">
        <v>4.26</v>
      </c>
      <c r="J1080" t="n">
        <v>3122.58</v>
      </c>
      <c r="K1080" t="n">
        <v>5.4</v>
      </c>
      <c r="L1080" t="n">
        <v>135.7407407407407</v>
      </c>
      <c r="M1080" t="n">
        <v>3</v>
      </c>
      <c r="N1080" t="n">
        <v>16.2</v>
      </c>
      <c r="O1080" t="n">
        <v>716.8</v>
      </c>
      <c r="P1080" t="n">
        <v>3053.568</v>
      </c>
      <c r="Q1080" t="n">
        <v>0.9778990450204638</v>
      </c>
      <c r="R1080" t="inlineStr">
        <is>
          <t>Sobrestock crítico</t>
        </is>
      </c>
    </row>
    <row r="1081">
      <c r="A1081" t="inlineStr">
        <is>
          <t>MARMIKI43T2</t>
        </is>
      </c>
      <c r="B1081" t="inlineStr">
        <is>
          <t>MAR ORIGINAL KIDS</t>
        </is>
      </c>
      <c r="C1081" t="inlineStr">
        <is>
          <t>Manufactura / Kids / P. Superiores</t>
        </is>
      </c>
      <c r="D1081" t="n">
        <v>733.20447195</v>
      </c>
      <c r="E1081" t="n">
        <v>0.0001795123359222951</v>
      </c>
      <c r="F1081" t="n">
        <v>0.8825197203538032</v>
      </c>
      <c r="G1081" t="inlineStr">
        <is>
          <t>B</t>
        </is>
      </c>
      <c r="H1081" t="n">
        <v>34</v>
      </c>
      <c r="I1081" t="n">
        <v>3.168013332</v>
      </c>
      <c r="J1081" t="n">
        <v>107.712453288</v>
      </c>
      <c r="K1081" t="n">
        <v>1.9</v>
      </c>
      <c r="L1081" t="n">
        <v>17.89473684210526</v>
      </c>
      <c r="M1081" t="n">
        <v>3</v>
      </c>
      <c r="N1081" t="n">
        <v>5.699999999999999</v>
      </c>
      <c r="O1081" t="n">
        <v>28.3</v>
      </c>
      <c r="P1081" t="n">
        <v>89.6547772956</v>
      </c>
      <c r="Q1081" t="n">
        <v>0.8323529411764705</v>
      </c>
      <c r="R1081" t="inlineStr">
        <is>
          <t>Sobrestock crítico</t>
        </is>
      </c>
    </row>
    <row r="1082">
      <c r="A1082" t="inlineStr">
        <is>
          <t>CLAMIKI43T12</t>
        </is>
      </c>
      <c r="B1082" t="inlineStr">
        <is>
          <t>CLASICA ORIGINAL KIDS</t>
        </is>
      </c>
      <c r="C1082" t="inlineStr">
        <is>
          <t>Manufactura / Kids / P. Superiores</t>
        </is>
      </c>
      <c r="D1082" t="n">
        <v>732.45087394</v>
      </c>
      <c r="E1082" t="n">
        <v>0.0001793278305840207</v>
      </c>
      <c r="F1082" t="n">
        <v>0.8826990481843872</v>
      </c>
      <c r="G1082" t="inlineStr">
        <is>
          <t>B</t>
        </is>
      </c>
      <c r="H1082" t="n">
        <v>28</v>
      </c>
      <c r="I1082" t="n">
        <v>2.053774806</v>
      </c>
      <c r="J1082" t="n">
        <v>57.505694568</v>
      </c>
      <c r="K1082" t="n">
        <v>2.6</v>
      </c>
      <c r="L1082" t="n">
        <v>10.76923076923077</v>
      </c>
      <c r="M1082" t="n">
        <v>3</v>
      </c>
      <c r="N1082" t="n">
        <v>7.800000000000001</v>
      </c>
      <c r="O1082" t="n">
        <v>20.2</v>
      </c>
      <c r="P1082" t="n">
        <v>41.4862510812</v>
      </c>
      <c r="Q1082" t="n">
        <v>0.7214285714285714</v>
      </c>
      <c r="R1082" t="inlineStr">
        <is>
          <t>Sobrestock crítico</t>
        </is>
      </c>
    </row>
    <row r="1083">
      <c r="A1083" t="inlineStr">
        <is>
          <t>ZOEMIDA43TM</t>
        </is>
      </c>
      <c r="B1083" t="inlineStr">
        <is>
          <t>ZOE ORIGINAL DAMA</t>
        </is>
      </c>
      <c r="C1083" t="inlineStr">
        <is>
          <t>Manufactura / Dama / P. Superiores</t>
        </is>
      </c>
      <c r="D1083" t="n">
        <v>731.73435425</v>
      </c>
      <c r="E1083" t="n">
        <v>0.0001791524032261595</v>
      </c>
      <c r="F1083" t="n">
        <v>0.8828782005876133</v>
      </c>
      <c r="G1083" t="inlineStr">
        <is>
          <t>B</t>
        </is>
      </c>
      <c r="H1083" t="n">
        <v>1</v>
      </c>
      <c r="I1083" t="n">
        <v>4.116585696</v>
      </c>
      <c r="J1083" t="n">
        <v>4.116585696</v>
      </c>
      <c r="K1083" t="n">
        <v>2.2</v>
      </c>
      <c r="L1083" t="n">
        <v>0.4545454545454545</v>
      </c>
      <c r="M1083" t="n">
        <v>3</v>
      </c>
      <c r="N1083" t="n">
        <v>6.600000000000001</v>
      </c>
      <c r="O1083" t="n">
        <v>0</v>
      </c>
      <c r="P1083" t="n">
        <v>0</v>
      </c>
      <c r="Q1083" t="n">
        <v>0</v>
      </c>
      <c r="R1083" t="inlineStr">
        <is>
          <t>Riesgo bajo stock</t>
        </is>
      </c>
    </row>
    <row r="1084">
      <c r="A1084" t="inlineStr">
        <is>
          <t>RIOMIKI16T12</t>
        </is>
      </c>
      <c r="B1084" t="inlineStr">
        <is>
          <t>RIO ORIGINAL KIDS</t>
        </is>
      </c>
      <c r="C1084" t="inlineStr">
        <is>
          <t>Manufactura / Kids / P. Superiores</t>
        </is>
      </c>
      <c r="D1084" t="n">
        <v>730.90844912</v>
      </c>
      <c r="E1084" t="n">
        <v>0.0001789501947497951</v>
      </c>
      <c r="F1084" t="n">
        <v>0.8830571507823631</v>
      </c>
      <c r="G1084" t="inlineStr">
        <is>
          <t>B</t>
        </is>
      </c>
      <c r="H1084" t="n">
        <v>10</v>
      </c>
      <c r="I1084" t="n">
        <v>3.617969464</v>
      </c>
      <c r="J1084" t="n">
        <v>36.17969464</v>
      </c>
      <c r="K1084" t="n">
        <v>1.7</v>
      </c>
      <c r="L1084" t="n">
        <v>5.882352941176471</v>
      </c>
      <c r="M1084" t="n">
        <v>3</v>
      </c>
      <c r="N1084" t="n">
        <v>5.1</v>
      </c>
      <c r="O1084" t="n">
        <v>4.9</v>
      </c>
      <c r="P1084" t="n">
        <v>17.7280503736</v>
      </c>
      <c r="Q1084" t="n">
        <v>0.49</v>
      </c>
      <c r="R1084" t="inlineStr">
        <is>
          <t>Sobrestock crítico</t>
        </is>
      </c>
    </row>
    <row r="1085">
      <c r="A1085" t="inlineStr">
        <is>
          <t>RIOMICA01TS</t>
        </is>
      </c>
      <c r="B1085" t="inlineStr">
        <is>
          <t>RIO ORIGINAL CAB</t>
        </is>
      </c>
      <c r="C1085" t="inlineStr">
        <is>
          <t>Manufactura / Caballero / P. Superiores</t>
        </is>
      </c>
      <c r="D1085" t="n">
        <v>728.89231847</v>
      </c>
      <c r="E1085" t="n">
        <v>0.000178456580299322</v>
      </c>
      <c r="F1085" t="n">
        <v>0.8832356073626625</v>
      </c>
      <c r="G1085" t="inlineStr">
        <is>
          <t>B</t>
        </is>
      </c>
      <c r="H1085" t="n">
        <v>18</v>
      </c>
      <c r="I1085" t="n">
        <v>5.939350288</v>
      </c>
      <c r="J1085" t="n">
        <v>106.908305184</v>
      </c>
      <c r="K1085" t="n">
        <v>1.4</v>
      </c>
      <c r="L1085" t="n">
        <v>12.85714285714286</v>
      </c>
      <c r="M1085" t="n">
        <v>3</v>
      </c>
      <c r="N1085" t="n">
        <v>4.199999999999999</v>
      </c>
      <c r="O1085" t="n">
        <v>13.8</v>
      </c>
      <c r="P1085" t="n">
        <v>81.96303397440001</v>
      </c>
      <c r="Q1085" t="n">
        <v>0.7666666666666667</v>
      </c>
      <c r="R1085" t="inlineStr">
        <is>
          <t>Sobrestock crítico</t>
        </is>
      </c>
    </row>
    <row r="1086">
      <c r="A1086" t="inlineStr">
        <is>
          <t>MARMIKI01T4</t>
        </is>
      </c>
      <c r="B1086" t="inlineStr">
        <is>
          <t>MAR ORIGINAL KIDS</t>
        </is>
      </c>
      <c r="C1086" t="inlineStr">
        <is>
          <t>Manufactura / Kids / P. Superiores</t>
        </is>
      </c>
      <c r="D1086" t="n">
        <v>727.62428928</v>
      </c>
      <c r="E1086" t="n">
        <v>0.0001781461254526553</v>
      </c>
      <c r="F1086" t="n">
        <v>0.8834137534881152</v>
      </c>
      <c r="G1086" t="inlineStr">
        <is>
          <t>B</t>
        </is>
      </c>
      <c r="H1086" t="n">
        <v>26</v>
      </c>
      <c r="I1086" t="n">
        <v>3.168013332</v>
      </c>
      <c r="J1086" t="n">
        <v>82.368346632</v>
      </c>
      <c r="K1086" t="n">
        <v>1.9</v>
      </c>
      <c r="L1086" t="n">
        <v>13.68421052631579</v>
      </c>
      <c r="M1086" t="n">
        <v>3</v>
      </c>
      <c r="N1086" t="n">
        <v>5.699999999999999</v>
      </c>
      <c r="O1086" t="n">
        <v>20.3</v>
      </c>
      <c r="P1086" t="n">
        <v>64.3106706396</v>
      </c>
      <c r="Q1086" t="n">
        <v>0.7807692307692309</v>
      </c>
      <c r="R1086" t="inlineStr">
        <is>
          <t>Sobrestock crítico</t>
        </is>
      </c>
    </row>
    <row r="1087">
      <c r="A1087" t="inlineStr">
        <is>
          <t>MARMIKI13T8</t>
        </is>
      </c>
      <c r="B1087" t="inlineStr">
        <is>
          <t>MAR ORIGINAL KIDS</t>
        </is>
      </c>
      <c r="C1087" t="inlineStr">
        <is>
          <t>Manufactura / Kids / P. Superiores</t>
        </is>
      </c>
      <c r="D1087" t="n">
        <v>726.35257268</v>
      </c>
      <c r="E1087" t="n">
        <v>0.0001778347678079181</v>
      </c>
      <c r="F1087" t="n">
        <v>0.8835915882559231</v>
      </c>
      <c r="G1087" t="inlineStr">
        <is>
          <t>B</t>
        </is>
      </c>
      <c r="H1087" t="n">
        <v>26</v>
      </c>
      <c r="I1087" t="n">
        <v>3.168013332</v>
      </c>
      <c r="J1087" t="n">
        <v>82.368346632</v>
      </c>
      <c r="K1087" t="n">
        <v>1.9</v>
      </c>
      <c r="L1087" t="n">
        <v>13.68421052631579</v>
      </c>
      <c r="M1087" t="n">
        <v>3</v>
      </c>
      <c r="N1087" t="n">
        <v>5.699999999999999</v>
      </c>
      <c r="O1087" t="n">
        <v>20.3</v>
      </c>
      <c r="P1087" t="n">
        <v>64.3106706396</v>
      </c>
      <c r="Q1087" t="n">
        <v>0.7807692307692309</v>
      </c>
      <c r="R1087" t="inlineStr">
        <is>
          <t>Sobrestock crítico</t>
        </is>
      </c>
    </row>
    <row r="1088">
      <c r="A1088" t="inlineStr">
        <is>
          <t>GEMBADA66TM</t>
        </is>
      </c>
      <c r="B1088" t="inlineStr">
        <is>
          <t>VESTIDO GEMMA DAMA</t>
        </is>
      </c>
      <c r="C1088" t="inlineStr">
        <is>
          <t>Manufactura / Dama / Conjuntos</t>
        </is>
      </c>
      <c r="D1088" t="n">
        <v>725.68287428</v>
      </c>
      <c r="E1088" t="n">
        <v>0.0001776708038268642</v>
      </c>
      <c r="F1088" t="n">
        <v>0.88376925905975</v>
      </c>
      <c r="G1088" t="inlineStr">
        <is>
          <t>B</t>
        </is>
      </c>
      <c r="H1088" t="n">
        <v>42</v>
      </c>
      <c r="I1088" t="n">
        <v>23.99</v>
      </c>
      <c r="J1088" t="n">
        <v>1007.58</v>
      </c>
      <c r="K1088" t="n">
        <v>1.6</v>
      </c>
      <c r="L1088" t="n">
        <v>26.25</v>
      </c>
      <c r="M1088" t="n">
        <v>3</v>
      </c>
      <c r="N1088" t="n">
        <v>4.800000000000001</v>
      </c>
      <c r="O1088" t="n">
        <v>37.2</v>
      </c>
      <c r="P1088" t="n">
        <v>892.428</v>
      </c>
      <c r="Q1088" t="n">
        <v>0.8857142857142858</v>
      </c>
      <c r="R1088" t="inlineStr">
        <is>
          <t>Sobrestock crítico</t>
        </is>
      </c>
    </row>
    <row r="1089">
      <c r="A1089" t="inlineStr">
        <is>
          <t>SHONRCA66TM</t>
        </is>
      </c>
      <c r="B1089" t="inlineStr">
        <is>
          <t>SHORT SPORT CAB</t>
        </is>
      </c>
      <c r="C1089" t="inlineStr">
        <is>
          <t>Manufactura / Caballero / P. Inferiores</t>
        </is>
      </c>
      <c r="D1089" t="n">
        <v>724.89290906</v>
      </c>
      <c r="E1089" t="n">
        <v>0.000177477394611066</v>
      </c>
      <c r="F1089" t="n">
        <v>0.8839467364543609</v>
      </c>
      <c r="G1089" t="inlineStr">
        <is>
          <t>B</t>
        </is>
      </c>
      <c r="H1089" t="n">
        <v>2</v>
      </c>
      <c r="I1089" t="n">
        <v>10.6514486</v>
      </c>
      <c r="J1089" t="n">
        <v>21.3028972</v>
      </c>
      <c r="K1089" t="n">
        <v>2.3</v>
      </c>
      <c r="L1089" t="n">
        <v>0.8695652173913044</v>
      </c>
      <c r="M1089" t="n">
        <v>3</v>
      </c>
      <c r="N1089" t="n">
        <v>6.899999999999999</v>
      </c>
      <c r="O1089" t="n">
        <v>0</v>
      </c>
      <c r="P1089" t="n">
        <v>0</v>
      </c>
      <c r="Q1089" t="n">
        <v>0</v>
      </c>
      <c r="R1089" t="inlineStr">
        <is>
          <t>Riesgo bajo stock</t>
        </is>
      </c>
    </row>
    <row r="1090">
      <c r="A1090" t="inlineStr">
        <is>
          <t>JACKI43T2</t>
        </is>
      </c>
      <c r="B1090" t="inlineStr">
        <is>
          <t>JACKET KIDS</t>
        </is>
      </c>
      <c r="C1090" t="inlineStr">
        <is>
          <t>Manufactura / Kids / P. Superiores</t>
        </is>
      </c>
      <c r="D1090" t="n">
        <v>724.61355518</v>
      </c>
      <c r="E1090" t="n">
        <v>0.0001774089996824121</v>
      </c>
      <c r="F1090" t="n">
        <v>0.8841241454540435</v>
      </c>
      <c r="G1090" t="inlineStr">
        <is>
          <t>B</t>
        </is>
      </c>
      <c r="H1090" t="n">
        <v>105</v>
      </c>
      <c r="I1090" t="n">
        <v>15.17</v>
      </c>
      <c r="J1090" t="n">
        <v>1592.85</v>
      </c>
      <c r="K1090" t="n">
        <v>1.5</v>
      </c>
      <c r="L1090" t="n">
        <v>70</v>
      </c>
      <c r="M1090" t="n">
        <v>3</v>
      </c>
      <c r="N1090" t="n">
        <v>4.5</v>
      </c>
      <c r="O1090" t="n">
        <v>100.5</v>
      </c>
      <c r="P1090" t="n">
        <v>1524.585</v>
      </c>
      <c r="Q1090" t="n">
        <v>0.9571428571428572</v>
      </c>
      <c r="R1090" t="inlineStr">
        <is>
          <t>Sobrestock crítico</t>
        </is>
      </c>
    </row>
    <row r="1091">
      <c r="A1091" t="inlineStr">
        <is>
          <t>JAPCA01T2XL</t>
        </is>
      </c>
      <c r="B1091" t="inlineStr">
        <is>
          <t>CUADRO JACKET 2.0 CAB</t>
        </is>
      </c>
      <c r="C1091" t="inlineStr">
        <is>
          <t>Equipamiento / Ropa</t>
        </is>
      </c>
      <c r="D1091" t="n">
        <v>723.95013563</v>
      </c>
      <c r="E1091" t="n">
        <v>0.0001772465729683466</v>
      </c>
      <c r="F1091" t="n">
        <v>0.8843013920270117</v>
      </c>
      <c r="G1091" t="inlineStr">
        <is>
          <t>B</t>
        </is>
      </c>
      <c r="H1091" t="n">
        <v>288</v>
      </c>
      <c r="I1091" t="n">
        <v>20.25000225</v>
      </c>
      <c r="J1091" t="n">
        <v>5832.000648</v>
      </c>
      <c r="K1091" t="n">
        <v>1</v>
      </c>
      <c r="L1091" t="n">
        <v>288</v>
      </c>
      <c r="M1091" t="n">
        <v>3</v>
      </c>
      <c r="N1091" t="n">
        <v>3</v>
      </c>
      <c r="O1091" t="n">
        <v>285</v>
      </c>
      <c r="P1091" t="n">
        <v>5771.250641250001</v>
      </c>
      <c r="Q1091" t="n">
        <v>0.9895833333333334</v>
      </c>
      <c r="R1091" t="inlineStr">
        <is>
          <t>Sobrestock crítico</t>
        </is>
      </c>
    </row>
    <row r="1092">
      <c r="A1092" t="inlineStr">
        <is>
          <t>CLAMIKI16T10</t>
        </is>
      </c>
      <c r="B1092" t="inlineStr">
        <is>
          <t>CLASICA ORIGINAL KIDS</t>
        </is>
      </c>
      <c r="C1092" t="inlineStr">
        <is>
          <t>Manufactura / Kids / P. Superiores</t>
        </is>
      </c>
      <c r="D1092" t="n">
        <v>723.44739535</v>
      </c>
      <c r="E1092" t="n">
        <v>0.0001771234857730584</v>
      </c>
      <c r="F1092" t="n">
        <v>0.8844785155127848</v>
      </c>
      <c r="G1092" t="inlineStr">
        <is>
          <t>B</t>
        </is>
      </c>
      <c r="H1092" t="n">
        <v>31</v>
      </c>
      <c r="I1092" t="n">
        <v>2.053774806</v>
      </c>
      <c r="J1092" t="n">
        <v>63.667018986</v>
      </c>
      <c r="K1092" t="n">
        <v>2.3</v>
      </c>
      <c r="L1092" t="n">
        <v>13.47826086956522</v>
      </c>
      <c r="M1092" t="n">
        <v>3</v>
      </c>
      <c r="N1092" t="n">
        <v>6.899999999999999</v>
      </c>
      <c r="O1092" t="n">
        <v>24.1</v>
      </c>
      <c r="P1092" t="n">
        <v>49.4959728246</v>
      </c>
      <c r="Q1092" t="n">
        <v>0.7774193548387098</v>
      </c>
      <c r="R1092" t="inlineStr">
        <is>
          <t>Sobrestock crítico</t>
        </is>
      </c>
    </row>
    <row r="1093">
      <c r="A1093" t="inlineStr">
        <is>
          <t>DOMBFCA43TXL</t>
        </is>
      </c>
      <c r="B1093" t="inlineStr">
        <is>
          <t>DOMINIC BIO MOVE CAB</t>
        </is>
      </c>
      <c r="C1093" t="inlineStr">
        <is>
          <t>Manufactura / Caballero / P. Superiores</t>
        </is>
      </c>
      <c r="D1093" t="n">
        <v>722.53926158</v>
      </c>
      <c r="E1093" t="n">
        <v>0.0001769011450473547</v>
      </c>
      <c r="F1093" t="n">
        <v>0.8846554166578322</v>
      </c>
      <c r="G1093" t="inlineStr">
        <is>
          <t>B</t>
        </is>
      </c>
      <c r="H1093" t="n">
        <v>15</v>
      </c>
      <c r="I1093" t="n">
        <v>13.86</v>
      </c>
      <c r="J1093" t="n">
        <v>207.9</v>
      </c>
      <c r="K1093" t="n">
        <v>1.7</v>
      </c>
      <c r="L1093" t="n">
        <v>8.823529411764707</v>
      </c>
      <c r="M1093" t="n">
        <v>3</v>
      </c>
      <c r="N1093" t="n">
        <v>5.1</v>
      </c>
      <c r="O1093" t="n">
        <v>9.9</v>
      </c>
      <c r="P1093" t="n">
        <v>137.214</v>
      </c>
      <c r="Q1093" t="n">
        <v>0.66</v>
      </c>
      <c r="R1093" t="inlineStr">
        <is>
          <t>Sobrestock crítico</t>
        </is>
      </c>
    </row>
    <row r="1094">
      <c r="A1094" t="inlineStr">
        <is>
          <t>SHOUNKI01T8</t>
        </is>
      </c>
      <c r="B1094" t="inlineStr">
        <is>
          <t>SHORT PLAYA KIDS</t>
        </is>
      </c>
      <c r="C1094" t="inlineStr">
        <is>
          <t>Manufactura / Kids / P. Inferiores</t>
        </is>
      </c>
      <c r="D1094" t="n">
        <v>720.79781329</v>
      </c>
      <c r="E1094" t="n">
        <v>0.0001764747817852835</v>
      </c>
      <c r="F1094" t="n">
        <v>0.8848318914396175</v>
      </c>
      <c r="G1094" t="inlineStr">
        <is>
          <t>B</t>
        </is>
      </c>
      <c r="H1094" t="n">
        <v>21</v>
      </c>
      <c r="I1094" t="n">
        <v>6.09</v>
      </c>
      <c r="J1094" t="n">
        <v>127.89</v>
      </c>
      <c r="K1094" t="n">
        <v>1.7</v>
      </c>
      <c r="L1094" t="n">
        <v>12.35294117647059</v>
      </c>
      <c r="M1094" t="n">
        <v>3</v>
      </c>
      <c r="N1094" t="n">
        <v>5.1</v>
      </c>
      <c r="O1094" t="n">
        <v>15.9</v>
      </c>
      <c r="P1094" t="n">
        <v>96.831</v>
      </c>
      <c r="Q1094" t="n">
        <v>0.7571428571428571</v>
      </c>
      <c r="R1094" t="inlineStr">
        <is>
          <t>Sobrestock crítico</t>
        </is>
      </c>
    </row>
    <row r="1095">
      <c r="A1095" t="inlineStr">
        <is>
          <t>RIOMICA12T2XL</t>
        </is>
      </c>
      <c r="B1095" t="inlineStr">
        <is>
          <t>RIO ORIGINAL CAB</t>
        </is>
      </c>
      <c r="C1095" t="inlineStr">
        <is>
          <t>Manufactura / Caballero / P. Superiores</t>
        </is>
      </c>
      <c r="D1095" t="n">
        <v>720.73827885</v>
      </c>
      <c r="E1095" t="n">
        <v>0.0001764602058152764</v>
      </c>
      <c r="F1095" t="n">
        <v>0.8850083516454328</v>
      </c>
      <c r="G1095" t="inlineStr">
        <is>
          <t>B</t>
        </is>
      </c>
      <c r="H1095" t="n">
        <v>0</v>
      </c>
      <c r="I1095" t="n">
        <v>5.939350288</v>
      </c>
      <c r="J1095" t="n">
        <v>0</v>
      </c>
      <c r="K1095" t="n">
        <v>1.4</v>
      </c>
      <c r="L1095" t="n">
        <v>0</v>
      </c>
      <c r="M1095" t="n">
        <v>3</v>
      </c>
      <c r="N1095" t="n">
        <v>4.199999999999999</v>
      </c>
      <c r="O1095" t="n">
        <v>0</v>
      </c>
      <c r="P1095" t="n">
        <v>0</v>
      </c>
      <c r="Q1095" t="n">
        <v>0</v>
      </c>
      <c r="R1095" t="inlineStr">
        <is>
          <t>Riesgo bajo stock</t>
        </is>
      </c>
    </row>
    <row r="1096">
      <c r="A1096" t="inlineStr">
        <is>
          <t>CLAMIKI66T2</t>
        </is>
      </c>
      <c r="B1096" t="inlineStr">
        <is>
          <t>CLASICA ORIGINAL KIDS</t>
        </is>
      </c>
      <c r="C1096" t="inlineStr">
        <is>
          <t>Manufactura / Kids / P. Superiores</t>
        </is>
      </c>
      <c r="D1096" t="n">
        <v>720.6880357699999</v>
      </c>
      <c r="E1096" t="n">
        <v>0.000176447904672826</v>
      </c>
      <c r="F1096" t="n">
        <v>0.8851847995501055</v>
      </c>
      <c r="G1096" t="inlineStr">
        <is>
          <t>B</t>
        </is>
      </c>
      <c r="H1096" t="n">
        <v>43</v>
      </c>
      <c r="I1096" t="n">
        <v>2.053774806</v>
      </c>
      <c r="J1096" t="n">
        <v>88.31231665799999</v>
      </c>
      <c r="K1096" t="n">
        <v>1.7</v>
      </c>
      <c r="L1096" t="n">
        <v>25.29411764705882</v>
      </c>
      <c r="M1096" t="n">
        <v>3</v>
      </c>
      <c r="N1096" t="n">
        <v>5.1</v>
      </c>
      <c r="O1096" t="n">
        <v>37.9</v>
      </c>
      <c r="P1096" t="n">
        <v>77.83806514739999</v>
      </c>
      <c r="Q1096" t="n">
        <v>0.8813953488372093</v>
      </c>
      <c r="R1096" t="inlineStr">
        <is>
          <t>Sobrestock crítico</t>
        </is>
      </c>
    </row>
    <row r="1097">
      <c r="A1097" t="inlineStr">
        <is>
          <t>CLAMICA30TL</t>
        </is>
      </c>
      <c r="B1097" t="inlineStr">
        <is>
          <t>CLASICA ORIGINAL CAB</t>
        </is>
      </c>
      <c r="C1097" t="inlineStr">
        <is>
          <t>Manufactura / Caballero / P. Superiores</t>
        </is>
      </c>
      <c r="D1097" t="n">
        <v>720.66779708</v>
      </c>
      <c r="E1097" t="n">
        <v>0.00017644294958232</v>
      </c>
      <c r="F1097" t="n">
        <v>0.8853612424996878</v>
      </c>
      <c r="G1097" t="inlineStr">
        <is>
          <t>B</t>
        </is>
      </c>
      <c r="H1097" t="n">
        <v>0</v>
      </c>
      <c r="I1097" t="n">
        <v>4.598442536</v>
      </c>
      <c r="J1097" t="n">
        <v>0</v>
      </c>
      <c r="K1097" t="n">
        <v>2.9</v>
      </c>
      <c r="L1097" t="n">
        <v>0</v>
      </c>
      <c r="M1097" t="n">
        <v>3</v>
      </c>
      <c r="N1097" t="n">
        <v>8.699999999999999</v>
      </c>
      <c r="O1097" t="n">
        <v>0</v>
      </c>
      <c r="P1097" t="n">
        <v>0</v>
      </c>
      <c r="Q1097" t="n">
        <v>0</v>
      </c>
      <c r="R1097" t="inlineStr">
        <is>
          <t>Riesgo bajo stock</t>
        </is>
      </c>
    </row>
    <row r="1098">
      <c r="A1098" t="inlineStr">
        <is>
          <t>SHOUNKI29T12</t>
        </is>
      </c>
      <c r="B1098" t="inlineStr">
        <is>
          <t>SHORT PLAYA KIDS</t>
        </is>
      </c>
      <c r="C1098" t="inlineStr">
        <is>
          <t>Manufactura / Kids / P. Inferiores</t>
        </is>
      </c>
      <c r="D1098" t="n">
        <v>719.61039723</v>
      </c>
      <c r="E1098" t="n">
        <v>0.0001761840636584895</v>
      </c>
      <c r="F1098" t="n">
        <v>0.8855374265633463</v>
      </c>
      <c r="G1098" t="inlineStr">
        <is>
          <t>B</t>
        </is>
      </c>
      <c r="H1098" t="n">
        <v>1</v>
      </c>
      <c r="I1098" t="n">
        <v>6.09</v>
      </c>
      <c r="J1098" t="n">
        <v>6.09</v>
      </c>
      <c r="K1098" t="n">
        <v>1.8</v>
      </c>
      <c r="L1098" t="n">
        <v>0.5555555555555556</v>
      </c>
      <c r="M1098" t="n">
        <v>3</v>
      </c>
      <c r="N1098" t="n">
        <v>5.4</v>
      </c>
      <c r="O1098" t="n">
        <v>0</v>
      </c>
      <c r="P1098" t="n">
        <v>0</v>
      </c>
      <c r="Q1098" t="n">
        <v>0</v>
      </c>
      <c r="R1098" t="inlineStr">
        <is>
          <t>Riesgo bajo stock</t>
        </is>
      </c>
    </row>
    <row r="1099">
      <c r="A1099" t="inlineStr">
        <is>
          <t>SHOSUKI156T6</t>
        </is>
      </c>
      <c r="B1099" t="inlineStr">
        <is>
          <t>SHORT PLAYA ESTAMPADO KIDS</t>
        </is>
      </c>
      <c r="C1099" t="inlineStr">
        <is>
          <t>Manufactura / Kids / P. Superiores</t>
        </is>
      </c>
      <c r="D1099" t="n">
        <v>717.91563164</v>
      </c>
      <c r="E1099" t="n">
        <v>0.0001757691298418797</v>
      </c>
      <c r="F1099" t="n">
        <v>0.8857131956931882</v>
      </c>
      <c r="G1099" t="inlineStr">
        <is>
          <t>B</t>
        </is>
      </c>
      <c r="H1099" t="n">
        <v>29</v>
      </c>
      <c r="I1099" t="n">
        <v>7.21</v>
      </c>
      <c r="J1099" t="n">
        <v>209.09</v>
      </c>
      <c r="K1099" t="n">
        <v>1.6</v>
      </c>
      <c r="L1099" t="n">
        <v>18.125</v>
      </c>
      <c r="M1099" t="n">
        <v>3</v>
      </c>
      <c r="N1099" t="n">
        <v>4.800000000000001</v>
      </c>
      <c r="O1099" t="n">
        <v>24.2</v>
      </c>
      <c r="P1099" t="n">
        <v>174.482</v>
      </c>
      <c r="Q1099" t="n">
        <v>0.8344827586206897</v>
      </c>
      <c r="R1099" t="inlineStr">
        <is>
          <t>Sobrestock crítico</t>
        </is>
      </c>
    </row>
    <row r="1100">
      <c r="A1100" t="inlineStr">
        <is>
          <t>HELBFDA16TXS</t>
        </is>
      </c>
      <c r="B1100" t="inlineStr">
        <is>
          <t>HELEN BIO MOVE DAMA</t>
        </is>
      </c>
      <c r="C1100" t="inlineStr">
        <is>
          <t>Manufactura / Dama / P. Superiores</t>
        </is>
      </c>
      <c r="D1100" t="n">
        <v>716.12980741</v>
      </c>
      <c r="E1100" t="n">
        <v>0.0001753319019043286</v>
      </c>
      <c r="F1100" t="n">
        <v>0.8858885275950926</v>
      </c>
      <c r="G1100" t="inlineStr">
        <is>
          <t>B</t>
        </is>
      </c>
      <c r="H1100" t="n">
        <v>102</v>
      </c>
      <c r="I1100" t="n">
        <v>7.340817460000001</v>
      </c>
      <c r="J1100" t="n">
        <v>748.7633809200001</v>
      </c>
      <c r="K1100" t="n">
        <v>1.3</v>
      </c>
      <c r="L1100" t="n">
        <v>78.46153846153845</v>
      </c>
      <c r="M1100" t="n">
        <v>3</v>
      </c>
      <c r="N1100" t="n">
        <v>3.9</v>
      </c>
      <c r="O1100" t="n">
        <v>98.09999999999999</v>
      </c>
      <c r="P1100" t="n">
        <v>720.1341928260001</v>
      </c>
      <c r="Q1100" t="n">
        <v>0.961764705882353</v>
      </c>
      <c r="R1100" t="inlineStr">
        <is>
          <t>Sobrestock crítico</t>
        </is>
      </c>
    </row>
    <row r="1101">
      <c r="A1101" t="inlineStr">
        <is>
          <t>CLAMICA04TL</t>
        </is>
      </c>
      <c r="B1101" t="inlineStr">
        <is>
          <t>CLASICA ORIGINAL CAB</t>
        </is>
      </c>
      <c r="C1101" t="inlineStr">
        <is>
          <t>Manufactura / Caballero / P. Superiores</t>
        </is>
      </c>
      <c r="D1101" t="n">
        <v>715.99447608</v>
      </c>
      <c r="E1101" t="n">
        <v>0.0001752987683868704</v>
      </c>
      <c r="F1101" t="n">
        <v>0.8860638263634795</v>
      </c>
      <c r="G1101" t="inlineStr">
        <is>
          <t>B</t>
        </is>
      </c>
      <c r="H1101" t="n">
        <v>23</v>
      </c>
      <c r="I1101" t="n">
        <v>4.598442536</v>
      </c>
      <c r="J1101" t="n">
        <v>105.764178328</v>
      </c>
      <c r="K1101" t="n">
        <v>2</v>
      </c>
      <c r="L1101" t="n">
        <v>11.5</v>
      </c>
      <c r="M1101" t="n">
        <v>3</v>
      </c>
      <c r="N1101" t="n">
        <v>6</v>
      </c>
      <c r="O1101" t="n">
        <v>17</v>
      </c>
      <c r="P1101" t="n">
        <v>78.173523112</v>
      </c>
      <c r="Q1101" t="n">
        <v>0.7391304347826085</v>
      </c>
      <c r="R1101" t="inlineStr">
        <is>
          <t>Sobrestock crítico</t>
        </is>
      </c>
    </row>
    <row r="1102">
      <c r="A1102" t="inlineStr">
        <is>
          <t>ZOEMIDA43TL</t>
        </is>
      </c>
      <c r="B1102" t="inlineStr">
        <is>
          <t>ZOE ORIGINAL DAMA</t>
        </is>
      </c>
      <c r="C1102" t="inlineStr">
        <is>
          <t>Manufactura / Dama / P. Superiores</t>
        </is>
      </c>
      <c r="D1102" t="n">
        <v>714.97515358</v>
      </c>
      <c r="E1102" t="n">
        <v>0.0001750492050385366</v>
      </c>
      <c r="F1102" t="n">
        <v>0.886238875568518</v>
      </c>
      <c r="G1102" t="inlineStr">
        <is>
          <t>B</t>
        </is>
      </c>
      <c r="H1102" t="n">
        <v>4</v>
      </c>
      <c r="I1102" t="n">
        <v>4.116585696</v>
      </c>
      <c r="J1102" t="n">
        <v>16.466342784</v>
      </c>
      <c r="K1102" t="n">
        <v>1.9</v>
      </c>
      <c r="L1102" t="n">
        <v>2.105263157894737</v>
      </c>
      <c r="M1102" t="n">
        <v>3</v>
      </c>
      <c r="N1102" t="n">
        <v>5.699999999999999</v>
      </c>
      <c r="O1102" t="n">
        <v>0</v>
      </c>
      <c r="P1102" t="n">
        <v>0</v>
      </c>
      <c r="Q1102" t="n">
        <v>0</v>
      </c>
      <c r="R1102" t="inlineStr">
        <is>
          <t>OK</t>
        </is>
      </c>
    </row>
    <row r="1103">
      <c r="A1103" t="inlineStr">
        <is>
          <t>SARSPKI12T12</t>
        </is>
      </c>
      <c r="B1103" t="inlineStr">
        <is>
          <t>FALDA SARA KIDS</t>
        </is>
      </c>
      <c r="C1103" t="inlineStr">
        <is>
          <t>Manufactura / Kids / P. Inferiores</t>
        </is>
      </c>
      <c r="D1103" t="n">
        <v>714.21235088</v>
      </c>
      <c r="E1103" t="n">
        <v>0.0001748624460923444</v>
      </c>
      <c r="F1103" t="n">
        <v>0.8864137380146103</v>
      </c>
      <c r="G1103" t="inlineStr">
        <is>
          <t>B</t>
        </is>
      </c>
      <c r="H1103" t="n">
        <v>17</v>
      </c>
      <c r="I1103" t="n">
        <v>5.753743316</v>
      </c>
      <c r="J1103" t="n">
        <v>97.813636372</v>
      </c>
      <c r="K1103" t="n">
        <v>1.6</v>
      </c>
      <c r="L1103" t="n">
        <v>10.625</v>
      </c>
      <c r="M1103" t="n">
        <v>3</v>
      </c>
      <c r="N1103" t="n">
        <v>4.800000000000001</v>
      </c>
      <c r="O1103" t="n">
        <v>12.2</v>
      </c>
      <c r="P1103" t="n">
        <v>70.19566845520001</v>
      </c>
      <c r="Q1103" t="n">
        <v>0.7176470588235294</v>
      </c>
      <c r="R1103" t="inlineStr">
        <is>
          <t>Sobrestock crítico</t>
        </is>
      </c>
    </row>
    <row r="1104">
      <c r="A1104" t="inlineStr">
        <is>
          <t>SHOSUKI153T2</t>
        </is>
      </c>
      <c r="B1104" t="inlineStr">
        <is>
          <t>SHORT PLAYA ESTAMPADO KIDS</t>
        </is>
      </c>
      <c r="C1104" t="inlineStr">
        <is>
          <t>Manufactura / Kids / P. Superiores</t>
        </is>
      </c>
      <c r="D1104" t="n">
        <v>713.8919952</v>
      </c>
      <c r="E1104" t="n">
        <v>0.0001747840125875816</v>
      </c>
      <c r="F1104" t="n">
        <v>0.886588522027198</v>
      </c>
      <c r="G1104" t="inlineStr">
        <is>
          <t>B</t>
        </is>
      </c>
      <c r="H1104" t="n">
        <v>6</v>
      </c>
      <c r="I1104" t="n">
        <v>7.210000000000001</v>
      </c>
      <c r="J1104" t="n">
        <v>43.26000000000001</v>
      </c>
      <c r="K1104" t="n">
        <v>1.7</v>
      </c>
      <c r="L1104" t="n">
        <v>3.529411764705882</v>
      </c>
      <c r="M1104" t="n">
        <v>3</v>
      </c>
      <c r="N1104" t="n">
        <v>5.1</v>
      </c>
      <c r="O1104" t="n">
        <v>0.9000000000000004</v>
      </c>
      <c r="P1104" t="n">
        <v>6.489000000000003</v>
      </c>
      <c r="Q1104" t="n">
        <v>0.15</v>
      </c>
      <c r="R1104" t="inlineStr">
        <is>
          <t>Sobrestock</t>
        </is>
      </c>
    </row>
    <row r="1105">
      <c r="A1105" t="inlineStr">
        <is>
          <t>JACDA33TM</t>
        </is>
      </c>
      <c r="B1105" t="inlineStr">
        <is>
          <t>JACKET DAMA</t>
        </is>
      </c>
      <c r="C1105" t="inlineStr">
        <is>
          <t>Equipamiento / Ropa</t>
        </is>
      </c>
      <c r="D1105" t="n">
        <v>712.64414484</v>
      </c>
      <c r="E1105" t="n">
        <v>0.0001744784981757432</v>
      </c>
      <c r="F1105" t="n">
        <v>0.8867630005253736</v>
      </c>
      <c r="G1105" t="inlineStr">
        <is>
          <t>B</t>
        </is>
      </c>
      <c r="H1105" t="n">
        <v>0</v>
      </c>
      <c r="I1105" t="n">
        <v>20.25</v>
      </c>
      <c r="J1105" t="n">
        <v>0</v>
      </c>
      <c r="K1105" t="n">
        <v>1.1</v>
      </c>
      <c r="L1105" t="n">
        <v>0</v>
      </c>
      <c r="M1105" t="n">
        <v>3</v>
      </c>
      <c r="N1105" t="n">
        <v>3.3</v>
      </c>
      <c r="O1105" t="n">
        <v>0</v>
      </c>
      <c r="P1105" t="n">
        <v>0</v>
      </c>
      <c r="Q1105" t="n">
        <v>0</v>
      </c>
      <c r="R1105" t="inlineStr">
        <is>
          <t>Sin rotación</t>
        </is>
      </c>
    </row>
    <row r="1106">
      <c r="A1106" t="inlineStr">
        <is>
          <t>ZOEMIDA43TXS</t>
        </is>
      </c>
      <c r="B1106" t="inlineStr">
        <is>
          <t>ZOE ORIGINAL DAMA</t>
        </is>
      </c>
      <c r="C1106" t="inlineStr">
        <is>
          <t>Manufactura / Dama / P. Superiores</t>
        </is>
      </c>
      <c r="D1106" t="n">
        <v>712.0074505499999</v>
      </c>
      <c r="E1106" t="n">
        <v>0.0001743226146757936</v>
      </c>
      <c r="F1106" t="n">
        <v>0.8869373231400495</v>
      </c>
      <c r="G1106" t="inlineStr">
        <is>
          <t>B</t>
        </is>
      </c>
      <c r="H1106" t="n">
        <v>15</v>
      </c>
      <c r="I1106" t="n">
        <v>4.116585696</v>
      </c>
      <c r="J1106" t="n">
        <v>61.74878543999999</v>
      </c>
      <c r="K1106" t="n">
        <v>2.8</v>
      </c>
      <c r="L1106" t="n">
        <v>5.357142857142858</v>
      </c>
      <c r="M1106" t="n">
        <v>3</v>
      </c>
      <c r="N1106" t="n">
        <v>8.399999999999999</v>
      </c>
      <c r="O1106" t="n">
        <v>6.600000000000001</v>
      </c>
      <c r="P1106" t="n">
        <v>27.1694655936</v>
      </c>
      <c r="Q1106" t="n">
        <v>0.4400000000000001</v>
      </c>
      <c r="R1106" t="inlineStr">
        <is>
          <t>Sobrestock crítico</t>
        </is>
      </c>
    </row>
    <row r="1107">
      <c r="A1107" t="inlineStr">
        <is>
          <t>ADUMMCA30TL</t>
        </is>
      </c>
      <c r="B1107" t="inlineStr">
        <is>
          <t>ACTIVE DUO CAB</t>
        </is>
      </c>
      <c r="C1107" t="inlineStr">
        <is>
          <t>Manufactura / Caballero / P. Superiores</t>
        </is>
      </c>
      <c r="D1107" t="n">
        <v>711.63233645</v>
      </c>
      <c r="E1107" t="n">
        <v>0.0001742307745262793</v>
      </c>
      <c r="F1107" t="n">
        <v>0.8871115539145759</v>
      </c>
      <c r="G1107" t="inlineStr">
        <is>
          <t>B</t>
        </is>
      </c>
      <c r="H1107" t="n">
        <v>3</v>
      </c>
      <c r="I1107" t="n">
        <v>5.09</v>
      </c>
      <c r="J1107" t="n">
        <v>15.27</v>
      </c>
      <c r="K1107" t="n">
        <v>2.3</v>
      </c>
      <c r="L1107" t="n">
        <v>1.304347826086957</v>
      </c>
      <c r="M1107" t="n">
        <v>3</v>
      </c>
      <c r="N1107" t="n">
        <v>6.899999999999999</v>
      </c>
      <c r="O1107" t="n">
        <v>0</v>
      </c>
      <c r="P1107" t="n">
        <v>0</v>
      </c>
      <c r="Q1107" t="n">
        <v>0</v>
      </c>
      <c r="R1107" t="inlineStr">
        <is>
          <t>OK</t>
        </is>
      </c>
    </row>
    <row r="1108">
      <c r="A1108" t="inlineStr">
        <is>
          <t>BASCCDA43TXL</t>
        </is>
      </c>
      <c r="B1108" t="inlineStr">
        <is>
          <t>BASIC LINE SHORT DAMA</t>
        </is>
      </c>
      <c r="C1108" t="inlineStr">
        <is>
          <t>Manufactura / Dama / P. Inferiores</t>
        </is>
      </c>
      <c r="D1108" t="n">
        <v>711.51716786</v>
      </c>
      <c r="E1108" t="n">
        <v>0.0001742025775042934</v>
      </c>
      <c r="F1108" t="n">
        <v>0.8872857564920801</v>
      </c>
      <c r="G1108" t="inlineStr">
        <is>
          <t>B</t>
        </is>
      </c>
      <c r="H1108" t="n">
        <v>56</v>
      </c>
      <c r="I1108" t="n">
        <v>6.01</v>
      </c>
      <c r="J1108" t="n">
        <v>336.56</v>
      </c>
      <c r="K1108" t="n">
        <v>1.5</v>
      </c>
      <c r="L1108" t="n">
        <v>37.33333333333334</v>
      </c>
      <c r="M1108" t="n">
        <v>3</v>
      </c>
      <c r="N1108" t="n">
        <v>4.5</v>
      </c>
      <c r="O1108" t="n">
        <v>51.5</v>
      </c>
      <c r="P1108" t="n">
        <v>309.515</v>
      </c>
      <c r="Q1108" t="n">
        <v>0.9196428571428571</v>
      </c>
      <c r="R1108" t="inlineStr">
        <is>
          <t>Sobrestock crítico</t>
        </is>
      </c>
    </row>
    <row r="1109">
      <c r="A1109" t="inlineStr">
        <is>
          <t>ADUMMCA30TM</t>
        </is>
      </c>
      <c r="B1109" t="inlineStr">
        <is>
          <t>ACTIVE DUO CAB</t>
        </is>
      </c>
      <c r="C1109" t="inlineStr">
        <is>
          <t>Manufactura / Caballero / P. Superiores</t>
        </is>
      </c>
      <c r="D1109" t="n">
        <v>710.4301030199999</v>
      </c>
      <c r="E1109" t="n">
        <v>0.0001739364286246931</v>
      </c>
      <c r="F1109" t="n">
        <v>0.8874596929207047</v>
      </c>
      <c r="G1109" t="inlineStr">
        <is>
          <t>B</t>
        </is>
      </c>
      <c r="H1109" t="n">
        <v>1</v>
      </c>
      <c r="I1109" t="n">
        <v>5.09</v>
      </c>
      <c r="J1109" t="n">
        <v>5.09</v>
      </c>
      <c r="K1109" t="n">
        <v>2</v>
      </c>
      <c r="L1109" t="n">
        <v>0.5</v>
      </c>
      <c r="M1109" t="n">
        <v>3</v>
      </c>
      <c r="N1109" t="n">
        <v>6</v>
      </c>
      <c r="O1109" t="n">
        <v>0</v>
      </c>
      <c r="P1109" t="n">
        <v>0</v>
      </c>
      <c r="Q1109" t="n">
        <v>0</v>
      </c>
      <c r="R1109" t="inlineStr">
        <is>
          <t>Riesgo bajo stock</t>
        </is>
      </c>
    </row>
    <row r="1110">
      <c r="A1110" t="inlineStr">
        <is>
          <t>MIKFNDA13TM</t>
        </is>
      </c>
      <c r="B1110" t="inlineStr">
        <is>
          <t>MIKA SPORT LITE DAMA</t>
        </is>
      </c>
      <c r="C1110" t="inlineStr">
        <is>
          <t>Manufactura / Dama / P. Superiores</t>
        </is>
      </c>
      <c r="D1110" t="n">
        <v>710.15450335</v>
      </c>
      <c r="E1110" t="n">
        <v>0.0001738689528489255</v>
      </c>
      <c r="F1110" t="n">
        <v>0.8876335618735536</v>
      </c>
      <c r="G1110" t="inlineStr">
        <is>
          <t>B</t>
        </is>
      </c>
      <c r="H1110" t="n">
        <v>32</v>
      </c>
      <c r="I1110" t="n">
        <v>5.484675344</v>
      </c>
      <c r="J1110" t="n">
        <v>175.509611008</v>
      </c>
      <c r="K1110" t="n">
        <v>2.2</v>
      </c>
      <c r="L1110" t="n">
        <v>14.54545454545454</v>
      </c>
      <c r="M1110" t="n">
        <v>3</v>
      </c>
      <c r="N1110" t="n">
        <v>6.600000000000001</v>
      </c>
      <c r="O1110" t="n">
        <v>25.4</v>
      </c>
      <c r="P1110" t="n">
        <v>139.3107537376</v>
      </c>
      <c r="Q1110" t="n">
        <v>0.7937500000000001</v>
      </c>
      <c r="R1110" t="inlineStr">
        <is>
          <t>Sobrestock crítico</t>
        </is>
      </c>
    </row>
    <row r="1111">
      <c r="A1111" t="inlineStr">
        <is>
          <t>RIOMIKI66T8</t>
        </is>
      </c>
      <c r="B1111" t="inlineStr">
        <is>
          <t>RIO ORIGINAL KIDS</t>
        </is>
      </c>
      <c r="C1111" t="inlineStr">
        <is>
          <t>Manufactura / Kids / P. Superiores</t>
        </is>
      </c>
      <c r="D1111" t="n">
        <v>708.09360521</v>
      </c>
      <c r="E1111" t="n">
        <v>0.0001733643778587793</v>
      </c>
      <c r="F1111" t="n">
        <v>0.8878069262514124</v>
      </c>
      <c r="G1111" t="inlineStr">
        <is>
          <t>B</t>
        </is>
      </c>
      <c r="H1111" t="n">
        <v>20</v>
      </c>
      <c r="I1111" t="n">
        <v>3.617969464</v>
      </c>
      <c r="J1111" t="n">
        <v>72.35938928</v>
      </c>
      <c r="K1111" t="n">
        <v>1.6</v>
      </c>
      <c r="L1111" t="n">
        <v>12.5</v>
      </c>
      <c r="M1111" t="n">
        <v>3</v>
      </c>
      <c r="N1111" t="n">
        <v>4.800000000000001</v>
      </c>
      <c r="O1111" t="n">
        <v>15.2</v>
      </c>
      <c r="P1111" t="n">
        <v>54.9931358528</v>
      </c>
      <c r="Q1111" t="n">
        <v>0.76</v>
      </c>
      <c r="R1111" t="inlineStr">
        <is>
          <t>Sobrestock crítico</t>
        </is>
      </c>
    </row>
    <row r="1112">
      <c r="A1112" t="inlineStr">
        <is>
          <t>ZOEMIDA12TS</t>
        </is>
      </c>
      <c r="B1112" t="inlineStr">
        <is>
          <t>ZOE ORIGINAL DAMA</t>
        </is>
      </c>
      <c r="C1112" t="inlineStr">
        <is>
          <t>Manufactura / Dama / P. Superiores</t>
        </is>
      </c>
      <c r="D1112" t="n">
        <v>707.75966479</v>
      </c>
      <c r="E1112" t="n">
        <v>0.0001732826183671962</v>
      </c>
      <c r="F1112" t="n">
        <v>0.8879802088697796</v>
      </c>
      <c r="G1112" t="inlineStr">
        <is>
          <t>B</t>
        </is>
      </c>
      <c r="H1112" t="n">
        <v>1</v>
      </c>
      <c r="I1112" t="n">
        <v>4.116585696</v>
      </c>
      <c r="J1112" t="n">
        <v>4.116585696</v>
      </c>
      <c r="K1112" t="n">
        <v>1.8</v>
      </c>
      <c r="L1112" t="n">
        <v>0.5555555555555556</v>
      </c>
      <c r="M1112" t="n">
        <v>3</v>
      </c>
      <c r="N1112" t="n">
        <v>5.4</v>
      </c>
      <c r="O1112" t="n">
        <v>0</v>
      </c>
      <c r="P1112" t="n">
        <v>0</v>
      </c>
      <c r="Q1112" t="n">
        <v>0</v>
      </c>
      <c r="R1112" t="inlineStr">
        <is>
          <t>Riesgo bajo stock</t>
        </is>
      </c>
    </row>
    <row r="1113">
      <c r="A1113" t="inlineStr">
        <is>
          <t>PANNTKI43T4</t>
        </is>
      </c>
      <c r="B1113" t="inlineStr">
        <is>
          <t>EXPLORE PANTS KIDS</t>
        </is>
      </c>
      <c r="C1113" t="inlineStr">
        <is>
          <t>Manufactura / Kids / P. Inferiores</t>
        </is>
      </c>
      <c r="D1113" t="n">
        <v>706.25453942</v>
      </c>
      <c r="E1113" t="n">
        <v>0.0001729141146532104</v>
      </c>
      <c r="F1113" t="n">
        <v>0.8881531229844328</v>
      </c>
      <c r="G1113" t="inlineStr">
        <is>
          <t>B</t>
        </is>
      </c>
      <c r="H1113" t="n">
        <v>14</v>
      </c>
      <c r="I1113" t="n">
        <v>13.98</v>
      </c>
      <c r="J1113" t="n">
        <v>195.72</v>
      </c>
      <c r="K1113" t="n">
        <v>1.4</v>
      </c>
      <c r="L1113" t="n">
        <v>10</v>
      </c>
      <c r="M1113" t="n">
        <v>3</v>
      </c>
      <c r="N1113" t="n">
        <v>4.199999999999999</v>
      </c>
      <c r="O1113" t="n">
        <v>9.800000000000001</v>
      </c>
      <c r="P1113" t="n">
        <v>137.004</v>
      </c>
      <c r="Q1113" t="n">
        <v>0.7000000000000001</v>
      </c>
      <c r="R1113" t="inlineStr">
        <is>
          <t>Sobrestock crítico</t>
        </is>
      </c>
    </row>
    <row r="1114">
      <c r="A1114" t="inlineStr">
        <is>
          <t>LMOFIDA12TL</t>
        </is>
      </c>
      <c r="B1114" t="inlineStr">
        <is>
          <t>LEGGING MOVA</t>
        </is>
      </c>
      <c r="C1114" t="inlineStr">
        <is>
          <t>Manufactura / Dama / P. Inferiores</t>
        </is>
      </c>
      <c r="D1114" t="n">
        <v>705.73306522</v>
      </c>
      <c r="E1114" t="n">
        <v>0.0001727864407841241</v>
      </c>
      <c r="F1114" t="n">
        <v>0.8883259094252171</v>
      </c>
      <c r="G1114" t="inlineStr">
        <is>
          <t>B</t>
        </is>
      </c>
      <c r="H1114" t="n">
        <v>4</v>
      </c>
      <c r="I1114" t="n">
        <v>17.7</v>
      </c>
      <c r="J1114" t="n">
        <v>70.8</v>
      </c>
      <c r="K1114" t="n">
        <v>1.2</v>
      </c>
      <c r="L1114" t="n">
        <v>3.333333333333333</v>
      </c>
      <c r="M1114" t="n">
        <v>3</v>
      </c>
      <c r="N1114" t="n">
        <v>3.6</v>
      </c>
      <c r="O1114" t="n">
        <v>0.4000000000000004</v>
      </c>
      <c r="P1114" t="n">
        <v>7.080000000000006</v>
      </c>
      <c r="Q1114" t="n">
        <v>0.1000000000000001</v>
      </c>
      <c r="R1114" t="inlineStr">
        <is>
          <t>Sobrestock</t>
        </is>
      </c>
    </row>
    <row r="1115">
      <c r="A1115" t="inlineStr">
        <is>
          <t>MAFMIDA48TM</t>
        </is>
      </c>
      <c r="B1115" t="inlineStr">
        <is>
          <t>MAFE ORIGINAL DAMA</t>
        </is>
      </c>
      <c r="C1115" t="inlineStr">
        <is>
          <t>Manufactura / Dama / P. Superiores</t>
        </is>
      </c>
      <c r="D1115" t="n">
        <v>705.6467692799999</v>
      </c>
      <c r="E1115" t="n">
        <v>0.0001727653127272687</v>
      </c>
      <c r="F1115" t="n">
        <v>0.8884986747379442</v>
      </c>
      <c r="G1115" t="inlineStr">
        <is>
          <t>B</t>
        </is>
      </c>
      <c r="H1115" t="n">
        <v>28</v>
      </c>
      <c r="I1115" t="n">
        <v>4.54817671</v>
      </c>
      <c r="J1115" t="n">
        <v>127.34894788</v>
      </c>
      <c r="K1115" t="n">
        <v>2.2</v>
      </c>
      <c r="L1115" t="n">
        <v>12.72727272727273</v>
      </c>
      <c r="M1115" t="n">
        <v>3</v>
      </c>
      <c r="N1115" t="n">
        <v>6.600000000000001</v>
      </c>
      <c r="O1115" t="n">
        <v>21.4</v>
      </c>
      <c r="P1115" t="n">
        <v>97.33098159399999</v>
      </c>
      <c r="Q1115" t="n">
        <v>0.7642857142857142</v>
      </c>
      <c r="R1115" t="inlineStr">
        <is>
          <t>Sobrestock crítico</t>
        </is>
      </c>
    </row>
    <row r="1116">
      <c r="A1116" t="inlineStr">
        <is>
          <t>MARMIDA13TXL</t>
        </is>
      </c>
      <c r="B1116" t="inlineStr">
        <is>
          <t>MAR ORIGINAL DAMA</t>
        </is>
      </c>
      <c r="C1116" t="inlineStr">
        <is>
          <t>Manufactura / Dama / P. Superiores</t>
        </is>
      </c>
      <c r="D1116" t="n">
        <v>704.8227989100001</v>
      </c>
      <c r="E1116" t="n">
        <v>0.0001725635779431694</v>
      </c>
      <c r="F1116" t="n">
        <v>0.8886712383158873</v>
      </c>
      <c r="G1116" t="inlineStr">
        <is>
          <t>B</t>
        </is>
      </c>
      <c r="H1116" t="n">
        <v>45</v>
      </c>
      <c r="I1116" t="n">
        <v>4.278324149</v>
      </c>
      <c r="J1116" t="n">
        <v>192.524586705</v>
      </c>
      <c r="K1116" t="n">
        <v>1.7</v>
      </c>
      <c r="L1116" t="n">
        <v>26.47058823529412</v>
      </c>
      <c r="M1116" t="n">
        <v>3</v>
      </c>
      <c r="N1116" t="n">
        <v>5.1</v>
      </c>
      <c r="O1116" t="n">
        <v>39.9</v>
      </c>
      <c r="P1116" t="n">
        <v>170.7051335451</v>
      </c>
      <c r="Q1116" t="n">
        <v>0.8866666666666666</v>
      </c>
      <c r="R1116" t="inlineStr">
        <is>
          <t>Sobrestock crítico</t>
        </is>
      </c>
    </row>
    <row r="1117">
      <c r="A1117" t="inlineStr">
        <is>
          <t>CLAMIKI16T12</t>
        </is>
      </c>
      <c r="B1117" t="inlineStr">
        <is>
          <t>CLASICA ORIGINAL KIDS</t>
        </is>
      </c>
      <c r="C1117" t="inlineStr">
        <is>
          <t>Manufactura / Kids / P. Superiores</t>
        </is>
      </c>
      <c r="D1117" t="n">
        <v>704.2212629110051</v>
      </c>
      <c r="E1117" t="n">
        <v>0.0001724163023379978</v>
      </c>
      <c r="F1117" t="n">
        <v>0.8888436546182253</v>
      </c>
      <c r="G1117" t="inlineStr">
        <is>
          <t>B</t>
        </is>
      </c>
      <c r="H1117" t="n">
        <v>43</v>
      </c>
      <c r="I1117" t="n">
        <v>2.053774806</v>
      </c>
      <c r="J1117" t="n">
        <v>88.31231665799999</v>
      </c>
      <c r="K1117" t="n">
        <v>2.3</v>
      </c>
      <c r="L1117" t="n">
        <v>18.69565217391305</v>
      </c>
      <c r="M1117" t="n">
        <v>3</v>
      </c>
      <c r="N1117" t="n">
        <v>6.899999999999999</v>
      </c>
      <c r="O1117" t="n">
        <v>36.1</v>
      </c>
      <c r="P1117" t="n">
        <v>74.1412704966</v>
      </c>
      <c r="Q1117" t="n">
        <v>0.8395348837209303</v>
      </c>
      <c r="R1117" t="inlineStr">
        <is>
          <t>Sobrestock crítico</t>
        </is>
      </c>
    </row>
    <row r="1118">
      <c r="A1118" t="inlineStr">
        <is>
          <t>JAPKI01T4</t>
        </is>
      </c>
      <c r="B1118" t="inlineStr">
        <is>
          <t>CUADRO JACKET 2.0 KIDS</t>
        </is>
      </c>
      <c r="C1118" t="inlineStr">
        <is>
          <t>Equipamiento / Ropa</t>
        </is>
      </c>
      <c r="D1118" t="n">
        <v>704.00890743</v>
      </c>
      <c r="E1118" t="n">
        <v>0.0001723643107996215</v>
      </c>
      <c r="F1118" t="n">
        <v>0.889016018929025</v>
      </c>
      <c r="G1118" t="inlineStr">
        <is>
          <t>B</t>
        </is>
      </c>
      <c r="H1118" t="n">
        <v>31</v>
      </c>
      <c r="I1118" t="n">
        <v>15.17</v>
      </c>
      <c r="J1118" t="n">
        <v>470.27</v>
      </c>
      <c r="K1118" t="n">
        <v>1.2</v>
      </c>
      <c r="L1118" t="n">
        <v>25.83333333333334</v>
      </c>
      <c r="M1118" t="n">
        <v>3</v>
      </c>
      <c r="N1118" t="n">
        <v>3.6</v>
      </c>
      <c r="O1118" t="n">
        <v>27.4</v>
      </c>
      <c r="P1118" t="n">
        <v>415.658</v>
      </c>
      <c r="Q1118" t="n">
        <v>0.8838709677419354</v>
      </c>
      <c r="R1118" t="inlineStr">
        <is>
          <t>Sobrestock crítico</t>
        </is>
      </c>
    </row>
    <row r="1119">
      <c r="A1119" t="inlineStr">
        <is>
          <t>RIOMIKI66T14</t>
        </is>
      </c>
      <c r="B1119" t="inlineStr">
        <is>
          <t>RIO ORIGINAL KIDS</t>
        </is>
      </c>
      <c r="C1119" t="inlineStr">
        <is>
          <t>Manufactura / Kids / P. Superiores</t>
        </is>
      </c>
      <c r="D1119" t="n">
        <v>703.91512693</v>
      </c>
      <c r="E1119" t="n">
        <v>0.0001723413502786986</v>
      </c>
      <c r="F1119" t="n">
        <v>0.8891883602793037</v>
      </c>
      <c r="G1119" t="inlineStr">
        <is>
          <t>B</t>
        </is>
      </c>
      <c r="H1119" t="n">
        <v>37</v>
      </c>
      <c r="I1119" t="n">
        <v>3.617969464</v>
      </c>
      <c r="J1119" t="n">
        <v>133.864870168</v>
      </c>
      <c r="K1119" t="n">
        <v>1.8</v>
      </c>
      <c r="L1119" t="n">
        <v>20.55555555555555</v>
      </c>
      <c r="M1119" t="n">
        <v>3</v>
      </c>
      <c r="N1119" t="n">
        <v>5.4</v>
      </c>
      <c r="O1119" t="n">
        <v>31.6</v>
      </c>
      <c r="P1119" t="n">
        <v>114.3278350624</v>
      </c>
      <c r="Q1119" t="n">
        <v>0.8540540540540541</v>
      </c>
      <c r="R1119" t="inlineStr">
        <is>
          <t>Sobrestock crítico</t>
        </is>
      </c>
    </row>
    <row r="1120">
      <c r="A1120" t="inlineStr">
        <is>
          <t>RIOMIDA13TXS</t>
        </is>
      </c>
      <c r="B1120" t="inlineStr">
        <is>
          <t>RIO ORIGINAL DAMA</t>
        </is>
      </c>
      <c r="C1120" t="inlineStr">
        <is>
          <t>Manufactura / Dama / P. Superiores</t>
        </is>
      </c>
      <c r="D1120" t="n">
        <v>702.89854347</v>
      </c>
      <c r="E1120" t="n">
        <v>0.00017209245753657</v>
      </c>
      <c r="F1120" t="n">
        <v>0.8893604527368403</v>
      </c>
      <c r="G1120" t="inlineStr">
        <is>
          <t>B</t>
        </is>
      </c>
      <c r="H1120" t="n">
        <v>2</v>
      </c>
      <c r="I1120" t="n">
        <v>5.538832275</v>
      </c>
      <c r="J1120" t="n">
        <v>11.07766455</v>
      </c>
      <c r="K1120" t="n">
        <v>1.3</v>
      </c>
      <c r="L1120" t="n">
        <v>1.538461538461538</v>
      </c>
      <c r="M1120" t="n">
        <v>3</v>
      </c>
      <c r="N1120" t="n">
        <v>3.9</v>
      </c>
      <c r="O1120" t="n">
        <v>0</v>
      </c>
      <c r="P1120" t="n">
        <v>0</v>
      </c>
      <c r="Q1120" t="n">
        <v>0</v>
      </c>
      <c r="R1120" t="inlineStr">
        <is>
          <t>OK</t>
        </is>
      </c>
    </row>
    <row r="1121">
      <c r="A1121" t="inlineStr">
        <is>
          <t>CLAMEDA30TL</t>
        </is>
      </c>
      <c r="B1121" t="inlineStr">
        <is>
          <t>CLÁSICA SPORT DAMA</t>
        </is>
      </c>
      <c r="C1121" t="inlineStr">
        <is>
          <t>Manufactura / Dama / P. Superiores</t>
        </is>
      </c>
      <c r="D1121" t="n">
        <v>702.12196589</v>
      </c>
      <c r="E1121" t="n">
        <v>0.0001719023260510924</v>
      </c>
      <c r="F1121" t="n">
        <v>0.8895323550628914</v>
      </c>
      <c r="G1121" t="inlineStr">
        <is>
          <t>B</t>
        </is>
      </c>
      <c r="H1121" t="n">
        <v>2</v>
      </c>
      <c r="I1121" t="n">
        <v>6.536105769</v>
      </c>
      <c r="J1121" t="n">
        <v>13.072211538</v>
      </c>
      <c r="K1121" t="n">
        <v>1.6</v>
      </c>
      <c r="L1121" t="n">
        <v>1.25</v>
      </c>
      <c r="M1121" t="n">
        <v>3</v>
      </c>
      <c r="N1121" t="n">
        <v>4.800000000000001</v>
      </c>
      <c r="O1121" t="n">
        <v>0</v>
      </c>
      <c r="P1121" t="n">
        <v>0</v>
      </c>
      <c r="Q1121" t="n">
        <v>0</v>
      </c>
      <c r="R1121" t="inlineStr">
        <is>
          <t>OK</t>
        </is>
      </c>
    </row>
    <row r="1122">
      <c r="A1122" t="inlineStr">
        <is>
          <t>PANNTKI43T8</t>
        </is>
      </c>
      <c r="B1122" t="inlineStr">
        <is>
          <t>EXPLORE PANTS KIDS</t>
        </is>
      </c>
      <c r="C1122" t="inlineStr">
        <is>
          <t>Manufactura / Kids / P. Inferiores</t>
        </is>
      </c>
      <c r="D1122" t="n">
        <v>697.18947553</v>
      </c>
      <c r="E1122" t="n">
        <v>0.0001706946917549145</v>
      </c>
      <c r="F1122" t="n">
        <v>0.8897030497546462</v>
      </c>
      <c r="G1122" t="inlineStr">
        <is>
          <t>B</t>
        </is>
      </c>
      <c r="H1122" t="n">
        <v>25</v>
      </c>
      <c r="I1122" t="n">
        <v>13.98</v>
      </c>
      <c r="J1122" t="n">
        <v>349.5</v>
      </c>
      <c r="K1122" t="n">
        <v>1.4</v>
      </c>
      <c r="L1122" t="n">
        <v>17.85714285714286</v>
      </c>
      <c r="M1122" t="n">
        <v>3</v>
      </c>
      <c r="N1122" t="n">
        <v>4.199999999999999</v>
      </c>
      <c r="O1122" t="n">
        <v>20.8</v>
      </c>
      <c r="P1122" t="n">
        <v>290.784</v>
      </c>
      <c r="Q1122" t="n">
        <v>0.832</v>
      </c>
      <c r="R1122" t="inlineStr">
        <is>
          <t>Sobrestock crítico</t>
        </is>
      </c>
    </row>
    <row r="1123">
      <c r="A1123" t="inlineStr">
        <is>
          <t>MAFMIDA70TM</t>
        </is>
      </c>
      <c r="B1123" t="inlineStr">
        <is>
          <t>MAFE ORIGINAL DAMA</t>
        </is>
      </c>
      <c r="C1123" t="inlineStr">
        <is>
          <t>Manufactura / Dama / P. Superiores</t>
        </is>
      </c>
      <c r="D1123" t="n">
        <v>695.9660626799999</v>
      </c>
      <c r="E1123" t="n">
        <v>0.0001703951604414778</v>
      </c>
      <c r="F1123" t="n">
        <v>0.8898734449150877</v>
      </c>
      <c r="G1123" t="inlineStr">
        <is>
          <t>B</t>
        </is>
      </c>
      <c r="H1123" t="n">
        <v>9</v>
      </c>
      <c r="I1123" t="n">
        <v>4.54817671</v>
      </c>
      <c r="J1123" t="n">
        <v>40.93359039</v>
      </c>
      <c r="K1123" t="n">
        <v>2.2</v>
      </c>
      <c r="L1123" t="n">
        <v>4.090909090909091</v>
      </c>
      <c r="M1123" t="n">
        <v>3</v>
      </c>
      <c r="N1123" t="n">
        <v>6.600000000000001</v>
      </c>
      <c r="O1123" t="n">
        <v>2.399999999999999</v>
      </c>
      <c r="P1123" t="n">
        <v>10.915624104</v>
      </c>
      <c r="Q1123" t="n">
        <v>0.2666666666666666</v>
      </c>
      <c r="R1123" t="inlineStr">
        <is>
          <t>Sobrestock</t>
        </is>
      </c>
    </row>
    <row r="1124">
      <c r="A1124" t="inlineStr">
        <is>
          <t>RIOMIKI01T8</t>
        </is>
      </c>
      <c r="B1124" t="inlineStr">
        <is>
          <t>RIO ORIGINAL KIDS</t>
        </is>
      </c>
      <c r="C1124" t="inlineStr">
        <is>
          <t>Manufactura / Kids / P. Superiores</t>
        </is>
      </c>
      <c r="D1124" t="n">
        <v>693.77771682</v>
      </c>
      <c r="E1124" t="n">
        <v>0.0001698593820983784</v>
      </c>
      <c r="F1124" t="n">
        <v>0.8900433042971861</v>
      </c>
      <c r="G1124" t="inlineStr">
        <is>
          <t>B</t>
        </is>
      </c>
      <c r="H1124" t="n">
        <v>27</v>
      </c>
      <c r="I1124" t="n">
        <v>3.617969464</v>
      </c>
      <c r="J1124" t="n">
        <v>97.685175528</v>
      </c>
      <c r="K1124" t="n">
        <v>1.7</v>
      </c>
      <c r="L1124" t="n">
        <v>15.88235294117647</v>
      </c>
      <c r="M1124" t="n">
        <v>3</v>
      </c>
      <c r="N1124" t="n">
        <v>5.1</v>
      </c>
      <c r="O1124" t="n">
        <v>21.9</v>
      </c>
      <c r="P1124" t="n">
        <v>79.23353126159999</v>
      </c>
      <c r="Q1124" t="n">
        <v>0.811111111111111</v>
      </c>
      <c r="R1124" t="inlineStr">
        <is>
          <t>Sobrestock crítico</t>
        </is>
      </c>
    </row>
    <row r="1125">
      <c r="A1125" t="inlineStr">
        <is>
          <t>SHOUNKI13T8</t>
        </is>
      </c>
      <c r="B1125" t="inlineStr">
        <is>
          <t>SHORT PLAYA KIDS</t>
        </is>
      </c>
      <c r="C1125" t="inlineStr">
        <is>
          <t>Manufactura / Kids / P. Inferiores</t>
        </is>
      </c>
      <c r="D1125" t="n">
        <v>692.79221718</v>
      </c>
      <c r="E1125" t="n">
        <v>0.0001696180996878163</v>
      </c>
      <c r="F1125" t="n">
        <v>0.890212922396874</v>
      </c>
      <c r="G1125" t="inlineStr">
        <is>
          <t>B</t>
        </is>
      </c>
      <c r="H1125" t="n">
        <v>11</v>
      </c>
      <c r="I1125" t="n">
        <v>6.09</v>
      </c>
      <c r="J1125" t="n">
        <v>66.98999999999999</v>
      </c>
      <c r="K1125" t="n">
        <v>1.7</v>
      </c>
      <c r="L1125" t="n">
        <v>6.470588235294118</v>
      </c>
      <c r="M1125" t="n">
        <v>3</v>
      </c>
      <c r="N1125" t="n">
        <v>5.1</v>
      </c>
      <c r="O1125" t="n">
        <v>5.9</v>
      </c>
      <c r="P1125" t="n">
        <v>35.931</v>
      </c>
      <c r="Q1125" t="n">
        <v>0.5363636363636365</v>
      </c>
      <c r="R1125" t="inlineStr">
        <is>
          <t>Sobrestock crítico</t>
        </is>
      </c>
    </row>
    <row r="1126">
      <c r="A1126" t="inlineStr">
        <is>
          <t>PANNTKI43T10</t>
        </is>
      </c>
      <c r="B1126" t="inlineStr">
        <is>
          <t>EXPLORE PANTS KIDS</t>
        </is>
      </c>
      <c r="C1126" t="inlineStr">
        <is>
          <t>Manufactura / Kids / P. Inferiores</t>
        </is>
      </c>
      <c r="D1126" t="n">
        <v>691.3351438899999</v>
      </c>
      <c r="E1126" t="n">
        <v>0.0001692613606881178</v>
      </c>
      <c r="F1126" t="n">
        <v>0.8903821837575621</v>
      </c>
      <c r="G1126" t="inlineStr">
        <is>
          <t>B</t>
        </is>
      </c>
      <c r="H1126" t="n">
        <v>12</v>
      </c>
      <c r="I1126" t="n">
        <v>13.98</v>
      </c>
      <c r="J1126" t="n">
        <v>167.76</v>
      </c>
      <c r="K1126" t="n">
        <v>1.5</v>
      </c>
      <c r="L1126" t="n">
        <v>8</v>
      </c>
      <c r="M1126" t="n">
        <v>3</v>
      </c>
      <c r="N1126" t="n">
        <v>4.5</v>
      </c>
      <c r="O1126" t="n">
        <v>7.5</v>
      </c>
      <c r="P1126" t="n">
        <v>104.85</v>
      </c>
      <c r="Q1126" t="n">
        <v>0.6250000000000001</v>
      </c>
      <c r="R1126" t="inlineStr">
        <is>
          <t>Sobrestock crítico</t>
        </is>
      </c>
    </row>
    <row r="1127">
      <c r="A1127" t="inlineStr">
        <is>
          <t>MAFMIDA43TXL</t>
        </is>
      </c>
      <c r="B1127" t="inlineStr">
        <is>
          <t>MAFE ORIGINAL DAMA</t>
        </is>
      </c>
      <c r="C1127" t="inlineStr">
        <is>
          <t>Manufactura / Dama / P. Superiores</t>
        </is>
      </c>
      <c r="D1127" t="n">
        <v>691.0830124300001</v>
      </c>
      <c r="E1127" t="n">
        <v>0.0001691996306945409</v>
      </c>
      <c r="F1127" t="n">
        <v>0.8905513833882566</v>
      </c>
      <c r="G1127" t="inlineStr">
        <is>
          <t>B</t>
        </is>
      </c>
      <c r="H1127" t="n">
        <v>25</v>
      </c>
      <c r="I1127" t="n">
        <v>4.54817671</v>
      </c>
      <c r="J1127" t="n">
        <v>113.70441775</v>
      </c>
      <c r="K1127" t="n">
        <v>2.3</v>
      </c>
      <c r="L1127" t="n">
        <v>10.8695652173913</v>
      </c>
      <c r="M1127" t="n">
        <v>3</v>
      </c>
      <c r="N1127" t="n">
        <v>6.899999999999999</v>
      </c>
      <c r="O1127" t="n">
        <v>18.1</v>
      </c>
      <c r="P1127" t="n">
        <v>82.321998451</v>
      </c>
      <c r="Q1127" t="n">
        <v>0.724</v>
      </c>
      <c r="R1127" t="inlineStr">
        <is>
          <t>Sobrestock crítico</t>
        </is>
      </c>
    </row>
    <row r="1128">
      <c r="A1128" t="inlineStr">
        <is>
          <t>MARMIKI11T10</t>
        </is>
      </c>
      <c r="B1128" t="inlineStr">
        <is>
          <t>MAR ORIGINAL KIDS</t>
        </is>
      </c>
      <c r="C1128" t="inlineStr">
        <is>
          <t>Manufactura / Kids / P. Superiores</t>
        </is>
      </c>
      <c r="D1128" t="n">
        <v>689.6635255800001</v>
      </c>
      <c r="E1128" t="n">
        <v>0.0001688520940795816</v>
      </c>
      <c r="F1128" t="n">
        <v>0.8907202354823361</v>
      </c>
      <c r="G1128" t="inlineStr">
        <is>
          <t>B</t>
        </is>
      </c>
      <c r="H1128" t="n">
        <v>0</v>
      </c>
      <c r="I1128" t="n">
        <v>3.168013332</v>
      </c>
      <c r="J1128" t="n">
        <v>0</v>
      </c>
      <c r="K1128" t="n">
        <v>1.8</v>
      </c>
      <c r="L1128" t="n">
        <v>0</v>
      </c>
      <c r="M1128" t="n">
        <v>3</v>
      </c>
      <c r="N1128" t="n">
        <v>5.4</v>
      </c>
      <c r="O1128" t="n">
        <v>0</v>
      </c>
      <c r="P1128" t="n">
        <v>0</v>
      </c>
      <c r="Q1128" t="n">
        <v>0</v>
      </c>
      <c r="R1128" t="inlineStr">
        <is>
          <t>Riesgo bajo stock</t>
        </is>
      </c>
    </row>
    <row r="1129">
      <c r="A1129" t="inlineStr">
        <is>
          <t>SHOUNKI01T10</t>
        </is>
      </c>
      <c r="B1129" t="inlineStr">
        <is>
          <t>SHORT PLAYA KIDS</t>
        </is>
      </c>
      <c r="C1129" t="inlineStr">
        <is>
          <t>Manufactura / Kids / P. Inferiores</t>
        </is>
      </c>
      <c r="D1129" t="n">
        <v>689.2432879</v>
      </c>
      <c r="E1129" t="n">
        <v>0.0001687492062079641</v>
      </c>
      <c r="F1129" t="n">
        <v>0.8908889846885442</v>
      </c>
      <c r="G1129" t="inlineStr">
        <is>
          <t>B</t>
        </is>
      </c>
      <c r="H1129" t="n">
        <v>7</v>
      </c>
      <c r="I1129" t="n">
        <v>6.09</v>
      </c>
      <c r="J1129" t="n">
        <v>42.63</v>
      </c>
      <c r="K1129" t="n">
        <v>1.7</v>
      </c>
      <c r="L1129" t="n">
        <v>4.11764705882353</v>
      </c>
      <c r="M1129" t="n">
        <v>3</v>
      </c>
      <c r="N1129" t="n">
        <v>5.1</v>
      </c>
      <c r="O1129" t="n">
        <v>1.9</v>
      </c>
      <c r="P1129" t="n">
        <v>11.571</v>
      </c>
      <c r="Q1129" t="n">
        <v>0.2714285714285715</v>
      </c>
      <c r="R1129" t="inlineStr">
        <is>
          <t>Sobrestock</t>
        </is>
      </c>
    </row>
    <row r="1130">
      <c r="A1130" t="inlineStr">
        <is>
          <t>RIOMICA30TS</t>
        </is>
      </c>
      <c r="B1130" t="inlineStr">
        <is>
          <t>RIO ORIGINAL CAB</t>
        </is>
      </c>
      <c r="C1130" t="inlineStr">
        <is>
          <t>Manufactura / Caballero / P. Superiores</t>
        </is>
      </c>
      <c r="D1130" t="n">
        <v>688.64429912</v>
      </c>
      <c r="E1130" t="n">
        <v>0.0001686025542449679</v>
      </c>
      <c r="F1130" t="n">
        <v>0.8910575872427891</v>
      </c>
      <c r="G1130" t="inlineStr">
        <is>
          <t>B</t>
        </is>
      </c>
      <c r="H1130" t="n">
        <v>30</v>
      </c>
      <c r="I1130" t="n">
        <v>5.939350288</v>
      </c>
      <c r="J1130" t="n">
        <v>178.18050864</v>
      </c>
      <c r="K1130" t="n">
        <v>1.2</v>
      </c>
      <c r="L1130" t="n">
        <v>25</v>
      </c>
      <c r="M1130" t="n">
        <v>3</v>
      </c>
      <c r="N1130" t="n">
        <v>3.6</v>
      </c>
      <c r="O1130" t="n">
        <v>26.4</v>
      </c>
      <c r="P1130" t="n">
        <v>156.7988476032</v>
      </c>
      <c r="Q1130" t="n">
        <v>0.8799999999999999</v>
      </c>
      <c r="R1130" t="inlineStr">
        <is>
          <t>Sobrestock crítico</t>
        </is>
      </c>
    </row>
    <row r="1131">
      <c r="A1131" t="inlineStr">
        <is>
          <t>MARMIKI53T2</t>
        </is>
      </c>
      <c r="B1131" t="inlineStr">
        <is>
          <t>MAR ORIGINAL KIDS</t>
        </is>
      </c>
      <c r="C1131" t="inlineStr">
        <is>
          <t>Manufactura / Kids / P. Superiores</t>
        </is>
      </c>
      <c r="D1131" t="n">
        <v>688.47091491</v>
      </c>
      <c r="E1131" t="n">
        <v>0.0001685601041430661</v>
      </c>
      <c r="F1131" t="n">
        <v>0.8912261473469322</v>
      </c>
      <c r="G1131" t="inlineStr">
        <is>
          <t>B</t>
        </is>
      </c>
      <c r="H1131" t="n">
        <v>15</v>
      </c>
      <c r="I1131" t="n">
        <v>3.168013332</v>
      </c>
      <c r="J1131" t="n">
        <v>47.52019998</v>
      </c>
      <c r="K1131" t="n">
        <v>1.8</v>
      </c>
      <c r="L1131" t="n">
        <v>8.333333333333334</v>
      </c>
      <c r="M1131" t="n">
        <v>3</v>
      </c>
      <c r="N1131" t="n">
        <v>5.4</v>
      </c>
      <c r="O1131" t="n">
        <v>9.6</v>
      </c>
      <c r="P1131" t="n">
        <v>30.4129279872</v>
      </c>
      <c r="Q1131" t="n">
        <v>0.64</v>
      </c>
      <c r="R1131" t="inlineStr">
        <is>
          <t>Sobrestock crítico</t>
        </is>
      </c>
    </row>
    <row r="1132">
      <c r="A1132" t="inlineStr">
        <is>
          <t>BASCCDA38TS</t>
        </is>
      </c>
      <c r="B1132" t="inlineStr">
        <is>
          <t>BASIC LINE SHORT DAMA</t>
        </is>
      </c>
      <c r="C1132" t="inlineStr">
        <is>
          <t>Manufactura / Dama / P. Inferiores</t>
        </is>
      </c>
      <c r="D1132" t="n">
        <v>687.98265741</v>
      </c>
      <c r="E1132" t="n">
        <v>0.0001684405628040404</v>
      </c>
      <c r="F1132" t="n">
        <v>0.8913945879097361</v>
      </c>
      <c r="G1132" t="inlineStr">
        <is>
          <t>B</t>
        </is>
      </c>
      <c r="H1132" t="n">
        <v>40</v>
      </c>
      <c r="I1132" t="n">
        <v>6.01</v>
      </c>
      <c r="J1132" t="n">
        <v>240.4</v>
      </c>
      <c r="K1132" t="n">
        <v>1.8</v>
      </c>
      <c r="L1132" t="n">
        <v>22.22222222222222</v>
      </c>
      <c r="M1132" t="n">
        <v>3</v>
      </c>
      <c r="N1132" t="n">
        <v>5.4</v>
      </c>
      <c r="O1132" t="n">
        <v>34.6</v>
      </c>
      <c r="P1132" t="n">
        <v>207.946</v>
      </c>
      <c r="Q1132" t="n">
        <v>0.8650000000000001</v>
      </c>
      <c r="R1132" t="inlineStr">
        <is>
          <t>Sobrestock crítico</t>
        </is>
      </c>
    </row>
    <row r="1133">
      <c r="A1133" t="inlineStr">
        <is>
          <t>SHOSUKI156T10</t>
        </is>
      </c>
      <c r="B1133" t="inlineStr">
        <is>
          <t>SHORT PLAYA ESTAMPADO KIDS</t>
        </is>
      </c>
      <c r="C1133" t="inlineStr">
        <is>
          <t>Manufactura / Kids / P. Superiores</t>
        </is>
      </c>
      <c r="D1133" t="n">
        <v>686.41177472</v>
      </c>
      <c r="E1133" t="n">
        <v>0.0001680559595563381</v>
      </c>
      <c r="F1133" t="n">
        <v>0.8915626438692925</v>
      </c>
      <c r="G1133" t="inlineStr">
        <is>
          <t>B</t>
        </is>
      </c>
      <c r="H1133" t="n">
        <v>28</v>
      </c>
      <c r="I1133" t="n">
        <v>7.210000000000001</v>
      </c>
      <c r="J1133" t="n">
        <v>201.88</v>
      </c>
      <c r="K1133" t="n">
        <v>1.7</v>
      </c>
      <c r="L1133" t="n">
        <v>16.47058823529412</v>
      </c>
      <c r="M1133" t="n">
        <v>3</v>
      </c>
      <c r="N1133" t="n">
        <v>5.1</v>
      </c>
      <c r="O1133" t="n">
        <v>22.9</v>
      </c>
      <c r="P1133" t="n">
        <v>165.109</v>
      </c>
      <c r="Q1133" t="n">
        <v>0.8178571428571428</v>
      </c>
      <c r="R1133" t="inlineStr">
        <is>
          <t>Sobrestock crítico</t>
        </is>
      </c>
    </row>
    <row r="1134">
      <c r="A1134" t="inlineStr">
        <is>
          <t>NAHFNCA16TL</t>
        </is>
      </c>
      <c r="B1134" t="inlineStr">
        <is>
          <t>NOAH SPORT LITE CAB</t>
        </is>
      </c>
      <c r="C1134" t="inlineStr">
        <is>
          <t>Manufactura / Caballero / P. Superiores</t>
        </is>
      </c>
      <c r="D1134" t="n">
        <v>685.3500681300001</v>
      </c>
      <c r="E1134" t="n">
        <v>0.0001677960192022809</v>
      </c>
      <c r="F1134" t="n">
        <v>0.8917304398884948</v>
      </c>
      <c r="G1134" t="inlineStr">
        <is>
          <t>B</t>
        </is>
      </c>
      <c r="H1134" t="n">
        <v>8</v>
      </c>
      <c r="I1134" t="n">
        <v>17.61141534</v>
      </c>
      <c r="J1134" t="n">
        <v>140.89132272</v>
      </c>
      <c r="K1134" t="n">
        <v>3.5</v>
      </c>
      <c r="L1134" t="n">
        <v>2.285714285714286</v>
      </c>
      <c r="M1134" t="n">
        <v>3</v>
      </c>
      <c r="N1134" t="n">
        <v>10.5</v>
      </c>
      <c r="O1134" t="n">
        <v>0</v>
      </c>
      <c r="P1134" t="n">
        <v>0</v>
      </c>
      <c r="Q1134" t="n">
        <v>0</v>
      </c>
      <c r="R1134" t="inlineStr">
        <is>
          <t>OK</t>
        </is>
      </c>
    </row>
    <row r="1135">
      <c r="A1135" t="inlineStr">
        <is>
          <t>MIKFNDA70TM</t>
        </is>
      </c>
      <c r="B1135" t="inlineStr">
        <is>
          <t>MIKA SPORT LITE DAMA</t>
        </is>
      </c>
      <c r="C1135" t="inlineStr">
        <is>
          <t>Manufactura / Dama / P. Superiores</t>
        </is>
      </c>
      <c r="D1135" t="n">
        <v>684.24951515</v>
      </c>
      <c r="E1135" t="n">
        <v>0.0001675265679866867</v>
      </c>
      <c r="F1135" t="n">
        <v>0.8918979664564816</v>
      </c>
      <c r="G1135" t="inlineStr">
        <is>
          <t>B</t>
        </is>
      </c>
      <c r="H1135" t="n">
        <v>34</v>
      </c>
      <c r="I1135" t="n">
        <v>5.484675344</v>
      </c>
      <c r="J1135" t="n">
        <v>186.478961696</v>
      </c>
      <c r="K1135" t="n">
        <v>2.2</v>
      </c>
      <c r="L1135" t="n">
        <v>15.45454545454545</v>
      </c>
      <c r="M1135" t="n">
        <v>3</v>
      </c>
      <c r="N1135" t="n">
        <v>6.600000000000001</v>
      </c>
      <c r="O1135" t="n">
        <v>27.4</v>
      </c>
      <c r="P1135" t="n">
        <v>150.2801044256</v>
      </c>
      <c r="Q1135" t="n">
        <v>0.8058823529411765</v>
      </c>
      <c r="R1135" t="inlineStr">
        <is>
          <t>Sobrestock crítico</t>
        </is>
      </c>
    </row>
    <row r="1136">
      <c r="A1136" t="inlineStr">
        <is>
          <t>SHUNTCA31TS</t>
        </is>
      </c>
      <c r="B1136" t="inlineStr">
        <is>
          <t>SHORT SPORT R1 CAB</t>
        </is>
      </c>
      <c r="C1136" t="inlineStr">
        <is>
          <t>Manufactura / Caballero / P. Inferiores</t>
        </is>
      </c>
      <c r="D1136" t="n">
        <v>682.4561978300001</v>
      </c>
      <c r="E1136" t="n">
        <v>0.0001670875054966463</v>
      </c>
      <c r="F1136" t="n">
        <v>0.8920650539619782</v>
      </c>
      <c r="G1136" t="inlineStr">
        <is>
          <t>B</t>
        </is>
      </c>
      <c r="H1136" t="n">
        <v>17</v>
      </c>
      <c r="I1136" t="n">
        <v>9.119999999999999</v>
      </c>
      <c r="J1136" t="n">
        <v>155.04</v>
      </c>
      <c r="K1136" t="n">
        <v>1.5</v>
      </c>
      <c r="L1136" t="n">
        <v>11.33333333333333</v>
      </c>
      <c r="M1136" t="n">
        <v>3</v>
      </c>
      <c r="N1136" t="n">
        <v>4.5</v>
      </c>
      <c r="O1136" t="n">
        <v>12.5</v>
      </c>
      <c r="P1136" t="n">
        <v>114</v>
      </c>
      <c r="Q1136" t="n">
        <v>0.7352941176470588</v>
      </c>
      <c r="R1136" t="inlineStr">
        <is>
          <t>Sobrestock crítico</t>
        </is>
      </c>
    </row>
    <row r="1137">
      <c r="A1137" t="inlineStr">
        <is>
          <t>RIOMICA11T2XL</t>
        </is>
      </c>
      <c r="B1137" t="inlineStr">
        <is>
          <t>RIO ORIGINAL CAB</t>
        </is>
      </c>
      <c r="C1137" t="inlineStr">
        <is>
          <t>Manufactura / Caballero / P. Superiores</t>
        </is>
      </c>
      <c r="D1137" t="n">
        <v>682.39447827</v>
      </c>
      <c r="E1137" t="n">
        <v>0.0001670723945380917</v>
      </c>
      <c r="F1137" t="n">
        <v>0.8922321263565163</v>
      </c>
      <c r="G1137" t="inlineStr">
        <is>
          <t>B</t>
        </is>
      </c>
      <c r="H1137" t="n">
        <v>16</v>
      </c>
      <c r="I1137" t="n">
        <v>5.939350288</v>
      </c>
      <c r="J1137" t="n">
        <v>95.029604608</v>
      </c>
      <c r="K1137" t="n">
        <v>1.3</v>
      </c>
      <c r="L1137" t="n">
        <v>12.30769230769231</v>
      </c>
      <c r="M1137" t="n">
        <v>3</v>
      </c>
      <c r="N1137" t="n">
        <v>3.9</v>
      </c>
      <c r="O1137" t="n">
        <v>12.1</v>
      </c>
      <c r="P1137" t="n">
        <v>71.8661384848</v>
      </c>
      <c r="Q1137" t="n">
        <v>0.7562500000000001</v>
      </c>
      <c r="R1137" t="inlineStr">
        <is>
          <t>Sobrestock crítico</t>
        </is>
      </c>
    </row>
    <row r="1138">
      <c r="A1138" t="inlineStr">
        <is>
          <t>DAYCSTCA16T2XL</t>
        </is>
      </c>
      <c r="B1138" t="inlineStr">
        <is>
          <t>CLASICA DAILY 3.0 CAB</t>
        </is>
      </c>
      <c r="C1138" t="inlineStr">
        <is>
          <t>Manufactura / Caballero / P. Superiores</t>
        </is>
      </c>
      <c r="D1138" t="n">
        <v>682.01150604</v>
      </c>
      <c r="E1138" t="n">
        <v>0.0001669786304624064</v>
      </c>
      <c r="F1138" t="n">
        <v>0.8923991049869787</v>
      </c>
      <c r="G1138" t="inlineStr">
        <is>
          <t>B</t>
        </is>
      </c>
      <c r="H1138" t="n">
        <v>23</v>
      </c>
      <c r="I1138" t="n">
        <v>11.76035097</v>
      </c>
      <c r="J1138" t="n">
        <v>270.48807231</v>
      </c>
      <c r="K1138" t="n">
        <v>1.3</v>
      </c>
      <c r="L1138" t="n">
        <v>17.69230769230769</v>
      </c>
      <c r="M1138" t="n">
        <v>3</v>
      </c>
      <c r="N1138" t="n">
        <v>3.9</v>
      </c>
      <c r="O1138" t="n">
        <v>19.1</v>
      </c>
      <c r="P1138" t="n">
        <v>224.622703527</v>
      </c>
      <c r="Q1138" t="n">
        <v>0.8304347826086956</v>
      </c>
      <c r="R1138" t="inlineStr">
        <is>
          <t>Sobrestock crítico</t>
        </is>
      </c>
    </row>
    <row r="1139">
      <c r="A1139" t="inlineStr">
        <is>
          <t>RIOMIKI66T10</t>
        </is>
      </c>
      <c r="B1139" t="inlineStr">
        <is>
          <t>RIO ORIGINAL KIDS</t>
        </is>
      </c>
      <c r="C1139" t="inlineStr">
        <is>
          <t>Manufactura / Kids / P. Superiores</t>
        </is>
      </c>
      <c r="D1139" t="n">
        <v>681.9227707</v>
      </c>
      <c r="E1139" t="n">
        <v>0.0001669569051609774</v>
      </c>
      <c r="F1139" t="n">
        <v>0.8925660618921396</v>
      </c>
      <c r="G1139" t="inlineStr">
        <is>
          <t>B</t>
        </is>
      </c>
      <c r="H1139" t="n">
        <v>30</v>
      </c>
      <c r="I1139" t="n">
        <v>3.617969464</v>
      </c>
      <c r="J1139" t="n">
        <v>108.53908392</v>
      </c>
      <c r="K1139" t="n">
        <v>1.6</v>
      </c>
      <c r="L1139" t="n">
        <v>18.75</v>
      </c>
      <c r="M1139" t="n">
        <v>3</v>
      </c>
      <c r="N1139" t="n">
        <v>4.800000000000001</v>
      </c>
      <c r="O1139" t="n">
        <v>25.2</v>
      </c>
      <c r="P1139" t="n">
        <v>91.1728304928</v>
      </c>
      <c r="Q1139" t="n">
        <v>0.84</v>
      </c>
      <c r="R1139" t="inlineStr">
        <is>
          <t>Sobrestock crítico</t>
        </is>
      </c>
    </row>
    <row r="1140">
      <c r="A1140" t="inlineStr">
        <is>
          <t>CLAMECA30T2XL</t>
        </is>
      </c>
      <c r="B1140" t="inlineStr">
        <is>
          <t>CLASICA SPORT CAB</t>
        </is>
      </c>
      <c r="C1140" t="inlineStr">
        <is>
          <t>Manufactura / Caballero / P. Superiores</t>
        </is>
      </c>
      <c r="D1140" t="n">
        <v>678.95503109</v>
      </c>
      <c r="E1140" t="n">
        <v>0.0001662303058422589</v>
      </c>
      <c r="F1140" t="n">
        <v>0.8927322921979819</v>
      </c>
      <c r="G1140" t="inlineStr">
        <is>
          <t>B</t>
        </is>
      </c>
      <c r="H1140" t="n">
        <v>39</v>
      </c>
      <c r="I1140" t="n">
        <v>10.3013454</v>
      </c>
      <c r="J1140" t="n">
        <v>401.7524706</v>
      </c>
      <c r="K1140" t="n">
        <v>1.5</v>
      </c>
      <c r="L1140" t="n">
        <v>26</v>
      </c>
      <c r="M1140" t="n">
        <v>3</v>
      </c>
      <c r="N1140" t="n">
        <v>4.5</v>
      </c>
      <c r="O1140" t="n">
        <v>34.5</v>
      </c>
      <c r="P1140" t="n">
        <v>355.3964163</v>
      </c>
      <c r="Q1140" t="n">
        <v>0.8846153846153846</v>
      </c>
      <c r="R1140" t="inlineStr">
        <is>
          <t>Sobrestock crítico</t>
        </is>
      </c>
    </row>
    <row r="1141">
      <c r="A1141" t="inlineStr">
        <is>
          <t>JAPKI43T4</t>
        </is>
      </c>
      <c r="B1141" t="inlineStr">
        <is>
          <t>CUADRO JACKET 2.0 KIDS</t>
        </is>
      </c>
      <c r="C1141" t="inlineStr">
        <is>
          <t>Equipamiento / Ropa</t>
        </is>
      </c>
      <c r="D1141" t="n">
        <v>678.8258527200001</v>
      </c>
      <c r="E1141" t="n">
        <v>0.0001661986787698167</v>
      </c>
      <c r="F1141" t="n">
        <v>0.8928984908767518</v>
      </c>
      <c r="G1141" t="inlineStr">
        <is>
          <t>B</t>
        </is>
      </c>
      <c r="H1141" t="n">
        <v>32</v>
      </c>
      <c r="I1141" t="n">
        <v>15.17</v>
      </c>
      <c r="J1141" t="n">
        <v>485.44</v>
      </c>
      <c r="K1141" t="n">
        <v>1.1</v>
      </c>
      <c r="L1141" t="n">
        <v>29.09090909090909</v>
      </c>
      <c r="M1141" t="n">
        <v>3</v>
      </c>
      <c r="N1141" t="n">
        <v>3.3</v>
      </c>
      <c r="O1141" t="n">
        <v>28.7</v>
      </c>
      <c r="P1141" t="n">
        <v>435.379</v>
      </c>
      <c r="Q1141" t="n">
        <v>0.896875</v>
      </c>
      <c r="R1141" t="inlineStr">
        <is>
          <t>Sobrestock crítico</t>
        </is>
      </c>
    </row>
    <row r="1142">
      <c r="A1142" t="inlineStr">
        <is>
          <t>MIKFNDA13TXS</t>
        </is>
      </c>
      <c r="B1142" t="inlineStr">
        <is>
          <t>MIKA SPORT LITE DAMA</t>
        </is>
      </c>
      <c r="C1142" t="inlineStr">
        <is>
          <t>Manufactura / Dama / P. Superiores</t>
        </is>
      </c>
      <c r="D1142" t="n">
        <v>677.1358766</v>
      </c>
      <c r="E1142" t="n">
        <v>0.0001657849175714605</v>
      </c>
      <c r="F1142" t="n">
        <v>0.8930642757943232</v>
      </c>
      <c r="G1142" t="inlineStr">
        <is>
          <t>B</t>
        </is>
      </c>
      <c r="H1142" t="n">
        <v>45</v>
      </c>
      <c r="I1142" t="n">
        <v>5.484675344</v>
      </c>
      <c r="J1142" t="n">
        <v>246.81039048</v>
      </c>
      <c r="K1142" t="n">
        <v>2</v>
      </c>
      <c r="L1142" t="n">
        <v>22.5</v>
      </c>
      <c r="M1142" t="n">
        <v>3</v>
      </c>
      <c r="N1142" t="n">
        <v>6</v>
      </c>
      <c r="O1142" t="n">
        <v>39</v>
      </c>
      <c r="P1142" t="n">
        <v>213.902338416</v>
      </c>
      <c r="Q1142" t="n">
        <v>0.8666666666666667</v>
      </c>
      <c r="R1142" t="inlineStr">
        <is>
          <t>Sobrestock crítico</t>
        </is>
      </c>
    </row>
    <row r="1143">
      <c r="A1143" t="inlineStr">
        <is>
          <t>ANDMIDA43TS</t>
        </is>
      </c>
      <c r="B1143" t="inlineStr">
        <is>
          <t>ANDRE ORIGINAL DAMA</t>
        </is>
      </c>
      <c r="C1143" t="inlineStr">
        <is>
          <t>Manufactura / Dama / P. Superiores</t>
        </is>
      </c>
      <c r="D1143" t="n">
        <v>674.90893076</v>
      </c>
      <c r="E1143" t="n">
        <v>0.0001652396886960179</v>
      </c>
      <c r="F1143" t="n">
        <v>0.8932295154830192</v>
      </c>
      <c r="G1143" t="inlineStr">
        <is>
          <t>B</t>
        </is>
      </c>
      <c r="H1143" t="n">
        <v>53</v>
      </c>
      <c r="I1143" t="n">
        <v>3.274295302</v>
      </c>
      <c r="J1143" t="n">
        <v>173.537651006</v>
      </c>
      <c r="K1143" t="n">
        <v>1.8</v>
      </c>
      <c r="L1143" t="n">
        <v>29.44444444444444</v>
      </c>
      <c r="M1143" t="n">
        <v>3</v>
      </c>
      <c r="N1143" t="n">
        <v>5.4</v>
      </c>
      <c r="O1143" t="n">
        <v>47.6</v>
      </c>
      <c r="P1143" t="n">
        <v>155.8564563752</v>
      </c>
      <c r="Q1143" t="n">
        <v>0.8981132075471697</v>
      </c>
      <c r="R1143" t="inlineStr">
        <is>
          <t>Sobrestock crítico</t>
        </is>
      </c>
    </row>
    <row r="1144">
      <c r="A1144" t="inlineStr">
        <is>
          <t>CLAMICA16T2XL</t>
        </is>
      </c>
      <c r="B1144" t="inlineStr">
        <is>
          <t>CLASICA ORIGINAL CAB</t>
        </is>
      </c>
      <c r="C1144" t="inlineStr">
        <is>
          <t>Manufactura / Caballero / P. Superiores</t>
        </is>
      </c>
      <c r="D1144" t="n">
        <v>674.8089739</v>
      </c>
      <c r="E1144" t="n">
        <v>0.0001652152160009968</v>
      </c>
      <c r="F1144" t="n">
        <v>0.8933947306990202</v>
      </c>
      <c r="G1144" t="inlineStr">
        <is>
          <t>B</t>
        </is>
      </c>
      <c r="H1144" t="n">
        <v>50</v>
      </c>
      <c r="I1144" t="n">
        <v>4.598442536</v>
      </c>
      <c r="J1144" t="n">
        <v>229.9221268</v>
      </c>
      <c r="K1144" t="n">
        <v>1.8</v>
      </c>
      <c r="L1144" t="n">
        <v>27.77777777777778</v>
      </c>
      <c r="M1144" t="n">
        <v>3</v>
      </c>
      <c r="N1144" t="n">
        <v>5.4</v>
      </c>
      <c r="O1144" t="n">
        <v>44.6</v>
      </c>
      <c r="P1144" t="n">
        <v>205.0905371056</v>
      </c>
      <c r="Q1144" t="n">
        <v>0.8920000000000001</v>
      </c>
      <c r="R1144" t="inlineStr">
        <is>
          <t>Sobrestock crítico</t>
        </is>
      </c>
    </row>
    <row r="1145">
      <c r="A1145" t="inlineStr">
        <is>
          <t>BAN53EQ</t>
        </is>
      </c>
      <c r="B1145" t="inlineStr">
        <is>
          <t>CUADRO BAND</t>
        </is>
      </c>
      <c r="C1145" t="inlineStr">
        <is>
          <t>Equipamiento / Accesorios</t>
        </is>
      </c>
      <c r="D1145" t="n">
        <v>674.224283711</v>
      </c>
      <c r="E1145" t="n">
        <v>0.0001650720647987966</v>
      </c>
      <c r="F1145" t="n">
        <v>0.8935598027638191</v>
      </c>
      <c r="G1145" t="inlineStr">
        <is>
          <t>B</t>
        </is>
      </c>
      <c r="H1145" t="n">
        <v>3375</v>
      </c>
      <c r="I1145" t="n">
        <v>0.3159183673</v>
      </c>
      <c r="J1145" t="n">
        <v>1066.2244896375</v>
      </c>
      <c r="K1145" t="n">
        <v>29.3</v>
      </c>
      <c r="L1145" t="n">
        <v>115.1877133105802</v>
      </c>
      <c r="M1145" t="n">
        <v>3</v>
      </c>
      <c r="N1145" t="n">
        <v>87.90000000000001</v>
      </c>
      <c r="O1145" t="n">
        <v>3287.1</v>
      </c>
      <c r="P1145" t="n">
        <v>1038.45526515183</v>
      </c>
      <c r="Q1145" t="n">
        <v>0.9739555555555555</v>
      </c>
      <c r="R1145" t="inlineStr">
        <is>
          <t>Sobrestock crítico</t>
        </is>
      </c>
    </row>
    <row r="1146">
      <c r="A1146" t="inlineStr">
        <is>
          <t>POLPLCA33TS</t>
        </is>
      </c>
      <c r="B1146" t="inlineStr">
        <is>
          <t>CLASSIC POLO</t>
        </is>
      </c>
      <c r="C1146" t="inlineStr">
        <is>
          <t>Manufactura / Caballero / P. Superiores</t>
        </is>
      </c>
      <c r="D1146" t="n">
        <v>673.68443096</v>
      </c>
      <c r="E1146" t="n">
        <v>0.0001649398912618181</v>
      </c>
      <c r="F1146" t="n">
        <v>0.8937247426550807</v>
      </c>
      <c r="G1146" t="inlineStr">
        <is>
          <t>B</t>
        </is>
      </c>
      <c r="H1146" t="n">
        <v>74</v>
      </c>
      <c r="I1146" t="n">
        <v>7.34</v>
      </c>
      <c r="J1146" t="n">
        <v>543.16</v>
      </c>
      <c r="K1146" t="n">
        <v>1.5</v>
      </c>
      <c r="L1146" t="n">
        <v>49.33333333333334</v>
      </c>
      <c r="M1146" t="n">
        <v>3</v>
      </c>
      <c r="N1146" t="n">
        <v>4.5</v>
      </c>
      <c r="O1146" t="n">
        <v>69.5</v>
      </c>
      <c r="P1146" t="n">
        <v>510.13</v>
      </c>
      <c r="Q1146" t="n">
        <v>0.9391891891891893</v>
      </c>
      <c r="R1146" t="inlineStr">
        <is>
          <t>Sobrestock crítico</t>
        </is>
      </c>
    </row>
    <row r="1147">
      <c r="A1147" t="inlineStr">
        <is>
          <t>PANNTKI12T4</t>
        </is>
      </c>
      <c r="B1147" t="inlineStr">
        <is>
          <t>EXPLORE PANTS KIDS</t>
        </is>
      </c>
      <c r="C1147" t="inlineStr">
        <is>
          <t>Manufactura / Kids / P. Inferiores</t>
        </is>
      </c>
      <c r="D1147" t="n">
        <v>672.62127089</v>
      </c>
      <c r="E1147" t="n">
        <v>0.0001646795950485157</v>
      </c>
      <c r="F1147" t="n">
        <v>0.8938894222501294</v>
      </c>
      <c r="G1147" t="inlineStr">
        <is>
          <t>B</t>
        </is>
      </c>
      <c r="H1147" t="n">
        <v>20</v>
      </c>
      <c r="I1147" t="n">
        <v>13.98</v>
      </c>
      <c r="J1147" t="n">
        <v>279.6</v>
      </c>
      <c r="K1147" t="n">
        <v>1.4</v>
      </c>
      <c r="L1147" t="n">
        <v>14.28571428571429</v>
      </c>
      <c r="M1147" t="n">
        <v>3</v>
      </c>
      <c r="N1147" t="n">
        <v>4.199999999999999</v>
      </c>
      <c r="O1147" t="n">
        <v>15.8</v>
      </c>
      <c r="P1147" t="n">
        <v>220.884</v>
      </c>
      <c r="Q1147" t="n">
        <v>0.79</v>
      </c>
      <c r="R1147" t="inlineStr">
        <is>
          <t>Sobrestock crítico</t>
        </is>
      </c>
    </row>
    <row r="1148">
      <c r="A1148" t="inlineStr">
        <is>
          <t>MARMIKI53T4</t>
        </is>
      </c>
      <c r="B1148" t="inlineStr">
        <is>
          <t>MAR ORIGINAL KIDS</t>
        </is>
      </c>
      <c r="C1148" t="inlineStr">
        <is>
          <t>Manufactura / Kids / P. Superiores</t>
        </is>
      </c>
      <c r="D1148" t="n">
        <v>672.43315532</v>
      </c>
      <c r="E1148" t="n">
        <v>0.000164633538229871</v>
      </c>
      <c r="F1148" t="n">
        <v>0.8940540557883592</v>
      </c>
      <c r="G1148" t="inlineStr">
        <is>
          <t>B</t>
        </is>
      </c>
      <c r="H1148" t="n">
        <v>18</v>
      </c>
      <c r="I1148" t="n">
        <v>3.168013332</v>
      </c>
      <c r="J1148" t="n">
        <v>57.024239976</v>
      </c>
      <c r="K1148" t="n">
        <v>1.9</v>
      </c>
      <c r="L1148" t="n">
        <v>9.473684210526317</v>
      </c>
      <c r="M1148" t="n">
        <v>3</v>
      </c>
      <c r="N1148" t="n">
        <v>5.699999999999999</v>
      </c>
      <c r="O1148" t="n">
        <v>12.3</v>
      </c>
      <c r="P1148" t="n">
        <v>38.9665639836</v>
      </c>
      <c r="Q1148" t="n">
        <v>0.6833333333333333</v>
      </c>
      <c r="R1148" t="inlineStr">
        <is>
          <t>Sobrestock crítico</t>
        </is>
      </c>
    </row>
    <row r="1149">
      <c r="A1149" t="inlineStr">
        <is>
          <t>SHOUNKI01T14</t>
        </is>
      </c>
      <c r="B1149" t="inlineStr">
        <is>
          <t>SHORT PLAYA KIDS</t>
        </is>
      </c>
      <c r="C1149" t="inlineStr">
        <is>
          <t>Manufactura / Kids / P. Inferiores</t>
        </is>
      </c>
      <c r="D1149" t="n">
        <v>671.78743351</v>
      </c>
      <c r="E1149" t="n">
        <v>0.0001644754444989902</v>
      </c>
      <c r="F1149" t="n">
        <v>0.8942185312328582</v>
      </c>
      <c r="G1149" t="inlineStr">
        <is>
          <t>B</t>
        </is>
      </c>
      <c r="H1149" t="n">
        <v>1</v>
      </c>
      <c r="I1149" t="n">
        <v>6.09</v>
      </c>
      <c r="J1149" t="n">
        <v>6.09</v>
      </c>
      <c r="K1149" t="n">
        <v>1.8</v>
      </c>
      <c r="L1149" t="n">
        <v>0.5555555555555556</v>
      </c>
      <c r="M1149" t="n">
        <v>3</v>
      </c>
      <c r="N1149" t="n">
        <v>5.4</v>
      </c>
      <c r="O1149" t="n">
        <v>0</v>
      </c>
      <c r="P1149" t="n">
        <v>0</v>
      </c>
      <c r="Q1149" t="n">
        <v>0</v>
      </c>
      <c r="R1149" t="inlineStr">
        <is>
          <t>Riesgo bajo stock</t>
        </is>
      </c>
    </row>
    <row r="1150">
      <c r="A1150" t="inlineStr">
        <is>
          <t>MARMIKI70T4</t>
        </is>
      </c>
      <c r="B1150" t="inlineStr">
        <is>
          <t>MAR ORIGINAL KIDS</t>
        </is>
      </c>
      <c r="C1150" t="inlineStr">
        <is>
          <t>Manufactura / Kids / P. Superiores</t>
        </is>
      </c>
      <c r="D1150" t="n">
        <v>671.61623402</v>
      </c>
      <c r="E1150" t="n">
        <v>0.0001644335292877028</v>
      </c>
      <c r="F1150" t="n">
        <v>0.8943829647621458</v>
      </c>
      <c r="G1150" t="inlineStr">
        <is>
          <t>B</t>
        </is>
      </c>
      <c r="H1150" t="n">
        <v>9</v>
      </c>
      <c r="I1150" t="n">
        <v>3.168013332</v>
      </c>
      <c r="J1150" t="n">
        <v>28.512119988</v>
      </c>
      <c r="K1150" t="n">
        <v>1.9</v>
      </c>
      <c r="L1150" t="n">
        <v>4.736842105263158</v>
      </c>
      <c r="M1150" t="n">
        <v>3</v>
      </c>
      <c r="N1150" t="n">
        <v>5.699999999999999</v>
      </c>
      <c r="O1150" t="n">
        <v>3.300000000000001</v>
      </c>
      <c r="P1150" t="n">
        <v>10.4544439956</v>
      </c>
      <c r="Q1150" t="n">
        <v>0.3666666666666667</v>
      </c>
      <c r="R1150" t="inlineStr">
        <is>
          <t>Sobrestock crítico</t>
        </is>
      </c>
    </row>
    <row r="1151">
      <c r="A1151" t="inlineStr">
        <is>
          <t>RIOMIDA53TXL</t>
        </is>
      </c>
      <c r="B1151" t="inlineStr">
        <is>
          <t>RIO ORIGINAL DAMA</t>
        </is>
      </c>
      <c r="C1151" t="inlineStr">
        <is>
          <t>Manufactura / Dama / P. Superiores</t>
        </is>
      </c>
      <c r="D1151" t="n">
        <v>670.6963220499999</v>
      </c>
      <c r="E1151" t="n">
        <v>0.0001642083048750115</v>
      </c>
      <c r="F1151" t="n">
        <v>0.8945471730670208</v>
      </c>
      <c r="G1151" t="inlineStr">
        <is>
          <t>B</t>
        </is>
      </c>
      <c r="H1151" t="n">
        <v>20</v>
      </c>
      <c r="I1151" t="n">
        <v>5.538832275</v>
      </c>
      <c r="J1151" t="n">
        <v>110.7766455</v>
      </c>
      <c r="K1151" t="n">
        <v>1.1</v>
      </c>
      <c r="L1151" t="n">
        <v>18.18181818181818</v>
      </c>
      <c r="M1151" t="n">
        <v>3</v>
      </c>
      <c r="N1151" t="n">
        <v>3.3</v>
      </c>
      <c r="O1151" t="n">
        <v>16.7</v>
      </c>
      <c r="P1151" t="n">
        <v>92.49849899249999</v>
      </c>
      <c r="Q1151" t="n">
        <v>0.8349999999999999</v>
      </c>
      <c r="R1151" t="inlineStr">
        <is>
          <t>Sobrestock crítico</t>
        </is>
      </c>
    </row>
    <row r="1152">
      <c r="A1152" t="inlineStr">
        <is>
          <t>MAFMIDA43TXS</t>
        </is>
      </c>
      <c r="B1152" t="inlineStr">
        <is>
          <t>MAFE ORIGINAL DAMA</t>
        </is>
      </c>
      <c r="C1152" t="inlineStr">
        <is>
          <t>Manufactura / Dama / P. Superiores</t>
        </is>
      </c>
      <c r="D1152" t="n">
        <v>669.32682181</v>
      </c>
      <c r="E1152" t="n">
        <v>0.0001638730066102932</v>
      </c>
      <c r="F1152" t="n">
        <v>0.8947110460736313</v>
      </c>
      <c r="G1152" t="inlineStr">
        <is>
          <t>B</t>
        </is>
      </c>
      <c r="H1152" t="n">
        <v>88</v>
      </c>
      <c r="I1152" t="n">
        <v>4.54817671</v>
      </c>
      <c r="J1152" t="n">
        <v>400.23955048</v>
      </c>
      <c r="K1152" t="n">
        <v>2.1</v>
      </c>
      <c r="L1152" t="n">
        <v>41.90476190476191</v>
      </c>
      <c r="M1152" t="n">
        <v>3</v>
      </c>
      <c r="N1152" t="n">
        <v>6.300000000000001</v>
      </c>
      <c r="O1152" t="n">
        <v>81.7</v>
      </c>
      <c r="P1152" t="n">
        <v>371.586037207</v>
      </c>
      <c r="Q1152" t="n">
        <v>0.928409090909091</v>
      </c>
      <c r="R1152" t="inlineStr">
        <is>
          <t>Sobrestock crítico</t>
        </is>
      </c>
    </row>
    <row r="1153">
      <c r="A1153" t="inlineStr">
        <is>
          <t>CUTAG82</t>
        </is>
      </c>
      <c r="B1153" t="inlineStr">
        <is>
          <t>CUADRO TAG</t>
        </is>
      </c>
      <c r="C1153" t="inlineStr">
        <is>
          <t>Equipamiento / Accesorios</t>
        </is>
      </c>
      <c r="D1153" t="n">
        <v>668.773289302</v>
      </c>
      <c r="E1153" t="n">
        <v>0.000163737483823238</v>
      </c>
      <c r="F1153" t="n">
        <v>0.8948747835574544</v>
      </c>
      <c r="G1153" t="inlineStr">
        <is>
          <t>B</t>
        </is>
      </c>
      <c r="H1153" t="n">
        <v>239</v>
      </c>
      <c r="I1153" t="n">
        <v>0.8100000000000001</v>
      </c>
      <c r="J1153" t="n">
        <v>193.59</v>
      </c>
      <c r="K1153" t="n">
        <v>10</v>
      </c>
      <c r="L1153" t="n">
        <v>23.9</v>
      </c>
      <c r="M1153" t="n">
        <v>3</v>
      </c>
      <c r="N1153" t="n">
        <v>30</v>
      </c>
      <c r="O1153" t="n">
        <v>209</v>
      </c>
      <c r="P1153" t="n">
        <v>169.29</v>
      </c>
      <c r="Q1153" t="n">
        <v>0.8744769874476989</v>
      </c>
      <c r="R1153" t="inlineStr">
        <is>
          <t>Sobrestock crítico</t>
        </is>
      </c>
    </row>
    <row r="1154">
      <c r="A1154" t="inlineStr">
        <is>
          <t>RIOMIKI53T14</t>
        </is>
      </c>
      <c r="B1154" t="inlineStr">
        <is>
          <t>RIO ORIGINAL KIDS</t>
        </is>
      </c>
      <c r="C1154" t="inlineStr">
        <is>
          <t>Manufactura / Kids / P. Superiores</t>
        </is>
      </c>
      <c r="D1154" t="n">
        <v>668.66423876</v>
      </c>
      <c r="E1154" t="n">
        <v>0.0001637107846986733</v>
      </c>
      <c r="F1154" t="n">
        <v>0.8950384943421531</v>
      </c>
      <c r="G1154" t="inlineStr">
        <is>
          <t>B</t>
        </is>
      </c>
      <c r="H1154" t="n">
        <v>45</v>
      </c>
      <c r="I1154" t="n">
        <v>3.617969464</v>
      </c>
      <c r="J1154" t="n">
        <v>162.80862588</v>
      </c>
      <c r="K1154" t="n">
        <v>1.5</v>
      </c>
      <c r="L1154" t="n">
        <v>30</v>
      </c>
      <c r="M1154" t="n">
        <v>3</v>
      </c>
      <c r="N1154" t="n">
        <v>4.5</v>
      </c>
      <c r="O1154" t="n">
        <v>40.5</v>
      </c>
      <c r="P1154" t="n">
        <v>146.527763292</v>
      </c>
      <c r="Q1154" t="n">
        <v>0.8999999999999999</v>
      </c>
      <c r="R1154" t="inlineStr">
        <is>
          <t>Sobrestock crítico</t>
        </is>
      </c>
    </row>
    <row r="1155">
      <c r="A1155" t="inlineStr">
        <is>
          <t>ANMSUDA152TS</t>
        </is>
      </c>
      <c r="B1155" t="inlineStr">
        <is>
          <t>ANDRE MOTION DAMA</t>
        </is>
      </c>
      <c r="C1155" t="inlineStr">
        <is>
          <t>Manufactura / Dama / P. Superiores</t>
        </is>
      </c>
      <c r="D1155" t="n">
        <v>668.10290979</v>
      </c>
      <c r="E1155" t="n">
        <v>0.0001635733530837821</v>
      </c>
      <c r="F1155" t="n">
        <v>0.8952020676952367</v>
      </c>
      <c r="G1155" t="inlineStr">
        <is>
          <t>B</t>
        </is>
      </c>
      <c r="H1155" t="n">
        <v>8</v>
      </c>
      <c r="I1155" t="n">
        <v>10.6</v>
      </c>
      <c r="J1155" t="n">
        <v>84.8</v>
      </c>
      <c r="K1155" t="n">
        <v>1.6</v>
      </c>
      <c r="L1155" t="n">
        <v>5</v>
      </c>
      <c r="M1155" t="n">
        <v>3</v>
      </c>
      <c r="N1155" t="n">
        <v>4.800000000000001</v>
      </c>
      <c r="O1155" t="n">
        <v>3.199999999999999</v>
      </c>
      <c r="P1155" t="n">
        <v>33.91999999999999</v>
      </c>
      <c r="Q1155" t="n">
        <v>0.4</v>
      </c>
      <c r="R1155" t="inlineStr">
        <is>
          <t>Sobrestock crítico</t>
        </is>
      </c>
    </row>
    <row r="1156">
      <c r="A1156" t="inlineStr">
        <is>
          <t>RIOMIDA50TXL</t>
        </is>
      </c>
      <c r="B1156" t="inlineStr">
        <is>
          <t>RIO ORIGINAL DAMA</t>
        </is>
      </c>
      <c r="C1156" t="inlineStr">
        <is>
          <t>Manufactura / Dama / P. Superiores</t>
        </is>
      </c>
      <c r="D1156" t="n">
        <v>664.81421904</v>
      </c>
      <c r="E1156" t="n">
        <v>0.0001627681744722981</v>
      </c>
      <c r="F1156" t="n">
        <v>0.8953648358697091</v>
      </c>
      <c r="G1156" t="inlineStr">
        <is>
          <t>B</t>
        </is>
      </c>
      <c r="H1156" t="n">
        <v>35</v>
      </c>
      <c r="I1156" t="n">
        <v>5.538832275</v>
      </c>
      <c r="J1156" t="n">
        <v>193.859129625</v>
      </c>
      <c r="K1156" t="n">
        <v>1.2</v>
      </c>
      <c r="L1156" t="n">
        <v>29.16666666666667</v>
      </c>
      <c r="M1156" t="n">
        <v>3</v>
      </c>
      <c r="N1156" t="n">
        <v>3.6</v>
      </c>
      <c r="O1156" t="n">
        <v>31.4</v>
      </c>
      <c r="P1156" t="n">
        <v>173.919333435</v>
      </c>
      <c r="Q1156" t="n">
        <v>0.8971428571428571</v>
      </c>
      <c r="R1156" t="inlineStr">
        <is>
          <t>Sobrestock crítico</t>
        </is>
      </c>
    </row>
    <row r="1157">
      <c r="A1157" t="inlineStr">
        <is>
          <t>ADUMMDA16TM</t>
        </is>
      </c>
      <c r="B1157" t="inlineStr">
        <is>
          <t>ACTIVE DUO DAMA</t>
        </is>
      </c>
      <c r="C1157" t="inlineStr">
        <is>
          <t>Manufactura / Caballero / P. Superiores</t>
        </is>
      </c>
      <c r="D1157" t="n">
        <v>664.67698812</v>
      </c>
      <c r="E1157" t="n">
        <v>0.0001627345758733364</v>
      </c>
      <c r="F1157" t="n">
        <v>0.8955275704455824</v>
      </c>
      <c r="G1157" t="inlineStr">
        <is>
          <t>B</t>
        </is>
      </c>
      <c r="H1157" t="n">
        <v>17</v>
      </c>
      <c r="I1157" t="n">
        <v>3.19128</v>
      </c>
      <c r="J1157" t="n">
        <v>54.25176</v>
      </c>
      <c r="K1157" t="n">
        <v>1.8</v>
      </c>
      <c r="L1157" t="n">
        <v>9.444444444444445</v>
      </c>
      <c r="M1157" t="n">
        <v>3</v>
      </c>
      <c r="N1157" t="n">
        <v>5.4</v>
      </c>
      <c r="O1157" t="n">
        <v>11.6</v>
      </c>
      <c r="P1157" t="n">
        <v>37.018848</v>
      </c>
      <c r="Q1157" t="n">
        <v>0.6823529411764706</v>
      </c>
      <c r="R1157" t="inlineStr">
        <is>
          <t>Sobrestock crítico</t>
        </is>
      </c>
    </row>
    <row r="1158">
      <c r="A1158" t="inlineStr">
        <is>
          <t>RIOMIKI48T10</t>
        </is>
      </c>
      <c r="B1158" t="inlineStr">
        <is>
          <t>RIO ORIGINAL KIDS</t>
        </is>
      </c>
      <c r="C1158" t="inlineStr">
        <is>
          <t>Manufactura / Kids / P. Superiores</t>
        </is>
      </c>
      <c r="D1158" t="n">
        <v>663.26126735</v>
      </c>
      <c r="E1158" t="n">
        <v>0.0001623879613174261</v>
      </c>
      <c r="F1158" t="n">
        <v>0.8956899584068998</v>
      </c>
      <c r="G1158" t="inlineStr">
        <is>
          <t>B</t>
        </is>
      </c>
      <c r="H1158" t="n">
        <v>8</v>
      </c>
      <c r="I1158" t="n">
        <v>3.617969464</v>
      </c>
      <c r="J1158" t="n">
        <v>28.943755712</v>
      </c>
      <c r="K1158" t="n">
        <v>1.4</v>
      </c>
      <c r="L1158" t="n">
        <v>5.714285714285714</v>
      </c>
      <c r="M1158" t="n">
        <v>3</v>
      </c>
      <c r="N1158" t="n">
        <v>4.199999999999999</v>
      </c>
      <c r="O1158" t="n">
        <v>3.800000000000001</v>
      </c>
      <c r="P1158" t="n">
        <v>13.7482839632</v>
      </c>
      <c r="Q1158" t="n">
        <v>0.4750000000000001</v>
      </c>
      <c r="R1158" t="inlineStr">
        <is>
          <t>Sobrestock crítico</t>
        </is>
      </c>
    </row>
    <row r="1159">
      <c r="A1159" t="inlineStr">
        <is>
          <t>JAPKI162T2</t>
        </is>
      </c>
      <c r="B1159" t="inlineStr">
        <is>
          <t>CUADRO JACKET 2.0 KIDS</t>
        </is>
      </c>
      <c r="C1159" t="inlineStr">
        <is>
          <t>Equipamiento / Ropa</t>
        </is>
      </c>
      <c r="D1159" t="n">
        <v>661.8087514599999</v>
      </c>
      <c r="E1159" t="n">
        <v>0.0001620323381176866</v>
      </c>
      <c r="F1159" t="n">
        <v>0.8958519907450175</v>
      </c>
      <c r="G1159" t="inlineStr">
        <is>
          <t>B</t>
        </is>
      </c>
      <c r="H1159" t="n">
        <v>26</v>
      </c>
      <c r="I1159" t="n">
        <v>15.17</v>
      </c>
      <c r="J1159" t="n">
        <v>394.42</v>
      </c>
      <c r="K1159" t="n">
        <v>1.2</v>
      </c>
      <c r="L1159" t="n">
        <v>21.66666666666667</v>
      </c>
      <c r="M1159" t="n">
        <v>3</v>
      </c>
      <c r="N1159" t="n">
        <v>3.6</v>
      </c>
      <c r="O1159" t="n">
        <v>22.4</v>
      </c>
      <c r="P1159" t="n">
        <v>339.808</v>
      </c>
      <c r="Q1159" t="n">
        <v>0.8615384615384615</v>
      </c>
      <c r="R1159" t="inlineStr">
        <is>
          <t>Sobrestock crítico</t>
        </is>
      </c>
    </row>
    <row r="1160">
      <c r="A1160" t="inlineStr">
        <is>
          <t>DAYCSTCA66T2XL</t>
        </is>
      </c>
      <c r="B1160" t="inlineStr">
        <is>
          <t>CLASICA DAILY 3.0 CAB</t>
        </is>
      </c>
      <c r="C1160" t="inlineStr">
        <is>
          <t>Manufactura / Caballero / P. Superiores</t>
        </is>
      </c>
      <c r="D1160" t="n">
        <v>661.80658815</v>
      </c>
      <c r="E1160" t="n">
        <v>0.0001620318084689375</v>
      </c>
      <c r="F1160" t="n">
        <v>0.8960140225534864</v>
      </c>
      <c r="G1160" t="inlineStr">
        <is>
          <t>B</t>
        </is>
      </c>
      <c r="H1160" t="n">
        <v>0</v>
      </c>
      <c r="I1160" t="n">
        <v>11.76035097</v>
      </c>
      <c r="J1160" t="n">
        <v>0</v>
      </c>
      <c r="K1160" t="n">
        <v>1.5</v>
      </c>
      <c r="L1160" t="n">
        <v>0</v>
      </c>
      <c r="M1160" t="n">
        <v>3</v>
      </c>
      <c r="N1160" t="n">
        <v>4.5</v>
      </c>
      <c r="O1160" t="n">
        <v>0</v>
      </c>
      <c r="P1160" t="n">
        <v>0</v>
      </c>
      <c r="Q1160" t="n">
        <v>0</v>
      </c>
      <c r="R1160" t="inlineStr">
        <is>
          <t>Riesgo bajo stock</t>
        </is>
      </c>
    </row>
    <row r="1161">
      <c r="A1161" t="inlineStr">
        <is>
          <t>ANDMIDA53TM</t>
        </is>
      </c>
      <c r="B1161" t="inlineStr">
        <is>
          <t>ANDRE ORIGINAL DAMA</t>
        </is>
      </c>
      <c r="C1161" t="inlineStr">
        <is>
          <t>Manufactura / Dama / P. Superiores</t>
        </is>
      </c>
      <c r="D1161" t="n">
        <v>660.15944871</v>
      </c>
      <c r="E1161" t="n">
        <v>0.000161628535085078</v>
      </c>
      <c r="F1161" t="n">
        <v>0.8961756510885716</v>
      </c>
      <c r="G1161" t="inlineStr">
        <is>
          <t>B</t>
        </is>
      </c>
      <c r="H1161" t="n">
        <v>4</v>
      </c>
      <c r="I1161" t="n">
        <v>3.274295302</v>
      </c>
      <c r="J1161" t="n">
        <v>13.097181208</v>
      </c>
      <c r="K1161" t="n">
        <v>2</v>
      </c>
      <c r="L1161" t="n">
        <v>2</v>
      </c>
      <c r="M1161" t="n">
        <v>3</v>
      </c>
      <c r="N1161" t="n">
        <v>6</v>
      </c>
      <c r="O1161" t="n">
        <v>0</v>
      </c>
      <c r="P1161" t="n">
        <v>0</v>
      </c>
      <c r="Q1161" t="n">
        <v>0</v>
      </c>
      <c r="R1161" t="inlineStr">
        <is>
          <t>OK</t>
        </is>
      </c>
    </row>
    <row r="1162">
      <c r="A1162" t="inlineStr">
        <is>
          <t>ZOEMIDA12TM</t>
        </is>
      </c>
      <c r="B1162" t="inlineStr">
        <is>
          <t>ZOE ORIGINAL DAMA</t>
        </is>
      </c>
      <c r="C1162" t="inlineStr">
        <is>
          <t>Manufactura / Dama / P. Superiores</t>
        </is>
      </c>
      <c r="D1162" t="n">
        <v>659.91783312</v>
      </c>
      <c r="E1162" t="n">
        <v>0.0001615693797189892</v>
      </c>
      <c r="F1162" t="n">
        <v>0.8963372204682906</v>
      </c>
      <c r="G1162" t="inlineStr">
        <is>
          <t>B</t>
        </is>
      </c>
      <c r="H1162" t="n">
        <v>0</v>
      </c>
      <c r="I1162" t="n">
        <v>4.116585696</v>
      </c>
      <c r="J1162" t="n">
        <v>0</v>
      </c>
      <c r="K1162" t="n">
        <v>1.8</v>
      </c>
      <c r="L1162" t="n">
        <v>0</v>
      </c>
      <c r="M1162" t="n">
        <v>3</v>
      </c>
      <c r="N1162" t="n">
        <v>5.4</v>
      </c>
      <c r="O1162" t="n">
        <v>0</v>
      </c>
      <c r="P1162" t="n">
        <v>0</v>
      </c>
      <c r="Q1162" t="n">
        <v>0</v>
      </c>
      <c r="R1162" t="inlineStr">
        <is>
          <t>Riesgo bajo stock</t>
        </is>
      </c>
    </row>
    <row r="1163">
      <c r="A1163" t="inlineStr">
        <is>
          <t>ADUMMDA16TS</t>
        </is>
      </c>
      <c r="B1163" t="inlineStr">
        <is>
          <t>ACTIVE DUO DAMA</t>
        </is>
      </c>
      <c r="C1163" t="inlineStr">
        <is>
          <t>Manufactura / Caballero / P. Superiores</t>
        </is>
      </c>
      <c r="D1163" t="n">
        <v>659.7295639399999</v>
      </c>
      <c r="E1163" t="n">
        <v>0.0001615232852916133</v>
      </c>
      <c r="F1163" t="n">
        <v>0.8964987437535822</v>
      </c>
      <c r="G1163" t="inlineStr">
        <is>
          <t>B</t>
        </is>
      </c>
      <c r="H1163" t="n">
        <v>16</v>
      </c>
      <c r="I1163" t="n">
        <v>3.19128</v>
      </c>
      <c r="J1163" t="n">
        <v>51.06048</v>
      </c>
      <c r="K1163" t="n">
        <v>2</v>
      </c>
      <c r="L1163" t="n">
        <v>8</v>
      </c>
      <c r="M1163" t="n">
        <v>3</v>
      </c>
      <c r="N1163" t="n">
        <v>6</v>
      </c>
      <c r="O1163" t="n">
        <v>10</v>
      </c>
      <c r="P1163" t="n">
        <v>31.9128</v>
      </c>
      <c r="Q1163" t="n">
        <v>0.625</v>
      </c>
      <c r="R1163" t="inlineStr">
        <is>
          <t>Sobrestock crítico</t>
        </is>
      </c>
    </row>
    <row r="1164">
      <c r="A1164" t="inlineStr">
        <is>
          <t>DAYCSTCA43T2XL</t>
        </is>
      </c>
      <c r="B1164" t="inlineStr">
        <is>
          <t>CLASICA DAILY 3.0 CAB</t>
        </is>
      </c>
      <c r="C1164" t="inlineStr">
        <is>
          <t>Manufactura / Caballero / P. Superiores</t>
        </is>
      </c>
      <c r="D1164" t="n">
        <v>658.66744562</v>
      </c>
      <c r="E1164" t="n">
        <v>0.0001612632441326417</v>
      </c>
      <c r="F1164" t="n">
        <v>0.8966600069977148</v>
      </c>
      <c r="G1164" t="inlineStr">
        <is>
          <t>B</t>
        </is>
      </c>
      <c r="H1164" t="n">
        <v>2</v>
      </c>
      <c r="I1164" t="n">
        <v>11.76035097</v>
      </c>
      <c r="J1164" t="n">
        <v>23.52070194</v>
      </c>
      <c r="K1164" t="n">
        <v>1.5</v>
      </c>
      <c r="L1164" t="n">
        <v>1.333333333333333</v>
      </c>
      <c r="M1164" t="n">
        <v>3</v>
      </c>
      <c r="N1164" t="n">
        <v>4.5</v>
      </c>
      <c r="O1164" t="n">
        <v>0</v>
      </c>
      <c r="P1164" t="n">
        <v>0</v>
      </c>
      <c r="Q1164" t="n">
        <v>0</v>
      </c>
      <c r="R1164" t="inlineStr">
        <is>
          <t>OK</t>
        </is>
      </c>
    </row>
    <row r="1165">
      <c r="A1165" t="inlineStr">
        <is>
          <t>SARSPKI16T10</t>
        </is>
      </c>
      <c r="B1165" t="inlineStr">
        <is>
          <t>FALDA SARA KIDS</t>
        </is>
      </c>
      <c r="C1165" t="inlineStr">
        <is>
          <t>Manufactura / Kids / P. Inferiores</t>
        </is>
      </c>
      <c r="D1165" t="n">
        <v>656.36956506</v>
      </c>
      <c r="E1165" t="n">
        <v>0.0001607006481273296</v>
      </c>
      <c r="F1165" t="n">
        <v>0.8968207076458421</v>
      </c>
      <c r="G1165" t="inlineStr">
        <is>
          <t>B</t>
        </is>
      </c>
      <c r="H1165" t="n">
        <v>16</v>
      </c>
      <c r="I1165" t="n">
        <v>5.753743316</v>
      </c>
      <c r="J1165" t="n">
        <v>92.05989305600001</v>
      </c>
      <c r="K1165" t="n">
        <v>1.6</v>
      </c>
      <c r="L1165" t="n">
        <v>10</v>
      </c>
      <c r="M1165" t="n">
        <v>3</v>
      </c>
      <c r="N1165" t="n">
        <v>4.800000000000001</v>
      </c>
      <c r="O1165" t="n">
        <v>11.2</v>
      </c>
      <c r="P1165" t="n">
        <v>64.44192513919999</v>
      </c>
      <c r="Q1165" t="n">
        <v>0.6999999999999998</v>
      </c>
      <c r="R1165" t="inlineStr">
        <is>
          <t>Sobrestock crítico</t>
        </is>
      </c>
    </row>
    <row r="1166">
      <c r="A1166" t="inlineStr">
        <is>
          <t>SHONTCA12TM</t>
        </is>
      </c>
      <c r="B1166" t="inlineStr">
        <is>
          <t>EXPLORE SHORT CAB</t>
        </is>
      </c>
      <c r="C1166" t="inlineStr">
        <is>
          <t>Manufactura / Caballero / P. Inferiores</t>
        </is>
      </c>
      <c r="D1166" t="n">
        <v>655.80962828</v>
      </c>
      <c r="E1166" t="n">
        <v>0.0001605635573658954</v>
      </c>
      <c r="F1166" t="n">
        <v>0.8969812712032079</v>
      </c>
      <c r="G1166" t="inlineStr">
        <is>
          <t>B</t>
        </is>
      </c>
      <c r="H1166" t="n">
        <v>1</v>
      </c>
      <c r="I1166" t="n">
        <v>11.17</v>
      </c>
      <c r="J1166" t="n">
        <v>11.17</v>
      </c>
      <c r="K1166" t="n">
        <v>1.2</v>
      </c>
      <c r="L1166" t="n">
        <v>0.8333333333333334</v>
      </c>
      <c r="M1166" t="n">
        <v>3</v>
      </c>
      <c r="N1166" t="n">
        <v>3.6</v>
      </c>
      <c r="O1166" t="n">
        <v>0</v>
      </c>
      <c r="P1166" t="n">
        <v>0</v>
      </c>
      <c r="Q1166" t="n">
        <v>0</v>
      </c>
      <c r="R1166" t="inlineStr">
        <is>
          <t>Riesgo bajo stock</t>
        </is>
      </c>
    </row>
    <row r="1167">
      <c r="A1167" t="inlineStr">
        <is>
          <t>DOMBFCA206TM</t>
        </is>
      </c>
      <c r="B1167" t="inlineStr">
        <is>
          <t>DOMINIC BIO MOVE CAB</t>
        </is>
      </c>
      <c r="C1167" t="inlineStr">
        <is>
          <t>Manufactura / Caballero / P. Superiores</t>
        </is>
      </c>
      <c r="D1167" t="n">
        <v>655.6101953800001</v>
      </c>
      <c r="E1167" t="n">
        <v>0.0001605147296962502</v>
      </c>
      <c r="F1167" t="n">
        <v>0.8971417859329043</v>
      </c>
      <c r="G1167" t="inlineStr">
        <is>
          <t>B</t>
        </is>
      </c>
      <c r="H1167" t="n">
        <v>27</v>
      </c>
      <c r="I1167" t="n">
        <v>13.86</v>
      </c>
      <c r="J1167" t="n">
        <v>374.2199999999999</v>
      </c>
      <c r="K1167" t="n">
        <v>1.3</v>
      </c>
      <c r="L1167" t="n">
        <v>20.76923076923077</v>
      </c>
      <c r="M1167" t="n">
        <v>3</v>
      </c>
      <c r="N1167" t="n">
        <v>3.9</v>
      </c>
      <c r="O1167" t="n">
        <v>23.1</v>
      </c>
      <c r="P1167" t="n">
        <v>320.1659999999999</v>
      </c>
      <c r="Q1167" t="n">
        <v>0.8555555555555556</v>
      </c>
      <c r="R1167" t="inlineStr">
        <is>
          <t>Sobrestock crítico</t>
        </is>
      </c>
    </row>
    <row r="1168">
      <c r="A1168" t="inlineStr">
        <is>
          <t>SABMEDA16TM</t>
        </is>
      </c>
      <c r="B1168" t="inlineStr">
        <is>
          <t>SABRI SPORT DAMA</t>
        </is>
      </c>
      <c r="C1168" t="inlineStr">
        <is>
          <t>Manufactura / Dama / P. Superiores</t>
        </is>
      </c>
      <c r="D1168" t="n">
        <v>654.95748617</v>
      </c>
      <c r="E1168" t="n">
        <v>0.0001603549252222629</v>
      </c>
      <c r="F1168" t="n">
        <v>0.8973021408581265</v>
      </c>
      <c r="G1168" t="inlineStr">
        <is>
          <t>B</t>
        </is>
      </c>
      <c r="H1168" t="n">
        <v>4</v>
      </c>
      <c r="I1168" t="n">
        <v>4.51</v>
      </c>
      <c r="J1168" t="n">
        <v>18.04</v>
      </c>
      <c r="K1168" t="n">
        <v>1.9</v>
      </c>
      <c r="L1168" t="n">
        <v>2.105263157894737</v>
      </c>
      <c r="M1168" t="n">
        <v>3</v>
      </c>
      <c r="N1168" t="n">
        <v>5.699999999999999</v>
      </c>
      <c r="O1168" t="n">
        <v>0</v>
      </c>
      <c r="P1168" t="n">
        <v>0</v>
      </c>
      <c r="Q1168" t="n">
        <v>0</v>
      </c>
      <c r="R1168" t="inlineStr">
        <is>
          <t>OK</t>
        </is>
      </c>
    </row>
    <row r="1169">
      <c r="A1169" t="inlineStr">
        <is>
          <t>LAN39EQ</t>
        </is>
      </c>
      <c r="B1169" t="inlineStr">
        <is>
          <t>LANYARD</t>
        </is>
      </c>
      <c r="C1169" t="inlineStr">
        <is>
          <t>Equipamiento / Accesorios</t>
        </is>
      </c>
      <c r="D1169" t="n">
        <v>654.8510700959999</v>
      </c>
      <c r="E1169" t="n">
        <v>0.0001603288711012718</v>
      </c>
      <c r="F1169" t="n">
        <v>0.8974624697292278</v>
      </c>
      <c r="G1169" t="inlineStr">
        <is>
          <t>B</t>
        </is>
      </c>
      <c r="H1169" t="n">
        <v>627</v>
      </c>
      <c r="I1169" t="n">
        <v>0.51</v>
      </c>
      <c r="J1169" t="n">
        <v>319.77</v>
      </c>
      <c r="K1169" t="n">
        <v>19.9</v>
      </c>
      <c r="L1169" t="n">
        <v>31.50753768844221</v>
      </c>
      <c r="M1169" t="n">
        <v>3</v>
      </c>
      <c r="N1169" t="n">
        <v>59.7</v>
      </c>
      <c r="O1169" t="n">
        <v>567.3</v>
      </c>
      <c r="P1169" t="n">
        <v>289.323</v>
      </c>
      <c r="Q1169" t="n">
        <v>0.9047846889952152</v>
      </c>
      <c r="R1169" t="inlineStr">
        <is>
          <t>Sobrestock crítico</t>
        </is>
      </c>
    </row>
    <row r="1170">
      <c r="A1170" t="inlineStr">
        <is>
          <t>MARMIKI30T4</t>
        </is>
      </c>
      <c r="B1170" t="inlineStr">
        <is>
          <t>MAR ORIGINAL KIDS</t>
        </is>
      </c>
      <c r="C1170" t="inlineStr">
        <is>
          <t>Manufactura / Kids / P. Superiores</t>
        </is>
      </c>
      <c r="D1170" t="n">
        <v>652.79161343</v>
      </c>
      <c r="E1170" t="n">
        <v>0.000159824649030911</v>
      </c>
      <c r="F1170" t="n">
        <v>0.8976222943782587</v>
      </c>
      <c r="G1170" t="inlineStr">
        <is>
          <t>B</t>
        </is>
      </c>
      <c r="H1170" t="n">
        <v>7</v>
      </c>
      <c r="I1170" t="n">
        <v>3.168013332</v>
      </c>
      <c r="J1170" t="n">
        <v>22.176093324</v>
      </c>
      <c r="K1170" t="n">
        <v>1.7</v>
      </c>
      <c r="L1170" t="n">
        <v>4.11764705882353</v>
      </c>
      <c r="M1170" t="n">
        <v>3</v>
      </c>
      <c r="N1170" t="n">
        <v>5.1</v>
      </c>
      <c r="O1170" t="n">
        <v>1.9</v>
      </c>
      <c r="P1170" t="n">
        <v>6.019225330800001</v>
      </c>
      <c r="Q1170" t="n">
        <v>0.2714285714285715</v>
      </c>
      <c r="R1170" t="inlineStr">
        <is>
          <t>Sobrestock</t>
        </is>
      </c>
    </row>
    <row r="1171">
      <c r="A1171" t="inlineStr">
        <is>
          <t>CLAMECA43T2XL</t>
        </is>
      </c>
      <c r="B1171" t="inlineStr">
        <is>
          <t>CLASICA SPORT CAB</t>
        </is>
      </c>
      <c r="C1171" t="inlineStr">
        <is>
          <t>Manufactura / Caballero / P. Superiores</t>
        </is>
      </c>
      <c r="D1171" t="n">
        <v>649.65078176</v>
      </c>
      <c r="E1171" t="n">
        <v>0.0001590556711381263</v>
      </c>
      <c r="F1171" t="n">
        <v>0.8977813500493969</v>
      </c>
      <c r="G1171" t="inlineStr">
        <is>
          <t>B</t>
        </is>
      </c>
      <c r="H1171" t="n">
        <v>17</v>
      </c>
      <c r="I1171" t="n">
        <v>10.3013454</v>
      </c>
      <c r="J1171" t="n">
        <v>175.1228718</v>
      </c>
      <c r="K1171" t="n">
        <v>1.6</v>
      </c>
      <c r="L1171" t="n">
        <v>10.625</v>
      </c>
      <c r="M1171" t="n">
        <v>3</v>
      </c>
      <c r="N1171" t="n">
        <v>4.800000000000001</v>
      </c>
      <c r="O1171" t="n">
        <v>12.2</v>
      </c>
      <c r="P1171" t="n">
        <v>125.67641388</v>
      </c>
      <c r="Q1171" t="n">
        <v>0.7176470588235293</v>
      </c>
      <c r="R1171" t="inlineStr">
        <is>
          <t>Sobrestock crítico</t>
        </is>
      </c>
    </row>
    <row r="1172">
      <c r="A1172" t="inlineStr">
        <is>
          <t>ADUMMCA11TM</t>
        </is>
      </c>
      <c r="B1172" t="inlineStr">
        <is>
          <t>ACTIVE DUO CAB</t>
        </is>
      </c>
      <c r="C1172" t="inlineStr">
        <is>
          <t>Manufactura / Caballero / P. Superiores</t>
        </is>
      </c>
      <c r="D1172" t="n">
        <v>649.29684044</v>
      </c>
      <c r="E1172" t="n">
        <v>0.0001589690147747743</v>
      </c>
      <c r="F1172" t="n">
        <v>0.8979403190641716</v>
      </c>
      <c r="G1172" t="inlineStr">
        <is>
          <t>B</t>
        </is>
      </c>
      <c r="H1172" t="n">
        <v>16</v>
      </c>
      <c r="I1172" t="n">
        <v>5.09</v>
      </c>
      <c r="J1172" t="n">
        <v>81.44</v>
      </c>
      <c r="K1172" t="n">
        <v>1.9</v>
      </c>
      <c r="L1172" t="n">
        <v>8.421052631578947</v>
      </c>
      <c r="M1172" t="n">
        <v>3</v>
      </c>
      <c r="N1172" t="n">
        <v>5.699999999999999</v>
      </c>
      <c r="O1172" t="n">
        <v>10.3</v>
      </c>
      <c r="P1172" t="n">
        <v>52.427</v>
      </c>
      <c r="Q1172" t="n">
        <v>0.64375</v>
      </c>
      <c r="R1172" t="inlineStr">
        <is>
          <t>Sobrestock crítico</t>
        </is>
      </c>
    </row>
    <row r="1173">
      <c r="A1173" t="inlineStr">
        <is>
          <t>SARSPKI43T14</t>
        </is>
      </c>
      <c r="B1173" t="inlineStr">
        <is>
          <t>FALDA SARA KIDS</t>
        </is>
      </c>
      <c r="C1173" t="inlineStr">
        <is>
          <t>Manufactura / Kids / P. Inferiores</t>
        </is>
      </c>
      <c r="D1173" t="n">
        <v>648.93135417</v>
      </c>
      <c r="E1173" t="n">
        <v>0.0001588795318316319</v>
      </c>
      <c r="F1173" t="n">
        <v>0.8980991985960032</v>
      </c>
      <c r="G1173" t="inlineStr">
        <is>
          <t>B</t>
        </is>
      </c>
      <c r="H1173" t="n">
        <v>15</v>
      </c>
      <c r="I1173" t="n">
        <v>5.753743316</v>
      </c>
      <c r="J1173" t="n">
        <v>86.30614974000001</v>
      </c>
      <c r="K1173" t="n">
        <v>1.6</v>
      </c>
      <c r="L1173" t="n">
        <v>9.375</v>
      </c>
      <c r="M1173" t="n">
        <v>3</v>
      </c>
      <c r="N1173" t="n">
        <v>4.800000000000001</v>
      </c>
      <c r="O1173" t="n">
        <v>10.2</v>
      </c>
      <c r="P1173" t="n">
        <v>58.6881818232</v>
      </c>
      <c r="Q1173" t="n">
        <v>0.6799999999999999</v>
      </c>
      <c r="R1173" t="inlineStr">
        <is>
          <t>Sobrestock crítico</t>
        </is>
      </c>
    </row>
    <row r="1174">
      <c r="A1174" t="inlineStr">
        <is>
          <t>MARMIKI48T2</t>
        </is>
      </c>
      <c r="B1174" t="inlineStr">
        <is>
          <t>MAR ORIGINAL KIDS</t>
        </is>
      </c>
      <c r="C1174" t="inlineStr">
        <is>
          <t>Manufactura / Kids / P. Superiores</t>
        </is>
      </c>
      <c r="D1174" t="n">
        <v>647.48473244</v>
      </c>
      <c r="E1174" t="n">
        <v>0.000158525351714239</v>
      </c>
      <c r="F1174" t="n">
        <v>0.8982577239477174</v>
      </c>
      <c r="G1174" t="inlineStr">
        <is>
          <t>B</t>
        </is>
      </c>
      <c r="H1174" t="n">
        <v>12</v>
      </c>
      <c r="I1174" t="n">
        <v>3.168013332</v>
      </c>
      <c r="J1174" t="n">
        <v>38.016159984</v>
      </c>
      <c r="K1174" t="n">
        <v>1.7</v>
      </c>
      <c r="L1174" t="n">
        <v>7.058823529411764</v>
      </c>
      <c r="M1174" t="n">
        <v>3</v>
      </c>
      <c r="N1174" t="n">
        <v>5.1</v>
      </c>
      <c r="O1174" t="n">
        <v>6.9</v>
      </c>
      <c r="P1174" t="n">
        <v>21.8592919908</v>
      </c>
      <c r="Q1174" t="n">
        <v>0.5750000000000001</v>
      </c>
      <c r="R1174" t="inlineStr">
        <is>
          <t>Sobrestock crítico</t>
        </is>
      </c>
    </row>
    <row r="1175">
      <c r="A1175" t="inlineStr">
        <is>
          <t>SHOSUKI154T12</t>
        </is>
      </c>
      <c r="B1175" t="inlineStr">
        <is>
          <t>SHORT PLAYA ESTAMPADO KIDS</t>
        </is>
      </c>
      <c r="C1175" t="inlineStr">
        <is>
          <t>Manufactura / Kids / P. Superiores</t>
        </is>
      </c>
      <c r="D1175" t="n">
        <v>647.1087151199999</v>
      </c>
      <c r="E1175" t="n">
        <v>0.00015843329042705</v>
      </c>
      <c r="F1175" t="n">
        <v>0.8984161572381445</v>
      </c>
      <c r="G1175" t="inlineStr">
        <is>
          <t>B</t>
        </is>
      </c>
      <c r="H1175" t="n">
        <v>33</v>
      </c>
      <c r="I1175" t="n">
        <v>7.21</v>
      </c>
      <c r="J1175" t="n">
        <v>237.93</v>
      </c>
      <c r="K1175" t="n">
        <v>1.3</v>
      </c>
      <c r="L1175" t="n">
        <v>25.38461538461538</v>
      </c>
      <c r="M1175" t="n">
        <v>3</v>
      </c>
      <c r="N1175" t="n">
        <v>3.9</v>
      </c>
      <c r="O1175" t="n">
        <v>29.1</v>
      </c>
      <c r="P1175" t="n">
        <v>209.811</v>
      </c>
      <c r="Q1175" t="n">
        <v>0.8818181818181818</v>
      </c>
      <c r="R1175" t="inlineStr">
        <is>
          <t>Sobrestock crítico</t>
        </is>
      </c>
    </row>
    <row r="1176">
      <c r="A1176" t="inlineStr">
        <is>
          <t>RIOMIDA13TS</t>
        </is>
      </c>
      <c r="B1176" t="inlineStr">
        <is>
          <t>RIO ORIGINAL DAMA</t>
        </is>
      </c>
      <c r="C1176" t="inlineStr">
        <is>
          <t>Manufactura / Dama / P. Superiores</t>
        </is>
      </c>
      <c r="D1176" t="n">
        <v>646.19191014</v>
      </c>
      <c r="E1176" t="n">
        <v>0.0001582088267067085</v>
      </c>
      <c r="F1176" t="n">
        <v>0.8985743660648512</v>
      </c>
      <c r="G1176" t="inlineStr">
        <is>
          <t>B</t>
        </is>
      </c>
      <c r="H1176" t="n">
        <v>0</v>
      </c>
      <c r="I1176" t="n">
        <v>5.538832275</v>
      </c>
      <c r="J1176" t="n">
        <v>0</v>
      </c>
      <c r="K1176" t="n">
        <v>1.4</v>
      </c>
      <c r="L1176" t="n">
        <v>0</v>
      </c>
      <c r="M1176" t="n">
        <v>3</v>
      </c>
      <c r="N1176" t="n">
        <v>4.199999999999999</v>
      </c>
      <c r="O1176" t="n">
        <v>0</v>
      </c>
      <c r="P1176" t="n">
        <v>0</v>
      </c>
      <c r="Q1176" t="n">
        <v>0</v>
      </c>
      <c r="R1176" t="inlineStr">
        <is>
          <t>Riesgo bajo stock</t>
        </is>
      </c>
    </row>
    <row r="1177">
      <c r="A1177" t="inlineStr">
        <is>
          <t>BASCCDA38TXL</t>
        </is>
      </c>
      <c r="B1177" t="inlineStr">
        <is>
          <t>BASIC LINE SHORT DAMA</t>
        </is>
      </c>
      <c r="C1177" t="inlineStr">
        <is>
          <t>Manufactura / Dama / P. Inferiores</t>
        </is>
      </c>
      <c r="D1177" t="n">
        <v>644.63243415</v>
      </c>
      <c r="E1177" t="n">
        <v>0.0001578270161906936</v>
      </c>
      <c r="F1177" t="n">
        <v>0.8987321930810419</v>
      </c>
      <c r="G1177" t="inlineStr">
        <is>
          <t>B</t>
        </is>
      </c>
      <c r="H1177" t="n">
        <v>28</v>
      </c>
      <c r="I1177" t="n">
        <v>6.01</v>
      </c>
      <c r="J1177" t="n">
        <v>168.28</v>
      </c>
      <c r="K1177" t="n">
        <v>1.5</v>
      </c>
      <c r="L1177" t="n">
        <v>18.66666666666667</v>
      </c>
      <c r="M1177" t="n">
        <v>3</v>
      </c>
      <c r="N1177" t="n">
        <v>4.5</v>
      </c>
      <c r="O1177" t="n">
        <v>23.5</v>
      </c>
      <c r="P1177" t="n">
        <v>141.235</v>
      </c>
      <c r="Q1177" t="n">
        <v>0.8392857142857142</v>
      </c>
      <c r="R1177" t="inlineStr">
        <is>
          <t>Sobrestock crítico</t>
        </is>
      </c>
    </row>
    <row r="1178">
      <c r="A1178" t="inlineStr">
        <is>
          <t>GEMBADA12TXS</t>
        </is>
      </c>
      <c r="B1178" t="inlineStr">
        <is>
          <t>VESTIDO GEMMA DAMA</t>
        </is>
      </c>
      <c r="C1178" t="inlineStr">
        <is>
          <t>Manufactura / Dama / Conjuntos</t>
        </is>
      </c>
      <c r="D1178" t="n">
        <v>644.3011709800001</v>
      </c>
      <c r="E1178" t="n">
        <v>0.0001577459121771112</v>
      </c>
      <c r="F1178" t="n">
        <v>0.8988899389932191</v>
      </c>
      <c r="G1178" t="inlineStr">
        <is>
          <t>B</t>
        </is>
      </c>
      <c r="H1178" t="n">
        <v>21</v>
      </c>
      <c r="I1178" t="n">
        <v>23.99</v>
      </c>
      <c r="J1178" t="n">
        <v>503.79</v>
      </c>
      <c r="K1178" t="n">
        <v>1.7</v>
      </c>
      <c r="L1178" t="n">
        <v>12.35294117647059</v>
      </c>
      <c r="M1178" t="n">
        <v>3</v>
      </c>
      <c r="N1178" t="n">
        <v>5.1</v>
      </c>
      <c r="O1178" t="n">
        <v>15.9</v>
      </c>
      <c r="P1178" t="n">
        <v>381.441</v>
      </c>
      <c r="Q1178" t="n">
        <v>0.7571428571428571</v>
      </c>
      <c r="R1178" t="inlineStr">
        <is>
          <t>Sobrestock crítico</t>
        </is>
      </c>
    </row>
    <row r="1179">
      <c r="A1179" t="inlineStr">
        <is>
          <t>CLAMIDA70TS</t>
        </is>
      </c>
      <c r="B1179" t="inlineStr">
        <is>
          <t>CLASICA ORIGINAL DAMA</t>
        </is>
      </c>
      <c r="C1179" t="inlineStr">
        <is>
          <t>Manufactura / Dama / P. Superiores</t>
        </is>
      </c>
      <c r="D1179" t="n">
        <v>644.00840623</v>
      </c>
      <c r="E1179" t="n">
        <v>0.0001576742338306761</v>
      </c>
      <c r="F1179" t="n">
        <v>0.8990476132270497</v>
      </c>
      <c r="G1179" t="inlineStr">
        <is>
          <t>B</t>
        </is>
      </c>
      <c r="H1179" t="n">
        <v>21</v>
      </c>
      <c r="I1179" t="n">
        <v>3.923227589</v>
      </c>
      <c r="J1179" t="n">
        <v>82.387779369</v>
      </c>
      <c r="K1179" t="n">
        <v>1.6</v>
      </c>
      <c r="L1179" t="n">
        <v>13.125</v>
      </c>
      <c r="M1179" t="n">
        <v>3</v>
      </c>
      <c r="N1179" t="n">
        <v>4.800000000000001</v>
      </c>
      <c r="O1179" t="n">
        <v>16.2</v>
      </c>
      <c r="P1179" t="n">
        <v>63.5562869418</v>
      </c>
      <c r="Q1179" t="n">
        <v>0.7714285714285714</v>
      </c>
      <c r="R1179" t="inlineStr">
        <is>
          <t>Sobrestock crítico</t>
        </is>
      </c>
    </row>
    <row r="1180">
      <c r="A1180" t="inlineStr">
        <is>
          <t>SARSPDA30TS</t>
        </is>
      </c>
      <c r="B1180" t="inlineStr">
        <is>
          <t>FALDA SARA DAMA</t>
        </is>
      </c>
      <c r="C1180" t="inlineStr">
        <is>
          <t>Manufactura / Dama / P. Inferiores</t>
        </is>
      </c>
      <c r="D1180" t="n">
        <v>641.8851486900001</v>
      </c>
      <c r="E1180" t="n">
        <v>0.0001571543912283031</v>
      </c>
      <c r="F1180" t="n">
        <v>0.8992047676182781</v>
      </c>
      <c r="G1180" t="inlineStr">
        <is>
          <t>B</t>
        </is>
      </c>
      <c r="H1180" t="n">
        <v>2</v>
      </c>
      <c r="I1180" t="n">
        <v>9.500113852</v>
      </c>
      <c r="J1180" t="n">
        <v>19.000227704</v>
      </c>
      <c r="K1180" t="n">
        <v>1.3</v>
      </c>
      <c r="L1180" t="n">
        <v>1.538461538461538</v>
      </c>
      <c r="M1180" t="n">
        <v>3</v>
      </c>
      <c r="N1180" t="n">
        <v>3.9</v>
      </c>
      <c r="O1180" t="n">
        <v>0</v>
      </c>
      <c r="P1180" t="n">
        <v>0</v>
      </c>
      <c r="Q1180" t="n">
        <v>0</v>
      </c>
      <c r="R1180" t="inlineStr">
        <is>
          <t>OK</t>
        </is>
      </c>
    </row>
    <row r="1181">
      <c r="A1181" t="inlineStr">
        <is>
          <t>SARSPKI16T8</t>
        </is>
      </c>
      <c r="B1181" t="inlineStr">
        <is>
          <t>FALDA SARA KIDS</t>
        </is>
      </c>
      <c r="C1181" t="inlineStr">
        <is>
          <t>Manufactura / Kids / P. Inferiores</t>
        </is>
      </c>
      <c r="D1181" t="n">
        <v>641.5977346</v>
      </c>
      <c r="E1181" t="n">
        <v>0.0001570840228977122</v>
      </c>
      <c r="F1181" t="n">
        <v>0.8993618516411757</v>
      </c>
      <c r="G1181" t="inlineStr">
        <is>
          <t>B</t>
        </is>
      </c>
      <c r="H1181" t="n">
        <v>18</v>
      </c>
      <c r="I1181" t="n">
        <v>5.753743316</v>
      </c>
      <c r="J1181" t="n">
        <v>103.567379688</v>
      </c>
      <c r="K1181" t="n">
        <v>1.7</v>
      </c>
      <c r="L1181" t="n">
        <v>10.58823529411765</v>
      </c>
      <c r="M1181" t="n">
        <v>3</v>
      </c>
      <c r="N1181" t="n">
        <v>5.1</v>
      </c>
      <c r="O1181" t="n">
        <v>12.9</v>
      </c>
      <c r="P1181" t="n">
        <v>74.22328877640001</v>
      </c>
      <c r="Q1181" t="n">
        <v>0.7166666666666668</v>
      </c>
      <c r="R1181" t="inlineStr">
        <is>
          <t>Sobrestock crítico</t>
        </is>
      </c>
    </row>
    <row r="1182">
      <c r="A1182" t="inlineStr">
        <is>
          <t>SHOUNCA38TXL</t>
        </is>
      </c>
      <c r="B1182" t="inlineStr">
        <is>
          <t>SHORT PLAYA CAB</t>
        </is>
      </c>
      <c r="C1182" t="inlineStr">
        <is>
          <t>Manufactura / Caballero / P. Inferiores</t>
        </is>
      </c>
      <c r="D1182" t="n">
        <v>641.53494974</v>
      </c>
      <c r="E1182" t="n">
        <v>0.0001570686511190197</v>
      </c>
      <c r="F1182" t="n">
        <v>0.8995189202922947</v>
      </c>
      <c r="G1182" t="inlineStr">
        <is>
          <t>B</t>
        </is>
      </c>
      <c r="H1182" t="n">
        <v>24</v>
      </c>
      <c r="I1182" t="n">
        <v>9.99</v>
      </c>
      <c r="J1182" t="n">
        <v>239.76</v>
      </c>
      <c r="K1182" t="n">
        <v>1.2</v>
      </c>
      <c r="L1182" t="n">
        <v>20</v>
      </c>
      <c r="M1182" t="n">
        <v>3</v>
      </c>
      <c r="N1182" t="n">
        <v>3.6</v>
      </c>
      <c r="O1182" t="n">
        <v>20.4</v>
      </c>
      <c r="P1182" t="n">
        <v>203.796</v>
      </c>
      <c r="Q1182" t="n">
        <v>0.85</v>
      </c>
      <c r="R1182" t="inlineStr">
        <is>
          <t>Sobrestock crítico</t>
        </is>
      </c>
    </row>
    <row r="1183">
      <c r="A1183" t="inlineStr">
        <is>
          <t>RIOMIKI48T2</t>
        </is>
      </c>
      <c r="B1183" t="inlineStr">
        <is>
          <t>RIO ORIGINAL KIDS</t>
        </is>
      </c>
      <c r="C1183" t="inlineStr">
        <is>
          <t>Manufactura / Kids / P. Superiores</t>
        </is>
      </c>
      <c r="D1183" t="n">
        <v>638.8967062299999</v>
      </c>
      <c r="E1183" t="n">
        <v>0.0001564227231775924</v>
      </c>
      <c r="F1183" t="n">
        <v>0.8996753430154723</v>
      </c>
      <c r="G1183" t="inlineStr">
        <is>
          <t>B</t>
        </is>
      </c>
      <c r="H1183" t="n">
        <v>43</v>
      </c>
      <c r="I1183" t="n">
        <v>3.617969464</v>
      </c>
      <c r="J1183" t="n">
        <v>155.572686952</v>
      </c>
      <c r="K1183" t="n">
        <v>1.6</v>
      </c>
      <c r="L1183" t="n">
        <v>26.875</v>
      </c>
      <c r="M1183" t="n">
        <v>3</v>
      </c>
      <c r="N1183" t="n">
        <v>4.800000000000001</v>
      </c>
      <c r="O1183" t="n">
        <v>38.2</v>
      </c>
      <c r="P1183" t="n">
        <v>138.2064335248</v>
      </c>
      <c r="Q1183" t="n">
        <v>0.8883720930232559</v>
      </c>
      <c r="R1183" t="inlineStr">
        <is>
          <t>Sobrestock crítico</t>
        </is>
      </c>
    </row>
    <row r="1184">
      <c r="A1184" t="inlineStr">
        <is>
          <t>GEMBADA43TXS</t>
        </is>
      </c>
      <c r="B1184" t="inlineStr">
        <is>
          <t>VESTIDO GEMMA DAMA</t>
        </is>
      </c>
      <c r="C1184" t="inlineStr">
        <is>
          <t>Manufactura / Dama / Conjuntos</t>
        </is>
      </c>
      <c r="D1184" t="n">
        <v>635.7230642100001</v>
      </c>
      <c r="E1184" t="n">
        <v>0.0001556457122424625</v>
      </c>
      <c r="F1184" t="n">
        <v>0.8998309887277148</v>
      </c>
      <c r="G1184" t="inlineStr">
        <is>
          <t>B</t>
        </is>
      </c>
      <c r="H1184" t="n">
        <v>16</v>
      </c>
      <c r="I1184" t="n">
        <v>23.99</v>
      </c>
      <c r="J1184" t="n">
        <v>383.84</v>
      </c>
      <c r="K1184" t="n">
        <v>1.3</v>
      </c>
      <c r="L1184" t="n">
        <v>12.30769230769231</v>
      </c>
      <c r="M1184" t="n">
        <v>3</v>
      </c>
      <c r="N1184" t="n">
        <v>3.9</v>
      </c>
      <c r="O1184" t="n">
        <v>12.1</v>
      </c>
      <c r="P1184" t="n">
        <v>290.279</v>
      </c>
      <c r="Q1184" t="n">
        <v>0.75625</v>
      </c>
      <c r="R1184" t="inlineStr">
        <is>
          <t>Sobrestock crítico</t>
        </is>
      </c>
    </row>
    <row r="1185">
      <c r="A1185" t="inlineStr">
        <is>
          <t>TALGOTACA166TS</t>
        </is>
      </c>
      <c r="B1185" t="inlineStr">
        <is>
          <t>URBAN COTTON OVERSIZED HORIZONTE CAB</t>
        </is>
      </c>
      <c r="C1185" t="inlineStr">
        <is>
          <t>Manufactura / Caballero / P. Superiores</t>
        </is>
      </c>
      <c r="D1185" t="n">
        <v>634.7120043</v>
      </c>
      <c r="E1185" t="n">
        <v>0.0001553981718452813</v>
      </c>
      <c r="F1185" t="n">
        <v>0.89998638689956</v>
      </c>
      <c r="G1185" t="inlineStr">
        <is>
          <t>B</t>
        </is>
      </c>
      <c r="H1185" t="n">
        <v>11</v>
      </c>
      <c r="I1185" t="n">
        <v>11.06389452</v>
      </c>
      <c r="J1185" t="n">
        <v>121.70283972</v>
      </c>
      <c r="K1185" t="n">
        <v>1.5</v>
      </c>
      <c r="L1185" t="n">
        <v>7.333333333333333</v>
      </c>
      <c r="M1185" t="n">
        <v>3</v>
      </c>
      <c r="N1185" t="n">
        <v>4.5</v>
      </c>
      <c r="O1185" t="n">
        <v>6.5</v>
      </c>
      <c r="P1185" t="n">
        <v>71.91531438</v>
      </c>
      <c r="Q1185" t="n">
        <v>0.5909090909090909</v>
      </c>
      <c r="R1185" t="inlineStr">
        <is>
          <t>Sobrestock crítico</t>
        </is>
      </c>
    </row>
    <row r="1186">
      <c r="A1186" t="inlineStr">
        <is>
          <t>ANMSUDA43TXS</t>
        </is>
      </c>
      <c r="B1186" t="inlineStr">
        <is>
          <t>ANDRE MOTION DAMA</t>
        </is>
      </c>
      <c r="C1186" t="inlineStr">
        <is>
          <t>Manufactura / Dama / P. Superiores</t>
        </is>
      </c>
      <c r="D1186" t="n">
        <v>634.33005458</v>
      </c>
      <c r="E1186" t="n">
        <v>0.0001553046581133482</v>
      </c>
      <c r="F1186" t="n">
        <v>0.9001416915576734</v>
      </c>
      <c r="G1186" t="inlineStr">
        <is>
          <t>B</t>
        </is>
      </c>
      <c r="H1186" t="n">
        <v>21</v>
      </c>
      <c r="I1186" t="n">
        <v>10.6</v>
      </c>
      <c r="J1186" t="n">
        <v>222.6</v>
      </c>
      <c r="K1186" t="n">
        <v>1.4</v>
      </c>
      <c r="L1186" t="n">
        <v>15</v>
      </c>
      <c r="M1186" t="n">
        <v>3</v>
      </c>
      <c r="N1186" t="n">
        <v>4.199999999999999</v>
      </c>
      <c r="O1186" t="n">
        <v>16.8</v>
      </c>
      <c r="P1186" t="n">
        <v>178.08</v>
      </c>
      <c r="Q1186" t="n">
        <v>0.8</v>
      </c>
      <c r="R1186" t="inlineStr">
        <is>
          <t>Sobrestock crítico</t>
        </is>
      </c>
    </row>
    <row r="1187">
      <c r="A1187" t="inlineStr">
        <is>
          <t>SNA34EQ</t>
        </is>
      </c>
      <c r="B1187" t="inlineStr">
        <is>
          <t>LLAVERO SNAP</t>
        </is>
      </c>
      <c r="C1187" t="inlineStr">
        <is>
          <t>Equipamiento / Accesorios</t>
        </is>
      </c>
      <c r="D1187" t="n">
        <v>633.6796192911348</v>
      </c>
      <c r="E1187" t="n">
        <v>0.0001551454103693186</v>
      </c>
      <c r="F1187" t="n">
        <v>0.9002968369680427</v>
      </c>
      <c r="G1187" t="inlineStr">
        <is>
          <t>B</t>
        </is>
      </c>
      <c r="H1187" t="n">
        <v>392</v>
      </c>
      <c r="I1187" t="n">
        <v>1</v>
      </c>
      <c r="J1187" t="n">
        <v>392</v>
      </c>
      <c r="K1187" t="n">
        <v>16.9</v>
      </c>
      <c r="L1187" t="n">
        <v>23.19526627218935</v>
      </c>
      <c r="M1187" t="n">
        <v>3</v>
      </c>
      <c r="N1187" t="n">
        <v>50.7</v>
      </c>
      <c r="O1187" t="n">
        <v>341.3</v>
      </c>
      <c r="P1187" t="n">
        <v>341.3</v>
      </c>
      <c r="Q1187" t="n">
        <v>0.8706632653061225</v>
      </c>
      <c r="R1187" t="inlineStr">
        <is>
          <t>Sobrestock crítico</t>
        </is>
      </c>
    </row>
    <row r="1188">
      <c r="A1188" t="inlineStr">
        <is>
          <t>JACKI01T2</t>
        </is>
      </c>
      <c r="B1188" t="inlineStr">
        <is>
          <t>JACKET KIDS</t>
        </is>
      </c>
      <c r="C1188" t="inlineStr">
        <is>
          <t>Manufactura / Kids / P. Superiores</t>
        </is>
      </c>
      <c r="D1188" t="n">
        <v>631.03942133</v>
      </c>
      <c r="E1188" t="n">
        <v>0.0001544990039145951</v>
      </c>
      <c r="F1188" t="n">
        <v>0.9004513359719574</v>
      </c>
      <c r="G1188" t="inlineStr">
        <is>
          <t>B</t>
        </is>
      </c>
      <c r="H1188" t="n">
        <v>80</v>
      </c>
      <c r="I1188" t="n">
        <v>15.17</v>
      </c>
      <c r="J1188" t="n">
        <v>1213.6</v>
      </c>
      <c r="K1188" t="n">
        <v>1.2</v>
      </c>
      <c r="L1188" t="n">
        <v>66.66666666666667</v>
      </c>
      <c r="M1188" t="n">
        <v>3</v>
      </c>
      <c r="N1188" t="n">
        <v>3.6</v>
      </c>
      <c r="O1188" t="n">
        <v>76.40000000000001</v>
      </c>
      <c r="P1188" t="n">
        <v>1158.988</v>
      </c>
      <c r="Q1188" t="n">
        <v>0.9550000000000001</v>
      </c>
      <c r="R1188" t="inlineStr">
        <is>
          <t>Sobrestock crítico</t>
        </is>
      </c>
    </row>
    <row r="1189">
      <c r="A1189" t="inlineStr">
        <is>
          <t>PANNTKI66T6</t>
        </is>
      </c>
      <c r="B1189" t="inlineStr">
        <is>
          <t>EXPLORE PANTS KIDS</t>
        </is>
      </c>
      <c r="C1189" t="inlineStr">
        <is>
          <t>Manufactura / Kids / P. Inferiores</t>
        </is>
      </c>
      <c r="D1189" t="n">
        <v>630.99031293</v>
      </c>
      <c r="E1189" t="n">
        <v>0.0001544869805787663</v>
      </c>
      <c r="F1189" t="n">
        <v>0.9006058229525361</v>
      </c>
      <c r="G1189" t="inlineStr">
        <is>
          <t>B</t>
        </is>
      </c>
      <c r="H1189" t="n">
        <v>12</v>
      </c>
      <c r="I1189" t="n">
        <v>13.98</v>
      </c>
      <c r="J1189" t="n">
        <v>167.76</v>
      </c>
      <c r="K1189" t="n">
        <v>1.4</v>
      </c>
      <c r="L1189" t="n">
        <v>8.571428571428571</v>
      </c>
      <c r="M1189" t="n">
        <v>3</v>
      </c>
      <c r="N1189" t="n">
        <v>4.199999999999999</v>
      </c>
      <c r="O1189" t="n">
        <v>7.800000000000001</v>
      </c>
      <c r="P1189" t="n">
        <v>109.044</v>
      </c>
      <c r="Q1189" t="n">
        <v>0.6500000000000001</v>
      </c>
      <c r="R1189" t="inlineStr">
        <is>
          <t>Sobrestock crítico</t>
        </is>
      </c>
    </row>
    <row r="1190">
      <c r="A1190" t="inlineStr">
        <is>
          <t>TALGTACA167TM</t>
        </is>
      </c>
      <c r="B1190" t="inlineStr">
        <is>
          <t>URBAN COTTON OVERSIZED COLOR BLOCK CAB</t>
        </is>
      </c>
      <c r="C1190" t="inlineStr">
        <is>
          <t>Manufactura / Caballero / P. Superiores</t>
        </is>
      </c>
      <c r="D1190" t="n">
        <v>630.28460742</v>
      </c>
      <c r="E1190" t="n">
        <v>0.0001543142008843976</v>
      </c>
      <c r="F1190" t="n">
        <v>0.9007601371534205</v>
      </c>
      <c r="G1190" t="inlineStr">
        <is>
          <t>B</t>
        </is>
      </c>
      <c r="H1190" t="n">
        <v>3</v>
      </c>
      <c r="I1190" t="n">
        <v>12.16641162</v>
      </c>
      <c r="J1190" t="n">
        <v>36.49923486</v>
      </c>
      <c r="K1190" t="n">
        <v>1.6</v>
      </c>
      <c r="L1190" t="n">
        <v>1.875</v>
      </c>
      <c r="M1190" t="n">
        <v>3</v>
      </c>
      <c r="N1190" t="n">
        <v>4.800000000000001</v>
      </c>
      <c r="O1190" t="n">
        <v>0</v>
      </c>
      <c r="P1190" t="n">
        <v>0</v>
      </c>
      <c r="Q1190" t="n">
        <v>0</v>
      </c>
      <c r="R1190" t="inlineStr">
        <is>
          <t>OK</t>
        </is>
      </c>
    </row>
    <row r="1191">
      <c r="A1191" t="inlineStr">
        <is>
          <t>SHOSUKI154T8</t>
        </is>
      </c>
      <c r="B1191" t="inlineStr">
        <is>
          <t>SHORT PLAYA ESTAMPADO KIDS</t>
        </is>
      </c>
      <c r="C1191" t="inlineStr">
        <is>
          <t>Manufactura / Kids / P. Superiores</t>
        </is>
      </c>
      <c r="D1191" t="n">
        <v>629.99443558</v>
      </c>
      <c r="E1191" t="n">
        <v>0.0001542431573667841</v>
      </c>
      <c r="F1191" t="n">
        <v>0.9009143803107873</v>
      </c>
      <c r="G1191" t="inlineStr">
        <is>
          <t>B</t>
        </is>
      </c>
      <c r="H1191" t="n">
        <v>29</v>
      </c>
      <c r="I1191" t="n">
        <v>7.21</v>
      </c>
      <c r="J1191" t="n">
        <v>209.09</v>
      </c>
      <c r="K1191" t="n">
        <v>1.4</v>
      </c>
      <c r="L1191" t="n">
        <v>20.71428571428572</v>
      </c>
      <c r="M1191" t="n">
        <v>3</v>
      </c>
      <c r="N1191" t="n">
        <v>4.199999999999999</v>
      </c>
      <c r="O1191" t="n">
        <v>24.8</v>
      </c>
      <c r="P1191" t="n">
        <v>178.808</v>
      </c>
      <c r="Q1191" t="n">
        <v>0.8551724137931034</v>
      </c>
      <c r="R1191" t="inlineStr">
        <is>
          <t>Sobrestock crítico</t>
        </is>
      </c>
    </row>
    <row r="1192">
      <c r="A1192" t="inlineStr">
        <is>
          <t>LAN14EQ</t>
        </is>
      </c>
      <c r="B1192" t="inlineStr">
        <is>
          <t>LANYARD</t>
        </is>
      </c>
      <c r="C1192" t="inlineStr">
        <is>
          <t>Equipamiento / Accesorios</t>
        </is>
      </c>
      <c r="D1192" t="n">
        <v>629.4757026779999</v>
      </c>
      <c r="E1192" t="n">
        <v>0.000154116154656735</v>
      </c>
      <c r="F1192" t="n">
        <v>0.9010684964654441</v>
      </c>
      <c r="G1192" t="inlineStr">
        <is>
          <t>B</t>
        </is>
      </c>
      <c r="H1192" t="n">
        <v>483</v>
      </c>
      <c r="I1192" t="n">
        <v>0.51</v>
      </c>
      <c r="J1192" t="n">
        <v>246.33</v>
      </c>
      <c r="K1192" t="n">
        <v>18.6</v>
      </c>
      <c r="L1192" t="n">
        <v>25.96774193548387</v>
      </c>
      <c r="M1192" t="n">
        <v>3</v>
      </c>
      <c r="N1192" t="n">
        <v>55.8</v>
      </c>
      <c r="O1192" t="n">
        <v>427.2</v>
      </c>
      <c r="P1192" t="n">
        <v>217.872</v>
      </c>
      <c r="Q1192" t="n">
        <v>0.8844720496894409</v>
      </c>
      <c r="R1192" t="inlineStr">
        <is>
          <t>Sobrestock crítico</t>
        </is>
      </c>
    </row>
    <row r="1193">
      <c r="A1193" t="inlineStr">
        <is>
          <t>CLAMICA30TXL</t>
        </is>
      </c>
      <c r="B1193" t="inlineStr">
        <is>
          <t>CLASICA ORIGINAL CAB</t>
        </is>
      </c>
      <c r="C1193" t="inlineStr">
        <is>
          <t>Manufactura / Caballero / P. Superiores</t>
        </is>
      </c>
      <c r="D1193" t="n">
        <v>629.37659395</v>
      </c>
      <c r="E1193" t="n">
        <v>0.0001540918896120521</v>
      </c>
      <c r="F1193" t="n">
        <v>0.9012225883550561</v>
      </c>
      <c r="G1193" t="inlineStr">
        <is>
          <t>B</t>
        </is>
      </c>
      <c r="H1193" t="n">
        <v>1</v>
      </c>
      <c r="I1193" t="n">
        <v>4.598442536</v>
      </c>
      <c r="J1193" t="n">
        <v>4.598442536</v>
      </c>
      <c r="K1193" t="n">
        <v>1.5</v>
      </c>
      <c r="L1193" t="n">
        <v>0.6666666666666666</v>
      </c>
      <c r="M1193" t="n">
        <v>3</v>
      </c>
      <c r="N1193" t="n">
        <v>4.5</v>
      </c>
      <c r="O1193" t="n">
        <v>0</v>
      </c>
      <c r="P1193" t="n">
        <v>0</v>
      </c>
      <c r="Q1193" t="n">
        <v>0</v>
      </c>
      <c r="R1193" t="inlineStr">
        <is>
          <t>Riesgo bajo stock</t>
        </is>
      </c>
    </row>
    <row r="1194">
      <c r="A1194" t="inlineStr">
        <is>
          <t>SHOUNCA38TS</t>
        </is>
      </c>
      <c r="B1194" t="inlineStr">
        <is>
          <t>SHORT PLAYA CAB</t>
        </is>
      </c>
      <c r="C1194" t="inlineStr">
        <is>
          <t>Manufactura / Caballero / P. Inferiores</t>
        </is>
      </c>
      <c r="D1194" t="n">
        <v>629.14872644</v>
      </c>
      <c r="E1194" t="n">
        <v>0.0001540361002237358</v>
      </c>
      <c r="F1194" t="n">
        <v>0.9013766244552798</v>
      </c>
      <c r="G1194" t="inlineStr">
        <is>
          <t>B</t>
        </is>
      </c>
      <c r="H1194" t="n">
        <v>45</v>
      </c>
      <c r="I1194" t="n">
        <v>9.99</v>
      </c>
      <c r="J1194" t="n">
        <v>449.55</v>
      </c>
      <c r="K1194" t="n">
        <v>1.3</v>
      </c>
      <c r="L1194" t="n">
        <v>34.61538461538461</v>
      </c>
      <c r="M1194" t="n">
        <v>3</v>
      </c>
      <c r="N1194" t="n">
        <v>3.9</v>
      </c>
      <c r="O1194" t="n">
        <v>41.1</v>
      </c>
      <c r="P1194" t="n">
        <v>410.589</v>
      </c>
      <c r="Q1194" t="n">
        <v>0.9133333333333333</v>
      </c>
      <c r="R1194" t="inlineStr">
        <is>
          <t>Sobrestock crítico</t>
        </is>
      </c>
    </row>
    <row r="1195">
      <c r="A1195" t="inlineStr">
        <is>
          <t>RIOMIKI53T12</t>
        </is>
      </c>
      <c r="B1195" t="inlineStr">
        <is>
          <t>RIO ORIGINAL KIDS</t>
        </is>
      </c>
      <c r="C1195" t="inlineStr">
        <is>
          <t>Manufactura / Kids / P. Superiores</t>
        </is>
      </c>
      <c r="D1195" t="n">
        <v>628.53713639</v>
      </c>
      <c r="E1195" t="n">
        <v>0.0001538863630594078</v>
      </c>
      <c r="F1195" t="n">
        <v>0.9015305108183392</v>
      </c>
      <c r="G1195" t="inlineStr">
        <is>
          <t>B</t>
        </is>
      </c>
      <c r="H1195" t="n">
        <v>9</v>
      </c>
      <c r="I1195" t="n">
        <v>3.617969464</v>
      </c>
      <c r="J1195" t="n">
        <v>32.561725176</v>
      </c>
      <c r="K1195" t="n">
        <v>1.5</v>
      </c>
      <c r="L1195" t="n">
        <v>6</v>
      </c>
      <c r="M1195" t="n">
        <v>3</v>
      </c>
      <c r="N1195" t="n">
        <v>4.5</v>
      </c>
      <c r="O1195" t="n">
        <v>4.5</v>
      </c>
      <c r="P1195" t="n">
        <v>16.280862588</v>
      </c>
      <c r="Q1195" t="n">
        <v>0.5</v>
      </c>
      <c r="R1195" t="inlineStr">
        <is>
          <t>Sobrestock crítico</t>
        </is>
      </c>
    </row>
    <row r="1196">
      <c r="A1196" t="inlineStr">
        <is>
          <t>CLMSUCA43TM</t>
        </is>
      </c>
      <c r="B1196" t="inlineStr">
        <is>
          <t>CLASICA MOTION CAB</t>
        </is>
      </c>
      <c r="C1196" t="inlineStr">
        <is>
          <t>Manufactura / Caballero / P. Superiores</t>
        </is>
      </c>
      <c r="D1196" t="n">
        <v>627.92668793</v>
      </c>
      <c r="E1196" t="n">
        <v>0.0001537369053934946</v>
      </c>
      <c r="F1196" t="n">
        <v>0.9016842477237328</v>
      </c>
      <c r="G1196" t="inlineStr">
        <is>
          <t>B</t>
        </is>
      </c>
      <c r="H1196" t="n">
        <v>0</v>
      </c>
      <c r="I1196" t="n">
        <v>12.26</v>
      </c>
      <c r="J1196" t="n">
        <v>0</v>
      </c>
      <c r="K1196" t="n">
        <v>1.5</v>
      </c>
      <c r="L1196" t="n">
        <v>0</v>
      </c>
      <c r="M1196" t="n">
        <v>3</v>
      </c>
      <c r="N1196" t="n">
        <v>4.5</v>
      </c>
      <c r="O1196" t="n">
        <v>0</v>
      </c>
      <c r="P1196" t="n">
        <v>0</v>
      </c>
      <c r="Q1196" t="n">
        <v>0</v>
      </c>
      <c r="R1196" t="inlineStr">
        <is>
          <t>Riesgo bajo stock</t>
        </is>
      </c>
    </row>
    <row r="1197">
      <c r="A1197" t="inlineStr">
        <is>
          <t>RIOMIKI04T8</t>
        </is>
      </c>
      <c r="B1197" t="inlineStr">
        <is>
          <t>RIO ORIGINAL KIDS</t>
        </is>
      </c>
      <c r="C1197" t="inlineStr">
        <is>
          <t>Manufactura / Kids / P. Superiores</t>
        </is>
      </c>
      <c r="D1197" t="n">
        <v>626.68696272</v>
      </c>
      <c r="E1197" t="n">
        <v>0.0001534333802830204</v>
      </c>
      <c r="F1197" t="n">
        <v>0.9018376811040157</v>
      </c>
      <c r="G1197" t="inlineStr">
        <is>
          <t>B</t>
        </is>
      </c>
      <c r="H1197" t="n">
        <v>6</v>
      </c>
      <c r="I1197" t="n">
        <v>3.617969464</v>
      </c>
      <c r="J1197" t="n">
        <v>21.707816784</v>
      </c>
      <c r="K1197" t="n">
        <v>1.4</v>
      </c>
      <c r="L1197" t="n">
        <v>4.285714285714286</v>
      </c>
      <c r="M1197" t="n">
        <v>3</v>
      </c>
      <c r="N1197" t="n">
        <v>4.199999999999999</v>
      </c>
      <c r="O1197" t="n">
        <v>1.800000000000001</v>
      </c>
      <c r="P1197" t="n">
        <v>6.512345035200003</v>
      </c>
      <c r="Q1197" t="n">
        <v>0.3000000000000001</v>
      </c>
      <c r="R1197" t="inlineStr">
        <is>
          <t>Sobrestock crítico</t>
        </is>
      </c>
    </row>
    <row r="1198">
      <c r="A1198" t="inlineStr">
        <is>
          <t>SHOSUKI156T2</t>
        </is>
      </c>
      <c r="B1198" t="inlineStr">
        <is>
          <t>SHORT PLAYA ESTAMPADO KIDS</t>
        </is>
      </c>
      <c r="C1198" t="inlineStr">
        <is>
          <t>Manufactura / Kids / P. Superiores</t>
        </is>
      </c>
      <c r="D1198" t="n">
        <v>625.6815082099999</v>
      </c>
      <c r="E1198" t="n">
        <v>0.0001531872122703326</v>
      </c>
      <c r="F1198" t="n">
        <v>0.9019908683162859</v>
      </c>
      <c r="G1198" t="inlineStr">
        <is>
          <t>B</t>
        </is>
      </c>
      <c r="H1198" t="n">
        <v>16</v>
      </c>
      <c r="I1198" t="n">
        <v>7.21</v>
      </c>
      <c r="J1198" t="n">
        <v>115.36</v>
      </c>
      <c r="K1198" t="n">
        <v>1.4</v>
      </c>
      <c r="L1198" t="n">
        <v>11.42857142857143</v>
      </c>
      <c r="M1198" t="n">
        <v>3</v>
      </c>
      <c r="N1198" t="n">
        <v>4.199999999999999</v>
      </c>
      <c r="O1198" t="n">
        <v>11.8</v>
      </c>
      <c r="P1198" t="n">
        <v>85.078</v>
      </c>
      <c r="Q1198" t="n">
        <v>0.7375</v>
      </c>
      <c r="R1198" t="inlineStr">
        <is>
          <t>Sobrestock crítico</t>
        </is>
      </c>
    </row>
    <row r="1199">
      <c r="A1199" t="inlineStr">
        <is>
          <t>SHONRKI30T14</t>
        </is>
      </c>
      <c r="B1199" t="inlineStr">
        <is>
          <t>SHORT SPORT KIDS</t>
        </is>
      </c>
      <c r="C1199" t="inlineStr">
        <is>
          <t>Manufactura / Kids / P. Inferiores</t>
        </is>
      </c>
      <c r="D1199" t="n">
        <v>625.2414142499999</v>
      </c>
      <c r="E1199" t="n">
        <v>0.0001530794629346326</v>
      </c>
      <c r="F1199" t="n">
        <v>0.9021439477792207</v>
      </c>
      <c r="G1199" t="inlineStr">
        <is>
          <t>B</t>
        </is>
      </c>
      <c r="H1199" t="n">
        <v>29</v>
      </c>
      <c r="I1199" t="n">
        <v>6.465724382</v>
      </c>
      <c r="J1199" t="n">
        <v>187.506007078</v>
      </c>
      <c r="K1199" t="n">
        <v>1.6</v>
      </c>
      <c r="L1199" t="n">
        <v>18.125</v>
      </c>
      <c r="M1199" t="n">
        <v>3</v>
      </c>
      <c r="N1199" t="n">
        <v>4.800000000000001</v>
      </c>
      <c r="O1199" t="n">
        <v>24.2</v>
      </c>
      <c r="P1199" t="n">
        <v>156.4705300444</v>
      </c>
      <c r="Q1199" t="n">
        <v>0.8344827586206895</v>
      </c>
      <c r="R1199" t="inlineStr">
        <is>
          <t>Sobrestock crítico</t>
        </is>
      </c>
    </row>
    <row r="1200">
      <c r="A1200" t="inlineStr">
        <is>
          <t>RIOMIDA04TS</t>
        </is>
      </c>
      <c r="B1200" t="inlineStr">
        <is>
          <t>RIO ORIGINAL DAMA</t>
        </is>
      </c>
      <c r="C1200" t="inlineStr">
        <is>
          <t>Manufactura / Dama / P. Superiores</t>
        </is>
      </c>
      <c r="D1200" t="n">
        <v>624.84459039</v>
      </c>
      <c r="E1200" t="n">
        <v>0.0001529823075287622</v>
      </c>
      <c r="F1200" t="n">
        <v>0.9022969300867494</v>
      </c>
      <c r="G1200" t="inlineStr">
        <is>
          <t>B</t>
        </is>
      </c>
      <c r="H1200" t="n">
        <v>5</v>
      </c>
      <c r="I1200" t="n">
        <v>5.538832275</v>
      </c>
      <c r="J1200" t="n">
        <v>27.694161375</v>
      </c>
      <c r="K1200" t="n">
        <v>1.1</v>
      </c>
      <c r="L1200" t="n">
        <v>4.545454545454545</v>
      </c>
      <c r="M1200" t="n">
        <v>3</v>
      </c>
      <c r="N1200" t="n">
        <v>3.3</v>
      </c>
      <c r="O1200" t="n">
        <v>1.7</v>
      </c>
      <c r="P1200" t="n">
        <v>9.416014867499998</v>
      </c>
      <c r="Q1200" t="n">
        <v>0.3399999999999999</v>
      </c>
      <c r="R1200" t="inlineStr">
        <is>
          <t>Sobrestock crítico</t>
        </is>
      </c>
    </row>
    <row r="1201">
      <c r="A1201" t="inlineStr">
        <is>
          <t>GEODOCACA43TS</t>
        </is>
      </c>
      <c r="B1201" t="inlineStr">
        <is>
          <t>ADVANCE GEO DOMINIC CAB</t>
        </is>
      </c>
      <c r="C1201" t="inlineStr">
        <is>
          <t>Manufactura / Caballero / P. Superiores</t>
        </is>
      </c>
      <c r="D1201" t="n">
        <v>624.12409388</v>
      </c>
      <c r="E1201" t="n">
        <v>0.0001528059065158361</v>
      </c>
      <c r="F1201" t="n">
        <v>0.9024497359932652</v>
      </c>
      <c r="G1201" t="inlineStr">
        <is>
          <t>B</t>
        </is>
      </c>
      <c r="H1201" t="n">
        <v>22</v>
      </c>
      <c r="I1201" t="n">
        <v>13.35</v>
      </c>
      <c r="J1201" t="n">
        <v>293.7</v>
      </c>
      <c r="K1201" t="n">
        <v>1.4</v>
      </c>
      <c r="L1201" t="n">
        <v>15.71428571428572</v>
      </c>
      <c r="M1201" t="n">
        <v>3</v>
      </c>
      <c r="N1201" t="n">
        <v>4.199999999999999</v>
      </c>
      <c r="O1201" t="n">
        <v>17.8</v>
      </c>
      <c r="P1201" t="n">
        <v>237.63</v>
      </c>
      <c r="Q1201" t="n">
        <v>0.8090909090909091</v>
      </c>
      <c r="R1201" t="inlineStr">
        <is>
          <t>Sobrestock crítico</t>
        </is>
      </c>
    </row>
    <row r="1202">
      <c r="A1202" t="inlineStr">
        <is>
          <t>CUTAG87</t>
        </is>
      </c>
      <c r="B1202" t="inlineStr">
        <is>
          <t>CUADRO TAG</t>
        </is>
      </c>
      <c r="C1202" t="inlineStr">
        <is>
          <t>Equipamiento / Accesorios</t>
        </is>
      </c>
      <c r="D1202" t="n">
        <v>623.9689758230001</v>
      </c>
      <c r="E1202" t="n">
        <v>0.0001527679285631352</v>
      </c>
      <c r="F1202" t="n">
        <v>0.9026025039218284</v>
      </c>
      <c r="G1202" t="inlineStr">
        <is>
          <t>B</t>
        </is>
      </c>
      <c r="H1202" t="n">
        <v>155</v>
      </c>
      <c r="I1202" t="n">
        <v>0.8100000000000001</v>
      </c>
      <c r="J1202" t="n">
        <v>125.55</v>
      </c>
      <c r="K1202" t="n">
        <v>7.5</v>
      </c>
      <c r="L1202" t="n">
        <v>20.66666666666667</v>
      </c>
      <c r="M1202" t="n">
        <v>3</v>
      </c>
      <c r="N1202" t="n">
        <v>22.5</v>
      </c>
      <c r="O1202" t="n">
        <v>132.5</v>
      </c>
      <c r="P1202" t="n">
        <v>107.325</v>
      </c>
      <c r="Q1202" t="n">
        <v>0.8548387096774193</v>
      </c>
      <c r="R1202" t="inlineStr">
        <is>
          <t>Sobrestock crítico</t>
        </is>
      </c>
    </row>
    <row r="1203">
      <c r="A1203" t="inlineStr">
        <is>
          <t>SHOUNCA186T2XL</t>
        </is>
      </c>
      <c r="B1203" t="inlineStr">
        <is>
          <t>SHORT PLAYA CAB</t>
        </is>
      </c>
      <c r="C1203" t="inlineStr">
        <is>
          <t>Manufactura / Caballero / P. Inferiores</t>
        </is>
      </c>
      <c r="D1203" t="n">
        <v>623.53461218</v>
      </c>
      <c r="E1203" t="n">
        <v>0.0001526615821956788</v>
      </c>
      <c r="F1203" t="n">
        <v>0.902755165504024</v>
      </c>
      <c r="G1203" t="inlineStr">
        <is>
          <t>B</t>
        </is>
      </c>
      <c r="H1203" t="n">
        <v>20</v>
      </c>
      <c r="I1203" t="n">
        <v>9.99</v>
      </c>
      <c r="J1203" t="n">
        <v>199.8</v>
      </c>
      <c r="K1203" t="n">
        <v>1.3</v>
      </c>
      <c r="L1203" t="n">
        <v>15.38461538461538</v>
      </c>
      <c r="M1203" t="n">
        <v>3</v>
      </c>
      <c r="N1203" t="n">
        <v>3.9</v>
      </c>
      <c r="O1203" t="n">
        <v>16.1</v>
      </c>
      <c r="P1203" t="n">
        <v>160.839</v>
      </c>
      <c r="Q1203" t="n">
        <v>0.805</v>
      </c>
      <c r="R1203" t="inlineStr">
        <is>
          <t>Sobrestock crítico</t>
        </is>
      </c>
    </row>
    <row r="1204">
      <c r="A1204" t="inlineStr">
        <is>
          <t>MARMIKI66T10</t>
        </is>
      </c>
      <c r="B1204" t="inlineStr">
        <is>
          <t>MAR ORIGINAL KIDS</t>
        </is>
      </c>
      <c r="C1204" t="inlineStr">
        <is>
          <t>Manufactura / Kids / P. Superiores</t>
        </is>
      </c>
      <c r="D1204" t="n">
        <v>622.88348335</v>
      </c>
      <c r="E1204" t="n">
        <v>0.00015250216465019</v>
      </c>
      <c r="F1204" t="n">
        <v>0.9029076676686743</v>
      </c>
      <c r="G1204" t="inlineStr">
        <is>
          <t>B</t>
        </is>
      </c>
      <c r="H1204" t="n">
        <v>45</v>
      </c>
      <c r="I1204" t="n">
        <v>3.168013332</v>
      </c>
      <c r="J1204" t="n">
        <v>142.56059994</v>
      </c>
      <c r="K1204" t="n">
        <v>1.6</v>
      </c>
      <c r="L1204" t="n">
        <v>28.125</v>
      </c>
      <c r="M1204" t="n">
        <v>3</v>
      </c>
      <c r="N1204" t="n">
        <v>4.800000000000001</v>
      </c>
      <c r="O1204" t="n">
        <v>40.2</v>
      </c>
      <c r="P1204" t="n">
        <v>127.3541359464</v>
      </c>
      <c r="Q1204" t="n">
        <v>0.8933333333333334</v>
      </c>
      <c r="R1204" t="inlineStr">
        <is>
          <t>Sobrestock crítico</t>
        </is>
      </c>
    </row>
    <row r="1205">
      <c r="A1205" t="inlineStr">
        <is>
          <t>SHOUNCA170TS</t>
        </is>
      </c>
      <c r="B1205" t="inlineStr">
        <is>
          <t>SHORT PLAYA CAB</t>
        </is>
      </c>
      <c r="C1205" t="inlineStr">
        <is>
          <t>Manufactura / Caballero / P. Inferiores</t>
        </is>
      </c>
      <c r="D1205" t="n">
        <v>622.77742601</v>
      </c>
      <c r="E1205" t="n">
        <v>0.0001524761983589664</v>
      </c>
      <c r="F1205" t="n">
        <v>0.9030601438670333</v>
      </c>
      <c r="G1205" t="inlineStr">
        <is>
          <t>B</t>
        </is>
      </c>
      <c r="H1205" t="n">
        <v>44</v>
      </c>
      <c r="I1205" t="n">
        <v>9.99</v>
      </c>
      <c r="J1205" t="n">
        <v>439.56</v>
      </c>
      <c r="K1205" t="n">
        <v>1.2</v>
      </c>
      <c r="L1205" t="n">
        <v>36.66666666666667</v>
      </c>
      <c r="M1205" t="n">
        <v>3</v>
      </c>
      <c r="N1205" t="n">
        <v>3.6</v>
      </c>
      <c r="O1205" t="n">
        <v>40.4</v>
      </c>
      <c r="P1205" t="n">
        <v>403.596</v>
      </c>
      <c r="Q1205" t="n">
        <v>0.9181818181818182</v>
      </c>
      <c r="R1205" t="inlineStr">
        <is>
          <t>Sobrestock crítico</t>
        </is>
      </c>
    </row>
    <row r="1206">
      <c r="A1206" t="inlineStr">
        <is>
          <t>SHONTDA66TM</t>
        </is>
      </c>
      <c r="B1206" t="inlineStr">
        <is>
          <t>EXPLORE SHORT DAMA</t>
        </is>
      </c>
      <c r="C1206" t="inlineStr">
        <is>
          <t>Manufactura / Dama / P. Inferiores</t>
        </is>
      </c>
      <c r="D1206" t="n">
        <v>622.20115879</v>
      </c>
      <c r="E1206" t="n">
        <v>0.0001523351093739218</v>
      </c>
      <c r="F1206" t="n">
        <v>0.9032124789764072</v>
      </c>
      <c r="G1206" t="inlineStr">
        <is>
          <t>B</t>
        </is>
      </c>
      <c r="H1206" t="n">
        <v>39</v>
      </c>
      <c r="I1206" t="n">
        <v>10.22113744</v>
      </c>
      <c r="J1206" t="n">
        <v>398.62436016</v>
      </c>
      <c r="K1206" t="n">
        <v>1.3</v>
      </c>
      <c r="L1206" t="n">
        <v>30</v>
      </c>
      <c r="M1206" t="n">
        <v>3</v>
      </c>
      <c r="N1206" t="n">
        <v>3.9</v>
      </c>
      <c r="O1206" t="n">
        <v>35.1</v>
      </c>
      <c r="P1206" t="n">
        <v>358.761924144</v>
      </c>
      <c r="Q1206" t="n">
        <v>0.9</v>
      </c>
      <c r="R1206" t="inlineStr">
        <is>
          <t>Sobrestock crítico</t>
        </is>
      </c>
    </row>
    <row r="1207">
      <c r="A1207" t="inlineStr">
        <is>
          <t>CLAMECA13TS</t>
        </is>
      </c>
      <c r="B1207" t="inlineStr">
        <is>
          <t>CLASICA SPORT CAB</t>
        </is>
      </c>
      <c r="C1207" t="inlineStr">
        <is>
          <t>Manufactura / Caballero / P. Superiores</t>
        </is>
      </c>
      <c r="D1207" t="n">
        <v>622.14161066</v>
      </c>
      <c r="E1207" t="n">
        <v>0.0001523205300521567</v>
      </c>
      <c r="F1207" t="n">
        <v>0.9033647995064593</v>
      </c>
      <c r="G1207" t="inlineStr">
        <is>
          <t>B</t>
        </is>
      </c>
      <c r="H1207" t="n">
        <v>1</v>
      </c>
      <c r="I1207" t="n">
        <v>10.3013454</v>
      </c>
      <c r="J1207" t="n">
        <v>10.3013454</v>
      </c>
      <c r="K1207" t="n">
        <v>1.1</v>
      </c>
      <c r="L1207" t="n">
        <v>0.9090909090909091</v>
      </c>
      <c r="M1207" t="n">
        <v>3</v>
      </c>
      <c r="N1207" t="n">
        <v>3.3</v>
      </c>
      <c r="O1207" t="n">
        <v>0</v>
      </c>
      <c r="P1207" t="n">
        <v>0</v>
      </c>
      <c r="Q1207" t="n">
        <v>0</v>
      </c>
      <c r="R1207" t="inlineStr">
        <is>
          <t>Riesgo bajo stock</t>
        </is>
      </c>
    </row>
    <row r="1208">
      <c r="A1208" t="inlineStr">
        <is>
          <t>CLAMIKI12T12</t>
        </is>
      </c>
      <c r="B1208" t="inlineStr">
        <is>
          <t>CLASICA ORIGINAL KIDS</t>
        </is>
      </c>
      <c r="C1208" t="inlineStr">
        <is>
          <t>Manufactura / Kids / P. Superiores</t>
        </is>
      </c>
      <c r="D1208" t="n">
        <v>622.1381441310051</v>
      </c>
      <c r="E1208" t="n">
        <v>0.0001523196813329505</v>
      </c>
      <c r="F1208" t="n">
        <v>0.9035171191877922</v>
      </c>
      <c r="G1208" t="inlineStr">
        <is>
          <t>B</t>
        </is>
      </c>
      <c r="H1208" t="n">
        <v>30</v>
      </c>
      <c r="I1208" t="n">
        <v>2.053774806</v>
      </c>
      <c r="J1208" t="n">
        <v>61.61324418</v>
      </c>
      <c r="K1208" t="n">
        <v>1.9</v>
      </c>
      <c r="L1208" t="n">
        <v>15.78947368421053</v>
      </c>
      <c r="M1208" t="n">
        <v>3</v>
      </c>
      <c r="N1208" t="n">
        <v>5.699999999999999</v>
      </c>
      <c r="O1208" t="n">
        <v>24.3</v>
      </c>
      <c r="P1208" t="n">
        <v>49.9067277858</v>
      </c>
      <c r="Q1208" t="n">
        <v>0.8100000000000001</v>
      </c>
      <c r="R1208" t="inlineStr">
        <is>
          <t>Sobrestock crítico</t>
        </is>
      </c>
    </row>
    <row r="1209">
      <c r="A1209" t="inlineStr">
        <is>
          <t>LAN28EQ</t>
        </is>
      </c>
      <c r="B1209" t="inlineStr">
        <is>
          <t>LANYARD</t>
        </is>
      </c>
      <c r="C1209" t="inlineStr">
        <is>
          <t>Equipamiento / Accesorios</t>
        </is>
      </c>
      <c r="D1209" t="n">
        <v>620.9657433822878</v>
      </c>
      <c r="E1209" t="n">
        <v>0.000152032639443422</v>
      </c>
      <c r="F1209" t="n">
        <v>0.9036691518272357</v>
      </c>
      <c r="G1209" t="inlineStr">
        <is>
          <t>B</t>
        </is>
      </c>
      <c r="H1209" t="n">
        <v>638</v>
      </c>
      <c r="I1209" t="n">
        <v>0.51</v>
      </c>
      <c r="J1209" t="n">
        <v>325.38</v>
      </c>
      <c r="K1209" t="n">
        <v>21.2</v>
      </c>
      <c r="L1209" t="n">
        <v>30.09433962264151</v>
      </c>
      <c r="M1209" t="n">
        <v>3</v>
      </c>
      <c r="N1209" t="n">
        <v>63.59999999999999</v>
      </c>
      <c r="O1209" t="n">
        <v>574.4</v>
      </c>
      <c r="P1209" t="n">
        <v>292.944</v>
      </c>
      <c r="Q1209" t="n">
        <v>0.9003134796238245</v>
      </c>
      <c r="R1209" t="inlineStr">
        <is>
          <t>Sobrestock crítico</t>
        </is>
      </c>
    </row>
    <row r="1210">
      <c r="A1210" t="inlineStr">
        <is>
          <t>TALGTADA12TXS</t>
        </is>
      </c>
      <c r="B1210" t="inlineStr">
        <is>
          <t>URBAN COTTON TOP SAY YES DAMA</t>
        </is>
      </c>
      <c r="C1210" t="inlineStr">
        <is>
          <t>Manufactura / Dama / P. Superiores</t>
        </is>
      </c>
      <c r="D1210" t="n">
        <v>619.81063579</v>
      </c>
      <c r="E1210" t="n">
        <v>0.0001517498314818425</v>
      </c>
      <c r="F1210" t="n">
        <v>0.9038209016587175</v>
      </c>
      <c r="G1210" t="inlineStr">
        <is>
          <t>B</t>
        </is>
      </c>
      <c r="H1210" t="n">
        <v>41</v>
      </c>
      <c r="I1210" t="n">
        <v>6.639983317</v>
      </c>
      <c r="J1210" t="n">
        <v>272.239315997</v>
      </c>
      <c r="K1210" t="n">
        <v>1.3</v>
      </c>
      <c r="L1210" t="n">
        <v>31.53846153846154</v>
      </c>
      <c r="M1210" t="n">
        <v>3</v>
      </c>
      <c r="N1210" t="n">
        <v>3.9</v>
      </c>
      <c r="O1210" t="n">
        <v>37.1</v>
      </c>
      <c r="P1210" t="n">
        <v>246.3433810607</v>
      </c>
      <c r="Q1210" t="n">
        <v>0.9048780487804879</v>
      </c>
      <c r="R1210" t="inlineStr">
        <is>
          <t>Sobrestock crítico</t>
        </is>
      </c>
    </row>
    <row r="1211">
      <c r="A1211" t="inlineStr">
        <is>
          <t>SHOUNKI50T8</t>
        </is>
      </c>
      <c r="B1211" t="inlineStr">
        <is>
          <t>SHORT PLAYA KIDS</t>
        </is>
      </c>
      <c r="C1211" t="inlineStr">
        <is>
          <t>Manufactura / Kids / P. Inferiores</t>
        </is>
      </c>
      <c r="D1211" t="n">
        <v>619.47303564</v>
      </c>
      <c r="E1211" t="n">
        <v>0.0001516671759691544</v>
      </c>
      <c r="F1211" t="n">
        <v>0.9039725688346867</v>
      </c>
      <c r="G1211" t="inlineStr">
        <is>
          <t>B</t>
        </is>
      </c>
      <c r="H1211" t="n">
        <v>24</v>
      </c>
      <c r="I1211" t="n">
        <v>6.09</v>
      </c>
      <c r="J1211" t="n">
        <v>146.16</v>
      </c>
      <c r="K1211" t="n">
        <v>1.6</v>
      </c>
      <c r="L1211" t="n">
        <v>15</v>
      </c>
      <c r="M1211" t="n">
        <v>3</v>
      </c>
      <c r="N1211" t="n">
        <v>4.800000000000001</v>
      </c>
      <c r="O1211" t="n">
        <v>19.2</v>
      </c>
      <c r="P1211" t="n">
        <v>116.928</v>
      </c>
      <c r="Q1211" t="n">
        <v>0.8</v>
      </c>
      <c r="R1211" t="inlineStr">
        <is>
          <t>Sobrestock crítico</t>
        </is>
      </c>
    </row>
    <row r="1212">
      <c r="A1212" t="inlineStr">
        <is>
          <t>MARMICA70T2XL</t>
        </is>
      </c>
      <c r="B1212" t="inlineStr">
        <is>
          <t>MAR ORIGINAL CAB</t>
        </is>
      </c>
      <c r="C1212" t="inlineStr">
        <is>
          <t>Manufactura / Caballero / P. Superiores</t>
        </is>
      </c>
      <c r="D1212" t="n">
        <v>619.44698282</v>
      </c>
      <c r="E1212" t="n">
        <v>0.0001516607973902525</v>
      </c>
      <c r="F1212" t="n">
        <v>0.9041242296320769</v>
      </c>
      <c r="G1212" t="inlineStr">
        <is>
          <t>B</t>
        </is>
      </c>
      <c r="H1212" t="n">
        <v>24</v>
      </c>
      <c r="I1212" t="n">
        <v>4.946357428</v>
      </c>
      <c r="J1212" t="n">
        <v>118.712578272</v>
      </c>
      <c r="K1212" t="n">
        <v>1.2</v>
      </c>
      <c r="L1212" t="n">
        <v>20</v>
      </c>
      <c r="M1212" t="n">
        <v>3</v>
      </c>
      <c r="N1212" t="n">
        <v>3.6</v>
      </c>
      <c r="O1212" t="n">
        <v>20.4</v>
      </c>
      <c r="P1212" t="n">
        <v>100.9056915312</v>
      </c>
      <c r="Q1212" t="n">
        <v>0.8499999999999999</v>
      </c>
      <c r="R1212" t="inlineStr">
        <is>
          <t>Sobrestock crítico</t>
        </is>
      </c>
    </row>
    <row r="1213">
      <c r="A1213" t="inlineStr">
        <is>
          <t>GEMBADA66TXS</t>
        </is>
      </c>
      <c r="B1213" t="inlineStr">
        <is>
          <t>VESTIDO GEMMA DAMA</t>
        </is>
      </c>
      <c r="C1213" t="inlineStr">
        <is>
          <t>Manufactura / Dama / Conjuntos</t>
        </is>
      </c>
      <c r="D1213" t="n">
        <v>619.06811951</v>
      </c>
      <c r="E1213" t="n">
        <v>0.0001515680393120148</v>
      </c>
      <c r="F1213" t="n">
        <v>0.904275797671389</v>
      </c>
      <c r="G1213" t="inlineStr">
        <is>
          <t>B</t>
        </is>
      </c>
      <c r="H1213" t="n">
        <v>30</v>
      </c>
      <c r="I1213" t="n">
        <v>23.99</v>
      </c>
      <c r="J1213" t="n">
        <v>719.6999999999999</v>
      </c>
      <c r="K1213" t="n">
        <v>1.3</v>
      </c>
      <c r="L1213" t="n">
        <v>23.07692307692308</v>
      </c>
      <c r="M1213" t="n">
        <v>3</v>
      </c>
      <c r="N1213" t="n">
        <v>3.9</v>
      </c>
      <c r="O1213" t="n">
        <v>26.1</v>
      </c>
      <c r="P1213" t="n">
        <v>626.139</v>
      </c>
      <c r="Q1213" t="n">
        <v>0.8700000000000001</v>
      </c>
      <c r="R1213" t="inlineStr">
        <is>
          <t>Sobrestock crítico</t>
        </is>
      </c>
    </row>
    <row r="1214">
      <c r="A1214" t="inlineStr">
        <is>
          <t>ANMSUDA43TS</t>
        </is>
      </c>
      <c r="B1214" t="inlineStr">
        <is>
          <t>ANDRE MOTION DAMA</t>
        </is>
      </c>
      <c r="C1214" t="inlineStr">
        <is>
          <t>Manufactura / Dama / P. Superiores</t>
        </is>
      </c>
      <c r="D1214" t="n">
        <v>618.74684138</v>
      </c>
      <c r="E1214" t="n">
        <v>0.0001514893799614469</v>
      </c>
      <c r="F1214" t="n">
        <v>0.9044272870513504</v>
      </c>
      <c r="G1214" t="inlineStr">
        <is>
          <t>B</t>
        </is>
      </c>
      <c r="H1214" t="n">
        <v>14</v>
      </c>
      <c r="I1214" t="n">
        <v>10.6</v>
      </c>
      <c r="J1214" t="n">
        <v>148.4</v>
      </c>
      <c r="K1214" t="n">
        <v>1.4</v>
      </c>
      <c r="L1214" t="n">
        <v>10</v>
      </c>
      <c r="M1214" t="n">
        <v>3</v>
      </c>
      <c r="N1214" t="n">
        <v>4.199999999999999</v>
      </c>
      <c r="O1214" t="n">
        <v>9.800000000000001</v>
      </c>
      <c r="P1214" t="n">
        <v>103.88</v>
      </c>
      <c r="Q1214" t="n">
        <v>0.7000000000000001</v>
      </c>
      <c r="R1214" t="inlineStr">
        <is>
          <t>Sobrestock crítico</t>
        </is>
      </c>
    </row>
    <row r="1215">
      <c r="A1215" t="inlineStr">
        <is>
          <t>SMCBNECA16TM</t>
        </is>
      </c>
      <c r="B1215" t="inlineStr">
        <is>
          <t>SPOTS MANGA CORTA CAB</t>
        </is>
      </c>
      <c r="C1215" t="inlineStr">
        <is>
          <t>Manufactura / Caballero / P. Superiores</t>
        </is>
      </c>
      <c r="D1215" t="n">
        <v>618.6999999999999</v>
      </c>
      <c r="E1215" t="n">
        <v>0.0001514779116659532</v>
      </c>
      <c r="F1215" t="n">
        <v>0.9045787649630164</v>
      </c>
      <c r="G1215" t="inlineStr">
        <is>
          <t>B</t>
        </is>
      </c>
      <c r="H1215" t="n">
        <v>6</v>
      </c>
      <c r="I1215" t="n">
        <v>8.5</v>
      </c>
      <c r="J1215" t="n">
        <v>51</v>
      </c>
      <c r="K1215" t="n">
        <v>1.7</v>
      </c>
      <c r="L1215" t="n">
        <v>3.529411764705882</v>
      </c>
      <c r="M1215" t="n">
        <v>3</v>
      </c>
      <c r="N1215" t="n">
        <v>5.1</v>
      </c>
      <c r="O1215" t="n">
        <v>0.9000000000000004</v>
      </c>
      <c r="P1215" t="n">
        <v>7.650000000000003</v>
      </c>
      <c r="Q1215" t="n">
        <v>0.15</v>
      </c>
      <c r="R1215" t="inlineStr">
        <is>
          <t>Sobrestock</t>
        </is>
      </c>
    </row>
    <row r="1216">
      <c r="A1216" t="inlineStr">
        <is>
          <t>PANNTKI66T4</t>
        </is>
      </c>
      <c r="B1216" t="inlineStr">
        <is>
          <t>EXPLORE PANTS KIDS</t>
        </is>
      </c>
      <c r="C1216" t="inlineStr">
        <is>
          <t>Manufactura / Kids / P. Inferiores</t>
        </is>
      </c>
      <c r="D1216" t="n">
        <v>618.58126927</v>
      </c>
      <c r="E1216" t="n">
        <v>0.0001514488425160729</v>
      </c>
      <c r="F1216" t="n">
        <v>0.9047302138055324</v>
      </c>
      <c r="G1216" t="inlineStr">
        <is>
          <t>B</t>
        </is>
      </c>
      <c r="H1216" t="n">
        <v>15</v>
      </c>
      <c r="I1216" t="n">
        <v>13.98</v>
      </c>
      <c r="J1216" t="n">
        <v>209.7</v>
      </c>
      <c r="K1216" t="n">
        <v>1.2</v>
      </c>
      <c r="L1216" t="n">
        <v>12.5</v>
      </c>
      <c r="M1216" t="n">
        <v>3</v>
      </c>
      <c r="N1216" t="n">
        <v>3.6</v>
      </c>
      <c r="O1216" t="n">
        <v>11.4</v>
      </c>
      <c r="P1216" t="n">
        <v>159.372</v>
      </c>
      <c r="Q1216" t="n">
        <v>0.76</v>
      </c>
      <c r="R1216" t="inlineStr">
        <is>
          <t>Sobrestock crítico</t>
        </is>
      </c>
    </row>
    <row r="1217">
      <c r="A1217" t="inlineStr">
        <is>
          <t>BASCCDA43TM</t>
        </is>
      </c>
      <c r="B1217" t="inlineStr">
        <is>
          <t>BASIC LINE SHORT DAMA</t>
        </is>
      </c>
      <c r="C1217" t="inlineStr">
        <is>
          <t>Manufactura / Dama / P. Inferiores</t>
        </is>
      </c>
      <c r="D1217" t="n">
        <v>618.36317904</v>
      </c>
      <c r="E1217" t="n">
        <v>0.0001513954469243562</v>
      </c>
      <c r="F1217" t="n">
        <v>0.9048816092524569</v>
      </c>
      <c r="G1217" t="inlineStr">
        <is>
          <t>B</t>
        </is>
      </c>
      <c r="H1217" t="n">
        <v>64</v>
      </c>
      <c r="I1217" t="n">
        <v>6.01</v>
      </c>
      <c r="J1217" t="n">
        <v>384.64</v>
      </c>
      <c r="K1217" t="n">
        <v>1.6</v>
      </c>
      <c r="L1217" t="n">
        <v>40</v>
      </c>
      <c r="M1217" t="n">
        <v>3</v>
      </c>
      <c r="N1217" t="n">
        <v>4.800000000000001</v>
      </c>
      <c r="O1217" t="n">
        <v>59.2</v>
      </c>
      <c r="P1217" t="n">
        <v>355.792</v>
      </c>
      <c r="Q1217" t="n">
        <v>0.9250000000000002</v>
      </c>
      <c r="R1217" t="inlineStr">
        <is>
          <t>Sobrestock crítico</t>
        </is>
      </c>
    </row>
    <row r="1218">
      <c r="A1218" t="inlineStr">
        <is>
          <t>POLPLCA50TM</t>
        </is>
      </c>
      <c r="B1218" t="inlineStr">
        <is>
          <t>CLASSIC POLO</t>
        </is>
      </c>
      <c r="C1218" t="inlineStr">
        <is>
          <t>Manufactura / Caballero / P. Superiores</t>
        </is>
      </c>
      <c r="D1218" t="n">
        <v>618.13550218</v>
      </c>
      <c r="E1218" t="n">
        <v>0.0001513397042133695</v>
      </c>
      <c r="F1218" t="n">
        <v>0.9050329489566702</v>
      </c>
      <c r="G1218" t="inlineStr">
        <is>
          <t>B</t>
        </is>
      </c>
      <c r="H1218" t="n">
        <v>112</v>
      </c>
      <c r="I1218" t="n">
        <v>7.34</v>
      </c>
      <c r="J1218" t="n">
        <v>822.0799999999999</v>
      </c>
      <c r="K1218" t="n">
        <v>1.5</v>
      </c>
      <c r="L1218" t="n">
        <v>74.66666666666667</v>
      </c>
      <c r="M1218" t="n">
        <v>3</v>
      </c>
      <c r="N1218" t="n">
        <v>4.5</v>
      </c>
      <c r="O1218" t="n">
        <v>107.5</v>
      </c>
      <c r="P1218" t="n">
        <v>789.05</v>
      </c>
      <c r="Q1218" t="n">
        <v>0.9598214285714286</v>
      </c>
      <c r="R1218" t="inlineStr">
        <is>
          <t>Sobrestock crítico</t>
        </is>
      </c>
    </row>
    <row r="1219">
      <c r="A1219" t="inlineStr">
        <is>
          <t>CLAMEDA30TM</t>
        </is>
      </c>
      <c r="B1219" t="inlineStr">
        <is>
          <t>CLÁSICA SPORT DAMA</t>
        </is>
      </c>
      <c r="C1219" t="inlineStr">
        <is>
          <t>Manufactura / Dama / P. Superiores</t>
        </is>
      </c>
      <c r="D1219" t="n">
        <v>615.98615191</v>
      </c>
      <c r="E1219" t="n">
        <v>0.0001508134732608267</v>
      </c>
      <c r="F1219" t="n">
        <v>0.9051837624299311</v>
      </c>
      <c r="G1219" t="inlineStr">
        <is>
          <t>B</t>
        </is>
      </c>
      <c r="H1219" t="n">
        <v>5</v>
      </c>
      <c r="I1219" t="n">
        <v>6.536105769</v>
      </c>
      <c r="J1219" t="n">
        <v>32.680528845</v>
      </c>
      <c r="K1219" t="n">
        <v>1.4</v>
      </c>
      <c r="L1219" t="n">
        <v>3.571428571428572</v>
      </c>
      <c r="M1219" t="n">
        <v>3</v>
      </c>
      <c r="N1219" t="n">
        <v>4.199999999999999</v>
      </c>
      <c r="O1219" t="n">
        <v>0.8000000000000007</v>
      </c>
      <c r="P1219" t="n">
        <v>5.228884615200005</v>
      </c>
      <c r="Q1219" t="n">
        <v>0.1600000000000001</v>
      </c>
      <c r="R1219" t="inlineStr">
        <is>
          <t>Sobrestock</t>
        </is>
      </c>
    </row>
    <row r="1220">
      <c r="A1220" t="inlineStr">
        <is>
          <t>ADUMMDA11TM</t>
        </is>
      </c>
      <c r="B1220" t="inlineStr">
        <is>
          <t>ACTIVE DUO DAMA</t>
        </is>
      </c>
      <c r="C1220" t="inlineStr">
        <is>
          <t>Manufactura / Caballero / P. Superiores</t>
        </is>
      </c>
      <c r="D1220" t="n">
        <v>615.9167067</v>
      </c>
      <c r="E1220" t="n">
        <v>0.00015079647081152</v>
      </c>
      <c r="F1220" t="n">
        <v>0.9053345589007427</v>
      </c>
      <c r="G1220" t="inlineStr">
        <is>
          <t>B</t>
        </is>
      </c>
      <c r="H1220" t="n">
        <v>20</v>
      </c>
      <c r="I1220" t="n">
        <v>3.19128</v>
      </c>
      <c r="J1220" t="n">
        <v>63.82560000000001</v>
      </c>
      <c r="K1220" t="n">
        <v>1.2</v>
      </c>
      <c r="L1220" t="n">
        <v>16.66666666666667</v>
      </c>
      <c r="M1220" t="n">
        <v>3</v>
      </c>
      <c r="N1220" t="n">
        <v>3.6</v>
      </c>
      <c r="O1220" t="n">
        <v>16.4</v>
      </c>
      <c r="P1220" t="n">
        <v>52.336992</v>
      </c>
      <c r="Q1220" t="n">
        <v>0.82</v>
      </c>
      <c r="R1220" t="inlineStr">
        <is>
          <t>Sobrestock crítico</t>
        </is>
      </c>
    </row>
    <row r="1221">
      <c r="A1221" t="inlineStr">
        <is>
          <t>SHOUNCA57T2XL</t>
        </is>
      </c>
      <c r="B1221" t="inlineStr">
        <is>
          <t>SHORT PLAYA CAB</t>
        </is>
      </c>
      <c r="C1221" t="inlineStr">
        <is>
          <t>Manufactura / Caballero / P. Inferiores</t>
        </is>
      </c>
      <c r="D1221" t="n">
        <v>614.65713006</v>
      </c>
      <c r="E1221" t="n">
        <v>0.0001504880854244012</v>
      </c>
      <c r="F1221" t="n">
        <v>0.9054850469861671</v>
      </c>
      <c r="G1221" t="inlineStr">
        <is>
          <t>B</t>
        </is>
      </c>
      <c r="H1221" t="n">
        <v>0</v>
      </c>
      <c r="I1221" t="n">
        <v>9.99</v>
      </c>
      <c r="J1221" t="n">
        <v>0</v>
      </c>
      <c r="K1221" t="n">
        <v>1.3</v>
      </c>
      <c r="L1221" t="n">
        <v>0</v>
      </c>
      <c r="M1221" t="n">
        <v>3</v>
      </c>
      <c r="N1221" t="n">
        <v>3.9</v>
      </c>
      <c r="O1221" t="n">
        <v>0</v>
      </c>
      <c r="P1221" t="n">
        <v>0</v>
      </c>
      <c r="Q1221" t="n">
        <v>0</v>
      </c>
      <c r="R1221" t="inlineStr">
        <is>
          <t>Riesgo bajo stock</t>
        </is>
      </c>
    </row>
    <row r="1222">
      <c r="A1222" t="inlineStr">
        <is>
          <t>SHOUNKI68T14</t>
        </is>
      </c>
      <c r="B1222" t="inlineStr">
        <is>
          <t>SHORT PLAYA KIDS</t>
        </is>
      </c>
      <c r="C1222" t="inlineStr">
        <is>
          <t>Manufactura / Kids / P. Inferiores</t>
        </is>
      </c>
      <c r="D1222" t="n">
        <v>614.22013151</v>
      </c>
      <c r="E1222" t="n">
        <v>0.0001503810939458897</v>
      </c>
      <c r="F1222" t="n">
        <v>0.905635428080113</v>
      </c>
      <c r="G1222" t="inlineStr">
        <is>
          <t>B</t>
        </is>
      </c>
      <c r="H1222" t="n">
        <v>11</v>
      </c>
      <c r="I1222" t="n">
        <v>6.09</v>
      </c>
      <c r="J1222" t="n">
        <v>66.98999999999999</v>
      </c>
      <c r="K1222" t="n">
        <v>1.5</v>
      </c>
      <c r="L1222" t="n">
        <v>7.333333333333333</v>
      </c>
      <c r="M1222" t="n">
        <v>3</v>
      </c>
      <c r="N1222" t="n">
        <v>4.5</v>
      </c>
      <c r="O1222" t="n">
        <v>6.5</v>
      </c>
      <c r="P1222" t="n">
        <v>39.585</v>
      </c>
      <c r="Q1222" t="n">
        <v>0.5909090909090909</v>
      </c>
      <c r="R1222" t="inlineStr">
        <is>
          <t>Sobrestock crítico</t>
        </is>
      </c>
    </row>
    <row r="1223">
      <c r="A1223" t="inlineStr">
        <is>
          <t>RIOMICA50T2XL</t>
        </is>
      </c>
      <c r="B1223" t="inlineStr">
        <is>
          <t>RIO ORIGINAL CAB</t>
        </is>
      </c>
      <c r="C1223" t="inlineStr">
        <is>
          <t>Manufactura / Caballero / P. Superiores</t>
        </is>
      </c>
      <c r="D1223" t="n">
        <v>613.69471083</v>
      </c>
      <c r="E1223" t="n">
        <v>0.0001502524538499587</v>
      </c>
      <c r="F1223" t="n">
        <v>0.9057856805339629</v>
      </c>
      <c r="G1223" t="inlineStr">
        <is>
          <t>B</t>
        </is>
      </c>
      <c r="H1223" t="n">
        <v>11</v>
      </c>
      <c r="I1223" t="n">
        <v>5.939350288</v>
      </c>
      <c r="J1223" t="n">
        <v>65.332853168</v>
      </c>
      <c r="K1223" t="n">
        <v>1.1</v>
      </c>
      <c r="L1223" t="n">
        <v>10</v>
      </c>
      <c r="M1223" t="n">
        <v>3</v>
      </c>
      <c r="N1223" t="n">
        <v>3.3</v>
      </c>
      <c r="O1223" t="n">
        <v>7.699999999999999</v>
      </c>
      <c r="P1223" t="n">
        <v>45.73299721759999</v>
      </c>
      <c r="Q1223" t="n">
        <v>0.7</v>
      </c>
      <c r="R1223" t="inlineStr">
        <is>
          <t>Sobrestock crítico</t>
        </is>
      </c>
    </row>
    <row r="1224">
      <c r="A1224" t="inlineStr">
        <is>
          <t>HELBFDA16TL</t>
        </is>
      </c>
      <c r="B1224" t="inlineStr">
        <is>
          <t>HELEN BIO MOVE DAMA</t>
        </is>
      </c>
      <c r="C1224" t="inlineStr">
        <is>
          <t>Manufactura / Dama / P. Superiores</t>
        </is>
      </c>
      <c r="D1224" t="n">
        <v>612.77620074</v>
      </c>
      <c r="E1224" t="n">
        <v>0.000150027572663152</v>
      </c>
      <c r="F1224" t="n">
        <v>0.905935708106626</v>
      </c>
      <c r="G1224" t="inlineStr">
        <is>
          <t>B</t>
        </is>
      </c>
      <c r="H1224" t="n">
        <v>89</v>
      </c>
      <c r="I1224" t="n">
        <v>7.34081746</v>
      </c>
      <c r="J1224" t="n">
        <v>653.33275394</v>
      </c>
      <c r="K1224" t="n">
        <v>1.1</v>
      </c>
      <c r="L1224" t="n">
        <v>80.90909090909091</v>
      </c>
      <c r="M1224" t="n">
        <v>3</v>
      </c>
      <c r="N1224" t="n">
        <v>3.3</v>
      </c>
      <c r="O1224" t="n">
        <v>85.7</v>
      </c>
      <c r="P1224" t="n">
        <v>629.108056322</v>
      </c>
      <c r="Q1224" t="n">
        <v>0.9629213483146069</v>
      </c>
      <c r="R1224" t="inlineStr">
        <is>
          <t>Sobrestock crítico</t>
        </is>
      </c>
    </row>
    <row r="1225">
      <c r="A1225" t="inlineStr">
        <is>
          <t>TALGOTADA166TXS</t>
        </is>
      </c>
      <c r="B1225" t="inlineStr">
        <is>
          <t>URBAN COTTON TOP SUNSET DAMA</t>
        </is>
      </c>
      <c r="C1225" t="inlineStr">
        <is>
          <t>Manufactura / Dama / P. Superiores</t>
        </is>
      </c>
      <c r="D1225" t="n">
        <v>612.28257606</v>
      </c>
      <c r="E1225" t="n">
        <v>0.0001499067172636479</v>
      </c>
      <c r="F1225" t="n">
        <v>0.9060856148238897</v>
      </c>
      <c r="G1225" t="inlineStr">
        <is>
          <t>B</t>
        </is>
      </c>
      <c r="H1225" t="n">
        <v>36</v>
      </c>
      <c r="I1225" t="n">
        <v>7.815168794</v>
      </c>
      <c r="J1225" t="n">
        <v>281.346076584</v>
      </c>
      <c r="K1225" t="n">
        <v>1.2</v>
      </c>
      <c r="L1225" t="n">
        <v>30</v>
      </c>
      <c r="M1225" t="n">
        <v>3</v>
      </c>
      <c r="N1225" t="n">
        <v>3.6</v>
      </c>
      <c r="O1225" t="n">
        <v>32.4</v>
      </c>
      <c r="P1225" t="n">
        <v>253.2114689256</v>
      </c>
      <c r="Q1225" t="n">
        <v>0.8999999999999999</v>
      </c>
      <c r="R1225" t="inlineStr">
        <is>
          <t>Sobrestock crítico</t>
        </is>
      </c>
    </row>
    <row r="1226">
      <c r="A1226" t="inlineStr">
        <is>
          <t>CLAMEDA66TS</t>
        </is>
      </c>
      <c r="B1226" t="inlineStr">
        <is>
          <t>CLÁSICA SPORT DAMA</t>
        </is>
      </c>
      <c r="C1226" t="inlineStr">
        <is>
          <t>Manufactura / Dama / P. Superiores</t>
        </is>
      </c>
      <c r="D1226" t="n">
        <v>611.50652873</v>
      </c>
      <c r="E1226" t="n">
        <v>0.0001497167156006411</v>
      </c>
      <c r="F1226" t="n">
        <v>0.9062353315394903</v>
      </c>
      <c r="G1226" t="inlineStr">
        <is>
          <t>B</t>
        </is>
      </c>
      <c r="H1226" t="n">
        <v>13</v>
      </c>
      <c r="I1226" t="n">
        <v>6.536105769</v>
      </c>
      <c r="J1226" t="n">
        <v>84.969374997</v>
      </c>
      <c r="K1226" t="n">
        <v>1.2</v>
      </c>
      <c r="L1226" t="n">
        <v>10.83333333333333</v>
      </c>
      <c r="M1226" t="n">
        <v>3</v>
      </c>
      <c r="N1226" t="n">
        <v>3.6</v>
      </c>
      <c r="O1226" t="n">
        <v>9.4</v>
      </c>
      <c r="P1226" t="n">
        <v>61.4393942286</v>
      </c>
      <c r="Q1226" t="n">
        <v>0.7230769230769231</v>
      </c>
      <c r="R1226" t="inlineStr">
        <is>
          <t>Sobrestock crítico</t>
        </is>
      </c>
    </row>
    <row r="1227">
      <c r="A1227" t="inlineStr">
        <is>
          <t>SHONRCA66TL</t>
        </is>
      </c>
      <c r="B1227" t="inlineStr">
        <is>
          <t>SHORT SPORT CAB</t>
        </is>
      </c>
      <c r="C1227" t="inlineStr">
        <is>
          <t>Manufactura / Caballero / P. Inferiores</t>
        </is>
      </c>
      <c r="D1227" t="n">
        <v>610.8166341</v>
      </c>
      <c r="E1227" t="n">
        <v>0.0001495478069246722</v>
      </c>
      <c r="F1227" t="n">
        <v>0.906384879346415</v>
      </c>
      <c r="G1227" t="inlineStr">
        <is>
          <t>B</t>
        </is>
      </c>
      <c r="H1227" t="n">
        <v>1</v>
      </c>
      <c r="I1227" t="n">
        <v>10.6514486</v>
      </c>
      <c r="J1227" t="n">
        <v>10.6514486</v>
      </c>
      <c r="K1227" t="n">
        <v>2.3</v>
      </c>
      <c r="L1227" t="n">
        <v>0.4347826086956522</v>
      </c>
      <c r="M1227" t="n">
        <v>3</v>
      </c>
      <c r="N1227" t="n">
        <v>6.899999999999999</v>
      </c>
      <c r="O1227" t="n">
        <v>0</v>
      </c>
      <c r="P1227" t="n">
        <v>0</v>
      </c>
      <c r="Q1227" t="n">
        <v>0</v>
      </c>
      <c r="R1227" t="inlineStr">
        <is>
          <t>Riesgo bajo stock</t>
        </is>
      </c>
    </row>
    <row r="1228">
      <c r="A1228" t="inlineStr">
        <is>
          <t>SARSPKI12T10</t>
        </is>
      </c>
      <c r="B1228" t="inlineStr">
        <is>
          <t>FALDA SARA KIDS</t>
        </is>
      </c>
      <c r="C1228" t="inlineStr">
        <is>
          <t>Manufactura / Kids / P. Inferiores</t>
        </is>
      </c>
      <c r="D1228" t="n">
        <v>608.79745995</v>
      </c>
      <c r="E1228" t="n">
        <v>0.0001490534473262693</v>
      </c>
      <c r="F1228" t="n">
        <v>0.9065339327937413</v>
      </c>
      <c r="G1228" t="inlineStr">
        <is>
          <t>B</t>
        </is>
      </c>
      <c r="H1228" t="n">
        <v>17</v>
      </c>
      <c r="I1228" t="n">
        <v>5.753743316</v>
      </c>
      <c r="J1228" t="n">
        <v>97.813636372</v>
      </c>
      <c r="K1228" t="n">
        <v>1.6</v>
      </c>
      <c r="L1228" t="n">
        <v>10.625</v>
      </c>
      <c r="M1228" t="n">
        <v>3</v>
      </c>
      <c r="N1228" t="n">
        <v>4.800000000000001</v>
      </c>
      <c r="O1228" t="n">
        <v>12.2</v>
      </c>
      <c r="P1228" t="n">
        <v>70.19566845520001</v>
      </c>
      <c r="Q1228" t="n">
        <v>0.7176470588235294</v>
      </c>
      <c r="R1228" t="inlineStr">
        <is>
          <t>Sobrestock crítico</t>
        </is>
      </c>
    </row>
    <row r="1229">
      <c r="A1229" t="inlineStr">
        <is>
          <t>MARMIKI50T14</t>
        </is>
      </c>
      <c r="B1229" t="inlineStr">
        <is>
          <t>MAR ORIGINAL KIDS</t>
        </is>
      </c>
      <c r="C1229" t="inlineStr">
        <is>
          <t>Manufactura / Kids / P. Superiores</t>
        </is>
      </c>
      <c r="D1229" t="n">
        <v>608.45647576</v>
      </c>
      <c r="E1229" t="n">
        <v>0.0001489699632903677</v>
      </c>
      <c r="F1229" t="n">
        <v>0.9066829027570317</v>
      </c>
      <c r="G1229" t="inlineStr">
        <is>
          <t>B</t>
        </is>
      </c>
      <c r="H1229" t="n">
        <v>57</v>
      </c>
      <c r="I1229" t="n">
        <v>3.168013332</v>
      </c>
      <c r="J1229" t="n">
        <v>180.576759924</v>
      </c>
      <c r="K1229" t="n">
        <v>1.5</v>
      </c>
      <c r="L1229" t="n">
        <v>38</v>
      </c>
      <c r="M1229" t="n">
        <v>3</v>
      </c>
      <c r="N1229" t="n">
        <v>4.5</v>
      </c>
      <c r="O1229" t="n">
        <v>52.5</v>
      </c>
      <c r="P1229" t="n">
        <v>166.32069993</v>
      </c>
      <c r="Q1229" t="n">
        <v>0.9210526315789473</v>
      </c>
      <c r="R1229" t="inlineStr">
        <is>
          <t>Sobrestock crítico</t>
        </is>
      </c>
    </row>
    <row r="1230">
      <c r="A1230" t="inlineStr">
        <is>
          <t>DOMBFCA30TM</t>
        </is>
      </c>
      <c r="B1230" t="inlineStr">
        <is>
          <t>DOMINIC BIO MOVE CAB</t>
        </is>
      </c>
      <c r="C1230" t="inlineStr">
        <is>
          <t>Manufactura / Caballero / P. Superiores</t>
        </is>
      </c>
      <c r="D1230" t="n">
        <v>607.41960592</v>
      </c>
      <c r="E1230" t="n">
        <v>0.0001487161037816678</v>
      </c>
      <c r="F1230" t="n">
        <v>0.9068316188608133</v>
      </c>
      <c r="G1230" t="inlineStr">
        <is>
          <t>B</t>
        </is>
      </c>
      <c r="H1230" t="n">
        <v>24</v>
      </c>
      <c r="I1230" t="n">
        <v>13.86</v>
      </c>
      <c r="J1230" t="n">
        <v>332.6399999999999</v>
      </c>
      <c r="K1230" t="n">
        <v>1.1</v>
      </c>
      <c r="L1230" t="n">
        <v>21.81818181818182</v>
      </c>
      <c r="M1230" t="n">
        <v>3</v>
      </c>
      <c r="N1230" t="n">
        <v>3.3</v>
      </c>
      <c r="O1230" t="n">
        <v>20.7</v>
      </c>
      <c r="P1230" t="n">
        <v>286.9019999999999</v>
      </c>
      <c r="Q1230" t="n">
        <v>0.8624999999999999</v>
      </c>
      <c r="R1230" t="inlineStr">
        <is>
          <t>Sobrestock crítico</t>
        </is>
      </c>
    </row>
    <row r="1231">
      <c r="A1231" t="inlineStr">
        <is>
          <t>MARMIKI48T8</t>
        </is>
      </c>
      <c r="B1231" t="inlineStr">
        <is>
          <t>MAR ORIGINAL KIDS</t>
        </is>
      </c>
      <c r="C1231" t="inlineStr">
        <is>
          <t>Manufactura / Kids / P. Superiores</t>
        </is>
      </c>
      <c r="D1231" t="n">
        <v>606.63834302</v>
      </c>
      <c r="E1231" t="n">
        <v>0.0001485248251772488</v>
      </c>
      <c r="F1231" t="n">
        <v>0.9069801436859906</v>
      </c>
      <c r="G1231" t="inlineStr">
        <is>
          <t>B</t>
        </is>
      </c>
      <c r="H1231" t="n">
        <v>9</v>
      </c>
      <c r="I1231" t="n">
        <v>3.168013332</v>
      </c>
      <c r="J1231" t="n">
        <v>28.512119988</v>
      </c>
      <c r="K1231" t="n">
        <v>1.6</v>
      </c>
      <c r="L1231" t="n">
        <v>5.625</v>
      </c>
      <c r="M1231" t="n">
        <v>3</v>
      </c>
      <c r="N1231" t="n">
        <v>4.800000000000001</v>
      </c>
      <c r="O1231" t="n">
        <v>4.199999999999999</v>
      </c>
      <c r="P1231" t="n">
        <v>13.3056559944</v>
      </c>
      <c r="Q1231" t="n">
        <v>0.4666666666666666</v>
      </c>
      <c r="R1231" t="inlineStr">
        <is>
          <t>Sobrestock crítico</t>
        </is>
      </c>
    </row>
    <row r="1232">
      <c r="A1232" t="inlineStr">
        <is>
          <t>SHONRKI43T10</t>
        </is>
      </c>
      <c r="B1232" t="inlineStr">
        <is>
          <t>SHORT SPORT KIDS</t>
        </is>
      </c>
      <c r="C1232" t="inlineStr">
        <is>
          <t>Manufactura / Kids / P. Inferiores</t>
        </is>
      </c>
      <c r="D1232" t="n">
        <v>605.89732188</v>
      </c>
      <c r="E1232" t="n">
        <v>0.0001483433990663913</v>
      </c>
      <c r="F1232" t="n">
        <v>0.9071284870850569</v>
      </c>
      <c r="G1232" t="inlineStr">
        <is>
          <t>B</t>
        </is>
      </c>
      <c r="H1232" t="n">
        <v>18</v>
      </c>
      <c r="I1232" t="n">
        <v>6.465724382</v>
      </c>
      <c r="J1232" t="n">
        <v>116.383038876</v>
      </c>
      <c r="K1232" t="n">
        <v>1.6</v>
      </c>
      <c r="L1232" t="n">
        <v>11.25</v>
      </c>
      <c r="M1232" t="n">
        <v>3</v>
      </c>
      <c r="N1232" t="n">
        <v>4.800000000000001</v>
      </c>
      <c r="O1232" t="n">
        <v>13.2</v>
      </c>
      <c r="P1232" t="n">
        <v>85.3475618424</v>
      </c>
      <c r="Q1232" t="n">
        <v>0.7333333333333333</v>
      </c>
      <c r="R1232" t="inlineStr">
        <is>
          <t>Sobrestock crítico</t>
        </is>
      </c>
    </row>
    <row r="1233">
      <c r="A1233" t="inlineStr">
        <is>
          <t>MIKFNDA70TXS</t>
        </is>
      </c>
      <c r="B1233" t="inlineStr">
        <is>
          <t>MIKA SPORT LITE DAMA</t>
        </is>
      </c>
      <c r="C1233" t="inlineStr">
        <is>
          <t>Manufactura / Dama / P. Superiores</t>
        </is>
      </c>
      <c r="D1233" t="n">
        <v>603.9475333399999</v>
      </c>
      <c r="E1233" t="n">
        <v>0.0001478660273252738</v>
      </c>
      <c r="F1233" t="n">
        <v>0.9072763531123822</v>
      </c>
      <c r="G1233" t="inlineStr">
        <is>
          <t>B</t>
        </is>
      </c>
      <c r="H1233" t="n">
        <v>31</v>
      </c>
      <c r="I1233" t="n">
        <v>5.484675344</v>
      </c>
      <c r="J1233" t="n">
        <v>170.024935664</v>
      </c>
      <c r="K1233" t="n">
        <v>1.5</v>
      </c>
      <c r="L1233" t="n">
        <v>20.66666666666667</v>
      </c>
      <c r="M1233" t="n">
        <v>3</v>
      </c>
      <c r="N1233" t="n">
        <v>4.5</v>
      </c>
      <c r="O1233" t="n">
        <v>26.5</v>
      </c>
      <c r="P1233" t="n">
        <v>145.343896616</v>
      </c>
      <c r="Q1233" t="n">
        <v>0.8548387096774194</v>
      </c>
      <c r="R1233" t="inlineStr">
        <is>
          <t>Sobrestock crítico</t>
        </is>
      </c>
    </row>
    <row r="1234">
      <c r="A1234" t="inlineStr">
        <is>
          <t>DOMBFCA206TL</t>
        </is>
      </c>
      <c r="B1234" t="inlineStr">
        <is>
          <t>DOMINIC BIO MOVE CAB</t>
        </is>
      </c>
      <c r="C1234" t="inlineStr">
        <is>
          <t>Manufactura / Caballero / P. Superiores</t>
        </is>
      </c>
      <c r="D1234" t="n">
        <v>603.8490624999999</v>
      </c>
      <c r="E1234" t="n">
        <v>0.0001478419184563499</v>
      </c>
      <c r="F1234" t="n">
        <v>0.9074241950308386</v>
      </c>
      <c r="G1234" t="inlineStr">
        <is>
          <t>B</t>
        </is>
      </c>
      <c r="H1234" t="n">
        <v>27</v>
      </c>
      <c r="I1234" t="n">
        <v>13.86</v>
      </c>
      <c r="J1234" t="n">
        <v>374.22</v>
      </c>
      <c r="K1234" t="n">
        <v>1</v>
      </c>
      <c r="L1234" t="n">
        <v>27</v>
      </c>
      <c r="M1234" t="n">
        <v>3</v>
      </c>
      <c r="N1234" t="n">
        <v>3</v>
      </c>
      <c r="O1234" t="n">
        <v>24</v>
      </c>
      <c r="P1234" t="n">
        <v>332.64</v>
      </c>
      <c r="Q1234" t="n">
        <v>0.888888888888889</v>
      </c>
      <c r="R1234" t="inlineStr">
        <is>
          <t>Sobrestock crítico</t>
        </is>
      </c>
    </row>
    <row r="1235">
      <c r="A1235" t="inlineStr">
        <is>
          <t>MAFMIDA66TM</t>
        </is>
      </c>
      <c r="B1235" t="inlineStr">
        <is>
          <t>MAFE ORIGINAL DAMA</t>
        </is>
      </c>
      <c r="C1235" t="inlineStr">
        <is>
          <t>Manufactura / Dama / P. Superiores</t>
        </is>
      </c>
      <c r="D1235" t="n">
        <v>603.09864896</v>
      </c>
      <c r="E1235" t="n">
        <v>0.0001476581927800527</v>
      </c>
      <c r="F1235" t="n">
        <v>0.9075718532236186</v>
      </c>
      <c r="G1235" t="inlineStr">
        <is>
          <t>B</t>
        </is>
      </c>
      <c r="H1235" t="n">
        <v>35</v>
      </c>
      <c r="I1235" t="n">
        <v>4.54817671</v>
      </c>
      <c r="J1235" t="n">
        <v>159.18618485</v>
      </c>
      <c r="K1235" t="n">
        <v>2</v>
      </c>
      <c r="L1235" t="n">
        <v>17.5</v>
      </c>
      <c r="M1235" t="n">
        <v>3</v>
      </c>
      <c r="N1235" t="n">
        <v>6</v>
      </c>
      <c r="O1235" t="n">
        <v>29</v>
      </c>
      <c r="P1235" t="n">
        <v>131.89712459</v>
      </c>
      <c r="Q1235" t="n">
        <v>0.8285714285714286</v>
      </c>
      <c r="R1235" t="inlineStr">
        <is>
          <t>Sobrestock crítico</t>
        </is>
      </c>
    </row>
    <row r="1236">
      <c r="A1236" t="inlineStr">
        <is>
          <t>MARMIDA30TXS</t>
        </is>
      </c>
      <c r="B1236" t="inlineStr">
        <is>
          <t>MAR ORIGINAL DAMA</t>
        </is>
      </c>
      <c r="C1236" t="inlineStr">
        <is>
          <t>Manufactura / Dama / P. Superiores</t>
        </is>
      </c>
      <c r="D1236" t="n">
        <v>602.79163873</v>
      </c>
      <c r="E1236" t="n">
        <v>0.0001475830266761244</v>
      </c>
      <c r="F1236" t="n">
        <v>0.9077194362502947</v>
      </c>
      <c r="G1236" t="inlineStr">
        <is>
          <t>B</t>
        </is>
      </c>
      <c r="H1236" t="n">
        <v>1</v>
      </c>
      <c r="I1236" t="n">
        <v>4.278324149</v>
      </c>
      <c r="J1236" t="n">
        <v>4.278324149</v>
      </c>
      <c r="K1236" t="n">
        <v>1.3</v>
      </c>
      <c r="L1236" t="n">
        <v>0.7692307692307692</v>
      </c>
      <c r="M1236" t="n">
        <v>3</v>
      </c>
      <c r="N1236" t="n">
        <v>3.9</v>
      </c>
      <c r="O1236" t="n">
        <v>0</v>
      </c>
      <c r="P1236" t="n">
        <v>0</v>
      </c>
      <c r="Q1236" t="n">
        <v>0</v>
      </c>
      <c r="R1236" t="inlineStr">
        <is>
          <t>Riesgo bajo stock</t>
        </is>
      </c>
    </row>
    <row r="1237">
      <c r="A1237" t="inlineStr">
        <is>
          <t>LMOFIDA31TM</t>
        </is>
      </c>
      <c r="B1237" t="inlineStr">
        <is>
          <t>LEGGING MOVA</t>
        </is>
      </c>
      <c r="C1237" t="inlineStr">
        <is>
          <t>Manufactura / Dama / P. Inferiores</t>
        </is>
      </c>
      <c r="D1237" t="n">
        <v>601.15932121</v>
      </c>
      <c r="E1237" t="n">
        <v>0.0001471833821810454</v>
      </c>
      <c r="F1237" t="n">
        <v>0.9078666196324757</v>
      </c>
      <c r="G1237" t="inlineStr">
        <is>
          <t>B</t>
        </is>
      </c>
      <c r="H1237" t="n">
        <v>20</v>
      </c>
      <c r="I1237" t="n">
        <v>17.7</v>
      </c>
      <c r="J1237" t="n">
        <v>354</v>
      </c>
      <c r="K1237" t="n">
        <v>0.9</v>
      </c>
      <c r="L1237" t="n">
        <v>22.22222222222222</v>
      </c>
      <c r="M1237" t="n">
        <v>3</v>
      </c>
      <c r="N1237" t="n">
        <v>2.7</v>
      </c>
      <c r="O1237" t="n">
        <v>17.3</v>
      </c>
      <c r="P1237" t="n">
        <v>306.21</v>
      </c>
      <c r="Q1237" t="n">
        <v>0.865</v>
      </c>
      <c r="R1237" t="inlineStr">
        <is>
          <t>Sobrestock crítico</t>
        </is>
      </c>
    </row>
    <row r="1238">
      <c r="A1238" t="inlineStr">
        <is>
          <t>RIOMIDA13TM</t>
        </is>
      </c>
      <c r="B1238" t="inlineStr">
        <is>
          <t>RIO ORIGINAL DAMA</t>
        </is>
      </c>
      <c r="C1238" t="inlineStr">
        <is>
          <t>Manufactura / Dama / P. Superiores</t>
        </is>
      </c>
      <c r="D1238" t="n">
        <v>600.6704783700001</v>
      </c>
      <c r="E1238" t="n">
        <v>0.0001470636975317226</v>
      </c>
      <c r="F1238" t="n">
        <v>0.9080136833300074</v>
      </c>
      <c r="G1238" t="inlineStr">
        <is>
          <t>B</t>
        </is>
      </c>
      <c r="H1238" t="n">
        <v>1</v>
      </c>
      <c r="I1238" t="n">
        <v>5.538832275</v>
      </c>
      <c r="J1238" t="n">
        <v>5.538832275</v>
      </c>
      <c r="K1238" t="n">
        <v>1.2</v>
      </c>
      <c r="L1238" t="n">
        <v>0.8333333333333334</v>
      </c>
      <c r="M1238" t="n">
        <v>3</v>
      </c>
      <c r="N1238" t="n">
        <v>3.6</v>
      </c>
      <c r="O1238" t="n">
        <v>0</v>
      </c>
      <c r="P1238" t="n">
        <v>0</v>
      </c>
      <c r="Q1238" t="n">
        <v>0</v>
      </c>
      <c r="R1238" t="inlineStr">
        <is>
          <t>Riesgo bajo stock</t>
        </is>
      </c>
    </row>
    <row r="1239">
      <c r="A1239" t="inlineStr">
        <is>
          <t>TALGTADA12TM</t>
        </is>
      </c>
      <c r="B1239" t="inlineStr">
        <is>
          <t>URBAN COTTON TOP SAY YES DAMA</t>
        </is>
      </c>
      <c r="C1239" t="inlineStr">
        <is>
          <t>Manufactura / Dama / P. Superiores</t>
        </is>
      </c>
      <c r="D1239" t="n">
        <v>598.1643785699999</v>
      </c>
      <c r="E1239" t="n">
        <v>0.0001464501226745535</v>
      </c>
      <c r="F1239" t="n">
        <v>0.908160133452682</v>
      </c>
      <c r="G1239" t="inlineStr">
        <is>
          <t>B</t>
        </is>
      </c>
      <c r="H1239" t="n">
        <v>23</v>
      </c>
      <c r="I1239" t="n">
        <v>6.639983317</v>
      </c>
      <c r="J1239" t="n">
        <v>152.719616291</v>
      </c>
      <c r="K1239" t="n">
        <v>1.2</v>
      </c>
      <c r="L1239" t="n">
        <v>19.16666666666667</v>
      </c>
      <c r="M1239" t="n">
        <v>3</v>
      </c>
      <c r="N1239" t="n">
        <v>3.6</v>
      </c>
      <c r="O1239" t="n">
        <v>19.4</v>
      </c>
      <c r="P1239" t="n">
        <v>128.8156763498</v>
      </c>
      <c r="Q1239" t="n">
        <v>0.8434782608695651</v>
      </c>
      <c r="R1239" t="inlineStr">
        <is>
          <t>Sobrestock crítico</t>
        </is>
      </c>
    </row>
    <row r="1240">
      <c r="A1240" t="inlineStr">
        <is>
          <t>ADUMMCA30TS</t>
        </is>
      </c>
      <c r="B1240" t="inlineStr">
        <is>
          <t>ACTIVE DUO CAB</t>
        </is>
      </c>
      <c r="C1240" t="inlineStr">
        <is>
          <t>Manufactura / Caballero / P. Superiores</t>
        </is>
      </c>
      <c r="D1240" t="n">
        <v>594.90468538</v>
      </c>
      <c r="E1240" t="n">
        <v>0.0001456520436102366</v>
      </c>
      <c r="F1240" t="n">
        <v>0.9083057854962923</v>
      </c>
      <c r="G1240" t="inlineStr">
        <is>
          <t>B</t>
        </is>
      </c>
      <c r="H1240" t="n">
        <v>19</v>
      </c>
      <c r="I1240" t="n">
        <v>5.09</v>
      </c>
      <c r="J1240" t="n">
        <v>96.70999999999999</v>
      </c>
      <c r="K1240" t="n">
        <v>2</v>
      </c>
      <c r="L1240" t="n">
        <v>9.5</v>
      </c>
      <c r="M1240" t="n">
        <v>3</v>
      </c>
      <c r="N1240" t="n">
        <v>6</v>
      </c>
      <c r="O1240" t="n">
        <v>13</v>
      </c>
      <c r="P1240" t="n">
        <v>66.17</v>
      </c>
      <c r="Q1240" t="n">
        <v>0.6842105263157895</v>
      </c>
      <c r="R1240" t="inlineStr">
        <is>
          <t>Sobrestock crítico</t>
        </is>
      </c>
    </row>
    <row r="1241">
      <c r="A1241" t="inlineStr">
        <is>
          <t>RIOMIKI16T8</t>
        </is>
      </c>
      <c r="B1241" t="inlineStr">
        <is>
          <t>RIO ORIGINAL KIDS</t>
        </is>
      </c>
      <c r="C1241" t="inlineStr">
        <is>
          <t>Manufactura / Kids / P. Superiores</t>
        </is>
      </c>
      <c r="D1241" t="n">
        <v>594.70071805</v>
      </c>
      <c r="E1241" t="n">
        <v>0.0001456021057644365</v>
      </c>
      <c r="F1241" t="n">
        <v>0.9084513876020568</v>
      </c>
      <c r="G1241" t="inlineStr">
        <is>
          <t>B</t>
        </is>
      </c>
      <c r="H1241" t="n">
        <v>43</v>
      </c>
      <c r="I1241" t="n">
        <v>3.617969464</v>
      </c>
      <c r="J1241" t="n">
        <v>155.572686952</v>
      </c>
      <c r="K1241" t="n">
        <v>1.4</v>
      </c>
      <c r="L1241" t="n">
        <v>30.71428571428572</v>
      </c>
      <c r="M1241" t="n">
        <v>3</v>
      </c>
      <c r="N1241" t="n">
        <v>4.199999999999999</v>
      </c>
      <c r="O1241" t="n">
        <v>38.8</v>
      </c>
      <c r="P1241" t="n">
        <v>140.3772152032</v>
      </c>
      <c r="Q1241" t="n">
        <v>0.9023255813953488</v>
      </c>
      <c r="R1241" t="inlineStr">
        <is>
          <t>Sobrestock crítico</t>
        </is>
      </c>
    </row>
    <row r="1242">
      <c r="A1242" t="inlineStr">
        <is>
          <t>LMOFIDA43TS</t>
        </is>
      </c>
      <c r="B1242" t="inlineStr">
        <is>
          <t>LEGGING MOVA</t>
        </is>
      </c>
      <c r="C1242" t="inlineStr">
        <is>
          <t>Manufactura / Dama / P. Inferiores</t>
        </is>
      </c>
      <c r="D1242" t="n">
        <v>593.8505058</v>
      </c>
      <c r="E1242" t="n">
        <v>0.0001453939461133895</v>
      </c>
      <c r="F1242" t="n">
        <v>0.9085967815481701</v>
      </c>
      <c r="G1242" t="inlineStr">
        <is>
          <t>B</t>
        </is>
      </c>
      <c r="H1242" t="n">
        <v>28</v>
      </c>
      <c r="I1242" t="n">
        <v>17.7</v>
      </c>
      <c r="J1242" t="n">
        <v>495.6</v>
      </c>
      <c r="K1242" t="n">
        <v>1.4</v>
      </c>
      <c r="L1242" t="n">
        <v>20</v>
      </c>
      <c r="M1242" t="n">
        <v>3</v>
      </c>
      <c r="N1242" t="n">
        <v>4.199999999999999</v>
      </c>
      <c r="O1242" t="n">
        <v>23.8</v>
      </c>
      <c r="P1242" t="n">
        <v>421.26</v>
      </c>
      <c r="Q1242" t="n">
        <v>0.8500000000000001</v>
      </c>
      <c r="R1242" t="inlineStr">
        <is>
          <t>Sobrestock crítico</t>
        </is>
      </c>
    </row>
    <row r="1243">
      <c r="A1243" t="inlineStr">
        <is>
          <t>SHUNTDA157TS</t>
        </is>
      </c>
      <c r="B1243" t="inlineStr">
        <is>
          <t>SHORT SPORT R1 DAMA</t>
        </is>
      </c>
      <c r="C1243" t="inlineStr">
        <is>
          <t>Manufactura / Dama / P. Inferiores</t>
        </is>
      </c>
      <c r="D1243" t="n">
        <v>593.71176105</v>
      </c>
      <c r="E1243" t="n">
        <v>0.0001453599768795368</v>
      </c>
      <c r="F1243" t="n">
        <v>0.9087421415250496</v>
      </c>
      <c r="G1243" t="inlineStr">
        <is>
          <t>B</t>
        </is>
      </c>
      <c r="H1243" t="n">
        <v>39</v>
      </c>
      <c r="I1243" t="n">
        <v>8.33</v>
      </c>
      <c r="J1243" t="n">
        <v>324.87</v>
      </c>
      <c r="K1243" t="n">
        <v>1.5</v>
      </c>
      <c r="L1243" t="n">
        <v>26</v>
      </c>
      <c r="M1243" t="n">
        <v>3</v>
      </c>
      <c r="N1243" t="n">
        <v>4.5</v>
      </c>
      <c r="O1243" t="n">
        <v>34.5</v>
      </c>
      <c r="P1243" t="n">
        <v>287.385</v>
      </c>
      <c r="Q1243" t="n">
        <v>0.8846153846153846</v>
      </c>
      <c r="R1243" t="inlineStr">
        <is>
          <t>Sobrestock crítico</t>
        </is>
      </c>
    </row>
    <row r="1244">
      <c r="A1244" t="inlineStr">
        <is>
          <t>SHOUNCA69TS</t>
        </is>
      </c>
      <c r="B1244" t="inlineStr">
        <is>
          <t>SHORT PLAYA CAB</t>
        </is>
      </c>
      <c r="C1244" t="inlineStr">
        <is>
          <t>Manufactura / Caballero / P. Inferiores</t>
        </is>
      </c>
      <c r="D1244" t="n">
        <v>593.68391199</v>
      </c>
      <c r="E1244" t="n">
        <v>0.0001453531585225776</v>
      </c>
      <c r="F1244" t="n">
        <v>0.9088874946835722</v>
      </c>
      <c r="G1244" t="inlineStr">
        <is>
          <t>B</t>
        </is>
      </c>
      <c r="H1244" t="n">
        <v>47</v>
      </c>
      <c r="I1244" t="n">
        <v>9.99</v>
      </c>
      <c r="J1244" t="n">
        <v>469.53</v>
      </c>
      <c r="K1244" t="n">
        <v>1.2</v>
      </c>
      <c r="L1244" t="n">
        <v>39.16666666666667</v>
      </c>
      <c r="M1244" t="n">
        <v>3</v>
      </c>
      <c r="N1244" t="n">
        <v>3.6</v>
      </c>
      <c r="O1244" t="n">
        <v>43.4</v>
      </c>
      <c r="P1244" t="n">
        <v>433.566</v>
      </c>
      <c r="Q1244" t="n">
        <v>0.9234042553191488</v>
      </c>
      <c r="R1244" t="inlineStr">
        <is>
          <t>Sobrestock crítico</t>
        </is>
      </c>
    </row>
    <row r="1245">
      <c r="A1245" t="inlineStr">
        <is>
          <t>CLAMICA13TS</t>
        </is>
      </c>
      <c r="B1245" t="inlineStr">
        <is>
          <t>CLASICA ORIGINAL CAB</t>
        </is>
      </c>
      <c r="C1245" t="inlineStr">
        <is>
          <t>Manufactura / Caballero / P. Superiores</t>
        </is>
      </c>
      <c r="D1245" t="n">
        <v>593.4133556100001</v>
      </c>
      <c r="E1245" t="n">
        <v>0.0001452869175084669</v>
      </c>
      <c r="F1245" t="n">
        <v>0.9090327816010807</v>
      </c>
      <c r="G1245" t="inlineStr">
        <is>
          <t>B</t>
        </is>
      </c>
      <c r="H1245" t="n">
        <v>17</v>
      </c>
      <c r="I1245" t="n">
        <v>4.598442536</v>
      </c>
      <c r="J1245" t="n">
        <v>78.173523112</v>
      </c>
      <c r="K1245" t="n">
        <v>1.7</v>
      </c>
      <c r="L1245" t="n">
        <v>10</v>
      </c>
      <c r="M1245" t="n">
        <v>3</v>
      </c>
      <c r="N1245" t="n">
        <v>5.1</v>
      </c>
      <c r="O1245" t="n">
        <v>11.9</v>
      </c>
      <c r="P1245" t="n">
        <v>54.72146617840001</v>
      </c>
      <c r="Q1245" t="n">
        <v>0.7000000000000001</v>
      </c>
      <c r="R1245" t="inlineStr">
        <is>
          <t>Sobrestock crítico</t>
        </is>
      </c>
    </row>
    <row r="1246">
      <c r="A1246" t="inlineStr">
        <is>
          <t>RIOMIKI30T2</t>
        </is>
      </c>
      <c r="B1246" t="inlineStr">
        <is>
          <t>RIO ORIGINAL KIDS</t>
        </is>
      </c>
      <c r="C1246" t="inlineStr">
        <is>
          <t>Manufactura / Kids / P. Superiores</t>
        </is>
      </c>
      <c r="D1246" t="n">
        <v>593.25525018</v>
      </c>
      <c r="E1246" t="n">
        <v>0.000145248208149554</v>
      </c>
      <c r="F1246" t="n">
        <v>0.9091780298092302</v>
      </c>
      <c r="G1246" t="inlineStr">
        <is>
          <t>B</t>
        </is>
      </c>
      <c r="H1246" t="n">
        <v>8</v>
      </c>
      <c r="I1246" t="n">
        <v>3.617969464</v>
      </c>
      <c r="J1246" t="n">
        <v>28.943755712</v>
      </c>
      <c r="K1246" t="n">
        <v>1.4</v>
      </c>
      <c r="L1246" t="n">
        <v>5.714285714285714</v>
      </c>
      <c r="M1246" t="n">
        <v>3</v>
      </c>
      <c r="N1246" t="n">
        <v>4.199999999999999</v>
      </c>
      <c r="O1246" t="n">
        <v>3.800000000000001</v>
      </c>
      <c r="P1246" t="n">
        <v>13.7482839632</v>
      </c>
      <c r="Q1246" t="n">
        <v>0.4750000000000001</v>
      </c>
      <c r="R1246" t="inlineStr">
        <is>
          <t>Sobrestock crítico</t>
        </is>
      </c>
    </row>
    <row r="1247">
      <c r="A1247" t="inlineStr">
        <is>
          <t>MAFMIDA70TXS</t>
        </is>
      </c>
      <c r="B1247" t="inlineStr">
        <is>
          <t>MAFE ORIGINAL DAMA</t>
        </is>
      </c>
      <c r="C1247" t="inlineStr">
        <is>
          <t>Manufactura / Dama / P. Superiores</t>
        </is>
      </c>
      <c r="D1247" t="n">
        <v>593.04604682</v>
      </c>
      <c r="E1247" t="n">
        <v>0.0001451969883530673</v>
      </c>
      <c r="F1247" t="n">
        <v>0.9093232267975833</v>
      </c>
      <c r="G1247" t="inlineStr">
        <is>
          <t>B</t>
        </is>
      </c>
      <c r="H1247" t="n">
        <v>11</v>
      </c>
      <c r="I1247" t="n">
        <v>4.54817671</v>
      </c>
      <c r="J1247" t="n">
        <v>50.02994381</v>
      </c>
      <c r="K1247" t="n">
        <v>1.8</v>
      </c>
      <c r="L1247" t="n">
        <v>6.111111111111111</v>
      </c>
      <c r="M1247" t="n">
        <v>3</v>
      </c>
      <c r="N1247" t="n">
        <v>5.4</v>
      </c>
      <c r="O1247" t="n">
        <v>5.6</v>
      </c>
      <c r="P1247" t="n">
        <v>25.469789576</v>
      </c>
      <c r="Q1247" t="n">
        <v>0.509090909090909</v>
      </c>
      <c r="R1247" t="inlineStr">
        <is>
          <t>Sobrestock crítico</t>
        </is>
      </c>
    </row>
    <row r="1248">
      <c r="A1248" t="inlineStr">
        <is>
          <t>MAYFNDA10TM</t>
        </is>
      </c>
      <c r="B1248" t="inlineStr">
        <is>
          <t>MAYA SPORT LITE DAMA</t>
        </is>
      </c>
      <c r="C1248" t="inlineStr">
        <is>
          <t>Manufactura / Dama / P. Superiores</t>
        </is>
      </c>
      <c r="D1248" t="n">
        <v>591.48106708</v>
      </c>
      <c r="E1248" t="n">
        <v>0.0001448138303397899</v>
      </c>
      <c r="F1248" t="n">
        <v>0.909468040627923</v>
      </c>
      <c r="G1248" t="inlineStr">
        <is>
          <t>B</t>
        </is>
      </c>
      <c r="H1248" t="n">
        <v>29</v>
      </c>
      <c r="I1248" t="n">
        <v>3.87</v>
      </c>
      <c r="J1248" t="n">
        <v>112.23</v>
      </c>
      <c r="K1248" t="n">
        <v>1.6</v>
      </c>
      <c r="L1248" t="n">
        <v>18.125</v>
      </c>
      <c r="M1248" t="n">
        <v>3</v>
      </c>
      <c r="N1248" t="n">
        <v>4.800000000000001</v>
      </c>
      <c r="O1248" t="n">
        <v>24.2</v>
      </c>
      <c r="P1248" t="n">
        <v>93.65399999999998</v>
      </c>
      <c r="Q1248" t="n">
        <v>0.8344827586206895</v>
      </c>
      <c r="R1248" t="inlineStr">
        <is>
          <t>Sobrestock crítico</t>
        </is>
      </c>
    </row>
    <row r="1249">
      <c r="A1249" t="inlineStr">
        <is>
          <t>MIKFNDA70TL</t>
        </is>
      </c>
      <c r="B1249" t="inlineStr">
        <is>
          <t>MIKA SPORT LITE DAMA</t>
        </is>
      </c>
      <c r="C1249" t="inlineStr">
        <is>
          <t>Manufactura / Dama / P. Superiores</t>
        </is>
      </c>
      <c r="D1249" t="n">
        <v>591.44273218</v>
      </c>
      <c r="E1249" t="n">
        <v>0.0001448044447076646</v>
      </c>
      <c r="F1249" t="n">
        <v>0.9096128450726307</v>
      </c>
      <c r="G1249" t="inlineStr">
        <is>
          <t>B</t>
        </is>
      </c>
      <c r="H1249" t="n">
        <v>23</v>
      </c>
      <c r="I1249" t="n">
        <v>5.484675344</v>
      </c>
      <c r="J1249" t="n">
        <v>126.147532912</v>
      </c>
      <c r="K1249" t="n">
        <v>1.5</v>
      </c>
      <c r="L1249" t="n">
        <v>15.33333333333333</v>
      </c>
      <c r="M1249" t="n">
        <v>3</v>
      </c>
      <c r="N1249" t="n">
        <v>4.5</v>
      </c>
      <c r="O1249" t="n">
        <v>18.5</v>
      </c>
      <c r="P1249" t="n">
        <v>101.466493864</v>
      </c>
      <c r="Q1249" t="n">
        <v>0.8043478260869565</v>
      </c>
      <c r="R1249" t="inlineStr">
        <is>
          <t>Sobrestock crítico</t>
        </is>
      </c>
    </row>
    <row r="1250">
      <c r="A1250" t="inlineStr">
        <is>
          <t>JACCA67TL</t>
        </is>
      </c>
      <c r="B1250" t="inlineStr">
        <is>
          <t>JACKET CAB</t>
        </is>
      </c>
      <c r="C1250" t="inlineStr">
        <is>
          <t>Equipamiento / Ropa</t>
        </is>
      </c>
      <c r="D1250" t="n">
        <v>590.37286252</v>
      </c>
      <c r="E1250" t="n">
        <v>0.0001445425057681922</v>
      </c>
      <c r="F1250" t="n">
        <v>0.9097573875783989</v>
      </c>
      <c r="G1250" t="inlineStr">
        <is>
          <t>B</t>
        </is>
      </c>
      <c r="H1250" t="n">
        <v>48</v>
      </c>
      <c r="I1250" t="n">
        <v>20.25001933</v>
      </c>
      <c r="J1250" t="n">
        <v>972.0009278400003</v>
      </c>
      <c r="K1250" t="n">
        <v>0.8</v>
      </c>
      <c r="L1250" t="n">
        <v>60</v>
      </c>
      <c r="M1250" t="n">
        <v>3</v>
      </c>
      <c r="N1250" t="n">
        <v>2.4</v>
      </c>
      <c r="O1250" t="n">
        <v>45.6</v>
      </c>
      <c r="P1250" t="n">
        <v>923.4008814480002</v>
      </c>
      <c r="Q1250" t="n">
        <v>0.95</v>
      </c>
      <c r="R1250" t="inlineStr">
        <is>
          <t>Sobrestock crítico</t>
        </is>
      </c>
    </row>
    <row r="1251">
      <c r="A1251" t="inlineStr">
        <is>
          <t>RIOMICA16T2XL</t>
        </is>
      </c>
      <c r="B1251" t="inlineStr">
        <is>
          <t>RIO ORIGINAL CAB</t>
        </is>
      </c>
      <c r="C1251" t="inlineStr">
        <is>
          <t>Manufactura / Caballero / P. Superiores</t>
        </is>
      </c>
      <c r="D1251" t="n">
        <v>590.25371321</v>
      </c>
      <c r="E1251" t="n">
        <v>0.0001445133341362943</v>
      </c>
      <c r="F1251" t="n">
        <v>0.9099019009125352</v>
      </c>
      <c r="G1251" t="inlineStr">
        <is>
          <t>B</t>
        </is>
      </c>
      <c r="H1251" t="n">
        <v>26</v>
      </c>
      <c r="I1251" t="n">
        <v>5.939350288</v>
      </c>
      <c r="J1251" t="n">
        <v>154.423107488</v>
      </c>
      <c r="K1251" t="n">
        <v>1</v>
      </c>
      <c r="L1251" t="n">
        <v>26</v>
      </c>
      <c r="M1251" t="n">
        <v>3</v>
      </c>
      <c r="N1251" t="n">
        <v>3</v>
      </c>
      <c r="O1251" t="n">
        <v>23</v>
      </c>
      <c r="P1251" t="n">
        <v>136.605056624</v>
      </c>
      <c r="Q1251" t="n">
        <v>0.8846153846153845</v>
      </c>
      <c r="R1251" t="inlineStr">
        <is>
          <t>Sobrestock crítico</t>
        </is>
      </c>
    </row>
    <row r="1252">
      <c r="A1252" t="inlineStr">
        <is>
          <t>RIOMIKI01T12</t>
        </is>
      </c>
      <c r="B1252" t="inlineStr">
        <is>
          <t>RIO ORIGINAL KIDS</t>
        </is>
      </c>
      <c r="C1252" t="inlineStr">
        <is>
          <t>Manufactura / Kids / P. Superiores</t>
        </is>
      </c>
      <c r="D1252" t="n">
        <v>590.2218309</v>
      </c>
      <c r="E1252" t="n">
        <v>0.0001445055283083682</v>
      </c>
      <c r="F1252" t="n">
        <v>0.9100464064408436</v>
      </c>
      <c r="G1252" t="inlineStr">
        <is>
          <t>B</t>
        </is>
      </c>
      <c r="H1252" t="n">
        <v>13</v>
      </c>
      <c r="I1252" t="n">
        <v>3.617969464</v>
      </c>
      <c r="J1252" t="n">
        <v>47.033603032</v>
      </c>
      <c r="K1252" t="n">
        <v>1.4</v>
      </c>
      <c r="L1252" t="n">
        <v>9.285714285714286</v>
      </c>
      <c r="M1252" t="n">
        <v>3</v>
      </c>
      <c r="N1252" t="n">
        <v>4.199999999999999</v>
      </c>
      <c r="O1252" t="n">
        <v>8.800000000000001</v>
      </c>
      <c r="P1252" t="n">
        <v>31.8381312832</v>
      </c>
      <c r="Q1252" t="n">
        <v>0.676923076923077</v>
      </c>
      <c r="R1252" t="inlineStr">
        <is>
          <t>Sobrestock crítico</t>
        </is>
      </c>
    </row>
    <row r="1253">
      <c r="A1253" t="inlineStr">
        <is>
          <t>SHONTDA43TS</t>
        </is>
      </c>
      <c r="B1253" t="inlineStr">
        <is>
          <t>EXPLORE SHORT DAMA</t>
        </is>
      </c>
      <c r="C1253" t="inlineStr">
        <is>
          <t>Manufactura / Dama / P. Inferiores</t>
        </is>
      </c>
      <c r="D1253" t="n">
        <v>589.73820818</v>
      </c>
      <c r="E1253" t="n">
        <v>0.0001443871217144458</v>
      </c>
      <c r="F1253" t="n">
        <v>0.9101907935625581</v>
      </c>
      <c r="G1253" t="inlineStr">
        <is>
          <t>B</t>
        </is>
      </c>
      <c r="H1253" t="n">
        <v>61</v>
      </c>
      <c r="I1253" t="n">
        <v>10.22113744</v>
      </c>
      <c r="J1253" t="n">
        <v>623.48938384</v>
      </c>
      <c r="K1253" t="n">
        <v>1.4</v>
      </c>
      <c r="L1253" t="n">
        <v>43.57142857142858</v>
      </c>
      <c r="M1253" t="n">
        <v>3</v>
      </c>
      <c r="N1253" t="n">
        <v>4.199999999999999</v>
      </c>
      <c r="O1253" t="n">
        <v>56.8</v>
      </c>
      <c r="P1253" t="n">
        <v>580.560606592</v>
      </c>
      <c r="Q1253" t="n">
        <v>0.9311475409836066</v>
      </c>
      <c r="R1253" t="inlineStr">
        <is>
          <t>Sobrestock crítico</t>
        </is>
      </c>
    </row>
    <row r="1254">
      <c r="A1254" t="inlineStr">
        <is>
          <t>GEMBADA09TXS</t>
        </is>
      </c>
      <c r="B1254" t="inlineStr">
        <is>
          <t>VESTIDO GEMMA DAMA</t>
        </is>
      </c>
      <c r="C1254" t="inlineStr">
        <is>
          <t>Manufactura / Dama / Conjuntos</t>
        </is>
      </c>
      <c r="D1254" t="n">
        <v>589.45493901</v>
      </c>
      <c r="E1254" t="n">
        <v>0.000144317768195275</v>
      </c>
      <c r="F1254" t="n">
        <v>0.9103351113307533</v>
      </c>
      <c r="G1254" t="inlineStr">
        <is>
          <t>B</t>
        </is>
      </c>
      <c r="H1254" t="n">
        <v>25</v>
      </c>
      <c r="I1254" t="n">
        <v>23.99</v>
      </c>
      <c r="J1254" t="n">
        <v>599.75</v>
      </c>
      <c r="K1254" t="n">
        <v>1.3</v>
      </c>
      <c r="L1254" t="n">
        <v>19.23076923076923</v>
      </c>
      <c r="M1254" t="n">
        <v>3</v>
      </c>
      <c r="N1254" t="n">
        <v>3.9</v>
      </c>
      <c r="O1254" t="n">
        <v>21.1</v>
      </c>
      <c r="P1254" t="n">
        <v>506.1890000000001</v>
      </c>
      <c r="Q1254" t="n">
        <v>0.8440000000000001</v>
      </c>
      <c r="R1254" t="inlineStr">
        <is>
          <t>Sobrestock crítico</t>
        </is>
      </c>
    </row>
    <row r="1255">
      <c r="A1255" t="inlineStr">
        <is>
          <t>MAFMIDA48TXS</t>
        </is>
      </c>
      <c r="B1255" t="inlineStr">
        <is>
          <t>MAFE ORIGINAL DAMA</t>
        </is>
      </c>
      <c r="C1255" t="inlineStr">
        <is>
          <t>Manufactura / Dama / P. Superiores</t>
        </is>
      </c>
      <c r="D1255" t="n">
        <v>589.22196616</v>
      </c>
      <c r="E1255" t="n">
        <v>0.0001442607288534407</v>
      </c>
      <c r="F1255" t="n">
        <v>0.9104793720596068</v>
      </c>
      <c r="G1255" t="inlineStr">
        <is>
          <t>B</t>
        </is>
      </c>
      <c r="H1255" t="n">
        <v>19</v>
      </c>
      <c r="I1255" t="n">
        <v>4.54817671</v>
      </c>
      <c r="J1255" t="n">
        <v>86.41535748999999</v>
      </c>
      <c r="K1255" t="n">
        <v>1.9</v>
      </c>
      <c r="L1255" t="n">
        <v>10</v>
      </c>
      <c r="M1255" t="n">
        <v>3</v>
      </c>
      <c r="N1255" t="n">
        <v>5.699999999999999</v>
      </c>
      <c r="O1255" t="n">
        <v>13.3</v>
      </c>
      <c r="P1255" t="n">
        <v>60.490750243</v>
      </c>
      <c r="Q1255" t="n">
        <v>0.7000000000000001</v>
      </c>
      <c r="R1255" t="inlineStr">
        <is>
          <t>Sobrestock crítico</t>
        </is>
      </c>
    </row>
    <row r="1256">
      <c r="A1256" t="inlineStr">
        <is>
          <t>BASCCDA38TXS</t>
        </is>
      </c>
      <c r="B1256" t="inlineStr">
        <is>
          <t>BASIC LINE SHORT DAMA</t>
        </is>
      </c>
      <c r="C1256" t="inlineStr">
        <is>
          <t>Manufactura / Dama / P. Inferiores</t>
        </is>
      </c>
      <c r="D1256" t="n">
        <v>588.05342998</v>
      </c>
      <c r="E1256" t="n">
        <v>0.000143974633136207</v>
      </c>
      <c r="F1256" t="n">
        <v>0.9106233466927429</v>
      </c>
      <c r="G1256" t="inlineStr">
        <is>
          <t>B</t>
        </is>
      </c>
      <c r="H1256" t="n">
        <v>41</v>
      </c>
      <c r="I1256" t="n">
        <v>6.01</v>
      </c>
      <c r="J1256" t="n">
        <v>246.41</v>
      </c>
      <c r="K1256" t="n">
        <v>1.5</v>
      </c>
      <c r="L1256" t="n">
        <v>27.33333333333333</v>
      </c>
      <c r="M1256" t="n">
        <v>3</v>
      </c>
      <c r="N1256" t="n">
        <v>4.5</v>
      </c>
      <c r="O1256" t="n">
        <v>36.5</v>
      </c>
      <c r="P1256" t="n">
        <v>219.365</v>
      </c>
      <c r="Q1256" t="n">
        <v>0.8902439024390243</v>
      </c>
      <c r="R1256" t="inlineStr">
        <is>
          <t>Sobrestock crítico</t>
        </is>
      </c>
    </row>
    <row r="1257">
      <c r="A1257" t="inlineStr">
        <is>
          <t>NAHFNCA13TS</t>
        </is>
      </c>
      <c r="B1257" t="inlineStr">
        <is>
          <t>NOAH SPORT LITE CAB</t>
        </is>
      </c>
      <c r="C1257" t="inlineStr">
        <is>
          <t>Manufactura / Caballero / P. Superiores</t>
        </is>
      </c>
      <c r="D1257" t="n">
        <v>586.32229561</v>
      </c>
      <c r="E1257" t="n">
        <v>0.0001435507950576863</v>
      </c>
      <c r="F1257" t="n">
        <v>0.9107668974878006</v>
      </c>
      <c r="G1257" t="inlineStr">
        <is>
          <t>B</t>
        </is>
      </c>
      <c r="H1257" t="n">
        <v>9</v>
      </c>
      <c r="I1257" t="n">
        <v>17.61141534</v>
      </c>
      <c r="J1257" t="n">
        <v>158.50273806</v>
      </c>
      <c r="K1257" t="n">
        <v>2.6</v>
      </c>
      <c r="L1257" t="n">
        <v>3.461538461538461</v>
      </c>
      <c r="M1257" t="n">
        <v>3</v>
      </c>
      <c r="N1257" t="n">
        <v>7.800000000000001</v>
      </c>
      <c r="O1257" t="n">
        <v>1.199999999999999</v>
      </c>
      <c r="P1257" t="n">
        <v>21.13369840799999</v>
      </c>
      <c r="Q1257" t="n">
        <v>0.1333333333333332</v>
      </c>
      <c r="R1257" t="inlineStr">
        <is>
          <t>Sobrestock</t>
        </is>
      </c>
    </row>
    <row r="1258">
      <c r="A1258" t="inlineStr">
        <is>
          <t>GEMBADA66TS</t>
        </is>
      </c>
      <c r="B1258" t="inlineStr">
        <is>
          <t>VESTIDO GEMMA DAMA</t>
        </is>
      </c>
      <c r="C1258" t="inlineStr">
        <is>
          <t>Manufactura / Dama / Conjuntos</t>
        </is>
      </c>
      <c r="D1258" t="n">
        <v>586.0239785700001</v>
      </c>
      <c r="E1258" t="n">
        <v>0.0001434777573298157</v>
      </c>
      <c r="F1258" t="n">
        <v>0.9109103752451304</v>
      </c>
      <c r="G1258" t="inlineStr">
        <is>
          <t>B</t>
        </is>
      </c>
      <c r="H1258" t="n">
        <v>42</v>
      </c>
      <c r="I1258" t="n">
        <v>23.99</v>
      </c>
      <c r="J1258" t="n">
        <v>1007.58</v>
      </c>
      <c r="K1258" t="n">
        <v>1.2</v>
      </c>
      <c r="L1258" t="n">
        <v>35</v>
      </c>
      <c r="M1258" t="n">
        <v>3</v>
      </c>
      <c r="N1258" t="n">
        <v>3.6</v>
      </c>
      <c r="O1258" t="n">
        <v>38.4</v>
      </c>
      <c r="P1258" t="n">
        <v>921.2159999999999</v>
      </c>
      <c r="Q1258" t="n">
        <v>0.9142857142857143</v>
      </c>
      <c r="R1258" t="inlineStr">
        <is>
          <t>Sobrestock crítico</t>
        </is>
      </c>
    </row>
    <row r="1259">
      <c r="A1259" t="inlineStr">
        <is>
          <t>GEODOCACA168TXL</t>
        </is>
      </c>
      <c r="B1259" t="inlineStr">
        <is>
          <t>ADVANCE GEO DOMINIC CAB</t>
        </is>
      </c>
      <c r="C1259" t="inlineStr">
        <is>
          <t>Manufactura / Caballero / P. Superiores</t>
        </is>
      </c>
      <c r="D1259" t="n">
        <v>585.28308039</v>
      </c>
      <c r="E1259" t="n">
        <v>0.0001432963613235711</v>
      </c>
      <c r="F1259" t="n">
        <v>0.911053671606454</v>
      </c>
      <c r="G1259" t="inlineStr">
        <is>
          <t>B</t>
        </is>
      </c>
      <c r="H1259" t="n">
        <v>23</v>
      </c>
      <c r="I1259" t="n">
        <v>13.35</v>
      </c>
      <c r="J1259" t="n">
        <v>307.05</v>
      </c>
      <c r="K1259" t="n">
        <v>0.9</v>
      </c>
      <c r="L1259" t="n">
        <v>25.55555555555555</v>
      </c>
      <c r="M1259" t="n">
        <v>3</v>
      </c>
      <c r="N1259" t="n">
        <v>2.7</v>
      </c>
      <c r="O1259" t="n">
        <v>20.3</v>
      </c>
      <c r="P1259" t="n">
        <v>271.005</v>
      </c>
      <c r="Q1259" t="n">
        <v>0.8826086956521738</v>
      </c>
      <c r="R1259" t="inlineStr">
        <is>
          <t>Sobrestock crítico</t>
        </is>
      </c>
    </row>
    <row r="1260">
      <c r="A1260" t="inlineStr">
        <is>
          <t>RIOMIDA53TL</t>
        </is>
      </c>
      <c r="B1260" t="inlineStr">
        <is>
          <t>RIO ORIGINAL DAMA</t>
        </is>
      </c>
      <c r="C1260" t="inlineStr">
        <is>
          <t>Manufactura / Dama / P. Superiores</t>
        </is>
      </c>
      <c r="D1260" t="n">
        <v>584.8960594599999</v>
      </c>
      <c r="E1260" t="n">
        <v>0.0001432016059942557</v>
      </c>
      <c r="F1260" t="n">
        <v>0.9111968732124484</v>
      </c>
      <c r="G1260" t="inlineStr">
        <is>
          <t>B</t>
        </is>
      </c>
      <c r="H1260" t="n">
        <v>11</v>
      </c>
      <c r="I1260" t="n">
        <v>5.538832275</v>
      </c>
      <c r="J1260" t="n">
        <v>60.927155025</v>
      </c>
      <c r="K1260" t="n">
        <v>1.2</v>
      </c>
      <c r="L1260" t="n">
        <v>9.166666666666668</v>
      </c>
      <c r="M1260" t="n">
        <v>3</v>
      </c>
      <c r="N1260" t="n">
        <v>3.6</v>
      </c>
      <c r="O1260" t="n">
        <v>7.4</v>
      </c>
      <c r="P1260" t="n">
        <v>40.987358835</v>
      </c>
      <c r="Q1260" t="n">
        <v>0.6727272727272728</v>
      </c>
      <c r="R1260" t="inlineStr">
        <is>
          <t>Sobrestock crítico</t>
        </is>
      </c>
    </row>
    <row r="1261">
      <c r="A1261" t="inlineStr">
        <is>
          <t>LAN43EQ</t>
        </is>
      </c>
      <c r="B1261" t="inlineStr">
        <is>
          <t>LANYARD</t>
        </is>
      </c>
      <c r="C1261" t="inlineStr">
        <is>
          <t>Equipamiento / Accesorios</t>
        </is>
      </c>
      <c r="D1261" t="n">
        <v>583.417432467</v>
      </c>
      <c r="E1261" t="n">
        <v>0.0001428395899460376</v>
      </c>
      <c r="F1261" t="n">
        <v>0.9113397128023943</v>
      </c>
      <c r="G1261" t="inlineStr">
        <is>
          <t>B</t>
        </is>
      </c>
      <c r="H1261" t="n">
        <v>618</v>
      </c>
      <c r="I1261" t="n">
        <v>0.51</v>
      </c>
      <c r="J1261" t="n">
        <v>315.18</v>
      </c>
      <c r="K1261" t="n">
        <v>16.8</v>
      </c>
      <c r="L1261" t="n">
        <v>36.78571428571428</v>
      </c>
      <c r="M1261" t="n">
        <v>3</v>
      </c>
      <c r="N1261" t="n">
        <v>50.40000000000001</v>
      </c>
      <c r="O1261" t="n">
        <v>567.6</v>
      </c>
      <c r="P1261" t="n">
        <v>289.476</v>
      </c>
      <c r="Q1261" t="n">
        <v>0.9184466019417475</v>
      </c>
      <c r="R1261" t="inlineStr">
        <is>
          <t>Sobrestock crítico</t>
        </is>
      </c>
    </row>
    <row r="1262">
      <c r="A1262" t="inlineStr">
        <is>
          <t>ZOEMIDA34TL</t>
        </is>
      </c>
      <c r="B1262" t="inlineStr">
        <is>
          <t>ZOE ORIGINAL DAMA</t>
        </is>
      </c>
      <c r="C1262" t="inlineStr">
        <is>
          <t>Manufactura / Dama / P. Superiores</t>
        </is>
      </c>
      <c r="D1262" t="n">
        <v>580.85517843</v>
      </c>
      <c r="E1262" t="n">
        <v>0.0001422122667026524</v>
      </c>
      <c r="F1262" t="n">
        <v>0.9114819250690971</v>
      </c>
      <c r="G1262" t="inlineStr">
        <is>
          <t>B</t>
        </is>
      </c>
      <c r="H1262" t="n">
        <v>10</v>
      </c>
      <c r="I1262" t="n">
        <v>4.116585696</v>
      </c>
      <c r="J1262" t="n">
        <v>41.16585696</v>
      </c>
      <c r="K1262" t="n">
        <v>1.5</v>
      </c>
      <c r="L1262" t="n">
        <v>6.666666666666667</v>
      </c>
      <c r="M1262" t="n">
        <v>3</v>
      </c>
      <c r="N1262" t="n">
        <v>4.5</v>
      </c>
      <c r="O1262" t="n">
        <v>5.5</v>
      </c>
      <c r="P1262" t="n">
        <v>22.641221328</v>
      </c>
      <c r="Q1262" t="n">
        <v>0.5499999999999999</v>
      </c>
      <c r="R1262" t="inlineStr">
        <is>
          <t>Sobrestock crítico</t>
        </is>
      </c>
    </row>
    <row r="1263">
      <c r="A1263" t="inlineStr">
        <is>
          <t>ANMSUDA43TM</t>
        </is>
      </c>
      <c r="B1263" t="inlineStr">
        <is>
          <t>ANDRE MOTION DAMA</t>
        </is>
      </c>
      <c r="C1263" t="inlineStr">
        <is>
          <t>Manufactura / Dama / P. Superiores</t>
        </is>
      </c>
      <c r="D1263" t="n">
        <v>580.62657391</v>
      </c>
      <c r="E1263" t="n">
        <v>0.000142156296870283</v>
      </c>
      <c r="F1263" t="n">
        <v>0.9116240813659673</v>
      </c>
      <c r="G1263" t="inlineStr">
        <is>
          <t>B</t>
        </is>
      </c>
      <c r="H1263" t="n">
        <v>7</v>
      </c>
      <c r="I1263" t="n">
        <v>10.6</v>
      </c>
      <c r="J1263" t="n">
        <v>74.2</v>
      </c>
      <c r="K1263" t="n">
        <v>1.6</v>
      </c>
      <c r="L1263" t="n">
        <v>4.375</v>
      </c>
      <c r="M1263" t="n">
        <v>3</v>
      </c>
      <c r="N1263" t="n">
        <v>4.800000000000001</v>
      </c>
      <c r="O1263" t="n">
        <v>2.199999999999999</v>
      </c>
      <c r="P1263" t="n">
        <v>23.31999999999999</v>
      </c>
      <c r="Q1263" t="n">
        <v>0.3142857142857142</v>
      </c>
      <c r="R1263" t="inlineStr">
        <is>
          <t>Sobrestock crítico</t>
        </is>
      </c>
    </row>
    <row r="1264">
      <c r="A1264" t="inlineStr">
        <is>
          <t>MAADFDA30TS</t>
        </is>
      </c>
      <c r="B1264" t="inlineStr">
        <is>
          <t>MAFE ADVANCE DAMA</t>
        </is>
      </c>
      <c r="C1264" t="inlineStr">
        <is>
          <t>Manufactura / Dama / P. Superiores</t>
        </is>
      </c>
      <c r="D1264" t="n">
        <v>580.27013986</v>
      </c>
      <c r="E1264" t="n">
        <v>0.0001420690302054363</v>
      </c>
      <c r="F1264" t="n">
        <v>0.9117661503961728</v>
      </c>
      <c r="G1264" t="inlineStr">
        <is>
          <t>B</t>
        </is>
      </c>
      <c r="H1264" t="n">
        <v>1</v>
      </c>
      <c r="I1264" t="n">
        <v>4.98</v>
      </c>
      <c r="J1264" t="n">
        <v>4.98</v>
      </c>
      <c r="K1264" t="n">
        <v>1.2</v>
      </c>
      <c r="L1264" t="n">
        <v>0.8333333333333334</v>
      </c>
      <c r="M1264" t="n">
        <v>3</v>
      </c>
      <c r="N1264" t="n">
        <v>3.6</v>
      </c>
      <c r="O1264" t="n">
        <v>0</v>
      </c>
      <c r="P1264" t="n">
        <v>0</v>
      </c>
      <c r="Q1264" t="n">
        <v>0</v>
      </c>
      <c r="R1264" t="inlineStr">
        <is>
          <t>Riesgo bajo stock</t>
        </is>
      </c>
    </row>
    <row r="1265">
      <c r="A1265" t="inlineStr">
        <is>
          <t>SNA67EQ</t>
        </is>
      </c>
      <c r="B1265" t="inlineStr">
        <is>
          <t>LLAVERO SNAP</t>
        </is>
      </c>
      <c r="C1265" t="inlineStr">
        <is>
          <t>Equipamiento / Accesorios</t>
        </is>
      </c>
      <c r="D1265" t="n">
        <v>578.54915226195</v>
      </c>
      <c r="E1265" t="n">
        <v>0.0001416476763871793</v>
      </c>
      <c r="F1265" t="n">
        <v>0.9119077980725598</v>
      </c>
      <c r="G1265" t="inlineStr">
        <is>
          <t>B</t>
        </is>
      </c>
      <c r="H1265" t="n">
        <v>616</v>
      </c>
      <c r="I1265" t="n">
        <v>1</v>
      </c>
      <c r="J1265" t="n">
        <v>616</v>
      </c>
      <c r="K1265" t="n">
        <v>23</v>
      </c>
      <c r="L1265" t="n">
        <v>26.78260869565218</v>
      </c>
      <c r="M1265" t="n">
        <v>3</v>
      </c>
      <c r="N1265" t="n">
        <v>69</v>
      </c>
      <c r="O1265" t="n">
        <v>547</v>
      </c>
      <c r="P1265" t="n">
        <v>547</v>
      </c>
      <c r="Q1265" t="n">
        <v>0.887987012987013</v>
      </c>
      <c r="R1265" t="inlineStr">
        <is>
          <t>Sobrestock crítico</t>
        </is>
      </c>
    </row>
    <row r="1266">
      <c r="A1266" t="inlineStr">
        <is>
          <t>SHOUNCA186TM</t>
        </is>
      </c>
      <c r="B1266" t="inlineStr">
        <is>
          <t>SHORT PLAYA CAB</t>
        </is>
      </c>
      <c r="C1266" t="inlineStr">
        <is>
          <t>Manufactura / Caballero / P. Inferiores</t>
        </is>
      </c>
      <c r="D1266" t="n">
        <v>578.47536916</v>
      </c>
      <c r="E1266" t="n">
        <v>0.0001416296118806339</v>
      </c>
      <c r="F1266" t="n">
        <v>0.9120494276844405</v>
      </c>
      <c r="G1266" t="inlineStr">
        <is>
          <t>B</t>
        </is>
      </c>
      <c r="H1266" t="n">
        <v>47</v>
      </c>
      <c r="I1266" t="n">
        <v>9.99</v>
      </c>
      <c r="J1266" t="n">
        <v>469.53</v>
      </c>
      <c r="K1266" t="n">
        <v>1.2</v>
      </c>
      <c r="L1266" t="n">
        <v>39.16666666666667</v>
      </c>
      <c r="M1266" t="n">
        <v>3</v>
      </c>
      <c r="N1266" t="n">
        <v>3.6</v>
      </c>
      <c r="O1266" t="n">
        <v>43.4</v>
      </c>
      <c r="P1266" t="n">
        <v>433.566</v>
      </c>
      <c r="Q1266" t="n">
        <v>0.9234042553191488</v>
      </c>
      <c r="R1266" t="inlineStr">
        <is>
          <t>Sobrestock crítico</t>
        </is>
      </c>
    </row>
    <row r="1267">
      <c r="A1267" t="inlineStr">
        <is>
          <t>SHONRKI43T12</t>
        </is>
      </c>
      <c r="B1267" t="inlineStr">
        <is>
          <t>SHORT SPORT KIDS</t>
        </is>
      </c>
      <c r="C1267" t="inlineStr">
        <is>
          <t>Manufactura / Kids / P. Inferiores</t>
        </is>
      </c>
      <c r="D1267" t="n">
        <v>578.35000152</v>
      </c>
      <c r="E1267" t="n">
        <v>0.0001415989177990148</v>
      </c>
      <c r="F1267" t="n">
        <v>0.9121910266022395</v>
      </c>
      <c r="G1267" t="inlineStr">
        <is>
          <t>B</t>
        </is>
      </c>
      <c r="H1267" t="n">
        <v>17</v>
      </c>
      <c r="I1267" t="n">
        <v>6.465724382</v>
      </c>
      <c r="J1267" t="n">
        <v>109.917314494</v>
      </c>
      <c r="K1267" t="n">
        <v>1.6</v>
      </c>
      <c r="L1267" t="n">
        <v>10.625</v>
      </c>
      <c r="M1267" t="n">
        <v>3</v>
      </c>
      <c r="N1267" t="n">
        <v>4.800000000000001</v>
      </c>
      <c r="O1267" t="n">
        <v>12.2</v>
      </c>
      <c r="P1267" t="n">
        <v>78.88183746039999</v>
      </c>
      <c r="Q1267" t="n">
        <v>0.7176470588235293</v>
      </c>
      <c r="R1267" t="inlineStr">
        <is>
          <t>Sobrestock crítico</t>
        </is>
      </c>
    </row>
    <row r="1268">
      <c r="A1268" t="inlineStr">
        <is>
          <t>ANDMIDA12TS</t>
        </is>
      </c>
      <c r="B1268" t="inlineStr">
        <is>
          <t>ANDRE ORIGINAL DAMA</t>
        </is>
      </c>
      <c r="C1268" t="inlineStr">
        <is>
          <t>Manufactura / Dama / P. Superiores</t>
        </is>
      </c>
      <c r="D1268" t="n">
        <v>577.7276627825128</v>
      </c>
      <c r="E1268" t="n">
        <v>0.0001414465490058948</v>
      </c>
      <c r="F1268" t="n">
        <v>0.9123324731512454</v>
      </c>
      <c r="G1268" t="inlineStr">
        <is>
          <t>B</t>
        </is>
      </c>
      <c r="H1268" t="n">
        <v>72</v>
      </c>
      <c r="I1268" t="n">
        <v>3.274295302</v>
      </c>
      <c r="J1268" t="n">
        <v>235.749261744</v>
      </c>
      <c r="K1268" t="n">
        <v>1.6</v>
      </c>
      <c r="L1268" t="n">
        <v>45</v>
      </c>
      <c r="M1268" t="n">
        <v>3</v>
      </c>
      <c r="N1268" t="n">
        <v>4.800000000000001</v>
      </c>
      <c r="O1268" t="n">
        <v>67.2</v>
      </c>
      <c r="P1268" t="n">
        <v>220.0326442944</v>
      </c>
      <c r="Q1268" t="n">
        <v>0.9333333333333333</v>
      </c>
      <c r="R1268" t="inlineStr">
        <is>
          <t>Sobrestock crítico</t>
        </is>
      </c>
    </row>
    <row r="1269">
      <c r="A1269" t="inlineStr">
        <is>
          <t>RIOMIDA13TXL</t>
        </is>
      </c>
      <c r="B1269" t="inlineStr">
        <is>
          <t>RIO ORIGINAL DAMA</t>
        </is>
      </c>
      <c r="C1269" t="inlineStr">
        <is>
          <t>Manufactura / Dama / P. Superiores</t>
        </is>
      </c>
      <c r="D1269" t="n">
        <v>577.71169058</v>
      </c>
      <c r="E1269" t="n">
        <v>0.0001414426384904894</v>
      </c>
      <c r="F1269" t="n">
        <v>0.9124739157897358</v>
      </c>
      <c r="G1269" t="inlineStr">
        <is>
          <t>B</t>
        </is>
      </c>
      <c r="H1269" t="n">
        <v>9</v>
      </c>
      <c r="I1269" t="n">
        <v>5.538832275</v>
      </c>
      <c r="J1269" t="n">
        <v>49.849490475</v>
      </c>
      <c r="K1269" t="n">
        <v>1</v>
      </c>
      <c r="L1269" t="n">
        <v>9</v>
      </c>
      <c r="M1269" t="n">
        <v>3</v>
      </c>
      <c r="N1269" t="n">
        <v>3</v>
      </c>
      <c r="O1269" t="n">
        <v>6</v>
      </c>
      <c r="P1269" t="n">
        <v>33.23299365</v>
      </c>
      <c r="Q1269" t="n">
        <v>0.6666666666666666</v>
      </c>
      <c r="R1269" t="inlineStr">
        <is>
          <t>Sobrestock crítico</t>
        </is>
      </c>
    </row>
    <row r="1270">
      <c r="A1270" t="inlineStr">
        <is>
          <t>SNA14EQ</t>
        </is>
      </c>
      <c r="B1270" t="inlineStr">
        <is>
          <t>LLAVERO SNAP</t>
        </is>
      </c>
      <c r="C1270" t="inlineStr">
        <is>
          <t>Equipamiento / Accesorios</t>
        </is>
      </c>
      <c r="D1270" t="n">
        <v>577.4359038162952</v>
      </c>
      <c r="E1270" t="n">
        <v>0.000141375116908089</v>
      </c>
      <c r="F1270" t="n">
        <v>0.912615290906644</v>
      </c>
      <c r="G1270" t="inlineStr">
        <is>
          <t>B</t>
        </is>
      </c>
      <c r="H1270" t="n">
        <v>808</v>
      </c>
      <c r="I1270" t="n">
        <v>1</v>
      </c>
      <c r="J1270" t="n">
        <v>808</v>
      </c>
      <c r="K1270" t="n">
        <v>15.6</v>
      </c>
      <c r="L1270" t="n">
        <v>51.7948717948718</v>
      </c>
      <c r="M1270" t="n">
        <v>3</v>
      </c>
      <c r="N1270" t="n">
        <v>46.8</v>
      </c>
      <c r="O1270" t="n">
        <v>761.2</v>
      </c>
      <c r="P1270" t="n">
        <v>761.2</v>
      </c>
      <c r="Q1270" t="n">
        <v>0.9420792079207921</v>
      </c>
      <c r="R1270" t="inlineStr">
        <is>
          <t>Sobrestock crítico</t>
        </is>
      </c>
    </row>
    <row r="1271">
      <c r="A1271" t="inlineStr">
        <is>
          <t>SHONTCA66TL</t>
        </is>
      </c>
      <c r="B1271" t="inlineStr">
        <is>
          <t>EXPLORE SHORT CAB</t>
        </is>
      </c>
      <c r="C1271" t="inlineStr">
        <is>
          <t>Manufactura / Caballero / P. Inferiores</t>
        </is>
      </c>
      <c r="D1271" t="n">
        <v>577.39795531</v>
      </c>
      <c r="E1271" t="n">
        <v>0.0001413658258777278</v>
      </c>
      <c r="F1271" t="n">
        <v>0.9127566567325217</v>
      </c>
      <c r="G1271" t="inlineStr">
        <is>
          <t>B</t>
        </is>
      </c>
      <c r="H1271" t="n">
        <v>0</v>
      </c>
      <c r="I1271" t="n">
        <v>11.17</v>
      </c>
      <c r="J1271" t="n">
        <v>0</v>
      </c>
      <c r="K1271" t="n">
        <v>1.2</v>
      </c>
      <c r="L1271" t="n">
        <v>0</v>
      </c>
      <c r="M1271" t="n">
        <v>3</v>
      </c>
      <c r="N1271" t="n">
        <v>3.6</v>
      </c>
      <c r="O1271" t="n">
        <v>0</v>
      </c>
      <c r="P1271" t="n">
        <v>0</v>
      </c>
      <c r="Q1271" t="n">
        <v>0</v>
      </c>
      <c r="R1271" t="inlineStr">
        <is>
          <t>Riesgo bajo stock</t>
        </is>
      </c>
    </row>
    <row r="1272">
      <c r="A1272" t="inlineStr">
        <is>
          <t>RIOMIKI01T10</t>
        </is>
      </c>
      <c r="B1272" t="inlineStr">
        <is>
          <t>RIO ORIGINAL KIDS</t>
        </is>
      </c>
      <c r="C1272" t="inlineStr">
        <is>
          <t>Manufactura / Kids / P. Superiores</t>
        </is>
      </c>
      <c r="D1272" t="n">
        <v>577.35158907</v>
      </c>
      <c r="E1272" t="n">
        <v>0.0001413544739119819</v>
      </c>
      <c r="F1272" t="n">
        <v>0.9128980112064338</v>
      </c>
      <c r="G1272" t="inlineStr">
        <is>
          <t>B</t>
        </is>
      </c>
      <c r="H1272" t="n">
        <v>9</v>
      </c>
      <c r="I1272" t="n">
        <v>3.617969464</v>
      </c>
      <c r="J1272" t="n">
        <v>32.561725176</v>
      </c>
      <c r="K1272" t="n">
        <v>1.3</v>
      </c>
      <c r="L1272" t="n">
        <v>6.923076923076922</v>
      </c>
      <c r="M1272" t="n">
        <v>3</v>
      </c>
      <c r="N1272" t="n">
        <v>3.9</v>
      </c>
      <c r="O1272" t="n">
        <v>5.1</v>
      </c>
      <c r="P1272" t="n">
        <v>18.4516442664</v>
      </c>
      <c r="Q1272" t="n">
        <v>0.5666666666666665</v>
      </c>
      <c r="R1272" t="inlineStr">
        <is>
          <t>Sobrestock crítico</t>
        </is>
      </c>
    </row>
    <row r="1273">
      <c r="A1273" t="inlineStr">
        <is>
          <t>MAADFDA151TM</t>
        </is>
      </c>
      <c r="B1273" t="inlineStr">
        <is>
          <t>MAFE ADVANCE DAMA</t>
        </is>
      </c>
      <c r="C1273" t="inlineStr">
        <is>
          <t>Manufactura / Dama / P. Superiores</t>
        </is>
      </c>
      <c r="D1273" t="n">
        <v>577.17174913</v>
      </c>
      <c r="E1273" t="n">
        <v>0.0001413104432371066</v>
      </c>
      <c r="F1273" t="n">
        <v>0.9130393216496708</v>
      </c>
      <c r="G1273" t="inlineStr">
        <is>
          <t>B</t>
        </is>
      </c>
      <c r="H1273" t="n">
        <v>3</v>
      </c>
      <c r="I1273" t="n">
        <v>4.98</v>
      </c>
      <c r="J1273" t="n">
        <v>14.94</v>
      </c>
      <c r="K1273" t="n">
        <v>1.3</v>
      </c>
      <c r="L1273" t="n">
        <v>2.307692307692307</v>
      </c>
      <c r="M1273" t="n">
        <v>3</v>
      </c>
      <c r="N1273" t="n">
        <v>3.9</v>
      </c>
      <c r="O1273" t="n">
        <v>0</v>
      </c>
      <c r="P1273" t="n">
        <v>0</v>
      </c>
      <c r="Q1273" t="n">
        <v>0</v>
      </c>
      <c r="R1273" t="inlineStr">
        <is>
          <t>OK</t>
        </is>
      </c>
    </row>
    <row r="1274">
      <c r="A1274" t="inlineStr">
        <is>
          <t>MARMIKI12T1</t>
        </is>
      </c>
      <c r="B1274" t="inlineStr">
        <is>
          <t>MAR ORIGINAL KIDS</t>
        </is>
      </c>
      <c r="C1274" t="inlineStr">
        <is>
          <t>Manufactura / Kids / P. Superiores</t>
        </is>
      </c>
      <c r="D1274" t="n">
        <v>577.0797939399999</v>
      </c>
      <c r="E1274" t="n">
        <v>0.0001412879296115239</v>
      </c>
      <c r="F1274" t="n">
        <v>0.9131806095792823</v>
      </c>
      <c r="G1274" t="inlineStr">
        <is>
          <t>B</t>
        </is>
      </c>
      <c r="H1274" t="n">
        <v>0</v>
      </c>
      <c r="I1274" t="n">
        <v>3.168013332</v>
      </c>
      <c r="J1274" t="n">
        <v>0</v>
      </c>
      <c r="K1274" t="n">
        <v>1.6</v>
      </c>
      <c r="L1274" t="n">
        <v>0</v>
      </c>
      <c r="M1274" t="n">
        <v>3</v>
      </c>
      <c r="N1274" t="n">
        <v>4.800000000000001</v>
      </c>
      <c r="O1274" t="n">
        <v>0</v>
      </c>
      <c r="P1274" t="n">
        <v>0</v>
      </c>
      <c r="Q1274" t="n">
        <v>0</v>
      </c>
      <c r="R1274" t="inlineStr">
        <is>
          <t>Riesgo bajo stock</t>
        </is>
      </c>
    </row>
    <row r="1275">
      <c r="A1275" t="inlineStr">
        <is>
          <t>MARMIKI66T8</t>
        </is>
      </c>
      <c r="B1275" t="inlineStr">
        <is>
          <t>MAR ORIGINAL KIDS</t>
        </is>
      </c>
      <c r="C1275" t="inlineStr">
        <is>
          <t>Manufactura / Kids / P. Superiores</t>
        </is>
      </c>
      <c r="D1275" t="n">
        <v>576.8516641799999</v>
      </c>
      <c r="E1275" t="n">
        <v>0.0001412320760158658</v>
      </c>
      <c r="F1275" t="n">
        <v>0.9133218416552983</v>
      </c>
      <c r="G1275" t="inlineStr">
        <is>
          <t>B</t>
        </is>
      </c>
      <c r="H1275" t="n">
        <v>40</v>
      </c>
      <c r="I1275" t="n">
        <v>3.168013332</v>
      </c>
      <c r="J1275" t="n">
        <v>126.72053328</v>
      </c>
      <c r="K1275" t="n">
        <v>1.6</v>
      </c>
      <c r="L1275" t="n">
        <v>25</v>
      </c>
      <c r="M1275" t="n">
        <v>3</v>
      </c>
      <c r="N1275" t="n">
        <v>4.800000000000001</v>
      </c>
      <c r="O1275" t="n">
        <v>35.2</v>
      </c>
      <c r="P1275" t="n">
        <v>111.5140692864</v>
      </c>
      <c r="Q1275" t="n">
        <v>0.88</v>
      </c>
      <c r="R1275" t="inlineStr">
        <is>
          <t>Sobrestock crítico</t>
        </is>
      </c>
    </row>
    <row r="1276">
      <c r="A1276" t="inlineStr">
        <is>
          <t>NAHFNCA70TS</t>
        </is>
      </c>
      <c r="B1276" t="inlineStr">
        <is>
          <t>NOAH SPORT LITE CAB</t>
        </is>
      </c>
      <c r="C1276" t="inlineStr">
        <is>
          <t>Manufactura / Caballero / P. Superiores</t>
        </is>
      </c>
      <c r="D1276" t="n">
        <v>576.78079604</v>
      </c>
      <c r="E1276" t="n">
        <v>0.000141214725186949</v>
      </c>
      <c r="F1276" t="n">
        <v>0.9134630563804852</v>
      </c>
      <c r="G1276" t="inlineStr">
        <is>
          <t>B</t>
        </is>
      </c>
      <c r="H1276" t="n">
        <v>22</v>
      </c>
      <c r="I1276" t="n">
        <v>17.61141534</v>
      </c>
      <c r="J1276" t="n">
        <v>387.45113748</v>
      </c>
      <c r="K1276" t="n">
        <v>2.4</v>
      </c>
      <c r="L1276" t="n">
        <v>9.166666666666668</v>
      </c>
      <c r="M1276" t="n">
        <v>3</v>
      </c>
      <c r="N1276" t="n">
        <v>7.199999999999999</v>
      </c>
      <c r="O1276" t="n">
        <v>14.8</v>
      </c>
      <c r="P1276" t="n">
        <v>260.648947032</v>
      </c>
      <c r="Q1276" t="n">
        <v>0.6727272727272728</v>
      </c>
      <c r="R1276" t="inlineStr">
        <is>
          <t>Sobrestock crítico</t>
        </is>
      </c>
    </row>
    <row r="1277">
      <c r="A1277" t="inlineStr">
        <is>
          <t>SABMEDA16TXS</t>
        </is>
      </c>
      <c r="B1277" t="inlineStr">
        <is>
          <t>SABRI SPORT DAMA</t>
        </is>
      </c>
      <c r="C1277" t="inlineStr">
        <is>
          <t>Manufactura / Dama / P. Superiores</t>
        </is>
      </c>
      <c r="D1277" t="n">
        <v>576.39751762</v>
      </c>
      <c r="E1277" t="n">
        <v>0.0001411208861459788</v>
      </c>
      <c r="F1277" t="n">
        <v>0.913604177266631</v>
      </c>
      <c r="G1277" t="inlineStr">
        <is>
          <t>B</t>
        </is>
      </c>
      <c r="H1277" t="n">
        <v>41</v>
      </c>
      <c r="I1277" t="n">
        <v>4.51</v>
      </c>
      <c r="J1277" t="n">
        <v>184.91</v>
      </c>
      <c r="K1277" t="n">
        <v>1.6</v>
      </c>
      <c r="L1277" t="n">
        <v>25.625</v>
      </c>
      <c r="M1277" t="n">
        <v>3</v>
      </c>
      <c r="N1277" t="n">
        <v>4.800000000000001</v>
      </c>
      <c r="O1277" t="n">
        <v>36.2</v>
      </c>
      <c r="P1277" t="n">
        <v>163.262</v>
      </c>
      <c r="Q1277" t="n">
        <v>0.8829268292682927</v>
      </c>
      <c r="R1277" t="inlineStr">
        <is>
          <t>Sobrestock crítico</t>
        </is>
      </c>
    </row>
    <row r="1278">
      <c r="A1278" t="inlineStr">
        <is>
          <t>MARMIKI70T6</t>
        </is>
      </c>
      <c r="B1278" t="inlineStr">
        <is>
          <t>MAR ORIGINAL KIDS</t>
        </is>
      </c>
      <c r="C1278" t="inlineStr">
        <is>
          <t>Manufactura / Kids / P. Superiores</t>
        </is>
      </c>
      <c r="D1278" t="n">
        <v>576.34262714</v>
      </c>
      <c r="E1278" t="n">
        <v>0.000141107447168638</v>
      </c>
      <c r="F1278" t="n">
        <v>0.9137452847137998</v>
      </c>
      <c r="G1278" t="inlineStr">
        <is>
          <t>B</t>
        </is>
      </c>
      <c r="H1278" t="n">
        <v>15</v>
      </c>
      <c r="I1278" t="n">
        <v>3.168013332</v>
      </c>
      <c r="J1278" t="n">
        <v>47.52019998</v>
      </c>
      <c r="K1278" t="n">
        <v>1.5</v>
      </c>
      <c r="L1278" t="n">
        <v>10</v>
      </c>
      <c r="M1278" t="n">
        <v>3</v>
      </c>
      <c r="N1278" t="n">
        <v>4.5</v>
      </c>
      <c r="O1278" t="n">
        <v>10.5</v>
      </c>
      <c r="P1278" t="n">
        <v>33.264139986</v>
      </c>
      <c r="Q1278" t="n">
        <v>0.7000000000000001</v>
      </c>
      <c r="R1278" t="inlineStr">
        <is>
          <t>Sobrestock crítico</t>
        </is>
      </c>
    </row>
    <row r="1279">
      <c r="A1279" t="inlineStr">
        <is>
          <t>SHOUNCA69T2XL</t>
        </is>
      </c>
      <c r="B1279" t="inlineStr">
        <is>
          <t>SHORT PLAYA CAB</t>
        </is>
      </c>
      <c r="C1279" t="inlineStr">
        <is>
          <t>Manufactura / Caballero / P. Inferiores</t>
        </is>
      </c>
      <c r="D1279" t="n">
        <v>575.50652783</v>
      </c>
      <c r="E1279" t="n">
        <v>0.0001409027428249753</v>
      </c>
      <c r="F1279" t="n">
        <v>0.9138861874566248</v>
      </c>
      <c r="G1279" t="inlineStr">
        <is>
          <t>B</t>
        </is>
      </c>
      <c r="H1279" t="n">
        <v>30</v>
      </c>
      <c r="I1279" t="n">
        <v>9.99</v>
      </c>
      <c r="J1279" t="n">
        <v>299.7</v>
      </c>
      <c r="K1279" t="n">
        <v>1</v>
      </c>
      <c r="L1279" t="n">
        <v>30</v>
      </c>
      <c r="M1279" t="n">
        <v>3</v>
      </c>
      <c r="N1279" t="n">
        <v>3</v>
      </c>
      <c r="O1279" t="n">
        <v>27</v>
      </c>
      <c r="P1279" t="n">
        <v>269.73</v>
      </c>
      <c r="Q1279" t="n">
        <v>0.9000000000000001</v>
      </c>
      <c r="R1279" t="inlineStr">
        <is>
          <t>Sobrestock crítico</t>
        </is>
      </c>
    </row>
    <row r="1280">
      <c r="A1280" t="inlineStr">
        <is>
          <t>MARMIDA39TM</t>
        </is>
      </c>
      <c r="B1280" t="inlineStr">
        <is>
          <t>MAR ORIGINAL DAMA</t>
        </is>
      </c>
      <c r="C1280" t="inlineStr">
        <is>
          <t>Manufactura / Dama / P. Superiores</t>
        </is>
      </c>
      <c r="D1280" t="n">
        <v>572.3783333700001</v>
      </c>
      <c r="E1280" t="n">
        <v>0.0001401368589328049</v>
      </c>
      <c r="F1280" t="n">
        <v>0.9140263243155575</v>
      </c>
      <c r="G1280" t="inlineStr">
        <is>
          <t>B</t>
        </is>
      </c>
      <c r="H1280" t="n">
        <v>0</v>
      </c>
      <c r="I1280" t="n">
        <v>4.278324149</v>
      </c>
      <c r="J1280" t="n">
        <v>0</v>
      </c>
      <c r="K1280" t="n">
        <v>2.4</v>
      </c>
      <c r="L1280" t="n">
        <v>0</v>
      </c>
      <c r="M1280" t="n">
        <v>3</v>
      </c>
      <c r="N1280" t="n">
        <v>7.199999999999999</v>
      </c>
      <c r="O1280" t="n">
        <v>0</v>
      </c>
      <c r="P1280" t="n">
        <v>0</v>
      </c>
      <c r="Q1280" t="n">
        <v>0</v>
      </c>
      <c r="R1280" t="inlineStr">
        <is>
          <t>Riesgo bajo stock</t>
        </is>
      </c>
    </row>
    <row r="1281">
      <c r="A1281" t="inlineStr">
        <is>
          <t>SMCBNECA16TS</t>
        </is>
      </c>
      <c r="B1281" t="inlineStr">
        <is>
          <t>SPOTS MANGA CORTA CAB</t>
        </is>
      </c>
      <c r="C1281" t="inlineStr">
        <is>
          <t>Manufactura / Caballero / P. Superiores</t>
        </is>
      </c>
      <c r="D1281" t="n">
        <v>572.15</v>
      </c>
      <c r="E1281" t="n">
        <v>0.000140080955486787</v>
      </c>
      <c r="F1281" t="n">
        <v>0.9141664052710443</v>
      </c>
      <c r="G1281" t="inlineStr">
        <is>
          <t>B</t>
        </is>
      </c>
      <c r="H1281" t="n">
        <v>4</v>
      </c>
      <c r="I1281" t="n">
        <v>8.5</v>
      </c>
      <c r="J1281" t="n">
        <v>34</v>
      </c>
      <c r="K1281" t="n">
        <v>1.5</v>
      </c>
      <c r="L1281" t="n">
        <v>2.666666666666667</v>
      </c>
      <c r="M1281" t="n">
        <v>3</v>
      </c>
      <c r="N1281" t="n">
        <v>4.5</v>
      </c>
      <c r="O1281" t="n">
        <v>0</v>
      </c>
      <c r="P1281" t="n">
        <v>0</v>
      </c>
      <c r="Q1281" t="n">
        <v>0</v>
      </c>
      <c r="R1281" t="inlineStr">
        <is>
          <t>OK</t>
        </is>
      </c>
    </row>
    <row r="1282">
      <c r="A1282" t="inlineStr">
        <is>
          <t>PANNTKI43T6</t>
        </is>
      </c>
      <c r="B1282" t="inlineStr">
        <is>
          <t>EXPLORE PANTS KIDS</t>
        </is>
      </c>
      <c r="C1282" t="inlineStr">
        <is>
          <t>Manufactura / Kids / P. Inferiores</t>
        </is>
      </c>
      <c r="D1282" t="n">
        <v>571.17678458</v>
      </c>
      <c r="E1282" t="n">
        <v>0.0001398426806533901</v>
      </c>
      <c r="F1282" t="n">
        <v>0.9143062479516978</v>
      </c>
      <c r="G1282" t="inlineStr">
        <is>
          <t>B</t>
        </is>
      </c>
      <c r="H1282" t="n">
        <v>12</v>
      </c>
      <c r="I1282" t="n">
        <v>13.98</v>
      </c>
      <c r="J1282" t="n">
        <v>167.76</v>
      </c>
      <c r="K1282" t="n">
        <v>1</v>
      </c>
      <c r="L1282" t="n">
        <v>12</v>
      </c>
      <c r="M1282" t="n">
        <v>3</v>
      </c>
      <c r="N1282" t="n">
        <v>3</v>
      </c>
      <c r="O1282" t="n">
        <v>9</v>
      </c>
      <c r="P1282" t="n">
        <v>125.82</v>
      </c>
      <c r="Q1282" t="n">
        <v>0.7500000000000001</v>
      </c>
      <c r="R1282" t="inlineStr">
        <is>
          <t>Sobrestock crítico</t>
        </is>
      </c>
    </row>
    <row r="1283">
      <c r="A1283" t="inlineStr">
        <is>
          <t>TALGTADA12TS</t>
        </is>
      </c>
      <c r="B1283" t="inlineStr">
        <is>
          <t>URBAN COTTON TOP SAY YES DAMA</t>
        </is>
      </c>
      <c r="C1283" t="inlineStr">
        <is>
          <t>Manufactura / Dama / P. Superiores</t>
        </is>
      </c>
      <c r="D1283" t="n">
        <v>569.3219916099999</v>
      </c>
      <c r="E1283" t="n">
        <v>0.0001393885669219075</v>
      </c>
      <c r="F1283" t="n">
        <v>0.9144456365186197</v>
      </c>
      <c r="G1283" t="inlineStr">
        <is>
          <t>B</t>
        </is>
      </c>
      <c r="H1283" t="n">
        <v>7</v>
      </c>
      <c r="I1283" t="n">
        <v>6.639983317</v>
      </c>
      <c r="J1283" t="n">
        <v>46.479883219</v>
      </c>
      <c r="K1283" t="n">
        <v>1.4</v>
      </c>
      <c r="L1283" t="n">
        <v>5</v>
      </c>
      <c r="M1283" t="n">
        <v>3</v>
      </c>
      <c r="N1283" t="n">
        <v>4.199999999999999</v>
      </c>
      <c r="O1283" t="n">
        <v>2.800000000000001</v>
      </c>
      <c r="P1283" t="n">
        <v>18.59195328760001</v>
      </c>
      <c r="Q1283" t="n">
        <v>0.4000000000000001</v>
      </c>
      <c r="R1283" t="inlineStr">
        <is>
          <t>Sobrestock crítico</t>
        </is>
      </c>
    </row>
    <row r="1284">
      <c r="A1284" t="inlineStr">
        <is>
          <t>SARSPKI30T6</t>
        </is>
      </c>
      <c r="B1284" t="inlineStr">
        <is>
          <t>FALDA SARA KIDS</t>
        </is>
      </c>
      <c r="C1284" t="inlineStr">
        <is>
          <t>Manufactura / Kids / P. Inferiores</t>
        </is>
      </c>
      <c r="D1284" t="n">
        <v>569.1666434</v>
      </c>
      <c r="E1284" t="n">
        <v>0.0001393505326202559</v>
      </c>
      <c r="F1284" t="n">
        <v>0.9145849870512398</v>
      </c>
      <c r="G1284" t="inlineStr">
        <is>
          <t>B</t>
        </is>
      </c>
      <c r="H1284" t="n">
        <v>7</v>
      </c>
      <c r="I1284" t="n">
        <v>5.753743316</v>
      </c>
      <c r="J1284" t="n">
        <v>40.27620321200001</v>
      </c>
      <c r="K1284" t="n">
        <v>1.4</v>
      </c>
      <c r="L1284" t="n">
        <v>5</v>
      </c>
      <c r="M1284" t="n">
        <v>3</v>
      </c>
      <c r="N1284" t="n">
        <v>4.199999999999999</v>
      </c>
      <c r="O1284" t="n">
        <v>2.800000000000001</v>
      </c>
      <c r="P1284" t="n">
        <v>16.11048128480001</v>
      </c>
      <c r="Q1284" t="n">
        <v>0.4000000000000001</v>
      </c>
      <c r="R1284" t="inlineStr">
        <is>
          <t>Sobrestock crítico</t>
        </is>
      </c>
    </row>
    <row r="1285">
      <c r="A1285" t="inlineStr">
        <is>
          <t>PANNTKI30T10</t>
        </is>
      </c>
      <c r="B1285" t="inlineStr">
        <is>
          <t>EXPLORE PANTS KIDS</t>
        </is>
      </c>
      <c r="C1285" t="inlineStr">
        <is>
          <t>Manufactura / Kids / P. Inferiores</t>
        </is>
      </c>
      <c r="D1285" t="n">
        <v>569.0251485</v>
      </c>
      <c r="E1285" t="n">
        <v>0.0001393158900601082</v>
      </c>
      <c r="F1285" t="n">
        <v>0.9147243029412999</v>
      </c>
      <c r="G1285" t="inlineStr">
        <is>
          <t>B</t>
        </is>
      </c>
      <c r="H1285" t="n">
        <v>3</v>
      </c>
      <c r="I1285" t="n">
        <v>13.98</v>
      </c>
      <c r="J1285" t="n">
        <v>41.94</v>
      </c>
      <c r="K1285" t="n">
        <v>1.1</v>
      </c>
      <c r="L1285" t="n">
        <v>2.727272727272727</v>
      </c>
      <c r="M1285" t="n">
        <v>3</v>
      </c>
      <c r="N1285" t="n">
        <v>3.3</v>
      </c>
      <c r="O1285" t="n">
        <v>0</v>
      </c>
      <c r="P1285" t="n">
        <v>0</v>
      </c>
      <c r="Q1285" t="n">
        <v>0</v>
      </c>
      <c r="R1285" t="inlineStr">
        <is>
          <t>OK</t>
        </is>
      </c>
    </row>
    <row r="1286">
      <c r="A1286" t="inlineStr">
        <is>
          <t>SHOSUKI153T6</t>
        </is>
      </c>
      <c r="B1286" t="inlineStr">
        <is>
          <t>SHORT PLAYA ESTAMPADO KIDS</t>
        </is>
      </c>
      <c r="C1286" t="inlineStr">
        <is>
          <t>Manufactura / Kids / P. Superiores</t>
        </is>
      </c>
      <c r="D1286" t="n">
        <v>568.8775533</v>
      </c>
      <c r="E1286" t="n">
        <v>0.0001392797539478277</v>
      </c>
      <c r="F1286" t="n">
        <v>0.9148635826952477</v>
      </c>
      <c r="G1286" t="inlineStr">
        <is>
          <t>B</t>
        </is>
      </c>
      <c r="H1286" t="n">
        <v>30</v>
      </c>
      <c r="I1286" t="n">
        <v>7.21</v>
      </c>
      <c r="J1286" t="n">
        <v>216.3</v>
      </c>
      <c r="K1286" t="n">
        <v>1.4</v>
      </c>
      <c r="L1286" t="n">
        <v>21.42857142857143</v>
      </c>
      <c r="M1286" t="n">
        <v>3</v>
      </c>
      <c r="N1286" t="n">
        <v>4.199999999999999</v>
      </c>
      <c r="O1286" t="n">
        <v>25.8</v>
      </c>
      <c r="P1286" t="n">
        <v>186.018</v>
      </c>
      <c r="Q1286" t="n">
        <v>0.86</v>
      </c>
      <c r="R1286" t="inlineStr">
        <is>
          <t>Sobrestock crítico</t>
        </is>
      </c>
    </row>
    <row r="1287">
      <c r="A1287" t="inlineStr">
        <is>
          <t>SARSPDA30TL</t>
        </is>
      </c>
      <c r="B1287" t="inlineStr">
        <is>
          <t>FALDA SARA DAMA</t>
        </is>
      </c>
      <c r="C1287" t="inlineStr">
        <is>
          <t>Manufactura / Dama / P. Inferiores</t>
        </is>
      </c>
      <c r="D1287" t="n">
        <v>568.64871214</v>
      </c>
      <c r="E1287" t="n">
        <v>0.0001392237261782787</v>
      </c>
      <c r="F1287" t="n">
        <v>0.9150028064214261</v>
      </c>
      <c r="G1287" t="inlineStr">
        <is>
          <t>B</t>
        </is>
      </c>
      <c r="H1287" t="n">
        <v>1</v>
      </c>
      <c r="I1287" t="n">
        <v>9.500113852</v>
      </c>
      <c r="J1287" t="n">
        <v>9.500113852</v>
      </c>
      <c r="K1287" t="n">
        <v>1.1</v>
      </c>
      <c r="L1287" t="n">
        <v>0.9090909090909091</v>
      </c>
      <c r="M1287" t="n">
        <v>3</v>
      </c>
      <c r="N1287" t="n">
        <v>3.3</v>
      </c>
      <c r="O1287" t="n">
        <v>0</v>
      </c>
      <c r="P1287" t="n">
        <v>0</v>
      </c>
      <c r="Q1287" t="n">
        <v>0</v>
      </c>
      <c r="R1287" t="inlineStr">
        <is>
          <t>Riesgo bajo stock</t>
        </is>
      </c>
    </row>
    <row r="1288">
      <c r="A1288" t="inlineStr">
        <is>
          <t>SHOSUKI156T4</t>
        </is>
      </c>
      <c r="B1288" t="inlineStr">
        <is>
          <t>SHORT PLAYA ESTAMPADO KIDS</t>
        </is>
      </c>
      <c r="C1288" t="inlineStr">
        <is>
          <t>Manufactura / Kids / P. Superiores</t>
        </is>
      </c>
      <c r="D1288" t="n">
        <v>568.13074882</v>
      </c>
      <c r="E1288" t="n">
        <v>0.0001390969118869692</v>
      </c>
      <c r="F1288" t="n">
        <v>0.9151419033333129</v>
      </c>
      <c r="G1288" t="inlineStr">
        <is>
          <t>B</t>
        </is>
      </c>
      <c r="H1288" t="n">
        <v>12</v>
      </c>
      <c r="I1288" t="n">
        <v>7.21</v>
      </c>
      <c r="J1288" t="n">
        <v>86.52</v>
      </c>
      <c r="K1288" t="n">
        <v>1.4</v>
      </c>
      <c r="L1288" t="n">
        <v>8.571428571428571</v>
      </c>
      <c r="M1288" t="n">
        <v>3</v>
      </c>
      <c r="N1288" t="n">
        <v>4.199999999999999</v>
      </c>
      <c r="O1288" t="n">
        <v>7.800000000000001</v>
      </c>
      <c r="P1288" t="n">
        <v>56.23800000000001</v>
      </c>
      <c r="Q1288" t="n">
        <v>0.6500000000000001</v>
      </c>
      <c r="R1288" t="inlineStr">
        <is>
          <t>Sobrestock crítico</t>
        </is>
      </c>
    </row>
    <row r="1289">
      <c r="A1289" t="inlineStr">
        <is>
          <t>TALGOTACA166TM</t>
        </is>
      </c>
      <c r="B1289" t="inlineStr">
        <is>
          <t>URBAN COTTON OVERSIZED HORIZONTE CAB</t>
        </is>
      </c>
      <c r="C1289" t="inlineStr">
        <is>
          <t>Manufactura / Caballero / P. Superiores</t>
        </is>
      </c>
      <c r="D1289" t="n">
        <v>567.16737514</v>
      </c>
      <c r="E1289" t="n">
        <v>0.0001388610466320794</v>
      </c>
      <c r="F1289" t="n">
        <v>0.9152807643799451</v>
      </c>
      <c r="G1289" t="inlineStr">
        <is>
          <t>B</t>
        </is>
      </c>
      <c r="H1289" t="n">
        <v>8</v>
      </c>
      <c r="I1289" t="n">
        <v>11.06389452</v>
      </c>
      <c r="J1289" t="n">
        <v>88.51115616</v>
      </c>
      <c r="K1289" t="n">
        <v>1</v>
      </c>
      <c r="L1289" t="n">
        <v>8</v>
      </c>
      <c r="M1289" t="n">
        <v>3</v>
      </c>
      <c r="N1289" t="n">
        <v>3</v>
      </c>
      <c r="O1289" t="n">
        <v>5</v>
      </c>
      <c r="P1289" t="n">
        <v>55.3194726</v>
      </c>
      <c r="Q1289" t="n">
        <v>0.625</v>
      </c>
      <c r="R1289" t="inlineStr">
        <is>
          <t>Sin rotación</t>
        </is>
      </c>
    </row>
    <row r="1290">
      <c r="A1290" t="inlineStr">
        <is>
          <t>SHOSUKI154T14</t>
        </is>
      </c>
      <c r="B1290" t="inlineStr">
        <is>
          <t>SHORT PLAYA ESTAMPADO KIDS</t>
        </is>
      </c>
      <c r="C1290" t="inlineStr">
        <is>
          <t>Manufactura / Kids / P. Superiores</t>
        </is>
      </c>
      <c r="D1290" t="n">
        <v>564.41389967</v>
      </c>
      <c r="E1290" t="n">
        <v>0.0001381869061536261</v>
      </c>
      <c r="F1290" t="n">
        <v>0.9154189512860987</v>
      </c>
      <c r="G1290" t="inlineStr">
        <is>
          <t>B</t>
        </is>
      </c>
      <c r="H1290" t="n">
        <v>31</v>
      </c>
      <c r="I1290" t="n">
        <v>7.21</v>
      </c>
      <c r="J1290" t="n">
        <v>223.51</v>
      </c>
      <c r="K1290" t="n">
        <v>1.3</v>
      </c>
      <c r="L1290" t="n">
        <v>23.84615384615385</v>
      </c>
      <c r="M1290" t="n">
        <v>3</v>
      </c>
      <c r="N1290" t="n">
        <v>3.9</v>
      </c>
      <c r="O1290" t="n">
        <v>27.1</v>
      </c>
      <c r="P1290" t="n">
        <v>195.391</v>
      </c>
      <c r="Q1290" t="n">
        <v>0.874193548387097</v>
      </c>
      <c r="R1290" t="inlineStr">
        <is>
          <t>Sobrestock crítico</t>
        </is>
      </c>
    </row>
    <row r="1291">
      <c r="A1291" t="inlineStr">
        <is>
          <t>LPR09EQ</t>
        </is>
      </c>
      <c r="B1291" t="inlineStr">
        <is>
          <t>LANYARD PRO</t>
        </is>
      </c>
      <c r="C1291" t="inlineStr">
        <is>
          <t>Equipamiento / Accesorios</t>
        </is>
      </c>
      <c r="D1291" t="n">
        <v>562.894671475</v>
      </c>
      <c r="E1291" t="n">
        <v>0.0001378149496087374</v>
      </c>
      <c r="F1291" t="n">
        <v>0.9155567662357075</v>
      </c>
      <c r="G1291" t="inlineStr">
        <is>
          <t>B</t>
        </is>
      </c>
      <c r="H1291" t="n">
        <v>604</v>
      </c>
      <c r="I1291" t="n">
        <v>1.15</v>
      </c>
      <c r="J1291" t="n">
        <v>694.5999999999999</v>
      </c>
      <c r="K1291" t="n">
        <v>10.1</v>
      </c>
      <c r="L1291" t="n">
        <v>59.80198019801981</v>
      </c>
      <c r="M1291" t="n">
        <v>3</v>
      </c>
      <c r="N1291" t="n">
        <v>30.3</v>
      </c>
      <c r="O1291" t="n">
        <v>573.7</v>
      </c>
      <c r="P1291" t="n">
        <v>659.755</v>
      </c>
      <c r="Q1291" t="n">
        <v>0.9498344370860928</v>
      </c>
      <c r="R1291" t="inlineStr">
        <is>
          <t>Sobrestock crítico</t>
        </is>
      </c>
    </row>
    <row r="1292">
      <c r="A1292" t="inlineStr">
        <is>
          <t>RIOMIKI04T12</t>
        </is>
      </c>
      <c r="B1292" t="inlineStr">
        <is>
          <t>RIO ORIGINAL KIDS</t>
        </is>
      </c>
      <c r="C1292" t="inlineStr">
        <is>
          <t>Manufactura / Kids / P. Superiores</t>
        </is>
      </c>
      <c r="D1292" t="n">
        <v>562.45708415</v>
      </c>
      <c r="E1292" t="n">
        <v>0.000137707813978929</v>
      </c>
      <c r="F1292" t="n">
        <v>0.9156944740496864</v>
      </c>
      <c r="G1292" t="inlineStr">
        <is>
          <t>B</t>
        </is>
      </c>
      <c r="H1292" t="n">
        <v>11</v>
      </c>
      <c r="I1292" t="n">
        <v>3.617969464</v>
      </c>
      <c r="J1292" t="n">
        <v>39.797664104</v>
      </c>
      <c r="K1292" t="n">
        <v>1.3</v>
      </c>
      <c r="L1292" t="n">
        <v>8.461538461538462</v>
      </c>
      <c r="M1292" t="n">
        <v>3</v>
      </c>
      <c r="N1292" t="n">
        <v>3.9</v>
      </c>
      <c r="O1292" t="n">
        <v>7.1</v>
      </c>
      <c r="P1292" t="n">
        <v>25.6875831944</v>
      </c>
      <c r="Q1292" t="n">
        <v>0.6454545454545454</v>
      </c>
      <c r="R1292" t="inlineStr">
        <is>
          <t>Sobrestock crítico</t>
        </is>
      </c>
    </row>
    <row r="1293">
      <c r="A1293" t="inlineStr">
        <is>
          <t>MARMIDA70TXL</t>
        </is>
      </c>
      <c r="B1293" t="inlineStr">
        <is>
          <t>MAR ORIGINAL DAMA</t>
        </is>
      </c>
      <c r="C1293" t="inlineStr">
        <is>
          <t>Manufactura / Dama / P. Superiores</t>
        </is>
      </c>
      <c r="D1293" t="n">
        <v>561.98595063</v>
      </c>
      <c r="E1293" t="n">
        <v>0.000137592465147952</v>
      </c>
      <c r="F1293" t="n">
        <v>0.9158320665148343</v>
      </c>
      <c r="G1293" t="inlineStr">
        <is>
          <t>B</t>
        </is>
      </c>
      <c r="H1293" t="n">
        <v>65</v>
      </c>
      <c r="I1293" t="n">
        <v>4.278324149</v>
      </c>
      <c r="J1293" t="n">
        <v>278.091069685</v>
      </c>
      <c r="K1293" t="n">
        <v>1.3</v>
      </c>
      <c r="L1293" t="n">
        <v>50</v>
      </c>
      <c r="M1293" t="n">
        <v>3</v>
      </c>
      <c r="N1293" t="n">
        <v>3.9</v>
      </c>
      <c r="O1293" t="n">
        <v>61.1</v>
      </c>
      <c r="P1293" t="n">
        <v>261.4056055039</v>
      </c>
      <c r="Q1293" t="n">
        <v>0.9399999999999999</v>
      </c>
      <c r="R1293" t="inlineStr">
        <is>
          <t>Sobrestock crítico</t>
        </is>
      </c>
    </row>
    <row r="1294">
      <c r="A1294" t="inlineStr">
        <is>
          <t>RIOMICA14TM</t>
        </is>
      </c>
      <c r="B1294" t="inlineStr">
        <is>
          <t>RIO ORIGINAL CAB</t>
        </is>
      </c>
      <c r="C1294" t="inlineStr">
        <is>
          <t>Manufactura / Caballero / P. Superiores</t>
        </is>
      </c>
      <c r="D1294" t="n">
        <v>561.3196963</v>
      </c>
      <c r="E1294" t="n">
        <v>0.0001374293443874109</v>
      </c>
      <c r="F1294" t="n">
        <v>0.9159694958592217</v>
      </c>
      <c r="G1294" t="inlineStr">
        <is>
          <t>B</t>
        </is>
      </c>
      <c r="H1294" t="n">
        <v>0</v>
      </c>
      <c r="I1294" t="n">
        <v>5.939350288</v>
      </c>
      <c r="J1294" t="n">
        <v>0</v>
      </c>
      <c r="K1294" t="n">
        <v>1.2</v>
      </c>
      <c r="L1294" t="n">
        <v>0</v>
      </c>
      <c r="M1294" t="n">
        <v>3</v>
      </c>
      <c r="N1294" t="n">
        <v>3.6</v>
      </c>
      <c r="O1294" t="n">
        <v>0</v>
      </c>
      <c r="P1294" t="n">
        <v>0</v>
      </c>
      <c r="Q1294" t="n">
        <v>0</v>
      </c>
      <c r="R1294" t="inlineStr">
        <is>
          <t>Sin rotación</t>
        </is>
      </c>
    </row>
    <row r="1295">
      <c r="A1295" t="inlineStr">
        <is>
          <t>PANNTKI43T2</t>
        </is>
      </c>
      <c r="B1295" t="inlineStr">
        <is>
          <t>EXPLORE PANTS KIDS</t>
        </is>
      </c>
      <c r="C1295" t="inlineStr">
        <is>
          <t>Manufactura / Kids / P. Inferiores</t>
        </is>
      </c>
      <c r="D1295" t="n">
        <v>561.29612358</v>
      </c>
      <c r="E1295" t="n">
        <v>0.0001374235730177683</v>
      </c>
      <c r="F1295" t="n">
        <v>0.9161069194322395</v>
      </c>
      <c r="G1295" t="inlineStr">
        <is>
          <t>B</t>
        </is>
      </c>
      <c r="H1295" t="n">
        <v>19</v>
      </c>
      <c r="I1295" t="n">
        <v>13.98</v>
      </c>
      <c r="J1295" t="n">
        <v>265.6199999999999</v>
      </c>
      <c r="K1295" t="n">
        <v>1.2</v>
      </c>
      <c r="L1295" t="n">
        <v>15.83333333333333</v>
      </c>
      <c r="M1295" t="n">
        <v>3</v>
      </c>
      <c r="N1295" t="n">
        <v>3.6</v>
      </c>
      <c r="O1295" t="n">
        <v>15.4</v>
      </c>
      <c r="P1295" t="n">
        <v>215.292</v>
      </c>
      <c r="Q1295" t="n">
        <v>0.8105263157894738</v>
      </c>
      <c r="R1295" t="inlineStr">
        <is>
          <t>Sobrestock crítico</t>
        </is>
      </c>
    </row>
    <row r="1296">
      <c r="A1296" t="inlineStr">
        <is>
          <t>ANMSUDA152TXS</t>
        </is>
      </c>
      <c r="B1296" t="inlineStr">
        <is>
          <t>ANDRE MOTION DAMA</t>
        </is>
      </c>
      <c r="C1296" t="inlineStr">
        <is>
          <t>Manufactura / Dama / P. Superiores</t>
        </is>
      </c>
      <c r="D1296" t="n">
        <v>559.3340086000001</v>
      </c>
      <c r="E1296" t="n">
        <v>0.0001369431833626545</v>
      </c>
      <c r="F1296" t="n">
        <v>0.9162438626156022</v>
      </c>
      <c r="G1296" t="inlineStr">
        <is>
          <t>B</t>
        </is>
      </c>
      <c r="H1296" t="n">
        <v>21</v>
      </c>
      <c r="I1296" t="n">
        <v>10.6</v>
      </c>
      <c r="J1296" t="n">
        <v>222.6</v>
      </c>
      <c r="K1296" t="n">
        <v>1.3</v>
      </c>
      <c r="L1296" t="n">
        <v>16.15384615384615</v>
      </c>
      <c r="M1296" t="n">
        <v>3</v>
      </c>
      <c r="N1296" t="n">
        <v>3.9</v>
      </c>
      <c r="O1296" t="n">
        <v>17.1</v>
      </c>
      <c r="P1296" t="n">
        <v>181.26</v>
      </c>
      <c r="Q1296" t="n">
        <v>0.8142857142857144</v>
      </c>
      <c r="R1296" t="inlineStr">
        <is>
          <t>Sobrestock crítico</t>
        </is>
      </c>
    </row>
    <row r="1297">
      <c r="A1297" t="inlineStr">
        <is>
          <t>LMOFIDA31TL</t>
        </is>
      </c>
      <c r="B1297" t="inlineStr">
        <is>
          <t>LEGGING MOVA</t>
        </is>
      </c>
      <c r="C1297" t="inlineStr">
        <is>
          <t>Manufactura / Dama / P. Inferiores</t>
        </is>
      </c>
      <c r="D1297" t="n">
        <v>559.27818847</v>
      </c>
      <c r="E1297" t="n">
        <v>0.0001369295167767141</v>
      </c>
      <c r="F1297" t="n">
        <v>0.9163807921323789</v>
      </c>
      <c r="G1297" t="inlineStr">
        <is>
          <t>B</t>
        </is>
      </c>
      <c r="H1297" t="n">
        <v>4</v>
      </c>
      <c r="I1297" t="n">
        <v>17.7</v>
      </c>
      <c r="J1297" t="n">
        <v>70.8</v>
      </c>
      <c r="K1297" t="n">
        <v>1.1</v>
      </c>
      <c r="L1297" t="n">
        <v>3.636363636363636</v>
      </c>
      <c r="M1297" t="n">
        <v>3</v>
      </c>
      <c r="N1297" t="n">
        <v>3.3</v>
      </c>
      <c r="O1297" t="n">
        <v>0.6999999999999997</v>
      </c>
      <c r="P1297" t="n">
        <v>12.39</v>
      </c>
      <c r="Q1297" t="n">
        <v>0.1749999999999999</v>
      </c>
      <c r="R1297" t="inlineStr">
        <is>
          <t>Sobrestock</t>
        </is>
      </c>
    </row>
    <row r="1298">
      <c r="A1298" t="inlineStr">
        <is>
          <t>CLAMEDA66TM</t>
        </is>
      </c>
      <c r="B1298" t="inlineStr">
        <is>
          <t>CLÁSICA SPORT DAMA</t>
        </is>
      </c>
      <c r="C1298" t="inlineStr">
        <is>
          <t>Manufactura / Dama / P. Superiores</t>
        </is>
      </c>
      <c r="D1298" t="n">
        <v>558.56228672</v>
      </c>
      <c r="E1298" t="n">
        <v>0.0001367542407106918</v>
      </c>
      <c r="F1298" t="n">
        <v>0.9165175463730896</v>
      </c>
      <c r="G1298" t="inlineStr">
        <is>
          <t>B</t>
        </is>
      </c>
      <c r="H1298" t="n">
        <v>2</v>
      </c>
      <c r="I1298" t="n">
        <v>6.536105769</v>
      </c>
      <c r="J1298" t="n">
        <v>13.072211538</v>
      </c>
      <c r="K1298" t="n">
        <v>1.2</v>
      </c>
      <c r="L1298" t="n">
        <v>1.666666666666667</v>
      </c>
      <c r="M1298" t="n">
        <v>3</v>
      </c>
      <c r="N1298" t="n">
        <v>3.6</v>
      </c>
      <c r="O1298" t="n">
        <v>0</v>
      </c>
      <c r="P1298" t="n">
        <v>0</v>
      </c>
      <c r="Q1298" t="n">
        <v>0</v>
      </c>
      <c r="R1298" t="inlineStr">
        <is>
          <t>OK</t>
        </is>
      </c>
    </row>
    <row r="1299">
      <c r="A1299" t="inlineStr">
        <is>
          <t>RIOMIDA04TXS</t>
        </is>
      </c>
      <c r="B1299" t="inlineStr">
        <is>
          <t>RIO ORIGINAL DAMA</t>
        </is>
      </c>
      <c r="C1299" t="inlineStr">
        <is>
          <t>Manufactura / Dama / P. Superiores</t>
        </is>
      </c>
      <c r="D1299" t="n">
        <v>556.55535074</v>
      </c>
      <c r="E1299" t="n">
        <v>0.0001362628774149141</v>
      </c>
      <c r="F1299" t="n">
        <v>0.9166538092505045</v>
      </c>
      <c r="G1299" t="inlineStr">
        <is>
          <t>B</t>
        </is>
      </c>
      <c r="H1299" t="n">
        <v>14</v>
      </c>
      <c r="I1299" t="n">
        <v>5.538832275</v>
      </c>
      <c r="J1299" t="n">
        <v>77.54365185</v>
      </c>
      <c r="K1299" t="n">
        <v>1</v>
      </c>
      <c r="L1299" t="n">
        <v>14</v>
      </c>
      <c r="M1299" t="n">
        <v>3</v>
      </c>
      <c r="N1299" t="n">
        <v>3</v>
      </c>
      <c r="O1299" t="n">
        <v>11</v>
      </c>
      <c r="P1299" t="n">
        <v>60.927155025</v>
      </c>
      <c r="Q1299" t="n">
        <v>0.7857142857142857</v>
      </c>
      <c r="R1299" t="inlineStr">
        <is>
          <t>Sobrestock crítico</t>
        </is>
      </c>
    </row>
    <row r="1300">
      <c r="A1300" t="inlineStr">
        <is>
          <t>MAFMIDA11TXS</t>
        </is>
      </c>
      <c r="B1300" t="inlineStr">
        <is>
          <t>MAFE ORIGINAL DAMA</t>
        </is>
      </c>
      <c r="C1300" t="inlineStr">
        <is>
          <t>Manufactura / Dama / P. Superiores</t>
        </is>
      </c>
      <c r="D1300" t="n">
        <v>555.71520964</v>
      </c>
      <c r="E1300" t="n">
        <v>0.0001360571835094143</v>
      </c>
      <c r="F1300" t="n">
        <v>0.9167898664340139</v>
      </c>
      <c r="G1300" t="inlineStr">
        <is>
          <t>B</t>
        </is>
      </c>
      <c r="H1300" t="n">
        <v>19</v>
      </c>
      <c r="I1300" t="n">
        <v>4.54817671</v>
      </c>
      <c r="J1300" t="n">
        <v>86.41535748999999</v>
      </c>
      <c r="K1300" t="n">
        <v>1.9</v>
      </c>
      <c r="L1300" t="n">
        <v>10</v>
      </c>
      <c r="M1300" t="n">
        <v>3</v>
      </c>
      <c r="N1300" t="n">
        <v>5.699999999999999</v>
      </c>
      <c r="O1300" t="n">
        <v>13.3</v>
      </c>
      <c r="P1300" t="n">
        <v>60.490750243</v>
      </c>
      <c r="Q1300" t="n">
        <v>0.7000000000000001</v>
      </c>
      <c r="R1300" t="inlineStr">
        <is>
          <t>Sobrestock crítico</t>
        </is>
      </c>
    </row>
    <row r="1301">
      <c r="A1301" t="inlineStr">
        <is>
          <t>MARMIKI53T8</t>
        </is>
      </c>
      <c r="B1301" t="inlineStr">
        <is>
          <t>MAR ORIGINAL KIDS</t>
        </is>
      </c>
      <c r="C1301" t="inlineStr">
        <is>
          <t>Manufactura / Kids / P. Superiores</t>
        </is>
      </c>
      <c r="D1301" t="n">
        <v>555.48491302</v>
      </c>
      <c r="E1301" t="n">
        <v>0.0001360007993958515</v>
      </c>
      <c r="F1301" t="n">
        <v>0.9169258672334097</v>
      </c>
      <c r="G1301" t="inlineStr">
        <is>
          <t>B</t>
        </is>
      </c>
      <c r="H1301" t="n">
        <v>33</v>
      </c>
      <c r="I1301" t="n">
        <v>3.168013332</v>
      </c>
      <c r="J1301" t="n">
        <v>104.544439956</v>
      </c>
      <c r="K1301" t="n">
        <v>1.5</v>
      </c>
      <c r="L1301" t="n">
        <v>22</v>
      </c>
      <c r="M1301" t="n">
        <v>3</v>
      </c>
      <c r="N1301" t="n">
        <v>4.5</v>
      </c>
      <c r="O1301" t="n">
        <v>28.5</v>
      </c>
      <c r="P1301" t="n">
        <v>90.28837996200001</v>
      </c>
      <c r="Q1301" t="n">
        <v>0.8636363636363636</v>
      </c>
      <c r="R1301" t="inlineStr">
        <is>
          <t>Sobrestock crítico</t>
        </is>
      </c>
    </row>
    <row r="1302">
      <c r="A1302" t="inlineStr">
        <is>
          <t>TMOFIDA43TL</t>
        </is>
      </c>
      <c r="B1302" t="inlineStr">
        <is>
          <t>TOP MOVA</t>
        </is>
      </c>
      <c r="C1302" t="inlineStr">
        <is>
          <t>Manufactura / Dama / P. Superiores</t>
        </is>
      </c>
      <c r="D1302" t="n">
        <v>555.35373474</v>
      </c>
      <c r="E1302" t="n">
        <v>0.0001359686826803022</v>
      </c>
      <c r="F1302" t="n">
        <v>0.9170618359160901</v>
      </c>
      <c r="G1302" t="inlineStr">
        <is>
          <t>B</t>
        </is>
      </c>
      <c r="H1302" t="n">
        <v>10</v>
      </c>
      <c r="I1302" t="n">
        <v>9.942967033</v>
      </c>
      <c r="J1302" t="n">
        <v>99.42967033000001</v>
      </c>
      <c r="K1302" t="n">
        <v>1.2</v>
      </c>
      <c r="L1302" t="n">
        <v>8.333333333333334</v>
      </c>
      <c r="M1302" t="n">
        <v>3</v>
      </c>
      <c r="N1302" t="n">
        <v>3.6</v>
      </c>
      <c r="O1302" t="n">
        <v>6.4</v>
      </c>
      <c r="P1302" t="n">
        <v>63.63498901120001</v>
      </c>
      <c r="Q1302" t="n">
        <v>0.64</v>
      </c>
      <c r="R1302" t="inlineStr">
        <is>
          <t>Sobrestock crítico</t>
        </is>
      </c>
    </row>
    <row r="1303">
      <c r="A1303" t="inlineStr">
        <is>
          <t>BACCCDA38TXL</t>
        </is>
      </c>
      <c r="B1303" t="inlineStr">
        <is>
          <t>BASIC LINE CROP TEE DAMA</t>
        </is>
      </c>
      <c r="C1303" t="inlineStr">
        <is>
          <t>Manufactura / Dama / P. Superiores</t>
        </is>
      </c>
      <c r="D1303" t="n">
        <v>555.17394035</v>
      </c>
      <c r="E1303" t="n">
        <v>0.0001359246631575505</v>
      </c>
      <c r="F1303" t="n">
        <v>0.9171977605792476</v>
      </c>
      <c r="G1303" t="inlineStr">
        <is>
          <t>B</t>
        </is>
      </c>
      <c r="H1303" t="n">
        <v>28</v>
      </c>
      <c r="I1303" t="n">
        <v>6.196330833</v>
      </c>
      <c r="J1303" t="n">
        <v>173.497263324</v>
      </c>
      <c r="K1303" t="n">
        <v>0.9</v>
      </c>
      <c r="L1303" t="n">
        <v>31.11111111111111</v>
      </c>
      <c r="M1303" t="n">
        <v>3</v>
      </c>
      <c r="N1303" t="n">
        <v>2.7</v>
      </c>
      <c r="O1303" t="n">
        <v>25.3</v>
      </c>
      <c r="P1303" t="n">
        <v>156.7671700749</v>
      </c>
      <c r="Q1303" t="n">
        <v>0.9035714285714286</v>
      </c>
      <c r="R1303" t="inlineStr">
        <is>
          <t>Sobrestock crítico</t>
        </is>
      </c>
    </row>
    <row r="1304">
      <c r="A1304" t="inlineStr">
        <is>
          <t>SARSPKI16T4</t>
        </is>
      </c>
      <c r="B1304" t="inlineStr">
        <is>
          <t>FALDA SARA KIDS</t>
        </is>
      </c>
      <c r="C1304" t="inlineStr">
        <is>
          <t>Manufactura / Kids / P. Inferiores</t>
        </is>
      </c>
      <c r="D1304" t="n">
        <v>554.39183512</v>
      </c>
      <c r="E1304" t="n">
        <v>0.0001357331783233119</v>
      </c>
      <c r="F1304" t="n">
        <v>0.9173334937575709</v>
      </c>
      <c r="G1304" t="inlineStr">
        <is>
          <t>B</t>
        </is>
      </c>
      <c r="H1304" t="n">
        <v>15</v>
      </c>
      <c r="I1304" t="n">
        <v>5.753743316</v>
      </c>
      <c r="J1304" t="n">
        <v>86.30614974000001</v>
      </c>
      <c r="K1304" t="n">
        <v>1.4</v>
      </c>
      <c r="L1304" t="n">
        <v>10.71428571428572</v>
      </c>
      <c r="M1304" t="n">
        <v>3</v>
      </c>
      <c r="N1304" t="n">
        <v>4.199999999999999</v>
      </c>
      <c r="O1304" t="n">
        <v>10.8</v>
      </c>
      <c r="P1304" t="n">
        <v>62.14042781280001</v>
      </c>
      <c r="Q1304" t="n">
        <v>0.72</v>
      </c>
      <c r="R1304" t="inlineStr">
        <is>
          <t>Sobrestock crítico</t>
        </is>
      </c>
    </row>
    <row r="1305">
      <c r="A1305" t="inlineStr">
        <is>
          <t>ADUMMDA11TXS</t>
        </is>
      </c>
      <c r="B1305" t="inlineStr">
        <is>
          <t>ACTIVE DUO DAMA</t>
        </is>
      </c>
      <c r="C1305" t="inlineStr">
        <is>
          <t>Manufactura / Caballero / P. Superiores</t>
        </is>
      </c>
      <c r="D1305" t="n">
        <v>553.65776429</v>
      </c>
      <c r="E1305" t="n">
        <v>0.0001355534538747209</v>
      </c>
      <c r="F1305" t="n">
        <v>0.9174690472114456</v>
      </c>
      <c r="G1305" t="inlineStr">
        <is>
          <t>B</t>
        </is>
      </c>
      <c r="H1305" t="n">
        <v>8</v>
      </c>
      <c r="I1305" t="n">
        <v>3.19128</v>
      </c>
      <c r="J1305" t="n">
        <v>25.53024</v>
      </c>
      <c r="K1305" t="n">
        <v>1.4</v>
      </c>
      <c r="L1305" t="n">
        <v>5.714285714285714</v>
      </c>
      <c r="M1305" t="n">
        <v>3</v>
      </c>
      <c r="N1305" t="n">
        <v>4.199999999999999</v>
      </c>
      <c r="O1305" t="n">
        <v>3.800000000000001</v>
      </c>
      <c r="P1305" t="n">
        <v>12.126864</v>
      </c>
      <c r="Q1305" t="n">
        <v>0.4750000000000001</v>
      </c>
      <c r="R1305" t="inlineStr">
        <is>
          <t>Sobrestock crítico</t>
        </is>
      </c>
    </row>
    <row r="1306">
      <c r="A1306" t="inlineStr">
        <is>
          <t>MARMIKI34T10</t>
        </is>
      </c>
      <c r="B1306" t="inlineStr">
        <is>
          <t>MAR ORIGINAL KIDS</t>
        </is>
      </c>
      <c r="C1306" t="inlineStr">
        <is>
          <t>Manufactura / Kids / P. Superiores</t>
        </is>
      </c>
      <c r="D1306" t="n">
        <v>553.6040346</v>
      </c>
      <c r="E1306" t="n">
        <v>0.0001355402990965801</v>
      </c>
      <c r="F1306" t="n">
        <v>0.9176045875105423</v>
      </c>
      <c r="G1306" t="inlineStr">
        <is>
          <t>B</t>
        </is>
      </c>
      <c r="H1306" t="n">
        <v>31</v>
      </c>
      <c r="I1306" t="n">
        <v>3.168013332</v>
      </c>
      <c r="J1306" t="n">
        <v>98.208413292</v>
      </c>
      <c r="K1306" t="n">
        <v>1.5</v>
      </c>
      <c r="L1306" t="n">
        <v>20.66666666666667</v>
      </c>
      <c r="M1306" t="n">
        <v>3</v>
      </c>
      <c r="N1306" t="n">
        <v>4.5</v>
      </c>
      <c r="O1306" t="n">
        <v>26.5</v>
      </c>
      <c r="P1306" t="n">
        <v>83.95235329800001</v>
      </c>
      <c r="Q1306" t="n">
        <v>0.8548387096774194</v>
      </c>
      <c r="R1306" t="inlineStr">
        <is>
          <t>Sobrestock crítico</t>
        </is>
      </c>
    </row>
    <row r="1307">
      <c r="A1307" t="inlineStr">
        <is>
          <t>MARMIKI13T12</t>
        </is>
      </c>
      <c r="B1307" t="inlineStr">
        <is>
          <t>MAR ORIGINAL KIDS</t>
        </is>
      </c>
      <c r="C1307" t="inlineStr">
        <is>
          <t>Manufactura / Kids / P. Superiores</t>
        </is>
      </c>
      <c r="D1307" t="n">
        <v>552.30439526</v>
      </c>
      <c r="E1307" t="n">
        <v>0.0001352221050556199</v>
      </c>
      <c r="F1307" t="n">
        <v>0.9177398096155979</v>
      </c>
      <c r="G1307" t="inlineStr">
        <is>
          <t>B</t>
        </is>
      </c>
      <c r="H1307" t="n">
        <v>22</v>
      </c>
      <c r="I1307" t="n">
        <v>3.168013332</v>
      </c>
      <c r="J1307" t="n">
        <v>69.69629330400001</v>
      </c>
      <c r="K1307" t="n">
        <v>1.5</v>
      </c>
      <c r="L1307" t="n">
        <v>14.66666666666667</v>
      </c>
      <c r="M1307" t="n">
        <v>3</v>
      </c>
      <c r="N1307" t="n">
        <v>4.5</v>
      </c>
      <c r="O1307" t="n">
        <v>17.5</v>
      </c>
      <c r="P1307" t="n">
        <v>55.44023331</v>
      </c>
      <c r="Q1307" t="n">
        <v>0.7954545454545454</v>
      </c>
      <c r="R1307" t="inlineStr">
        <is>
          <t>Sobrestock crítico</t>
        </is>
      </c>
    </row>
    <row r="1308">
      <c r="A1308" t="inlineStr">
        <is>
          <t>CLAMIDA70TM</t>
        </is>
      </c>
      <c r="B1308" t="inlineStr">
        <is>
          <t>CLASICA ORIGINAL DAMA</t>
        </is>
      </c>
      <c r="C1308" t="inlineStr">
        <is>
          <t>Manufactura / Dama / P. Superiores</t>
        </is>
      </c>
      <c r="D1308" t="n">
        <v>552.2601231899999</v>
      </c>
      <c r="E1308" t="n">
        <v>0.0001352112658108991</v>
      </c>
      <c r="F1308" t="n">
        <v>0.9178750208814088</v>
      </c>
      <c r="G1308" t="inlineStr">
        <is>
          <t>B</t>
        </is>
      </c>
      <c r="H1308" t="n">
        <v>12</v>
      </c>
      <c r="I1308" t="n">
        <v>3.923227589</v>
      </c>
      <c r="J1308" t="n">
        <v>47.078731068</v>
      </c>
      <c r="K1308" t="n">
        <v>1.8</v>
      </c>
      <c r="L1308" t="n">
        <v>6.666666666666666</v>
      </c>
      <c r="M1308" t="n">
        <v>3</v>
      </c>
      <c r="N1308" t="n">
        <v>5.4</v>
      </c>
      <c r="O1308" t="n">
        <v>6.6</v>
      </c>
      <c r="P1308" t="n">
        <v>25.8933020874</v>
      </c>
      <c r="Q1308" t="n">
        <v>0.5499999999999999</v>
      </c>
      <c r="R1308" t="inlineStr">
        <is>
          <t>Sobrestock crítico</t>
        </is>
      </c>
    </row>
    <row r="1309">
      <c r="A1309" t="inlineStr">
        <is>
          <t>GEMBADA43TS</t>
        </is>
      </c>
      <c r="B1309" t="inlineStr">
        <is>
          <t>VESTIDO GEMMA DAMA</t>
        </is>
      </c>
      <c r="C1309" t="inlineStr">
        <is>
          <t>Manufactura / Dama / Conjuntos</t>
        </is>
      </c>
      <c r="D1309" t="n">
        <v>551.94729452</v>
      </c>
      <c r="E1309" t="n">
        <v>0.0001351346751633465</v>
      </c>
      <c r="F1309" t="n">
        <v>0.9180101555565722</v>
      </c>
      <c r="G1309" t="inlineStr">
        <is>
          <t>B</t>
        </is>
      </c>
      <c r="H1309" t="n">
        <v>7</v>
      </c>
      <c r="I1309" t="n">
        <v>23.99</v>
      </c>
      <c r="J1309" t="n">
        <v>167.93</v>
      </c>
      <c r="K1309" t="n">
        <v>1.1</v>
      </c>
      <c r="L1309" t="n">
        <v>6.363636363636363</v>
      </c>
      <c r="M1309" t="n">
        <v>3</v>
      </c>
      <c r="N1309" t="n">
        <v>3.3</v>
      </c>
      <c r="O1309" t="n">
        <v>3.7</v>
      </c>
      <c r="P1309" t="n">
        <v>88.76299999999999</v>
      </c>
      <c r="Q1309" t="n">
        <v>0.5285714285714286</v>
      </c>
      <c r="R1309" t="inlineStr">
        <is>
          <t>Sobrestock crítico</t>
        </is>
      </c>
    </row>
    <row r="1310">
      <c r="A1310" t="inlineStr">
        <is>
          <t>CLAMIDA66TM</t>
        </is>
      </c>
      <c r="B1310" t="inlineStr">
        <is>
          <t>CLASICA ORIGINAL DAMA</t>
        </is>
      </c>
      <c r="C1310" t="inlineStr">
        <is>
          <t>Manufactura / Dama / P. Superiores</t>
        </is>
      </c>
      <c r="D1310" t="n">
        <v>551.66534037</v>
      </c>
      <c r="E1310" t="n">
        <v>0.0001350656436039032</v>
      </c>
      <c r="F1310" t="n">
        <v>0.9181452212001759</v>
      </c>
      <c r="G1310" t="inlineStr">
        <is>
          <t>B</t>
        </is>
      </c>
      <c r="H1310" t="n">
        <v>40</v>
      </c>
      <c r="I1310" t="n">
        <v>3.923227589000001</v>
      </c>
      <c r="J1310" t="n">
        <v>156.92910356</v>
      </c>
      <c r="K1310" t="n">
        <v>2.7</v>
      </c>
      <c r="L1310" t="n">
        <v>14.81481481481481</v>
      </c>
      <c r="M1310" t="n">
        <v>3</v>
      </c>
      <c r="N1310" t="n">
        <v>8.100000000000001</v>
      </c>
      <c r="O1310" t="n">
        <v>31.9</v>
      </c>
      <c r="P1310" t="n">
        <v>125.1509600891</v>
      </c>
      <c r="Q1310" t="n">
        <v>0.7975</v>
      </c>
      <c r="R1310" t="inlineStr">
        <is>
          <t>Sobrestock crítico</t>
        </is>
      </c>
    </row>
    <row r="1311">
      <c r="A1311" t="inlineStr">
        <is>
          <t>SMCBNECA16TL</t>
        </is>
      </c>
      <c r="B1311" t="inlineStr">
        <is>
          <t>SPOTS MANGA CORTA CAB</t>
        </is>
      </c>
      <c r="C1311" t="inlineStr">
        <is>
          <t>Manufactura / Caballero / P. Superiores</t>
        </is>
      </c>
      <c r="D1311" t="n">
        <v>550.83</v>
      </c>
      <c r="E1311" t="n">
        <v>0.0001348611250734719</v>
      </c>
      <c r="F1311" t="n">
        <v>0.9182800823252495</v>
      </c>
      <c r="G1311" t="inlineStr">
        <is>
          <t>B</t>
        </is>
      </c>
      <c r="H1311" t="n">
        <v>5</v>
      </c>
      <c r="I1311" t="n">
        <v>8.5</v>
      </c>
      <c r="J1311" t="n">
        <v>42.5</v>
      </c>
      <c r="K1311" t="n">
        <v>1.5</v>
      </c>
      <c r="L1311" t="n">
        <v>3.333333333333333</v>
      </c>
      <c r="M1311" t="n">
        <v>3</v>
      </c>
      <c r="N1311" t="n">
        <v>4.5</v>
      </c>
      <c r="O1311" t="n">
        <v>0.5</v>
      </c>
      <c r="P1311" t="n">
        <v>4.25</v>
      </c>
      <c r="Q1311" t="n">
        <v>0.1</v>
      </c>
      <c r="R1311" t="inlineStr">
        <is>
          <t>Sobrestock</t>
        </is>
      </c>
    </row>
    <row r="1312">
      <c r="A1312" t="inlineStr">
        <is>
          <t>GEMBADA09TL</t>
        </is>
      </c>
      <c r="B1312" t="inlineStr">
        <is>
          <t>VESTIDO GEMMA DAMA</t>
        </is>
      </c>
      <c r="C1312" t="inlineStr">
        <is>
          <t>Manufactura / Dama / Conjuntos</t>
        </is>
      </c>
      <c r="D1312" t="n">
        <v>550.18164503</v>
      </c>
      <c r="E1312" t="n">
        <v>0.0001347023866592584</v>
      </c>
      <c r="F1312" t="n">
        <v>0.9184147847119087</v>
      </c>
      <c r="G1312" t="inlineStr">
        <is>
          <t>B</t>
        </is>
      </c>
      <c r="H1312" t="n">
        <v>18</v>
      </c>
      <c r="I1312" t="n">
        <v>23.99</v>
      </c>
      <c r="J1312" t="n">
        <v>431.82</v>
      </c>
      <c r="K1312" t="n">
        <v>1</v>
      </c>
      <c r="L1312" t="n">
        <v>18</v>
      </c>
      <c r="M1312" t="n">
        <v>3</v>
      </c>
      <c r="N1312" t="n">
        <v>3</v>
      </c>
      <c r="O1312" t="n">
        <v>15</v>
      </c>
      <c r="P1312" t="n">
        <v>359.85</v>
      </c>
      <c r="Q1312" t="n">
        <v>0.8333333333333333</v>
      </c>
      <c r="R1312" t="inlineStr">
        <is>
          <t>Sobrestock crítico</t>
        </is>
      </c>
    </row>
    <row r="1313">
      <c r="A1313" t="inlineStr">
        <is>
          <t>MAFMIDA66TS</t>
        </is>
      </c>
      <c r="B1313" t="inlineStr">
        <is>
          <t>MAFE ORIGINAL DAMA</t>
        </is>
      </c>
      <c r="C1313" t="inlineStr">
        <is>
          <t>Manufactura / Dama / P. Superiores</t>
        </is>
      </c>
      <c r="D1313" t="n">
        <v>549.54063612</v>
      </c>
      <c r="E1313" t="n">
        <v>0.0001345454467998014</v>
      </c>
      <c r="F1313" t="n">
        <v>0.9185493301587085</v>
      </c>
      <c r="G1313" t="inlineStr">
        <is>
          <t>B</t>
        </is>
      </c>
      <c r="H1313" t="n">
        <v>23</v>
      </c>
      <c r="I1313" t="n">
        <v>4.54817671</v>
      </c>
      <c r="J1313" t="n">
        <v>104.60806433</v>
      </c>
      <c r="K1313" t="n">
        <v>1.9</v>
      </c>
      <c r="L1313" t="n">
        <v>12.10526315789474</v>
      </c>
      <c r="M1313" t="n">
        <v>3</v>
      </c>
      <c r="N1313" t="n">
        <v>5.699999999999999</v>
      </c>
      <c r="O1313" t="n">
        <v>17.3</v>
      </c>
      <c r="P1313" t="n">
        <v>78.68345708300001</v>
      </c>
      <c r="Q1313" t="n">
        <v>0.7521739130434784</v>
      </c>
      <c r="R1313" t="inlineStr">
        <is>
          <t>Sobrestock crítico</t>
        </is>
      </c>
    </row>
    <row r="1314">
      <c r="A1314" t="inlineStr">
        <is>
          <t>SHONRKI12T10</t>
        </is>
      </c>
      <c r="B1314" t="inlineStr">
        <is>
          <t>SHORT SPORT KIDS</t>
        </is>
      </c>
      <c r="C1314" t="inlineStr">
        <is>
          <t>Manufactura / Kids / P. Inferiores</t>
        </is>
      </c>
      <c r="D1314" t="n">
        <v>546.90316608</v>
      </c>
      <c r="E1314" t="n">
        <v>0.0001338997082290228</v>
      </c>
      <c r="F1314" t="n">
        <v>0.9186832298669376</v>
      </c>
      <c r="G1314" t="inlineStr">
        <is>
          <t>B</t>
        </is>
      </c>
      <c r="H1314" t="n">
        <v>51</v>
      </c>
      <c r="I1314" t="n">
        <v>6.465724382</v>
      </c>
      <c r="J1314" t="n">
        <v>329.751943482</v>
      </c>
      <c r="K1314" t="n">
        <v>1.4</v>
      </c>
      <c r="L1314" t="n">
        <v>36.42857142857143</v>
      </c>
      <c r="M1314" t="n">
        <v>3</v>
      </c>
      <c r="N1314" t="n">
        <v>4.199999999999999</v>
      </c>
      <c r="O1314" t="n">
        <v>46.8</v>
      </c>
      <c r="P1314" t="n">
        <v>302.5959010776</v>
      </c>
      <c r="Q1314" t="n">
        <v>0.9176470588235294</v>
      </c>
      <c r="R1314" t="inlineStr">
        <is>
          <t>Sobrestock crítico</t>
        </is>
      </c>
    </row>
    <row r="1315">
      <c r="A1315" t="inlineStr">
        <is>
          <t>SHOSUKI154T10</t>
        </is>
      </c>
      <c r="B1315" t="inlineStr">
        <is>
          <t>SHORT PLAYA ESTAMPADO KIDS</t>
        </is>
      </c>
      <c r="C1315" t="inlineStr">
        <is>
          <t>Manufactura / Kids / P. Superiores</t>
        </is>
      </c>
      <c r="D1315" t="n">
        <v>545.99612642</v>
      </c>
      <c r="E1315" t="n">
        <v>0.0001336776353770833</v>
      </c>
      <c r="F1315" t="n">
        <v>0.9188169075023147</v>
      </c>
      <c r="G1315" t="inlineStr">
        <is>
          <t>B</t>
        </is>
      </c>
      <c r="H1315" t="n">
        <v>27</v>
      </c>
      <c r="I1315" t="n">
        <v>7.21</v>
      </c>
      <c r="J1315" t="n">
        <v>194.67</v>
      </c>
      <c r="K1315" t="n">
        <v>1.3</v>
      </c>
      <c r="L1315" t="n">
        <v>20.76923076923077</v>
      </c>
      <c r="M1315" t="n">
        <v>3</v>
      </c>
      <c r="N1315" t="n">
        <v>3.9</v>
      </c>
      <c r="O1315" t="n">
        <v>23.1</v>
      </c>
      <c r="P1315" t="n">
        <v>166.551</v>
      </c>
      <c r="Q1315" t="n">
        <v>0.8555555555555557</v>
      </c>
      <c r="R1315" t="inlineStr">
        <is>
          <t>Sobrestock crítico</t>
        </is>
      </c>
    </row>
    <row r="1316">
      <c r="A1316" t="inlineStr">
        <is>
          <t>ANMSUDA152TM</t>
        </is>
      </c>
      <c r="B1316" t="inlineStr">
        <is>
          <t>ANDRE MOTION DAMA</t>
        </is>
      </c>
      <c r="C1316" t="inlineStr">
        <is>
          <t>Manufactura / Dama / P. Superiores</t>
        </is>
      </c>
      <c r="D1316" t="n">
        <v>545.33960517</v>
      </c>
      <c r="E1316" t="n">
        <v>0.0001335168975915421</v>
      </c>
      <c r="F1316" t="n">
        <v>0.9189504243999063</v>
      </c>
      <c r="G1316" t="inlineStr">
        <is>
          <t>B</t>
        </is>
      </c>
      <c r="H1316" t="n">
        <v>16</v>
      </c>
      <c r="I1316" t="n">
        <v>10.6</v>
      </c>
      <c r="J1316" t="n">
        <v>169.6</v>
      </c>
      <c r="K1316" t="n">
        <v>1.3</v>
      </c>
      <c r="L1316" t="n">
        <v>12.30769230769231</v>
      </c>
      <c r="M1316" t="n">
        <v>3</v>
      </c>
      <c r="N1316" t="n">
        <v>3.9</v>
      </c>
      <c r="O1316" t="n">
        <v>12.1</v>
      </c>
      <c r="P1316" t="n">
        <v>128.26</v>
      </c>
      <c r="Q1316" t="n">
        <v>0.75625</v>
      </c>
      <c r="R1316" t="inlineStr">
        <is>
          <t>Sobrestock crítico</t>
        </is>
      </c>
    </row>
    <row r="1317">
      <c r="A1317" t="inlineStr">
        <is>
          <t>SARSPKI30T8</t>
        </is>
      </c>
      <c r="B1317" t="inlineStr">
        <is>
          <t>FALDA SARA KIDS</t>
        </is>
      </c>
      <c r="C1317" t="inlineStr">
        <is>
          <t>Manufactura / Kids / P. Inferiores</t>
        </is>
      </c>
      <c r="D1317" t="n">
        <v>542.7804138</v>
      </c>
      <c r="E1317" t="n">
        <v>0.0001328903241887926</v>
      </c>
      <c r="F1317" t="n">
        <v>0.9190833147240951</v>
      </c>
      <c r="G1317" t="inlineStr">
        <is>
          <t>B</t>
        </is>
      </c>
      <c r="H1317" t="n">
        <v>5</v>
      </c>
      <c r="I1317" t="n">
        <v>5.753743316</v>
      </c>
      <c r="J1317" t="n">
        <v>28.76871658</v>
      </c>
      <c r="K1317" t="n">
        <v>1.3</v>
      </c>
      <c r="L1317" t="n">
        <v>3.846153846153846</v>
      </c>
      <c r="M1317" t="n">
        <v>3</v>
      </c>
      <c r="N1317" t="n">
        <v>3.9</v>
      </c>
      <c r="O1317" t="n">
        <v>1.1</v>
      </c>
      <c r="P1317" t="n">
        <v>6.329117647599999</v>
      </c>
      <c r="Q1317" t="n">
        <v>0.2199999999999999</v>
      </c>
      <c r="R1317" t="inlineStr">
        <is>
          <t>Sobrestock</t>
        </is>
      </c>
    </row>
    <row r="1318">
      <c r="A1318" t="inlineStr">
        <is>
          <t>SHONRKI30T10</t>
        </is>
      </c>
      <c r="B1318" t="inlineStr">
        <is>
          <t>SHORT SPORT KIDS</t>
        </is>
      </c>
      <c r="C1318" t="inlineStr">
        <is>
          <t>Manufactura / Kids / P. Inferiores</t>
        </is>
      </c>
      <c r="D1318" t="n">
        <v>542.74587263</v>
      </c>
      <c r="E1318" t="n">
        <v>0.0001328818673853368</v>
      </c>
      <c r="F1318" t="n">
        <v>0.9192161965914804</v>
      </c>
      <c r="G1318" t="inlineStr">
        <is>
          <t>B</t>
        </is>
      </c>
      <c r="H1318" t="n">
        <v>39</v>
      </c>
      <c r="I1318" t="n">
        <v>6.465724382</v>
      </c>
      <c r="J1318" t="n">
        <v>252.163250898</v>
      </c>
      <c r="K1318" t="n">
        <v>1.3</v>
      </c>
      <c r="L1318" t="n">
        <v>30</v>
      </c>
      <c r="M1318" t="n">
        <v>3</v>
      </c>
      <c r="N1318" t="n">
        <v>3.9</v>
      </c>
      <c r="O1318" t="n">
        <v>35.1</v>
      </c>
      <c r="P1318" t="n">
        <v>226.9469258082</v>
      </c>
      <c r="Q1318" t="n">
        <v>0.9</v>
      </c>
      <c r="R1318" t="inlineStr">
        <is>
          <t>Sobrestock crítico</t>
        </is>
      </c>
    </row>
    <row r="1319">
      <c r="A1319" t="inlineStr">
        <is>
          <t>CLASTCA43TL</t>
        </is>
      </c>
      <c r="B1319" t="inlineStr">
        <is>
          <t>CLASICA ALGODON STRETCH CAB</t>
        </is>
      </c>
      <c r="C1319" t="inlineStr">
        <is>
          <t>Manufactura / Caballero / P. Superiores</t>
        </is>
      </c>
      <c r="D1319" t="n">
        <v>541.88774403</v>
      </c>
      <c r="E1319" t="n">
        <v>0.0001326717695539664</v>
      </c>
      <c r="F1319" t="n">
        <v>0.9193488683610344</v>
      </c>
      <c r="G1319" t="inlineStr">
        <is>
          <t>B</t>
        </is>
      </c>
      <c r="H1319" t="n">
        <v>0</v>
      </c>
      <c r="I1319" t="n">
        <v>9.27</v>
      </c>
      <c r="J1319" t="n">
        <v>0</v>
      </c>
      <c r="K1319" t="n">
        <v>1.4</v>
      </c>
      <c r="L1319" t="n">
        <v>0</v>
      </c>
      <c r="M1319" t="n">
        <v>3</v>
      </c>
      <c r="N1319" t="n">
        <v>4.199999999999999</v>
      </c>
      <c r="O1319" t="n">
        <v>0</v>
      </c>
      <c r="P1319" t="n">
        <v>0</v>
      </c>
      <c r="Q1319" t="n">
        <v>0</v>
      </c>
      <c r="R1319" t="inlineStr">
        <is>
          <t>Riesgo bajo stock</t>
        </is>
      </c>
    </row>
    <row r="1320">
      <c r="A1320" t="inlineStr">
        <is>
          <t>MARMIKI01T14</t>
        </is>
      </c>
      <c r="B1320" t="inlineStr">
        <is>
          <t>MAR ORIGINAL KIDS</t>
        </is>
      </c>
      <c r="C1320" t="inlineStr">
        <is>
          <t>Manufactura / Kids / P. Superiores</t>
        </is>
      </c>
      <c r="D1320" t="n">
        <v>541.60285988</v>
      </c>
      <c r="E1320" t="n">
        <v>0.0001326020206350902</v>
      </c>
      <c r="F1320" t="n">
        <v>0.9194814703816694</v>
      </c>
      <c r="G1320" t="inlineStr">
        <is>
          <t>B</t>
        </is>
      </c>
      <c r="H1320" t="n">
        <v>54</v>
      </c>
      <c r="I1320" t="n">
        <v>3.168013332</v>
      </c>
      <c r="J1320" t="n">
        <v>171.072719928</v>
      </c>
      <c r="K1320" t="n">
        <v>1.3</v>
      </c>
      <c r="L1320" t="n">
        <v>41.53846153846154</v>
      </c>
      <c r="M1320" t="n">
        <v>3</v>
      </c>
      <c r="N1320" t="n">
        <v>3.9</v>
      </c>
      <c r="O1320" t="n">
        <v>50.1</v>
      </c>
      <c r="P1320" t="n">
        <v>158.7174679332</v>
      </c>
      <c r="Q1320" t="n">
        <v>0.9277777777777778</v>
      </c>
      <c r="R1320" t="inlineStr">
        <is>
          <t>Sobrestock crítico</t>
        </is>
      </c>
    </row>
    <row r="1321">
      <c r="A1321" t="inlineStr">
        <is>
          <t>MARMICA50T3XL</t>
        </is>
      </c>
      <c r="B1321" t="inlineStr">
        <is>
          <t>MAR ORIGINAL CAB</t>
        </is>
      </c>
      <c r="C1321" t="inlineStr">
        <is>
          <t>Manufactura / Caballero / P. Superiores</t>
        </is>
      </c>
      <c r="D1321" t="n">
        <v>541.01353498</v>
      </c>
      <c r="E1321" t="n">
        <v>0.0001324577347046801</v>
      </c>
      <c r="F1321" t="n">
        <v>0.9196139281163741</v>
      </c>
      <c r="G1321" t="inlineStr">
        <is>
          <t>B</t>
        </is>
      </c>
      <c r="H1321" t="n">
        <v>10</v>
      </c>
      <c r="I1321" t="n">
        <v>4.946357428</v>
      </c>
      <c r="J1321" t="n">
        <v>49.46357428</v>
      </c>
      <c r="K1321" t="n">
        <v>1.1</v>
      </c>
      <c r="L1321" t="n">
        <v>9.09090909090909</v>
      </c>
      <c r="M1321" t="n">
        <v>3</v>
      </c>
      <c r="N1321" t="n">
        <v>3.3</v>
      </c>
      <c r="O1321" t="n">
        <v>6.699999999999999</v>
      </c>
      <c r="P1321" t="n">
        <v>33.14059476759999</v>
      </c>
      <c r="Q1321" t="n">
        <v>0.6699999999999999</v>
      </c>
      <c r="R1321" t="inlineStr">
        <is>
          <t>Sobrestock crítico</t>
        </is>
      </c>
    </row>
    <row r="1322">
      <c r="A1322" t="inlineStr">
        <is>
          <t>CLAMICA11TM</t>
        </is>
      </c>
      <c r="B1322" t="inlineStr">
        <is>
          <t>CLASICA ORIGINAL CAB</t>
        </is>
      </c>
      <c r="C1322" t="inlineStr">
        <is>
          <t>Manufactura / Caballero / P. Superiores</t>
        </is>
      </c>
      <c r="D1322" t="n">
        <v>540.4821333499999</v>
      </c>
      <c r="E1322" t="n">
        <v>0.0001323276302773837</v>
      </c>
      <c r="F1322" t="n">
        <v>0.9197462557466515</v>
      </c>
      <c r="G1322" t="inlineStr">
        <is>
          <t>B</t>
        </is>
      </c>
      <c r="H1322" t="n">
        <v>0</v>
      </c>
      <c r="I1322" t="n">
        <v>4.598442536</v>
      </c>
      <c r="J1322" t="n">
        <v>0</v>
      </c>
      <c r="K1322" t="n">
        <v>8.4</v>
      </c>
      <c r="L1322" t="n">
        <v>0</v>
      </c>
      <c r="M1322" t="n">
        <v>3</v>
      </c>
      <c r="N1322" t="n">
        <v>25.2</v>
      </c>
      <c r="O1322" t="n">
        <v>0</v>
      </c>
      <c r="P1322" t="n">
        <v>0</v>
      </c>
      <c r="Q1322" t="n">
        <v>0</v>
      </c>
      <c r="R1322" t="inlineStr">
        <is>
          <t>Riesgo bajo stock</t>
        </is>
      </c>
    </row>
    <row r="1323">
      <c r="A1323" t="inlineStr">
        <is>
          <t>ANDMIDA43TM</t>
        </is>
      </c>
      <c r="B1323" t="inlineStr">
        <is>
          <t>ANDRE ORIGINAL DAMA</t>
        </is>
      </c>
      <c r="C1323" t="inlineStr">
        <is>
          <t>Manufactura / Dama / P. Superiores</t>
        </is>
      </c>
      <c r="D1323" t="n">
        <v>540.46790042</v>
      </c>
      <c r="E1323" t="n">
        <v>0.0001323241455925392</v>
      </c>
      <c r="F1323" t="n">
        <v>0.919878579892244</v>
      </c>
      <c r="G1323" t="inlineStr">
        <is>
          <t>B</t>
        </is>
      </c>
      <c r="H1323" t="n">
        <v>61</v>
      </c>
      <c r="I1323" t="n">
        <v>3.274295302</v>
      </c>
      <c r="J1323" t="n">
        <v>199.732013422</v>
      </c>
      <c r="K1323" t="n">
        <v>1.8</v>
      </c>
      <c r="L1323" t="n">
        <v>33.88888888888889</v>
      </c>
      <c r="M1323" t="n">
        <v>3</v>
      </c>
      <c r="N1323" t="n">
        <v>5.4</v>
      </c>
      <c r="O1323" t="n">
        <v>55.6</v>
      </c>
      <c r="P1323" t="n">
        <v>182.0508187912</v>
      </c>
      <c r="Q1323" t="n">
        <v>0.9114754098360657</v>
      </c>
      <c r="R1323" t="inlineStr">
        <is>
          <t>Sobrestock crítico</t>
        </is>
      </c>
    </row>
    <row r="1324">
      <c r="A1324" t="inlineStr">
        <is>
          <t>MARMIKI04T14</t>
        </is>
      </c>
      <c r="B1324" t="inlineStr">
        <is>
          <t>MAR ORIGINAL KIDS</t>
        </is>
      </c>
      <c r="C1324" t="inlineStr">
        <is>
          <t>Manufactura / Kids / P. Superiores</t>
        </is>
      </c>
      <c r="D1324" t="n">
        <v>538.81610013</v>
      </c>
      <c r="E1324" t="n">
        <v>0.0001319197310807913</v>
      </c>
      <c r="F1324" t="n">
        <v>0.9200104996233248</v>
      </c>
      <c r="G1324" t="inlineStr">
        <is>
          <t>B</t>
        </is>
      </c>
      <c r="H1324" t="n">
        <v>5</v>
      </c>
      <c r="I1324" t="n">
        <v>3.168013332</v>
      </c>
      <c r="J1324" t="n">
        <v>15.84006666</v>
      </c>
      <c r="K1324" t="n">
        <v>1.3</v>
      </c>
      <c r="L1324" t="n">
        <v>3.846153846153846</v>
      </c>
      <c r="M1324" t="n">
        <v>3</v>
      </c>
      <c r="N1324" t="n">
        <v>3.9</v>
      </c>
      <c r="O1324" t="n">
        <v>1.1</v>
      </c>
      <c r="P1324" t="n">
        <v>3.484814665199999</v>
      </c>
      <c r="Q1324" t="n">
        <v>0.2199999999999999</v>
      </c>
      <c r="R1324" t="inlineStr">
        <is>
          <t>Sobrestock</t>
        </is>
      </c>
    </row>
    <row r="1325">
      <c r="A1325" t="inlineStr">
        <is>
          <t>POLPLCA14TS</t>
        </is>
      </c>
      <c r="B1325" t="inlineStr">
        <is>
          <t>CLASSIC POLO</t>
        </is>
      </c>
      <c r="C1325" t="inlineStr">
        <is>
          <t>Manufactura / Caballero / P. Superiores</t>
        </is>
      </c>
      <c r="D1325" t="n">
        <v>537.5833963970747</v>
      </c>
      <c r="E1325" t="n">
        <v>0.0001316179250566013</v>
      </c>
      <c r="F1325" t="n">
        <v>0.9201421175483815</v>
      </c>
      <c r="G1325" t="inlineStr">
        <is>
          <t>B</t>
        </is>
      </c>
      <c r="H1325" t="n">
        <v>82</v>
      </c>
      <c r="I1325" t="n">
        <v>7.34</v>
      </c>
      <c r="J1325" t="n">
        <v>601.88</v>
      </c>
      <c r="K1325" t="n">
        <v>1.3</v>
      </c>
      <c r="L1325" t="n">
        <v>63.07692307692307</v>
      </c>
      <c r="M1325" t="n">
        <v>3</v>
      </c>
      <c r="N1325" t="n">
        <v>3.9</v>
      </c>
      <c r="O1325" t="n">
        <v>78.09999999999999</v>
      </c>
      <c r="P1325" t="n">
        <v>573.2539999999999</v>
      </c>
      <c r="Q1325" t="n">
        <v>0.9524390243902437</v>
      </c>
      <c r="R1325" t="inlineStr">
        <is>
          <t>Sobrestock crítico</t>
        </is>
      </c>
    </row>
    <row r="1326">
      <c r="A1326" t="inlineStr">
        <is>
          <t>SARSPDA43TM</t>
        </is>
      </c>
      <c r="B1326" t="inlineStr">
        <is>
          <t>FALDA SARA DAMA</t>
        </is>
      </c>
      <c r="C1326" t="inlineStr">
        <is>
          <t>Manufactura / Dama / P. Inferiores</t>
        </is>
      </c>
      <c r="D1326" t="n">
        <v>537.46585685</v>
      </c>
      <c r="E1326" t="n">
        <v>0.000131589147547099</v>
      </c>
      <c r="F1326" t="n">
        <v>0.9202737066959286</v>
      </c>
      <c r="G1326" t="inlineStr">
        <is>
          <t>B</t>
        </is>
      </c>
      <c r="H1326" t="n">
        <v>4</v>
      </c>
      <c r="I1326" t="n">
        <v>9.500113852</v>
      </c>
      <c r="J1326" t="n">
        <v>38.000455408</v>
      </c>
      <c r="K1326" t="n">
        <v>1.2</v>
      </c>
      <c r="L1326" t="n">
        <v>3.333333333333333</v>
      </c>
      <c r="M1326" t="n">
        <v>3</v>
      </c>
      <c r="N1326" t="n">
        <v>3.6</v>
      </c>
      <c r="O1326" t="n">
        <v>0.4000000000000004</v>
      </c>
      <c r="P1326" t="n">
        <v>3.800045540800003</v>
      </c>
      <c r="Q1326" t="n">
        <v>0.1000000000000001</v>
      </c>
      <c r="R1326" t="inlineStr">
        <is>
          <t>Sobrestock</t>
        </is>
      </c>
    </row>
    <row r="1327">
      <c r="A1327" t="inlineStr">
        <is>
          <t>CLAMIKI48T12</t>
        </is>
      </c>
      <c r="B1327" t="inlineStr">
        <is>
          <t>CLASICA ORIGINAL KIDS</t>
        </is>
      </c>
      <c r="C1327" t="inlineStr">
        <is>
          <t>Manufactura / Kids / P. Superiores</t>
        </is>
      </c>
      <c r="D1327" t="n">
        <v>536.53558265</v>
      </c>
      <c r="E1327" t="n">
        <v>0.0001313613861229958</v>
      </c>
      <c r="F1327" t="n">
        <v>0.9204050680820515</v>
      </c>
      <c r="G1327" t="inlineStr">
        <is>
          <t>B</t>
        </is>
      </c>
      <c r="H1327" t="n">
        <v>25</v>
      </c>
      <c r="I1327" t="n">
        <v>2.053774806</v>
      </c>
      <c r="J1327" t="n">
        <v>51.34437015</v>
      </c>
      <c r="K1327" t="n">
        <v>1.6</v>
      </c>
      <c r="L1327" t="n">
        <v>15.625</v>
      </c>
      <c r="M1327" t="n">
        <v>3</v>
      </c>
      <c r="N1327" t="n">
        <v>4.800000000000001</v>
      </c>
      <c r="O1327" t="n">
        <v>20.2</v>
      </c>
      <c r="P1327" t="n">
        <v>41.4862510812</v>
      </c>
      <c r="Q1327" t="n">
        <v>0.8079999999999999</v>
      </c>
      <c r="R1327" t="inlineStr">
        <is>
          <t>Sobrestock crítico</t>
        </is>
      </c>
    </row>
    <row r="1328">
      <c r="A1328" t="inlineStr">
        <is>
          <t>BAN28EQ</t>
        </is>
      </c>
      <c r="B1328" t="inlineStr">
        <is>
          <t>CUADRO BAND</t>
        </is>
      </c>
      <c r="C1328" t="inlineStr">
        <is>
          <t>Equipamiento / Accesorios</t>
        </is>
      </c>
      <c r="D1328" t="n">
        <v>535.4202208594376</v>
      </c>
      <c r="E1328" t="n">
        <v>0.0001310883092282384</v>
      </c>
      <c r="F1328" t="n">
        <v>0.9205361563912798</v>
      </c>
      <c r="G1328" t="inlineStr">
        <is>
          <t>B</t>
        </is>
      </c>
      <c r="H1328" t="n">
        <v>4175</v>
      </c>
      <c r="I1328" t="n">
        <v>0.3159183673</v>
      </c>
      <c r="J1328" t="n">
        <v>1318.9591834775</v>
      </c>
      <c r="K1328" t="n">
        <v>24.1</v>
      </c>
      <c r="L1328" t="n">
        <v>173.2365145228216</v>
      </c>
      <c r="M1328" t="n">
        <v>3</v>
      </c>
      <c r="N1328" t="n">
        <v>72.30000000000001</v>
      </c>
      <c r="O1328" t="n">
        <v>4102.7</v>
      </c>
      <c r="P1328" t="n">
        <v>1296.11828552171</v>
      </c>
      <c r="Q1328" t="n">
        <v>0.9826826347305389</v>
      </c>
      <c r="R1328" t="inlineStr">
        <is>
          <t>Sobrestock crítico</t>
        </is>
      </c>
    </row>
    <row r="1329">
      <c r="A1329" t="inlineStr">
        <is>
          <t>RIOMIKI30T12</t>
        </is>
      </c>
      <c r="B1329" t="inlineStr">
        <is>
          <t>RIO ORIGINAL KIDS</t>
        </is>
      </c>
      <c r="C1329" t="inlineStr">
        <is>
          <t>Manufactura / Kids / P. Superiores</t>
        </is>
      </c>
      <c r="D1329" t="n">
        <v>534.7444252500001</v>
      </c>
      <c r="E1329" t="n">
        <v>0.0001309228524517221</v>
      </c>
      <c r="F1329" t="n">
        <v>0.9206670792437315</v>
      </c>
      <c r="G1329" t="inlineStr">
        <is>
          <t>B</t>
        </is>
      </c>
      <c r="H1329" t="n">
        <v>3</v>
      </c>
      <c r="I1329" t="n">
        <v>3.617969464</v>
      </c>
      <c r="J1329" t="n">
        <v>10.853908392</v>
      </c>
      <c r="K1329" t="n">
        <v>1.3</v>
      </c>
      <c r="L1329" t="n">
        <v>2.307692307692307</v>
      </c>
      <c r="M1329" t="n">
        <v>3</v>
      </c>
      <c r="N1329" t="n">
        <v>3.9</v>
      </c>
      <c r="O1329" t="n">
        <v>0</v>
      </c>
      <c r="P1329" t="n">
        <v>0</v>
      </c>
      <c r="Q1329" t="n">
        <v>0</v>
      </c>
      <c r="R1329" t="inlineStr">
        <is>
          <t>OK</t>
        </is>
      </c>
    </row>
    <row r="1330">
      <c r="A1330" t="inlineStr">
        <is>
          <t>MAFMIDA11TM</t>
        </is>
      </c>
      <c r="B1330" t="inlineStr">
        <is>
          <t>MAFE ORIGINAL DAMA</t>
        </is>
      </c>
      <c r="C1330" t="inlineStr">
        <is>
          <t>Manufactura / Dama / P. Superiores</t>
        </is>
      </c>
      <c r="D1330" t="n">
        <v>533.52428094</v>
      </c>
      <c r="E1330" t="n">
        <v>0.0001306241213833369</v>
      </c>
      <c r="F1330" t="n">
        <v>0.9207977033651148</v>
      </c>
      <c r="G1330" t="inlineStr">
        <is>
          <t>B</t>
        </is>
      </c>
      <c r="H1330" t="n">
        <v>4</v>
      </c>
      <c r="I1330" t="n">
        <v>4.54817671</v>
      </c>
      <c r="J1330" t="n">
        <v>18.19270684</v>
      </c>
      <c r="K1330" t="n">
        <v>7</v>
      </c>
      <c r="L1330" t="n">
        <v>0.5714285714285714</v>
      </c>
      <c r="M1330" t="n">
        <v>3</v>
      </c>
      <c r="N1330" t="n">
        <v>21</v>
      </c>
      <c r="O1330" t="n">
        <v>0</v>
      </c>
      <c r="P1330" t="n">
        <v>0</v>
      </c>
      <c r="Q1330" t="n">
        <v>0</v>
      </c>
      <c r="R1330" t="inlineStr">
        <is>
          <t>Riesgo bajo stock</t>
        </is>
      </c>
    </row>
    <row r="1331">
      <c r="A1331" t="inlineStr">
        <is>
          <t>SHOSUKI155T2</t>
        </is>
      </c>
      <c r="B1331" t="inlineStr">
        <is>
          <t>SHORT PLAYA ESTAMPADO KIDS</t>
        </is>
      </c>
      <c r="C1331" t="inlineStr">
        <is>
          <t>Manufactura / Kids / P. Superiores</t>
        </is>
      </c>
      <c r="D1331" t="n">
        <v>533.0465202</v>
      </c>
      <c r="E1331" t="n">
        <v>0.0001305071499930489</v>
      </c>
      <c r="F1331" t="n">
        <v>0.9209282105151079</v>
      </c>
      <c r="G1331" t="inlineStr">
        <is>
          <t>B</t>
        </is>
      </c>
      <c r="H1331" t="n">
        <v>2</v>
      </c>
      <c r="I1331" t="n">
        <v>7.21</v>
      </c>
      <c r="J1331" t="n">
        <v>14.42</v>
      </c>
      <c r="K1331" t="n">
        <v>1.3</v>
      </c>
      <c r="L1331" t="n">
        <v>1.538461538461538</v>
      </c>
      <c r="M1331" t="n">
        <v>3</v>
      </c>
      <c r="N1331" t="n">
        <v>3.9</v>
      </c>
      <c r="O1331" t="n">
        <v>0</v>
      </c>
      <c r="P1331" t="n">
        <v>0</v>
      </c>
      <c r="Q1331" t="n">
        <v>0</v>
      </c>
      <c r="R1331" t="inlineStr">
        <is>
          <t>OK</t>
        </is>
      </c>
    </row>
    <row r="1332">
      <c r="A1332" t="inlineStr">
        <is>
          <t>MARMIKI53T10</t>
        </is>
      </c>
      <c r="B1332" t="inlineStr">
        <is>
          <t>MAR ORIGINAL KIDS</t>
        </is>
      </c>
      <c r="C1332" t="inlineStr">
        <is>
          <t>Manufactura / Kids / P. Superiores</t>
        </is>
      </c>
      <c r="D1332" t="n">
        <v>532.93372861</v>
      </c>
      <c r="E1332" t="n">
        <v>0.0001304795349380842</v>
      </c>
      <c r="F1332" t="n">
        <v>0.921058690050046</v>
      </c>
      <c r="G1332" t="inlineStr">
        <is>
          <t>B</t>
        </is>
      </c>
      <c r="H1332" t="n">
        <v>48</v>
      </c>
      <c r="I1332" t="n">
        <v>3.168013332</v>
      </c>
      <c r="J1332" t="n">
        <v>152.064639936</v>
      </c>
      <c r="K1332" t="n">
        <v>1.5</v>
      </c>
      <c r="L1332" t="n">
        <v>32</v>
      </c>
      <c r="M1332" t="n">
        <v>3</v>
      </c>
      <c r="N1332" t="n">
        <v>4.5</v>
      </c>
      <c r="O1332" t="n">
        <v>43.5</v>
      </c>
      <c r="P1332" t="n">
        <v>137.808579942</v>
      </c>
      <c r="Q1332" t="n">
        <v>0.90625</v>
      </c>
      <c r="R1332" t="inlineStr">
        <is>
          <t>Sobrestock crítico</t>
        </is>
      </c>
    </row>
    <row r="1333">
      <c r="A1333" t="inlineStr">
        <is>
          <t>ANDMIDA43TXS</t>
        </is>
      </c>
      <c r="B1333" t="inlineStr">
        <is>
          <t>ANDRE ORIGINAL DAMA</t>
        </is>
      </c>
      <c r="C1333" t="inlineStr">
        <is>
          <t>Manufactura / Dama / P. Superiores</t>
        </is>
      </c>
      <c r="D1333" t="n">
        <v>532.72104673</v>
      </c>
      <c r="E1333" t="n">
        <v>0.0001304274634866027</v>
      </c>
      <c r="F1333" t="n">
        <v>0.9211891175135326</v>
      </c>
      <c r="G1333" t="inlineStr">
        <is>
          <t>B</t>
        </is>
      </c>
      <c r="H1333" t="n">
        <v>65</v>
      </c>
      <c r="I1333" t="n">
        <v>3.274295302</v>
      </c>
      <c r="J1333" t="n">
        <v>212.82919463</v>
      </c>
      <c r="K1333" t="n">
        <v>1.5</v>
      </c>
      <c r="L1333" t="n">
        <v>43.33333333333334</v>
      </c>
      <c r="M1333" t="n">
        <v>3</v>
      </c>
      <c r="N1333" t="n">
        <v>4.5</v>
      </c>
      <c r="O1333" t="n">
        <v>60.5</v>
      </c>
      <c r="P1333" t="n">
        <v>198.094865771</v>
      </c>
      <c r="Q1333" t="n">
        <v>0.9307692307692307</v>
      </c>
      <c r="R1333" t="inlineStr">
        <is>
          <t>Sobrestock crítico</t>
        </is>
      </c>
    </row>
    <row r="1334">
      <c r="A1334" t="inlineStr">
        <is>
          <t>TMOFIDA12TS</t>
        </is>
      </c>
      <c r="B1334" t="inlineStr">
        <is>
          <t>TOP MOVA</t>
        </is>
      </c>
      <c r="C1334" t="inlineStr">
        <is>
          <t>Manufactura / Dama / P. Superiores</t>
        </is>
      </c>
      <c r="D1334" t="n">
        <v>531.5332243400001</v>
      </c>
      <c r="E1334" t="n">
        <v>0.0001301366458769902</v>
      </c>
      <c r="F1334" t="n">
        <v>0.9213192541594096</v>
      </c>
      <c r="G1334" t="inlineStr">
        <is>
          <t>B</t>
        </is>
      </c>
      <c r="H1334" t="n">
        <v>15</v>
      </c>
      <c r="I1334" t="n">
        <v>9.942967033</v>
      </c>
      <c r="J1334" t="n">
        <v>149.144505495</v>
      </c>
      <c r="K1334" t="n">
        <v>1.3</v>
      </c>
      <c r="L1334" t="n">
        <v>11.53846153846154</v>
      </c>
      <c r="M1334" t="n">
        <v>3</v>
      </c>
      <c r="N1334" t="n">
        <v>3.9</v>
      </c>
      <c r="O1334" t="n">
        <v>11.1</v>
      </c>
      <c r="P1334" t="n">
        <v>110.3669340663</v>
      </c>
      <c r="Q1334" t="n">
        <v>0.74</v>
      </c>
      <c r="R1334" t="inlineStr">
        <is>
          <t>Sobrestock crítico</t>
        </is>
      </c>
    </row>
    <row r="1335">
      <c r="A1335" t="inlineStr">
        <is>
          <t>CLAMEDA30TXS</t>
        </is>
      </c>
      <c r="B1335" t="inlineStr">
        <is>
          <t>CLÁSICA SPORT DAMA</t>
        </is>
      </c>
      <c r="C1335" t="inlineStr">
        <is>
          <t>Manufactura / Dama / P. Superiores</t>
        </is>
      </c>
      <c r="D1335" t="n">
        <v>531.35569192</v>
      </c>
      <c r="E1335" t="n">
        <v>0.0001300931801581691</v>
      </c>
      <c r="F1335" t="n">
        <v>0.9214493473395678</v>
      </c>
      <c r="G1335" t="inlineStr">
        <is>
          <t>B</t>
        </is>
      </c>
      <c r="H1335" t="n">
        <v>9</v>
      </c>
      <c r="I1335" t="n">
        <v>6.536105769</v>
      </c>
      <c r="J1335" t="n">
        <v>58.824951921</v>
      </c>
      <c r="K1335" t="n">
        <v>1.4</v>
      </c>
      <c r="L1335" t="n">
        <v>6.428571428571429</v>
      </c>
      <c r="M1335" t="n">
        <v>3</v>
      </c>
      <c r="N1335" t="n">
        <v>4.199999999999999</v>
      </c>
      <c r="O1335" t="n">
        <v>4.800000000000001</v>
      </c>
      <c r="P1335" t="n">
        <v>31.3733076912</v>
      </c>
      <c r="Q1335" t="n">
        <v>0.5333333333333334</v>
      </c>
      <c r="R1335" t="inlineStr">
        <is>
          <t>Sobrestock crítico</t>
        </is>
      </c>
    </row>
    <row r="1336">
      <c r="A1336" t="inlineStr">
        <is>
          <t>SHUNTDA31TM</t>
        </is>
      </c>
      <c r="B1336" t="inlineStr">
        <is>
          <t>SHORT SPORT R1 DAMA</t>
        </is>
      </c>
      <c r="C1336" t="inlineStr">
        <is>
          <t>Manufactura / Dama / P. Inferiores</t>
        </is>
      </c>
      <c r="D1336" t="n">
        <v>531.25469119</v>
      </c>
      <c r="E1336" t="n">
        <v>0.0001300684518897723</v>
      </c>
      <c r="F1336" t="n">
        <v>0.9215794157914576</v>
      </c>
      <c r="G1336" t="inlineStr">
        <is>
          <t>B</t>
        </is>
      </c>
      <c r="H1336" t="n">
        <v>23</v>
      </c>
      <c r="I1336" t="n">
        <v>8.33</v>
      </c>
      <c r="J1336" t="n">
        <v>191.59</v>
      </c>
      <c r="K1336" t="n">
        <v>1</v>
      </c>
      <c r="L1336" t="n">
        <v>23</v>
      </c>
      <c r="M1336" t="n">
        <v>3</v>
      </c>
      <c r="N1336" t="n">
        <v>3</v>
      </c>
      <c r="O1336" t="n">
        <v>20</v>
      </c>
      <c r="P1336" t="n">
        <v>166.6</v>
      </c>
      <c r="Q1336" t="n">
        <v>0.8695652173913043</v>
      </c>
      <c r="R1336" t="inlineStr">
        <is>
          <t>Sobrestock crítico</t>
        </is>
      </c>
    </row>
    <row r="1337">
      <c r="A1337" t="inlineStr">
        <is>
          <t>RIOMIDA04TM</t>
        </is>
      </c>
      <c r="B1337" t="inlineStr">
        <is>
          <t>RIO ORIGINAL DAMA</t>
        </is>
      </c>
      <c r="C1337" t="inlineStr">
        <is>
          <t>Manufactura / Dama / P. Superiores</t>
        </is>
      </c>
      <c r="D1337" t="n">
        <v>531.0013354499999</v>
      </c>
      <c r="E1337" t="n">
        <v>0.0001300064221525752</v>
      </c>
      <c r="F1337" t="n">
        <v>0.9217094222136101</v>
      </c>
      <c r="G1337" t="inlineStr">
        <is>
          <t>B</t>
        </is>
      </c>
      <c r="H1337" t="n">
        <v>13</v>
      </c>
      <c r="I1337" t="n">
        <v>5.538832275</v>
      </c>
      <c r="J1337" t="n">
        <v>72.004819575</v>
      </c>
      <c r="K1337" t="n">
        <v>0.9</v>
      </c>
      <c r="L1337" t="n">
        <v>14.44444444444444</v>
      </c>
      <c r="M1337" t="n">
        <v>3</v>
      </c>
      <c r="N1337" t="n">
        <v>2.7</v>
      </c>
      <c r="O1337" t="n">
        <v>10.3</v>
      </c>
      <c r="P1337" t="n">
        <v>57.04997243250001</v>
      </c>
      <c r="Q1337" t="n">
        <v>0.7923076923076924</v>
      </c>
      <c r="R1337" t="inlineStr">
        <is>
          <t>Sobrestock crítico</t>
        </is>
      </c>
    </row>
    <row r="1338">
      <c r="A1338" t="inlineStr">
        <is>
          <t>CLAMEDA12TS</t>
        </is>
      </c>
      <c r="B1338" t="inlineStr">
        <is>
          <t>CLÁSICA SPORT DAMA</t>
        </is>
      </c>
      <c r="C1338" t="inlineStr">
        <is>
          <t>Manufactura / Dama / P. Superiores</t>
        </is>
      </c>
      <c r="D1338" t="n">
        <v>528.62509534</v>
      </c>
      <c r="E1338" t="n">
        <v>0.0001294246411771758</v>
      </c>
      <c r="F1338" t="n">
        <v>0.9218388468547873</v>
      </c>
      <c r="G1338" t="inlineStr">
        <is>
          <t>B</t>
        </is>
      </c>
      <c r="H1338" t="n">
        <v>2</v>
      </c>
      <c r="I1338" t="n">
        <v>6.536105769</v>
      </c>
      <c r="J1338" t="n">
        <v>13.072211538</v>
      </c>
      <c r="K1338" t="n">
        <v>1.2</v>
      </c>
      <c r="L1338" t="n">
        <v>1.666666666666667</v>
      </c>
      <c r="M1338" t="n">
        <v>3</v>
      </c>
      <c r="N1338" t="n">
        <v>3.6</v>
      </c>
      <c r="O1338" t="n">
        <v>0</v>
      </c>
      <c r="P1338" t="n">
        <v>0</v>
      </c>
      <c r="Q1338" t="n">
        <v>0</v>
      </c>
      <c r="R1338" t="inlineStr">
        <is>
          <t>OK</t>
        </is>
      </c>
    </row>
    <row r="1339">
      <c r="A1339" t="inlineStr">
        <is>
          <t>ANDMIDA53TS</t>
        </is>
      </c>
      <c r="B1339" t="inlineStr">
        <is>
          <t>ANDRE ORIGINAL DAMA</t>
        </is>
      </c>
      <c r="C1339" t="inlineStr">
        <is>
          <t>Manufactura / Dama / P. Superiores</t>
        </is>
      </c>
      <c r="D1339" t="n">
        <v>527.7030393</v>
      </c>
      <c r="E1339" t="n">
        <v>0.000129198891826314</v>
      </c>
      <c r="F1339" t="n">
        <v>0.9219680457466136</v>
      </c>
      <c r="G1339" t="inlineStr">
        <is>
          <t>B</t>
        </is>
      </c>
      <c r="H1339" t="n">
        <v>18</v>
      </c>
      <c r="I1339" t="n">
        <v>3.274295302</v>
      </c>
      <c r="J1339" t="n">
        <v>58.937315436</v>
      </c>
      <c r="K1339" t="n">
        <v>1.6</v>
      </c>
      <c r="L1339" t="n">
        <v>11.25</v>
      </c>
      <c r="M1339" t="n">
        <v>3</v>
      </c>
      <c r="N1339" t="n">
        <v>4.800000000000001</v>
      </c>
      <c r="O1339" t="n">
        <v>13.2</v>
      </c>
      <c r="P1339" t="n">
        <v>43.2206979864</v>
      </c>
      <c r="Q1339" t="n">
        <v>0.7333333333333333</v>
      </c>
      <c r="R1339" t="inlineStr">
        <is>
          <t>Sobrestock crítico</t>
        </is>
      </c>
    </row>
    <row r="1340">
      <c r="A1340" t="inlineStr">
        <is>
          <t>SABMEDA16TL</t>
        </is>
      </c>
      <c r="B1340" t="inlineStr">
        <is>
          <t>SABRI SPORT DAMA</t>
        </is>
      </c>
      <c r="C1340" t="inlineStr">
        <is>
          <t>Manufactura / Dama / P. Superiores</t>
        </is>
      </c>
      <c r="D1340" t="n">
        <v>524.5842541</v>
      </c>
      <c r="E1340" t="n">
        <v>0.0001284353116274604</v>
      </c>
      <c r="F1340" t="n">
        <v>0.922096481058241</v>
      </c>
      <c r="G1340" t="inlineStr">
        <is>
          <t>B</t>
        </is>
      </c>
      <c r="H1340" t="n">
        <v>16</v>
      </c>
      <c r="I1340" t="n">
        <v>4.51</v>
      </c>
      <c r="J1340" t="n">
        <v>72.16</v>
      </c>
      <c r="K1340" t="n">
        <v>1.3</v>
      </c>
      <c r="L1340" t="n">
        <v>12.30769230769231</v>
      </c>
      <c r="M1340" t="n">
        <v>3</v>
      </c>
      <c r="N1340" t="n">
        <v>3.9</v>
      </c>
      <c r="O1340" t="n">
        <v>12.1</v>
      </c>
      <c r="P1340" t="n">
        <v>54.571</v>
      </c>
      <c r="Q1340" t="n">
        <v>0.75625</v>
      </c>
      <c r="R1340" t="inlineStr">
        <is>
          <t>Sobrestock crítico</t>
        </is>
      </c>
    </row>
    <row r="1341">
      <c r="A1341" t="inlineStr">
        <is>
          <t>CLADFCA70TXL</t>
        </is>
      </c>
      <c r="B1341" t="inlineStr">
        <is>
          <t>CLASICA ADVANCE CAB</t>
        </is>
      </c>
      <c r="C1341" t="inlineStr">
        <is>
          <t>Manufactura / Caballero / P. Superiores</t>
        </is>
      </c>
      <c r="D1341" t="n">
        <v>524.17612248</v>
      </c>
      <c r="E1341" t="n">
        <v>0.0001283353877136372</v>
      </c>
      <c r="F1341" t="n">
        <v>0.9222248164459547</v>
      </c>
      <c r="G1341" t="inlineStr">
        <is>
          <t>B</t>
        </is>
      </c>
      <c r="H1341" t="n">
        <v>6</v>
      </c>
      <c r="I1341" t="n">
        <v>15.51</v>
      </c>
      <c r="J1341" t="n">
        <v>93.05999999999999</v>
      </c>
      <c r="K1341" t="n">
        <v>0.9</v>
      </c>
      <c r="L1341" t="n">
        <v>6.666666666666666</v>
      </c>
      <c r="M1341" t="n">
        <v>3</v>
      </c>
      <c r="N1341" t="n">
        <v>2.7</v>
      </c>
      <c r="O1341" t="n">
        <v>3.3</v>
      </c>
      <c r="P1341" t="n">
        <v>51.18299999999999</v>
      </c>
      <c r="Q1341" t="n">
        <v>0.55</v>
      </c>
      <c r="R1341" t="inlineStr">
        <is>
          <t>Sobrestock crítico</t>
        </is>
      </c>
    </row>
    <row r="1342">
      <c r="A1342" t="inlineStr">
        <is>
          <t>MARMICA11T3XL</t>
        </is>
      </c>
      <c r="B1342" t="inlineStr">
        <is>
          <t>MAR ORIGINAL CAB</t>
        </is>
      </c>
      <c r="C1342" t="inlineStr">
        <is>
          <t>Manufactura / Caballero / P. Superiores</t>
        </is>
      </c>
      <c r="D1342" t="n">
        <v>520.09916645</v>
      </c>
      <c r="E1342" t="n">
        <v>0.0001273372160870358</v>
      </c>
      <c r="F1342" t="n">
        <v>0.9223521536620417</v>
      </c>
      <c r="G1342" t="inlineStr">
        <is>
          <t>B</t>
        </is>
      </c>
      <c r="H1342" t="n">
        <v>6</v>
      </c>
      <c r="I1342" t="n">
        <v>4.946357428</v>
      </c>
      <c r="J1342" t="n">
        <v>29.678144568</v>
      </c>
      <c r="K1342" t="n">
        <v>1</v>
      </c>
      <c r="L1342" t="n">
        <v>6</v>
      </c>
      <c r="M1342" t="n">
        <v>3</v>
      </c>
      <c r="N1342" t="n">
        <v>3</v>
      </c>
      <c r="O1342" t="n">
        <v>3</v>
      </c>
      <c r="P1342" t="n">
        <v>14.839072284</v>
      </c>
      <c r="Q1342" t="n">
        <v>0.5</v>
      </c>
      <c r="R1342" t="inlineStr">
        <is>
          <t>Sobrestock crítico</t>
        </is>
      </c>
    </row>
    <row r="1343">
      <c r="A1343" t="inlineStr">
        <is>
          <t>CLAMECA13T2XL</t>
        </is>
      </c>
      <c r="B1343" t="inlineStr">
        <is>
          <t>CLASICA SPORT CAB</t>
        </is>
      </c>
      <c r="C1343" t="inlineStr">
        <is>
          <t>Manufactura / Caballero / P. Superiores</t>
        </is>
      </c>
      <c r="D1343" t="n">
        <v>517.85193835</v>
      </c>
      <c r="E1343" t="n">
        <v>0.000126787021453732</v>
      </c>
      <c r="F1343" t="n">
        <v>0.9224789406834955</v>
      </c>
      <c r="G1343" t="inlineStr">
        <is>
          <t>B</t>
        </is>
      </c>
      <c r="H1343" t="n">
        <v>0</v>
      </c>
      <c r="I1343" t="n">
        <v>10.3013454</v>
      </c>
      <c r="J1343" t="n">
        <v>0</v>
      </c>
      <c r="K1343" t="n">
        <v>1.2</v>
      </c>
      <c r="L1343" t="n">
        <v>0</v>
      </c>
      <c r="M1343" t="n">
        <v>3</v>
      </c>
      <c r="N1343" t="n">
        <v>3.6</v>
      </c>
      <c r="O1343" t="n">
        <v>0</v>
      </c>
      <c r="P1343" t="n">
        <v>0</v>
      </c>
      <c r="Q1343" t="n">
        <v>0</v>
      </c>
      <c r="R1343" t="inlineStr">
        <is>
          <t>Sin rotación</t>
        </is>
      </c>
    </row>
    <row r="1344">
      <c r="A1344" t="inlineStr">
        <is>
          <t>SHONTDA12TM</t>
        </is>
      </c>
      <c r="B1344" t="inlineStr">
        <is>
          <t>EXPLORE SHORT DAMA</t>
        </is>
      </c>
      <c r="C1344" t="inlineStr">
        <is>
          <t>Manufactura / Dama / P. Inferiores</t>
        </is>
      </c>
      <c r="D1344" t="n">
        <v>517.2028196700001</v>
      </c>
      <c r="E1344" t="n">
        <v>0.0001266280960584358</v>
      </c>
      <c r="F1344" t="n">
        <v>0.9226055687795538</v>
      </c>
      <c r="G1344" t="inlineStr">
        <is>
          <t>B</t>
        </is>
      </c>
      <c r="H1344" t="n">
        <v>53</v>
      </c>
      <c r="I1344" t="n">
        <v>10.22113744</v>
      </c>
      <c r="J1344" t="n">
        <v>541.72028432</v>
      </c>
      <c r="K1344" t="n">
        <v>1.1</v>
      </c>
      <c r="L1344" t="n">
        <v>48.18181818181818</v>
      </c>
      <c r="M1344" t="n">
        <v>3</v>
      </c>
      <c r="N1344" t="n">
        <v>3.3</v>
      </c>
      <c r="O1344" t="n">
        <v>49.7</v>
      </c>
      <c r="P1344" t="n">
        <v>507.990530768</v>
      </c>
      <c r="Q1344" t="n">
        <v>0.9377358490566037</v>
      </c>
      <c r="R1344" t="inlineStr">
        <is>
          <t>Sobrestock crítico</t>
        </is>
      </c>
    </row>
    <row r="1345">
      <c r="A1345" t="inlineStr">
        <is>
          <t>SUC50EQ</t>
        </is>
      </c>
      <c r="B1345" t="inlineStr">
        <is>
          <t>SUNNY CORD 2.0</t>
        </is>
      </c>
      <c r="C1345" t="inlineStr">
        <is>
          <t>Equipamiento / Accesorios</t>
        </is>
      </c>
      <c r="D1345" t="n">
        <v>516.706513128</v>
      </c>
      <c r="E1345" t="n">
        <v>0.0001265065840517632</v>
      </c>
      <c r="F1345" t="n">
        <v>0.9227320753636057</v>
      </c>
      <c r="G1345" t="inlineStr">
        <is>
          <t>B</t>
        </is>
      </c>
      <c r="H1345" t="n">
        <v>328</v>
      </c>
      <c r="I1345" t="n">
        <v>0.66</v>
      </c>
      <c r="J1345" t="n">
        <v>216.48</v>
      </c>
      <c r="K1345" t="n">
        <v>12.5</v>
      </c>
      <c r="L1345" t="n">
        <v>26.24</v>
      </c>
      <c r="M1345" t="n">
        <v>3</v>
      </c>
      <c r="N1345" t="n">
        <v>37.5</v>
      </c>
      <c r="O1345" t="n">
        <v>290.5</v>
      </c>
      <c r="P1345" t="n">
        <v>191.73</v>
      </c>
      <c r="Q1345" t="n">
        <v>0.8856707317073171</v>
      </c>
      <c r="R1345" t="inlineStr">
        <is>
          <t>Sobrestock crítico</t>
        </is>
      </c>
    </row>
    <row r="1346">
      <c r="A1346" t="inlineStr">
        <is>
          <t>SHOUNKI13T12</t>
        </is>
      </c>
      <c r="B1346" t="inlineStr">
        <is>
          <t>SHORT PLAYA KIDS</t>
        </is>
      </c>
      <c r="C1346" t="inlineStr">
        <is>
          <t>Manufactura / Kids / P. Inferiores</t>
        </is>
      </c>
      <c r="D1346" t="n">
        <v>516.49859484</v>
      </c>
      <c r="E1346" t="n">
        <v>0.0001264556788827582</v>
      </c>
      <c r="F1346" t="n">
        <v>0.9228585310424884</v>
      </c>
      <c r="G1346" t="inlineStr">
        <is>
          <t>B</t>
        </is>
      </c>
      <c r="H1346" t="n">
        <v>5</v>
      </c>
      <c r="I1346" t="n">
        <v>6.09</v>
      </c>
      <c r="J1346" t="n">
        <v>30.45</v>
      </c>
      <c r="K1346" t="n">
        <v>1.3</v>
      </c>
      <c r="L1346" t="n">
        <v>3.846153846153846</v>
      </c>
      <c r="M1346" t="n">
        <v>3</v>
      </c>
      <c r="N1346" t="n">
        <v>3.9</v>
      </c>
      <c r="O1346" t="n">
        <v>1.1</v>
      </c>
      <c r="P1346" t="n">
        <v>6.698999999999998</v>
      </c>
      <c r="Q1346" t="n">
        <v>0.2199999999999999</v>
      </c>
      <c r="R1346" t="inlineStr">
        <is>
          <t>Sobrestock</t>
        </is>
      </c>
    </row>
    <row r="1347">
      <c r="A1347" t="inlineStr">
        <is>
          <t>SHOUNKI33T14</t>
        </is>
      </c>
      <c r="B1347" t="inlineStr">
        <is>
          <t>SHORT PLAYA KIDS</t>
        </is>
      </c>
      <c r="C1347" t="inlineStr">
        <is>
          <t>Manufactura / Kids / P. Inferiores</t>
        </is>
      </c>
      <c r="D1347" t="n">
        <v>515.46055526</v>
      </c>
      <c r="E1347" t="n">
        <v>0.0001262015329836068</v>
      </c>
      <c r="F1347" t="n">
        <v>0.9229847325754721</v>
      </c>
      <c r="G1347" t="inlineStr">
        <is>
          <t>B</t>
        </is>
      </c>
      <c r="H1347" t="n">
        <v>0</v>
      </c>
      <c r="I1347" t="n">
        <v>6.09</v>
      </c>
      <c r="J1347" t="n">
        <v>0</v>
      </c>
      <c r="K1347" t="n">
        <v>1.3</v>
      </c>
      <c r="L1347" t="n">
        <v>0</v>
      </c>
      <c r="M1347" t="n">
        <v>3</v>
      </c>
      <c r="N1347" t="n">
        <v>3.9</v>
      </c>
      <c r="O1347" t="n">
        <v>0</v>
      </c>
      <c r="P1347" t="n">
        <v>0</v>
      </c>
      <c r="Q1347" t="n">
        <v>0</v>
      </c>
      <c r="R1347" t="inlineStr">
        <is>
          <t>Riesgo bajo stock</t>
        </is>
      </c>
    </row>
    <row r="1348">
      <c r="A1348" t="inlineStr">
        <is>
          <t>SABMEDA16TS</t>
        </is>
      </c>
      <c r="B1348" t="inlineStr">
        <is>
          <t>SABRI SPORT DAMA</t>
        </is>
      </c>
      <c r="C1348" t="inlineStr">
        <is>
          <t>Manufactura / Dama / P. Superiores</t>
        </is>
      </c>
      <c r="D1348" t="n">
        <v>514.72319108</v>
      </c>
      <c r="E1348" t="n">
        <v>0.0001260210022156681</v>
      </c>
      <c r="F1348" t="n">
        <v>0.9231107535776877</v>
      </c>
      <c r="G1348" t="inlineStr">
        <is>
          <t>B</t>
        </is>
      </c>
      <c r="H1348" t="n">
        <v>47</v>
      </c>
      <c r="I1348" t="n">
        <v>4.51</v>
      </c>
      <c r="J1348" t="n">
        <v>211.97</v>
      </c>
      <c r="K1348" t="n">
        <v>1.5</v>
      </c>
      <c r="L1348" t="n">
        <v>31.33333333333333</v>
      </c>
      <c r="M1348" t="n">
        <v>3</v>
      </c>
      <c r="N1348" t="n">
        <v>4.5</v>
      </c>
      <c r="O1348" t="n">
        <v>42.5</v>
      </c>
      <c r="P1348" t="n">
        <v>191.675</v>
      </c>
      <c r="Q1348" t="n">
        <v>0.9042553191489361</v>
      </c>
      <c r="R1348" t="inlineStr">
        <is>
          <t>Sobrestock crítico</t>
        </is>
      </c>
    </row>
    <row r="1349">
      <c r="A1349" t="inlineStr">
        <is>
          <t>MARMIKI04T8</t>
        </is>
      </c>
      <c r="B1349" t="inlineStr">
        <is>
          <t>MAR ORIGINAL KIDS</t>
        </is>
      </c>
      <c r="C1349" t="inlineStr">
        <is>
          <t>Manufactura / Kids / P. Superiores</t>
        </is>
      </c>
      <c r="D1349" t="n">
        <v>514.30106644</v>
      </c>
      <c r="E1349" t="n">
        <v>0.0001259176523547824</v>
      </c>
      <c r="F1349" t="n">
        <v>0.9232366712300425</v>
      </c>
      <c r="G1349" t="inlineStr">
        <is>
          <t>B</t>
        </is>
      </c>
      <c r="H1349" t="n">
        <v>0</v>
      </c>
      <c r="I1349" t="n">
        <v>3.168013332</v>
      </c>
      <c r="J1349" t="n">
        <v>0</v>
      </c>
      <c r="K1349" t="n">
        <v>1.4</v>
      </c>
      <c r="L1349" t="n">
        <v>0</v>
      </c>
      <c r="M1349" t="n">
        <v>3</v>
      </c>
      <c r="N1349" t="n">
        <v>4.199999999999999</v>
      </c>
      <c r="O1349" t="n">
        <v>0</v>
      </c>
      <c r="P1349" t="n">
        <v>0</v>
      </c>
      <c r="Q1349" t="n">
        <v>0</v>
      </c>
      <c r="R1349" t="inlineStr">
        <is>
          <t>Riesgo bajo stock</t>
        </is>
      </c>
    </row>
    <row r="1350">
      <c r="A1350" t="inlineStr">
        <is>
          <t>MARMIKI50T2</t>
        </is>
      </c>
      <c r="B1350" t="inlineStr">
        <is>
          <t>MAR ORIGINAL KIDS</t>
        </is>
      </c>
      <c r="C1350" t="inlineStr">
        <is>
          <t>Manufactura / Kids / P. Superiores</t>
        </is>
      </c>
      <c r="D1350" t="n">
        <v>513.40208259</v>
      </c>
      <c r="E1350" t="n">
        <v>0.0001256975518275165</v>
      </c>
      <c r="F1350" t="n">
        <v>0.9233623687818699</v>
      </c>
      <c r="G1350" t="inlineStr">
        <is>
          <t>B</t>
        </is>
      </c>
      <c r="H1350" t="n">
        <v>30</v>
      </c>
      <c r="I1350" t="n">
        <v>3.168013332</v>
      </c>
      <c r="J1350" t="n">
        <v>95.04039996</v>
      </c>
      <c r="K1350" t="n">
        <v>1.6</v>
      </c>
      <c r="L1350" t="n">
        <v>18.75</v>
      </c>
      <c r="M1350" t="n">
        <v>3</v>
      </c>
      <c r="N1350" t="n">
        <v>4.800000000000001</v>
      </c>
      <c r="O1350" t="n">
        <v>25.2</v>
      </c>
      <c r="P1350" t="n">
        <v>79.83393596640001</v>
      </c>
      <c r="Q1350" t="n">
        <v>0.8400000000000001</v>
      </c>
      <c r="R1350" t="inlineStr">
        <is>
          <t>Sobrestock crítico</t>
        </is>
      </c>
    </row>
    <row r="1351">
      <c r="A1351" t="inlineStr">
        <is>
          <t>CLAMICA04TM</t>
        </is>
      </c>
      <c r="B1351" t="inlineStr">
        <is>
          <t>CLASICA ORIGINAL CAB</t>
        </is>
      </c>
      <c r="C1351" t="inlineStr">
        <is>
          <t>Manufactura / Caballero / P. Superiores</t>
        </is>
      </c>
      <c r="D1351" t="n">
        <v>513.3550417484145</v>
      </c>
      <c r="E1351" t="n">
        <v>0.00012568603469733</v>
      </c>
      <c r="F1351" t="n">
        <v>0.9234880548165674</v>
      </c>
      <c r="G1351" t="inlineStr">
        <is>
          <t>B</t>
        </is>
      </c>
      <c r="H1351" t="n">
        <v>26</v>
      </c>
      <c r="I1351" t="n">
        <v>4.598442536000001</v>
      </c>
      <c r="J1351" t="n">
        <v>119.559505936</v>
      </c>
      <c r="K1351" t="n">
        <v>2</v>
      </c>
      <c r="L1351" t="n">
        <v>13</v>
      </c>
      <c r="M1351" t="n">
        <v>3</v>
      </c>
      <c r="N1351" t="n">
        <v>6</v>
      </c>
      <c r="O1351" t="n">
        <v>20</v>
      </c>
      <c r="P1351" t="n">
        <v>91.96885072000002</v>
      </c>
      <c r="Q1351" t="n">
        <v>0.7692307692307692</v>
      </c>
      <c r="R1351" t="inlineStr">
        <is>
          <t>Sobrestock crítico</t>
        </is>
      </c>
    </row>
    <row r="1352">
      <c r="A1352" t="inlineStr">
        <is>
          <t>LMOFIDA66TM</t>
        </is>
      </c>
      <c r="B1352" t="inlineStr">
        <is>
          <t>LEGGING MOVA</t>
        </is>
      </c>
      <c r="C1352" t="inlineStr">
        <is>
          <t>Manufactura / Dama / P. Inferiores</t>
        </is>
      </c>
      <c r="D1352" t="n">
        <v>513.35487097</v>
      </c>
      <c r="E1352" t="n">
        <v>0.0001256859928852117</v>
      </c>
      <c r="F1352" t="n">
        <v>0.9236137408094525</v>
      </c>
      <c r="G1352" t="inlineStr">
        <is>
          <t>B</t>
        </is>
      </c>
      <c r="H1352" t="n">
        <v>16</v>
      </c>
      <c r="I1352" t="n">
        <v>17.7</v>
      </c>
      <c r="J1352" t="n">
        <v>283.2</v>
      </c>
      <c r="K1352" t="n">
        <v>0.9</v>
      </c>
      <c r="L1352" t="n">
        <v>17.77777777777778</v>
      </c>
      <c r="M1352" t="n">
        <v>3</v>
      </c>
      <c r="N1352" t="n">
        <v>2.7</v>
      </c>
      <c r="O1352" t="n">
        <v>13.3</v>
      </c>
      <c r="P1352" t="n">
        <v>235.41</v>
      </c>
      <c r="Q1352" t="n">
        <v>0.83125</v>
      </c>
      <c r="R1352" t="inlineStr">
        <is>
          <t>Sobrestock crítico</t>
        </is>
      </c>
    </row>
    <row r="1353">
      <c r="A1353" t="inlineStr">
        <is>
          <t>JAPCA01TS</t>
        </is>
      </c>
      <c r="B1353" t="inlineStr">
        <is>
          <t>CUADRO JACKET 2.0 CAB</t>
        </is>
      </c>
      <c r="C1353" t="inlineStr">
        <is>
          <t>Equipamiento / Ropa</t>
        </is>
      </c>
      <c r="D1353" t="n">
        <v>513.18683895</v>
      </c>
      <c r="E1353" t="n">
        <v>0.000125644853173748</v>
      </c>
      <c r="F1353" t="n">
        <v>0.9237393856626263</v>
      </c>
      <c r="G1353" t="inlineStr">
        <is>
          <t>B</t>
        </is>
      </c>
      <c r="H1353" t="n">
        <v>291</v>
      </c>
      <c r="I1353" t="n">
        <v>20.25000225</v>
      </c>
      <c r="J1353" t="n">
        <v>5892.750654750001</v>
      </c>
      <c r="K1353" t="n">
        <v>0.7</v>
      </c>
      <c r="L1353" t="n">
        <v>415.7142857142857</v>
      </c>
      <c r="M1353" t="n">
        <v>3</v>
      </c>
      <c r="N1353" t="n">
        <v>2.1</v>
      </c>
      <c r="O1353" t="n">
        <v>288.9</v>
      </c>
      <c r="P1353" t="n">
        <v>5850.225650025</v>
      </c>
      <c r="Q1353" t="n">
        <v>0.992783505154639</v>
      </c>
      <c r="R1353" t="inlineStr">
        <is>
          <t>Sobrestock crítico</t>
        </is>
      </c>
    </row>
    <row r="1354">
      <c r="A1354" t="inlineStr">
        <is>
          <t>MAFMIDA30TM</t>
        </is>
      </c>
      <c r="B1354" t="inlineStr">
        <is>
          <t>MAFE ORIGINAL DAMA</t>
        </is>
      </c>
      <c r="C1354" t="inlineStr">
        <is>
          <t>Manufactura / Dama / P. Superiores</t>
        </is>
      </c>
      <c r="D1354" t="n">
        <v>512.8810714799999</v>
      </c>
      <c r="E1354" t="n">
        <v>0.0001255699913379455</v>
      </c>
      <c r="F1354" t="n">
        <v>0.9238649556539642</v>
      </c>
      <c r="G1354" t="inlineStr">
        <is>
          <t>B</t>
        </is>
      </c>
      <c r="H1354" t="n">
        <v>4</v>
      </c>
      <c r="I1354" t="n">
        <v>4.54817671</v>
      </c>
      <c r="J1354" t="n">
        <v>18.19270684</v>
      </c>
      <c r="K1354" t="n">
        <v>1.6</v>
      </c>
      <c r="L1354" t="n">
        <v>2.5</v>
      </c>
      <c r="M1354" t="n">
        <v>3</v>
      </c>
      <c r="N1354" t="n">
        <v>4.800000000000001</v>
      </c>
      <c r="O1354" t="n">
        <v>0</v>
      </c>
      <c r="P1354" t="n">
        <v>0</v>
      </c>
      <c r="Q1354" t="n">
        <v>0</v>
      </c>
      <c r="R1354" t="inlineStr">
        <is>
          <t>OK</t>
        </is>
      </c>
    </row>
    <row r="1355">
      <c r="A1355" t="inlineStr">
        <is>
          <t>ZOEMIKI34T10</t>
        </is>
      </c>
      <c r="B1355" t="inlineStr">
        <is>
          <t>ZOE ORIGINAL KIDS</t>
        </is>
      </c>
      <c r="C1355" t="inlineStr">
        <is>
          <t>Manufactura / Kids / P. Superiores</t>
        </is>
      </c>
      <c r="D1355" t="n">
        <v>512.8645143700001</v>
      </c>
      <c r="E1355" t="n">
        <v>0.0001255659376181362</v>
      </c>
      <c r="F1355" t="n">
        <v>0.9239905215915823</v>
      </c>
      <c r="G1355" t="inlineStr">
        <is>
          <t>B</t>
        </is>
      </c>
      <c r="H1355" t="n">
        <v>15</v>
      </c>
      <c r="I1355" t="n">
        <v>4.12</v>
      </c>
      <c r="J1355" t="n">
        <v>61.8</v>
      </c>
      <c r="K1355" t="n">
        <v>1.5</v>
      </c>
      <c r="L1355" t="n">
        <v>10</v>
      </c>
      <c r="M1355" t="n">
        <v>3</v>
      </c>
      <c r="N1355" t="n">
        <v>4.5</v>
      </c>
      <c r="O1355" t="n">
        <v>10.5</v>
      </c>
      <c r="P1355" t="n">
        <v>43.26</v>
      </c>
      <c r="Q1355" t="n">
        <v>0.7</v>
      </c>
      <c r="R1355" t="inlineStr">
        <is>
          <t>Sobrestock crítico</t>
        </is>
      </c>
    </row>
    <row r="1356">
      <c r="A1356" t="inlineStr">
        <is>
          <t>RIOMIDA66TXS</t>
        </is>
      </c>
      <c r="B1356" t="inlineStr">
        <is>
          <t>RIO ORIGINAL DAMA</t>
        </is>
      </c>
      <c r="C1356" t="inlineStr">
        <is>
          <t>Manufactura / Dama / P. Superiores</t>
        </is>
      </c>
      <c r="D1356" t="n">
        <v>512.46948305</v>
      </c>
      <c r="E1356" t="n">
        <v>0.0001254692210844426</v>
      </c>
      <c r="F1356" t="n">
        <v>0.9241159908126667</v>
      </c>
      <c r="G1356" t="inlineStr">
        <is>
          <t>B</t>
        </is>
      </c>
      <c r="H1356" t="n">
        <v>21</v>
      </c>
      <c r="I1356" t="n">
        <v>5.538832275</v>
      </c>
      <c r="J1356" t="n">
        <v>116.315477775</v>
      </c>
      <c r="K1356" t="n">
        <v>1</v>
      </c>
      <c r="L1356" t="n">
        <v>21</v>
      </c>
      <c r="M1356" t="n">
        <v>3</v>
      </c>
      <c r="N1356" t="n">
        <v>3</v>
      </c>
      <c r="O1356" t="n">
        <v>18</v>
      </c>
      <c r="P1356" t="n">
        <v>99.69898094999999</v>
      </c>
      <c r="Q1356" t="n">
        <v>0.8571428571428571</v>
      </c>
      <c r="R1356" t="inlineStr">
        <is>
          <t>Sobrestock crítico</t>
        </is>
      </c>
    </row>
    <row r="1357">
      <c r="A1357" t="inlineStr">
        <is>
          <t>SHOUNCA38T2XL</t>
        </is>
      </c>
      <c r="B1357" t="inlineStr">
        <is>
          <t>SHORT PLAYA CAB</t>
        </is>
      </c>
      <c r="C1357" t="inlineStr">
        <is>
          <t>Manufactura / Caballero / P. Inferiores</t>
        </is>
      </c>
      <c r="D1357" t="n">
        <v>511.78338141</v>
      </c>
      <c r="E1357" t="n">
        <v>0.0001253012410559671</v>
      </c>
      <c r="F1357" t="n">
        <v>0.9242412920537227</v>
      </c>
      <c r="G1357" t="inlineStr">
        <is>
          <t>B</t>
        </is>
      </c>
      <c r="H1357" t="n">
        <v>28</v>
      </c>
      <c r="I1357" t="n">
        <v>9.99</v>
      </c>
      <c r="J1357" t="n">
        <v>279.72</v>
      </c>
      <c r="K1357" t="n">
        <v>1</v>
      </c>
      <c r="L1357" t="n">
        <v>28</v>
      </c>
      <c r="M1357" t="n">
        <v>3</v>
      </c>
      <c r="N1357" t="n">
        <v>3</v>
      </c>
      <c r="O1357" t="n">
        <v>25</v>
      </c>
      <c r="P1357" t="n">
        <v>249.75</v>
      </c>
      <c r="Q1357" t="n">
        <v>0.8928571428571428</v>
      </c>
      <c r="R1357" t="inlineStr">
        <is>
          <t>Sobrestock crítico</t>
        </is>
      </c>
    </row>
    <row r="1358">
      <c r="A1358" t="inlineStr">
        <is>
          <t>ANDMIDA43TL</t>
        </is>
      </c>
      <c r="B1358" t="inlineStr">
        <is>
          <t>ANDRE ORIGINAL DAMA</t>
        </is>
      </c>
      <c r="C1358" t="inlineStr">
        <is>
          <t>Manufactura / Dama / P. Superiores</t>
        </is>
      </c>
      <c r="D1358" t="n">
        <v>510.31445456</v>
      </c>
      <c r="E1358" t="n">
        <v>0.0001249415999186986</v>
      </c>
      <c r="F1358" t="n">
        <v>0.9243662336536415</v>
      </c>
      <c r="G1358" t="inlineStr">
        <is>
          <t>B</t>
        </is>
      </c>
      <c r="H1358" t="n">
        <v>28</v>
      </c>
      <c r="I1358" t="n">
        <v>3.274295302</v>
      </c>
      <c r="J1358" t="n">
        <v>91.68026845600001</v>
      </c>
      <c r="K1358" t="n">
        <v>1.2</v>
      </c>
      <c r="L1358" t="n">
        <v>23.33333333333334</v>
      </c>
      <c r="M1358" t="n">
        <v>3</v>
      </c>
      <c r="N1358" t="n">
        <v>3.6</v>
      </c>
      <c r="O1358" t="n">
        <v>24.4</v>
      </c>
      <c r="P1358" t="n">
        <v>79.8928053688</v>
      </c>
      <c r="Q1358" t="n">
        <v>0.8714285714285713</v>
      </c>
      <c r="R1358" t="inlineStr">
        <is>
          <t>Sobrestock crítico</t>
        </is>
      </c>
    </row>
    <row r="1359">
      <c r="A1359" t="inlineStr">
        <is>
          <t>MARMIKI34T8</t>
        </is>
      </c>
      <c r="B1359" t="inlineStr">
        <is>
          <t>MAR ORIGINAL KIDS</t>
        </is>
      </c>
      <c r="C1359" t="inlineStr">
        <is>
          <t>Manufactura / Kids / P. Superiores</t>
        </is>
      </c>
      <c r="D1359" t="n">
        <v>510.25617764</v>
      </c>
      <c r="E1359" t="n">
        <v>0.0001249273318305461</v>
      </c>
      <c r="F1359" t="n">
        <v>0.924491160985472</v>
      </c>
      <c r="G1359" t="inlineStr">
        <is>
          <t>B</t>
        </is>
      </c>
      <c r="H1359" t="n">
        <v>13</v>
      </c>
      <c r="I1359" t="n">
        <v>3.168013332</v>
      </c>
      <c r="J1359" t="n">
        <v>41.184173316</v>
      </c>
      <c r="K1359" t="n">
        <v>1.3</v>
      </c>
      <c r="L1359" t="n">
        <v>10</v>
      </c>
      <c r="M1359" t="n">
        <v>3</v>
      </c>
      <c r="N1359" t="n">
        <v>3.9</v>
      </c>
      <c r="O1359" t="n">
        <v>9.1</v>
      </c>
      <c r="P1359" t="n">
        <v>28.8289213212</v>
      </c>
      <c r="Q1359" t="n">
        <v>0.7</v>
      </c>
      <c r="R1359" t="inlineStr">
        <is>
          <t>Sobrestock crítico</t>
        </is>
      </c>
    </row>
    <row r="1360">
      <c r="A1360" t="inlineStr">
        <is>
          <t>SHOUNKI01T4</t>
        </is>
      </c>
      <c r="B1360" t="inlineStr">
        <is>
          <t>SHORT PLAYA KIDS</t>
        </is>
      </c>
      <c r="C1360" t="inlineStr">
        <is>
          <t>Manufactura / Kids / P. Inferiores</t>
        </is>
      </c>
      <c r="D1360" t="n">
        <v>509.43742846</v>
      </c>
      <c r="E1360" t="n">
        <v>0.0001247268753638181</v>
      </c>
      <c r="F1360" t="n">
        <v>0.9246158878608358</v>
      </c>
      <c r="G1360" t="inlineStr">
        <is>
          <t>B</t>
        </is>
      </c>
      <c r="H1360" t="n">
        <v>13</v>
      </c>
      <c r="I1360" t="n">
        <v>6.09</v>
      </c>
      <c r="J1360" t="n">
        <v>79.17</v>
      </c>
      <c r="K1360" t="n">
        <v>1.2</v>
      </c>
      <c r="L1360" t="n">
        <v>10.83333333333333</v>
      </c>
      <c r="M1360" t="n">
        <v>3</v>
      </c>
      <c r="N1360" t="n">
        <v>3.6</v>
      </c>
      <c r="O1360" t="n">
        <v>9.4</v>
      </c>
      <c r="P1360" t="n">
        <v>57.246</v>
      </c>
      <c r="Q1360" t="n">
        <v>0.7230769230769231</v>
      </c>
      <c r="R1360" t="inlineStr">
        <is>
          <t>Sobrestock crítico</t>
        </is>
      </c>
    </row>
    <row r="1361">
      <c r="A1361" t="inlineStr">
        <is>
          <t>MAFMIDA11TS</t>
        </is>
      </c>
      <c r="B1361" t="inlineStr">
        <is>
          <t>MAFE ORIGINAL DAMA</t>
        </is>
      </c>
      <c r="C1361" t="inlineStr">
        <is>
          <t>Manufactura / Dama / P. Superiores</t>
        </is>
      </c>
      <c r="D1361" t="n">
        <v>508.87834963</v>
      </c>
      <c r="E1361" t="n">
        <v>0.0001245899946564882</v>
      </c>
      <c r="F1361" t="n">
        <v>0.9247404778554923</v>
      </c>
      <c r="G1361" t="inlineStr">
        <is>
          <t>B</t>
        </is>
      </c>
      <c r="H1361" t="n">
        <v>9</v>
      </c>
      <c r="I1361" t="n">
        <v>4.54817671</v>
      </c>
      <c r="J1361" t="n">
        <v>40.93359039</v>
      </c>
      <c r="K1361" t="n">
        <v>11.7</v>
      </c>
      <c r="L1361" t="n">
        <v>0.7692307692307693</v>
      </c>
      <c r="M1361" t="n">
        <v>3</v>
      </c>
      <c r="N1361" t="n">
        <v>35.09999999999999</v>
      </c>
      <c r="O1361" t="n">
        <v>0</v>
      </c>
      <c r="P1361" t="n">
        <v>0</v>
      </c>
      <c r="Q1361" t="n">
        <v>0</v>
      </c>
      <c r="R1361" t="inlineStr">
        <is>
          <t>Riesgo bajo stock</t>
        </is>
      </c>
    </row>
    <row r="1362">
      <c r="A1362" t="inlineStr">
        <is>
          <t>LMOFIDA10TM</t>
        </is>
      </c>
      <c r="B1362" t="inlineStr">
        <is>
          <t>LEGGING MOVA</t>
        </is>
      </c>
      <c r="C1362" t="inlineStr">
        <is>
          <t>Manufactura / Dama / P. Inferiores</t>
        </is>
      </c>
      <c r="D1362" t="n">
        <v>507.59674304</v>
      </c>
      <c r="E1362" t="n">
        <v>0.0001242762156200722</v>
      </c>
      <c r="F1362" t="n">
        <v>0.9248647540711123</v>
      </c>
      <c r="G1362" t="inlineStr">
        <is>
          <t>B</t>
        </is>
      </c>
      <c r="H1362" t="n">
        <v>19</v>
      </c>
      <c r="I1362" t="n">
        <v>17.7</v>
      </c>
      <c r="J1362" t="n">
        <v>336.3</v>
      </c>
      <c r="K1362" t="n">
        <v>0.9</v>
      </c>
      <c r="L1362" t="n">
        <v>21.11111111111111</v>
      </c>
      <c r="M1362" t="n">
        <v>3</v>
      </c>
      <c r="N1362" t="n">
        <v>2.7</v>
      </c>
      <c r="O1362" t="n">
        <v>16.3</v>
      </c>
      <c r="P1362" t="n">
        <v>288.51</v>
      </c>
      <c r="Q1362" t="n">
        <v>0.8578947368421052</v>
      </c>
      <c r="R1362" t="inlineStr">
        <is>
          <t>Sobrestock crítico</t>
        </is>
      </c>
    </row>
    <row r="1363">
      <c r="A1363" t="inlineStr">
        <is>
          <t>SHOUNKI50T14</t>
        </is>
      </c>
      <c r="B1363" t="inlineStr">
        <is>
          <t>SHORT PLAYA KIDS</t>
        </is>
      </c>
      <c r="C1363" t="inlineStr">
        <is>
          <t>Manufactura / Kids / P. Inferiores</t>
        </is>
      </c>
      <c r="D1363" t="n">
        <v>506.81127963</v>
      </c>
      <c r="E1363" t="n">
        <v>0.0001240839085939904</v>
      </c>
      <c r="F1363" t="n">
        <v>0.9249888379797064</v>
      </c>
      <c r="G1363" t="inlineStr">
        <is>
          <t>B</t>
        </is>
      </c>
      <c r="H1363" t="n">
        <v>4</v>
      </c>
      <c r="I1363" t="n">
        <v>6.09</v>
      </c>
      <c r="J1363" t="n">
        <v>24.36</v>
      </c>
      <c r="K1363" t="n">
        <v>1.3</v>
      </c>
      <c r="L1363" t="n">
        <v>3.076923076923077</v>
      </c>
      <c r="M1363" t="n">
        <v>3</v>
      </c>
      <c r="N1363" t="n">
        <v>3.9</v>
      </c>
      <c r="O1363" t="n">
        <v>0.09999999999999964</v>
      </c>
      <c r="P1363" t="n">
        <v>0.6089999999999979</v>
      </c>
      <c r="Q1363" t="n">
        <v>0.02499999999999991</v>
      </c>
      <c r="R1363" t="inlineStr">
        <is>
          <t>Sobrestock</t>
        </is>
      </c>
    </row>
    <row r="1364">
      <c r="A1364" t="inlineStr">
        <is>
          <t>ANDMIDA53TXS</t>
        </is>
      </c>
      <c r="B1364" t="inlineStr">
        <is>
          <t>ANDRE ORIGINAL DAMA</t>
        </is>
      </c>
      <c r="C1364" t="inlineStr">
        <is>
          <t>Manufactura / Dama / P. Superiores</t>
        </is>
      </c>
      <c r="D1364" t="n">
        <v>505.8017133</v>
      </c>
      <c r="E1364" t="n">
        <v>0.0001238367338738407</v>
      </c>
      <c r="F1364" t="n">
        <v>0.9251126747135803</v>
      </c>
      <c r="G1364" t="inlineStr">
        <is>
          <t>B</t>
        </is>
      </c>
      <c r="H1364" t="n">
        <v>14</v>
      </c>
      <c r="I1364" t="n">
        <v>3.274295302</v>
      </c>
      <c r="J1364" t="n">
        <v>45.840134228</v>
      </c>
      <c r="K1364" t="n">
        <v>1.4</v>
      </c>
      <c r="L1364" t="n">
        <v>10</v>
      </c>
      <c r="M1364" t="n">
        <v>3</v>
      </c>
      <c r="N1364" t="n">
        <v>4.199999999999999</v>
      </c>
      <c r="O1364" t="n">
        <v>9.800000000000001</v>
      </c>
      <c r="P1364" t="n">
        <v>32.0880939596</v>
      </c>
      <c r="Q1364" t="n">
        <v>0.7</v>
      </c>
      <c r="R1364" t="inlineStr">
        <is>
          <t>Sobrestock crítico</t>
        </is>
      </c>
    </row>
    <row r="1365">
      <c r="A1365" t="inlineStr">
        <is>
          <t>BACCCDA43TXL</t>
        </is>
      </c>
      <c r="B1365" t="inlineStr">
        <is>
          <t>BASIC LINE CROP TEE DAMA</t>
        </is>
      </c>
      <c r="C1365" t="inlineStr">
        <is>
          <t>Manufactura / Dama / P. Superiores</t>
        </is>
      </c>
      <c r="D1365" t="n">
        <v>505.18766196</v>
      </c>
      <c r="E1365" t="n">
        <v>0.0001236863941055541</v>
      </c>
      <c r="F1365" t="n">
        <v>0.9252363611076857</v>
      </c>
      <c r="G1365" t="inlineStr">
        <is>
          <t>B</t>
        </is>
      </c>
      <c r="H1365" t="n">
        <v>23</v>
      </c>
      <c r="I1365" t="n">
        <v>6.196330833</v>
      </c>
      <c r="J1365" t="n">
        <v>142.515609159</v>
      </c>
      <c r="K1365" t="n">
        <v>1.1</v>
      </c>
      <c r="L1365" t="n">
        <v>20.90909090909091</v>
      </c>
      <c r="M1365" t="n">
        <v>3</v>
      </c>
      <c r="N1365" t="n">
        <v>3.3</v>
      </c>
      <c r="O1365" t="n">
        <v>19.7</v>
      </c>
      <c r="P1365" t="n">
        <v>122.0677174101</v>
      </c>
      <c r="Q1365" t="n">
        <v>0.8565217391304347</v>
      </c>
      <c r="R1365" t="inlineStr">
        <is>
          <t>Sobrestock crítico</t>
        </is>
      </c>
    </row>
    <row r="1366">
      <c r="A1366" t="inlineStr">
        <is>
          <t>CLAMICA70TS</t>
        </is>
      </c>
      <c r="B1366" t="inlineStr">
        <is>
          <t>CLASICA ORIGINAL CAB</t>
        </is>
      </c>
      <c r="C1366" t="inlineStr">
        <is>
          <t>Manufactura / Caballero / P. Superiores</t>
        </is>
      </c>
      <c r="D1366" t="n">
        <v>504.30543297</v>
      </c>
      <c r="E1366" t="n">
        <v>0.0001234703957137384</v>
      </c>
      <c r="F1366" t="n">
        <v>0.9253598315033994</v>
      </c>
      <c r="G1366" t="inlineStr">
        <is>
          <t>B</t>
        </is>
      </c>
      <c r="H1366" t="n">
        <v>64</v>
      </c>
      <c r="I1366" t="n">
        <v>4.598442536</v>
      </c>
      <c r="J1366" t="n">
        <v>294.300322304</v>
      </c>
      <c r="K1366" t="n">
        <v>2.1</v>
      </c>
      <c r="L1366" t="n">
        <v>30.47619047619047</v>
      </c>
      <c r="M1366" t="n">
        <v>3</v>
      </c>
      <c r="N1366" t="n">
        <v>6.300000000000001</v>
      </c>
      <c r="O1366" t="n">
        <v>57.7</v>
      </c>
      <c r="P1366" t="n">
        <v>265.3301343272</v>
      </c>
      <c r="Q1366" t="n">
        <v>0.9015625</v>
      </c>
      <c r="R1366" t="inlineStr">
        <is>
          <t>Sobrestock crítico</t>
        </is>
      </c>
    </row>
    <row r="1367">
      <c r="A1367" t="inlineStr">
        <is>
          <t>MAADFDA30TM</t>
        </is>
      </c>
      <c r="B1367" t="inlineStr">
        <is>
          <t>MAFE ADVANCE DAMA</t>
        </is>
      </c>
      <c r="C1367" t="inlineStr">
        <is>
          <t>Manufactura / Dama / P. Superiores</t>
        </is>
      </c>
      <c r="D1367" t="n">
        <v>502.79141069</v>
      </c>
      <c r="E1367" t="n">
        <v>0.0001230997137464035</v>
      </c>
      <c r="F1367" t="n">
        <v>0.9254829312171459</v>
      </c>
      <c r="G1367" t="inlineStr">
        <is>
          <t>B</t>
        </is>
      </c>
      <c r="H1367" t="n">
        <v>0</v>
      </c>
      <c r="I1367" t="n">
        <v>4.98</v>
      </c>
      <c r="J1367" t="n">
        <v>0</v>
      </c>
      <c r="K1367" t="n">
        <v>1</v>
      </c>
      <c r="L1367" t="n">
        <v>0</v>
      </c>
      <c r="M1367" t="n">
        <v>3</v>
      </c>
      <c r="N1367" t="n">
        <v>3</v>
      </c>
      <c r="O1367" t="n">
        <v>0</v>
      </c>
      <c r="P1367" t="n">
        <v>0</v>
      </c>
      <c r="Q1367" t="n">
        <v>0</v>
      </c>
      <c r="R1367" t="inlineStr">
        <is>
          <t>Riesgo bajo stock</t>
        </is>
      </c>
    </row>
    <row r="1368">
      <c r="A1368" t="inlineStr">
        <is>
          <t>NAHFNCA70TXL</t>
        </is>
      </c>
      <c r="B1368" t="inlineStr">
        <is>
          <t>NOAH SPORT LITE CAB</t>
        </is>
      </c>
      <c r="C1368" t="inlineStr">
        <is>
          <t>Manufactura / Caballero / P. Superiores</t>
        </is>
      </c>
      <c r="D1368" t="n">
        <v>502.61473271</v>
      </c>
      <c r="E1368" t="n">
        <v>0.0001230564572223244</v>
      </c>
      <c r="F1368" t="n">
        <v>0.9256059876743682</v>
      </c>
      <c r="G1368" t="inlineStr">
        <is>
          <t>B</t>
        </is>
      </c>
      <c r="H1368" t="n">
        <v>9</v>
      </c>
      <c r="I1368" t="n">
        <v>17.61141534</v>
      </c>
      <c r="J1368" t="n">
        <v>158.50273806</v>
      </c>
      <c r="K1368" t="n">
        <v>1.3</v>
      </c>
      <c r="L1368" t="n">
        <v>6.923076923076922</v>
      </c>
      <c r="M1368" t="n">
        <v>3</v>
      </c>
      <c r="N1368" t="n">
        <v>3.9</v>
      </c>
      <c r="O1368" t="n">
        <v>5.1</v>
      </c>
      <c r="P1368" t="n">
        <v>89.818218234</v>
      </c>
      <c r="Q1368" t="n">
        <v>0.5666666666666667</v>
      </c>
      <c r="R1368" t="inlineStr">
        <is>
          <t>Sobrestock crítico</t>
        </is>
      </c>
    </row>
    <row r="1369">
      <c r="A1369" t="inlineStr">
        <is>
          <t>ZOEMIKI34T8</t>
        </is>
      </c>
      <c r="B1369" t="inlineStr">
        <is>
          <t>ZOE ORIGINAL KIDS</t>
        </is>
      </c>
      <c r="C1369" t="inlineStr">
        <is>
          <t>Manufactura / Kids / P. Superiores</t>
        </is>
      </c>
      <c r="D1369" t="n">
        <v>501.76142348</v>
      </c>
      <c r="E1369" t="n">
        <v>0.0001228475393297017</v>
      </c>
      <c r="F1369" t="n">
        <v>0.9257288352136979</v>
      </c>
      <c r="G1369" t="inlineStr">
        <is>
          <t>B</t>
        </is>
      </c>
      <c r="H1369" t="n">
        <v>28</v>
      </c>
      <c r="I1369" t="n">
        <v>4.12</v>
      </c>
      <c r="J1369" t="n">
        <v>115.36</v>
      </c>
      <c r="K1369" t="n">
        <v>1.5</v>
      </c>
      <c r="L1369" t="n">
        <v>18.66666666666667</v>
      </c>
      <c r="M1369" t="n">
        <v>3</v>
      </c>
      <c r="N1369" t="n">
        <v>4.5</v>
      </c>
      <c r="O1369" t="n">
        <v>23.5</v>
      </c>
      <c r="P1369" t="n">
        <v>96.82000000000001</v>
      </c>
      <c r="Q1369" t="n">
        <v>0.8392857142857143</v>
      </c>
      <c r="R1369" t="inlineStr">
        <is>
          <t>Sobrestock crítico</t>
        </is>
      </c>
    </row>
    <row r="1370">
      <c r="A1370" t="inlineStr">
        <is>
          <t>TMOFIDA66TM</t>
        </is>
      </c>
      <c r="B1370" t="inlineStr">
        <is>
          <t>TOP MOVA</t>
        </is>
      </c>
      <c r="C1370" t="inlineStr">
        <is>
          <t>Manufactura / Dama / P. Superiores</t>
        </is>
      </c>
      <c r="D1370" t="n">
        <v>501.55196107</v>
      </c>
      <c r="E1370" t="n">
        <v>0.0001227962561093375</v>
      </c>
      <c r="F1370" t="n">
        <v>0.9258516314698073</v>
      </c>
      <c r="G1370" t="inlineStr">
        <is>
          <t>B</t>
        </is>
      </c>
      <c r="H1370" t="n">
        <v>11</v>
      </c>
      <c r="I1370" t="n">
        <v>9.942967033</v>
      </c>
      <c r="J1370" t="n">
        <v>109.372637363</v>
      </c>
      <c r="K1370" t="n">
        <v>1.4</v>
      </c>
      <c r="L1370" t="n">
        <v>7.857142857142858</v>
      </c>
      <c r="M1370" t="n">
        <v>3</v>
      </c>
      <c r="N1370" t="n">
        <v>4.199999999999999</v>
      </c>
      <c r="O1370" t="n">
        <v>6.800000000000001</v>
      </c>
      <c r="P1370" t="n">
        <v>67.61217582440001</v>
      </c>
      <c r="Q1370" t="n">
        <v>0.6181818181818183</v>
      </c>
      <c r="R1370" t="inlineStr">
        <is>
          <t>Sobrestock crítico</t>
        </is>
      </c>
    </row>
    <row r="1371">
      <c r="A1371" t="inlineStr">
        <is>
          <t>SHOUNKI13T10</t>
        </is>
      </c>
      <c r="B1371" t="inlineStr">
        <is>
          <t>SHORT PLAYA KIDS</t>
        </is>
      </c>
      <c r="C1371" t="inlineStr">
        <is>
          <t>Manufactura / Kids / P. Inferiores</t>
        </is>
      </c>
      <c r="D1371" t="n">
        <v>500.64532019</v>
      </c>
      <c r="E1371" t="n">
        <v>0.0001225742808917306</v>
      </c>
      <c r="F1371" t="n">
        <v>0.925974205750699</v>
      </c>
      <c r="G1371" t="inlineStr">
        <is>
          <t>B</t>
        </is>
      </c>
      <c r="H1371" t="n">
        <v>2</v>
      </c>
      <c r="I1371" t="n">
        <v>6.09</v>
      </c>
      <c r="J1371" t="n">
        <v>12.18</v>
      </c>
      <c r="K1371" t="n">
        <v>1.2</v>
      </c>
      <c r="L1371" t="n">
        <v>1.666666666666667</v>
      </c>
      <c r="M1371" t="n">
        <v>3</v>
      </c>
      <c r="N1371" t="n">
        <v>3.6</v>
      </c>
      <c r="O1371" t="n">
        <v>0</v>
      </c>
      <c r="P1371" t="n">
        <v>0</v>
      </c>
      <c r="Q1371" t="n">
        <v>0</v>
      </c>
      <c r="R1371" t="inlineStr">
        <is>
          <t>OK</t>
        </is>
      </c>
    </row>
    <row r="1372">
      <c r="A1372" t="inlineStr">
        <is>
          <t>SHONTDA30TXL</t>
        </is>
      </c>
      <c r="B1372" t="inlineStr">
        <is>
          <t>EXPLORE SHORT DAMA</t>
        </is>
      </c>
      <c r="C1372" t="inlineStr">
        <is>
          <t>Manufactura / Dama / P. Inferiores</t>
        </is>
      </c>
      <c r="D1372" t="n">
        <v>499.86174031</v>
      </c>
      <c r="E1372" t="n">
        <v>0.0001223824350151412</v>
      </c>
      <c r="F1372" t="n">
        <v>0.9260965881857142</v>
      </c>
      <c r="G1372" t="inlineStr">
        <is>
          <t>B</t>
        </is>
      </c>
      <c r="H1372" t="n">
        <v>29</v>
      </c>
      <c r="I1372" t="n">
        <v>10.22113744</v>
      </c>
      <c r="J1372" t="n">
        <v>296.41298576</v>
      </c>
      <c r="K1372" t="n">
        <v>0.9</v>
      </c>
      <c r="L1372" t="n">
        <v>32.22222222222222</v>
      </c>
      <c r="M1372" t="n">
        <v>3</v>
      </c>
      <c r="N1372" t="n">
        <v>2.7</v>
      </c>
      <c r="O1372" t="n">
        <v>26.3</v>
      </c>
      <c r="P1372" t="n">
        <v>268.815914672</v>
      </c>
      <c r="Q1372" t="n">
        <v>0.9068965517241381</v>
      </c>
      <c r="R1372" t="inlineStr">
        <is>
          <t>Sobrestock crítico</t>
        </is>
      </c>
    </row>
    <row r="1373">
      <c r="A1373" t="inlineStr">
        <is>
          <t>BUC43EQ</t>
        </is>
      </c>
      <c r="B1373" t="inlineStr">
        <is>
          <t>BUCKET HAT</t>
        </is>
      </c>
      <c r="C1373" t="inlineStr">
        <is>
          <t>Equipamiento / Sombreros</t>
        </is>
      </c>
      <c r="D1373" t="n">
        <v>499.76601503</v>
      </c>
      <c r="E1373" t="n">
        <v>0.0001223589983487309</v>
      </c>
      <c r="F1373" t="n">
        <v>0.9262189471840628</v>
      </c>
      <c r="G1373" t="inlineStr">
        <is>
          <t>B</t>
        </is>
      </c>
      <c r="H1373" t="n">
        <v>0</v>
      </c>
      <c r="I1373" t="n">
        <v>4.98</v>
      </c>
      <c r="J1373" t="n">
        <v>0</v>
      </c>
      <c r="K1373" t="n">
        <v>1.8</v>
      </c>
      <c r="L1373" t="n">
        <v>0</v>
      </c>
      <c r="M1373" t="n">
        <v>3</v>
      </c>
      <c r="N1373" t="n">
        <v>5.4</v>
      </c>
      <c r="O1373" t="n">
        <v>0</v>
      </c>
      <c r="P1373" t="n">
        <v>0</v>
      </c>
      <c r="Q1373" t="n">
        <v>0</v>
      </c>
      <c r="R1373" t="inlineStr">
        <is>
          <t>Sin rotación</t>
        </is>
      </c>
    </row>
    <row r="1374">
      <c r="A1374" t="inlineStr">
        <is>
          <t>MARMIDA01TXL</t>
        </is>
      </c>
      <c r="B1374" t="inlineStr">
        <is>
          <t>MAR ORIGINAL DAMA</t>
        </is>
      </c>
      <c r="C1374" t="inlineStr">
        <is>
          <t>Manufactura / Dama / P. Superiores</t>
        </is>
      </c>
      <c r="D1374" t="n">
        <v>495.20443409</v>
      </c>
      <c r="E1374" t="n">
        <v>0.0001212421747594527</v>
      </c>
      <c r="F1374" t="n">
        <v>0.9263401893588222</v>
      </c>
      <c r="G1374" t="inlineStr">
        <is>
          <t>B</t>
        </is>
      </c>
      <c r="H1374" t="n">
        <v>44</v>
      </c>
      <c r="I1374" t="n">
        <v>4.278324149</v>
      </c>
      <c r="J1374" t="n">
        <v>188.246262556</v>
      </c>
      <c r="K1374" t="n">
        <v>0.9</v>
      </c>
      <c r="L1374" t="n">
        <v>48.88888888888889</v>
      </c>
      <c r="M1374" t="n">
        <v>3</v>
      </c>
      <c r="N1374" t="n">
        <v>2.7</v>
      </c>
      <c r="O1374" t="n">
        <v>41.3</v>
      </c>
      <c r="P1374" t="n">
        <v>176.6947873537</v>
      </c>
      <c r="Q1374" t="n">
        <v>0.9386363636363636</v>
      </c>
      <c r="R1374" t="inlineStr">
        <is>
          <t>Sobrestock crítico</t>
        </is>
      </c>
    </row>
    <row r="1375">
      <c r="A1375" t="inlineStr">
        <is>
          <t>PANNTDA31TXS</t>
        </is>
      </c>
      <c r="B1375" t="inlineStr">
        <is>
          <t>EXPLORE PANTS DAMA</t>
        </is>
      </c>
      <c r="C1375" t="inlineStr">
        <is>
          <t>Manufactura / Dama / P. Inferiores</t>
        </is>
      </c>
      <c r="D1375" t="n">
        <v>493.88734719</v>
      </c>
      <c r="E1375" t="n">
        <v>0.0001209197089875203</v>
      </c>
      <c r="F1375" t="n">
        <v>0.9264611090678099</v>
      </c>
      <c r="G1375" t="inlineStr">
        <is>
          <t>B</t>
        </is>
      </c>
      <c r="H1375" t="n">
        <v>16</v>
      </c>
      <c r="I1375" t="n">
        <v>15.3928899</v>
      </c>
      <c r="J1375" t="n">
        <v>246.2862384</v>
      </c>
      <c r="K1375" t="n">
        <v>0.8</v>
      </c>
      <c r="L1375" t="n">
        <v>20</v>
      </c>
      <c r="M1375" t="n">
        <v>3</v>
      </c>
      <c r="N1375" t="n">
        <v>2.4</v>
      </c>
      <c r="O1375" t="n">
        <v>13.6</v>
      </c>
      <c r="P1375" t="n">
        <v>209.34330264</v>
      </c>
      <c r="Q1375" t="n">
        <v>0.85</v>
      </c>
      <c r="R1375" t="inlineStr">
        <is>
          <t>Sobrestock crítico</t>
        </is>
      </c>
    </row>
    <row r="1376">
      <c r="A1376" t="inlineStr">
        <is>
          <t>MARMIKI11T6</t>
        </is>
      </c>
      <c r="B1376" t="inlineStr">
        <is>
          <t>MAR ORIGINAL KIDS</t>
        </is>
      </c>
      <c r="C1376" t="inlineStr">
        <is>
          <t>Manufactura / Kids / P. Superiores</t>
        </is>
      </c>
      <c r="D1376" t="n">
        <v>493.23281569</v>
      </c>
      <c r="E1376" t="n">
        <v>0.0001207594583575872</v>
      </c>
      <c r="F1376" t="n">
        <v>0.9265818685261674</v>
      </c>
      <c r="G1376" t="inlineStr">
        <is>
          <t>B</t>
        </is>
      </c>
      <c r="H1376" t="n">
        <v>16</v>
      </c>
      <c r="I1376" t="n">
        <v>3.168013332</v>
      </c>
      <c r="J1376" t="n">
        <v>50.688213312</v>
      </c>
      <c r="K1376" t="n">
        <v>1.5</v>
      </c>
      <c r="L1376" t="n">
        <v>10.66666666666667</v>
      </c>
      <c r="M1376" t="n">
        <v>3</v>
      </c>
      <c r="N1376" t="n">
        <v>4.5</v>
      </c>
      <c r="O1376" t="n">
        <v>11.5</v>
      </c>
      <c r="P1376" t="n">
        <v>36.432153318</v>
      </c>
      <c r="Q1376" t="n">
        <v>0.7187500000000001</v>
      </c>
      <c r="R1376" t="inlineStr">
        <is>
          <t>Sobrestock crítico</t>
        </is>
      </c>
    </row>
    <row r="1377">
      <c r="A1377" t="inlineStr">
        <is>
          <t>LMOFIDA12TS</t>
        </is>
      </c>
      <c r="B1377" t="inlineStr">
        <is>
          <t>LEGGING MOVA</t>
        </is>
      </c>
      <c r="C1377" t="inlineStr">
        <is>
          <t>Manufactura / Dama / P. Inferiores</t>
        </is>
      </c>
      <c r="D1377" t="n">
        <v>492.08305111</v>
      </c>
      <c r="E1377" t="n">
        <v>0.0001204779585394429</v>
      </c>
      <c r="F1377" t="n">
        <v>0.9267023464847068</v>
      </c>
      <c r="G1377" t="inlineStr">
        <is>
          <t>B</t>
        </is>
      </c>
      <c r="H1377" t="n">
        <v>11</v>
      </c>
      <c r="I1377" t="n">
        <v>17.7</v>
      </c>
      <c r="J1377" t="n">
        <v>194.7</v>
      </c>
      <c r="K1377" t="n">
        <v>1.2</v>
      </c>
      <c r="L1377" t="n">
        <v>9.166666666666668</v>
      </c>
      <c r="M1377" t="n">
        <v>3</v>
      </c>
      <c r="N1377" t="n">
        <v>3.6</v>
      </c>
      <c r="O1377" t="n">
        <v>7.4</v>
      </c>
      <c r="P1377" t="n">
        <v>130.98</v>
      </c>
      <c r="Q1377" t="n">
        <v>0.6727272727272727</v>
      </c>
      <c r="R1377" t="inlineStr">
        <is>
          <t>Sobrestock crítico</t>
        </is>
      </c>
    </row>
    <row r="1378">
      <c r="A1378" t="inlineStr">
        <is>
          <t>SHONTCA43TS</t>
        </is>
      </c>
      <c r="B1378" t="inlineStr">
        <is>
          <t>EXPLORE SHORT CAB</t>
        </is>
      </c>
      <c r="C1378" t="inlineStr">
        <is>
          <t>Manufactura / Caballero / P. Inferiores</t>
        </is>
      </c>
      <c r="D1378" t="n">
        <v>491.69746506</v>
      </c>
      <c r="E1378" t="n">
        <v>0.000120383554515487</v>
      </c>
      <c r="F1378" t="n">
        <v>0.9268227300392223</v>
      </c>
      <c r="G1378" t="inlineStr">
        <is>
          <t>B</t>
        </is>
      </c>
      <c r="H1378" t="n">
        <v>5</v>
      </c>
      <c r="I1378" t="n">
        <v>11.17</v>
      </c>
      <c r="J1378" t="n">
        <v>55.85</v>
      </c>
      <c r="K1378" t="n">
        <v>1.4</v>
      </c>
      <c r="L1378" t="n">
        <v>3.571428571428572</v>
      </c>
      <c r="M1378" t="n">
        <v>3</v>
      </c>
      <c r="N1378" t="n">
        <v>4.199999999999999</v>
      </c>
      <c r="O1378" t="n">
        <v>0.8000000000000007</v>
      </c>
      <c r="P1378" t="n">
        <v>8.936000000000007</v>
      </c>
      <c r="Q1378" t="n">
        <v>0.1600000000000001</v>
      </c>
      <c r="R1378" t="inlineStr">
        <is>
          <t>Sobrestock</t>
        </is>
      </c>
    </row>
    <row r="1379">
      <c r="A1379" t="inlineStr">
        <is>
          <t>TALGTACA166TXS</t>
        </is>
      </c>
      <c r="B1379" t="inlineStr">
        <is>
          <t>URBAN COTTON OVERSIZED VINTAGE VERDE CAB</t>
        </is>
      </c>
      <c r="C1379" t="inlineStr">
        <is>
          <t>Manufactura / Caballero / P. Superiores</t>
        </is>
      </c>
      <c r="D1379" t="n">
        <v>491.50541481</v>
      </c>
      <c r="E1379" t="n">
        <v>0.000120336534359022</v>
      </c>
      <c r="F1379" t="n">
        <v>0.9269430665735814</v>
      </c>
      <c r="G1379" t="inlineStr">
        <is>
          <t>B</t>
        </is>
      </c>
      <c r="H1379" t="n">
        <v>0</v>
      </c>
      <c r="I1379" t="n">
        <v>12.16396667</v>
      </c>
      <c r="J1379" t="n">
        <v>0</v>
      </c>
      <c r="K1379" t="n">
        <v>1</v>
      </c>
      <c r="L1379" t="n">
        <v>0</v>
      </c>
      <c r="M1379" t="n">
        <v>3</v>
      </c>
      <c r="N1379" t="n">
        <v>3</v>
      </c>
      <c r="O1379" t="n">
        <v>0</v>
      </c>
      <c r="P1379" t="n">
        <v>0</v>
      </c>
      <c r="Q1379" t="n">
        <v>0</v>
      </c>
      <c r="R1379" t="inlineStr">
        <is>
          <t>Riesgo bajo stock</t>
        </is>
      </c>
    </row>
    <row r="1380">
      <c r="A1380" t="inlineStr">
        <is>
          <t>BASCCDA43TS</t>
        </is>
      </c>
      <c r="B1380" t="inlineStr">
        <is>
          <t>BASIC LINE SHORT DAMA</t>
        </is>
      </c>
      <c r="C1380" t="inlineStr">
        <is>
          <t>Manufactura / Dama / P. Inferiores</t>
        </is>
      </c>
      <c r="D1380" t="n">
        <v>490.96340753</v>
      </c>
      <c r="E1380" t="n">
        <v>0.0001202038333231692</v>
      </c>
      <c r="F1380" t="n">
        <v>0.9270632704069045</v>
      </c>
      <c r="G1380" t="inlineStr">
        <is>
          <t>B</t>
        </is>
      </c>
      <c r="H1380" t="n">
        <v>74</v>
      </c>
      <c r="I1380" t="n">
        <v>6.01</v>
      </c>
      <c r="J1380" t="n">
        <v>444.74</v>
      </c>
      <c r="K1380" t="n">
        <v>1.4</v>
      </c>
      <c r="L1380" t="n">
        <v>52.85714285714286</v>
      </c>
      <c r="M1380" t="n">
        <v>3</v>
      </c>
      <c r="N1380" t="n">
        <v>4.199999999999999</v>
      </c>
      <c r="O1380" t="n">
        <v>69.8</v>
      </c>
      <c r="P1380" t="n">
        <v>419.498</v>
      </c>
      <c r="Q1380" t="n">
        <v>0.9432432432432432</v>
      </c>
      <c r="R1380" t="inlineStr">
        <is>
          <t>Sobrestock crítico</t>
        </is>
      </c>
    </row>
    <row r="1381">
      <c r="A1381" t="inlineStr">
        <is>
          <t>PANNTKI12T6</t>
        </is>
      </c>
      <c r="B1381" t="inlineStr">
        <is>
          <t>EXPLORE PANTS KIDS</t>
        </is>
      </c>
      <c r="C1381" t="inlineStr">
        <is>
          <t>Manufactura / Kids / P. Inferiores</t>
        </is>
      </c>
      <c r="D1381" t="n">
        <v>490.46917271</v>
      </c>
      <c r="E1381" t="n">
        <v>0.0001200828285415202</v>
      </c>
      <c r="F1381" t="n">
        <v>0.9271833532354461</v>
      </c>
      <c r="G1381" t="inlineStr">
        <is>
          <t>B</t>
        </is>
      </c>
      <c r="H1381" t="n">
        <v>22</v>
      </c>
      <c r="I1381" t="n">
        <v>13.98</v>
      </c>
      <c r="J1381" t="n">
        <v>307.56</v>
      </c>
      <c r="K1381" t="n">
        <v>0.9</v>
      </c>
      <c r="L1381" t="n">
        <v>24.44444444444444</v>
      </c>
      <c r="M1381" t="n">
        <v>3</v>
      </c>
      <c r="N1381" t="n">
        <v>2.7</v>
      </c>
      <c r="O1381" t="n">
        <v>19.3</v>
      </c>
      <c r="P1381" t="n">
        <v>269.814</v>
      </c>
      <c r="Q1381" t="n">
        <v>0.8772727272727273</v>
      </c>
      <c r="R1381" t="inlineStr">
        <is>
          <t>Sobrestock crítico</t>
        </is>
      </c>
    </row>
    <row r="1382">
      <c r="A1382" t="inlineStr">
        <is>
          <t>ANMSUDA43TL</t>
        </is>
      </c>
      <c r="B1382" t="inlineStr">
        <is>
          <t>ANDRE MOTION DAMA</t>
        </is>
      </c>
      <c r="C1382" t="inlineStr">
        <is>
          <t>Manufactura / Dama / P. Superiores</t>
        </is>
      </c>
      <c r="D1382" t="n">
        <v>487.06409312</v>
      </c>
      <c r="E1382" t="n">
        <v>0.0001192491541511055</v>
      </c>
      <c r="F1382" t="n">
        <v>0.9273026023895972</v>
      </c>
      <c r="G1382" t="inlineStr">
        <is>
          <t>B</t>
        </is>
      </c>
      <c r="H1382" t="n">
        <v>0</v>
      </c>
      <c r="I1382" t="n">
        <v>10.6</v>
      </c>
      <c r="J1382" t="n">
        <v>0</v>
      </c>
      <c r="K1382" t="n">
        <v>1.2</v>
      </c>
      <c r="L1382" t="n">
        <v>0</v>
      </c>
      <c r="M1382" t="n">
        <v>3</v>
      </c>
      <c r="N1382" t="n">
        <v>3.6</v>
      </c>
      <c r="O1382" t="n">
        <v>0</v>
      </c>
      <c r="P1382" t="n">
        <v>0</v>
      </c>
      <c r="Q1382" t="n">
        <v>0</v>
      </c>
      <c r="R1382" t="inlineStr">
        <is>
          <t>Riesgo bajo stock</t>
        </is>
      </c>
    </row>
    <row r="1383">
      <c r="A1383" t="inlineStr">
        <is>
          <t>SHONRKI66T10</t>
        </is>
      </c>
      <c r="B1383" t="inlineStr">
        <is>
          <t>SHORT SPORT KIDS</t>
        </is>
      </c>
      <c r="C1383" t="inlineStr">
        <is>
          <t>Manufactura / Kids / P. Inferiores</t>
        </is>
      </c>
      <c r="D1383" t="n">
        <v>485.90746553</v>
      </c>
      <c r="E1383" t="n">
        <v>0.0001189659740445783</v>
      </c>
      <c r="F1383" t="n">
        <v>0.9274215683636418</v>
      </c>
      <c r="G1383" t="inlineStr">
        <is>
          <t>B</t>
        </is>
      </c>
      <c r="H1383" t="n">
        <v>12</v>
      </c>
      <c r="I1383" t="n">
        <v>6.465724382</v>
      </c>
      <c r="J1383" t="n">
        <v>77.588692584</v>
      </c>
      <c r="K1383" t="n">
        <v>1.2</v>
      </c>
      <c r="L1383" t="n">
        <v>10</v>
      </c>
      <c r="M1383" t="n">
        <v>3</v>
      </c>
      <c r="N1383" t="n">
        <v>3.6</v>
      </c>
      <c r="O1383" t="n">
        <v>8.4</v>
      </c>
      <c r="P1383" t="n">
        <v>54.3120848088</v>
      </c>
      <c r="Q1383" t="n">
        <v>0.7000000000000001</v>
      </c>
      <c r="R1383" t="inlineStr">
        <is>
          <t>Sobrestock crítico</t>
        </is>
      </c>
    </row>
    <row r="1384">
      <c r="A1384" t="inlineStr">
        <is>
          <t>LPR70EQ</t>
        </is>
      </c>
      <c r="B1384" t="inlineStr">
        <is>
          <t>LANYARD PRO</t>
        </is>
      </c>
      <c r="C1384" t="inlineStr">
        <is>
          <t>Equipamiento / Accesorios</t>
        </is>
      </c>
      <c r="D1384" t="n">
        <v>485.8813698511213</v>
      </c>
      <c r="E1384" t="n">
        <v>0.0001189595849724269</v>
      </c>
      <c r="F1384" t="n">
        <v>0.9275405279486142</v>
      </c>
      <c r="G1384" t="inlineStr">
        <is>
          <t>B</t>
        </is>
      </c>
      <c r="H1384" t="n">
        <v>332</v>
      </c>
      <c r="I1384" t="n">
        <v>1.15</v>
      </c>
      <c r="J1384" t="n">
        <v>381.8</v>
      </c>
      <c r="K1384" t="n">
        <v>8.4</v>
      </c>
      <c r="L1384" t="n">
        <v>39.52380952380953</v>
      </c>
      <c r="M1384" t="n">
        <v>3</v>
      </c>
      <c r="N1384" t="n">
        <v>25.2</v>
      </c>
      <c r="O1384" t="n">
        <v>306.8</v>
      </c>
      <c r="P1384" t="n">
        <v>352.82</v>
      </c>
      <c r="Q1384" t="n">
        <v>0.9240963855421688</v>
      </c>
      <c r="R1384" t="inlineStr">
        <is>
          <t>Sobrestock crítico</t>
        </is>
      </c>
    </row>
    <row r="1385">
      <c r="A1385" t="inlineStr">
        <is>
          <t>MAYFNDA10TS</t>
        </is>
      </c>
      <c r="B1385" t="inlineStr">
        <is>
          <t>MAYA SPORT LITE DAMA</t>
        </is>
      </c>
      <c r="C1385" t="inlineStr">
        <is>
          <t>Manufactura / Dama / P. Superiores</t>
        </is>
      </c>
      <c r="D1385" t="n">
        <v>484.33585182</v>
      </c>
      <c r="E1385" t="n">
        <v>0.00011858119181937</v>
      </c>
      <c r="F1385" t="n">
        <v>0.9276591091404335</v>
      </c>
      <c r="G1385" t="inlineStr">
        <is>
          <t>B</t>
        </is>
      </c>
      <c r="H1385" t="n">
        <v>5</v>
      </c>
      <c r="I1385" t="n">
        <v>3.87</v>
      </c>
      <c r="J1385" t="n">
        <v>19.35</v>
      </c>
      <c r="K1385" t="n">
        <v>1.5</v>
      </c>
      <c r="L1385" t="n">
        <v>3.333333333333333</v>
      </c>
      <c r="M1385" t="n">
        <v>3</v>
      </c>
      <c r="N1385" t="n">
        <v>4.5</v>
      </c>
      <c r="O1385" t="n">
        <v>0.5</v>
      </c>
      <c r="P1385" t="n">
        <v>1.935</v>
      </c>
      <c r="Q1385" t="n">
        <v>0.09999999999999999</v>
      </c>
      <c r="R1385" t="inlineStr">
        <is>
          <t>Sobrestock</t>
        </is>
      </c>
    </row>
    <row r="1386">
      <c r="A1386" t="inlineStr">
        <is>
          <t>CLMSUCA43TS</t>
        </is>
      </c>
      <c r="B1386" t="inlineStr">
        <is>
          <t>CLASICA MOTION CAB</t>
        </is>
      </c>
      <c r="C1386" t="inlineStr">
        <is>
          <t>Manufactura / Caballero / P. Superiores</t>
        </is>
      </c>
      <c r="D1386" t="n">
        <v>484.00337731</v>
      </c>
      <c r="E1386" t="n">
        <v>0.000118499791230301</v>
      </c>
      <c r="F1386" t="n">
        <v>0.9277776089316637</v>
      </c>
      <c r="G1386" t="inlineStr">
        <is>
          <t>B</t>
        </is>
      </c>
      <c r="H1386" t="n">
        <v>4</v>
      </c>
      <c r="I1386" t="n">
        <v>12.26</v>
      </c>
      <c r="J1386" t="n">
        <v>49.04</v>
      </c>
      <c r="K1386" t="n">
        <v>1.5</v>
      </c>
      <c r="L1386" t="n">
        <v>2.666666666666667</v>
      </c>
      <c r="M1386" t="n">
        <v>3</v>
      </c>
      <c r="N1386" t="n">
        <v>4.5</v>
      </c>
      <c r="O1386" t="n">
        <v>0</v>
      </c>
      <c r="P1386" t="n">
        <v>0</v>
      </c>
      <c r="Q1386" t="n">
        <v>0</v>
      </c>
      <c r="R1386" t="inlineStr">
        <is>
          <t>OK</t>
        </is>
      </c>
    </row>
    <row r="1387">
      <c r="A1387" t="inlineStr">
        <is>
          <t>SUC34EQ</t>
        </is>
      </c>
      <c r="B1387" t="inlineStr">
        <is>
          <t>SUNNY CORD 2.0</t>
        </is>
      </c>
      <c r="C1387" t="inlineStr">
        <is>
          <t>Equipamiento / Accesorios</t>
        </is>
      </c>
      <c r="D1387" t="n">
        <v>483.615525641</v>
      </c>
      <c r="E1387" t="n">
        <v>0.0001184048325090204</v>
      </c>
      <c r="F1387" t="n">
        <v>0.9278960137641729</v>
      </c>
      <c r="G1387" t="inlineStr">
        <is>
          <t>B</t>
        </is>
      </c>
      <c r="H1387" t="n">
        <v>286</v>
      </c>
      <c r="I1387" t="n">
        <v>0.66</v>
      </c>
      <c r="J1387" t="n">
        <v>188.76</v>
      </c>
      <c r="K1387" t="n">
        <v>11.7</v>
      </c>
      <c r="L1387" t="n">
        <v>24.44444444444445</v>
      </c>
      <c r="M1387" t="n">
        <v>3</v>
      </c>
      <c r="N1387" t="n">
        <v>35.09999999999999</v>
      </c>
      <c r="O1387" t="n">
        <v>250.9</v>
      </c>
      <c r="P1387" t="n">
        <v>165.594</v>
      </c>
      <c r="Q1387" t="n">
        <v>0.8772727272727273</v>
      </c>
      <c r="R1387" t="inlineStr">
        <is>
          <t>Sobrestock crítico</t>
        </is>
      </c>
    </row>
    <row r="1388">
      <c r="A1388" t="inlineStr">
        <is>
          <t>SHUNTCA157TXL</t>
        </is>
      </c>
      <c r="B1388" t="inlineStr">
        <is>
          <t>SHORT SPORT R1 CAB</t>
        </is>
      </c>
      <c r="C1388" t="inlineStr">
        <is>
          <t>Manufactura / Caballero / P. Inferiores</t>
        </is>
      </c>
      <c r="D1388" t="n">
        <v>483.22745987</v>
      </c>
      <c r="E1388" t="n">
        <v>0.0001183098213685968</v>
      </c>
      <c r="F1388" t="n">
        <v>0.9280143235855415</v>
      </c>
      <c r="G1388" t="inlineStr">
        <is>
          <t>B</t>
        </is>
      </c>
      <c r="H1388" t="n">
        <v>1</v>
      </c>
      <c r="I1388" t="n">
        <v>9.119999999999999</v>
      </c>
      <c r="J1388" t="n">
        <v>9.119999999999999</v>
      </c>
      <c r="K1388" t="n">
        <v>1.2</v>
      </c>
      <c r="L1388" t="n">
        <v>0.8333333333333334</v>
      </c>
      <c r="M1388" t="n">
        <v>3</v>
      </c>
      <c r="N1388" t="n">
        <v>3.6</v>
      </c>
      <c r="O1388" t="n">
        <v>0</v>
      </c>
      <c r="P1388" t="n">
        <v>0</v>
      </c>
      <c r="Q1388" t="n">
        <v>0</v>
      </c>
      <c r="R1388" t="inlineStr">
        <is>
          <t>Riesgo bajo stock</t>
        </is>
      </c>
    </row>
    <row r="1389">
      <c r="A1389" t="inlineStr">
        <is>
          <t>SHOUNKI01T2</t>
        </is>
      </c>
      <c r="B1389" t="inlineStr">
        <is>
          <t>SHORT PLAYA KIDS</t>
        </is>
      </c>
      <c r="C1389" t="inlineStr">
        <is>
          <t>Manufactura / Kids / P. Inferiores</t>
        </is>
      </c>
      <c r="D1389" t="n">
        <v>483.20363683</v>
      </c>
      <c r="E1389" t="n">
        <v>0.000118303988712465</v>
      </c>
      <c r="F1389" t="n">
        <v>0.928132627574254</v>
      </c>
      <c r="G1389" t="inlineStr">
        <is>
          <t>B</t>
        </is>
      </c>
      <c r="H1389" t="n">
        <v>2</v>
      </c>
      <c r="I1389" t="n">
        <v>6.09</v>
      </c>
      <c r="J1389" t="n">
        <v>12.18</v>
      </c>
      <c r="K1389" t="n">
        <v>1.2</v>
      </c>
      <c r="L1389" t="n">
        <v>1.666666666666667</v>
      </c>
      <c r="M1389" t="n">
        <v>3</v>
      </c>
      <c r="N1389" t="n">
        <v>3.6</v>
      </c>
      <c r="O1389" t="n">
        <v>0</v>
      </c>
      <c r="P1389" t="n">
        <v>0</v>
      </c>
      <c r="Q1389" t="n">
        <v>0</v>
      </c>
      <c r="R1389" t="inlineStr">
        <is>
          <t>OK</t>
        </is>
      </c>
    </row>
    <row r="1390">
      <c r="A1390" t="inlineStr">
        <is>
          <t>MARMIDA50TXL</t>
        </is>
      </c>
      <c r="B1390" t="inlineStr">
        <is>
          <t>MAR ORIGINAL DAMA</t>
        </is>
      </c>
      <c r="C1390" t="inlineStr">
        <is>
          <t>Manufactura / Dama / P. Superiores</t>
        </is>
      </c>
      <c r="D1390" t="n">
        <v>482.83169069</v>
      </c>
      <c r="E1390" t="n">
        <v>0.0001182129241827424</v>
      </c>
      <c r="F1390" t="n">
        <v>0.9282508404984366</v>
      </c>
      <c r="G1390" t="inlineStr">
        <is>
          <t>B</t>
        </is>
      </c>
      <c r="H1390" t="n">
        <v>48</v>
      </c>
      <c r="I1390" t="n">
        <v>4.278324149</v>
      </c>
      <c r="J1390" t="n">
        <v>205.359559152</v>
      </c>
      <c r="K1390" t="n">
        <v>1.3</v>
      </c>
      <c r="L1390" t="n">
        <v>36.92307692307692</v>
      </c>
      <c r="M1390" t="n">
        <v>3</v>
      </c>
      <c r="N1390" t="n">
        <v>3.9</v>
      </c>
      <c r="O1390" t="n">
        <v>44.1</v>
      </c>
      <c r="P1390" t="n">
        <v>188.6740949709</v>
      </c>
      <c r="Q1390" t="n">
        <v>0.91875</v>
      </c>
      <c r="R1390" t="inlineStr">
        <is>
          <t>Sobrestock crítico</t>
        </is>
      </c>
    </row>
    <row r="1391">
      <c r="A1391" t="inlineStr">
        <is>
          <t>ZOEMIDA34TS</t>
        </is>
      </c>
      <c r="B1391" t="inlineStr">
        <is>
          <t>ZOE ORIGINAL DAMA</t>
        </is>
      </c>
      <c r="C1391" t="inlineStr">
        <is>
          <t>Manufactura / Dama / P. Superiores</t>
        </is>
      </c>
      <c r="D1391" t="n">
        <v>482.7620432</v>
      </c>
      <c r="E1391" t="n">
        <v>0.0001181958722087033</v>
      </c>
      <c r="F1391" t="n">
        <v>0.9283690363706454</v>
      </c>
      <c r="G1391" t="inlineStr">
        <is>
          <t>B</t>
        </is>
      </c>
      <c r="H1391" t="n">
        <v>22</v>
      </c>
      <c r="I1391" t="n">
        <v>4.116585696</v>
      </c>
      <c r="J1391" t="n">
        <v>90.56488531199999</v>
      </c>
      <c r="K1391" t="n">
        <v>1.4</v>
      </c>
      <c r="L1391" t="n">
        <v>15.71428571428572</v>
      </c>
      <c r="M1391" t="n">
        <v>3</v>
      </c>
      <c r="N1391" t="n">
        <v>4.199999999999999</v>
      </c>
      <c r="O1391" t="n">
        <v>17.8</v>
      </c>
      <c r="P1391" t="n">
        <v>73.2752253888</v>
      </c>
      <c r="Q1391" t="n">
        <v>0.8090909090909092</v>
      </c>
      <c r="R1391" t="inlineStr">
        <is>
          <t>Sobrestock crítico</t>
        </is>
      </c>
    </row>
    <row r="1392">
      <c r="A1392" t="inlineStr">
        <is>
          <t>CLAMIKI12T14</t>
        </is>
      </c>
      <c r="B1392" t="inlineStr">
        <is>
          <t>CLASICA ORIGINAL KIDS</t>
        </is>
      </c>
      <c r="C1392" t="inlineStr">
        <is>
          <t>Manufactura / Kids / P. Superiores</t>
        </is>
      </c>
      <c r="D1392" t="n">
        <v>478.99537579</v>
      </c>
      <c r="E1392" t="n">
        <v>0.0001172736693426826</v>
      </c>
      <c r="F1392" t="n">
        <v>0.928486310039988</v>
      </c>
      <c r="G1392" t="inlineStr">
        <is>
          <t>B</t>
        </is>
      </c>
      <c r="H1392" t="n">
        <v>1</v>
      </c>
      <c r="I1392" t="n">
        <v>2.053774806</v>
      </c>
      <c r="J1392" t="n">
        <v>2.053774806</v>
      </c>
      <c r="K1392" t="n">
        <v>1.7</v>
      </c>
      <c r="L1392" t="n">
        <v>0.5882352941176471</v>
      </c>
      <c r="M1392" t="n">
        <v>3</v>
      </c>
      <c r="N1392" t="n">
        <v>5.1</v>
      </c>
      <c r="O1392" t="n">
        <v>0</v>
      </c>
      <c r="P1392" t="n">
        <v>0</v>
      </c>
      <c r="Q1392" t="n">
        <v>0</v>
      </c>
      <c r="R1392" t="inlineStr">
        <is>
          <t>Riesgo bajo stock</t>
        </is>
      </c>
    </row>
    <row r="1393">
      <c r="A1393" t="inlineStr">
        <is>
          <t>SHONTDA30TL</t>
        </is>
      </c>
      <c r="B1393" t="inlineStr">
        <is>
          <t>EXPLORE SHORT DAMA</t>
        </is>
      </c>
      <c r="C1393" t="inlineStr">
        <is>
          <t>Manufactura / Dama / P. Inferiores</t>
        </is>
      </c>
      <c r="D1393" t="n">
        <v>478.32805136</v>
      </c>
      <c r="E1393" t="n">
        <v>0.0001171102865868072</v>
      </c>
      <c r="F1393" t="n">
        <v>0.9286034203265748</v>
      </c>
      <c r="G1393" t="inlineStr">
        <is>
          <t>B</t>
        </is>
      </c>
      <c r="H1393" t="n">
        <v>16</v>
      </c>
      <c r="I1393" t="n">
        <v>10.22113744</v>
      </c>
      <c r="J1393" t="n">
        <v>163.53819904</v>
      </c>
      <c r="K1393" t="n">
        <v>1</v>
      </c>
      <c r="L1393" t="n">
        <v>16</v>
      </c>
      <c r="M1393" t="n">
        <v>3</v>
      </c>
      <c r="N1393" t="n">
        <v>3</v>
      </c>
      <c r="O1393" t="n">
        <v>13</v>
      </c>
      <c r="P1393" t="n">
        <v>132.87478672</v>
      </c>
      <c r="Q1393" t="n">
        <v>0.8125</v>
      </c>
      <c r="R1393" t="inlineStr">
        <is>
          <t>Sobrestock crítico</t>
        </is>
      </c>
    </row>
    <row r="1394">
      <c r="A1394" t="inlineStr">
        <is>
          <t>SHOSUKI153T4</t>
        </is>
      </c>
      <c r="B1394" t="inlineStr">
        <is>
          <t>SHORT PLAYA ESTAMPADO KIDS</t>
        </is>
      </c>
      <c r="C1394" t="inlineStr">
        <is>
          <t>Manufactura / Kids / P. Superiores</t>
        </is>
      </c>
      <c r="D1394" t="n">
        <v>478.30617746</v>
      </c>
      <c r="E1394" t="n">
        <v>0.0001171049311436329</v>
      </c>
      <c r="F1394" t="n">
        <v>0.9287205252577184</v>
      </c>
      <c r="G1394" t="inlineStr">
        <is>
          <t>B</t>
        </is>
      </c>
      <c r="H1394" t="n">
        <v>9</v>
      </c>
      <c r="I1394" t="n">
        <v>7.21</v>
      </c>
      <c r="J1394" t="n">
        <v>64.89</v>
      </c>
      <c r="K1394" t="n">
        <v>1.1</v>
      </c>
      <c r="L1394" t="n">
        <v>8.181818181818182</v>
      </c>
      <c r="M1394" t="n">
        <v>3</v>
      </c>
      <c r="N1394" t="n">
        <v>3.3</v>
      </c>
      <c r="O1394" t="n">
        <v>5.699999999999999</v>
      </c>
      <c r="P1394" t="n">
        <v>41.09699999999999</v>
      </c>
      <c r="Q1394" t="n">
        <v>0.6333333333333332</v>
      </c>
      <c r="R1394" t="inlineStr">
        <is>
          <t>Sobrestock crítico</t>
        </is>
      </c>
    </row>
    <row r="1395">
      <c r="A1395" t="inlineStr">
        <is>
          <t>CLAMEDA43TXS</t>
        </is>
      </c>
      <c r="B1395" t="inlineStr">
        <is>
          <t>CLÁSICA SPORT DAMA</t>
        </is>
      </c>
      <c r="C1395" t="inlineStr">
        <is>
          <t>Manufactura / Dama / P. Superiores</t>
        </is>
      </c>
      <c r="D1395" t="n">
        <v>478.13020772</v>
      </c>
      <c r="E1395" t="n">
        <v>0.0001170618480197738</v>
      </c>
      <c r="F1395" t="n">
        <v>0.9288375871057383</v>
      </c>
      <c r="G1395" t="inlineStr">
        <is>
          <t>B</t>
        </is>
      </c>
      <c r="H1395" t="n">
        <v>6</v>
      </c>
      <c r="I1395" t="n">
        <v>6.536105769</v>
      </c>
      <c r="J1395" t="n">
        <v>39.216634614</v>
      </c>
      <c r="K1395" t="n">
        <v>1.6</v>
      </c>
      <c r="L1395" t="n">
        <v>3.75</v>
      </c>
      <c r="M1395" t="n">
        <v>3</v>
      </c>
      <c r="N1395" t="n">
        <v>4.800000000000001</v>
      </c>
      <c r="O1395" t="n">
        <v>1.199999999999999</v>
      </c>
      <c r="P1395" t="n">
        <v>7.843326922799995</v>
      </c>
      <c r="Q1395" t="n">
        <v>0.1999999999999999</v>
      </c>
      <c r="R1395" t="inlineStr">
        <is>
          <t>Sobrestock</t>
        </is>
      </c>
    </row>
    <row r="1396">
      <c r="A1396" t="inlineStr">
        <is>
          <t>JAPKI01T6</t>
        </is>
      </c>
      <c r="B1396" t="inlineStr">
        <is>
          <t>CUADRO JACKET 2.0 KIDS</t>
        </is>
      </c>
      <c r="C1396" t="inlineStr">
        <is>
          <t>Equipamiento / Ropa</t>
        </is>
      </c>
      <c r="D1396" t="n">
        <v>477.99646328</v>
      </c>
      <c r="E1396" t="n">
        <v>0.0001170291030246742</v>
      </c>
      <c r="F1396" t="n">
        <v>0.928954616208763</v>
      </c>
      <c r="G1396" t="inlineStr">
        <is>
          <t>B</t>
        </is>
      </c>
      <c r="H1396" t="n">
        <v>24</v>
      </c>
      <c r="I1396" t="n">
        <v>15.17</v>
      </c>
      <c r="J1396" t="n">
        <v>364.08</v>
      </c>
      <c r="K1396" t="n">
        <v>0.7</v>
      </c>
      <c r="L1396" t="n">
        <v>34.28571428571428</v>
      </c>
      <c r="M1396" t="n">
        <v>3</v>
      </c>
      <c r="N1396" t="n">
        <v>2.1</v>
      </c>
      <c r="O1396" t="n">
        <v>21.9</v>
      </c>
      <c r="P1396" t="n">
        <v>332.223</v>
      </c>
      <c r="Q1396" t="n">
        <v>0.9124999999999999</v>
      </c>
      <c r="R1396" t="inlineStr">
        <is>
          <t>Sobrestock crítico</t>
        </is>
      </c>
    </row>
    <row r="1397">
      <c r="A1397" t="inlineStr">
        <is>
          <t>GEODOCACA03TL</t>
        </is>
      </c>
      <c r="B1397" t="inlineStr">
        <is>
          <t>ADVANCE GEO DOMINIC CAB</t>
        </is>
      </c>
      <c r="C1397" t="inlineStr">
        <is>
          <t>Manufactura / Caballero / P. Superiores</t>
        </is>
      </c>
      <c r="D1397" t="n">
        <v>477.10044384</v>
      </c>
      <c r="E1397" t="n">
        <v>0.00011680972828153</v>
      </c>
      <c r="F1397" t="n">
        <v>0.9290714259370444</v>
      </c>
      <c r="G1397" t="inlineStr">
        <is>
          <t>B</t>
        </is>
      </c>
      <c r="H1397" t="n">
        <v>27</v>
      </c>
      <c r="I1397" t="n">
        <v>13.35</v>
      </c>
      <c r="J1397" t="n">
        <v>360.45</v>
      </c>
      <c r="K1397" t="n">
        <v>1.3</v>
      </c>
      <c r="L1397" t="n">
        <v>20.76923076923077</v>
      </c>
      <c r="M1397" t="n">
        <v>3</v>
      </c>
      <c r="N1397" t="n">
        <v>3.9</v>
      </c>
      <c r="O1397" t="n">
        <v>23.1</v>
      </c>
      <c r="P1397" t="n">
        <v>308.385</v>
      </c>
      <c r="Q1397" t="n">
        <v>0.8555555555555555</v>
      </c>
      <c r="R1397" t="inlineStr">
        <is>
          <t>Sobrestock crítico</t>
        </is>
      </c>
    </row>
    <row r="1398">
      <c r="A1398" t="inlineStr">
        <is>
          <t>ANMSUDA151TXL</t>
        </is>
      </c>
      <c r="B1398" t="inlineStr">
        <is>
          <t>ANDRE MOTION DAMA</t>
        </is>
      </c>
      <c r="C1398" t="inlineStr">
        <is>
          <t>Manufactura / Dama / P. Superiores</t>
        </is>
      </c>
      <c r="D1398" t="n">
        <v>477.01883621</v>
      </c>
      <c r="E1398" t="n">
        <v>0.0001167897480756654</v>
      </c>
      <c r="F1398" t="n">
        <v>0.9291882156851201</v>
      </c>
      <c r="G1398" t="inlineStr">
        <is>
          <t>B</t>
        </is>
      </c>
      <c r="H1398" t="n">
        <v>3</v>
      </c>
      <c r="I1398" t="n">
        <v>10.6</v>
      </c>
      <c r="J1398" t="n">
        <v>31.8</v>
      </c>
      <c r="K1398" t="n">
        <v>1.1</v>
      </c>
      <c r="L1398" t="n">
        <v>2.727272727272727</v>
      </c>
      <c r="M1398" t="n">
        <v>3</v>
      </c>
      <c r="N1398" t="n">
        <v>3.3</v>
      </c>
      <c r="O1398" t="n">
        <v>0</v>
      </c>
      <c r="P1398" t="n">
        <v>0</v>
      </c>
      <c r="Q1398" t="n">
        <v>0</v>
      </c>
      <c r="R1398" t="inlineStr">
        <is>
          <t>OK</t>
        </is>
      </c>
    </row>
    <row r="1399">
      <c r="A1399" t="inlineStr">
        <is>
          <t>BAN48EQ</t>
        </is>
      </c>
      <c r="B1399" t="inlineStr">
        <is>
          <t>CUADRO BAND</t>
        </is>
      </c>
      <c r="C1399" t="inlineStr">
        <is>
          <t>Equipamiento / Accesorios</t>
        </is>
      </c>
      <c r="D1399" t="n">
        <v>475.3041602</v>
      </c>
      <c r="E1399" t="n">
        <v>0.0001163699395397377</v>
      </c>
      <c r="F1399" t="n">
        <v>0.9293045856246598</v>
      </c>
      <c r="G1399" t="inlineStr">
        <is>
          <t>B</t>
        </is>
      </c>
      <c r="H1399" t="n">
        <v>1078</v>
      </c>
      <c r="I1399" t="n">
        <v>0.3159183673</v>
      </c>
      <c r="J1399" t="n">
        <v>340.5599999494</v>
      </c>
      <c r="K1399" t="n">
        <v>21.8</v>
      </c>
      <c r="L1399" t="n">
        <v>49.44954128440367</v>
      </c>
      <c r="M1399" t="n">
        <v>3</v>
      </c>
      <c r="N1399" t="n">
        <v>65.40000000000001</v>
      </c>
      <c r="O1399" t="n">
        <v>1012.6</v>
      </c>
      <c r="P1399" t="n">
        <v>319.89893872798</v>
      </c>
      <c r="Q1399" t="n">
        <v>0.9393320964749537</v>
      </c>
      <c r="R1399" t="inlineStr">
        <is>
          <t>Sobrestock crítico</t>
        </is>
      </c>
    </row>
    <row r="1400">
      <c r="A1400" t="inlineStr">
        <is>
          <t>CLAMEDA16TS</t>
        </is>
      </c>
      <c r="B1400" t="inlineStr">
        <is>
          <t>CLÁSICA SPORT DAMA</t>
        </is>
      </c>
      <c r="C1400" t="inlineStr">
        <is>
          <t>Manufactura / Dama / P. Superiores</t>
        </is>
      </c>
      <c r="D1400" t="n">
        <v>473.57055156</v>
      </c>
      <c r="E1400" t="n">
        <v>0.0001159454956793316</v>
      </c>
      <c r="F1400" t="n">
        <v>0.9294205311203392</v>
      </c>
      <c r="G1400" t="inlineStr">
        <is>
          <t>B</t>
        </is>
      </c>
      <c r="H1400" t="n">
        <v>2</v>
      </c>
      <c r="I1400" t="n">
        <v>6.536105769000001</v>
      </c>
      <c r="J1400" t="n">
        <v>13.072211538</v>
      </c>
      <c r="K1400" t="n">
        <v>1.3</v>
      </c>
      <c r="L1400" t="n">
        <v>1.538461538461538</v>
      </c>
      <c r="M1400" t="n">
        <v>3</v>
      </c>
      <c r="N1400" t="n">
        <v>3.9</v>
      </c>
      <c r="O1400" t="n">
        <v>0</v>
      </c>
      <c r="P1400" t="n">
        <v>0</v>
      </c>
      <c r="Q1400" t="n">
        <v>0</v>
      </c>
      <c r="R1400" t="inlineStr">
        <is>
          <t>OK</t>
        </is>
      </c>
    </row>
    <row r="1401">
      <c r="A1401" t="inlineStr">
        <is>
          <t>ANDMIDA12TM</t>
        </is>
      </c>
      <c r="B1401" t="inlineStr">
        <is>
          <t>ANDRE ORIGINAL DAMA</t>
        </is>
      </c>
      <c r="C1401" t="inlineStr">
        <is>
          <t>Manufactura / Dama / P. Superiores</t>
        </is>
      </c>
      <c r="D1401" t="n">
        <v>472.07928655</v>
      </c>
      <c r="E1401" t="n">
        <v>0.0001155803854329193</v>
      </c>
      <c r="F1401" t="n">
        <v>0.9295361115057721</v>
      </c>
      <c r="G1401" t="inlineStr">
        <is>
          <t>B</t>
        </is>
      </c>
      <c r="H1401" t="n">
        <v>85</v>
      </c>
      <c r="I1401" t="n">
        <v>3.274295302</v>
      </c>
      <c r="J1401" t="n">
        <v>278.31510067</v>
      </c>
      <c r="K1401" t="n">
        <v>1.5</v>
      </c>
      <c r="L1401" t="n">
        <v>56.66666666666666</v>
      </c>
      <c r="M1401" t="n">
        <v>3</v>
      </c>
      <c r="N1401" t="n">
        <v>4.5</v>
      </c>
      <c r="O1401" t="n">
        <v>80.5</v>
      </c>
      <c r="P1401" t="n">
        <v>263.580771811</v>
      </c>
      <c r="Q1401" t="n">
        <v>0.947058823529412</v>
      </c>
      <c r="R1401" t="inlineStr">
        <is>
          <t>Sobrestock crítico</t>
        </is>
      </c>
    </row>
    <row r="1402">
      <c r="A1402" t="inlineStr">
        <is>
          <t>SHONRCA16T2XL</t>
        </is>
      </c>
      <c r="B1402" t="inlineStr">
        <is>
          <t>SHORT SPORT CAB</t>
        </is>
      </c>
      <c r="C1402" t="inlineStr">
        <is>
          <t>Manufactura / Caballero / P. Inferiores</t>
        </is>
      </c>
      <c r="D1402" t="n">
        <v>472.03286575</v>
      </c>
      <c r="E1402" t="n">
        <v>0.0001155690201091082</v>
      </c>
      <c r="F1402" t="n">
        <v>0.9296516805258812</v>
      </c>
      <c r="G1402" t="inlineStr">
        <is>
          <t>B</t>
        </is>
      </c>
      <c r="H1402" t="n">
        <v>16</v>
      </c>
      <c r="I1402" t="n">
        <v>10.6514486</v>
      </c>
      <c r="J1402" t="n">
        <v>170.4231776</v>
      </c>
      <c r="K1402" t="n">
        <v>1.1</v>
      </c>
      <c r="L1402" t="n">
        <v>14.54545454545454</v>
      </c>
      <c r="M1402" t="n">
        <v>3</v>
      </c>
      <c r="N1402" t="n">
        <v>3.3</v>
      </c>
      <c r="O1402" t="n">
        <v>12.7</v>
      </c>
      <c r="P1402" t="n">
        <v>135.27339722</v>
      </c>
      <c r="Q1402" t="n">
        <v>0.79375</v>
      </c>
      <c r="R1402" t="inlineStr">
        <is>
          <t>Sobrestock crítico</t>
        </is>
      </c>
    </row>
    <row r="1403">
      <c r="A1403" t="inlineStr">
        <is>
          <t>CLMSUCA151TS</t>
        </is>
      </c>
      <c r="B1403" t="inlineStr">
        <is>
          <t>CLASICA MOTION CAB</t>
        </is>
      </c>
      <c r="C1403" t="inlineStr">
        <is>
          <t>Manufactura / Caballero / P. Superiores</t>
        </is>
      </c>
      <c r="D1403" t="n">
        <v>472.01775315</v>
      </c>
      <c r="E1403" t="n">
        <v>0.000115565320052396</v>
      </c>
      <c r="F1403" t="n">
        <v>0.9297672458459336</v>
      </c>
      <c r="G1403" t="inlineStr">
        <is>
          <t>B</t>
        </is>
      </c>
      <c r="H1403" t="n">
        <v>0</v>
      </c>
      <c r="I1403" t="n">
        <v>12.26</v>
      </c>
      <c r="J1403" t="n">
        <v>0</v>
      </c>
      <c r="K1403" t="n">
        <v>1.4</v>
      </c>
      <c r="L1403" t="n">
        <v>0</v>
      </c>
      <c r="M1403" t="n">
        <v>3</v>
      </c>
      <c r="N1403" t="n">
        <v>4.199999999999999</v>
      </c>
      <c r="O1403" t="n">
        <v>0</v>
      </c>
      <c r="P1403" t="n">
        <v>0</v>
      </c>
      <c r="Q1403" t="n">
        <v>0</v>
      </c>
      <c r="R1403" t="inlineStr">
        <is>
          <t>Riesgo bajo stock</t>
        </is>
      </c>
    </row>
    <row r="1404">
      <c r="A1404" t="inlineStr">
        <is>
          <t>SARSPKI12T6</t>
        </is>
      </c>
      <c r="B1404" t="inlineStr">
        <is>
          <t>FALDA SARA KIDS</t>
        </is>
      </c>
      <c r="C1404" t="inlineStr">
        <is>
          <t>Manufactura / Kids / P. Inferiores</t>
        </is>
      </c>
      <c r="D1404" t="n">
        <v>470.26916976</v>
      </c>
      <c r="E1404" t="n">
        <v>0.0001151372098854477</v>
      </c>
      <c r="F1404" t="n">
        <v>0.9298823830558191</v>
      </c>
      <c r="G1404" t="inlineStr">
        <is>
          <t>B</t>
        </is>
      </c>
      <c r="H1404" t="n">
        <v>24</v>
      </c>
      <c r="I1404" t="n">
        <v>5.753743316</v>
      </c>
      <c r="J1404" t="n">
        <v>138.089839584</v>
      </c>
      <c r="K1404" t="n">
        <v>1.4</v>
      </c>
      <c r="L1404" t="n">
        <v>17.14285714285714</v>
      </c>
      <c r="M1404" t="n">
        <v>3</v>
      </c>
      <c r="N1404" t="n">
        <v>4.199999999999999</v>
      </c>
      <c r="O1404" t="n">
        <v>19.8</v>
      </c>
      <c r="P1404" t="n">
        <v>113.9241176568</v>
      </c>
      <c r="Q1404" t="n">
        <v>0.8250000000000001</v>
      </c>
      <c r="R1404" t="inlineStr">
        <is>
          <t>Sobrestock crítico</t>
        </is>
      </c>
    </row>
    <row r="1405">
      <c r="A1405" t="inlineStr">
        <is>
          <t>ADUMMCA11TL</t>
        </is>
      </c>
      <c r="B1405" t="inlineStr">
        <is>
          <t>ACTIVE DUO CAB</t>
        </is>
      </c>
      <c r="C1405" t="inlineStr">
        <is>
          <t>Manufactura / Caballero / P. Superiores</t>
        </is>
      </c>
      <c r="D1405" t="n">
        <v>469.67473661</v>
      </c>
      <c r="E1405" t="n">
        <v>0.0001149916732890568</v>
      </c>
      <c r="F1405" t="n">
        <v>0.9299973747291082</v>
      </c>
      <c r="G1405" t="inlineStr">
        <is>
          <t>B</t>
        </is>
      </c>
      <c r="H1405" t="n">
        <v>1</v>
      </c>
      <c r="I1405" t="n">
        <v>5.09</v>
      </c>
      <c r="J1405" t="n">
        <v>5.09</v>
      </c>
      <c r="K1405" t="n">
        <v>1.1</v>
      </c>
      <c r="L1405" t="n">
        <v>0.9090909090909091</v>
      </c>
      <c r="M1405" t="n">
        <v>3</v>
      </c>
      <c r="N1405" t="n">
        <v>3.3</v>
      </c>
      <c r="O1405" t="n">
        <v>0</v>
      </c>
      <c r="P1405" t="n">
        <v>0</v>
      </c>
      <c r="Q1405" t="n">
        <v>0</v>
      </c>
      <c r="R1405" t="inlineStr">
        <is>
          <t>Riesgo bajo stock</t>
        </is>
      </c>
    </row>
    <row r="1406">
      <c r="A1406" t="inlineStr">
        <is>
          <t>CLADFCA70TM</t>
        </is>
      </c>
      <c r="B1406" t="inlineStr">
        <is>
          <t>CLASICA ADVANCE CAB</t>
        </is>
      </c>
      <c r="C1406" t="inlineStr">
        <is>
          <t>Manufactura / Caballero / P. Superiores</t>
        </is>
      </c>
      <c r="D1406" t="n">
        <v>468.45897385</v>
      </c>
      <c r="E1406" t="n">
        <v>0.000114694014966823</v>
      </c>
      <c r="F1406" t="n">
        <v>0.9301120687440749</v>
      </c>
      <c r="G1406" t="inlineStr">
        <is>
          <t>B</t>
        </is>
      </c>
      <c r="H1406" t="n">
        <v>0</v>
      </c>
      <c r="I1406" t="n">
        <v>15.51</v>
      </c>
      <c r="J1406" t="n">
        <v>0</v>
      </c>
      <c r="K1406" t="n">
        <v>1.1</v>
      </c>
      <c r="L1406" t="n">
        <v>0</v>
      </c>
      <c r="M1406" t="n">
        <v>3</v>
      </c>
      <c r="N1406" t="n">
        <v>3.3</v>
      </c>
      <c r="O1406" t="n">
        <v>0</v>
      </c>
      <c r="P1406" t="n">
        <v>0</v>
      </c>
      <c r="Q1406" t="n">
        <v>0</v>
      </c>
      <c r="R1406" t="inlineStr">
        <is>
          <t>Riesgo bajo stock</t>
        </is>
      </c>
    </row>
    <row r="1407">
      <c r="A1407" t="inlineStr">
        <is>
          <t>RIOMIDA70TL</t>
        </is>
      </c>
      <c r="B1407" t="inlineStr">
        <is>
          <t>RIO ORIGINAL DAMA</t>
        </is>
      </c>
      <c r="C1407" t="inlineStr">
        <is>
          <t>Manufactura / Dama / P. Superiores</t>
        </is>
      </c>
      <c r="D1407" t="n">
        <v>467.26515103</v>
      </c>
      <c r="E1407" t="n">
        <v>0.0001144017282565066</v>
      </c>
      <c r="F1407" t="n">
        <v>0.9302264704723314</v>
      </c>
      <c r="G1407" t="inlineStr">
        <is>
          <t>B</t>
        </is>
      </c>
      <c r="H1407" t="n">
        <v>37</v>
      </c>
      <c r="I1407" t="n">
        <v>5.538832275</v>
      </c>
      <c r="J1407" t="n">
        <v>204.936794175</v>
      </c>
      <c r="K1407" t="n">
        <v>0.8</v>
      </c>
      <c r="L1407" t="n">
        <v>46.25</v>
      </c>
      <c r="M1407" t="n">
        <v>3</v>
      </c>
      <c r="N1407" t="n">
        <v>2.4</v>
      </c>
      <c r="O1407" t="n">
        <v>34.6</v>
      </c>
      <c r="P1407" t="n">
        <v>191.643596715</v>
      </c>
      <c r="Q1407" t="n">
        <v>0.9351351351351352</v>
      </c>
      <c r="R1407" t="inlineStr">
        <is>
          <t>Sobrestock crítico</t>
        </is>
      </c>
    </row>
    <row r="1408">
      <c r="A1408" t="inlineStr">
        <is>
          <t>TALGTACA166TM</t>
        </is>
      </c>
      <c r="B1408" t="inlineStr">
        <is>
          <t>URBAN COTTON OVERSIZED VINTAGE VERDE CAB</t>
        </is>
      </c>
      <c r="C1408" t="inlineStr">
        <is>
          <t>Manufactura / Caballero / P. Superiores</t>
        </is>
      </c>
      <c r="D1408" t="n">
        <v>465.98681715</v>
      </c>
      <c r="E1408" t="n">
        <v>0.0001140887504860941</v>
      </c>
      <c r="F1408" t="n">
        <v>0.9303405592228176</v>
      </c>
      <c r="G1408" t="inlineStr">
        <is>
          <t>B</t>
        </is>
      </c>
      <c r="H1408" t="n">
        <v>0</v>
      </c>
      <c r="I1408" t="n">
        <v>12.16396667</v>
      </c>
      <c r="J1408" t="n">
        <v>0</v>
      </c>
      <c r="K1408" t="n">
        <v>1.1</v>
      </c>
      <c r="L1408" t="n">
        <v>0</v>
      </c>
      <c r="M1408" t="n">
        <v>3</v>
      </c>
      <c r="N1408" t="n">
        <v>3.3</v>
      </c>
      <c r="O1408" t="n">
        <v>0</v>
      </c>
      <c r="P1408" t="n">
        <v>0</v>
      </c>
      <c r="Q1408" t="n">
        <v>0</v>
      </c>
      <c r="R1408" t="inlineStr">
        <is>
          <t>Riesgo bajo stock</t>
        </is>
      </c>
    </row>
    <row r="1409">
      <c r="A1409" t="inlineStr">
        <is>
          <t>ADUMMCA11TXL</t>
        </is>
      </c>
      <c r="B1409" t="inlineStr">
        <is>
          <t>ACTIVE DUO CAB</t>
        </is>
      </c>
      <c r="C1409" t="inlineStr">
        <is>
          <t>Manufactura / Caballero / P. Superiores</t>
        </is>
      </c>
      <c r="D1409" t="n">
        <v>465.47350879</v>
      </c>
      <c r="E1409" t="n">
        <v>0.0001139630758806092</v>
      </c>
      <c r="F1409" t="n">
        <v>0.9304545222986982</v>
      </c>
      <c r="G1409" t="inlineStr">
        <is>
          <t>B</t>
        </is>
      </c>
      <c r="H1409" t="n">
        <v>20</v>
      </c>
      <c r="I1409" t="n">
        <v>5.09</v>
      </c>
      <c r="J1409" t="n">
        <v>101.8</v>
      </c>
      <c r="K1409" t="n">
        <v>1.1</v>
      </c>
      <c r="L1409" t="n">
        <v>18.18181818181818</v>
      </c>
      <c r="M1409" t="n">
        <v>3</v>
      </c>
      <c r="N1409" t="n">
        <v>3.3</v>
      </c>
      <c r="O1409" t="n">
        <v>16.7</v>
      </c>
      <c r="P1409" t="n">
        <v>85.003</v>
      </c>
      <c r="Q1409" t="n">
        <v>0.8350000000000001</v>
      </c>
      <c r="R1409" t="inlineStr">
        <is>
          <t>Sobrestock crítico</t>
        </is>
      </c>
    </row>
    <row r="1410">
      <c r="A1410" t="inlineStr">
        <is>
          <t>CLAMEDA43TS</t>
        </is>
      </c>
      <c r="B1410" t="inlineStr">
        <is>
          <t>CLÁSICA SPORT DAMA</t>
        </is>
      </c>
      <c r="C1410" t="inlineStr">
        <is>
          <t>Manufactura / Dama / P. Superiores</t>
        </is>
      </c>
      <c r="D1410" t="n">
        <v>465.39800878</v>
      </c>
      <c r="E1410" t="n">
        <v>0.0001139445910190518</v>
      </c>
      <c r="F1410" t="n">
        <v>0.9305684668897172</v>
      </c>
      <c r="G1410" t="inlineStr">
        <is>
          <t>B</t>
        </is>
      </c>
      <c r="H1410" t="n">
        <v>3</v>
      </c>
      <c r="I1410" t="n">
        <v>6.536105769</v>
      </c>
      <c r="J1410" t="n">
        <v>19.608317307</v>
      </c>
      <c r="K1410" t="n">
        <v>1</v>
      </c>
      <c r="L1410" t="n">
        <v>3</v>
      </c>
      <c r="M1410" t="n">
        <v>3</v>
      </c>
      <c r="N1410" t="n">
        <v>3</v>
      </c>
      <c r="O1410" t="n">
        <v>0</v>
      </c>
      <c r="P1410" t="n">
        <v>0</v>
      </c>
      <c r="Q1410" t="n">
        <v>0</v>
      </c>
      <c r="R1410" t="inlineStr">
        <is>
          <t>OK</t>
        </is>
      </c>
    </row>
    <row r="1411">
      <c r="A1411" t="inlineStr">
        <is>
          <t>MAYFNDA16TM</t>
        </is>
      </c>
      <c r="B1411" t="inlineStr">
        <is>
          <t>MAYA SPORT LITE DAMA</t>
        </is>
      </c>
      <c r="C1411" t="inlineStr">
        <is>
          <t>Manufactura / Dama / P. Superiores</t>
        </is>
      </c>
      <c r="D1411" t="n">
        <v>465.20914262</v>
      </c>
      <c r="E1411" t="n">
        <v>0.0001138983504315277</v>
      </c>
      <c r="F1411" t="n">
        <v>0.9306823652401487</v>
      </c>
      <c r="G1411" t="inlineStr">
        <is>
          <t>B</t>
        </is>
      </c>
      <c r="H1411" t="n">
        <v>33</v>
      </c>
      <c r="I1411" t="n">
        <v>3.870000000000001</v>
      </c>
      <c r="J1411" t="n">
        <v>127.71</v>
      </c>
      <c r="K1411" t="n">
        <v>1.3</v>
      </c>
      <c r="L1411" t="n">
        <v>25.38461538461538</v>
      </c>
      <c r="M1411" t="n">
        <v>3</v>
      </c>
      <c r="N1411" t="n">
        <v>3.9</v>
      </c>
      <c r="O1411" t="n">
        <v>29.1</v>
      </c>
      <c r="P1411" t="n">
        <v>112.617</v>
      </c>
      <c r="Q1411" t="n">
        <v>0.8818181818181818</v>
      </c>
      <c r="R1411" t="inlineStr">
        <is>
          <t>Sobrestock crítico</t>
        </is>
      </c>
    </row>
    <row r="1412">
      <c r="A1412" t="inlineStr">
        <is>
          <t>CLADFCA30TXL</t>
        </is>
      </c>
      <c r="B1412" t="inlineStr">
        <is>
          <t>CLASICA ADVANCE CAB</t>
        </is>
      </c>
      <c r="C1412" t="inlineStr">
        <is>
          <t>Manufactura / Caballero / P. Superiores</t>
        </is>
      </c>
      <c r="D1412" t="n">
        <v>464.98551951</v>
      </c>
      <c r="E1412" t="n">
        <v>0.0001138436002105757</v>
      </c>
      <c r="F1412" t="n">
        <v>0.9307962088403593</v>
      </c>
      <c r="G1412" t="inlineStr">
        <is>
          <t>B</t>
        </is>
      </c>
      <c r="H1412" t="n">
        <v>0</v>
      </c>
      <c r="I1412" t="n">
        <v>15.51</v>
      </c>
      <c r="J1412" t="n">
        <v>0</v>
      </c>
      <c r="K1412" t="n">
        <v>1</v>
      </c>
      <c r="L1412" t="n">
        <v>0</v>
      </c>
      <c r="M1412" t="n">
        <v>3</v>
      </c>
      <c r="N1412" t="n">
        <v>3</v>
      </c>
      <c r="O1412" t="n">
        <v>0</v>
      </c>
      <c r="P1412" t="n">
        <v>0</v>
      </c>
      <c r="Q1412" t="n">
        <v>0</v>
      </c>
      <c r="R1412" t="inlineStr">
        <is>
          <t>Sin rotación</t>
        </is>
      </c>
    </row>
    <row r="1413">
      <c r="A1413" t="inlineStr">
        <is>
          <t>CCBHMCA03TS</t>
        </is>
      </c>
      <c r="B1413" t="inlineStr">
        <is>
          <t>CLUB CLASICA CABALLERO</t>
        </is>
      </c>
      <c r="C1413" t="inlineStr">
        <is>
          <t>Manufactura / Caballero / P. Superiores</t>
        </is>
      </c>
      <c r="D1413" t="n">
        <v>463</v>
      </c>
      <c r="E1413" t="n">
        <v>0.0001133574803642094</v>
      </c>
      <c r="F1413" t="n">
        <v>0.9309095663207235</v>
      </c>
      <c r="G1413" t="inlineStr">
        <is>
          <t>B</t>
        </is>
      </c>
      <c r="H1413" t="n">
        <v>6</v>
      </c>
      <c r="I1413" t="n">
        <v>1</v>
      </c>
      <c r="J1413" t="n">
        <v>6</v>
      </c>
      <c r="K1413" t="n">
        <v>1.3</v>
      </c>
      <c r="L1413" t="n">
        <v>4.615384615384615</v>
      </c>
      <c r="M1413" t="n">
        <v>3</v>
      </c>
      <c r="N1413" t="n">
        <v>3.9</v>
      </c>
      <c r="O1413" t="n">
        <v>2.1</v>
      </c>
      <c r="P1413" t="n">
        <v>2.1</v>
      </c>
      <c r="Q1413" t="n">
        <v>0.3499999999999999</v>
      </c>
      <c r="R1413" t="inlineStr">
        <is>
          <t>Sobrestock crítico</t>
        </is>
      </c>
    </row>
    <row r="1414">
      <c r="A1414" t="inlineStr">
        <is>
          <t>MAFMIDA01TS</t>
        </is>
      </c>
      <c r="B1414" t="inlineStr">
        <is>
          <t>MAFE ORIGINAL DAMA</t>
        </is>
      </c>
      <c r="C1414" t="inlineStr">
        <is>
          <t>Manufactura / Dama / P. Superiores</t>
        </is>
      </c>
      <c r="D1414" t="n">
        <v>460.04193775</v>
      </c>
      <c r="E1414" t="n">
        <v>0.00011263325037842</v>
      </c>
      <c r="F1414" t="n">
        <v>0.9310221995711019</v>
      </c>
      <c r="G1414" t="inlineStr">
        <is>
          <t>B</t>
        </is>
      </c>
      <c r="H1414" t="n">
        <v>21</v>
      </c>
      <c r="I1414" t="n">
        <v>4.54817671</v>
      </c>
      <c r="J1414" t="n">
        <v>95.51171091000001</v>
      </c>
      <c r="K1414" t="n">
        <v>1.6</v>
      </c>
      <c r="L1414" t="n">
        <v>13.125</v>
      </c>
      <c r="M1414" t="n">
        <v>3</v>
      </c>
      <c r="N1414" t="n">
        <v>4.800000000000001</v>
      </c>
      <c r="O1414" t="n">
        <v>16.2</v>
      </c>
      <c r="P1414" t="n">
        <v>73.680462702</v>
      </c>
      <c r="Q1414" t="n">
        <v>0.7714285714285714</v>
      </c>
      <c r="R1414" t="inlineStr">
        <is>
          <t>Sobrestock crítico</t>
        </is>
      </c>
    </row>
    <row r="1415">
      <c r="A1415" t="inlineStr">
        <is>
          <t>SHUNTCA157TS</t>
        </is>
      </c>
      <c r="B1415" t="inlineStr">
        <is>
          <t>SHORT SPORT R1 CAB</t>
        </is>
      </c>
      <c r="C1415" t="inlineStr">
        <is>
          <t>Manufactura / Caballero / P. Inferiores</t>
        </is>
      </c>
      <c r="D1415" t="n">
        <v>459.57941634</v>
      </c>
      <c r="E1415" t="n">
        <v>0.000112520010072476</v>
      </c>
      <c r="F1415" t="n">
        <v>0.9311347195811744</v>
      </c>
      <c r="G1415" t="inlineStr">
        <is>
          <t>B</t>
        </is>
      </c>
      <c r="H1415" t="n">
        <v>8</v>
      </c>
      <c r="I1415" t="n">
        <v>9.119999999999999</v>
      </c>
      <c r="J1415" t="n">
        <v>72.95999999999999</v>
      </c>
      <c r="K1415" t="n">
        <v>0.9</v>
      </c>
      <c r="L1415" t="n">
        <v>8.888888888888889</v>
      </c>
      <c r="M1415" t="n">
        <v>3</v>
      </c>
      <c r="N1415" t="n">
        <v>2.7</v>
      </c>
      <c r="O1415" t="n">
        <v>5.3</v>
      </c>
      <c r="P1415" t="n">
        <v>48.33599999999999</v>
      </c>
      <c r="Q1415" t="n">
        <v>0.6625</v>
      </c>
      <c r="R1415" t="inlineStr">
        <is>
          <t>Sobrestock crítico</t>
        </is>
      </c>
    </row>
    <row r="1416">
      <c r="A1416" t="inlineStr">
        <is>
          <t>HELBFDA30TM</t>
        </is>
      </c>
      <c r="B1416" t="inlineStr">
        <is>
          <t>HELEN BIO MOVE DAMA</t>
        </is>
      </c>
      <c r="C1416" t="inlineStr">
        <is>
          <t>Manufactura / Dama / P. Superiores</t>
        </is>
      </c>
      <c r="D1416" t="n">
        <v>459.42303588</v>
      </c>
      <c r="E1416" t="n">
        <v>0.000112481723042403</v>
      </c>
      <c r="F1416" t="n">
        <v>0.9312472013042168</v>
      </c>
      <c r="G1416" t="inlineStr">
        <is>
          <t>B</t>
        </is>
      </c>
      <c r="H1416" t="n">
        <v>24</v>
      </c>
      <c r="I1416" t="n">
        <v>7.340817459999999</v>
      </c>
      <c r="J1416" t="n">
        <v>176.17961904</v>
      </c>
      <c r="K1416" t="n">
        <v>0.8</v>
      </c>
      <c r="L1416" t="n">
        <v>30</v>
      </c>
      <c r="M1416" t="n">
        <v>3</v>
      </c>
      <c r="N1416" t="n">
        <v>2.4</v>
      </c>
      <c r="O1416" t="n">
        <v>21.6</v>
      </c>
      <c r="P1416" t="n">
        <v>158.561657136</v>
      </c>
      <c r="Q1416" t="n">
        <v>0.9000000000000001</v>
      </c>
      <c r="R1416" t="inlineStr">
        <is>
          <t>Sobrestock crítico</t>
        </is>
      </c>
    </row>
    <row r="1417">
      <c r="A1417" t="inlineStr">
        <is>
          <t>SUC42EQ</t>
        </is>
      </c>
      <c r="B1417" t="inlineStr">
        <is>
          <t>SUNNY CORD 2.0</t>
        </is>
      </c>
      <c r="C1417" t="inlineStr">
        <is>
          <t>Equipamiento / Accesorios</t>
        </is>
      </c>
      <c r="D1417" t="n">
        <v>458.966053323</v>
      </c>
      <c r="E1417" t="n">
        <v>0.0001123698388280792</v>
      </c>
      <c r="F1417" t="n">
        <v>0.9313595711430449</v>
      </c>
      <c r="G1417" t="inlineStr">
        <is>
          <t>B</t>
        </is>
      </c>
      <c r="H1417" t="n">
        <v>397</v>
      </c>
      <c r="I1417" t="n">
        <v>0.66</v>
      </c>
      <c r="J1417" t="n">
        <v>262.02</v>
      </c>
      <c r="K1417" t="n">
        <v>13.3</v>
      </c>
      <c r="L1417" t="n">
        <v>29.84962406015038</v>
      </c>
      <c r="M1417" t="n">
        <v>3</v>
      </c>
      <c r="N1417" t="n">
        <v>39.90000000000001</v>
      </c>
      <c r="O1417" t="n">
        <v>357.1</v>
      </c>
      <c r="P1417" t="n">
        <v>235.686</v>
      </c>
      <c r="Q1417" t="n">
        <v>0.8994962216624686</v>
      </c>
      <c r="R1417" t="inlineStr">
        <is>
          <t>Sobrestock crítico</t>
        </is>
      </c>
    </row>
    <row r="1418">
      <c r="A1418" t="inlineStr">
        <is>
          <t>CUTAG84</t>
        </is>
      </c>
      <c r="B1418" t="inlineStr">
        <is>
          <t>CUADRO TAG</t>
        </is>
      </c>
      <c r="C1418" t="inlineStr">
        <is>
          <t>Equipamiento / Accesorios</t>
        </is>
      </c>
      <c r="D1418" t="n">
        <v>457.755988522</v>
      </c>
      <c r="E1418" t="n">
        <v>0.0001120735755517967</v>
      </c>
      <c r="F1418" t="n">
        <v>0.9314716447185967</v>
      </c>
      <c r="G1418" t="inlineStr">
        <is>
          <t>B</t>
        </is>
      </c>
      <c r="H1418" t="n">
        <v>218</v>
      </c>
      <c r="I1418" t="n">
        <v>0.8100000000000002</v>
      </c>
      <c r="J1418" t="n">
        <v>176.58</v>
      </c>
      <c r="K1418" t="n">
        <v>9.4</v>
      </c>
      <c r="L1418" t="n">
        <v>23.19148936170213</v>
      </c>
      <c r="M1418" t="n">
        <v>3</v>
      </c>
      <c r="N1418" t="n">
        <v>28.2</v>
      </c>
      <c r="O1418" t="n">
        <v>189.8</v>
      </c>
      <c r="P1418" t="n">
        <v>153.738</v>
      </c>
      <c r="Q1418" t="n">
        <v>0.8706422018348623</v>
      </c>
      <c r="R1418" t="inlineStr">
        <is>
          <t>Sobrestock crítico</t>
        </is>
      </c>
    </row>
    <row r="1419">
      <c r="A1419" t="inlineStr">
        <is>
          <t>NAHFNCA10TM</t>
        </is>
      </c>
      <c r="B1419" t="inlineStr">
        <is>
          <t>NOAH SPORT LITE CAB</t>
        </is>
      </c>
      <c r="C1419" t="inlineStr">
        <is>
          <t>Manufactura / Caballero / P. Superiores</t>
        </is>
      </c>
      <c r="D1419" t="n">
        <v>457.67112364</v>
      </c>
      <c r="E1419" t="n">
        <v>0.0001120527978645507</v>
      </c>
      <c r="F1419" t="n">
        <v>0.9315836975164612</v>
      </c>
      <c r="G1419" t="inlineStr">
        <is>
          <t>B</t>
        </is>
      </c>
      <c r="H1419" t="n">
        <v>0</v>
      </c>
      <c r="I1419" t="n">
        <v>17.61141534</v>
      </c>
      <c r="J1419" t="n">
        <v>0</v>
      </c>
      <c r="K1419" t="n">
        <v>1.4</v>
      </c>
      <c r="L1419" t="n">
        <v>0</v>
      </c>
      <c r="M1419" t="n">
        <v>3</v>
      </c>
      <c r="N1419" t="n">
        <v>4.199999999999999</v>
      </c>
      <c r="O1419" t="n">
        <v>0</v>
      </c>
      <c r="P1419" t="n">
        <v>0</v>
      </c>
      <c r="Q1419" t="n">
        <v>0</v>
      </c>
      <c r="R1419" t="inlineStr">
        <is>
          <t>Riesgo bajo stock</t>
        </is>
      </c>
    </row>
    <row r="1420">
      <c r="A1420" t="inlineStr">
        <is>
          <t>NAHFNCA13TXL</t>
        </is>
      </c>
      <c r="B1420" t="inlineStr">
        <is>
          <t>NOAH SPORT LITE CAB</t>
        </is>
      </c>
      <c r="C1420" t="inlineStr">
        <is>
          <t>Manufactura / Caballero / P. Superiores</t>
        </is>
      </c>
      <c r="D1420" t="n">
        <v>457.42226309</v>
      </c>
      <c r="E1420" t="n">
        <v>0.0001119918686962784</v>
      </c>
      <c r="F1420" t="n">
        <v>0.9316956893851576</v>
      </c>
      <c r="G1420" t="inlineStr">
        <is>
          <t>B</t>
        </is>
      </c>
      <c r="H1420" t="n">
        <v>8</v>
      </c>
      <c r="I1420" t="n">
        <v>17.61141534</v>
      </c>
      <c r="J1420" t="n">
        <v>140.89132272</v>
      </c>
      <c r="K1420" t="n">
        <v>1.2</v>
      </c>
      <c r="L1420" t="n">
        <v>6.666666666666667</v>
      </c>
      <c r="M1420" t="n">
        <v>3</v>
      </c>
      <c r="N1420" t="n">
        <v>3.6</v>
      </c>
      <c r="O1420" t="n">
        <v>4.4</v>
      </c>
      <c r="P1420" t="n">
        <v>77.490227496</v>
      </c>
      <c r="Q1420" t="n">
        <v>0.55</v>
      </c>
      <c r="R1420" t="inlineStr">
        <is>
          <t>Sobrestock crítico</t>
        </is>
      </c>
    </row>
    <row r="1421">
      <c r="A1421" t="inlineStr">
        <is>
          <t>LPR38EQ</t>
        </is>
      </c>
      <c r="B1421" t="inlineStr">
        <is>
          <t>LANYARD PRO</t>
        </is>
      </c>
      <c r="C1421" t="inlineStr">
        <is>
          <t>Equipamiento / Accesorios</t>
        </is>
      </c>
      <c r="D1421" t="n">
        <v>457.084067149</v>
      </c>
      <c r="E1421" t="n">
        <v>0.000111909067314548</v>
      </c>
      <c r="F1421" t="n">
        <v>0.9318075984524721</v>
      </c>
      <c r="G1421" t="inlineStr">
        <is>
          <t>B</t>
        </is>
      </c>
      <c r="H1421" t="n">
        <v>356</v>
      </c>
      <c r="I1421" t="n">
        <v>1.15</v>
      </c>
      <c r="J1421" t="n">
        <v>409.4</v>
      </c>
      <c r="K1421" t="n">
        <v>10.2</v>
      </c>
      <c r="L1421" t="n">
        <v>34.90196078431373</v>
      </c>
      <c r="M1421" t="n">
        <v>3</v>
      </c>
      <c r="N1421" t="n">
        <v>30.6</v>
      </c>
      <c r="O1421" t="n">
        <v>325.4</v>
      </c>
      <c r="P1421" t="n">
        <v>374.2099999999999</v>
      </c>
      <c r="Q1421" t="n">
        <v>0.9140449438202246</v>
      </c>
      <c r="R1421" t="inlineStr">
        <is>
          <t>Sobrestock crítico</t>
        </is>
      </c>
    </row>
    <row r="1422">
      <c r="A1422" t="inlineStr">
        <is>
          <t>CLADFCA151TM</t>
        </is>
      </c>
      <c r="B1422" t="inlineStr">
        <is>
          <t>CLASICA ADVANCE CAB</t>
        </is>
      </c>
      <c r="C1422" t="inlineStr">
        <is>
          <t>Manufactura / Caballero / P. Superiores</t>
        </is>
      </c>
      <c r="D1422" t="n">
        <v>453.63569457</v>
      </c>
      <c r="E1422" t="n">
        <v>0.000111064793390331</v>
      </c>
      <c r="F1422" t="n">
        <v>0.9319186632458625</v>
      </c>
      <c r="G1422" t="inlineStr">
        <is>
          <t>B</t>
        </is>
      </c>
      <c r="H1422" t="n">
        <v>0</v>
      </c>
      <c r="I1422" t="n">
        <v>15.51</v>
      </c>
      <c r="J1422" t="n">
        <v>0</v>
      </c>
      <c r="K1422" t="n">
        <v>0.9</v>
      </c>
      <c r="L1422" t="n">
        <v>0</v>
      </c>
      <c r="M1422" t="n">
        <v>3</v>
      </c>
      <c r="N1422" t="n">
        <v>2.7</v>
      </c>
      <c r="O1422" t="n">
        <v>0</v>
      </c>
      <c r="P1422" t="n">
        <v>0</v>
      </c>
      <c r="Q1422" t="n">
        <v>0</v>
      </c>
      <c r="R1422" t="inlineStr">
        <is>
          <t>Riesgo bajo stock</t>
        </is>
      </c>
    </row>
    <row r="1423">
      <c r="A1423" t="inlineStr">
        <is>
          <t>ZOEMIDA34TXS</t>
        </is>
      </c>
      <c r="B1423" t="inlineStr">
        <is>
          <t>ZOE ORIGINAL DAMA</t>
        </is>
      </c>
      <c r="C1423" t="inlineStr">
        <is>
          <t>Manufactura / Dama / P. Superiores</t>
        </is>
      </c>
      <c r="D1423" t="n">
        <v>451.61643913</v>
      </c>
      <c r="E1423" t="n">
        <v>0.0001105704138894884</v>
      </c>
      <c r="F1423" t="n">
        <v>0.9320292336597519</v>
      </c>
      <c r="G1423" t="inlineStr">
        <is>
          <t>B</t>
        </is>
      </c>
      <c r="H1423" t="n">
        <v>7</v>
      </c>
      <c r="I1423" t="n">
        <v>4.116585696</v>
      </c>
      <c r="J1423" t="n">
        <v>28.816099872</v>
      </c>
      <c r="K1423" t="n">
        <v>1.3</v>
      </c>
      <c r="L1423" t="n">
        <v>5.384615384615384</v>
      </c>
      <c r="M1423" t="n">
        <v>3</v>
      </c>
      <c r="N1423" t="n">
        <v>3.9</v>
      </c>
      <c r="O1423" t="n">
        <v>3.1</v>
      </c>
      <c r="P1423" t="n">
        <v>12.7614156576</v>
      </c>
      <c r="Q1423" t="n">
        <v>0.4428571428571428</v>
      </c>
      <c r="R1423" t="inlineStr">
        <is>
          <t>Sobrestock crítico</t>
        </is>
      </c>
    </row>
    <row r="1424">
      <c r="A1424" t="inlineStr">
        <is>
          <t>SHONRCA16TS</t>
        </is>
      </c>
      <c r="B1424" t="inlineStr">
        <is>
          <t>SHORT SPORT CAB</t>
        </is>
      </c>
      <c r="C1424" t="inlineStr">
        <is>
          <t>Manufactura / Caballero / P. Inferiores</t>
        </is>
      </c>
      <c r="D1424" t="n">
        <v>451.45725834</v>
      </c>
      <c r="E1424" t="n">
        <v>0.000110531441247422</v>
      </c>
      <c r="F1424" t="n">
        <v>0.9321397651009993</v>
      </c>
      <c r="G1424" t="inlineStr">
        <is>
          <t>B</t>
        </is>
      </c>
      <c r="H1424" t="n">
        <v>5</v>
      </c>
      <c r="I1424" t="n">
        <v>10.6514486</v>
      </c>
      <c r="J1424" t="n">
        <v>53.257243</v>
      </c>
      <c r="K1424" t="n">
        <v>1.8</v>
      </c>
      <c r="L1424" t="n">
        <v>2.777777777777778</v>
      </c>
      <c r="M1424" t="n">
        <v>3</v>
      </c>
      <c r="N1424" t="n">
        <v>5.4</v>
      </c>
      <c r="O1424" t="n">
        <v>0</v>
      </c>
      <c r="P1424" t="n">
        <v>0</v>
      </c>
      <c r="Q1424" t="n">
        <v>0</v>
      </c>
      <c r="R1424" t="inlineStr">
        <is>
          <t>OK</t>
        </is>
      </c>
    </row>
    <row r="1425">
      <c r="A1425" t="inlineStr">
        <is>
          <t>SHONTCA66TM</t>
        </is>
      </c>
      <c r="B1425" t="inlineStr">
        <is>
          <t>EXPLORE SHORT CAB</t>
        </is>
      </c>
      <c r="C1425" t="inlineStr">
        <is>
          <t>Manufactura / Caballero / P. Inferiores</t>
        </is>
      </c>
      <c r="D1425" t="n">
        <v>450.89238808</v>
      </c>
      <c r="E1425" t="n">
        <v>0.0001103931426093954</v>
      </c>
      <c r="F1425" t="n">
        <v>0.9322501582436087</v>
      </c>
      <c r="G1425" t="inlineStr">
        <is>
          <t>B</t>
        </is>
      </c>
      <c r="H1425" t="n">
        <v>0</v>
      </c>
      <c r="I1425" t="n">
        <v>11.17</v>
      </c>
      <c r="J1425" t="n">
        <v>0</v>
      </c>
      <c r="K1425" t="n">
        <v>0.9</v>
      </c>
      <c r="L1425" t="n">
        <v>0</v>
      </c>
      <c r="M1425" t="n">
        <v>3</v>
      </c>
      <c r="N1425" t="n">
        <v>2.7</v>
      </c>
      <c r="O1425" t="n">
        <v>0</v>
      </c>
      <c r="P1425" t="n">
        <v>0</v>
      </c>
      <c r="Q1425" t="n">
        <v>0</v>
      </c>
      <c r="R1425" t="inlineStr">
        <is>
          <t>Riesgo bajo stock</t>
        </is>
      </c>
    </row>
    <row r="1426">
      <c r="A1426" t="inlineStr">
        <is>
          <t>ZOEMIKI34T12</t>
        </is>
      </c>
      <c r="B1426" t="inlineStr">
        <is>
          <t>ZOE ORIGINAL KIDS</t>
        </is>
      </c>
      <c r="C1426" t="inlineStr">
        <is>
          <t>Manufactura / Kids / P. Superiores</t>
        </is>
      </c>
      <c r="D1426" t="n">
        <v>449.9329558</v>
      </c>
      <c r="E1426" t="n">
        <v>0.0001101582423376009</v>
      </c>
      <c r="F1426" t="n">
        <v>0.9323603164859464</v>
      </c>
      <c r="G1426" t="inlineStr">
        <is>
          <t>B</t>
        </is>
      </c>
      <c r="H1426" t="n">
        <v>28</v>
      </c>
      <c r="I1426" t="n">
        <v>4.12</v>
      </c>
      <c r="J1426" t="n">
        <v>115.36</v>
      </c>
      <c r="K1426" t="n">
        <v>1.3</v>
      </c>
      <c r="L1426" t="n">
        <v>21.53846153846154</v>
      </c>
      <c r="M1426" t="n">
        <v>3</v>
      </c>
      <c r="N1426" t="n">
        <v>3.9</v>
      </c>
      <c r="O1426" t="n">
        <v>24.1</v>
      </c>
      <c r="P1426" t="n">
        <v>99.292</v>
      </c>
      <c r="Q1426" t="n">
        <v>0.8607142857142858</v>
      </c>
      <c r="R1426" t="inlineStr">
        <is>
          <t>Sobrestock crítico</t>
        </is>
      </c>
    </row>
    <row r="1427">
      <c r="A1427" t="inlineStr">
        <is>
          <t>LMOFIDA66TL</t>
        </is>
      </c>
      <c r="B1427" t="inlineStr">
        <is>
          <t>LEGGING MOVA</t>
        </is>
      </c>
      <c r="C1427" t="inlineStr">
        <is>
          <t>Manufactura / Dama / P. Inferiores</t>
        </is>
      </c>
      <c r="D1427" t="n">
        <v>449.5747443</v>
      </c>
      <c r="E1427" t="n">
        <v>0.0001100705404951009</v>
      </c>
      <c r="F1427" t="n">
        <v>0.9324703870264415</v>
      </c>
      <c r="G1427" t="inlineStr">
        <is>
          <t>B</t>
        </is>
      </c>
      <c r="H1427" t="n">
        <v>5</v>
      </c>
      <c r="I1427" t="n">
        <v>17.7</v>
      </c>
      <c r="J1427" t="n">
        <v>88.5</v>
      </c>
      <c r="K1427" t="n">
        <v>0.6</v>
      </c>
      <c r="L1427" t="n">
        <v>8.333333333333334</v>
      </c>
      <c r="M1427" t="n">
        <v>3</v>
      </c>
      <c r="N1427" t="n">
        <v>1.8</v>
      </c>
      <c r="O1427" t="n">
        <v>3.2</v>
      </c>
      <c r="P1427" t="n">
        <v>56.64</v>
      </c>
      <c r="Q1427" t="n">
        <v>0.64</v>
      </c>
      <c r="R1427" t="inlineStr">
        <is>
          <t>Sobrestock crítico</t>
        </is>
      </c>
    </row>
    <row r="1428">
      <c r="A1428" t="inlineStr">
        <is>
          <t>CLMSUCA152T2XL</t>
        </is>
      </c>
      <c r="B1428" t="inlineStr">
        <is>
          <t>CLASICA MOTION CAB</t>
        </is>
      </c>
      <c r="C1428" t="inlineStr">
        <is>
          <t>Manufactura / Caballero / P. Superiores</t>
        </is>
      </c>
      <c r="D1428" t="n">
        <v>449.53958379</v>
      </c>
      <c r="E1428" t="n">
        <v>0.0001100619320570406</v>
      </c>
      <c r="F1428" t="n">
        <v>0.9325804489584986</v>
      </c>
      <c r="G1428" t="inlineStr">
        <is>
          <t>B</t>
        </is>
      </c>
      <c r="H1428" t="n">
        <v>6</v>
      </c>
      <c r="I1428" t="n">
        <v>12.26</v>
      </c>
      <c r="J1428" t="n">
        <v>73.56</v>
      </c>
      <c r="K1428" t="n">
        <v>0.9</v>
      </c>
      <c r="L1428" t="n">
        <v>6.666666666666666</v>
      </c>
      <c r="M1428" t="n">
        <v>3</v>
      </c>
      <c r="N1428" t="n">
        <v>2.7</v>
      </c>
      <c r="O1428" t="n">
        <v>3.3</v>
      </c>
      <c r="P1428" t="n">
        <v>40.458</v>
      </c>
      <c r="Q1428" t="n">
        <v>0.5499999999999999</v>
      </c>
      <c r="R1428" t="inlineStr">
        <is>
          <t>Sobrestock crítico</t>
        </is>
      </c>
    </row>
    <row r="1429">
      <c r="A1429" t="inlineStr">
        <is>
          <t>HELBFDA43TM</t>
        </is>
      </c>
      <c r="B1429" t="inlineStr">
        <is>
          <t>HELEN BIO MOVE DAMA</t>
        </is>
      </c>
      <c r="C1429" t="inlineStr">
        <is>
          <t>Manufactura / Dama / P. Superiores</t>
        </is>
      </c>
      <c r="D1429" t="n">
        <v>448.79630023</v>
      </c>
      <c r="E1429" t="n">
        <v>0.0001098799520320779</v>
      </c>
      <c r="F1429" t="n">
        <v>0.9326903289105305</v>
      </c>
      <c r="G1429" t="inlineStr">
        <is>
          <t>B</t>
        </is>
      </c>
      <c r="H1429" t="n">
        <v>0</v>
      </c>
      <c r="I1429" t="n">
        <v>7.34081746</v>
      </c>
      <c r="J1429" t="n">
        <v>0</v>
      </c>
      <c r="K1429" t="n">
        <v>0.9</v>
      </c>
      <c r="L1429" t="n">
        <v>0</v>
      </c>
      <c r="M1429" t="n">
        <v>3</v>
      </c>
      <c r="N1429" t="n">
        <v>2.7</v>
      </c>
      <c r="O1429" t="n">
        <v>0</v>
      </c>
      <c r="P1429" t="n">
        <v>0</v>
      </c>
      <c r="Q1429" t="n">
        <v>0</v>
      </c>
      <c r="R1429" t="inlineStr">
        <is>
          <t>Riesgo bajo stock</t>
        </is>
      </c>
    </row>
    <row r="1430">
      <c r="A1430" t="inlineStr">
        <is>
          <t>TALGOTADA166TL</t>
        </is>
      </c>
      <c r="B1430" t="inlineStr">
        <is>
          <t>URBAN COTTON TOP SUNSET DAMA</t>
        </is>
      </c>
      <c r="C1430" t="inlineStr">
        <is>
          <t>Manufactura / Dama / P. Superiores</t>
        </is>
      </c>
      <c r="D1430" t="n">
        <v>447.29748737</v>
      </c>
      <c r="E1430" t="n">
        <v>0.0001095129938261447</v>
      </c>
      <c r="F1430" t="n">
        <v>0.9327998419043567</v>
      </c>
      <c r="G1430" t="inlineStr">
        <is>
          <t>B</t>
        </is>
      </c>
      <c r="H1430" t="n">
        <v>4</v>
      </c>
      <c r="I1430" t="n">
        <v>7.815168794</v>
      </c>
      <c r="J1430" t="n">
        <v>31.260675176</v>
      </c>
      <c r="K1430" t="n">
        <v>0.9</v>
      </c>
      <c r="L1430" t="n">
        <v>4.444444444444445</v>
      </c>
      <c r="M1430" t="n">
        <v>3</v>
      </c>
      <c r="N1430" t="n">
        <v>2.7</v>
      </c>
      <c r="O1430" t="n">
        <v>1.3</v>
      </c>
      <c r="P1430" t="n">
        <v>10.1597194322</v>
      </c>
      <c r="Q1430" t="n">
        <v>0.325</v>
      </c>
      <c r="R1430" t="inlineStr">
        <is>
          <t>Sobrestock crítico</t>
        </is>
      </c>
    </row>
    <row r="1431">
      <c r="A1431" t="inlineStr">
        <is>
          <t>SARSPKI43T4</t>
        </is>
      </c>
      <c r="B1431" t="inlineStr">
        <is>
          <t>FALDA SARA KIDS</t>
        </is>
      </c>
      <c r="C1431" t="inlineStr">
        <is>
          <t>Manufactura / Kids / P. Inferiores</t>
        </is>
      </c>
      <c r="D1431" t="n">
        <v>445.96376123</v>
      </c>
      <c r="E1431" t="n">
        <v>0.0001091864542263039</v>
      </c>
      <c r="F1431" t="n">
        <v>0.932909028358583</v>
      </c>
      <c r="G1431" t="inlineStr">
        <is>
          <t>B</t>
        </is>
      </c>
      <c r="H1431" t="n">
        <v>34</v>
      </c>
      <c r="I1431" t="n">
        <v>5.753743316</v>
      </c>
      <c r="J1431" t="n">
        <v>195.627272744</v>
      </c>
      <c r="K1431" t="n">
        <v>1.1</v>
      </c>
      <c r="L1431" t="n">
        <v>30.90909090909091</v>
      </c>
      <c r="M1431" t="n">
        <v>3</v>
      </c>
      <c r="N1431" t="n">
        <v>3.3</v>
      </c>
      <c r="O1431" t="n">
        <v>30.7</v>
      </c>
      <c r="P1431" t="n">
        <v>176.6399198012</v>
      </c>
      <c r="Q1431" t="n">
        <v>0.9029411764705884</v>
      </c>
      <c r="R1431" t="inlineStr">
        <is>
          <t>Sobrestock crítico</t>
        </is>
      </c>
    </row>
    <row r="1432">
      <c r="A1432" t="inlineStr">
        <is>
          <t>RIOMIKI01T14</t>
        </is>
      </c>
      <c r="B1432" t="inlineStr">
        <is>
          <t>RIO ORIGINAL KIDS</t>
        </is>
      </c>
      <c r="C1432" t="inlineStr">
        <is>
          <t>Manufactura / Kids / P. Superiores</t>
        </is>
      </c>
      <c r="D1432" t="n">
        <v>445.6139463</v>
      </c>
      <c r="E1432" t="n">
        <v>0.0001091008081376244</v>
      </c>
      <c r="F1432" t="n">
        <v>0.9330181291667207</v>
      </c>
      <c r="G1432" t="inlineStr">
        <is>
          <t>B</t>
        </is>
      </c>
      <c r="H1432" t="n">
        <v>7</v>
      </c>
      <c r="I1432" t="n">
        <v>3.617969464</v>
      </c>
      <c r="J1432" t="n">
        <v>25.325786248</v>
      </c>
      <c r="K1432" t="n">
        <v>1.1</v>
      </c>
      <c r="L1432" t="n">
        <v>6.363636363636363</v>
      </c>
      <c r="M1432" t="n">
        <v>3</v>
      </c>
      <c r="N1432" t="n">
        <v>3.3</v>
      </c>
      <c r="O1432" t="n">
        <v>3.7</v>
      </c>
      <c r="P1432" t="n">
        <v>13.3864870168</v>
      </c>
      <c r="Q1432" t="n">
        <v>0.5285714285714286</v>
      </c>
      <c r="R1432" t="inlineStr">
        <is>
          <t>Sobrestock crítico</t>
        </is>
      </c>
    </row>
    <row r="1433">
      <c r="A1433" t="inlineStr">
        <is>
          <t>DAYCSTDA66TL</t>
        </is>
      </c>
      <c r="B1433" t="inlineStr">
        <is>
          <t>CLASICA DAILY 3.0 DAMA</t>
        </is>
      </c>
      <c r="C1433" t="inlineStr">
        <is>
          <t>Manufactura / Dama / P. Superiores</t>
        </is>
      </c>
      <c r="D1433" t="n">
        <v>445.51171601</v>
      </c>
      <c r="E1433" t="n">
        <v>0.0001090757788328916</v>
      </c>
      <c r="F1433" t="n">
        <v>0.9331272049455536</v>
      </c>
      <c r="G1433" t="inlineStr">
        <is>
          <t>B</t>
        </is>
      </c>
      <c r="H1433" t="n">
        <v>8</v>
      </c>
      <c r="I1433" t="n">
        <v>10.28586481</v>
      </c>
      <c r="J1433" t="n">
        <v>82.28691848</v>
      </c>
      <c r="K1433" t="n">
        <v>0.9</v>
      </c>
      <c r="L1433" t="n">
        <v>8.888888888888889</v>
      </c>
      <c r="M1433" t="n">
        <v>3</v>
      </c>
      <c r="N1433" t="n">
        <v>2.7</v>
      </c>
      <c r="O1433" t="n">
        <v>5.3</v>
      </c>
      <c r="P1433" t="n">
        <v>54.515083493</v>
      </c>
      <c r="Q1433" t="n">
        <v>0.6625</v>
      </c>
      <c r="R1433" t="inlineStr">
        <is>
          <t>Sobrestock crítico</t>
        </is>
      </c>
    </row>
    <row r="1434">
      <c r="A1434" t="inlineStr">
        <is>
          <t>SHUNTDA157TXL</t>
        </is>
      </c>
      <c r="B1434" t="inlineStr">
        <is>
          <t>SHORT SPORT R1 DAMA</t>
        </is>
      </c>
      <c r="C1434" t="inlineStr">
        <is>
          <t>Manufactura / Dama / P. Inferiores</t>
        </is>
      </c>
      <c r="D1434" t="n">
        <v>444.45219982</v>
      </c>
      <c r="E1434" t="n">
        <v>0.0001088163747600979</v>
      </c>
      <c r="F1434" t="n">
        <v>0.9332360213203136</v>
      </c>
      <c r="G1434" t="inlineStr">
        <is>
          <t>B</t>
        </is>
      </c>
      <c r="H1434" t="n">
        <v>23</v>
      </c>
      <c r="I1434" t="n">
        <v>8.33</v>
      </c>
      <c r="J1434" t="n">
        <v>191.59</v>
      </c>
      <c r="K1434" t="n">
        <v>0.9</v>
      </c>
      <c r="L1434" t="n">
        <v>25.55555555555555</v>
      </c>
      <c r="M1434" t="n">
        <v>3</v>
      </c>
      <c r="N1434" t="n">
        <v>2.7</v>
      </c>
      <c r="O1434" t="n">
        <v>20.3</v>
      </c>
      <c r="P1434" t="n">
        <v>169.099</v>
      </c>
      <c r="Q1434" t="n">
        <v>0.882608695652174</v>
      </c>
      <c r="R1434" t="inlineStr">
        <is>
          <t>Sobrestock crítico</t>
        </is>
      </c>
    </row>
    <row r="1435">
      <c r="A1435" t="inlineStr">
        <is>
          <t>MAFMIDA01TM</t>
        </is>
      </c>
      <c r="B1435" t="inlineStr">
        <is>
          <t>MAFE ORIGINAL DAMA</t>
        </is>
      </c>
      <c r="C1435" t="inlineStr">
        <is>
          <t>Manufactura / Dama / P. Superiores</t>
        </is>
      </c>
      <c r="D1435" t="n">
        <v>444.12672561</v>
      </c>
      <c r="E1435" t="n">
        <v>0.0001087366880724756</v>
      </c>
      <c r="F1435" t="n">
        <v>0.9333447580083861</v>
      </c>
      <c r="G1435" t="inlineStr">
        <is>
          <t>B</t>
        </is>
      </c>
      <c r="H1435" t="n">
        <v>14</v>
      </c>
      <c r="I1435" t="n">
        <v>4.54817671</v>
      </c>
      <c r="J1435" t="n">
        <v>63.67447394</v>
      </c>
      <c r="K1435" t="n">
        <v>1.6</v>
      </c>
      <c r="L1435" t="n">
        <v>8.75</v>
      </c>
      <c r="M1435" t="n">
        <v>3</v>
      </c>
      <c r="N1435" t="n">
        <v>4.800000000000001</v>
      </c>
      <c r="O1435" t="n">
        <v>9.199999999999999</v>
      </c>
      <c r="P1435" t="n">
        <v>41.84322573199999</v>
      </c>
      <c r="Q1435" t="n">
        <v>0.657142857142857</v>
      </c>
      <c r="R1435" t="inlineStr">
        <is>
          <t>Sobrestock crítico</t>
        </is>
      </c>
    </row>
    <row r="1436">
      <c r="A1436" t="inlineStr">
        <is>
          <t>SABMEDA43TM</t>
        </is>
      </c>
      <c r="B1436" t="inlineStr">
        <is>
          <t>SABRI SPORT DAMA</t>
        </is>
      </c>
      <c r="C1436" t="inlineStr">
        <is>
          <t>Manufactura / Dama / P. Superiores</t>
        </is>
      </c>
      <c r="D1436" t="n">
        <v>444.10545216</v>
      </c>
      <c r="E1436" t="n">
        <v>0.0001087314796390184</v>
      </c>
      <c r="F1436" t="n">
        <v>0.9334534894880251</v>
      </c>
      <c r="G1436" t="inlineStr">
        <is>
          <t>B</t>
        </is>
      </c>
      <c r="H1436" t="n">
        <v>38</v>
      </c>
      <c r="I1436" t="n">
        <v>4.51</v>
      </c>
      <c r="J1436" t="n">
        <v>171.38</v>
      </c>
      <c r="K1436" t="n">
        <v>1.3</v>
      </c>
      <c r="L1436" t="n">
        <v>29.23076923076923</v>
      </c>
      <c r="M1436" t="n">
        <v>3</v>
      </c>
      <c r="N1436" t="n">
        <v>3.9</v>
      </c>
      <c r="O1436" t="n">
        <v>34.1</v>
      </c>
      <c r="P1436" t="n">
        <v>153.791</v>
      </c>
      <c r="Q1436" t="n">
        <v>0.8973684210526316</v>
      </c>
      <c r="R1436" t="inlineStr">
        <is>
          <t>Sobrestock crítico</t>
        </is>
      </c>
    </row>
    <row r="1437">
      <c r="A1437" t="inlineStr">
        <is>
          <t>NAHFNCA10TL</t>
        </is>
      </c>
      <c r="B1437" t="inlineStr">
        <is>
          <t>NOAH SPORT LITE CAB</t>
        </is>
      </c>
      <c r="C1437" t="inlineStr">
        <is>
          <t>Manufactura / Caballero / P. Superiores</t>
        </is>
      </c>
      <c r="D1437" t="n">
        <v>443.86431785</v>
      </c>
      <c r="E1437" t="n">
        <v>0.0001086724421059494</v>
      </c>
      <c r="F1437" t="n">
        <v>0.9335621619301311</v>
      </c>
      <c r="G1437" t="inlineStr">
        <is>
          <t>B</t>
        </is>
      </c>
      <c r="H1437" t="n">
        <v>1</v>
      </c>
      <c r="I1437" t="n">
        <v>17.61141534</v>
      </c>
      <c r="J1437" t="n">
        <v>17.61141534</v>
      </c>
      <c r="K1437" t="n">
        <v>1.5</v>
      </c>
      <c r="L1437" t="n">
        <v>0.6666666666666666</v>
      </c>
      <c r="M1437" t="n">
        <v>3</v>
      </c>
      <c r="N1437" t="n">
        <v>4.5</v>
      </c>
      <c r="O1437" t="n">
        <v>0</v>
      </c>
      <c r="P1437" t="n">
        <v>0</v>
      </c>
      <c r="Q1437" t="n">
        <v>0</v>
      </c>
      <c r="R1437" t="inlineStr">
        <is>
          <t>Riesgo bajo stock</t>
        </is>
      </c>
    </row>
    <row r="1438">
      <c r="A1438" t="inlineStr">
        <is>
          <t>JAPKI01T2</t>
        </is>
      </c>
      <c r="B1438" t="inlineStr">
        <is>
          <t>CUADRO JACKET 2.0 KIDS</t>
        </is>
      </c>
      <c r="C1438" t="inlineStr">
        <is>
          <t>Equipamiento / Ropa</t>
        </is>
      </c>
      <c r="D1438" t="n">
        <v>443.50539632</v>
      </c>
      <c r="E1438" t="n">
        <v>0.0001085845664249791</v>
      </c>
      <c r="F1438" t="n">
        <v>0.933670746496556</v>
      </c>
      <c r="G1438" t="inlineStr">
        <is>
          <t>B</t>
        </is>
      </c>
      <c r="H1438" t="n">
        <v>32</v>
      </c>
      <c r="I1438" t="n">
        <v>15.17</v>
      </c>
      <c r="J1438" t="n">
        <v>485.44</v>
      </c>
      <c r="K1438" t="n">
        <v>1</v>
      </c>
      <c r="L1438" t="n">
        <v>32</v>
      </c>
      <c r="M1438" t="n">
        <v>3</v>
      </c>
      <c r="N1438" t="n">
        <v>3</v>
      </c>
      <c r="O1438" t="n">
        <v>29</v>
      </c>
      <c r="P1438" t="n">
        <v>439.93</v>
      </c>
      <c r="Q1438" t="n">
        <v>0.90625</v>
      </c>
      <c r="R1438" t="inlineStr">
        <is>
          <t>Sobrestock crítico</t>
        </is>
      </c>
    </row>
    <row r="1439">
      <c r="A1439" t="inlineStr">
        <is>
          <t>CLAMIDA70TXL</t>
        </is>
      </c>
      <c r="B1439" t="inlineStr">
        <is>
          <t>CLASICA ORIGINAL DAMA</t>
        </is>
      </c>
      <c r="C1439" t="inlineStr">
        <is>
          <t>Manufactura / Dama / P. Superiores</t>
        </is>
      </c>
      <c r="D1439" t="n">
        <v>443.44626369</v>
      </c>
      <c r="E1439" t="n">
        <v>0.0001085700888311473</v>
      </c>
      <c r="F1439" t="n">
        <v>0.9337793165853872</v>
      </c>
      <c r="G1439" t="inlineStr">
        <is>
          <t>B</t>
        </is>
      </c>
      <c r="H1439" t="n">
        <v>14</v>
      </c>
      <c r="I1439" t="n">
        <v>3.923227589</v>
      </c>
      <c r="J1439" t="n">
        <v>54.925186246</v>
      </c>
      <c r="K1439" t="n">
        <v>1.3</v>
      </c>
      <c r="L1439" t="n">
        <v>10.76923076923077</v>
      </c>
      <c r="M1439" t="n">
        <v>3</v>
      </c>
      <c r="N1439" t="n">
        <v>3.9</v>
      </c>
      <c r="O1439" t="n">
        <v>10.1</v>
      </c>
      <c r="P1439" t="n">
        <v>39.6245986489</v>
      </c>
      <c r="Q1439" t="n">
        <v>0.7214285714285713</v>
      </c>
      <c r="R1439" t="inlineStr">
        <is>
          <t>Sobrestock crítico</t>
        </is>
      </c>
    </row>
    <row r="1440">
      <c r="A1440" t="inlineStr">
        <is>
          <t>SABMEDA43TS</t>
        </is>
      </c>
      <c r="B1440" t="inlineStr">
        <is>
          <t>SABRI SPORT DAMA</t>
        </is>
      </c>
      <c r="C1440" t="inlineStr">
        <is>
          <t>Manufactura / Dama / P. Superiores</t>
        </is>
      </c>
      <c r="D1440" t="n">
        <v>442.92055011</v>
      </c>
      <c r="E1440" t="n">
        <v>0.0001084413770237563</v>
      </c>
      <c r="F1440" t="n">
        <v>0.933887757962411</v>
      </c>
      <c r="G1440" t="inlineStr">
        <is>
          <t>B</t>
        </is>
      </c>
      <c r="H1440" t="n">
        <v>25</v>
      </c>
      <c r="I1440" t="n">
        <v>4.51</v>
      </c>
      <c r="J1440" t="n">
        <v>112.75</v>
      </c>
      <c r="K1440" t="n">
        <v>1.2</v>
      </c>
      <c r="L1440" t="n">
        <v>20.83333333333334</v>
      </c>
      <c r="M1440" t="n">
        <v>3</v>
      </c>
      <c r="N1440" t="n">
        <v>3.6</v>
      </c>
      <c r="O1440" t="n">
        <v>21.4</v>
      </c>
      <c r="P1440" t="n">
        <v>96.514</v>
      </c>
      <c r="Q1440" t="n">
        <v>0.856</v>
      </c>
      <c r="R1440" t="inlineStr">
        <is>
          <t>Sobrestock crítico</t>
        </is>
      </c>
    </row>
    <row r="1441">
      <c r="A1441" t="inlineStr">
        <is>
          <t>RIOMIKI04T14</t>
        </is>
      </c>
      <c r="B1441" t="inlineStr">
        <is>
          <t>RIO ORIGINAL KIDS</t>
        </is>
      </c>
      <c r="C1441" t="inlineStr">
        <is>
          <t>Manufactura / Kids / P. Superiores</t>
        </is>
      </c>
      <c r="D1441" t="n">
        <v>442.48049353</v>
      </c>
      <c r="E1441" t="n">
        <v>0.0001083336368398978</v>
      </c>
      <c r="F1441" t="n">
        <v>0.9339960915992509</v>
      </c>
      <c r="G1441" t="inlineStr">
        <is>
          <t>B</t>
        </is>
      </c>
      <c r="H1441" t="n">
        <v>13</v>
      </c>
      <c r="I1441" t="n">
        <v>3.617969464</v>
      </c>
      <c r="J1441" t="n">
        <v>47.033603032</v>
      </c>
      <c r="K1441" t="n">
        <v>1</v>
      </c>
      <c r="L1441" t="n">
        <v>13</v>
      </c>
      <c r="M1441" t="n">
        <v>3</v>
      </c>
      <c r="N1441" t="n">
        <v>3</v>
      </c>
      <c r="O1441" t="n">
        <v>10</v>
      </c>
      <c r="P1441" t="n">
        <v>36.17969464</v>
      </c>
      <c r="Q1441" t="n">
        <v>0.7692307692307693</v>
      </c>
      <c r="R1441" t="inlineStr">
        <is>
          <t>Sobrestock crítico</t>
        </is>
      </c>
    </row>
    <row r="1442">
      <c r="A1442" t="inlineStr">
        <is>
          <t>MIKFNDA70TXL</t>
        </is>
      </c>
      <c r="B1442" t="inlineStr">
        <is>
          <t>MIKA SPORT LITE DAMA</t>
        </is>
      </c>
      <c r="C1442" t="inlineStr">
        <is>
          <t>Manufactura / Dama / P. Superiores</t>
        </is>
      </c>
      <c r="D1442" t="n">
        <v>442.39627255</v>
      </c>
      <c r="E1442" t="n">
        <v>0.0001083130168008338</v>
      </c>
      <c r="F1442" t="n">
        <v>0.9341044046160517</v>
      </c>
      <c r="G1442" t="inlineStr">
        <is>
          <t>B</t>
        </is>
      </c>
      <c r="H1442" t="n">
        <v>22</v>
      </c>
      <c r="I1442" t="n">
        <v>5.484675344</v>
      </c>
      <c r="J1442" t="n">
        <v>120.662857568</v>
      </c>
      <c r="K1442" t="n">
        <v>1</v>
      </c>
      <c r="L1442" t="n">
        <v>22</v>
      </c>
      <c r="M1442" t="n">
        <v>3</v>
      </c>
      <c r="N1442" t="n">
        <v>3</v>
      </c>
      <c r="O1442" t="n">
        <v>19</v>
      </c>
      <c r="P1442" t="n">
        <v>104.208831536</v>
      </c>
      <c r="Q1442" t="n">
        <v>0.8636363636363636</v>
      </c>
      <c r="R1442" t="inlineStr">
        <is>
          <t>Sobrestock crítico</t>
        </is>
      </c>
    </row>
    <row r="1443">
      <c r="A1443" t="inlineStr">
        <is>
          <t>CLAMEDA16TXS</t>
        </is>
      </c>
      <c r="B1443" t="inlineStr">
        <is>
          <t>CLÁSICA SPORT DAMA</t>
        </is>
      </c>
      <c r="C1443" t="inlineStr">
        <is>
          <t>Manufactura / Dama / P. Superiores</t>
        </is>
      </c>
      <c r="D1443" t="n">
        <v>440.24759972</v>
      </c>
      <c r="E1443" t="n">
        <v>0.0001077869517076679</v>
      </c>
      <c r="F1443" t="n">
        <v>0.9342121915677594</v>
      </c>
      <c r="G1443" t="inlineStr">
        <is>
          <t>B</t>
        </is>
      </c>
      <c r="H1443" t="n">
        <v>7</v>
      </c>
      <c r="I1443" t="n">
        <v>6.536105769</v>
      </c>
      <c r="J1443" t="n">
        <v>45.752740383</v>
      </c>
      <c r="K1443" t="n">
        <v>1.2</v>
      </c>
      <c r="L1443" t="n">
        <v>5.833333333333334</v>
      </c>
      <c r="M1443" t="n">
        <v>3</v>
      </c>
      <c r="N1443" t="n">
        <v>3.6</v>
      </c>
      <c r="O1443" t="n">
        <v>3.4</v>
      </c>
      <c r="P1443" t="n">
        <v>22.2227596146</v>
      </c>
      <c r="Q1443" t="n">
        <v>0.4857142857142858</v>
      </c>
      <c r="R1443" t="inlineStr">
        <is>
          <t>Sobrestock crítico</t>
        </is>
      </c>
    </row>
    <row r="1444">
      <c r="A1444" t="inlineStr">
        <is>
          <t>CCBHMCA03TM</t>
        </is>
      </c>
      <c r="B1444" t="inlineStr">
        <is>
          <t>CLUB CLASICA CABALLERO</t>
        </is>
      </c>
      <c r="C1444" t="inlineStr">
        <is>
          <t>Manufactura / Caballero / P. Superiores</t>
        </is>
      </c>
      <c r="D1444" t="n">
        <v>440.1288590378507</v>
      </c>
      <c r="E1444" t="n">
        <v>0.0001077578801211772</v>
      </c>
      <c r="F1444" t="n">
        <v>0.9343199494478805</v>
      </c>
      <c r="G1444" t="inlineStr">
        <is>
          <t>B</t>
        </is>
      </c>
      <c r="H1444" t="n">
        <v>10</v>
      </c>
      <c r="I1444" t="n">
        <v>1</v>
      </c>
      <c r="J1444" t="n">
        <v>10</v>
      </c>
      <c r="K1444" t="n">
        <v>1.3</v>
      </c>
      <c r="L1444" t="n">
        <v>7.692307692307692</v>
      </c>
      <c r="M1444" t="n">
        <v>3</v>
      </c>
      <c r="N1444" t="n">
        <v>3.9</v>
      </c>
      <c r="O1444" t="n">
        <v>6.1</v>
      </c>
      <c r="P1444" t="n">
        <v>6.1</v>
      </c>
      <c r="Q1444" t="n">
        <v>0.61</v>
      </c>
      <c r="R1444" t="inlineStr">
        <is>
          <t>Sobrestock crítico</t>
        </is>
      </c>
    </row>
    <row r="1445">
      <c r="A1445" t="inlineStr">
        <is>
          <t>RIOMICA04TL</t>
        </is>
      </c>
      <c r="B1445" t="inlineStr">
        <is>
          <t>RIO ORIGINAL CAB</t>
        </is>
      </c>
      <c r="C1445" t="inlineStr">
        <is>
          <t>Manufactura / Caballero / P. Superiores</t>
        </is>
      </c>
      <c r="D1445" t="n">
        <v>439.47369195</v>
      </c>
      <c r="E1445" t="n">
        <v>0.0001075974738786366</v>
      </c>
      <c r="F1445" t="n">
        <v>0.9344275469217592</v>
      </c>
      <c r="G1445" t="inlineStr">
        <is>
          <t>B</t>
        </is>
      </c>
      <c r="H1445" t="n">
        <v>3</v>
      </c>
      <c r="I1445" t="n">
        <v>5.939350288</v>
      </c>
      <c r="J1445" t="n">
        <v>17.818050864</v>
      </c>
      <c r="K1445" t="n">
        <v>0.8</v>
      </c>
      <c r="L1445" t="n">
        <v>3.75</v>
      </c>
      <c r="M1445" t="n">
        <v>3</v>
      </c>
      <c r="N1445" t="n">
        <v>2.4</v>
      </c>
      <c r="O1445" t="n">
        <v>0.5999999999999996</v>
      </c>
      <c r="P1445" t="n">
        <v>3.563610172799998</v>
      </c>
      <c r="Q1445" t="n">
        <v>0.1999999999999999</v>
      </c>
      <c r="R1445" t="inlineStr">
        <is>
          <t>Sobrestock</t>
        </is>
      </c>
    </row>
    <row r="1446">
      <c r="A1446" t="inlineStr">
        <is>
          <t>MARMIKI11T4</t>
        </is>
      </c>
      <c r="B1446" t="inlineStr">
        <is>
          <t>MAR ORIGINAL KIDS</t>
        </is>
      </c>
      <c r="C1446" t="inlineStr">
        <is>
          <t>Manufactura / Kids / P. Superiores</t>
        </is>
      </c>
      <c r="D1446" t="n">
        <v>439.32884015</v>
      </c>
      <c r="E1446" t="n">
        <v>0.0001075620094400314</v>
      </c>
      <c r="F1446" t="n">
        <v>0.9345351089311993</v>
      </c>
      <c r="G1446" t="inlineStr">
        <is>
          <t>B</t>
        </is>
      </c>
      <c r="H1446" t="n">
        <v>0</v>
      </c>
      <c r="I1446" t="n">
        <v>3.168013332</v>
      </c>
      <c r="J1446" t="n">
        <v>0</v>
      </c>
      <c r="K1446" t="n">
        <v>1.3</v>
      </c>
      <c r="L1446" t="n">
        <v>0</v>
      </c>
      <c r="M1446" t="n">
        <v>3</v>
      </c>
      <c r="N1446" t="n">
        <v>3.9</v>
      </c>
      <c r="O1446" t="n">
        <v>0</v>
      </c>
      <c r="P1446" t="n">
        <v>0</v>
      </c>
      <c r="Q1446" t="n">
        <v>0</v>
      </c>
      <c r="R1446" t="inlineStr">
        <is>
          <t>Riesgo bajo stock</t>
        </is>
      </c>
    </row>
    <row r="1447">
      <c r="A1447" t="inlineStr">
        <is>
          <t>SHOUNKI68T2</t>
        </is>
      </c>
      <c r="B1447" t="inlineStr">
        <is>
          <t>SHORT PLAYA KIDS</t>
        </is>
      </c>
      <c r="C1447" t="inlineStr">
        <is>
          <t>Manufactura / Kids / P. Inferiores</t>
        </is>
      </c>
      <c r="D1447" t="n">
        <v>439.13107519</v>
      </c>
      <c r="E1447" t="n">
        <v>0.0001075135901364246</v>
      </c>
      <c r="F1447" t="n">
        <v>0.9346426225213357</v>
      </c>
      <c r="G1447" t="inlineStr">
        <is>
          <t>B</t>
        </is>
      </c>
      <c r="H1447" t="n">
        <v>8</v>
      </c>
      <c r="I1447" t="n">
        <v>6.09</v>
      </c>
      <c r="J1447" t="n">
        <v>48.72</v>
      </c>
      <c r="K1447" t="n">
        <v>1.1</v>
      </c>
      <c r="L1447" t="n">
        <v>7.272727272727272</v>
      </c>
      <c r="M1447" t="n">
        <v>3</v>
      </c>
      <c r="N1447" t="n">
        <v>3.3</v>
      </c>
      <c r="O1447" t="n">
        <v>4.699999999999999</v>
      </c>
      <c r="P1447" t="n">
        <v>28.62299999999999</v>
      </c>
      <c r="Q1447" t="n">
        <v>0.5874999999999999</v>
      </c>
      <c r="R1447" t="inlineStr">
        <is>
          <t>Sobrestock crítico</t>
        </is>
      </c>
    </row>
    <row r="1448">
      <c r="A1448" t="inlineStr">
        <is>
          <t>SHOUNKI29T8</t>
        </is>
      </c>
      <c r="B1448" t="inlineStr">
        <is>
          <t>SHORT PLAYA KIDS</t>
        </is>
      </c>
      <c r="C1448" t="inlineStr">
        <is>
          <t>Manufactura / Kids / P. Inferiores</t>
        </is>
      </c>
      <c r="D1448" t="n">
        <v>439.06684618</v>
      </c>
      <c r="E1448" t="n">
        <v>0.0001074978647827747</v>
      </c>
      <c r="F1448" t="n">
        <v>0.9347501203861184</v>
      </c>
      <c r="G1448" t="inlineStr">
        <is>
          <t>B</t>
        </is>
      </c>
      <c r="H1448" t="n">
        <v>23</v>
      </c>
      <c r="I1448" t="n">
        <v>6.09</v>
      </c>
      <c r="J1448" t="n">
        <v>140.07</v>
      </c>
      <c r="K1448" t="n">
        <v>1.1</v>
      </c>
      <c r="L1448" t="n">
        <v>20.90909090909091</v>
      </c>
      <c r="M1448" t="n">
        <v>3</v>
      </c>
      <c r="N1448" t="n">
        <v>3.3</v>
      </c>
      <c r="O1448" t="n">
        <v>19.7</v>
      </c>
      <c r="P1448" t="n">
        <v>119.973</v>
      </c>
      <c r="Q1448" t="n">
        <v>0.8565217391304348</v>
      </c>
      <c r="R1448" t="inlineStr">
        <is>
          <t>Sobrestock crítico</t>
        </is>
      </c>
    </row>
    <row r="1449">
      <c r="A1449" t="inlineStr">
        <is>
          <t>CLAMIDA16TXL</t>
        </is>
      </c>
      <c r="B1449" t="inlineStr">
        <is>
          <t>CLASICA ORIGINAL DAMA</t>
        </is>
      </c>
      <c r="C1449" t="inlineStr">
        <is>
          <t>Manufactura / Dama / P. Superiores</t>
        </is>
      </c>
      <c r="D1449" t="n">
        <v>439.05444837</v>
      </c>
      <c r="E1449" t="n">
        <v>0.0001074948293950779</v>
      </c>
      <c r="F1449" t="n">
        <v>0.9348576152155136</v>
      </c>
      <c r="G1449" t="inlineStr">
        <is>
          <t>B</t>
        </is>
      </c>
      <c r="H1449" t="n">
        <v>17</v>
      </c>
      <c r="I1449" t="n">
        <v>3.923227589</v>
      </c>
      <c r="J1449" t="n">
        <v>66.694869013</v>
      </c>
      <c r="K1449" t="n">
        <v>1.8</v>
      </c>
      <c r="L1449" t="n">
        <v>9.444444444444445</v>
      </c>
      <c r="M1449" t="n">
        <v>3</v>
      </c>
      <c r="N1449" t="n">
        <v>5.4</v>
      </c>
      <c r="O1449" t="n">
        <v>11.6</v>
      </c>
      <c r="P1449" t="n">
        <v>45.5094400324</v>
      </c>
      <c r="Q1449" t="n">
        <v>0.6823529411764706</v>
      </c>
      <c r="R1449" t="inlineStr">
        <is>
          <t>Sobrestock crítico</t>
        </is>
      </c>
    </row>
    <row r="1450">
      <c r="A1450" t="inlineStr">
        <is>
          <t>LAN01EQ</t>
        </is>
      </c>
      <c r="B1450" t="inlineStr">
        <is>
          <t>LANYARD</t>
        </is>
      </c>
      <c r="C1450" t="inlineStr">
        <is>
          <t>Equipamiento / Accesorios</t>
        </is>
      </c>
      <c r="D1450" t="n">
        <v>438.9447480414074</v>
      </c>
      <c r="E1450" t="n">
        <v>0.0001074679711815911</v>
      </c>
      <c r="F1450" t="n">
        <v>0.934965083186695</v>
      </c>
      <c r="G1450" t="inlineStr">
        <is>
          <t>B</t>
        </is>
      </c>
      <c r="H1450" t="n">
        <v>454</v>
      </c>
      <c r="I1450" t="n">
        <v>0.51</v>
      </c>
      <c r="J1450" t="n">
        <v>231.54</v>
      </c>
      <c r="K1450" t="n">
        <v>37.3</v>
      </c>
      <c r="L1450" t="n">
        <v>12.171581769437</v>
      </c>
      <c r="M1450" t="n">
        <v>3</v>
      </c>
      <c r="N1450" t="n">
        <v>111.9</v>
      </c>
      <c r="O1450" t="n">
        <v>342.1</v>
      </c>
      <c r="P1450" t="n">
        <v>174.471</v>
      </c>
      <c r="Q1450" t="n">
        <v>0.7535242290748899</v>
      </c>
      <c r="R1450" t="inlineStr">
        <is>
          <t>Sobrestock crítico</t>
        </is>
      </c>
    </row>
    <row r="1451">
      <c r="A1451" t="inlineStr">
        <is>
          <t>MAFMIDA16TXL</t>
        </is>
      </c>
      <c r="B1451" t="inlineStr">
        <is>
          <t>MAFE ORIGINAL DAMA</t>
        </is>
      </c>
      <c r="C1451" t="inlineStr">
        <is>
          <t>Manufactura / Dama / P. Superiores</t>
        </is>
      </c>
      <c r="D1451" t="n">
        <v>438.78700277</v>
      </c>
      <c r="E1451" t="n">
        <v>0.0001074293500012323</v>
      </c>
      <c r="F1451" t="n">
        <v>0.9350725125366962</v>
      </c>
      <c r="G1451" t="inlineStr">
        <is>
          <t>B</t>
        </is>
      </c>
      <c r="H1451" t="n">
        <v>18</v>
      </c>
      <c r="I1451" t="n">
        <v>4.54817671</v>
      </c>
      <c r="J1451" t="n">
        <v>81.86718078</v>
      </c>
      <c r="K1451" t="n">
        <v>1.5</v>
      </c>
      <c r="L1451" t="n">
        <v>12</v>
      </c>
      <c r="M1451" t="n">
        <v>3</v>
      </c>
      <c r="N1451" t="n">
        <v>4.5</v>
      </c>
      <c r="O1451" t="n">
        <v>13.5</v>
      </c>
      <c r="P1451" t="n">
        <v>61.400385585</v>
      </c>
      <c r="Q1451" t="n">
        <v>0.75</v>
      </c>
      <c r="R1451" t="inlineStr">
        <is>
          <t>Sobrestock crítico</t>
        </is>
      </c>
    </row>
    <row r="1452">
      <c r="A1452" t="inlineStr">
        <is>
          <t>MAYFNDA70TM</t>
        </is>
      </c>
      <c r="B1452" t="inlineStr">
        <is>
          <t>MAYA SPORT LITE DAMA</t>
        </is>
      </c>
      <c r="C1452" t="inlineStr">
        <is>
          <t>Manufactura / Dama / P. Superiores</t>
        </is>
      </c>
      <c r="D1452" t="n">
        <v>438.49469799</v>
      </c>
      <c r="E1452" t="n">
        <v>0.0001073577842704349</v>
      </c>
      <c r="F1452" t="n">
        <v>0.9351798703209667</v>
      </c>
      <c r="G1452" t="inlineStr">
        <is>
          <t>B</t>
        </is>
      </c>
      <c r="H1452" t="n">
        <v>30</v>
      </c>
      <c r="I1452" t="n">
        <v>3.87</v>
      </c>
      <c r="J1452" t="n">
        <v>116.1</v>
      </c>
      <c r="K1452" t="n">
        <v>1.5</v>
      </c>
      <c r="L1452" t="n">
        <v>20</v>
      </c>
      <c r="M1452" t="n">
        <v>3</v>
      </c>
      <c r="N1452" t="n">
        <v>4.5</v>
      </c>
      <c r="O1452" t="n">
        <v>25.5</v>
      </c>
      <c r="P1452" t="n">
        <v>98.685</v>
      </c>
      <c r="Q1452" t="n">
        <v>0.85</v>
      </c>
      <c r="R1452" t="inlineStr">
        <is>
          <t>Sobrestock crítico</t>
        </is>
      </c>
    </row>
    <row r="1453">
      <c r="A1453" t="inlineStr">
        <is>
          <t>TALGOTADA170TM</t>
        </is>
      </c>
      <c r="B1453" t="inlineStr">
        <is>
          <t>URBAN COTTON TOP VINTAGE GRIS DAMA</t>
        </is>
      </c>
      <c r="C1453" t="inlineStr">
        <is>
          <t>Manufactura / Dama / P. Superiores</t>
        </is>
      </c>
      <c r="D1453" t="n">
        <v>438.34309305</v>
      </c>
      <c r="E1453" t="n">
        <v>0.0001073206664432013</v>
      </c>
      <c r="F1453" t="n">
        <v>0.93528719098741</v>
      </c>
      <c r="G1453" t="inlineStr">
        <is>
          <t>B</t>
        </is>
      </c>
      <c r="H1453" t="n">
        <v>17</v>
      </c>
      <c r="I1453" t="n">
        <v>7.819069274</v>
      </c>
      <c r="J1453" t="n">
        <v>132.924177658</v>
      </c>
      <c r="K1453" t="n">
        <v>1.2</v>
      </c>
      <c r="L1453" t="n">
        <v>14.16666666666667</v>
      </c>
      <c r="M1453" t="n">
        <v>3</v>
      </c>
      <c r="N1453" t="n">
        <v>3.6</v>
      </c>
      <c r="O1453" t="n">
        <v>13.4</v>
      </c>
      <c r="P1453" t="n">
        <v>104.7755282716</v>
      </c>
      <c r="Q1453" t="n">
        <v>0.788235294117647</v>
      </c>
      <c r="R1453" t="inlineStr">
        <is>
          <t>Sobrestock crítico</t>
        </is>
      </c>
    </row>
    <row r="1454">
      <c r="A1454" t="inlineStr">
        <is>
          <t>MAADFDA151TXS</t>
        </is>
      </c>
      <c r="B1454" t="inlineStr">
        <is>
          <t>MAFE ADVANCE DAMA</t>
        </is>
      </c>
      <c r="C1454" t="inlineStr">
        <is>
          <t>Manufactura / Dama / P. Superiores</t>
        </is>
      </c>
      <c r="D1454" t="n">
        <v>437.93521353</v>
      </c>
      <c r="E1454" t="n">
        <v>0.0001072208042516692</v>
      </c>
      <c r="F1454" t="n">
        <v>0.9353944117916616</v>
      </c>
      <c r="G1454" t="inlineStr">
        <is>
          <t>B</t>
        </is>
      </c>
      <c r="H1454" t="n">
        <v>17</v>
      </c>
      <c r="I1454" t="n">
        <v>4.98</v>
      </c>
      <c r="J1454" t="n">
        <v>84.66000000000001</v>
      </c>
      <c r="K1454" t="n">
        <v>1.1</v>
      </c>
      <c r="L1454" t="n">
        <v>15.45454545454545</v>
      </c>
      <c r="M1454" t="n">
        <v>3</v>
      </c>
      <c r="N1454" t="n">
        <v>3.3</v>
      </c>
      <c r="O1454" t="n">
        <v>13.7</v>
      </c>
      <c r="P1454" t="n">
        <v>68.226</v>
      </c>
      <c r="Q1454" t="n">
        <v>0.8058823529411764</v>
      </c>
      <c r="R1454" t="inlineStr">
        <is>
          <t>Sobrestock crítico</t>
        </is>
      </c>
    </row>
    <row r="1455">
      <c r="A1455" t="inlineStr">
        <is>
          <t>RIOMIKI11T1</t>
        </is>
      </c>
      <c r="B1455" t="inlineStr">
        <is>
          <t>RIO ORIGINAL KIDS</t>
        </is>
      </c>
      <c r="C1455" t="inlineStr">
        <is>
          <t>Manufactura / Kids / P. Superiores</t>
        </is>
      </c>
      <c r="D1455" t="n">
        <v>437.79494468</v>
      </c>
      <c r="E1455" t="n">
        <v>0.0001071864618684951</v>
      </c>
      <c r="F1455" t="n">
        <v>0.9355015982535302</v>
      </c>
      <c r="G1455" t="inlineStr">
        <is>
          <t>B</t>
        </is>
      </c>
      <c r="H1455" t="n">
        <v>0</v>
      </c>
      <c r="I1455" t="n">
        <v>3.617969464</v>
      </c>
      <c r="J1455" t="n">
        <v>0</v>
      </c>
      <c r="K1455" t="n">
        <v>1.1</v>
      </c>
      <c r="L1455" t="n">
        <v>0</v>
      </c>
      <c r="M1455" t="n">
        <v>3</v>
      </c>
      <c r="N1455" t="n">
        <v>3.3</v>
      </c>
      <c r="O1455" t="n">
        <v>0</v>
      </c>
      <c r="P1455" t="n">
        <v>0</v>
      </c>
      <c r="Q1455" t="n">
        <v>0</v>
      </c>
      <c r="R1455" t="inlineStr">
        <is>
          <t>Riesgo bajo stock</t>
        </is>
      </c>
    </row>
    <row r="1456">
      <c r="A1456" t="inlineStr">
        <is>
          <t>LMOFIDA12TXL</t>
        </is>
      </c>
      <c r="B1456" t="inlineStr">
        <is>
          <t>LEGGING MOVA</t>
        </is>
      </c>
      <c r="C1456" t="inlineStr">
        <is>
          <t>Manufactura / Dama / P. Inferiores</t>
        </is>
      </c>
      <c r="D1456" t="n">
        <v>437.61786242</v>
      </c>
      <c r="E1456" t="n">
        <v>0.0001071431063635042</v>
      </c>
      <c r="F1456" t="n">
        <v>0.9356087413598937</v>
      </c>
      <c r="G1456" t="inlineStr">
        <is>
          <t>B</t>
        </is>
      </c>
      <c r="H1456" t="n">
        <v>7</v>
      </c>
      <c r="I1456" t="n">
        <v>17.7</v>
      </c>
      <c r="J1456" t="n">
        <v>123.9</v>
      </c>
      <c r="K1456" t="n">
        <v>0.7</v>
      </c>
      <c r="L1456" t="n">
        <v>10</v>
      </c>
      <c r="M1456" t="n">
        <v>3</v>
      </c>
      <c r="N1456" t="n">
        <v>2.1</v>
      </c>
      <c r="O1456" t="n">
        <v>4.9</v>
      </c>
      <c r="P1456" t="n">
        <v>86.73</v>
      </c>
      <c r="Q1456" t="n">
        <v>0.7000000000000001</v>
      </c>
      <c r="R1456" t="inlineStr">
        <is>
          <t>Sobrestock crítico</t>
        </is>
      </c>
    </row>
    <row r="1457">
      <c r="A1457" t="inlineStr">
        <is>
          <t>RIOMIKI16T10</t>
        </is>
      </c>
      <c r="B1457" t="inlineStr">
        <is>
          <t>RIO ORIGINAL KIDS</t>
        </is>
      </c>
      <c r="C1457" t="inlineStr">
        <is>
          <t>Manufactura / Kids / P. Superiores</t>
        </is>
      </c>
      <c r="D1457" t="n">
        <v>437.37903206</v>
      </c>
      <c r="E1457" t="n">
        <v>0.0001070846329124371</v>
      </c>
      <c r="F1457" t="n">
        <v>0.935715825992806</v>
      </c>
      <c r="G1457" t="inlineStr">
        <is>
          <t>B</t>
        </is>
      </c>
      <c r="H1457" t="n">
        <v>15</v>
      </c>
      <c r="I1457" t="n">
        <v>3.617969464</v>
      </c>
      <c r="J1457" t="n">
        <v>54.26954196000001</v>
      </c>
      <c r="K1457" t="n">
        <v>1</v>
      </c>
      <c r="L1457" t="n">
        <v>15</v>
      </c>
      <c r="M1457" t="n">
        <v>3</v>
      </c>
      <c r="N1457" t="n">
        <v>3</v>
      </c>
      <c r="O1457" t="n">
        <v>12</v>
      </c>
      <c r="P1457" t="n">
        <v>43.415633568</v>
      </c>
      <c r="Q1457" t="n">
        <v>0.8</v>
      </c>
      <c r="R1457" t="inlineStr">
        <is>
          <t>Sobrestock crítico</t>
        </is>
      </c>
    </row>
    <row r="1458">
      <c r="A1458" t="inlineStr">
        <is>
          <t>NAHFNCA10TS</t>
        </is>
      </c>
      <c r="B1458" t="inlineStr">
        <is>
          <t>NOAH SPORT LITE CAB</t>
        </is>
      </c>
      <c r="C1458" t="inlineStr">
        <is>
          <t>Manufactura / Caballero / P. Superiores</t>
        </is>
      </c>
      <c r="D1458" t="n">
        <v>437.1119923</v>
      </c>
      <c r="E1458" t="n">
        <v>0.0001070192528814421</v>
      </c>
      <c r="F1458" t="n">
        <v>0.9358228452456876</v>
      </c>
      <c r="G1458" t="inlineStr">
        <is>
          <t>B</t>
        </is>
      </c>
      <c r="H1458" t="n">
        <v>3</v>
      </c>
      <c r="I1458" t="n">
        <v>17.61141534</v>
      </c>
      <c r="J1458" t="n">
        <v>52.83424602</v>
      </c>
      <c r="K1458" t="n">
        <v>2.1</v>
      </c>
      <c r="L1458" t="n">
        <v>1.428571428571429</v>
      </c>
      <c r="M1458" t="n">
        <v>3</v>
      </c>
      <c r="N1458" t="n">
        <v>6.300000000000001</v>
      </c>
      <c r="O1458" t="n">
        <v>0</v>
      </c>
      <c r="P1458" t="n">
        <v>0</v>
      </c>
      <c r="Q1458" t="n">
        <v>0</v>
      </c>
      <c r="R1458" t="inlineStr">
        <is>
          <t>OK</t>
        </is>
      </c>
    </row>
    <row r="1459">
      <c r="A1459" t="inlineStr">
        <is>
          <t>SHOUNKI57T8</t>
        </is>
      </c>
      <c r="B1459" t="inlineStr">
        <is>
          <t>SHORT PLAYA KIDS</t>
        </is>
      </c>
      <c r="C1459" t="inlineStr">
        <is>
          <t>Manufactura / Kids / P. Inferiores</t>
        </is>
      </c>
      <c r="D1459" t="n">
        <v>436.92605738</v>
      </c>
      <c r="E1459" t="n">
        <v>0.0001069737299569434</v>
      </c>
      <c r="F1459" t="n">
        <v>0.9359298189756444</v>
      </c>
      <c r="G1459" t="inlineStr">
        <is>
          <t>B</t>
        </is>
      </c>
      <c r="H1459" t="n">
        <v>12</v>
      </c>
      <c r="I1459" t="n">
        <v>6.09</v>
      </c>
      <c r="J1459" t="n">
        <v>73.08</v>
      </c>
      <c r="K1459" t="n">
        <v>1.1</v>
      </c>
      <c r="L1459" t="n">
        <v>10.90909090909091</v>
      </c>
      <c r="M1459" t="n">
        <v>3</v>
      </c>
      <c r="N1459" t="n">
        <v>3.3</v>
      </c>
      <c r="O1459" t="n">
        <v>8.699999999999999</v>
      </c>
      <c r="P1459" t="n">
        <v>52.983</v>
      </c>
      <c r="Q1459" t="n">
        <v>0.725</v>
      </c>
      <c r="R1459" t="inlineStr">
        <is>
          <t>Sobrestock crítico</t>
        </is>
      </c>
    </row>
    <row r="1460">
      <c r="A1460" t="inlineStr">
        <is>
          <t>SMCBNEDA16TXS</t>
        </is>
      </c>
      <c r="B1460" t="inlineStr">
        <is>
          <t>SPOTS MANGA CORTA DAMA</t>
        </is>
      </c>
      <c r="C1460" t="inlineStr">
        <is>
          <t>Manufactura / Dama / P. Superiores</t>
        </is>
      </c>
      <c r="D1460" t="n">
        <v>436.3851754844417</v>
      </c>
      <c r="E1460" t="n">
        <v>0.0001068413044518568</v>
      </c>
      <c r="F1460" t="n">
        <v>0.9360366602800962</v>
      </c>
      <c r="G1460" t="inlineStr">
        <is>
          <t>B</t>
        </is>
      </c>
      <c r="H1460" t="n">
        <v>0</v>
      </c>
      <c r="I1460" t="n">
        <v>8.5</v>
      </c>
      <c r="J1460" t="n">
        <v>0</v>
      </c>
      <c r="K1460" t="n">
        <v>1.2</v>
      </c>
      <c r="L1460" t="n">
        <v>0</v>
      </c>
      <c r="M1460" t="n">
        <v>3</v>
      </c>
      <c r="N1460" t="n">
        <v>3.6</v>
      </c>
      <c r="O1460" t="n">
        <v>0</v>
      </c>
      <c r="P1460" t="n">
        <v>0</v>
      </c>
      <c r="Q1460" t="n">
        <v>0</v>
      </c>
      <c r="R1460" t="inlineStr">
        <is>
          <t>Riesgo bajo stock</t>
        </is>
      </c>
    </row>
    <row r="1461">
      <c r="A1461" t="inlineStr">
        <is>
          <t>SHOUNKI12T8</t>
        </is>
      </c>
      <c r="B1461" t="inlineStr">
        <is>
          <t>SHORT PLAYA KIDS</t>
        </is>
      </c>
      <c r="C1461" t="inlineStr">
        <is>
          <t>Manufactura / Kids / P. Inferiores</t>
        </is>
      </c>
      <c r="D1461" t="n">
        <v>434.9268296</v>
      </c>
      <c r="E1461" t="n">
        <v>0.0001064842538795893</v>
      </c>
      <c r="F1461" t="n">
        <v>0.9361431445339757</v>
      </c>
      <c r="G1461" t="inlineStr">
        <is>
          <t>B</t>
        </is>
      </c>
      <c r="H1461" t="n">
        <v>22</v>
      </c>
      <c r="I1461" t="n">
        <v>6.09</v>
      </c>
      <c r="J1461" t="n">
        <v>133.98</v>
      </c>
      <c r="K1461" t="n">
        <v>1.1</v>
      </c>
      <c r="L1461" t="n">
        <v>20</v>
      </c>
      <c r="M1461" t="n">
        <v>3</v>
      </c>
      <c r="N1461" t="n">
        <v>3.3</v>
      </c>
      <c r="O1461" t="n">
        <v>18.7</v>
      </c>
      <c r="P1461" t="n">
        <v>113.883</v>
      </c>
      <c r="Q1461" t="n">
        <v>0.85</v>
      </c>
      <c r="R1461" t="inlineStr">
        <is>
          <t>Sobrestock crítico</t>
        </is>
      </c>
    </row>
    <row r="1462">
      <c r="A1462" t="inlineStr">
        <is>
          <t>MARMIKI30T12</t>
        </is>
      </c>
      <c r="B1462" t="inlineStr">
        <is>
          <t>MAR ORIGINAL KIDS</t>
        </is>
      </c>
      <c r="C1462" t="inlineStr">
        <is>
          <t>Manufactura / Kids / P. Superiores</t>
        </is>
      </c>
      <c r="D1462" t="n">
        <v>433.75421839</v>
      </c>
      <c r="E1462" t="n">
        <v>0.0001061971604622839</v>
      </c>
      <c r="F1462" t="n">
        <v>0.9362493416944381</v>
      </c>
      <c r="G1462" t="inlineStr">
        <is>
          <t>B</t>
        </is>
      </c>
      <c r="H1462" t="n">
        <v>0</v>
      </c>
      <c r="I1462" t="n">
        <v>3.168013332</v>
      </c>
      <c r="J1462" t="n">
        <v>0</v>
      </c>
      <c r="K1462" t="n">
        <v>1.2</v>
      </c>
      <c r="L1462" t="n">
        <v>0</v>
      </c>
      <c r="M1462" t="n">
        <v>3</v>
      </c>
      <c r="N1462" t="n">
        <v>3.6</v>
      </c>
      <c r="O1462" t="n">
        <v>0</v>
      </c>
      <c r="P1462" t="n">
        <v>0</v>
      </c>
      <c r="Q1462" t="n">
        <v>0</v>
      </c>
      <c r="R1462" t="inlineStr">
        <is>
          <t>Riesgo bajo stock</t>
        </is>
      </c>
    </row>
    <row r="1463">
      <c r="A1463" t="inlineStr">
        <is>
          <t>DOMBFCA30TS</t>
        </is>
      </c>
      <c r="B1463" t="inlineStr">
        <is>
          <t>DOMINIC BIO MOVE CAB</t>
        </is>
      </c>
      <c r="C1463" t="inlineStr">
        <is>
          <t>Manufactura / Caballero / P. Superiores</t>
        </is>
      </c>
      <c r="D1463" t="n">
        <v>432.95290587</v>
      </c>
      <c r="E1463" t="n">
        <v>0.000106000973057853</v>
      </c>
      <c r="F1463" t="n">
        <v>0.936355342667496</v>
      </c>
      <c r="G1463" t="inlineStr">
        <is>
          <t>B</t>
        </is>
      </c>
      <c r="H1463" t="n">
        <v>55</v>
      </c>
      <c r="I1463" t="n">
        <v>13.86</v>
      </c>
      <c r="J1463" t="n">
        <v>762.3</v>
      </c>
      <c r="K1463" t="n">
        <v>1.2</v>
      </c>
      <c r="L1463" t="n">
        <v>45.83333333333334</v>
      </c>
      <c r="M1463" t="n">
        <v>3</v>
      </c>
      <c r="N1463" t="n">
        <v>3.6</v>
      </c>
      <c r="O1463" t="n">
        <v>51.4</v>
      </c>
      <c r="P1463" t="n">
        <v>712.404</v>
      </c>
      <c r="Q1463" t="n">
        <v>0.9345454545454546</v>
      </c>
      <c r="R1463" t="inlineStr">
        <is>
          <t>Sobrestock crítico</t>
        </is>
      </c>
    </row>
    <row r="1464">
      <c r="A1464" t="inlineStr">
        <is>
          <t>TALGTACA167TS</t>
        </is>
      </c>
      <c r="B1464" t="inlineStr">
        <is>
          <t>URBAN COTTON OVERSIZED COLOR BLOCK CAB</t>
        </is>
      </c>
      <c r="C1464" t="inlineStr">
        <is>
          <t>Manufactura / Caballero / P. Superiores</t>
        </is>
      </c>
      <c r="D1464" t="n">
        <v>432.51195909</v>
      </c>
      <c r="E1464" t="n">
        <v>0.0001058930149240398</v>
      </c>
      <c r="F1464" t="n">
        <v>0.93646123568242</v>
      </c>
      <c r="G1464" t="inlineStr">
        <is>
          <t>B</t>
        </is>
      </c>
      <c r="H1464" t="n">
        <v>10</v>
      </c>
      <c r="I1464" t="n">
        <v>12.16641162</v>
      </c>
      <c r="J1464" t="n">
        <v>121.6641162</v>
      </c>
      <c r="K1464" t="n">
        <v>1</v>
      </c>
      <c r="L1464" t="n">
        <v>10</v>
      </c>
      <c r="M1464" t="n">
        <v>3</v>
      </c>
      <c r="N1464" t="n">
        <v>3</v>
      </c>
      <c r="O1464" t="n">
        <v>7</v>
      </c>
      <c r="P1464" t="n">
        <v>85.16488133999999</v>
      </c>
      <c r="Q1464" t="n">
        <v>0.7</v>
      </c>
      <c r="R1464" t="inlineStr">
        <is>
          <t>Sobrestock crítico</t>
        </is>
      </c>
    </row>
    <row r="1465">
      <c r="A1465" t="inlineStr">
        <is>
          <t>RIOMIDA14TS</t>
        </is>
      </c>
      <c r="B1465" t="inlineStr">
        <is>
          <t>RIO ORIGINAL DAMA</t>
        </is>
      </c>
      <c r="C1465" t="inlineStr">
        <is>
          <t>Manufactura / Dama / P. Superiores</t>
        </is>
      </c>
      <c r="D1465" t="n">
        <v>431.57497308</v>
      </c>
      <c r="E1465" t="n">
        <v>0.0001056636102302382</v>
      </c>
      <c r="F1465" t="n">
        <v>0.9365668992926504</v>
      </c>
      <c r="G1465" t="inlineStr">
        <is>
          <t>B</t>
        </is>
      </c>
      <c r="H1465" t="n">
        <v>0</v>
      </c>
      <c r="I1465" t="n">
        <v>5.538832275</v>
      </c>
      <c r="J1465" t="n">
        <v>0</v>
      </c>
      <c r="K1465" t="n">
        <v>0.9</v>
      </c>
      <c r="L1465" t="n">
        <v>0</v>
      </c>
      <c r="M1465" t="n">
        <v>3</v>
      </c>
      <c r="N1465" t="n">
        <v>2.7</v>
      </c>
      <c r="O1465" t="n">
        <v>0</v>
      </c>
      <c r="P1465" t="n">
        <v>0</v>
      </c>
      <c r="Q1465" t="n">
        <v>0</v>
      </c>
      <c r="R1465" t="inlineStr">
        <is>
          <t>Sin rotación</t>
        </is>
      </c>
    </row>
    <row r="1466">
      <c r="A1466" t="inlineStr">
        <is>
          <t>CLAMICA01TM</t>
        </is>
      </c>
      <c r="B1466" t="inlineStr">
        <is>
          <t>CLASICA ORIGINAL CAB</t>
        </is>
      </c>
      <c r="C1466" t="inlineStr">
        <is>
          <t>Manufactura / Caballero / P. Superiores</t>
        </is>
      </c>
      <c r="D1466" t="n">
        <v>431.1551257</v>
      </c>
      <c r="E1466" t="n">
        <v>0.0001055608179167732</v>
      </c>
      <c r="F1466" t="n">
        <v>0.936672460110567</v>
      </c>
      <c r="G1466" t="inlineStr">
        <is>
          <t>B</t>
        </is>
      </c>
      <c r="H1466" t="n">
        <v>7</v>
      </c>
      <c r="I1466" t="n">
        <v>4.598442536</v>
      </c>
      <c r="J1466" t="n">
        <v>32.189097752</v>
      </c>
      <c r="K1466" t="n">
        <v>2.6</v>
      </c>
      <c r="L1466" t="n">
        <v>2.692307692307692</v>
      </c>
      <c r="M1466" t="n">
        <v>3</v>
      </c>
      <c r="N1466" t="n">
        <v>7.800000000000001</v>
      </c>
      <c r="O1466" t="n">
        <v>0</v>
      </c>
      <c r="P1466" t="n">
        <v>0</v>
      </c>
      <c r="Q1466" t="n">
        <v>0</v>
      </c>
      <c r="R1466" t="inlineStr">
        <is>
          <t>OK</t>
        </is>
      </c>
    </row>
    <row r="1467">
      <c r="A1467" t="inlineStr">
        <is>
          <t>NAHFNCA70T2XL</t>
        </is>
      </c>
      <c r="B1467" t="inlineStr">
        <is>
          <t>NOAH SPORT LITE CAB</t>
        </is>
      </c>
      <c r="C1467" t="inlineStr">
        <is>
          <t>Manufactura / Caballero / P. Superiores</t>
        </is>
      </c>
      <c r="D1467" t="n">
        <v>431.12313275</v>
      </c>
      <c r="E1467" t="n">
        <v>0.0001055529850005714</v>
      </c>
      <c r="F1467" t="n">
        <v>0.9367780130955676</v>
      </c>
      <c r="G1467" t="inlineStr">
        <is>
          <t>B</t>
        </is>
      </c>
      <c r="H1467" t="n">
        <v>2</v>
      </c>
      <c r="I1467" t="n">
        <v>17.61141534</v>
      </c>
      <c r="J1467" t="n">
        <v>35.22283068</v>
      </c>
      <c r="K1467" t="n">
        <v>1.3</v>
      </c>
      <c r="L1467" t="n">
        <v>1.538461538461538</v>
      </c>
      <c r="M1467" t="n">
        <v>3</v>
      </c>
      <c r="N1467" t="n">
        <v>3.9</v>
      </c>
      <c r="O1467" t="n">
        <v>0</v>
      </c>
      <c r="P1467" t="n">
        <v>0</v>
      </c>
      <c r="Q1467" t="n">
        <v>0</v>
      </c>
      <c r="R1467" t="inlineStr">
        <is>
          <t>Sin rotación</t>
        </is>
      </c>
    </row>
    <row r="1468">
      <c r="A1468" t="inlineStr">
        <is>
          <t>RIOMICA30T2XL</t>
        </is>
      </c>
      <c r="B1468" t="inlineStr">
        <is>
          <t>RIO ORIGINAL CAB</t>
        </is>
      </c>
      <c r="C1468" t="inlineStr">
        <is>
          <t>Manufactura / Caballero / P. Superiores</t>
        </is>
      </c>
      <c r="D1468" t="n">
        <v>430.52300928</v>
      </c>
      <c r="E1468" t="n">
        <v>0.0001054060552285053</v>
      </c>
      <c r="F1468" t="n">
        <v>0.9368834191507961</v>
      </c>
      <c r="G1468" t="inlineStr">
        <is>
          <t>B</t>
        </is>
      </c>
      <c r="H1468" t="n">
        <v>2</v>
      </c>
      <c r="I1468" t="n">
        <v>5.939350288</v>
      </c>
      <c r="J1468" t="n">
        <v>11.878700576</v>
      </c>
      <c r="K1468" t="n">
        <v>0.8</v>
      </c>
      <c r="L1468" t="n">
        <v>2.5</v>
      </c>
      <c r="M1468" t="n">
        <v>3</v>
      </c>
      <c r="N1468" t="n">
        <v>2.4</v>
      </c>
      <c r="O1468" t="n">
        <v>0</v>
      </c>
      <c r="P1468" t="n">
        <v>0</v>
      </c>
      <c r="Q1468" t="n">
        <v>0</v>
      </c>
      <c r="R1468" t="inlineStr">
        <is>
          <t>OK</t>
        </is>
      </c>
    </row>
    <row r="1469">
      <c r="A1469" t="inlineStr">
        <is>
          <t>SARSPDA30TM</t>
        </is>
      </c>
      <c r="B1469" t="inlineStr">
        <is>
          <t>FALDA SARA DAMA</t>
        </is>
      </c>
      <c r="C1469" t="inlineStr">
        <is>
          <t>Manufactura / Dama / P. Inferiores</t>
        </is>
      </c>
      <c r="D1469" t="n">
        <v>430.12793729</v>
      </c>
      <c r="E1469" t="n">
        <v>0.000105309328737471</v>
      </c>
      <c r="F1469" t="n">
        <v>0.9369887284795336</v>
      </c>
      <c r="G1469" t="inlineStr">
        <is>
          <t>B</t>
        </is>
      </c>
      <c r="H1469" t="n">
        <v>0</v>
      </c>
      <c r="I1469" t="n">
        <v>9.500113852</v>
      </c>
      <c r="J1469" t="n">
        <v>0</v>
      </c>
      <c r="K1469" t="n">
        <v>1.1</v>
      </c>
      <c r="L1469" t="n">
        <v>0</v>
      </c>
      <c r="M1469" t="n">
        <v>3</v>
      </c>
      <c r="N1469" t="n">
        <v>3.3</v>
      </c>
      <c r="O1469" t="n">
        <v>0</v>
      </c>
      <c r="P1469" t="n">
        <v>0</v>
      </c>
      <c r="Q1469" t="n">
        <v>0</v>
      </c>
      <c r="R1469" t="inlineStr">
        <is>
          <t>Riesgo bajo stock</t>
        </is>
      </c>
    </row>
    <row r="1470">
      <c r="A1470" t="inlineStr">
        <is>
          <t>ZOEMIDA01TM</t>
        </is>
      </c>
      <c r="B1470" t="inlineStr">
        <is>
          <t>ZOE ORIGINAL DAMA</t>
        </is>
      </c>
      <c r="C1470" t="inlineStr">
        <is>
          <t>Manufactura / Dama / P. Superiores</t>
        </is>
      </c>
      <c r="D1470" t="n">
        <v>429.21173307</v>
      </c>
      <c r="E1470" t="n">
        <v>0.0001050850121027447</v>
      </c>
      <c r="F1470" t="n">
        <v>0.9370938134916363</v>
      </c>
      <c r="G1470" t="inlineStr">
        <is>
          <t>B</t>
        </is>
      </c>
      <c r="H1470" t="n">
        <v>12</v>
      </c>
      <c r="I1470" t="n">
        <v>4.116585696</v>
      </c>
      <c r="J1470" t="n">
        <v>49.39902835199999</v>
      </c>
      <c r="K1470" t="n">
        <v>1</v>
      </c>
      <c r="L1470" t="n">
        <v>12</v>
      </c>
      <c r="M1470" t="n">
        <v>3</v>
      </c>
      <c r="N1470" t="n">
        <v>3</v>
      </c>
      <c r="O1470" t="n">
        <v>9</v>
      </c>
      <c r="P1470" t="n">
        <v>37.049271264</v>
      </c>
      <c r="Q1470" t="n">
        <v>0.75</v>
      </c>
      <c r="R1470" t="inlineStr">
        <is>
          <t>Sobrestock crítico</t>
        </is>
      </c>
    </row>
    <row r="1471">
      <c r="A1471" t="inlineStr">
        <is>
          <t>CLAMEDA43TM</t>
        </is>
      </c>
      <c r="B1471" t="inlineStr">
        <is>
          <t>CLÁSICA SPORT DAMA</t>
        </is>
      </c>
      <c r="C1471" t="inlineStr">
        <is>
          <t>Manufactura / Dama / P. Superiores</t>
        </is>
      </c>
      <c r="D1471" t="n">
        <v>427.25742311</v>
      </c>
      <c r="E1471" t="n">
        <v>0.0001046065333707441</v>
      </c>
      <c r="F1471" t="n">
        <v>0.937198420025007</v>
      </c>
      <c r="G1471" t="inlineStr">
        <is>
          <t>B</t>
        </is>
      </c>
      <c r="H1471" t="n">
        <v>2</v>
      </c>
      <c r="I1471" t="n">
        <v>6.536105769</v>
      </c>
      <c r="J1471" t="n">
        <v>13.072211538</v>
      </c>
      <c r="K1471" t="n">
        <v>1</v>
      </c>
      <c r="L1471" t="n">
        <v>2</v>
      </c>
      <c r="M1471" t="n">
        <v>3</v>
      </c>
      <c r="N1471" t="n">
        <v>3</v>
      </c>
      <c r="O1471" t="n">
        <v>0</v>
      </c>
      <c r="P1471" t="n">
        <v>0</v>
      </c>
      <c r="Q1471" t="n">
        <v>0</v>
      </c>
      <c r="R1471" t="inlineStr">
        <is>
          <t>OK</t>
        </is>
      </c>
    </row>
    <row r="1472">
      <c r="A1472" t="inlineStr">
        <is>
          <t>MAADFDA30TXS</t>
        </is>
      </c>
      <c r="B1472" t="inlineStr">
        <is>
          <t>MAFE ADVANCE DAMA</t>
        </is>
      </c>
      <c r="C1472" t="inlineStr">
        <is>
          <t>Manufactura / Dama / P. Superiores</t>
        </is>
      </c>
      <c r="D1472" t="n">
        <v>426.86575443</v>
      </c>
      <c r="E1472" t="n">
        <v>0.000104510640120847</v>
      </c>
      <c r="F1472" t="n">
        <v>0.9373029306651279</v>
      </c>
      <c r="G1472" t="inlineStr">
        <is>
          <t>B</t>
        </is>
      </c>
      <c r="H1472" t="n">
        <v>7</v>
      </c>
      <c r="I1472" t="n">
        <v>4.98</v>
      </c>
      <c r="J1472" t="n">
        <v>34.86</v>
      </c>
      <c r="K1472" t="n">
        <v>0.8</v>
      </c>
      <c r="L1472" t="n">
        <v>8.75</v>
      </c>
      <c r="M1472" t="n">
        <v>3</v>
      </c>
      <c r="N1472" t="n">
        <v>2.4</v>
      </c>
      <c r="O1472" t="n">
        <v>4.6</v>
      </c>
      <c r="P1472" t="n">
        <v>22.908</v>
      </c>
      <c r="Q1472" t="n">
        <v>0.6571428571428571</v>
      </c>
      <c r="R1472" t="inlineStr">
        <is>
          <t>Sobrestock crítico</t>
        </is>
      </c>
    </row>
    <row r="1473">
      <c r="A1473" t="inlineStr">
        <is>
          <t>NAHFNCA24TM</t>
        </is>
      </c>
      <c r="B1473" t="inlineStr">
        <is>
          <t>NOAH SPORT LITE CAB</t>
        </is>
      </c>
      <c r="C1473" t="inlineStr">
        <is>
          <t>Manufactura / Caballero / P. Superiores</t>
        </is>
      </c>
      <c r="D1473" t="n">
        <v>426.33074637</v>
      </c>
      <c r="E1473" t="n">
        <v>0.0001043796527220216</v>
      </c>
      <c r="F1473" t="n">
        <v>0.9374073103178499</v>
      </c>
      <c r="G1473" t="inlineStr">
        <is>
          <t>B</t>
        </is>
      </c>
      <c r="H1473" t="n">
        <v>8</v>
      </c>
      <c r="I1473" t="n">
        <v>17.61141534</v>
      </c>
      <c r="J1473" t="n">
        <v>140.89132272</v>
      </c>
      <c r="K1473" t="n">
        <v>3.3</v>
      </c>
      <c r="L1473" t="n">
        <v>2.424242424242424</v>
      </c>
      <c r="M1473" t="n">
        <v>3</v>
      </c>
      <c r="N1473" t="n">
        <v>9.899999999999999</v>
      </c>
      <c r="O1473" t="n">
        <v>0</v>
      </c>
      <c r="P1473" t="n">
        <v>0</v>
      </c>
      <c r="Q1473" t="n">
        <v>0</v>
      </c>
      <c r="R1473" t="inlineStr">
        <is>
          <t>OK</t>
        </is>
      </c>
    </row>
    <row r="1474">
      <c r="A1474" t="inlineStr">
        <is>
          <t>SHOUNKI50T4</t>
        </is>
      </c>
      <c r="B1474" t="inlineStr">
        <is>
          <t>SHORT PLAYA KIDS</t>
        </is>
      </c>
      <c r="C1474" t="inlineStr">
        <is>
          <t>Manufactura / Kids / P. Inferiores</t>
        </is>
      </c>
      <c r="D1474" t="n">
        <v>425.8835701</v>
      </c>
      <c r="E1474" t="n">
        <v>0.0001042701694061558</v>
      </c>
      <c r="F1474" t="n">
        <v>0.9375115804872561</v>
      </c>
      <c r="G1474" t="inlineStr">
        <is>
          <t>B</t>
        </is>
      </c>
      <c r="H1474" t="n">
        <v>35</v>
      </c>
      <c r="I1474" t="n">
        <v>6.09</v>
      </c>
      <c r="J1474" t="n">
        <v>213.15</v>
      </c>
      <c r="K1474" t="n">
        <v>1</v>
      </c>
      <c r="L1474" t="n">
        <v>35</v>
      </c>
      <c r="M1474" t="n">
        <v>3</v>
      </c>
      <c r="N1474" t="n">
        <v>3</v>
      </c>
      <c r="O1474" t="n">
        <v>32</v>
      </c>
      <c r="P1474" t="n">
        <v>194.88</v>
      </c>
      <c r="Q1474" t="n">
        <v>0.9142857142857143</v>
      </c>
      <c r="R1474" t="inlineStr">
        <is>
          <t>Sobrestock crítico</t>
        </is>
      </c>
    </row>
    <row r="1475">
      <c r="A1475" t="inlineStr">
        <is>
          <t>RIOMIKI48T14</t>
        </is>
      </c>
      <c r="B1475" t="inlineStr">
        <is>
          <t>RIO ORIGINAL KIDS</t>
        </is>
      </c>
      <c r="C1475" t="inlineStr">
        <is>
          <t>Manufactura / Kids / P. Superiores</t>
        </is>
      </c>
      <c r="D1475" t="n">
        <v>425.52024232</v>
      </c>
      <c r="E1475" t="n">
        <v>0.0001041812149316696</v>
      </c>
      <c r="F1475" t="n">
        <v>0.9376157617021877</v>
      </c>
      <c r="G1475" t="inlineStr">
        <is>
          <t>B</t>
        </is>
      </c>
      <c r="H1475" t="n">
        <v>12</v>
      </c>
      <c r="I1475" t="n">
        <v>3.617969464</v>
      </c>
      <c r="J1475" t="n">
        <v>43.415633568</v>
      </c>
      <c r="K1475" t="n">
        <v>1</v>
      </c>
      <c r="L1475" t="n">
        <v>12</v>
      </c>
      <c r="M1475" t="n">
        <v>3</v>
      </c>
      <c r="N1475" t="n">
        <v>3</v>
      </c>
      <c r="O1475" t="n">
        <v>9</v>
      </c>
      <c r="P1475" t="n">
        <v>32.561725176</v>
      </c>
      <c r="Q1475" t="n">
        <v>0.75</v>
      </c>
      <c r="R1475" t="inlineStr">
        <is>
          <t>Sobrestock crítico</t>
        </is>
      </c>
    </row>
    <row r="1476">
      <c r="A1476" t="inlineStr">
        <is>
          <t>SHOSUKI154T2</t>
        </is>
      </c>
      <c r="B1476" t="inlineStr">
        <is>
          <t>SHORT PLAYA ESTAMPADO KIDS</t>
        </is>
      </c>
      <c r="C1476" t="inlineStr">
        <is>
          <t>Manufactura / Kids / P. Superiores</t>
        </is>
      </c>
      <c r="D1476" t="n">
        <v>425.40589184</v>
      </c>
      <c r="E1476" t="n">
        <v>0.0001041532182096583</v>
      </c>
      <c r="F1476" t="n">
        <v>0.9377199149203975</v>
      </c>
      <c r="G1476" t="inlineStr">
        <is>
          <t>B</t>
        </is>
      </c>
      <c r="H1476" t="n">
        <v>17</v>
      </c>
      <c r="I1476" t="n">
        <v>7.21</v>
      </c>
      <c r="J1476" t="n">
        <v>122.57</v>
      </c>
      <c r="K1476" t="n">
        <v>1.2</v>
      </c>
      <c r="L1476" t="n">
        <v>14.16666666666667</v>
      </c>
      <c r="M1476" t="n">
        <v>3</v>
      </c>
      <c r="N1476" t="n">
        <v>3.6</v>
      </c>
      <c r="O1476" t="n">
        <v>13.4</v>
      </c>
      <c r="P1476" t="n">
        <v>96.614</v>
      </c>
      <c r="Q1476" t="n">
        <v>0.7882352941176471</v>
      </c>
      <c r="R1476" t="inlineStr">
        <is>
          <t>Sobrestock crítico</t>
        </is>
      </c>
    </row>
    <row r="1477">
      <c r="A1477" t="inlineStr">
        <is>
          <t>EPNTKI33T12</t>
        </is>
      </c>
      <c r="B1477" t="inlineStr">
        <is>
          <t>EXPLORE PANTS KIDS</t>
        </is>
      </c>
      <c r="C1477" t="inlineStr">
        <is>
          <t>Manufactura / Kids / P. Inferiores</t>
        </is>
      </c>
      <c r="D1477" t="n">
        <v>423.08311238</v>
      </c>
      <c r="E1477" t="n">
        <v>0.0001035845261426446</v>
      </c>
      <c r="F1477" t="n">
        <v>0.9378234994465401</v>
      </c>
      <c r="G1477" t="inlineStr">
        <is>
          <t>B</t>
        </is>
      </c>
      <c r="H1477" t="n">
        <v>23</v>
      </c>
      <c r="I1477" t="n">
        <v>13.98</v>
      </c>
      <c r="J1477" t="n">
        <v>321.54</v>
      </c>
      <c r="K1477" t="n">
        <v>0.7</v>
      </c>
      <c r="L1477" t="n">
        <v>32.85714285714286</v>
      </c>
      <c r="M1477" t="n">
        <v>3</v>
      </c>
      <c r="N1477" t="n">
        <v>2.1</v>
      </c>
      <c r="O1477" t="n">
        <v>20.9</v>
      </c>
      <c r="P1477" t="n">
        <v>292.182</v>
      </c>
      <c r="Q1477" t="n">
        <v>0.908695652173913</v>
      </c>
      <c r="R1477" t="inlineStr">
        <is>
          <t>Sobrestock crítico</t>
        </is>
      </c>
    </row>
    <row r="1478">
      <c r="A1478" t="inlineStr">
        <is>
          <t>SHOUNKI29T10</t>
        </is>
      </c>
      <c r="B1478" t="inlineStr">
        <is>
          <t>SHORT PLAYA KIDS</t>
        </is>
      </c>
      <c r="C1478" t="inlineStr">
        <is>
          <t>Manufactura / Kids / P. Inferiores</t>
        </is>
      </c>
      <c r="D1478" t="n">
        <v>423.06885755</v>
      </c>
      <c r="E1478" t="n">
        <v>0.0001035810360959668</v>
      </c>
      <c r="F1478" t="n">
        <v>0.9379270804826362</v>
      </c>
      <c r="G1478" t="inlineStr">
        <is>
          <t>B</t>
        </is>
      </c>
      <c r="H1478" t="n">
        <v>25</v>
      </c>
      <c r="I1478" t="n">
        <v>6.09</v>
      </c>
      <c r="J1478" t="n">
        <v>152.25</v>
      </c>
      <c r="K1478" t="n">
        <v>1</v>
      </c>
      <c r="L1478" t="n">
        <v>25</v>
      </c>
      <c r="M1478" t="n">
        <v>3</v>
      </c>
      <c r="N1478" t="n">
        <v>3</v>
      </c>
      <c r="O1478" t="n">
        <v>22</v>
      </c>
      <c r="P1478" t="n">
        <v>133.98</v>
      </c>
      <c r="Q1478" t="n">
        <v>0.8799999999999999</v>
      </c>
      <c r="R1478" t="inlineStr">
        <is>
          <t>Sobrestock crítico</t>
        </is>
      </c>
    </row>
    <row r="1479">
      <c r="A1479" t="inlineStr">
        <is>
          <t>MARMIDA39TS</t>
        </is>
      </c>
      <c r="B1479" t="inlineStr">
        <is>
          <t>MAR ORIGINAL DAMA</t>
        </is>
      </c>
      <c r="C1479" t="inlineStr">
        <is>
          <t>Manufactura / Dama / P. Superiores</t>
        </is>
      </c>
      <c r="D1479" t="n">
        <v>421.04108607</v>
      </c>
      <c r="E1479" t="n">
        <v>0.0001030845715911564</v>
      </c>
      <c r="F1479" t="n">
        <v>0.9380301650542272</v>
      </c>
      <c r="G1479" t="inlineStr">
        <is>
          <t>B</t>
        </is>
      </c>
      <c r="H1479" t="n">
        <v>0</v>
      </c>
      <c r="I1479" t="n">
        <v>4.278324149</v>
      </c>
      <c r="J1479" t="n">
        <v>0</v>
      </c>
      <c r="K1479" t="n">
        <v>1.2</v>
      </c>
      <c r="L1479" t="n">
        <v>0</v>
      </c>
      <c r="M1479" t="n">
        <v>3</v>
      </c>
      <c r="N1479" t="n">
        <v>3.6</v>
      </c>
      <c r="O1479" t="n">
        <v>0</v>
      </c>
      <c r="P1479" t="n">
        <v>0</v>
      </c>
      <c r="Q1479" t="n">
        <v>0</v>
      </c>
      <c r="R1479" t="inlineStr">
        <is>
          <t>Riesgo bajo stock</t>
        </is>
      </c>
    </row>
    <row r="1480">
      <c r="A1480" t="inlineStr">
        <is>
          <t>RIOMIKI16T1</t>
        </is>
      </c>
      <c r="B1480" t="inlineStr">
        <is>
          <t>RIO ORIGINAL KIDS</t>
        </is>
      </c>
      <c r="C1480" t="inlineStr">
        <is>
          <t>Manufactura / Kids / P. Superiores</t>
        </is>
      </c>
      <c r="D1480" t="n">
        <v>419.73430311</v>
      </c>
      <c r="E1480" t="n">
        <v>0.0001027646285593454</v>
      </c>
      <c r="F1480" t="n">
        <v>0.9381329296827865</v>
      </c>
      <c r="G1480" t="inlineStr">
        <is>
          <t>B</t>
        </is>
      </c>
      <c r="H1480" t="n">
        <v>0</v>
      </c>
      <c r="I1480" t="n">
        <v>3.617969464</v>
      </c>
      <c r="J1480" t="n">
        <v>0</v>
      </c>
      <c r="K1480" t="n">
        <v>1</v>
      </c>
      <c r="L1480" t="n">
        <v>0</v>
      </c>
      <c r="M1480" t="n">
        <v>3</v>
      </c>
      <c r="N1480" t="n">
        <v>3</v>
      </c>
      <c r="O1480" t="n">
        <v>0</v>
      </c>
      <c r="P1480" t="n">
        <v>0</v>
      </c>
      <c r="Q1480" t="n">
        <v>0</v>
      </c>
      <c r="R1480" t="inlineStr">
        <is>
          <t>Riesgo bajo stock</t>
        </is>
      </c>
    </row>
    <row r="1481">
      <c r="A1481" t="inlineStr">
        <is>
          <t>ZOEMIDA50TM</t>
        </is>
      </c>
      <c r="B1481" t="inlineStr">
        <is>
          <t>ZOE ORIGINAL DAMA</t>
        </is>
      </c>
      <c r="C1481" t="inlineStr">
        <is>
          <t>Manufactura / Dama / P. Superiores</t>
        </is>
      </c>
      <c r="D1481" t="n">
        <v>419.24821862</v>
      </c>
      <c r="E1481" t="n">
        <v>0.0001026456192439448</v>
      </c>
      <c r="F1481" t="n">
        <v>0.9382355753020305</v>
      </c>
      <c r="G1481" t="inlineStr">
        <is>
          <t>B</t>
        </is>
      </c>
      <c r="H1481" t="n">
        <v>19</v>
      </c>
      <c r="I1481" t="n">
        <v>4.116585696</v>
      </c>
      <c r="J1481" t="n">
        <v>78.215128224</v>
      </c>
      <c r="K1481" t="n">
        <v>1.1</v>
      </c>
      <c r="L1481" t="n">
        <v>17.27272727272727</v>
      </c>
      <c r="M1481" t="n">
        <v>3</v>
      </c>
      <c r="N1481" t="n">
        <v>3.3</v>
      </c>
      <c r="O1481" t="n">
        <v>15.7</v>
      </c>
      <c r="P1481" t="n">
        <v>64.63039542719999</v>
      </c>
      <c r="Q1481" t="n">
        <v>0.826315789473684</v>
      </c>
      <c r="R1481" t="inlineStr">
        <is>
          <t>Sobrestock crítico</t>
        </is>
      </c>
    </row>
    <row r="1482">
      <c r="A1482" t="inlineStr">
        <is>
          <t>PANNTKI30T12</t>
        </is>
      </c>
      <c r="B1482" t="inlineStr">
        <is>
          <t>EXPLORE PANTS KIDS</t>
        </is>
      </c>
      <c r="C1482" t="inlineStr">
        <is>
          <t>Manufactura / Kids / P. Inferiores</t>
        </is>
      </c>
      <c r="D1482" t="n">
        <v>419.14982092</v>
      </c>
      <c r="E1482" t="n">
        <v>0.0001026215282820751</v>
      </c>
      <c r="F1482" t="n">
        <v>0.9383381968303126</v>
      </c>
      <c r="G1482" t="inlineStr">
        <is>
          <t>B</t>
        </is>
      </c>
      <c r="H1482" t="n">
        <v>2</v>
      </c>
      <c r="I1482" t="n">
        <v>13.98</v>
      </c>
      <c r="J1482" t="n">
        <v>27.96</v>
      </c>
      <c r="K1482" t="n">
        <v>0.8</v>
      </c>
      <c r="L1482" t="n">
        <v>2.5</v>
      </c>
      <c r="M1482" t="n">
        <v>3</v>
      </c>
      <c r="N1482" t="n">
        <v>2.4</v>
      </c>
      <c r="O1482" t="n">
        <v>0</v>
      </c>
      <c r="P1482" t="n">
        <v>0</v>
      </c>
      <c r="Q1482" t="n">
        <v>0</v>
      </c>
      <c r="R1482" t="inlineStr">
        <is>
          <t>OK</t>
        </is>
      </c>
    </row>
    <row r="1483">
      <c r="A1483" t="inlineStr">
        <is>
          <t>SHONTCA12TL</t>
        </is>
      </c>
      <c r="B1483" t="inlineStr">
        <is>
          <t>EXPLORE SHORT CAB</t>
        </is>
      </c>
      <c r="C1483" t="inlineStr">
        <is>
          <t>Manufactura / Caballero / P. Inferiores</t>
        </is>
      </c>
      <c r="D1483" t="n">
        <v>418.36908378</v>
      </c>
      <c r="E1483" t="n">
        <v>0.0001024303784008286</v>
      </c>
      <c r="F1483" t="n">
        <v>0.9384406272087135</v>
      </c>
      <c r="G1483" t="inlineStr">
        <is>
          <t>B</t>
        </is>
      </c>
      <c r="H1483" t="n">
        <v>0</v>
      </c>
      <c r="I1483" t="n">
        <v>11.17</v>
      </c>
      <c r="J1483" t="n">
        <v>0</v>
      </c>
      <c r="K1483" t="n">
        <v>0.8</v>
      </c>
      <c r="L1483" t="n">
        <v>0</v>
      </c>
      <c r="M1483" t="n">
        <v>3</v>
      </c>
      <c r="N1483" t="n">
        <v>2.4</v>
      </c>
      <c r="O1483" t="n">
        <v>0</v>
      </c>
      <c r="P1483" t="n">
        <v>0</v>
      </c>
      <c r="Q1483" t="n">
        <v>0</v>
      </c>
      <c r="R1483" t="inlineStr">
        <is>
          <t>Riesgo bajo stock</t>
        </is>
      </c>
    </row>
    <row r="1484">
      <c r="A1484" t="inlineStr">
        <is>
          <t>RIOMICA05TL</t>
        </is>
      </c>
      <c r="B1484" t="inlineStr">
        <is>
          <t>RIO ORIGINAL CAB</t>
        </is>
      </c>
      <c r="C1484" t="inlineStr">
        <is>
          <t>Manufactura / Caballero / P. Superiores</t>
        </is>
      </c>
      <c r="D1484" t="n">
        <v>418.0909387</v>
      </c>
      <c r="E1484" t="n">
        <v>0.0001023622794257864</v>
      </c>
      <c r="F1484" t="n">
        <v>0.9385429894881392</v>
      </c>
      <c r="G1484" t="inlineStr">
        <is>
          <t>B</t>
        </is>
      </c>
      <c r="H1484" t="n">
        <v>0</v>
      </c>
      <c r="I1484" t="n">
        <v>5.939350288</v>
      </c>
      <c r="J1484" t="n">
        <v>0</v>
      </c>
      <c r="K1484" t="n">
        <v>0.8</v>
      </c>
      <c r="L1484" t="n">
        <v>0</v>
      </c>
      <c r="M1484" t="n">
        <v>3</v>
      </c>
      <c r="N1484" t="n">
        <v>2.4</v>
      </c>
      <c r="O1484" t="n">
        <v>0</v>
      </c>
      <c r="P1484" t="n">
        <v>0</v>
      </c>
      <c r="Q1484" t="n">
        <v>0</v>
      </c>
      <c r="R1484" t="inlineStr">
        <is>
          <t>Sin rotación</t>
        </is>
      </c>
    </row>
    <row r="1485">
      <c r="A1485" t="inlineStr">
        <is>
          <t>MARMICA04TS</t>
        </is>
      </c>
      <c r="B1485" t="inlineStr">
        <is>
          <t>MAR ORIGINAL CAB</t>
        </is>
      </c>
      <c r="C1485" t="inlineStr">
        <is>
          <t>Manufactura / Caballero / P. Superiores</t>
        </is>
      </c>
      <c r="D1485" t="n">
        <v>417.19587808</v>
      </c>
      <c r="E1485" t="n">
        <v>0.000102143139433008</v>
      </c>
      <c r="F1485" t="n">
        <v>0.9386451326275722</v>
      </c>
      <c r="G1485" t="inlineStr">
        <is>
          <t>B</t>
        </is>
      </c>
      <c r="H1485" t="n">
        <v>85</v>
      </c>
      <c r="I1485" t="n">
        <v>4.946357428</v>
      </c>
      <c r="J1485" t="n">
        <v>420.44038138</v>
      </c>
      <c r="K1485" t="n">
        <v>0.9</v>
      </c>
      <c r="L1485" t="n">
        <v>94.44444444444444</v>
      </c>
      <c r="M1485" t="n">
        <v>3</v>
      </c>
      <c r="N1485" t="n">
        <v>2.7</v>
      </c>
      <c r="O1485" t="n">
        <v>82.3</v>
      </c>
      <c r="P1485" t="n">
        <v>407.0852163244</v>
      </c>
      <c r="Q1485" t="n">
        <v>0.9682352941176471</v>
      </c>
      <c r="R1485" t="inlineStr">
        <is>
          <t>Sobrestock crítico</t>
        </is>
      </c>
    </row>
    <row r="1486">
      <c r="A1486" t="inlineStr">
        <is>
          <t>SHOUNKI29T6</t>
        </is>
      </c>
      <c r="B1486" t="inlineStr">
        <is>
          <t>SHORT PLAYA KIDS</t>
        </is>
      </c>
      <c r="C1486" t="inlineStr">
        <is>
          <t>Manufactura / Kids / P. Inferiores</t>
        </is>
      </c>
      <c r="D1486" t="n">
        <v>416.74928608</v>
      </c>
      <c r="E1486" t="n">
        <v>0.0001020337991654684</v>
      </c>
      <c r="F1486" t="n">
        <v>0.9387471664267377</v>
      </c>
      <c r="G1486" t="inlineStr">
        <is>
          <t>B</t>
        </is>
      </c>
      <c r="H1486" t="n">
        <v>23</v>
      </c>
      <c r="I1486" t="n">
        <v>6.09</v>
      </c>
      <c r="J1486" t="n">
        <v>140.07</v>
      </c>
      <c r="K1486" t="n">
        <v>1</v>
      </c>
      <c r="L1486" t="n">
        <v>23</v>
      </c>
      <c r="M1486" t="n">
        <v>3</v>
      </c>
      <c r="N1486" t="n">
        <v>3</v>
      </c>
      <c r="O1486" t="n">
        <v>20</v>
      </c>
      <c r="P1486" t="n">
        <v>121.8</v>
      </c>
      <c r="Q1486" t="n">
        <v>0.8695652173913043</v>
      </c>
      <c r="R1486" t="inlineStr">
        <is>
          <t>Sobrestock crítico</t>
        </is>
      </c>
    </row>
    <row r="1487">
      <c r="A1487" t="inlineStr">
        <is>
          <t>SUC43EQ</t>
        </is>
      </c>
      <c r="B1487" t="inlineStr">
        <is>
          <t>SUNNY CORD 2.0</t>
        </is>
      </c>
      <c r="C1487" t="inlineStr">
        <is>
          <t>Equipamiento / Accesorios</t>
        </is>
      </c>
      <c r="D1487" t="n">
        <v>415.481338993</v>
      </c>
      <c r="E1487" t="n">
        <v>0.0001017233644202903</v>
      </c>
      <c r="F1487" t="n">
        <v>0.938848889791158</v>
      </c>
      <c r="G1487" t="inlineStr">
        <is>
          <t>B</t>
        </is>
      </c>
      <c r="H1487" t="n">
        <v>5</v>
      </c>
      <c r="I1487" t="n">
        <v>0.66</v>
      </c>
      <c r="J1487" t="n">
        <v>3.3</v>
      </c>
      <c r="K1487" t="n">
        <v>8.199999999999999</v>
      </c>
      <c r="L1487" t="n">
        <v>0.6097560975609757</v>
      </c>
      <c r="M1487" t="n">
        <v>3</v>
      </c>
      <c r="N1487" t="n">
        <v>24.6</v>
      </c>
      <c r="O1487" t="n">
        <v>0</v>
      </c>
      <c r="P1487" t="n">
        <v>0</v>
      </c>
      <c r="Q1487" t="n">
        <v>0</v>
      </c>
      <c r="R1487" t="inlineStr">
        <is>
          <t>Riesgo bajo stock</t>
        </is>
      </c>
    </row>
    <row r="1488">
      <c r="A1488" t="inlineStr">
        <is>
          <t>GEODOCACA43T2XL</t>
        </is>
      </c>
      <c r="B1488" t="inlineStr">
        <is>
          <t>ADVANCE GEO DOMINIC CAB</t>
        </is>
      </c>
      <c r="C1488" t="inlineStr">
        <is>
          <t>Manufactura / Caballero / P. Superiores</t>
        </is>
      </c>
      <c r="D1488" t="n">
        <v>414.33894753</v>
      </c>
      <c r="E1488" t="n">
        <v>0.0001014436697813373</v>
      </c>
      <c r="F1488" t="n">
        <v>0.9389503334609393</v>
      </c>
      <c r="G1488" t="inlineStr">
        <is>
          <t>B</t>
        </is>
      </c>
      <c r="H1488" t="n">
        <v>18</v>
      </c>
      <c r="I1488" t="n">
        <v>13.35</v>
      </c>
      <c r="J1488" t="n">
        <v>240.3</v>
      </c>
      <c r="K1488" t="n">
        <v>0.7</v>
      </c>
      <c r="L1488" t="n">
        <v>25.71428571428572</v>
      </c>
      <c r="M1488" t="n">
        <v>3</v>
      </c>
      <c r="N1488" t="n">
        <v>2.1</v>
      </c>
      <c r="O1488" t="n">
        <v>15.9</v>
      </c>
      <c r="P1488" t="n">
        <v>212.265</v>
      </c>
      <c r="Q1488" t="n">
        <v>0.8833333333333333</v>
      </c>
      <c r="R1488" t="inlineStr">
        <is>
          <t>Sobrestock crítico</t>
        </is>
      </c>
    </row>
    <row r="1489">
      <c r="A1489" t="inlineStr">
        <is>
          <t>CLAMEDA12TXS</t>
        </is>
      </c>
      <c r="B1489" t="inlineStr">
        <is>
          <t>CLÁSICA SPORT DAMA</t>
        </is>
      </c>
      <c r="C1489" t="inlineStr">
        <is>
          <t>Manufactura / Dama / P. Superiores</t>
        </is>
      </c>
      <c r="D1489" t="n">
        <v>413.71564356</v>
      </c>
      <c r="E1489" t="n">
        <v>0.0001012910646678595</v>
      </c>
      <c r="F1489" t="n">
        <v>0.9390516245256071</v>
      </c>
      <c r="G1489" t="inlineStr">
        <is>
          <t>B</t>
        </is>
      </c>
      <c r="H1489" t="n">
        <v>2</v>
      </c>
      <c r="I1489" t="n">
        <v>6.536105769</v>
      </c>
      <c r="J1489" t="n">
        <v>13.072211538</v>
      </c>
      <c r="K1489" t="n">
        <v>0.9</v>
      </c>
      <c r="L1489" t="n">
        <v>2.222222222222222</v>
      </c>
      <c r="M1489" t="n">
        <v>3</v>
      </c>
      <c r="N1489" t="n">
        <v>2.7</v>
      </c>
      <c r="O1489" t="n">
        <v>0</v>
      </c>
      <c r="P1489" t="n">
        <v>0</v>
      </c>
      <c r="Q1489" t="n">
        <v>0</v>
      </c>
      <c r="R1489" t="inlineStr">
        <is>
          <t>OK</t>
        </is>
      </c>
    </row>
    <row r="1490">
      <c r="A1490" t="inlineStr">
        <is>
          <t>ZOEMIKI53T14</t>
        </is>
      </c>
      <c r="B1490" t="inlineStr">
        <is>
          <t>ZOE ORIGINAL KIDS</t>
        </is>
      </c>
      <c r="C1490" t="inlineStr">
        <is>
          <t>Manufactura / Kids / P. Superiores</t>
        </is>
      </c>
      <c r="D1490" t="n">
        <v>413.43315594</v>
      </c>
      <c r="E1490" t="n">
        <v>0.0001012219024975846</v>
      </c>
      <c r="F1490" t="n">
        <v>0.9391528464281048</v>
      </c>
      <c r="G1490" t="inlineStr">
        <is>
          <t>B</t>
        </is>
      </c>
      <c r="H1490" t="n">
        <v>0</v>
      </c>
      <c r="I1490" t="n">
        <v>4.12</v>
      </c>
      <c r="J1490" t="n">
        <v>0</v>
      </c>
      <c r="K1490" t="n">
        <v>1.1</v>
      </c>
      <c r="L1490" t="n">
        <v>0</v>
      </c>
      <c r="M1490" t="n">
        <v>3</v>
      </c>
      <c r="N1490" t="n">
        <v>3.3</v>
      </c>
      <c r="O1490" t="n">
        <v>0</v>
      </c>
      <c r="P1490" t="n">
        <v>0</v>
      </c>
      <c r="Q1490" t="n">
        <v>0</v>
      </c>
      <c r="R1490" t="inlineStr">
        <is>
          <t>Riesgo bajo stock</t>
        </is>
      </c>
    </row>
    <row r="1491">
      <c r="A1491" t="inlineStr">
        <is>
          <t>MARMIKI01T2</t>
        </is>
      </c>
      <c r="B1491" t="inlineStr">
        <is>
          <t>MAR ORIGINAL KIDS</t>
        </is>
      </c>
      <c r="C1491" t="inlineStr">
        <is>
          <t>Manufactura / Kids / P. Superiores</t>
        </is>
      </c>
      <c r="D1491" t="n">
        <v>413.2819932</v>
      </c>
      <c r="E1491" t="n">
        <v>0.0001011848929353139</v>
      </c>
      <c r="F1491" t="n">
        <v>0.9392540313210401</v>
      </c>
      <c r="G1491" t="inlineStr">
        <is>
          <t>B</t>
        </is>
      </c>
      <c r="H1491" t="n">
        <v>26</v>
      </c>
      <c r="I1491" t="n">
        <v>3.168013332000001</v>
      </c>
      <c r="J1491" t="n">
        <v>82.36834663200001</v>
      </c>
      <c r="K1491" t="n">
        <v>1.1</v>
      </c>
      <c r="L1491" t="n">
        <v>23.63636363636363</v>
      </c>
      <c r="M1491" t="n">
        <v>3</v>
      </c>
      <c r="N1491" t="n">
        <v>3.3</v>
      </c>
      <c r="O1491" t="n">
        <v>22.7</v>
      </c>
      <c r="P1491" t="n">
        <v>71.91390263640001</v>
      </c>
      <c r="Q1491" t="n">
        <v>0.8730769230769231</v>
      </c>
      <c r="R1491" t="inlineStr">
        <is>
          <t>Sobrestock crítico</t>
        </is>
      </c>
    </row>
    <row r="1492">
      <c r="A1492" t="inlineStr">
        <is>
          <t>SHOSUKI154T6</t>
        </is>
      </c>
      <c r="B1492" t="inlineStr">
        <is>
          <t>SHORT PLAYA ESTAMPADO KIDS</t>
        </is>
      </c>
      <c r="C1492" t="inlineStr">
        <is>
          <t>Manufactura / Kids / P. Superiores</t>
        </is>
      </c>
      <c r="D1492" t="n">
        <v>412.97152736</v>
      </c>
      <c r="E1492" t="n">
        <v>0.0001011088807855049</v>
      </c>
      <c r="F1492" t="n">
        <v>0.9393551402018256</v>
      </c>
      <c r="G1492" t="inlineStr">
        <is>
          <t>B</t>
        </is>
      </c>
      <c r="H1492" t="n">
        <v>38</v>
      </c>
      <c r="I1492" t="n">
        <v>7.21</v>
      </c>
      <c r="J1492" t="n">
        <v>273.98</v>
      </c>
      <c r="K1492" t="n">
        <v>1.2</v>
      </c>
      <c r="L1492" t="n">
        <v>31.66666666666667</v>
      </c>
      <c r="M1492" t="n">
        <v>3</v>
      </c>
      <c r="N1492" t="n">
        <v>3.6</v>
      </c>
      <c r="O1492" t="n">
        <v>34.4</v>
      </c>
      <c r="P1492" t="n">
        <v>248.024</v>
      </c>
      <c r="Q1492" t="n">
        <v>0.9052631578947368</v>
      </c>
      <c r="R1492" t="inlineStr">
        <is>
          <t>Sobrestock crítico</t>
        </is>
      </c>
    </row>
    <row r="1493">
      <c r="A1493" t="inlineStr">
        <is>
          <t>SABMEDA43TXS</t>
        </is>
      </c>
      <c r="B1493" t="inlineStr">
        <is>
          <t>SABRI SPORT DAMA</t>
        </is>
      </c>
      <c r="C1493" t="inlineStr">
        <is>
          <t>Manufactura / Dama / P. Superiores</t>
        </is>
      </c>
      <c r="D1493" t="n">
        <v>412.8478569</v>
      </c>
      <c r="E1493" t="n">
        <v>0.0001010786022288287</v>
      </c>
      <c r="F1493" t="n">
        <v>0.9394562188040545</v>
      </c>
      <c r="G1493" t="inlineStr">
        <is>
          <t>B</t>
        </is>
      </c>
      <c r="H1493" t="n">
        <v>63</v>
      </c>
      <c r="I1493" t="n">
        <v>4.51</v>
      </c>
      <c r="J1493" t="n">
        <v>284.13</v>
      </c>
      <c r="K1493" t="n">
        <v>1</v>
      </c>
      <c r="L1493" t="n">
        <v>63</v>
      </c>
      <c r="M1493" t="n">
        <v>3</v>
      </c>
      <c r="N1493" t="n">
        <v>3</v>
      </c>
      <c r="O1493" t="n">
        <v>60</v>
      </c>
      <c r="P1493" t="n">
        <v>270.6</v>
      </c>
      <c r="Q1493" t="n">
        <v>0.9523809523809523</v>
      </c>
      <c r="R1493" t="inlineStr">
        <is>
          <t>Sobrestock crítico</t>
        </is>
      </c>
    </row>
    <row r="1494">
      <c r="A1494" t="inlineStr">
        <is>
          <t>GEODOCACA03TS</t>
        </is>
      </c>
      <c r="B1494" t="inlineStr">
        <is>
          <t>ADVANCE GEO DOMINIC CAB</t>
        </is>
      </c>
      <c r="C1494" t="inlineStr">
        <is>
          <t>Manufactura / Caballero / P. Superiores</t>
        </is>
      </c>
      <c r="D1494" t="n">
        <v>412.7107924</v>
      </c>
      <c r="E1494" t="n">
        <v>0.0001010450443749035</v>
      </c>
      <c r="F1494" t="n">
        <v>0.9395572638484294</v>
      </c>
      <c r="G1494" t="inlineStr">
        <is>
          <t>B</t>
        </is>
      </c>
      <c r="H1494" t="n">
        <v>18</v>
      </c>
      <c r="I1494" t="n">
        <v>13.35</v>
      </c>
      <c r="J1494" t="n">
        <v>240.3</v>
      </c>
      <c r="K1494" t="n">
        <v>1.2</v>
      </c>
      <c r="L1494" t="n">
        <v>15</v>
      </c>
      <c r="M1494" t="n">
        <v>3</v>
      </c>
      <c r="N1494" t="n">
        <v>3.6</v>
      </c>
      <c r="O1494" t="n">
        <v>14.4</v>
      </c>
      <c r="P1494" t="n">
        <v>192.24</v>
      </c>
      <c r="Q1494" t="n">
        <v>0.8</v>
      </c>
      <c r="R1494" t="inlineStr">
        <is>
          <t>Sobrestock crítico</t>
        </is>
      </c>
    </row>
    <row r="1495">
      <c r="A1495" t="inlineStr">
        <is>
          <t>MARMICA50T2XL</t>
        </is>
      </c>
      <c r="B1495" t="inlineStr">
        <is>
          <t>MAR ORIGINAL CAB</t>
        </is>
      </c>
      <c r="C1495" t="inlineStr">
        <is>
          <t>Manufactura / Caballero / P. Superiores</t>
        </is>
      </c>
      <c r="D1495" t="n">
        <v>411.6157861791381</v>
      </c>
      <c r="E1495" t="n">
        <v>0.0001007769511866096</v>
      </c>
      <c r="F1495" t="n">
        <v>0.939658040799616</v>
      </c>
      <c r="G1495" t="inlineStr">
        <is>
          <t>B</t>
        </is>
      </c>
      <c r="H1495" t="n">
        <v>43</v>
      </c>
      <c r="I1495" t="n">
        <v>4.946357428</v>
      </c>
      <c r="J1495" t="n">
        <v>212.693369404</v>
      </c>
      <c r="K1495" t="n">
        <v>1</v>
      </c>
      <c r="L1495" t="n">
        <v>43</v>
      </c>
      <c r="M1495" t="n">
        <v>3</v>
      </c>
      <c r="N1495" t="n">
        <v>3</v>
      </c>
      <c r="O1495" t="n">
        <v>40</v>
      </c>
      <c r="P1495" t="n">
        <v>197.85429712</v>
      </c>
      <c r="Q1495" t="n">
        <v>0.9302325581395349</v>
      </c>
      <c r="R1495" t="inlineStr">
        <is>
          <t>Sobrestock crítico</t>
        </is>
      </c>
    </row>
    <row r="1496">
      <c r="A1496" t="inlineStr">
        <is>
          <t>SHOUNKI23T8</t>
        </is>
      </c>
      <c r="B1496" t="inlineStr">
        <is>
          <t>SHORT PLAYA KIDS</t>
        </is>
      </c>
      <c r="C1496" t="inlineStr">
        <is>
          <t>Manufactura / Kids / P. Inferiores</t>
        </is>
      </c>
      <c r="D1496" t="n">
        <v>411.2007217</v>
      </c>
      <c r="E1496" t="n">
        <v>0.0001006753298830594</v>
      </c>
      <c r="F1496" t="n">
        <v>0.9397587161294991</v>
      </c>
      <c r="G1496" t="inlineStr">
        <is>
          <t>B</t>
        </is>
      </c>
      <c r="H1496" t="n">
        <v>2</v>
      </c>
      <c r="I1496" t="n">
        <v>6.09</v>
      </c>
      <c r="J1496" t="n">
        <v>12.18</v>
      </c>
      <c r="K1496" t="n">
        <v>1</v>
      </c>
      <c r="L1496" t="n">
        <v>2</v>
      </c>
      <c r="M1496" t="n">
        <v>3</v>
      </c>
      <c r="N1496" t="n">
        <v>3</v>
      </c>
      <c r="O1496" t="n">
        <v>0</v>
      </c>
      <c r="P1496" t="n">
        <v>0</v>
      </c>
      <c r="Q1496" t="n">
        <v>0</v>
      </c>
      <c r="R1496" t="inlineStr">
        <is>
          <t>OK</t>
        </is>
      </c>
    </row>
    <row r="1497">
      <c r="A1497" t="inlineStr">
        <is>
          <t>SHONRCA66T2XL</t>
        </is>
      </c>
      <c r="B1497" t="inlineStr">
        <is>
          <t>SHORT SPORT CAB</t>
        </is>
      </c>
      <c r="C1497" t="inlineStr">
        <is>
          <t>Manufactura / Caballero / P. Inferiores</t>
        </is>
      </c>
      <c r="D1497" t="n">
        <v>410.20552538</v>
      </c>
      <c r="E1497" t="n">
        <v>0.0001004316734094029</v>
      </c>
      <c r="F1497" t="n">
        <v>0.9398591478029085</v>
      </c>
      <c r="G1497" t="inlineStr">
        <is>
          <t>B</t>
        </is>
      </c>
      <c r="H1497" t="n">
        <v>12</v>
      </c>
      <c r="I1497" t="n">
        <v>10.6514486</v>
      </c>
      <c r="J1497" t="n">
        <v>127.8173832</v>
      </c>
      <c r="K1497" t="n">
        <v>0.9</v>
      </c>
      <c r="L1497" t="n">
        <v>13.33333333333333</v>
      </c>
      <c r="M1497" t="n">
        <v>3</v>
      </c>
      <c r="N1497" t="n">
        <v>2.7</v>
      </c>
      <c r="O1497" t="n">
        <v>9.300000000000001</v>
      </c>
      <c r="P1497" t="n">
        <v>99.05847198000001</v>
      </c>
      <c r="Q1497" t="n">
        <v>0.7750000000000001</v>
      </c>
      <c r="R1497" t="inlineStr">
        <is>
          <t>Sobrestock crítico</t>
        </is>
      </c>
    </row>
    <row r="1498">
      <c r="A1498" t="inlineStr">
        <is>
          <t>SARSPKI30T10</t>
        </is>
      </c>
      <c r="B1498" t="inlineStr">
        <is>
          <t>FALDA SARA KIDS</t>
        </is>
      </c>
      <c r="C1498" t="inlineStr">
        <is>
          <t>Manufactura / Kids / P. Inferiores</t>
        </is>
      </c>
      <c r="D1498" t="n">
        <v>409.36396067</v>
      </c>
      <c r="E1498" t="n">
        <v>0.0001002256309578067</v>
      </c>
      <c r="F1498" t="n">
        <v>0.9399593734338663</v>
      </c>
      <c r="G1498" t="inlineStr">
        <is>
          <t>B</t>
        </is>
      </c>
      <c r="H1498" t="n">
        <v>5</v>
      </c>
      <c r="I1498" t="n">
        <v>5.753743316</v>
      </c>
      <c r="J1498" t="n">
        <v>28.76871658</v>
      </c>
      <c r="K1498" t="n">
        <v>1.1</v>
      </c>
      <c r="L1498" t="n">
        <v>4.545454545454545</v>
      </c>
      <c r="M1498" t="n">
        <v>3</v>
      </c>
      <c r="N1498" t="n">
        <v>3.3</v>
      </c>
      <c r="O1498" t="n">
        <v>1.7</v>
      </c>
      <c r="P1498" t="n">
        <v>9.781363637199998</v>
      </c>
      <c r="Q1498" t="n">
        <v>0.3399999999999999</v>
      </c>
      <c r="R1498" t="inlineStr">
        <is>
          <t>Sobrestock crítico</t>
        </is>
      </c>
    </row>
    <row r="1499">
      <c r="A1499" t="inlineStr">
        <is>
          <t>CLADFCA70TL</t>
        </is>
      </c>
      <c r="B1499" t="inlineStr">
        <is>
          <t>CLASICA ADVANCE CAB</t>
        </is>
      </c>
      <c r="C1499" t="inlineStr">
        <is>
          <t>Manufactura / Caballero / P. Superiores</t>
        </is>
      </c>
      <c r="D1499" t="n">
        <v>407.71438844</v>
      </c>
      <c r="E1499" t="n">
        <v>9.982176194771695e-05</v>
      </c>
      <c r="F1499" t="n">
        <v>0.9400591951958139</v>
      </c>
      <c r="G1499" t="inlineStr">
        <is>
          <t>B</t>
        </is>
      </c>
      <c r="H1499" t="n">
        <v>6</v>
      </c>
      <c r="I1499" t="n">
        <v>15.51</v>
      </c>
      <c r="J1499" t="n">
        <v>93.06</v>
      </c>
      <c r="K1499" t="n">
        <v>1.1</v>
      </c>
      <c r="L1499" t="n">
        <v>5.454545454545454</v>
      </c>
      <c r="M1499" t="n">
        <v>3</v>
      </c>
      <c r="N1499" t="n">
        <v>3.3</v>
      </c>
      <c r="O1499" t="n">
        <v>2.7</v>
      </c>
      <c r="P1499" t="n">
        <v>41.877</v>
      </c>
      <c r="Q1499" t="n">
        <v>0.45</v>
      </c>
      <c r="R1499" t="inlineStr">
        <is>
          <t>Sobrestock crítico</t>
        </is>
      </c>
    </row>
    <row r="1500">
      <c r="A1500" t="inlineStr">
        <is>
          <t>CLAMECA13TXL</t>
        </is>
      </c>
      <c r="B1500" t="inlineStr">
        <is>
          <t>CLASICA SPORT CAB</t>
        </is>
      </c>
      <c r="C1500" t="inlineStr">
        <is>
          <t>Manufactura / Caballero / P. Superiores</t>
        </is>
      </c>
      <c r="D1500" t="n">
        <v>406.94456095</v>
      </c>
      <c r="E1500" t="n">
        <v>9.963328310412838e-05</v>
      </c>
      <c r="F1500" t="n">
        <v>0.9401588284789181</v>
      </c>
      <c r="G1500" t="inlineStr">
        <is>
          <t>B</t>
        </is>
      </c>
      <c r="H1500" t="n">
        <v>0</v>
      </c>
      <c r="I1500" t="n">
        <v>10.3013454</v>
      </c>
      <c r="J1500" t="n">
        <v>0</v>
      </c>
      <c r="K1500" t="n">
        <v>1</v>
      </c>
      <c r="L1500" t="n">
        <v>0</v>
      </c>
      <c r="M1500" t="n">
        <v>3</v>
      </c>
      <c r="N1500" t="n">
        <v>3</v>
      </c>
      <c r="O1500" t="n">
        <v>0</v>
      </c>
      <c r="P1500" t="n">
        <v>0</v>
      </c>
      <c r="Q1500" t="n">
        <v>0</v>
      </c>
      <c r="R1500" t="inlineStr">
        <is>
          <t>Riesgo bajo stock</t>
        </is>
      </c>
    </row>
    <row r="1501">
      <c r="A1501" t="inlineStr">
        <is>
          <t>RIOMIDA13TL</t>
        </is>
      </c>
      <c r="B1501" t="inlineStr">
        <is>
          <t>RIO ORIGINAL DAMA</t>
        </is>
      </c>
      <c r="C1501" t="inlineStr">
        <is>
          <t>Manufactura / Dama / P. Superiores</t>
        </is>
      </c>
      <c r="D1501" t="n">
        <v>406.71618945</v>
      </c>
      <c r="E1501" t="n">
        <v>9.957737032264459e-05</v>
      </c>
      <c r="F1501" t="n">
        <v>0.9402584058492408</v>
      </c>
      <c r="G1501" t="inlineStr">
        <is>
          <t>B</t>
        </is>
      </c>
      <c r="H1501" t="n">
        <v>1</v>
      </c>
      <c r="I1501" t="n">
        <v>5.538832275</v>
      </c>
      <c r="J1501" t="n">
        <v>5.538832275</v>
      </c>
      <c r="K1501" t="n">
        <v>0.8</v>
      </c>
      <c r="L1501" t="n">
        <v>1.25</v>
      </c>
      <c r="M1501" t="n">
        <v>3</v>
      </c>
      <c r="N1501" t="n">
        <v>2.4</v>
      </c>
      <c r="O1501" t="n">
        <v>0</v>
      </c>
      <c r="P1501" t="n">
        <v>0</v>
      </c>
      <c r="Q1501" t="n">
        <v>0</v>
      </c>
      <c r="R1501" t="inlineStr">
        <is>
          <t>OK</t>
        </is>
      </c>
    </row>
    <row r="1502">
      <c r="A1502" t="inlineStr">
        <is>
          <t>ANMSUDA151TM</t>
        </is>
      </c>
      <c r="B1502" t="inlineStr">
        <is>
          <t>ANDRE MOTION DAMA</t>
        </is>
      </c>
      <c r="C1502" t="inlineStr">
        <is>
          <t>Manufactura / Dama / P. Superiores</t>
        </is>
      </c>
      <c r="D1502" t="n">
        <v>406.23712375</v>
      </c>
      <c r="E1502" t="n">
        <v>9.946007943564479e-05</v>
      </c>
      <c r="F1502" t="n">
        <v>0.9403578659286763</v>
      </c>
      <c r="G1502" t="inlineStr">
        <is>
          <t>B</t>
        </is>
      </c>
      <c r="H1502" t="n">
        <v>1</v>
      </c>
      <c r="I1502" t="n">
        <v>10.6</v>
      </c>
      <c r="J1502" t="n">
        <v>10.6</v>
      </c>
      <c r="K1502" t="n">
        <v>0.9</v>
      </c>
      <c r="L1502" t="n">
        <v>1.111111111111111</v>
      </c>
      <c r="M1502" t="n">
        <v>3</v>
      </c>
      <c r="N1502" t="n">
        <v>2.7</v>
      </c>
      <c r="O1502" t="n">
        <v>0</v>
      </c>
      <c r="P1502" t="n">
        <v>0</v>
      </c>
      <c r="Q1502" t="n">
        <v>0</v>
      </c>
      <c r="R1502" t="inlineStr">
        <is>
          <t>OK</t>
        </is>
      </c>
    </row>
    <row r="1503">
      <c r="A1503" t="inlineStr">
        <is>
          <t>SHPEUNCA211TL</t>
        </is>
      </c>
      <c r="B1503" t="inlineStr">
        <is>
          <t>SHORT PLAYA ESTAMPADO CAB</t>
        </is>
      </c>
      <c r="C1503" t="inlineStr">
        <is>
          <t>Manufactura / Caballero / P. Inferiores</t>
        </is>
      </c>
      <c r="D1503" t="n">
        <v>406.1025176</v>
      </c>
      <c r="E1503" t="n">
        <v>9.942712346587042e-05</v>
      </c>
      <c r="F1503" t="n">
        <v>0.9405567201756081</v>
      </c>
      <c r="G1503" t="inlineStr">
        <is>
          <t>B</t>
        </is>
      </c>
      <c r="H1503" t="n">
        <v>0</v>
      </c>
      <c r="I1503" t="n">
        <v>12.11</v>
      </c>
      <c r="J1503" t="n">
        <v>0</v>
      </c>
      <c r="K1503" t="n">
        <v>1</v>
      </c>
      <c r="L1503" t="n">
        <v>0</v>
      </c>
      <c r="M1503" t="n">
        <v>3</v>
      </c>
      <c r="N1503" t="n">
        <v>3</v>
      </c>
      <c r="O1503" t="n">
        <v>0</v>
      </c>
      <c r="P1503" t="n">
        <v>0</v>
      </c>
      <c r="Q1503" t="n">
        <v>0</v>
      </c>
      <c r="R1503" t="inlineStr">
        <is>
          <t>Riesgo bajo stock</t>
        </is>
      </c>
    </row>
    <row r="1504">
      <c r="A1504" t="inlineStr">
        <is>
          <t>SHPEUNCA211T2XL</t>
        </is>
      </c>
      <c r="B1504" t="inlineStr">
        <is>
          <t>SHORT PLAYA ESTAMPADO CAB</t>
        </is>
      </c>
      <c r="C1504" t="inlineStr">
        <is>
          <t>Manufactura / Caballero / P. Inferiores</t>
        </is>
      </c>
      <c r="D1504" t="n">
        <v>406.1025176</v>
      </c>
      <c r="E1504" t="n">
        <v>9.942712346587042e-05</v>
      </c>
      <c r="F1504" t="n">
        <v>0.9405567201756081</v>
      </c>
      <c r="G1504" t="inlineStr">
        <is>
          <t>B</t>
        </is>
      </c>
      <c r="H1504" t="n">
        <v>0</v>
      </c>
      <c r="I1504" t="n">
        <v>12.11</v>
      </c>
      <c r="J1504" t="n">
        <v>0</v>
      </c>
      <c r="K1504" t="n">
        <v>1</v>
      </c>
      <c r="L1504" t="n">
        <v>0</v>
      </c>
      <c r="M1504" t="n">
        <v>3</v>
      </c>
      <c r="N1504" t="n">
        <v>3</v>
      </c>
      <c r="O1504" t="n">
        <v>0</v>
      </c>
      <c r="P1504" t="n">
        <v>0</v>
      </c>
      <c r="Q1504" t="n">
        <v>0</v>
      </c>
      <c r="R1504" t="inlineStr">
        <is>
          <t>Riesgo bajo stock</t>
        </is>
      </c>
    </row>
    <row r="1505">
      <c r="A1505" t="inlineStr">
        <is>
          <t>CLADFCA151T2XL</t>
        </is>
      </c>
      <c r="B1505" t="inlineStr">
        <is>
          <t>CLASICA ADVANCE CAB</t>
        </is>
      </c>
      <c r="C1505" t="inlineStr">
        <is>
          <t>Manufactura / Caballero / P. Superiores</t>
        </is>
      </c>
      <c r="D1505" t="n">
        <v>405.60064184</v>
      </c>
      <c r="E1505" t="n">
        <v>9.930424793323656e-05</v>
      </c>
      <c r="F1505" t="n">
        <v>0.9406560244235413</v>
      </c>
      <c r="G1505" t="inlineStr">
        <is>
          <t>B</t>
        </is>
      </c>
      <c r="H1505" t="n">
        <v>8</v>
      </c>
      <c r="I1505" t="n">
        <v>15.51</v>
      </c>
      <c r="J1505" t="n">
        <v>124.08</v>
      </c>
      <c r="K1505" t="n">
        <v>0.7</v>
      </c>
      <c r="L1505" t="n">
        <v>11.42857142857143</v>
      </c>
      <c r="M1505" t="n">
        <v>3</v>
      </c>
      <c r="N1505" t="n">
        <v>2.1</v>
      </c>
      <c r="O1505" t="n">
        <v>5.9</v>
      </c>
      <c r="P1505" t="n">
        <v>91.509</v>
      </c>
      <c r="Q1505" t="n">
        <v>0.7375</v>
      </c>
      <c r="R1505" t="inlineStr">
        <is>
          <t>Sobrestock crítico</t>
        </is>
      </c>
    </row>
    <row r="1506">
      <c r="A1506" t="inlineStr">
        <is>
          <t>TALGTADA170TM</t>
        </is>
      </c>
      <c r="B1506" t="inlineStr">
        <is>
          <t>URBAN COTTON TOP GRAY BLOCK DAMA</t>
        </is>
      </c>
      <c r="C1506" t="inlineStr">
        <is>
          <t>Manufactura / Dama / P. Superiores</t>
        </is>
      </c>
      <c r="D1506" t="n">
        <v>404.88213496</v>
      </c>
      <c r="E1506" t="n">
        <v>9.912833404653863e-05</v>
      </c>
      <c r="F1506" t="n">
        <v>0.9407551527575879</v>
      </c>
      <c r="G1506" t="inlineStr">
        <is>
          <t>B</t>
        </is>
      </c>
      <c r="H1506" t="n">
        <v>20</v>
      </c>
      <c r="I1506" t="n">
        <v>7.811820557</v>
      </c>
      <c r="J1506" t="n">
        <v>156.23641114</v>
      </c>
      <c r="K1506" t="n">
        <v>1.2</v>
      </c>
      <c r="L1506" t="n">
        <v>16.66666666666667</v>
      </c>
      <c r="M1506" t="n">
        <v>3</v>
      </c>
      <c r="N1506" t="n">
        <v>3.6</v>
      </c>
      <c r="O1506" t="n">
        <v>16.4</v>
      </c>
      <c r="P1506" t="n">
        <v>128.1138571348</v>
      </c>
      <c r="Q1506" t="n">
        <v>0.82</v>
      </c>
      <c r="R1506" t="inlineStr">
        <is>
          <t>Sobrestock crítico</t>
        </is>
      </c>
    </row>
    <row r="1507">
      <c r="A1507" t="inlineStr">
        <is>
          <t>SHOUNKI13T4</t>
        </is>
      </c>
      <c r="B1507" t="inlineStr">
        <is>
          <t>SHORT PLAYA KIDS</t>
        </is>
      </c>
      <c r="C1507" t="inlineStr">
        <is>
          <t>Manufactura / Kids / P. Inferiores</t>
        </is>
      </c>
      <c r="D1507" t="n">
        <v>403.64238338</v>
      </c>
      <c r="E1507" t="n">
        <v>9.882480247982946e-05</v>
      </c>
      <c r="F1507" t="n">
        <v>0.9408539775600677</v>
      </c>
      <c r="G1507" t="inlineStr">
        <is>
          <t>B</t>
        </is>
      </c>
      <c r="H1507" t="n">
        <v>20</v>
      </c>
      <c r="I1507" t="n">
        <v>6.09</v>
      </c>
      <c r="J1507" t="n">
        <v>121.8</v>
      </c>
      <c r="K1507" t="n">
        <v>1.1</v>
      </c>
      <c r="L1507" t="n">
        <v>18.18181818181818</v>
      </c>
      <c r="M1507" t="n">
        <v>3</v>
      </c>
      <c r="N1507" t="n">
        <v>3.3</v>
      </c>
      <c r="O1507" t="n">
        <v>16.7</v>
      </c>
      <c r="P1507" t="n">
        <v>101.703</v>
      </c>
      <c r="Q1507" t="n">
        <v>0.835</v>
      </c>
      <c r="R1507" t="inlineStr">
        <is>
          <t>Sobrestock crítico</t>
        </is>
      </c>
    </row>
    <row r="1508">
      <c r="A1508" t="inlineStr">
        <is>
          <t>SMCBNEDA16TM</t>
        </is>
      </c>
      <c r="B1508" t="inlineStr">
        <is>
          <t>SPOTS MANGA CORTA DAMA</t>
        </is>
      </c>
      <c r="C1508" t="inlineStr">
        <is>
          <t>Manufactura / Dama / P. Superiores</t>
        </is>
      </c>
      <c r="D1508" t="n">
        <v>403.4203488959117</v>
      </c>
      <c r="E1508" t="n">
        <v>9.877044120624366e-05</v>
      </c>
      <c r="F1508" t="n">
        <v>0.940952748001274</v>
      </c>
      <c r="G1508" t="inlineStr">
        <is>
          <t>B</t>
        </is>
      </c>
      <c r="H1508" t="n">
        <v>6</v>
      </c>
      <c r="I1508" t="n">
        <v>8.5</v>
      </c>
      <c r="J1508" t="n">
        <v>51</v>
      </c>
      <c r="K1508" t="n">
        <v>1.2</v>
      </c>
      <c r="L1508" t="n">
        <v>5</v>
      </c>
      <c r="M1508" t="n">
        <v>3</v>
      </c>
      <c r="N1508" t="n">
        <v>3.6</v>
      </c>
      <c r="O1508" t="n">
        <v>2.4</v>
      </c>
      <c r="P1508" t="n">
        <v>20.4</v>
      </c>
      <c r="Q1508" t="n">
        <v>0.4</v>
      </c>
      <c r="R1508" t="inlineStr">
        <is>
          <t>Sobrestock crítico</t>
        </is>
      </c>
    </row>
    <row r="1509">
      <c r="A1509" t="inlineStr">
        <is>
          <t>SHOUNKI57T14</t>
        </is>
      </c>
      <c r="B1509" t="inlineStr">
        <is>
          <t>SHORT PLAYA KIDS</t>
        </is>
      </c>
      <c r="C1509" t="inlineStr">
        <is>
          <t>Manufactura / Kids / P. Inferiores</t>
        </is>
      </c>
      <c r="D1509" t="n">
        <v>402.47096689</v>
      </c>
      <c r="E1509" t="n">
        <v>9.853800156889319e-05</v>
      </c>
      <c r="F1509" t="n">
        <v>0.9410512860028429</v>
      </c>
      <c r="G1509" t="inlineStr">
        <is>
          <t>B</t>
        </is>
      </c>
      <c r="H1509" t="n">
        <v>11</v>
      </c>
      <c r="I1509" t="n">
        <v>6.089999999999999</v>
      </c>
      <c r="J1509" t="n">
        <v>66.98999999999999</v>
      </c>
      <c r="K1509" t="n">
        <v>1</v>
      </c>
      <c r="L1509" t="n">
        <v>11</v>
      </c>
      <c r="M1509" t="n">
        <v>3</v>
      </c>
      <c r="N1509" t="n">
        <v>3</v>
      </c>
      <c r="O1509" t="n">
        <v>8</v>
      </c>
      <c r="P1509" t="n">
        <v>48.71999999999999</v>
      </c>
      <c r="Q1509" t="n">
        <v>0.7272727272727272</v>
      </c>
      <c r="R1509" t="inlineStr">
        <is>
          <t>Sobrestock crítico</t>
        </is>
      </c>
    </row>
    <row r="1510">
      <c r="A1510" t="inlineStr">
        <is>
          <t>MANMIGE43TG</t>
        </is>
      </c>
      <c r="B1510" t="inlineStr">
        <is>
          <t>MANGAS GENERAL</t>
        </is>
      </c>
      <c r="C1510" t="inlineStr">
        <is>
          <t>Manufactura / General</t>
        </is>
      </c>
      <c r="D1510" t="n">
        <v>402.33527799</v>
      </c>
      <c r="E1510" t="n">
        <v>9.850478050665261e-05</v>
      </c>
      <c r="F1510" t="n">
        <v>0.9411497907833496</v>
      </c>
      <c r="G1510" t="inlineStr">
        <is>
          <t>B</t>
        </is>
      </c>
      <c r="H1510" t="n">
        <v>7</v>
      </c>
      <c r="I1510" t="n">
        <v>0.92</v>
      </c>
      <c r="J1510" t="n">
        <v>6.44</v>
      </c>
      <c r="K1510" t="n">
        <v>2.4</v>
      </c>
      <c r="L1510" t="n">
        <v>2.916666666666667</v>
      </c>
      <c r="M1510" t="n">
        <v>3</v>
      </c>
      <c r="N1510" t="n">
        <v>7.199999999999999</v>
      </c>
      <c r="O1510" t="n">
        <v>0</v>
      </c>
      <c r="P1510" t="n">
        <v>0</v>
      </c>
      <c r="Q1510" t="n">
        <v>0</v>
      </c>
      <c r="R1510" t="inlineStr">
        <is>
          <t>OK</t>
        </is>
      </c>
    </row>
    <row r="1511">
      <c r="A1511" t="inlineStr">
        <is>
          <t>SHUNTDA157TXS</t>
        </is>
      </c>
      <c r="B1511" t="inlineStr">
        <is>
          <t>SHORT SPORT R1 DAMA</t>
        </is>
      </c>
      <c r="C1511" t="inlineStr">
        <is>
          <t>Manufactura / Dama / P. Inferiores</t>
        </is>
      </c>
      <c r="D1511" t="n">
        <v>402.26963073</v>
      </c>
      <c r="E1511" t="n">
        <v>9.848870791920895e-05</v>
      </c>
      <c r="F1511" t="n">
        <v>0.9412482794912688</v>
      </c>
      <c r="G1511" t="inlineStr">
        <is>
          <t>B</t>
        </is>
      </c>
      <c r="H1511" t="n">
        <v>48</v>
      </c>
      <c r="I1511" t="n">
        <v>8.33</v>
      </c>
      <c r="J1511" t="n">
        <v>399.84</v>
      </c>
      <c r="K1511" t="n">
        <v>0.8</v>
      </c>
      <c r="L1511" t="n">
        <v>60</v>
      </c>
      <c r="M1511" t="n">
        <v>3</v>
      </c>
      <c r="N1511" t="n">
        <v>2.4</v>
      </c>
      <c r="O1511" t="n">
        <v>45.6</v>
      </c>
      <c r="P1511" t="n">
        <v>379.848</v>
      </c>
      <c r="Q1511" t="n">
        <v>0.95</v>
      </c>
      <c r="R1511" t="inlineStr">
        <is>
          <t>Sobrestock crítico</t>
        </is>
      </c>
    </row>
    <row r="1512">
      <c r="A1512" t="inlineStr">
        <is>
          <t>CCBHMKI03T14</t>
        </is>
      </c>
      <c r="B1512" t="inlineStr">
        <is>
          <t>CLUB CLASICA KIDS</t>
        </is>
      </c>
      <c r="C1512" t="inlineStr">
        <is>
          <t>Manufactura / Kids / P. Superiores</t>
        </is>
      </c>
      <c r="D1512" t="n">
        <v>401</v>
      </c>
      <c r="E1512" t="n">
        <v>9.817786096338655e-05</v>
      </c>
      <c r="F1512" t="n">
        <v>0.9413464573522322</v>
      </c>
      <c r="G1512" t="inlineStr">
        <is>
          <t>B</t>
        </is>
      </c>
      <c r="H1512" t="n">
        <v>37</v>
      </c>
      <c r="I1512" t="n">
        <v>1</v>
      </c>
      <c r="J1512" t="n">
        <v>37</v>
      </c>
      <c r="K1512" t="n">
        <v>1.2</v>
      </c>
      <c r="L1512" t="n">
        <v>30.83333333333334</v>
      </c>
      <c r="M1512" t="n">
        <v>3</v>
      </c>
      <c r="N1512" t="n">
        <v>3.6</v>
      </c>
      <c r="O1512" t="n">
        <v>33.4</v>
      </c>
      <c r="P1512" t="n">
        <v>33.4</v>
      </c>
      <c r="Q1512" t="n">
        <v>0.9027027027027027</v>
      </c>
      <c r="R1512" t="inlineStr">
        <is>
          <t>Sobrestock crítico</t>
        </is>
      </c>
    </row>
    <row r="1513">
      <c r="A1513" t="inlineStr">
        <is>
          <t>SHOUNKI50T10</t>
        </is>
      </c>
      <c r="B1513" t="inlineStr">
        <is>
          <t>SHORT PLAYA KIDS</t>
        </is>
      </c>
      <c r="C1513" t="inlineStr">
        <is>
          <t>Manufactura / Kids / P. Inferiores</t>
        </is>
      </c>
      <c r="D1513" t="n">
        <v>400.65550782</v>
      </c>
      <c r="E1513" t="n">
        <v>9.80935180572743e-05</v>
      </c>
      <c r="F1513" t="n">
        <v>0.9414445508702894</v>
      </c>
      <c r="G1513" t="inlineStr">
        <is>
          <t>B</t>
        </is>
      </c>
      <c r="H1513" t="n">
        <v>8</v>
      </c>
      <c r="I1513" t="n">
        <v>6.09</v>
      </c>
      <c r="J1513" t="n">
        <v>48.72</v>
      </c>
      <c r="K1513" t="n">
        <v>1.2</v>
      </c>
      <c r="L1513" t="n">
        <v>6.666666666666667</v>
      </c>
      <c r="M1513" t="n">
        <v>3</v>
      </c>
      <c r="N1513" t="n">
        <v>3.6</v>
      </c>
      <c r="O1513" t="n">
        <v>4.4</v>
      </c>
      <c r="P1513" t="n">
        <v>26.796</v>
      </c>
      <c r="Q1513" t="n">
        <v>0.55</v>
      </c>
      <c r="R1513" t="inlineStr">
        <is>
          <t>Sobrestock crítico</t>
        </is>
      </c>
    </row>
    <row r="1514">
      <c r="A1514" t="inlineStr">
        <is>
          <t>RIOMICA16T3XL</t>
        </is>
      </c>
      <c r="B1514" t="inlineStr">
        <is>
          <t>RIO ORIGINAL CAB</t>
        </is>
      </c>
      <c r="C1514" t="inlineStr">
        <is>
          <t>Manufactura / Caballero / P. Superiores</t>
        </is>
      </c>
      <c r="D1514" t="n">
        <v>400.49680043</v>
      </c>
      <c r="E1514" t="n">
        <v>9.80546613189469e-05</v>
      </c>
      <c r="F1514" t="n">
        <v>0.9415426055316084</v>
      </c>
      <c r="G1514" t="inlineStr">
        <is>
          <t>B</t>
        </is>
      </c>
      <c r="H1514" t="n">
        <v>18</v>
      </c>
      <c r="I1514" t="n">
        <v>5.939350288</v>
      </c>
      <c r="J1514" t="n">
        <v>106.908305184</v>
      </c>
      <c r="K1514" t="n">
        <v>0.7</v>
      </c>
      <c r="L1514" t="n">
        <v>25.71428571428572</v>
      </c>
      <c r="M1514" t="n">
        <v>3</v>
      </c>
      <c r="N1514" t="n">
        <v>2.1</v>
      </c>
      <c r="O1514" t="n">
        <v>15.9</v>
      </c>
      <c r="P1514" t="n">
        <v>94.4356695792</v>
      </c>
      <c r="Q1514" t="n">
        <v>0.8833333333333333</v>
      </c>
      <c r="R1514" t="inlineStr">
        <is>
          <t>Sobrestock crítico</t>
        </is>
      </c>
    </row>
    <row r="1515">
      <c r="A1515" t="inlineStr">
        <is>
          <t>SHOUNKI01T6</t>
        </is>
      </c>
      <c r="B1515" t="inlineStr">
        <is>
          <t>SHORT PLAYA KIDS</t>
        </is>
      </c>
      <c r="C1515" t="inlineStr">
        <is>
          <t>Manufactura / Kids / P. Inferiores</t>
        </is>
      </c>
      <c r="D1515" t="n">
        <v>400.4251411</v>
      </c>
      <c r="E1515" t="n">
        <v>9.803711678094823e-05</v>
      </c>
      <c r="F1515" t="n">
        <v>0.9416406426483894</v>
      </c>
      <c r="G1515" t="inlineStr">
        <is>
          <t>B</t>
        </is>
      </c>
      <c r="H1515" t="n">
        <v>16</v>
      </c>
      <c r="I1515" t="n">
        <v>6.09</v>
      </c>
      <c r="J1515" t="n">
        <v>97.44</v>
      </c>
      <c r="K1515" t="n">
        <v>1</v>
      </c>
      <c r="L1515" t="n">
        <v>16</v>
      </c>
      <c r="M1515" t="n">
        <v>3</v>
      </c>
      <c r="N1515" t="n">
        <v>3</v>
      </c>
      <c r="O1515" t="n">
        <v>13</v>
      </c>
      <c r="P1515" t="n">
        <v>79.17</v>
      </c>
      <c r="Q1515" t="n">
        <v>0.8125</v>
      </c>
      <c r="R1515" t="inlineStr">
        <is>
          <t>Sobrestock crítico</t>
        </is>
      </c>
    </row>
    <row r="1516">
      <c r="A1516" t="inlineStr">
        <is>
          <t>RIOMICA14TL</t>
        </is>
      </c>
      <c r="B1516" t="inlineStr">
        <is>
          <t>RIO ORIGINAL CAB</t>
        </is>
      </c>
      <c r="C1516" t="inlineStr">
        <is>
          <t>Manufactura / Caballero / P. Superiores</t>
        </is>
      </c>
      <c r="D1516" t="n">
        <v>399.76042122</v>
      </c>
      <c r="E1516" t="n">
        <v>9.787437170374564e-05</v>
      </c>
      <c r="F1516" t="n">
        <v>0.941738517020093</v>
      </c>
      <c r="G1516" t="inlineStr">
        <is>
          <t>B</t>
        </is>
      </c>
      <c r="H1516" t="n">
        <v>0</v>
      </c>
      <c r="I1516" t="n">
        <v>5.939350288</v>
      </c>
      <c r="J1516" t="n">
        <v>0</v>
      </c>
      <c r="K1516" t="n">
        <v>0.8</v>
      </c>
      <c r="L1516" t="n">
        <v>0</v>
      </c>
      <c r="M1516" t="n">
        <v>3</v>
      </c>
      <c r="N1516" t="n">
        <v>2.4</v>
      </c>
      <c r="O1516" t="n">
        <v>0</v>
      </c>
      <c r="P1516" t="n">
        <v>0</v>
      </c>
      <c r="Q1516" t="n">
        <v>0</v>
      </c>
      <c r="R1516" t="inlineStr">
        <is>
          <t>Sin rotación</t>
        </is>
      </c>
    </row>
    <row r="1517">
      <c r="A1517" t="inlineStr">
        <is>
          <t>RIOMIKI04T6</t>
        </is>
      </c>
      <c r="B1517" t="inlineStr">
        <is>
          <t>RIO ORIGINAL KIDS</t>
        </is>
      </c>
      <c r="C1517" t="inlineStr">
        <is>
          <t>Manufactura / Kids / P. Superiores</t>
        </is>
      </c>
      <c r="D1517" t="n">
        <v>397.73997559</v>
      </c>
      <c r="E1517" t="n">
        <v>9.737970080562539e-05</v>
      </c>
      <c r="F1517" t="n">
        <v>0.9418358967208986</v>
      </c>
      <c r="G1517" t="inlineStr">
        <is>
          <t>B</t>
        </is>
      </c>
      <c r="H1517" t="n">
        <v>4</v>
      </c>
      <c r="I1517" t="n">
        <v>3.617969464</v>
      </c>
      <c r="J1517" t="n">
        <v>14.471877856</v>
      </c>
      <c r="K1517" t="n">
        <v>0.9</v>
      </c>
      <c r="L1517" t="n">
        <v>4.444444444444445</v>
      </c>
      <c r="M1517" t="n">
        <v>3</v>
      </c>
      <c r="N1517" t="n">
        <v>2.7</v>
      </c>
      <c r="O1517" t="n">
        <v>1.3</v>
      </c>
      <c r="P1517" t="n">
        <v>4.703360303199999</v>
      </c>
      <c r="Q1517" t="n">
        <v>0.325</v>
      </c>
      <c r="R1517" t="inlineStr">
        <is>
          <t>Sobrestock crítico</t>
        </is>
      </c>
    </row>
    <row r="1518">
      <c r="A1518" t="inlineStr">
        <is>
          <t>CCBHMKI03T10</t>
        </is>
      </c>
      <c r="B1518" t="inlineStr">
        <is>
          <t>CLUB CLASICA KIDS</t>
        </is>
      </c>
      <c r="C1518" t="inlineStr">
        <is>
          <t>Manufactura / Kids / P. Superiores</t>
        </is>
      </c>
      <c r="D1518" t="n">
        <v>397.43068106</v>
      </c>
      <c r="E1518" t="n">
        <v>9.730397543065511e-05</v>
      </c>
      <c r="F1518" t="n">
        <v>0.9419332006963294</v>
      </c>
      <c r="G1518" t="inlineStr">
        <is>
          <t>B</t>
        </is>
      </c>
      <c r="H1518" t="n">
        <v>21</v>
      </c>
      <c r="I1518" t="n">
        <v>1</v>
      </c>
      <c r="J1518" t="n">
        <v>21</v>
      </c>
      <c r="K1518" t="n">
        <v>1.2</v>
      </c>
      <c r="L1518" t="n">
        <v>17.5</v>
      </c>
      <c r="M1518" t="n">
        <v>3</v>
      </c>
      <c r="N1518" t="n">
        <v>3.6</v>
      </c>
      <c r="O1518" t="n">
        <v>17.4</v>
      </c>
      <c r="P1518" t="n">
        <v>17.4</v>
      </c>
      <c r="Q1518" t="n">
        <v>0.8285714285714285</v>
      </c>
      <c r="R1518" t="inlineStr">
        <is>
          <t>Sobrestock crítico</t>
        </is>
      </c>
    </row>
    <row r="1519">
      <c r="A1519" t="inlineStr">
        <is>
          <t>MARMIDA39TL</t>
        </is>
      </c>
      <c r="B1519" t="inlineStr">
        <is>
          <t>MAR ORIGINAL DAMA</t>
        </is>
      </c>
      <c r="C1519" t="inlineStr">
        <is>
          <t>Manufactura / Dama / P. Superiores</t>
        </is>
      </c>
      <c r="D1519" t="n">
        <v>397.39608155</v>
      </c>
      <c r="E1519" t="n">
        <v>9.729550434366713e-05</v>
      </c>
      <c r="F1519" t="n">
        <v>0.942030496200673</v>
      </c>
      <c r="G1519" t="inlineStr">
        <is>
          <t>B</t>
        </is>
      </c>
      <c r="H1519" t="n">
        <v>0</v>
      </c>
      <c r="I1519" t="n">
        <v>4.278324149</v>
      </c>
      <c r="J1519" t="n">
        <v>0</v>
      </c>
      <c r="K1519" t="n">
        <v>1.2</v>
      </c>
      <c r="L1519" t="n">
        <v>0</v>
      </c>
      <c r="M1519" t="n">
        <v>3</v>
      </c>
      <c r="N1519" t="n">
        <v>3.6</v>
      </c>
      <c r="O1519" t="n">
        <v>0</v>
      </c>
      <c r="P1519" t="n">
        <v>0</v>
      </c>
      <c r="Q1519" t="n">
        <v>0</v>
      </c>
      <c r="R1519" t="inlineStr">
        <is>
          <t>Riesgo bajo stock</t>
        </is>
      </c>
    </row>
    <row r="1520">
      <c r="A1520" t="inlineStr">
        <is>
          <t>TALGTACA166TS</t>
        </is>
      </c>
      <c r="B1520" t="inlineStr">
        <is>
          <t>URBAN COTTON OVERSIZED VINTAGE VERDE CAB</t>
        </is>
      </c>
      <c r="C1520" t="inlineStr">
        <is>
          <t>Manufactura / Caballero / P. Superiores</t>
        </is>
      </c>
      <c r="D1520" t="n">
        <v>397.11009723</v>
      </c>
      <c r="E1520" t="n">
        <v>9.722548606734129e-05</v>
      </c>
      <c r="F1520" t="n">
        <v>0.9421277216867404</v>
      </c>
      <c r="G1520" t="inlineStr">
        <is>
          <t>B</t>
        </is>
      </c>
      <c r="H1520" t="n">
        <v>6</v>
      </c>
      <c r="I1520" t="n">
        <v>12.16396667</v>
      </c>
      <c r="J1520" t="n">
        <v>72.98380002</v>
      </c>
      <c r="K1520" t="n">
        <v>0.9</v>
      </c>
      <c r="L1520" t="n">
        <v>6.666666666666666</v>
      </c>
      <c r="M1520" t="n">
        <v>3</v>
      </c>
      <c r="N1520" t="n">
        <v>2.7</v>
      </c>
      <c r="O1520" t="n">
        <v>3.3</v>
      </c>
      <c r="P1520" t="n">
        <v>40.141090011</v>
      </c>
      <c r="Q1520" t="n">
        <v>0.55</v>
      </c>
      <c r="R1520" t="inlineStr">
        <is>
          <t>Sobrestock crítico</t>
        </is>
      </c>
    </row>
    <row r="1521">
      <c r="A1521" t="inlineStr">
        <is>
          <t>SHUNTDA157TL</t>
        </is>
      </c>
      <c r="B1521" t="inlineStr">
        <is>
          <t>SHORT SPORT R1 DAMA</t>
        </is>
      </c>
      <c r="C1521" t="inlineStr">
        <is>
          <t>Manufactura / Dama / P. Inferiores</t>
        </is>
      </c>
      <c r="D1521" t="n">
        <v>396.54632113</v>
      </c>
      <c r="E1521" t="n">
        <v>9.708745531532064e-05</v>
      </c>
      <c r="F1521" t="n">
        <v>0.9422248091420556</v>
      </c>
      <c r="G1521" t="inlineStr">
        <is>
          <t>B</t>
        </is>
      </c>
      <c r="H1521" t="n">
        <v>25</v>
      </c>
      <c r="I1521" t="n">
        <v>8.33</v>
      </c>
      <c r="J1521" t="n">
        <v>208.25</v>
      </c>
      <c r="K1521" t="n">
        <v>0.9</v>
      </c>
      <c r="L1521" t="n">
        <v>27.77777777777778</v>
      </c>
      <c r="M1521" t="n">
        <v>3</v>
      </c>
      <c r="N1521" t="n">
        <v>2.7</v>
      </c>
      <c r="O1521" t="n">
        <v>22.3</v>
      </c>
      <c r="P1521" t="n">
        <v>185.759</v>
      </c>
      <c r="Q1521" t="n">
        <v>0.892</v>
      </c>
      <c r="R1521" t="inlineStr">
        <is>
          <t>Sobrestock crítico</t>
        </is>
      </c>
    </row>
    <row r="1522">
      <c r="A1522" t="inlineStr">
        <is>
          <t>POLPLCA30TS</t>
        </is>
      </c>
      <c r="B1522" t="inlineStr">
        <is>
          <t>CLASSIC POLO</t>
        </is>
      </c>
      <c r="C1522" t="inlineStr">
        <is>
          <t>Manufactura / Caballero / P. Superiores</t>
        </is>
      </c>
      <c r="D1522" t="n">
        <v>396.25471086</v>
      </c>
      <c r="E1522" t="n">
        <v>9.701605962319207e-05</v>
      </c>
      <c r="F1522" t="n">
        <v>0.942321825201679</v>
      </c>
      <c r="G1522" t="inlineStr">
        <is>
          <t>B</t>
        </is>
      </c>
      <c r="H1522" t="n">
        <v>65</v>
      </c>
      <c r="I1522" t="n">
        <v>7.340000000000001</v>
      </c>
      <c r="J1522" t="n">
        <v>477.1</v>
      </c>
      <c r="K1522" t="n">
        <v>1</v>
      </c>
      <c r="L1522" t="n">
        <v>65</v>
      </c>
      <c r="M1522" t="n">
        <v>3</v>
      </c>
      <c r="N1522" t="n">
        <v>3</v>
      </c>
      <c r="O1522" t="n">
        <v>62</v>
      </c>
      <c r="P1522" t="n">
        <v>455.08</v>
      </c>
      <c r="Q1522" t="n">
        <v>0.9538461538461539</v>
      </c>
      <c r="R1522" t="inlineStr">
        <is>
          <t>Sobrestock crítico</t>
        </is>
      </c>
    </row>
    <row r="1523">
      <c r="A1523" t="inlineStr">
        <is>
          <t>TMOFIDA66TS</t>
        </is>
      </c>
      <c r="B1523" t="inlineStr">
        <is>
          <t>TOP MOVA</t>
        </is>
      </c>
      <c r="C1523" t="inlineStr">
        <is>
          <t>Manufactura / Dama / P. Superiores</t>
        </is>
      </c>
      <c r="D1523" t="n">
        <v>395.00805973</v>
      </c>
      <c r="E1523" t="n">
        <v>9.671083882191778e-05</v>
      </c>
      <c r="F1523" t="n">
        <v>0.9424185360405009</v>
      </c>
      <c r="G1523" t="inlineStr">
        <is>
          <t>B</t>
        </is>
      </c>
      <c r="H1523" t="n">
        <v>14</v>
      </c>
      <c r="I1523" t="n">
        <v>9.942967033</v>
      </c>
      <c r="J1523" t="n">
        <v>139.201538462</v>
      </c>
      <c r="K1523" t="n">
        <v>1.3</v>
      </c>
      <c r="L1523" t="n">
        <v>10.76923076923077</v>
      </c>
      <c r="M1523" t="n">
        <v>3</v>
      </c>
      <c r="N1523" t="n">
        <v>3.9</v>
      </c>
      <c r="O1523" t="n">
        <v>10.1</v>
      </c>
      <c r="P1523" t="n">
        <v>100.4239670333</v>
      </c>
      <c r="Q1523" t="n">
        <v>0.7214285714285714</v>
      </c>
      <c r="R1523" t="inlineStr">
        <is>
          <t>Sobrestock crítico</t>
        </is>
      </c>
    </row>
    <row r="1524">
      <c r="A1524" t="inlineStr">
        <is>
          <t>ZOEMIKI11T14</t>
        </is>
      </c>
      <c r="B1524" t="inlineStr">
        <is>
          <t>ZOE ORIGINAL KIDS</t>
        </is>
      </c>
      <c r="C1524" t="inlineStr">
        <is>
          <t>Manufactura / Kids / P. Superiores</t>
        </is>
      </c>
      <c r="D1524" t="n">
        <v>394.83706596</v>
      </c>
      <c r="E1524" t="n">
        <v>9.666897397758694e-05</v>
      </c>
      <c r="F1524" t="n">
        <v>0.9425152050144784</v>
      </c>
      <c r="G1524" t="inlineStr">
        <is>
          <t>B</t>
        </is>
      </c>
      <c r="H1524" t="n">
        <v>9</v>
      </c>
      <c r="I1524" t="n">
        <v>4.12</v>
      </c>
      <c r="J1524" t="n">
        <v>37.08</v>
      </c>
      <c r="K1524" t="n">
        <v>1.1</v>
      </c>
      <c r="L1524" t="n">
        <v>8.181818181818182</v>
      </c>
      <c r="M1524" t="n">
        <v>3</v>
      </c>
      <c r="N1524" t="n">
        <v>3.3</v>
      </c>
      <c r="O1524" t="n">
        <v>5.699999999999999</v>
      </c>
      <c r="P1524" t="n">
        <v>23.484</v>
      </c>
      <c r="Q1524" t="n">
        <v>0.6333333333333333</v>
      </c>
      <c r="R1524" t="inlineStr">
        <is>
          <t>Sobrestock crítico</t>
        </is>
      </c>
    </row>
    <row r="1525">
      <c r="A1525" t="inlineStr">
        <is>
          <t>SHONRKI30T8</t>
        </is>
      </c>
      <c r="B1525" t="inlineStr">
        <is>
          <t>SHORT SPORT KIDS</t>
        </is>
      </c>
      <c r="C1525" t="inlineStr">
        <is>
          <t>Manufactura / Kids / P. Inferiores</t>
        </is>
      </c>
      <c r="D1525" t="n">
        <v>394.009832</v>
      </c>
      <c r="E1525" t="n">
        <v>9.646644016035733e-05</v>
      </c>
      <c r="F1525" t="n">
        <v>0.9426116714546386</v>
      </c>
      <c r="G1525" t="inlineStr">
        <is>
          <t>B</t>
        </is>
      </c>
      <c r="H1525" t="n">
        <v>25</v>
      </c>
      <c r="I1525" t="n">
        <v>6.465724382</v>
      </c>
      <c r="J1525" t="n">
        <v>161.64310955</v>
      </c>
      <c r="K1525" t="n">
        <v>0.9</v>
      </c>
      <c r="L1525" t="n">
        <v>27.77777777777778</v>
      </c>
      <c r="M1525" t="n">
        <v>3</v>
      </c>
      <c r="N1525" t="n">
        <v>2.7</v>
      </c>
      <c r="O1525" t="n">
        <v>22.3</v>
      </c>
      <c r="P1525" t="n">
        <v>144.1856537186</v>
      </c>
      <c r="Q1525" t="n">
        <v>0.8919999999999999</v>
      </c>
      <c r="R1525" t="inlineStr">
        <is>
          <t>Sobrestock crítico</t>
        </is>
      </c>
    </row>
    <row r="1526">
      <c r="A1526" t="inlineStr">
        <is>
          <t>JACDA67TXS</t>
        </is>
      </c>
      <c r="B1526" t="inlineStr">
        <is>
          <t>JACKET DAMA</t>
        </is>
      </c>
      <c r="C1526" t="inlineStr">
        <is>
          <t>Equipamiento / Ropa</t>
        </is>
      </c>
      <c r="D1526" t="n">
        <v>393.62501621</v>
      </c>
      <c r="E1526" t="n">
        <v>9.637222472113755e-05</v>
      </c>
      <c r="F1526" t="n">
        <v>0.9427080436793599</v>
      </c>
      <c r="G1526" t="inlineStr">
        <is>
          <t>B</t>
        </is>
      </c>
      <c r="H1526" t="n">
        <v>14</v>
      </c>
      <c r="I1526" t="n">
        <v>20.25</v>
      </c>
      <c r="J1526" t="n">
        <v>283.5</v>
      </c>
      <c r="K1526" t="n">
        <v>0.7</v>
      </c>
      <c r="L1526" t="n">
        <v>20</v>
      </c>
      <c r="M1526" t="n">
        <v>3</v>
      </c>
      <c r="N1526" t="n">
        <v>2.1</v>
      </c>
      <c r="O1526" t="n">
        <v>11.9</v>
      </c>
      <c r="P1526" t="n">
        <v>240.975</v>
      </c>
      <c r="Q1526" t="n">
        <v>0.85</v>
      </c>
      <c r="R1526" t="inlineStr">
        <is>
          <t>Sobrestock crítico</t>
        </is>
      </c>
    </row>
    <row r="1527">
      <c r="A1527" t="inlineStr">
        <is>
          <t>SHOUNKI57T10</t>
        </is>
      </c>
      <c r="B1527" t="inlineStr">
        <is>
          <t>SHORT PLAYA KIDS</t>
        </is>
      </c>
      <c r="C1527" t="inlineStr">
        <is>
          <t>Manufactura / Kids / P. Inferiores</t>
        </is>
      </c>
      <c r="D1527" t="n">
        <v>392.95936898</v>
      </c>
      <c r="E1527" t="n">
        <v>9.620925259845027e-05</v>
      </c>
      <c r="F1527" t="n">
        <v>0.9428042529319584</v>
      </c>
      <c r="G1527" t="inlineStr">
        <is>
          <t>B</t>
        </is>
      </c>
      <c r="H1527" t="n">
        <v>8</v>
      </c>
      <c r="I1527" t="n">
        <v>6.09</v>
      </c>
      <c r="J1527" t="n">
        <v>48.72</v>
      </c>
      <c r="K1527" t="n">
        <v>0.9</v>
      </c>
      <c r="L1527" t="n">
        <v>8.888888888888889</v>
      </c>
      <c r="M1527" t="n">
        <v>3</v>
      </c>
      <c r="N1527" t="n">
        <v>2.7</v>
      </c>
      <c r="O1527" t="n">
        <v>5.3</v>
      </c>
      <c r="P1527" t="n">
        <v>32.277</v>
      </c>
      <c r="Q1527" t="n">
        <v>0.6625000000000001</v>
      </c>
      <c r="R1527" t="inlineStr">
        <is>
          <t>Sobrestock crítico</t>
        </is>
      </c>
    </row>
    <row r="1528">
      <c r="A1528" t="inlineStr">
        <is>
          <t>CLAMEKI30T14</t>
        </is>
      </c>
      <c r="B1528" t="inlineStr">
        <is>
          <t>CLASICA SPORT KIDS</t>
        </is>
      </c>
      <c r="C1528" t="inlineStr">
        <is>
          <t>Manufactura / Kids / P. Superiores</t>
        </is>
      </c>
      <c r="D1528" t="n">
        <v>392.56524839</v>
      </c>
      <c r="E1528" t="n">
        <v>9.6112759041124e-05</v>
      </c>
      <c r="F1528" t="n">
        <v>0.9429003656909994</v>
      </c>
      <c r="G1528" t="inlineStr">
        <is>
          <t>B</t>
        </is>
      </c>
      <c r="H1528" t="n">
        <v>9</v>
      </c>
      <c r="I1528" t="n">
        <v>3.97</v>
      </c>
      <c r="J1528" t="n">
        <v>35.73</v>
      </c>
      <c r="K1528" t="n">
        <v>1.3</v>
      </c>
      <c r="L1528" t="n">
        <v>6.923076923076922</v>
      </c>
      <c r="M1528" t="n">
        <v>3</v>
      </c>
      <c r="N1528" t="n">
        <v>3.9</v>
      </c>
      <c r="O1528" t="n">
        <v>5.1</v>
      </c>
      <c r="P1528" t="n">
        <v>20.247</v>
      </c>
      <c r="Q1528" t="n">
        <v>0.5666666666666667</v>
      </c>
      <c r="R1528" t="inlineStr">
        <is>
          <t>Sobrestock crítico</t>
        </is>
      </c>
    </row>
    <row r="1529">
      <c r="A1529" t="inlineStr">
        <is>
          <t>TALGTACA12TXL</t>
        </is>
      </c>
      <c r="B1529" t="inlineStr">
        <is>
          <t>URBAN COTTON OVERSIZED OUTSIDE CAB</t>
        </is>
      </c>
      <c r="C1529" t="inlineStr">
        <is>
          <t>Manufactura / Caballero / P. Superiores</t>
        </is>
      </c>
      <c r="D1529" t="n">
        <v>392.37080665</v>
      </c>
      <c r="E1529" t="n">
        <v>9.606515337001379e-05</v>
      </c>
      <c r="F1529" t="n">
        <v>0.9429964308443695</v>
      </c>
      <c r="G1529" t="inlineStr">
        <is>
          <t>B</t>
        </is>
      </c>
      <c r="H1529" t="n">
        <v>17</v>
      </c>
      <c r="I1529" t="n">
        <v>12.16758159</v>
      </c>
      <c r="J1529" t="n">
        <v>206.84888703</v>
      </c>
      <c r="K1529" t="n">
        <v>0.8</v>
      </c>
      <c r="L1529" t="n">
        <v>21.25</v>
      </c>
      <c r="M1529" t="n">
        <v>3</v>
      </c>
      <c r="N1529" t="n">
        <v>2.4</v>
      </c>
      <c r="O1529" t="n">
        <v>14.6</v>
      </c>
      <c r="P1529" t="n">
        <v>177.646691214</v>
      </c>
      <c r="Q1529" t="n">
        <v>0.8588235294117647</v>
      </c>
      <c r="R1529" t="inlineStr">
        <is>
          <t>Sin rotación</t>
        </is>
      </c>
    </row>
    <row r="1530">
      <c r="A1530" t="inlineStr">
        <is>
          <t>CLAMIDA70TXS</t>
        </is>
      </c>
      <c r="B1530" t="inlineStr">
        <is>
          <t>CLASICA ORIGINAL DAMA</t>
        </is>
      </c>
      <c r="C1530" t="inlineStr">
        <is>
          <t>Manufactura / Dama / P. Superiores</t>
        </is>
      </c>
      <c r="D1530" t="n">
        <v>391.29902601</v>
      </c>
      <c r="E1530" t="n">
        <v>9.58027465603949e-05</v>
      </c>
      <c r="F1530" t="n">
        <v>0.9430922335909299</v>
      </c>
      <c r="G1530" t="inlineStr">
        <is>
          <t>B</t>
        </is>
      </c>
      <c r="H1530" t="n">
        <v>9</v>
      </c>
      <c r="I1530" t="n">
        <v>3.923227589000001</v>
      </c>
      <c r="J1530" t="n">
        <v>35.309048301</v>
      </c>
      <c r="K1530" t="n">
        <v>1</v>
      </c>
      <c r="L1530" t="n">
        <v>9</v>
      </c>
      <c r="M1530" t="n">
        <v>3</v>
      </c>
      <c r="N1530" t="n">
        <v>3</v>
      </c>
      <c r="O1530" t="n">
        <v>6</v>
      </c>
      <c r="P1530" t="n">
        <v>23.53936553400001</v>
      </c>
      <c r="Q1530" t="n">
        <v>0.6666666666666667</v>
      </c>
      <c r="R1530" t="inlineStr">
        <is>
          <t>Sobrestock crítico</t>
        </is>
      </c>
    </row>
    <row r="1531">
      <c r="A1531" t="inlineStr">
        <is>
          <t>GEMBADA39TM</t>
        </is>
      </c>
      <c r="B1531" t="inlineStr">
        <is>
          <t>VESTIDO GEMMA DAMA</t>
        </is>
      </c>
      <c r="C1531" t="inlineStr">
        <is>
          <t>Manufactura / Dama / Conjuntos</t>
        </is>
      </c>
      <c r="D1531" t="n">
        <v>391.18559878</v>
      </c>
      <c r="E1531" t="n">
        <v>9.577497588005474e-05</v>
      </c>
      <c r="F1531" t="n">
        <v>0.94318800856681</v>
      </c>
      <c r="G1531" t="inlineStr">
        <is>
          <t>B</t>
        </is>
      </c>
      <c r="H1531" t="n">
        <v>14</v>
      </c>
      <c r="I1531" t="n">
        <v>23.99</v>
      </c>
      <c r="J1531" t="n">
        <v>335.86</v>
      </c>
      <c r="K1531" t="n">
        <v>0.8</v>
      </c>
      <c r="L1531" t="n">
        <v>17.5</v>
      </c>
      <c r="M1531" t="n">
        <v>3</v>
      </c>
      <c r="N1531" t="n">
        <v>2.4</v>
      </c>
      <c r="O1531" t="n">
        <v>11.6</v>
      </c>
      <c r="P1531" t="n">
        <v>278.284</v>
      </c>
      <c r="Q1531" t="n">
        <v>0.8285714285714286</v>
      </c>
      <c r="R1531" t="inlineStr">
        <is>
          <t>Sobrestock crítico</t>
        </is>
      </c>
    </row>
    <row r="1532">
      <c r="A1532" t="inlineStr">
        <is>
          <t>CCBHMDA03TS</t>
        </is>
      </c>
      <c r="B1532" t="inlineStr">
        <is>
          <t>CLUB CLASICA DAMA</t>
        </is>
      </c>
      <c r="C1532" t="inlineStr">
        <is>
          <t>Manufactura / Dama / P. Superiores</t>
        </is>
      </c>
      <c r="D1532" t="n">
        <v>391.1288618465287</v>
      </c>
      <c r="E1532" t="n">
        <v>9.576108483076339e-05</v>
      </c>
      <c r="F1532" t="n">
        <v>0.9432837696516406</v>
      </c>
      <c r="G1532" t="inlineStr">
        <is>
          <t>B</t>
        </is>
      </c>
      <c r="H1532" t="n">
        <v>6</v>
      </c>
      <c r="I1532" t="n">
        <v>1</v>
      </c>
      <c r="J1532" t="n">
        <v>6</v>
      </c>
      <c r="K1532" t="n">
        <v>1.1</v>
      </c>
      <c r="L1532" t="n">
        <v>5.454545454545454</v>
      </c>
      <c r="M1532" t="n">
        <v>3</v>
      </c>
      <c r="N1532" t="n">
        <v>3.3</v>
      </c>
      <c r="O1532" t="n">
        <v>2.7</v>
      </c>
      <c r="P1532" t="n">
        <v>2.7</v>
      </c>
      <c r="Q1532" t="n">
        <v>0.45</v>
      </c>
      <c r="R1532" t="inlineStr">
        <is>
          <t>Sobrestock crítico</t>
        </is>
      </c>
    </row>
    <row r="1533">
      <c r="A1533" t="inlineStr">
        <is>
          <t>SHOSUKI154T1</t>
        </is>
      </c>
      <c r="B1533" t="inlineStr">
        <is>
          <t>SHORT PLAYA ESTAMPADO KIDS</t>
        </is>
      </c>
      <c r="C1533" t="inlineStr">
        <is>
          <t>Manufactura / Kids / P. Superiores</t>
        </is>
      </c>
      <c r="D1533" t="n">
        <v>390.62193655</v>
      </c>
      <c r="E1533" t="n">
        <v>9.563697300711896e-05</v>
      </c>
      <c r="F1533" t="n">
        <v>0.9433794066246478</v>
      </c>
      <c r="G1533" t="inlineStr">
        <is>
          <t>B</t>
        </is>
      </c>
      <c r="H1533" t="n">
        <v>15</v>
      </c>
      <c r="I1533" t="n">
        <v>7.21</v>
      </c>
      <c r="J1533" t="n">
        <v>108.15</v>
      </c>
      <c r="K1533" t="n">
        <v>0.9</v>
      </c>
      <c r="L1533" t="n">
        <v>16.66666666666667</v>
      </c>
      <c r="M1533" t="n">
        <v>3</v>
      </c>
      <c r="N1533" t="n">
        <v>2.7</v>
      </c>
      <c r="O1533" t="n">
        <v>12.3</v>
      </c>
      <c r="P1533" t="n">
        <v>88.68300000000001</v>
      </c>
      <c r="Q1533" t="n">
        <v>0.8200000000000001</v>
      </c>
      <c r="R1533" t="inlineStr">
        <is>
          <t>Sobrestock crítico</t>
        </is>
      </c>
    </row>
    <row r="1534">
      <c r="A1534" t="inlineStr">
        <is>
          <t>NAHFNCA10TXL</t>
        </is>
      </c>
      <c r="B1534" t="inlineStr">
        <is>
          <t>NOAH SPORT LITE CAB</t>
        </is>
      </c>
      <c r="C1534" t="inlineStr">
        <is>
          <t>Manufactura / Caballero / P. Superiores</t>
        </is>
      </c>
      <c r="D1534" t="n">
        <v>390.1799124</v>
      </c>
      <c r="E1534" t="n">
        <v>9.552875109803877e-05</v>
      </c>
      <c r="F1534" t="n">
        <v>0.9434749353757458</v>
      </c>
      <c r="G1534" t="inlineStr">
        <is>
          <t>B</t>
        </is>
      </c>
      <c r="H1534" t="n">
        <v>2</v>
      </c>
      <c r="I1534" t="n">
        <v>17.61141534</v>
      </c>
      <c r="J1534" t="n">
        <v>35.22283068</v>
      </c>
      <c r="K1534" t="n">
        <v>1.2</v>
      </c>
      <c r="L1534" t="n">
        <v>1.666666666666667</v>
      </c>
      <c r="M1534" t="n">
        <v>3</v>
      </c>
      <c r="N1534" t="n">
        <v>3.6</v>
      </c>
      <c r="O1534" t="n">
        <v>0</v>
      </c>
      <c r="P1534" t="n">
        <v>0</v>
      </c>
      <c r="Q1534" t="n">
        <v>0</v>
      </c>
      <c r="R1534" t="inlineStr">
        <is>
          <t>OK</t>
        </is>
      </c>
    </row>
    <row r="1535">
      <c r="A1535" t="inlineStr">
        <is>
          <t>CLAMECA12T2XL</t>
        </is>
      </c>
      <c r="B1535" t="inlineStr">
        <is>
          <t>CLASICA SPORT CAB</t>
        </is>
      </c>
      <c r="C1535" t="inlineStr">
        <is>
          <t>Manufactura / Caballero / P. Superiores</t>
        </is>
      </c>
      <c r="D1535" t="n">
        <v>390.11583236</v>
      </c>
      <c r="E1535" t="n">
        <v>9.5513062217097e-05</v>
      </c>
      <c r="F1535" t="n">
        <v>0.943570448437963</v>
      </c>
      <c r="G1535" t="inlineStr">
        <is>
          <t>B</t>
        </is>
      </c>
      <c r="H1535" t="n">
        <v>2</v>
      </c>
      <c r="I1535" t="n">
        <v>10.3013454</v>
      </c>
      <c r="J1535" t="n">
        <v>20.6026908</v>
      </c>
      <c r="K1535" t="n">
        <v>0.7</v>
      </c>
      <c r="L1535" t="n">
        <v>2.857142857142857</v>
      </c>
      <c r="M1535" t="n">
        <v>3</v>
      </c>
      <c r="N1535" t="n">
        <v>2.1</v>
      </c>
      <c r="O1535" t="n">
        <v>0</v>
      </c>
      <c r="P1535" t="n">
        <v>0</v>
      </c>
      <c r="Q1535" t="n">
        <v>0</v>
      </c>
      <c r="R1535" t="inlineStr">
        <is>
          <t>OK</t>
        </is>
      </c>
    </row>
    <row r="1536">
      <c r="A1536" t="inlineStr">
        <is>
          <t>LMOFIDA31TXL</t>
        </is>
      </c>
      <c r="B1536" t="inlineStr">
        <is>
          <t>LEGGING MOVA</t>
        </is>
      </c>
      <c r="C1536" t="inlineStr">
        <is>
          <t>Manufactura / Dama / P. Inferiores</t>
        </is>
      </c>
      <c r="D1536" t="n">
        <v>389.75383479</v>
      </c>
      <c r="E1536" t="n">
        <v>9.542443342134501e-05</v>
      </c>
      <c r="F1536" t="n">
        <v>0.9436658728713843</v>
      </c>
      <c r="G1536" t="inlineStr">
        <is>
          <t>B</t>
        </is>
      </c>
      <c r="H1536" t="n">
        <v>8</v>
      </c>
      <c r="I1536" t="n">
        <v>17.7</v>
      </c>
      <c r="J1536" t="n">
        <v>141.6</v>
      </c>
      <c r="K1536" t="n">
        <v>0.5</v>
      </c>
      <c r="L1536" t="n">
        <v>16</v>
      </c>
      <c r="M1536" t="n">
        <v>3</v>
      </c>
      <c r="N1536" t="n">
        <v>1.5</v>
      </c>
      <c r="O1536" t="n">
        <v>6.5</v>
      </c>
      <c r="P1536" t="n">
        <v>115.05</v>
      </c>
      <c r="Q1536" t="n">
        <v>0.8125</v>
      </c>
      <c r="R1536" t="inlineStr">
        <is>
          <t>Sobrestock crítico</t>
        </is>
      </c>
    </row>
    <row r="1537">
      <c r="A1537" t="inlineStr">
        <is>
          <t>TALGTACA12TL</t>
        </is>
      </c>
      <c r="B1537" t="inlineStr">
        <is>
          <t>URBAN COTTON OVERSIZED OUTSIDE CAB</t>
        </is>
      </c>
      <c r="C1537" t="inlineStr">
        <is>
          <t>Manufactura / Caballero / P. Superiores</t>
        </is>
      </c>
      <c r="D1537" t="n">
        <v>389.40380774</v>
      </c>
      <c r="E1537" t="n">
        <v>9.533873539878061e-05</v>
      </c>
      <c r="F1537" t="n">
        <v>0.9437612116067831</v>
      </c>
      <c r="G1537" t="inlineStr">
        <is>
          <t>B</t>
        </is>
      </c>
      <c r="H1537" t="n">
        <v>8</v>
      </c>
      <c r="I1537" t="n">
        <v>12.16758159</v>
      </c>
      <c r="J1537" t="n">
        <v>97.34065271999999</v>
      </c>
      <c r="K1537" t="n">
        <v>1.3</v>
      </c>
      <c r="L1537" t="n">
        <v>6.153846153846153</v>
      </c>
      <c r="M1537" t="n">
        <v>3</v>
      </c>
      <c r="N1537" t="n">
        <v>3.9</v>
      </c>
      <c r="O1537" t="n">
        <v>4.1</v>
      </c>
      <c r="P1537" t="n">
        <v>49.88708451899999</v>
      </c>
      <c r="Q1537" t="n">
        <v>0.5125</v>
      </c>
      <c r="R1537" t="inlineStr">
        <is>
          <t>Sobrestock crítico</t>
        </is>
      </c>
    </row>
    <row r="1538">
      <c r="A1538" t="inlineStr">
        <is>
          <t>SHOUNCA57TS</t>
        </is>
      </c>
      <c r="B1538" t="inlineStr">
        <is>
          <t>SHORT PLAYA CAB</t>
        </is>
      </c>
      <c r="C1538" t="inlineStr">
        <is>
          <t>Manufactura / Caballero / P. Inferiores</t>
        </is>
      </c>
      <c r="D1538" t="n">
        <v>388.91146631</v>
      </c>
      <c r="E1538" t="n">
        <v>9.521819418067325e-05</v>
      </c>
      <c r="F1538" t="n">
        <v>0.9438564298009637</v>
      </c>
      <c r="G1538" t="inlineStr">
        <is>
          <t>B</t>
        </is>
      </c>
      <c r="H1538" t="n">
        <v>0</v>
      </c>
      <c r="I1538" t="n">
        <v>9.99</v>
      </c>
      <c r="J1538" t="n">
        <v>0</v>
      </c>
      <c r="K1538" t="n">
        <v>0.9</v>
      </c>
      <c r="L1538" t="n">
        <v>0</v>
      </c>
      <c r="M1538" t="n">
        <v>3</v>
      </c>
      <c r="N1538" t="n">
        <v>2.7</v>
      </c>
      <c r="O1538" t="n">
        <v>0</v>
      </c>
      <c r="P1538" t="n">
        <v>0</v>
      </c>
      <c r="Q1538" t="n">
        <v>0</v>
      </c>
      <c r="R1538" t="inlineStr">
        <is>
          <t>Riesgo bajo stock</t>
        </is>
      </c>
    </row>
    <row r="1539">
      <c r="A1539" t="inlineStr">
        <is>
          <t>BAN134EQ</t>
        </is>
      </c>
      <c r="B1539" t="inlineStr">
        <is>
          <t>CUADRO BAND</t>
        </is>
      </c>
      <c r="C1539" t="inlineStr">
        <is>
          <t>Equipamiento / Accesorios</t>
        </is>
      </c>
      <c r="D1539" t="n">
        <v>388.796020421</v>
      </c>
      <c r="E1539" t="n">
        <v>9.518992926686018e-05</v>
      </c>
      <c r="F1539" t="n">
        <v>0.9439516197302305</v>
      </c>
      <c r="G1539" t="inlineStr">
        <is>
          <t>B</t>
        </is>
      </c>
      <c r="H1539" t="n">
        <v>6654</v>
      </c>
      <c r="I1539" t="n">
        <v>0.3159183673</v>
      </c>
      <c r="J1539" t="n">
        <v>2102.1208160142</v>
      </c>
      <c r="K1539" t="n">
        <v>43.9</v>
      </c>
      <c r="L1539" t="n">
        <v>151.5717539863326</v>
      </c>
      <c r="M1539" t="n">
        <v>3</v>
      </c>
      <c r="N1539" t="n">
        <v>131.7</v>
      </c>
      <c r="O1539" t="n">
        <v>6522.3</v>
      </c>
      <c r="P1539" t="n">
        <v>2060.51436704079</v>
      </c>
      <c r="Q1539" t="n">
        <v>0.9802073940486926</v>
      </c>
      <c r="R1539" t="inlineStr">
        <is>
          <t>Sobrestock crítico</t>
        </is>
      </c>
    </row>
    <row r="1540">
      <c r="A1540" t="inlineStr">
        <is>
          <t>RIOMIKI11T14</t>
        </is>
      </c>
      <c r="B1540" t="inlineStr">
        <is>
          <t>RIO ORIGINAL KIDS</t>
        </is>
      </c>
      <c r="C1540" t="inlineStr">
        <is>
          <t>Manufactura / Kids / P. Superiores</t>
        </is>
      </c>
      <c r="D1540" t="n">
        <v>387.80421069</v>
      </c>
      <c r="E1540" t="n">
        <v>9.494710194049547e-05</v>
      </c>
      <c r="F1540" t="n">
        <v>0.9440465668321709</v>
      </c>
      <c r="G1540" t="inlineStr">
        <is>
          <t>B</t>
        </is>
      </c>
      <c r="H1540" t="n">
        <v>0</v>
      </c>
      <c r="I1540" t="n">
        <v>3.617969464</v>
      </c>
      <c r="J1540" t="n">
        <v>0</v>
      </c>
      <c r="K1540" t="n">
        <v>1</v>
      </c>
      <c r="L1540" t="n">
        <v>0</v>
      </c>
      <c r="M1540" t="n">
        <v>3</v>
      </c>
      <c r="N1540" t="n">
        <v>3</v>
      </c>
      <c r="O1540" t="n">
        <v>0</v>
      </c>
      <c r="P1540" t="n">
        <v>0</v>
      </c>
      <c r="Q1540" t="n">
        <v>0</v>
      </c>
      <c r="R1540" t="inlineStr">
        <is>
          <t>Sin rotación</t>
        </is>
      </c>
    </row>
    <row r="1541">
      <c r="A1541" t="inlineStr">
        <is>
          <t>RIOMIKI48T1</t>
        </is>
      </c>
      <c r="B1541" t="inlineStr">
        <is>
          <t>RIO ORIGINAL KIDS</t>
        </is>
      </c>
      <c r="C1541" t="inlineStr">
        <is>
          <t>Manufactura / Kids / P. Superiores</t>
        </is>
      </c>
      <c r="D1541" t="n">
        <v>387.6477174</v>
      </c>
      <c r="E1541" t="n">
        <v>9.490878728596351e-05</v>
      </c>
      <c r="F1541" t="n">
        <v>0.944141475619457</v>
      </c>
      <c r="G1541" t="inlineStr">
        <is>
          <t>B</t>
        </is>
      </c>
      <c r="H1541" t="n">
        <v>0</v>
      </c>
      <c r="I1541" t="n">
        <v>3.617969464</v>
      </c>
      <c r="J1541" t="n">
        <v>0</v>
      </c>
      <c r="K1541" t="n">
        <v>0.9</v>
      </c>
      <c r="L1541" t="n">
        <v>0</v>
      </c>
      <c r="M1541" t="n">
        <v>3</v>
      </c>
      <c r="N1541" t="n">
        <v>2.7</v>
      </c>
      <c r="O1541" t="n">
        <v>0</v>
      </c>
      <c r="P1541" t="n">
        <v>0</v>
      </c>
      <c r="Q1541" t="n">
        <v>0</v>
      </c>
      <c r="R1541" t="inlineStr">
        <is>
          <t>Riesgo bajo stock</t>
        </is>
      </c>
    </row>
    <row r="1542">
      <c r="A1542" t="inlineStr">
        <is>
          <t>SHONTDA12TL</t>
        </is>
      </c>
      <c r="B1542" t="inlineStr">
        <is>
          <t>EXPLORE SHORT DAMA</t>
        </is>
      </c>
      <c r="C1542" t="inlineStr">
        <is>
          <t>Manufactura / Dama / P. Inferiores</t>
        </is>
      </c>
      <c r="D1542" t="n">
        <v>387.6026578</v>
      </c>
      <c r="E1542" t="n">
        <v>9.489775522824811e-05</v>
      </c>
      <c r="F1542" t="n">
        <v>0.9442363733746851</v>
      </c>
      <c r="G1542" t="inlineStr">
        <is>
          <t>B</t>
        </is>
      </c>
      <c r="H1542" t="n">
        <v>13</v>
      </c>
      <c r="I1542" t="n">
        <v>10.22113744</v>
      </c>
      <c r="J1542" t="n">
        <v>132.87478672</v>
      </c>
      <c r="K1542" t="n">
        <v>0.7</v>
      </c>
      <c r="L1542" t="n">
        <v>18.57142857142857</v>
      </c>
      <c r="M1542" t="n">
        <v>3</v>
      </c>
      <c r="N1542" t="n">
        <v>2.1</v>
      </c>
      <c r="O1542" t="n">
        <v>10.9</v>
      </c>
      <c r="P1542" t="n">
        <v>111.410398096</v>
      </c>
      <c r="Q1542" t="n">
        <v>0.8384615384615384</v>
      </c>
      <c r="R1542" t="inlineStr">
        <is>
          <t>Sobrestock crítico</t>
        </is>
      </c>
    </row>
    <row r="1543">
      <c r="A1543" t="inlineStr">
        <is>
          <t>MARMIKI34T1</t>
        </is>
      </c>
      <c r="B1543" t="inlineStr">
        <is>
          <t>MAR ORIGINAL KIDS</t>
        </is>
      </c>
      <c r="C1543" t="inlineStr">
        <is>
          <t>Manufactura / Kids / P. Superiores</t>
        </is>
      </c>
      <c r="D1543" t="n">
        <v>387.33261067</v>
      </c>
      <c r="E1543" t="n">
        <v>9.483163889512417e-05</v>
      </c>
      <c r="F1543" t="n">
        <v>0.9443312050135803</v>
      </c>
      <c r="G1543" t="inlineStr">
        <is>
          <t>B</t>
        </is>
      </c>
      <c r="H1543" t="n">
        <v>0</v>
      </c>
      <c r="I1543" t="n">
        <v>3.168013332</v>
      </c>
      <c r="J1543" t="n">
        <v>0</v>
      </c>
      <c r="K1543" t="n">
        <v>1.1</v>
      </c>
      <c r="L1543" t="n">
        <v>0</v>
      </c>
      <c r="M1543" t="n">
        <v>3</v>
      </c>
      <c r="N1543" t="n">
        <v>3.3</v>
      </c>
      <c r="O1543" t="n">
        <v>0</v>
      </c>
      <c r="P1543" t="n">
        <v>0</v>
      </c>
      <c r="Q1543" t="n">
        <v>0</v>
      </c>
      <c r="R1543" t="inlineStr">
        <is>
          <t>Riesgo bajo stock</t>
        </is>
      </c>
    </row>
    <row r="1544">
      <c r="A1544" t="inlineStr">
        <is>
          <t>CLMSUCA43T2XL</t>
        </is>
      </c>
      <c r="B1544" t="inlineStr">
        <is>
          <t>CLASICA MOTION CAB</t>
        </is>
      </c>
      <c r="C1544" t="inlineStr">
        <is>
          <t>Manufactura / Caballero / P. Superiores</t>
        </is>
      </c>
      <c r="D1544" t="n">
        <v>387.05450654</v>
      </c>
      <c r="E1544" t="n">
        <v>9.476354994597583e-05</v>
      </c>
      <c r="F1544" t="n">
        <v>0.9444259685635263</v>
      </c>
      <c r="G1544" t="inlineStr">
        <is>
          <t>B</t>
        </is>
      </c>
      <c r="H1544" t="n">
        <v>6</v>
      </c>
      <c r="I1544" t="n">
        <v>12.26</v>
      </c>
      <c r="J1544" t="n">
        <v>73.56</v>
      </c>
      <c r="K1544" t="n">
        <v>0.8</v>
      </c>
      <c r="L1544" t="n">
        <v>7.5</v>
      </c>
      <c r="M1544" t="n">
        <v>3</v>
      </c>
      <c r="N1544" t="n">
        <v>2.4</v>
      </c>
      <c r="O1544" t="n">
        <v>3.6</v>
      </c>
      <c r="P1544" t="n">
        <v>44.136</v>
      </c>
      <c r="Q1544" t="n">
        <v>0.6</v>
      </c>
      <c r="R1544" t="inlineStr">
        <is>
          <t>Sobrestock crítico</t>
        </is>
      </c>
    </row>
    <row r="1545">
      <c r="A1545" t="inlineStr">
        <is>
          <t>SHONTDA43TXS</t>
        </is>
      </c>
      <c r="B1545" t="inlineStr">
        <is>
          <t>EXPLORE SHORT DAMA</t>
        </is>
      </c>
      <c r="C1545" t="inlineStr">
        <is>
          <t>Manufactura / Dama / P. Inferiores</t>
        </is>
      </c>
      <c r="D1545" t="n">
        <v>387.03842724</v>
      </c>
      <c r="E1545" t="n">
        <v>9.475961320961726e-05</v>
      </c>
      <c r="F1545" t="n">
        <v>0.9445207281767359</v>
      </c>
      <c r="G1545" t="inlineStr">
        <is>
          <t>B</t>
        </is>
      </c>
      <c r="H1545" t="n">
        <v>33</v>
      </c>
      <c r="I1545" t="n">
        <v>10.22113744</v>
      </c>
      <c r="J1545" t="n">
        <v>337.29753552</v>
      </c>
      <c r="K1545" t="n">
        <v>1.2</v>
      </c>
      <c r="L1545" t="n">
        <v>27.5</v>
      </c>
      <c r="M1545" t="n">
        <v>3</v>
      </c>
      <c r="N1545" t="n">
        <v>3.6</v>
      </c>
      <c r="O1545" t="n">
        <v>29.4</v>
      </c>
      <c r="P1545" t="n">
        <v>300.5014407359999</v>
      </c>
      <c r="Q1545" t="n">
        <v>0.8909090909090908</v>
      </c>
      <c r="R1545" t="inlineStr">
        <is>
          <t>Sobrestock crítico</t>
        </is>
      </c>
    </row>
    <row r="1546">
      <c r="A1546" t="inlineStr">
        <is>
          <t>PANNTKI33T4</t>
        </is>
      </c>
      <c r="B1546" t="inlineStr">
        <is>
          <t>EXPLORE PANTS KIDS</t>
        </is>
      </c>
      <c r="C1546" t="inlineStr">
        <is>
          <t>Manufactura / Kids / P. Inferiores</t>
        </is>
      </c>
      <c r="D1546" t="n">
        <v>386.82352992</v>
      </c>
      <c r="E1546" t="n">
        <v>9.470699934626473e-05</v>
      </c>
      <c r="F1546" t="n">
        <v>0.9446154351760822</v>
      </c>
      <c r="G1546" t="inlineStr">
        <is>
          <t>B</t>
        </is>
      </c>
      <c r="H1546" t="n">
        <v>11</v>
      </c>
      <c r="I1546" t="n">
        <v>13.98</v>
      </c>
      <c r="J1546" t="n">
        <v>153.78</v>
      </c>
      <c r="K1546" t="n">
        <v>0.9</v>
      </c>
      <c r="L1546" t="n">
        <v>12.22222222222222</v>
      </c>
      <c r="M1546" t="n">
        <v>3</v>
      </c>
      <c r="N1546" t="n">
        <v>2.7</v>
      </c>
      <c r="O1546" t="n">
        <v>8.300000000000001</v>
      </c>
      <c r="P1546" t="n">
        <v>116.034</v>
      </c>
      <c r="Q1546" t="n">
        <v>0.7545454545454546</v>
      </c>
      <c r="R1546" t="inlineStr">
        <is>
          <t>Sobrestock crítico</t>
        </is>
      </c>
    </row>
    <row r="1547">
      <c r="A1547" t="inlineStr">
        <is>
          <t>SARSPDA16TXL</t>
        </is>
      </c>
      <c r="B1547" t="inlineStr">
        <is>
          <t>FALDA SARA DAMA</t>
        </is>
      </c>
      <c r="C1547" t="inlineStr">
        <is>
          <t>Manufactura / Dama / P. Inferiores</t>
        </is>
      </c>
      <c r="D1547" t="n">
        <v>384.92497245</v>
      </c>
      <c r="E1547" t="n">
        <v>9.424217063972942e-05</v>
      </c>
      <c r="F1547" t="n">
        <v>0.9447096773467218</v>
      </c>
      <c r="G1547" t="inlineStr">
        <is>
          <t>B</t>
        </is>
      </c>
      <c r="H1547" t="n">
        <v>19</v>
      </c>
      <c r="I1547" t="n">
        <v>9.500113852</v>
      </c>
      <c r="J1547" t="n">
        <v>180.502163188</v>
      </c>
      <c r="K1547" t="n">
        <v>0.8</v>
      </c>
      <c r="L1547" t="n">
        <v>23.75</v>
      </c>
      <c r="M1547" t="n">
        <v>3</v>
      </c>
      <c r="N1547" t="n">
        <v>2.4</v>
      </c>
      <c r="O1547" t="n">
        <v>16.6</v>
      </c>
      <c r="P1547" t="n">
        <v>157.7018899432</v>
      </c>
      <c r="Q1547" t="n">
        <v>0.873684210526316</v>
      </c>
      <c r="R1547" t="inlineStr">
        <is>
          <t>Sobrestock crítico</t>
        </is>
      </c>
    </row>
    <row r="1548">
      <c r="A1548" t="inlineStr">
        <is>
          <t>HELBFDA30TS</t>
        </is>
      </c>
      <c r="B1548" t="inlineStr">
        <is>
          <t>HELEN BIO MOVE DAMA</t>
        </is>
      </c>
      <c r="C1548" t="inlineStr">
        <is>
          <t>Manufactura / Dama / P. Superiores</t>
        </is>
      </c>
      <c r="D1548" t="n">
        <v>384.04589342</v>
      </c>
      <c r="E1548" t="n">
        <v>9.402694346071901e-05</v>
      </c>
      <c r="F1548" t="n">
        <v>0.9448037042901826</v>
      </c>
      <c r="G1548" t="inlineStr">
        <is>
          <t>B</t>
        </is>
      </c>
      <c r="H1548" t="n">
        <v>89</v>
      </c>
      <c r="I1548" t="n">
        <v>7.340817459999999</v>
      </c>
      <c r="J1548" t="n">
        <v>653.33275394</v>
      </c>
      <c r="K1548" t="n">
        <v>0.8</v>
      </c>
      <c r="L1548" t="n">
        <v>111.25</v>
      </c>
      <c r="M1548" t="n">
        <v>3</v>
      </c>
      <c r="N1548" t="n">
        <v>2.4</v>
      </c>
      <c r="O1548" t="n">
        <v>86.59999999999999</v>
      </c>
      <c r="P1548" t="n">
        <v>635.7147920359999</v>
      </c>
      <c r="Q1548" t="n">
        <v>0.9730337078651685</v>
      </c>
      <c r="R1548" t="inlineStr">
        <is>
          <t>Sobrestock crítico</t>
        </is>
      </c>
    </row>
    <row r="1549">
      <c r="A1549" t="inlineStr">
        <is>
          <t>MARMIKI30T8</t>
        </is>
      </c>
      <c r="B1549" t="inlineStr">
        <is>
          <t>MAR ORIGINAL KIDS</t>
        </is>
      </c>
      <c r="C1549" t="inlineStr">
        <is>
          <t>Manufactura / Kids / P. Superiores</t>
        </is>
      </c>
      <c r="D1549" t="n">
        <v>383.47584033</v>
      </c>
      <c r="E1549" t="n">
        <v>9.388737589709865e-05</v>
      </c>
      <c r="F1549" t="n">
        <v>0.9448975916660797</v>
      </c>
      <c r="G1549" t="inlineStr">
        <is>
          <t>B</t>
        </is>
      </c>
      <c r="H1549" t="n">
        <v>1</v>
      </c>
      <c r="I1549" t="n">
        <v>3.168013332000001</v>
      </c>
      <c r="J1549" t="n">
        <v>3.168013332000001</v>
      </c>
      <c r="K1549" t="n">
        <v>1.1</v>
      </c>
      <c r="L1549" t="n">
        <v>0.9090909090909091</v>
      </c>
      <c r="M1549" t="n">
        <v>3</v>
      </c>
      <c r="N1549" t="n">
        <v>3.3</v>
      </c>
      <c r="O1549" t="n">
        <v>0</v>
      </c>
      <c r="P1549" t="n">
        <v>0</v>
      </c>
      <c r="Q1549" t="n">
        <v>0</v>
      </c>
      <c r="R1549" t="inlineStr">
        <is>
          <t>Riesgo bajo stock</t>
        </is>
      </c>
    </row>
    <row r="1550">
      <c r="A1550" t="inlineStr">
        <is>
          <t>TMOFIDA43TXL</t>
        </is>
      </c>
      <c r="B1550" t="inlineStr">
        <is>
          <t>TOP MOVA</t>
        </is>
      </c>
      <c r="C1550" t="inlineStr">
        <is>
          <t>Manufactura / Dama / P. Superiores</t>
        </is>
      </c>
      <c r="D1550" t="n">
        <v>382.71043456</v>
      </c>
      <c r="E1550" t="n">
        <v>9.369997963458585e-05</v>
      </c>
      <c r="F1550" t="n">
        <v>0.9449912916457144</v>
      </c>
      <c r="G1550" t="inlineStr">
        <is>
          <t>B</t>
        </is>
      </c>
      <c r="H1550" t="n">
        <v>14</v>
      </c>
      <c r="I1550" t="n">
        <v>9.942967033</v>
      </c>
      <c r="J1550" t="n">
        <v>139.201538462</v>
      </c>
      <c r="K1550" t="n">
        <v>0.8</v>
      </c>
      <c r="L1550" t="n">
        <v>17.5</v>
      </c>
      <c r="M1550" t="n">
        <v>3</v>
      </c>
      <c r="N1550" t="n">
        <v>2.4</v>
      </c>
      <c r="O1550" t="n">
        <v>11.6</v>
      </c>
      <c r="P1550" t="n">
        <v>115.3384175828</v>
      </c>
      <c r="Q1550" t="n">
        <v>0.8285714285714286</v>
      </c>
      <c r="R1550" t="inlineStr">
        <is>
          <t>Sobrestock crítico</t>
        </is>
      </c>
    </row>
    <row r="1551">
      <c r="A1551" t="inlineStr">
        <is>
          <t>MAFMIDA66TL</t>
        </is>
      </c>
      <c r="B1551" t="inlineStr">
        <is>
          <t>MAFE ORIGINAL DAMA</t>
        </is>
      </c>
      <c r="C1551" t="inlineStr">
        <is>
          <t>Manufactura / Dama / P. Superiores</t>
        </is>
      </c>
      <c r="D1551" t="n">
        <v>382.59700041</v>
      </c>
      <c r="E1551" t="n">
        <v>9.367220726000431e-05</v>
      </c>
      <c r="F1551" t="n">
        <v>0.9450849638529744</v>
      </c>
      <c r="G1551" t="inlineStr">
        <is>
          <t>B</t>
        </is>
      </c>
      <c r="H1551" t="n">
        <v>1</v>
      </c>
      <c r="I1551" t="n">
        <v>4.548176709999999</v>
      </c>
      <c r="J1551" t="n">
        <v>4.548176709999999</v>
      </c>
      <c r="K1551" t="n">
        <v>1.3</v>
      </c>
      <c r="L1551" t="n">
        <v>0.7692307692307692</v>
      </c>
      <c r="M1551" t="n">
        <v>3</v>
      </c>
      <c r="N1551" t="n">
        <v>3.9</v>
      </c>
      <c r="O1551" t="n">
        <v>0</v>
      </c>
      <c r="P1551" t="n">
        <v>0</v>
      </c>
      <c r="Q1551" t="n">
        <v>0</v>
      </c>
      <c r="R1551" t="inlineStr">
        <is>
          <t>Riesgo bajo stock</t>
        </is>
      </c>
    </row>
    <row r="1552">
      <c r="A1552" t="inlineStr">
        <is>
          <t>GEMBADA16TM</t>
        </is>
      </c>
      <c r="B1552" t="inlineStr">
        <is>
          <t>VESTIDO GEMMA DAMA</t>
        </is>
      </c>
      <c r="C1552" t="inlineStr">
        <is>
          <t>Manufactura / Dama / Conjuntos</t>
        </is>
      </c>
      <c r="D1552" t="n">
        <v>381.2608715</v>
      </c>
      <c r="E1552" t="n">
        <v>9.334507938380695e-05</v>
      </c>
      <c r="F1552" t="n">
        <v>0.9451783089323581</v>
      </c>
      <c r="G1552" t="inlineStr">
        <is>
          <t>B</t>
        </is>
      </c>
      <c r="H1552" t="n">
        <v>15</v>
      </c>
      <c r="I1552" t="n">
        <v>23.99</v>
      </c>
      <c r="J1552" t="n">
        <v>359.85</v>
      </c>
      <c r="K1552" t="n">
        <v>0.7</v>
      </c>
      <c r="L1552" t="n">
        <v>21.42857142857143</v>
      </c>
      <c r="M1552" t="n">
        <v>3</v>
      </c>
      <c r="N1552" t="n">
        <v>2.1</v>
      </c>
      <c r="O1552" t="n">
        <v>12.9</v>
      </c>
      <c r="P1552" t="n">
        <v>309.471</v>
      </c>
      <c r="Q1552" t="n">
        <v>0.8600000000000001</v>
      </c>
      <c r="R1552" t="inlineStr">
        <is>
          <t>Sobrestock crítico</t>
        </is>
      </c>
    </row>
    <row r="1553">
      <c r="A1553" t="inlineStr">
        <is>
          <t>SHONRKI43T8</t>
        </is>
      </c>
      <c r="B1553" t="inlineStr">
        <is>
          <t>SHORT SPORT KIDS</t>
        </is>
      </c>
      <c r="C1553" t="inlineStr">
        <is>
          <t>Manufactura / Kids / P. Inferiores</t>
        </is>
      </c>
      <c r="D1553" t="n">
        <v>380.883006</v>
      </c>
      <c r="E1553" t="n">
        <v>9.325256560195692e-05</v>
      </c>
      <c r="F1553" t="n">
        <v>0.94527156149796</v>
      </c>
      <c r="G1553" t="inlineStr">
        <is>
          <t>B</t>
        </is>
      </c>
      <c r="H1553" t="n">
        <v>32</v>
      </c>
      <c r="I1553" t="n">
        <v>6.465724382</v>
      </c>
      <c r="J1553" t="n">
        <v>206.903180224</v>
      </c>
      <c r="K1553" t="n">
        <v>0.9</v>
      </c>
      <c r="L1553" t="n">
        <v>35.55555555555556</v>
      </c>
      <c r="M1553" t="n">
        <v>3</v>
      </c>
      <c r="N1553" t="n">
        <v>2.7</v>
      </c>
      <c r="O1553" t="n">
        <v>29.3</v>
      </c>
      <c r="P1553" t="n">
        <v>189.4457243926</v>
      </c>
      <c r="Q1553" t="n">
        <v>0.9156250000000001</v>
      </c>
      <c r="R1553" t="inlineStr">
        <is>
          <t>Sobrestock crítico</t>
        </is>
      </c>
    </row>
    <row r="1554">
      <c r="A1554" t="inlineStr">
        <is>
          <t>SABMEDA30TM</t>
        </is>
      </c>
      <c r="B1554" t="inlineStr">
        <is>
          <t>SABRI SPORT DAMA</t>
        </is>
      </c>
      <c r="C1554" t="inlineStr">
        <is>
          <t>Manufactura / Dama / P. Superiores</t>
        </is>
      </c>
      <c r="D1554" t="n">
        <v>380.85813917</v>
      </c>
      <c r="E1554" t="n">
        <v>9.324647739203588e-05</v>
      </c>
      <c r="F1554" t="n">
        <v>0.9453648079753522</v>
      </c>
      <c r="G1554" t="inlineStr">
        <is>
          <t>B</t>
        </is>
      </c>
      <c r="H1554" t="n">
        <v>31</v>
      </c>
      <c r="I1554" t="n">
        <v>4.51</v>
      </c>
      <c r="J1554" t="n">
        <v>139.81</v>
      </c>
      <c r="K1554" t="n">
        <v>1.1</v>
      </c>
      <c r="L1554" t="n">
        <v>28.18181818181818</v>
      </c>
      <c r="M1554" t="n">
        <v>3</v>
      </c>
      <c r="N1554" t="n">
        <v>3.3</v>
      </c>
      <c r="O1554" t="n">
        <v>27.7</v>
      </c>
      <c r="P1554" t="n">
        <v>124.927</v>
      </c>
      <c r="Q1554" t="n">
        <v>0.8935483870967741</v>
      </c>
      <c r="R1554" t="inlineStr">
        <is>
          <t>Sobrestock crítico</t>
        </is>
      </c>
    </row>
    <row r="1555">
      <c r="A1555" t="inlineStr">
        <is>
          <t>ADUMMCA30TXL</t>
        </is>
      </c>
      <c r="B1555" t="inlineStr">
        <is>
          <t>ACTIVE DUO CAB</t>
        </is>
      </c>
      <c r="C1555" t="inlineStr">
        <is>
          <t>Manufactura / Caballero / P. Superiores</t>
        </is>
      </c>
      <c r="D1555" t="n">
        <v>380.13350989</v>
      </c>
      <c r="E1555" t="n">
        <v>9.306906454240536e-05</v>
      </c>
      <c r="F1555" t="n">
        <v>0.9454578770398946</v>
      </c>
      <c r="G1555" t="inlineStr">
        <is>
          <t>B</t>
        </is>
      </c>
      <c r="H1555" t="n">
        <v>21</v>
      </c>
      <c r="I1555" t="n">
        <v>5.09</v>
      </c>
      <c r="J1555" t="n">
        <v>106.89</v>
      </c>
      <c r="K1555" t="n">
        <v>1.1</v>
      </c>
      <c r="L1555" t="n">
        <v>19.09090909090909</v>
      </c>
      <c r="M1555" t="n">
        <v>3</v>
      </c>
      <c r="N1555" t="n">
        <v>3.3</v>
      </c>
      <c r="O1555" t="n">
        <v>17.7</v>
      </c>
      <c r="P1555" t="n">
        <v>90.09299999999999</v>
      </c>
      <c r="Q1555" t="n">
        <v>0.8428571428571427</v>
      </c>
      <c r="R1555" t="inlineStr">
        <is>
          <t>Sobrestock crítico</t>
        </is>
      </c>
    </row>
    <row r="1556">
      <c r="A1556" t="inlineStr">
        <is>
          <t>CLAMIKI66T4</t>
        </is>
      </c>
      <c r="B1556" t="inlineStr">
        <is>
          <t>CLASICA ORIGINAL KIDS</t>
        </is>
      </c>
      <c r="C1556" t="inlineStr">
        <is>
          <t>Manufactura / Kids / P. Superiores</t>
        </is>
      </c>
      <c r="D1556" t="n">
        <v>380.01364617</v>
      </c>
      <c r="E1556" t="n">
        <v>9.303971799967041e-05</v>
      </c>
      <c r="F1556" t="n">
        <v>0.9455509167578942</v>
      </c>
      <c r="G1556" t="inlineStr">
        <is>
          <t>B</t>
        </is>
      </c>
      <c r="H1556" t="n">
        <v>35</v>
      </c>
      <c r="I1556" t="n">
        <v>2.053774806</v>
      </c>
      <c r="J1556" t="n">
        <v>71.88211820999999</v>
      </c>
      <c r="K1556" t="n">
        <v>1.2</v>
      </c>
      <c r="L1556" t="n">
        <v>29.16666666666667</v>
      </c>
      <c r="M1556" t="n">
        <v>3</v>
      </c>
      <c r="N1556" t="n">
        <v>3.6</v>
      </c>
      <c r="O1556" t="n">
        <v>31.4</v>
      </c>
      <c r="P1556" t="n">
        <v>64.48852890839999</v>
      </c>
      <c r="Q1556" t="n">
        <v>0.8971428571428571</v>
      </c>
      <c r="R1556" t="inlineStr">
        <is>
          <t>Sobrestock crítico</t>
        </is>
      </c>
    </row>
    <row r="1557">
      <c r="A1557" t="inlineStr">
        <is>
          <t>COA144C24OZ</t>
        </is>
      </c>
      <c r="B1557" t="inlineStr">
        <is>
          <t>CONTIGO ASHLAND 24OZ</t>
        </is>
      </c>
      <c r="C1557" t="inlineStr">
        <is>
          <t>Equipamiento / Cava</t>
        </is>
      </c>
      <c r="D1557" t="n">
        <v>378.57952859</v>
      </c>
      <c r="E1557" t="n">
        <v>9.268859930546993e-05</v>
      </c>
      <c r="F1557" t="n">
        <v>0.9456436053571997</v>
      </c>
      <c r="G1557" t="inlineStr">
        <is>
          <t>B</t>
        </is>
      </c>
      <c r="H1557" t="n">
        <v>24</v>
      </c>
      <c r="I1557" t="n">
        <v>24.5</v>
      </c>
      <c r="J1557" t="n">
        <v>588</v>
      </c>
      <c r="K1557" t="n">
        <v>1</v>
      </c>
      <c r="L1557" t="n">
        <v>24</v>
      </c>
      <c r="M1557" t="n">
        <v>3</v>
      </c>
      <c r="N1557" t="n">
        <v>3</v>
      </c>
      <c r="O1557" t="n">
        <v>21</v>
      </c>
      <c r="P1557" t="n">
        <v>514.5</v>
      </c>
      <c r="Q1557" t="n">
        <v>0.875</v>
      </c>
      <c r="R1557" t="inlineStr">
        <is>
          <t>Sobrestock crítico</t>
        </is>
      </c>
    </row>
    <row r="1558">
      <c r="A1558" t="inlineStr">
        <is>
          <t>ZOEMIKI34T14</t>
        </is>
      </c>
      <c r="B1558" t="inlineStr">
        <is>
          <t>ZOE ORIGINAL KIDS</t>
        </is>
      </c>
      <c r="C1558" t="inlineStr">
        <is>
          <t>Manufactura / Kids / P. Superiores</t>
        </is>
      </c>
      <c r="D1558" t="n">
        <v>377.73782185</v>
      </c>
      <c r="E1558" t="n">
        <v>9.248252208030368e-05</v>
      </c>
      <c r="F1558" t="n">
        <v>0.94573608787928</v>
      </c>
      <c r="G1558" t="inlineStr">
        <is>
          <t>B</t>
        </is>
      </c>
      <c r="H1558" t="n">
        <v>22</v>
      </c>
      <c r="I1558" t="n">
        <v>4.12</v>
      </c>
      <c r="J1558" t="n">
        <v>90.64</v>
      </c>
      <c r="K1558" t="n">
        <v>1.1</v>
      </c>
      <c r="L1558" t="n">
        <v>20</v>
      </c>
      <c r="M1558" t="n">
        <v>3</v>
      </c>
      <c r="N1558" t="n">
        <v>3.3</v>
      </c>
      <c r="O1558" t="n">
        <v>18.7</v>
      </c>
      <c r="P1558" t="n">
        <v>77.044</v>
      </c>
      <c r="Q1558" t="n">
        <v>0.85</v>
      </c>
      <c r="R1558" t="inlineStr">
        <is>
          <t>Sobrestock crítico</t>
        </is>
      </c>
    </row>
    <row r="1559">
      <c r="A1559" t="inlineStr">
        <is>
          <t>RIOMIKI04T4</t>
        </is>
      </c>
      <c r="B1559" t="inlineStr">
        <is>
          <t>RIO ORIGINAL KIDS</t>
        </is>
      </c>
      <c r="C1559" t="inlineStr">
        <is>
          <t>Manufactura / Kids / P. Superiores</t>
        </is>
      </c>
      <c r="D1559" t="n">
        <v>377.37216728</v>
      </c>
      <c r="E1559" t="n">
        <v>9.239299793183963e-05</v>
      </c>
      <c r="F1559" t="n">
        <v>0.9458284808772119</v>
      </c>
      <c r="G1559" t="inlineStr">
        <is>
          <t>B</t>
        </is>
      </c>
      <c r="H1559" t="n">
        <v>4</v>
      </c>
      <c r="I1559" t="n">
        <v>3.617969464</v>
      </c>
      <c r="J1559" t="n">
        <v>14.471877856</v>
      </c>
      <c r="K1559" t="n">
        <v>0.8</v>
      </c>
      <c r="L1559" t="n">
        <v>5</v>
      </c>
      <c r="M1559" t="n">
        <v>3</v>
      </c>
      <c r="N1559" t="n">
        <v>2.4</v>
      </c>
      <c r="O1559" t="n">
        <v>1.6</v>
      </c>
      <c r="P1559" t="n">
        <v>5.788751142399999</v>
      </c>
      <c r="Q1559" t="n">
        <v>0.3999999999999999</v>
      </c>
      <c r="R1559" t="inlineStr">
        <is>
          <t>Sobrestock crítico</t>
        </is>
      </c>
    </row>
    <row r="1560">
      <c r="A1560" t="inlineStr">
        <is>
          <t>SHONRKI12T8</t>
        </is>
      </c>
      <c r="B1560" t="inlineStr">
        <is>
          <t>SHORT SPORT KIDS</t>
        </is>
      </c>
      <c r="C1560" t="inlineStr">
        <is>
          <t>Manufactura / Kids / P. Inferiores</t>
        </is>
      </c>
      <c r="D1560" t="n">
        <v>376.80160164</v>
      </c>
      <c r="E1560" t="n">
        <v>9.2253304879285e-05</v>
      </c>
      <c r="F1560" t="n">
        <v>0.9459207341820912</v>
      </c>
      <c r="G1560" t="inlineStr">
        <is>
          <t>B</t>
        </is>
      </c>
      <c r="H1560" t="n">
        <v>61</v>
      </c>
      <c r="I1560" t="n">
        <v>6.465724382</v>
      </c>
      <c r="J1560" t="n">
        <v>394.409187302</v>
      </c>
      <c r="K1560" t="n">
        <v>0.9</v>
      </c>
      <c r="L1560" t="n">
        <v>67.77777777777777</v>
      </c>
      <c r="M1560" t="n">
        <v>3</v>
      </c>
      <c r="N1560" t="n">
        <v>2.7</v>
      </c>
      <c r="O1560" t="n">
        <v>58.3</v>
      </c>
      <c r="P1560" t="n">
        <v>376.9517314706</v>
      </c>
      <c r="Q1560" t="n">
        <v>0.9557377049180328</v>
      </c>
      <c r="R1560" t="inlineStr">
        <is>
          <t>Sobrestock crítico</t>
        </is>
      </c>
    </row>
    <row r="1561">
      <c r="A1561" t="inlineStr">
        <is>
          <t>RIOMIDA05TL</t>
        </is>
      </c>
      <c r="B1561" t="inlineStr">
        <is>
          <t>RIO ORIGINAL DAMA</t>
        </is>
      </c>
      <c r="C1561" t="inlineStr">
        <is>
          <t>Manufactura / Dama / P. Superiores</t>
        </is>
      </c>
      <c r="D1561" t="n">
        <v>376.61283486</v>
      </c>
      <c r="E1561" t="n">
        <v>9.220708862322179e-05</v>
      </c>
      <c r="F1561" t="n">
        <v>0.9460129412707143</v>
      </c>
      <c r="G1561" t="inlineStr">
        <is>
          <t>B</t>
        </is>
      </c>
      <c r="H1561" t="n">
        <v>0</v>
      </c>
      <c r="I1561" t="n">
        <v>5.538832275</v>
      </c>
      <c r="J1561" t="n">
        <v>0</v>
      </c>
      <c r="K1561" t="n">
        <v>0.7</v>
      </c>
      <c r="L1561" t="n">
        <v>0</v>
      </c>
      <c r="M1561" t="n">
        <v>3</v>
      </c>
      <c r="N1561" t="n">
        <v>2.1</v>
      </c>
      <c r="O1561" t="n">
        <v>0</v>
      </c>
      <c r="P1561" t="n">
        <v>0</v>
      </c>
      <c r="Q1561" t="n">
        <v>0</v>
      </c>
      <c r="R1561" t="inlineStr">
        <is>
          <t>Sin rotación</t>
        </is>
      </c>
    </row>
    <row r="1562">
      <c r="A1562" t="inlineStr">
        <is>
          <t>MAYFNDA70TS</t>
        </is>
      </c>
      <c r="B1562" t="inlineStr">
        <is>
          <t>MAYA SPORT LITE DAMA</t>
        </is>
      </c>
      <c r="C1562" t="inlineStr">
        <is>
          <t>Manufactura / Dama / P. Superiores</t>
        </is>
      </c>
      <c r="D1562" t="n">
        <v>375.89797709</v>
      </c>
      <c r="E1562" t="n">
        <v>9.203206815750693e-05</v>
      </c>
      <c r="F1562" t="n">
        <v>0.9461049733388718</v>
      </c>
      <c r="G1562" t="inlineStr">
        <is>
          <t>B</t>
        </is>
      </c>
      <c r="H1562" t="n">
        <v>21</v>
      </c>
      <c r="I1562" t="n">
        <v>3.870000000000001</v>
      </c>
      <c r="J1562" t="n">
        <v>81.27000000000001</v>
      </c>
      <c r="K1562" t="n">
        <v>1.7</v>
      </c>
      <c r="L1562" t="n">
        <v>12.35294117647059</v>
      </c>
      <c r="M1562" t="n">
        <v>3</v>
      </c>
      <c r="N1562" t="n">
        <v>5.1</v>
      </c>
      <c r="O1562" t="n">
        <v>15.9</v>
      </c>
      <c r="P1562" t="n">
        <v>61.53300000000001</v>
      </c>
      <c r="Q1562" t="n">
        <v>0.7571428571428571</v>
      </c>
      <c r="R1562" t="inlineStr">
        <is>
          <t>Sobrestock crítico</t>
        </is>
      </c>
    </row>
    <row r="1563">
      <c r="A1563" t="inlineStr">
        <is>
          <t>POR23EQ</t>
        </is>
      </c>
      <c r="B1563" t="inlineStr">
        <is>
          <t>PORTAVASOS</t>
        </is>
      </c>
      <c r="C1563" t="inlineStr">
        <is>
          <t>Equipamiento / Accesorios</t>
        </is>
      </c>
      <c r="D1563" t="n">
        <v>374.361337699</v>
      </c>
      <c r="E1563" t="n">
        <v>9.16558487847377e-05</v>
      </c>
      <c r="F1563" t="n">
        <v>0.9461966291876566</v>
      </c>
      <c r="G1563" t="inlineStr">
        <is>
          <t>B</t>
        </is>
      </c>
      <c r="H1563" t="n">
        <v>61</v>
      </c>
      <c r="I1563" t="n">
        <v>1</v>
      </c>
      <c r="J1563" t="n">
        <v>61</v>
      </c>
      <c r="K1563" t="n">
        <v>7.7</v>
      </c>
      <c r="L1563" t="n">
        <v>7.922077922077922</v>
      </c>
      <c r="M1563" t="n">
        <v>3</v>
      </c>
      <c r="N1563" t="n">
        <v>23.1</v>
      </c>
      <c r="O1563" t="n">
        <v>37.9</v>
      </c>
      <c r="P1563" t="n">
        <v>37.9</v>
      </c>
      <c r="Q1563" t="n">
        <v>0.621311475409836</v>
      </c>
      <c r="R1563" t="inlineStr">
        <is>
          <t>Sobrestock crítico</t>
        </is>
      </c>
    </row>
    <row r="1564">
      <c r="A1564" t="inlineStr">
        <is>
          <t>TALGOTACA12TM</t>
        </is>
      </c>
      <c r="B1564" t="inlineStr">
        <is>
          <t>URBAN COTTON OVERSIZED SUNSET CAB</t>
        </is>
      </c>
      <c r="C1564" t="inlineStr">
        <is>
          <t>Manufactura / Caballero / P. Superiores</t>
        </is>
      </c>
      <c r="D1564" t="n">
        <v>374.33844311</v>
      </c>
      <c r="E1564" t="n">
        <v>9.165024344365128e-05</v>
      </c>
      <c r="F1564" t="n">
        <v>0.9462882794311003</v>
      </c>
      <c r="G1564" t="inlineStr">
        <is>
          <t>B</t>
        </is>
      </c>
      <c r="H1564" t="n">
        <v>10</v>
      </c>
      <c r="I1564" t="n">
        <v>12.16112582</v>
      </c>
      <c r="J1564" t="n">
        <v>121.6112582</v>
      </c>
      <c r="K1564" t="n">
        <v>1.2</v>
      </c>
      <c r="L1564" t="n">
        <v>8.333333333333334</v>
      </c>
      <c r="M1564" t="n">
        <v>3</v>
      </c>
      <c r="N1564" t="n">
        <v>3.6</v>
      </c>
      <c r="O1564" t="n">
        <v>6.4</v>
      </c>
      <c r="P1564" t="n">
        <v>77.831205248</v>
      </c>
      <c r="Q1564" t="n">
        <v>0.64</v>
      </c>
      <c r="R1564" t="inlineStr">
        <is>
          <t>Sobrestock crítico</t>
        </is>
      </c>
    </row>
    <row r="1565">
      <c r="A1565" t="inlineStr">
        <is>
          <t>DAYCSTDA16TXL</t>
        </is>
      </c>
      <c r="B1565" t="inlineStr">
        <is>
          <t>CLASICA DAILY 3.0 DAMA</t>
        </is>
      </c>
      <c r="C1565" t="inlineStr">
        <is>
          <t>Manufactura / Dama / P. Superiores</t>
        </is>
      </c>
      <c r="D1565" t="n">
        <v>373.7096985</v>
      </c>
      <c r="E1565" t="n">
        <v>9.149630628429454e-05</v>
      </c>
      <c r="F1565" t="n">
        <v>0.9463797757373846</v>
      </c>
      <c r="G1565" t="inlineStr">
        <is>
          <t>B</t>
        </is>
      </c>
      <c r="H1565" t="n">
        <v>30</v>
      </c>
      <c r="I1565" t="n">
        <v>10.28586481</v>
      </c>
      <c r="J1565" t="n">
        <v>308.5759443</v>
      </c>
      <c r="K1565" t="n">
        <v>0.9</v>
      </c>
      <c r="L1565" t="n">
        <v>33.33333333333334</v>
      </c>
      <c r="M1565" t="n">
        <v>3</v>
      </c>
      <c r="N1565" t="n">
        <v>2.7</v>
      </c>
      <c r="O1565" t="n">
        <v>27.3</v>
      </c>
      <c r="P1565" t="n">
        <v>280.804109313</v>
      </c>
      <c r="Q1565" t="n">
        <v>0.9099999999999999</v>
      </c>
      <c r="R1565" t="inlineStr">
        <is>
          <t>Sobrestock crítico</t>
        </is>
      </c>
    </row>
    <row r="1566">
      <c r="A1566" t="inlineStr">
        <is>
          <t>SABMEDA66TS</t>
        </is>
      </c>
      <c r="B1566" t="inlineStr">
        <is>
          <t>SABRI SPORT DAMA</t>
        </is>
      </c>
      <c r="C1566" t="inlineStr">
        <is>
          <t>Manufactura / Dama / P. Superiores</t>
        </is>
      </c>
      <c r="D1566" t="n">
        <v>373.30671135</v>
      </c>
      <c r="E1566" t="n">
        <v>9.139764190428772e-05</v>
      </c>
      <c r="F1566" t="n">
        <v>0.9464711733792888</v>
      </c>
      <c r="G1566" t="inlineStr">
        <is>
          <t>B</t>
        </is>
      </c>
      <c r="H1566" t="n">
        <v>51</v>
      </c>
      <c r="I1566" t="n">
        <v>4.51</v>
      </c>
      <c r="J1566" t="n">
        <v>230.01</v>
      </c>
      <c r="K1566" t="n">
        <v>1.2</v>
      </c>
      <c r="L1566" t="n">
        <v>42.5</v>
      </c>
      <c r="M1566" t="n">
        <v>3</v>
      </c>
      <c r="N1566" t="n">
        <v>3.6</v>
      </c>
      <c r="O1566" t="n">
        <v>47.4</v>
      </c>
      <c r="P1566" t="n">
        <v>213.774</v>
      </c>
      <c r="Q1566" t="n">
        <v>0.9294117647058823</v>
      </c>
      <c r="R1566" t="inlineStr">
        <is>
          <t>Sobrestock crítico</t>
        </is>
      </c>
    </row>
    <row r="1567">
      <c r="A1567" t="inlineStr">
        <is>
          <t>ANDMIDA04TS</t>
        </is>
      </c>
      <c r="B1567" t="inlineStr">
        <is>
          <t>ANDRE ORIGINAL DAMA</t>
        </is>
      </c>
      <c r="C1567" t="inlineStr">
        <is>
          <t>Manufactura / Dama / P. Superiores</t>
        </is>
      </c>
      <c r="D1567" t="n">
        <v>373.1164372</v>
      </c>
      <c r="E1567" t="n">
        <v>9.135105659495199e-05</v>
      </c>
      <c r="F1567" t="n">
        <v>0.9465625244358837</v>
      </c>
      <c r="G1567" t="inlineStr">
        <is>
          <t>B</t>
        </is>
      </c>
      <c r="H1567" t="n">
        <v>27</v>
      </c>
      <c r="I1567" t="n">
        <v>3.274295302</v>
      </c>
      <c r="J1567" t="n">
        <v>88.40597315400001</v>
      </c>
      <c r="K1567" t="n">
        <v>1.5</v>
      </c>
      <c r="L1567" t="n">
        <v>18</v>
      </c>
      <c r="M1567" t="n">
        <v>3</v>
      </c>
      <c r="N1567" t="n">
        <v>4.5</v>
      </c>
      <c r="O1567" t="n">
        <v>22.5</v>
      </c>
      <c r="P1567" t="n">
        <v>73.67164429500001</v>
      </c>
      <c r="Q1567" t="n">
        <v>0.8333333333333334</v>
      </c>
      <c r="R1567" t="inlineStr">
        <is>
          <t>Sobrestock crítico</t>
        </is>
      </c>
    </row>
    <row r="1568">
      <c r="A1568" t="inlineStr">
        <is>
          <t>CLAMICA01TL</t>
        </is>
      </c>
      <c r="B1568" t="inlineStr">
        <is>
          <t>CLASICA ORIGINAL CAB</t>
        </is>
      </c>
      <c r="C1568" t="inlineStr">
        <is>
          <t>Manufactura / Caballero / P. Superiores</t>
        </is>
      </c>
      <c r="D1568" t="n">
        <v>372.16788426</v>
      </c>
      <c r="E1568" t="n">
        <v>9.111881993994019e-05</v>
      </c>
      <c r="F1568" t="n">
        <v>0.9466536432558237</v>
      </c>
      <c r="G1568" t="inlineStr">
        <is>
          <t>B</t>
        </is>
      </c>
      <c r="H1568" t="n">
        <v>7</v>
      </c>
      <c r="I1568" t="n">
        <v>4.598442536</v>
      </c>
      <c r="J1568" t="n">
        <v>32.189097752</v>
      </c>
      <c r="K1568" t="n">
        <v>0.9</v>
      </c>
      <c r="L1568" t="n">
        <v>7.777777777777778</v>
      </c>
      <c r="M1568" t="n">
        <v>3</v>
      </c>
      <c r="N1568" t="n">
        <v>2.7</v>
      </c>
      <c r="O1568" t="n">
        <v>4.3</v>
      </c>
      <c r="P1568" t="n">
        <v>19.7733029048</v>
      </c>
      <c r="Q1568" t="n">
        <v>0.6142857142857143</v>
      </c>
      <c r="R1568" t="inlineStr">
        <is>
          <t>Sobrestock crítico</t>
        </is>
      </c>
    </row>
    <row r="1569">
      <c r="A1569" t="inlineStr">
        <is>
          <t>PANNTKI33T10</t>
        </is>
      </c>
      <c r="B1569" t="inlineStr">
        <is>
          <t>EXPLORE PANTS KIDS</t>
        </is>
      </c>
      <c r="C1569" t="inlineStr">
        <is>
          <t>Manufactura / Kids / P. Inferiores</t>
        </is>
      </c>
      <c r="D1569" t="n">
        <v>371.9196112</v>
      </c>
      <c r="E1569" t="n">
        <v>9.105803460835508e-05</v>
      </c>
      <c r="F1569" t="n">
        <v>0.9467447012904321</v>
      </c>
      <c r="G1569" t="inlineStr">
        <is>
          <t>B</t>
        </is>
      </c>
      <c r="H1569" t="n">
        <v>18</v>
      </c>
      <c r="I1569" t="n">
        <v>13.98</v>
      </c>
      <c r="J1569" t="n">
        <v>251.64</v>
      </c>
      <c r="K1569" t="n">
        <v>0.8</v>
      </c>
      <c r="L1569" t="n">
        <v>22.5</v>
      </c>
      <c r="M1569" t="n">
        <v>3</v>
      </c>
      <c r="N1569" t="n">
        <v>2.4</v>
      </c>
      <c r="O1569" t="n">
        <v>15.6</v>
      </c>
      <c r="P1569" t="n">
        <v>218.088</v>
      </c>
      <c r="Q1569" t="n">
        <v>0.8666666666666666</v>
      </c>
      <c r="R1569" t="inlineStr">
        <is>
          <t>Sobrestock crítico</t>
        </is>
      </c>
    </row>
    <row r="1570">
      <c r="A1570" t="inlineStr">
        <is>
          <t>SHOSUKI155T1</t>
        </is>
      </c>
      <c r="B1570" t="inlineStr">
        <is>
          <t>SHORT PLAYA ESTAMPADO KIDS</t>
        </is>
      </c>
      <c r="C1570" t="inlineStr">
        <is>
          <t>Manufactura / Kids / P. Superiores</t>
        </is>
      </c>
      <c r="D1570" t="n">
        <v>371.88230994</v>
      </c>
      <c r="E1570" t="n">
        <v>9.104890204496842e-05</v>
      </c>
      <c r="F1570" t="n">
        <v>0.9468357501924771</v>
      </c>
      <c r="G1570" t="inlineStr">
        <is>
          <t>B</t>
        </is>
      </c>
      <c r="H1570" t="n">
        <v>22</v>
      </c>
      <c r="I1570" t="n">
        <v>7.21</v>
      </c>
      <c r="J1570" t="n">
        <v>158.62</v>
      </c>
      <c r="K1570" t="n">
        <v>0.8</v>
      </c>
      <c r="L1570" t="n">
        <v>27.5</v>
      </c>
      <c r="M1570" t="n">
        <v>3</v>
      </c>
      <c r="N1570" t="n">
        <v>2.4</v>
      </c>
      <c r="O1570" t="n">
        <v>19.6</v>
      </c>
      <c r="P1570" t="n">
        <v>141.316</v>
      </c>
      <c r="Q1570" t="n">
        <v>0.8909090909090909</v>
      </c>
      <c r="R1570" t="inlineStr">
        <is>
          <t>Sobrestock crítico</t>
        </is>
      </c>
    </row>
    <row r="1571">
      <c r="A1571" t="inlineStr">
        <is>
          <t>CCBHMCA151TM</t>
        </is>
      </c>
      <c r="B1571" t="inlineStr">
        <is>
          <t>CLUB CLASICA CABALLERO</t>
        </is>
      </c>
      <c r="C1571" t="inlineStr">
        <is>
          <t>Manufactura / Caballero / P. Superiores</t>
        </is>
      </c>
      <c r="D1571" t="n">
        <v>371.63049438</v>
      </c>
      <c r="E1571" t="n">
        <v>9.098724939400062e-05</v>
      </c>
      <c r="F1571" t="n">
        <v>0.9469267374418711</v>
      </c>
      <c r="G1571" t="inlineStr">
        <is>
          <t>B</t>
        </is>
      </c>
      <c r="H1571" t="n">
        <v>22</v>
      </c>
      <c r="I1571" t="n">
        <v>1</v>
      </c>
      <c r="J1571" t="n">
        <v>22</v>
      </c>
      <c r="K1571" t="n">
        <v>1</v>
      </c>
      <c r="L1571" t="n">
        <v>22</v>
      </c>
      <c r="M1571" t="n">
        <v>3</v>
      </c>
      <c r="N1571" t="n">
        <v>3</v>
      </c>
      <c r="O1571" t="n">
        <v>19</v>
      </c>
      <c r="P1571" t="n">
        <v>19</v>
      </c>
      <c r="Q1571" t="n">
        <v>0.8636363636363636</v>
      </c>
      <c r="R1571" t="inlineStr">
        <is>
          <t>Sobrestock crítico</t>
        </is>
      </c>
    </row>
    <row r="1572">
      <c r="A1572" t="inlineStr">
        <is>
          <t>DOMBFCA43T2XL</t>
        </is>
      </c>
      <c r="B1572" t="inlineStr">
        <is>
          <t>DOMINIC BIO MOVE CAB</t>
        </is>
      </c>
      <c r="C1572" t="inlineStr">
        <is>
          <t>Manufactura / Caballero / P. Superiores</t>
        </is>
      </c>
      <c r="D1572" t="n">
        <v>371.37817199</v>
      </c>
      <c r="E1572" t="n">
        <v>9.092547265454083e-05</v>
      </c>
      <c r="F1572" t="n">
        <v>0.9470176629145256</v>
      </c>
      <c r="G1572" t="inlineStr">
        <is>
          <t>B</t>
        </is>
      </c>
      <c r="H1572" t="n">
        <v>29</v>
      </c>
      <c r="I1572" t="n">
        <v>13.86</v>
      </c>
      <c r="J1572" t="n">
        <v>401.94</v>
      </c>
      <c r="K1572" t="n">
        <v>0.5</v>
      </c>
      <c r="L1572" t="n">
        <v>58</v>
      </c>
      <c r="M1572" t="n">
        <v>3</v>
      </c>
      <c r="N1572" t="n">
        <v>1.5</v>
      </c>
      <c r="O1572" t="n">
        <v>27.5</v>
      </c>
      <c r="P1572" t="n">
        <v>381.15</v>
      </c>
      <c r="Q1572" t="n">
        <v>0.9482758620689654</v>
      </c>
      <c r="R1572" t="inlineStr">
        <is>
          <t>Sobrestock crítico</t>
        </is>
      </c>
    </row>
    <row r="1573">
      <c r="A1573" t="inlineStr">
        <is>
          <t>MARMIKI16T1</t>
        </is>
      </c>
      <c r="B1573" t="inlineStr">
        <is>
          <t>MAR ORIGINAL KIDS</t>
        </is>
      </c>
      <c r="C1573" t="inlineStr">
        <is>
          <t>Manufactura / Kids / P. Superiores</t>
        </is>
      </c>
      <c r="D1573" t="n">
        <v>370.7219424</v>
      </c>
      <c r="E1573" t="n">
        <v>9.076480627686732e-05</v>
      </c>
      <c r="F1573" t="n">
        <v>0.9471084277208024</v>
      </c>
      <c r="G1573" t="inlineStr">
        <is>
          <t>B</t>
        </is>
      </c>
      <c r="H1573" t="n">
        <v>0</v>
      </c>
      <c r="I1573" t="n">
        <v>3.168013332</v>
      </c>
      <c r="J1573" t="n">
        <v>0</v>
      </c>
      <c r="K1573" t="n">
        <v>1</v>
      </c>
      <c r="L1573" t="n">
        <v>0</v>
      </c>
      <c r="M1573" t="n">
        <v>3</v>
      </c>
      <c r="N1573" t="n">
        <v>3</v>
      </c>
      <c r="O1573" t="n">
        <v>0</v>
      </c>
      <c r="P1573" t="n">
        <v>0</v>
      </c>
      <c r="Q1573" t="n">
        <v>0</v>
      </c>
      <c r="R1573" t="inlineStr">
        <is>
          <t>Riesgo bajo stock</t>
        </is>
      </c>
    </row>
    <row r="1574">
      <c r="A1574" t="inlineStr">
        <is>
          <t>CLAMICA70TXL</t>
        </is>
      </c>
      <c r="B1574" t="inlineStr">
        <is>
          <t>CLASICA ORIGINAL CAB</t>
        </is>
      </c>
      <c r="C1574" t="inlineStr">
        <is>
          <t>Manufactura / Caballero / P. Superiores</t>
        </is>
      </c>
      <c r="D1574" t="n">
        <v>370.67625444</v>
      </c>
      <c r="E1574" t="n">
        <v>9.075362037615763e-05</v>
      </c>
      <c r="F1574" t="n">
        <v>0.9471991813411786</v>
      </c>
      <c r="G1574" t="inlineStr">
        <is>
          <t>B</t>
        </is>
      </c>
      <c r="H1574" t="n">
        <v>22</v>
      </c>
      <c r="I1574" t="n">
        <v>4.598442536</v>
      </c>
      <c r="J1574" t="n">
        <v>101.165735792</v>
      </c>
      <c r="K1574" t="n">
        <v>1</v>
      </c>
      <c r="L1574" t="n">
        <v>22</v>
      </c>
      <c r="M1574" t="n">
        <v>3</v>
      </c>
      <c r="N1574" t="n">
        <v>3</v>
      </c>
      <c r="O1574" t="n">
        <v>19</v>
      </c>
      <c r="P1574" t="n">
        <v>87.37040818400001</v>
      </c>
      <c r="Q1574" t="n">
        <v>0.8636363636363638</v>
      </c>
      <c r="R1574" t="inlineStr">
        <is>
          <t>Sobrestock crítico</t>
        </is>
      </c>
    </row>
    <row r="1575">
      <c r="A1575" t="inlineStr">
        <is>
          <t>SHONTCA30TS</t>
        </is>
      </c>
      <c r="B1575" t="inlineStr">
        <is>
          <t>EXPLORE SHORT CAB</t>
        </is>
      </c>
      <c r="C1575" t="inlineStr">
        <is>
          <t>Manufactura / Caballero / P. Inferiores</t>
        </is>
      </c>
      <c r="D1575" t="n">
        <v>370.51998466</v>
      </c>
      <c r="E1575" t="n">
        <v>9.07153604441536e-05</v>
      </c>
      <c r="F1575" t="n">
        <v>0.9472898967016227</v>
      </c>
      <c r="G1575" t="inlineStr">
        <is>
          <t>B</t>
        </is>
      </c>
      <c r="H1575" t="n">
        <v>0</v>
      </c>
      <c r="I1575" t="n">
        <v>11.17</v>
      </c>
      <c r="J1575" t="n">
        <v>0</v>
      </c>
      <c r="K1575" t="n">
        <v>1.1</v>
      </c>
      <c r="L1575" t="n">
        <v>0</v>
      </c>
      <c r="M1575" t="n">
        <v>3</v>
      </c>
      <c r="N1575" t="n">
        <v>3.3</v>
      </c>
      <c r="O1575" t="n">
        <v>0</v>
      </c>
      <c r="P1575" t="n">
        <v>0</v>
      </c>
      <c r="Q1575" t="n">
        <v>0</v>
      </c>
      <c r="R1575" t="inlineStr">
        <is>
          <t>Riesgo bajo stock</t>
        </is>
      </c>
    </row>
    <row r="1576">
      <c r="A1576" t="inlineStr">
        <is>
          <t>SHOUNKI12T2</t>
        </is>
      </c>
      <c r="B1576" t="inlineStr">
        <is>
          <t>SHORT PLAYA KIDS</t>
        </is>
      </c>
      <c r="C1576" t="inlineStr">
        <is>
          <t>Manufactura / Kids / P. Inferiores</t>
        </is>
      </c>
      <c r="D1576" t="n">
        <v>370.4757765</v>
      </c>
      <c r="E1576" t="n">
        <v>9.070453684668247e-05</v>
      </c>
      <c r="F1576" t="n">
        <v>0.9473806012384693</v>
      </c>
      <c r="G1576" t="inlineStr">
        <is>
          <t>B</t>
        </is>
      </c>
      <c r="H1576" t="n">
        <v>0</v>
      </c>
      <c r="I1576" t="n">
        <v>6.09</v>
      </c>
      <c r="J1576" t="n">
        <v>0</v>
      </c>
      <c r="K1576" t="n">
        <v>0.9</v>
      </c>
      <c r="L1576" t="n">
        <v>0</v>
      </c>
      <c r="M1576" t="n">
        <v>3</v>
      </c>
      <c r="N1576" t="n">
        <v>2.7</v>
      </c>
      <c r="O1576" t="n">
        <v>0</v>
      </c>
      <c r="P1576" t="n">
        <v>0</v>
      </c>
      <c r="Q1576" t="n">
        <v>0</v>
      </c>
      <c r="R1576" t="inlineStr">
        <is>
          <t>Riesgo bajo stock</t>
        </is>
      </c>
    </row>
    <row r="1577">
      <c r="A1577" t="inlineStr">
        <is>
          <t>CLMSUCA152TXL</t>
        </is>
      </c>
      <c r="B1577" t="inlineStr">
        <is>
          <t>CLASICA MOTION CAB</t>
        </is>
      </c>
      <c r="C1577" t="inlineStr">
        <is>
          <t>Manufactura / Caballero / P. Superiores</t>
        </is>
      </c>
      <c r="D1577" t="n">
        <v>369.84090177</v>
      </c>
      <c r="E1577" t="n">
        <v>9.054909883428569e-05</v>
      </c>
      <c r="F1577" t="n">
        <v>0.9474711503373037</v>
      </c>
      <c r="G1577" t="inlineStr">
        <is>
          <t>B</t>
        </is>
      </c>
      <c r="H1577" t="n">
        <v>3</v>
      </c>
      <c r="I1577" t="n">
        <v>12.26</v>
      </c>
      <c r="J1577" t="n">
        <v>36.78</v>
      </c>
      <c r="K1577" t="n">
        <v>0.9</v>
      </c>
      <c r="L1577" t="n">
        <v>3.333333333333333</v>
      </c>
      <c r="M1577" t="n">
        <v>3</v>
      </c>
      <c r="N1577" t="n">
        <v>2.7</v>
      </c>
      <c r="O1577" t="n">
        <v>0.2999999999999998</v>
      </c>
      <c r="P1577" t="n">
        <v>3.677999999999998</v>
      </c>
      <c r="Q1577" t="n">
        <v>0.09999999999999994</v>
      </c>
      <c r="R1577" t="inlineStr">
        <is>
          <t>Sobrestock</t>
        </is>
      </c>
    </row>
    <row r="1578">
      <c r="A1578" t="inlineStr">
        <is>
          <t>ZOEMIDA01TL</t>
        </is>
      </c>
      <c r="B1578" t="inlineStr">
        <is>
          <t>ZOE ORIGINAL DAMA</t>
        </is>
      </c>
      <c r="C1578" t="inlineStr">
        <is>
          <t>Manufactura / Dama / P. Superiores</t>
        </is>
      </c>
      <c r="D1578" t="n">
        <v>369.47927567</v>
      </c>
      <c r="E1578" t="n">
        <v>9.046056098648885e-05</v>
      </c>
      <c r="F1578" t="n">
        <v>0.9475616108982903</v>
      </c>
      <c r="G1578" t="inlineStr">
        <is>
          <t>B</t>
        </is>
      </c>
      <c r="H1578" t="n">
        <v>11</v>
      </c>
      <c r="I1578" t="n">
        <v>4.116585696</v>
      </c>
      <c r="J1578" t="n">
        <v>45.28244265599999</v>
      </c>
      <c r="K1578" t="n">
        <v>0.9</v>
      </c>
      <c r="L1578" t="n">
        <v>12.22222222222222</v>
      </c>
      <c r="M1578" t="n">
        <v>3</v>
      </c>
      <c r="N1578" t="n">
        <v>2.7</v>
      </c>
      <c r="O1578" t="n">
        <v>8.300000000000001</v>
      </c>
      <c r="P1578" t="n">
        <v>34.1676612768</v>
      </c>
      <c r="Q1578" t="n">
        <v>0.7545454545454546</v>
      </c>
      <c r="R1578" t="inlineStr">
        <is>
          <t>Sobrestock crítico</t>
        </is>
      </c>
    </row>
    <row r="1579">
      <c r="A1579" t="inlineStr">
        <is>
          <t>VIVMIDA16TS</t>
        </is>
      </c>
      <c r="B1579" t="inlineStr">
        <is>
          <t>VIVI ORIGINAL DAMA</t>
        </is>
      </c>
      <c r="C1579" t="inlineStr">
        <is>
          <t>Manufactura / Dama / P. Superiores</t>
        </is>
      </c>
      <c r="D1579" t="n">
        <v>369.34723267</v>
      </c>
      <c r="E1579" t="n">
        <v>9.04282325593188e-05</v>
      </c>
      <c r="F1579" t="n">
        <v>0.9476520391308495</v>
      </c>
      <c r="G1579" t="inlineStr">
        <is>
          <t>B</t>
        </is>
      </c>
      <c r="H1579" t="n">
        <v>39</v>
      </c>
      <c r="I1579" t="n">
        <v>4.303181706</v>
      </c>
      <c r="J1579" t="n">
        <v>167.824086534</v>
      </c>
      <c r="K1579" t="n">
        <v>1.3</v>
      </c>
      <c r="L1579" t="n">
        <v>30</v>
      </c>
      <c r="M1579" t="n">
        <v>3</v>
      </c>
      <c r="N1579" t="n">
        <v>3.9</v>
      </c>
      <c r="O1579" t="n">
        <v>35.1</v>
      </c>
      <c r="P1579" t="n">
        <v>151.0416778806</v>
      </c>
      <c r="Q1579" t="n">
        <v>0.9000000000000001</v>
      </c>
      <c r="R1579" t="inlineStr">
        <is>
          <t>Sobrestock crítico</t>
        </is>
      </c>
    </row>
    <row r="1580">
      <c r="A1580" t="inlineStr">
        <is>
          <t>CLAMEDA12TM</t>
        </is>
      </c>
      <c r="B1580" t="inlineStr">
        <is>
          <t>CLÁSICA SPORT DAMA</t>
        </is>
      </c>
      <c r="C1580" t="inlineStr">
        <is>
          <t>Manufactura / Dama / P. Superiores</t>
        </is>
      </c>
      <c r="D1580" t="n">
        <v>367.22089959</v>
      </c>
      <c r="E1580" t="n">
        <v>8.990763696458044e-05</v>
      </c>
      <c r="F1580" t="n">
        <v>0.9477419467678142</v>
      </c>
      <c r="G1580" t="inlineStr">
        <is>
          <t>B</t>
        </is>
      </c>
      <c r="H1580" t="n">
        <v>2</v>
      </c>
      <c r="I1580" t="n">
        <v>6.536105769</v>
      </c>
      <c r="J1580" t="n">
        <v>13.072211538</v>
      </c>
      <c r="K1580" t="n">
        <v>0.8</v>
      </c>
      <c r="L1580" t="n">
        <v>2.5</v>
      </c>
      <c r="M1580" t="n">
        <v>3</v>
      </c>
      <c r="N1580" t="n">
        <v>2.4</v>
      </c>
      <c r="O1580" t="n">
        <v>0</v>
      </c>
      <c r="P1580" t="n">
        <v>0</v>
      </c>
      <c r="Q1580" t="n">
        <v>0</v>
      </c>
      <c r="R1580" t="inlineStr">
        <is>
          <t>OK</t>
        </is>
      </c>
    </row>
    <row r="1581">
      <c r="A1581" t="inlineStr">
        <is>
          <t>MAFMIDA70TL</t>
        </is>
      </c>
      <c r="B1581" t="inlineStr">
        <is>
          <t>MAFE ORIGINAL DAMA</t>
        </is>
      </c>
      <c r="C1581" t="inlineStr">
        <is>
          <t>Manufactura / Dama / P. Superiores</t>
        </is>
      </c>
      <c r="D1581" t="n">
        <v>367.06160586</v>
      </c>
      <c r="E1581" t="n">
        <v>8.986863667112337e-05</v>
      </c>
      <c r="F1581" t="n">
        <v>0.9478318154044851</v>
      </c>
      <c r="G1581" t="inlineStr">
        <is>
          <t>B</t>
        </is>
      </c>
      <c r="H1581" t="n">
        <v>5</v>
      </c>
      <c r="I1581" t="n">
        <v>4.54817671</v>
      </c>
      <c r="J1581" t="n">
        <v>22.74088355</v>
      </c>
      <c r="K1581" t="n">
        <v>1.2</v>
      </c>
      <c r="L1581" t="n">
        <v>4.166666666666667</v>
      </c>
      <c r="M1581" t="n">
        <v>3</v>
      </c>
      <c r="N1581" t="n">
        <v>3.6</v>
      </c>
      <c r="O1581" t="n">
        <v>1.4</v>
      </c>
      <c r="P1581" t="n">
        <v>6.367447394000002</v>
      </c>
      <c r="Q1581" t="n">
        <v>0.2800000000000001</v>
      </c>
      <c r="R1581" t="inlineStr">
        <is>
          <t>Sobrestock</t>
        </is>
      </c>
    </row>
    <row r="1582">
      <c r="A1582" t="inlineStr">
        <is>
          <t>SHONTDA30TM</t>
        </is>
      </c>
      <c r="B1582" t="inlineStr">
        <is>
          <t>EXPLORE SHORT DAMA</t>
        </is>
      </c>
      <c r="C1582" t="inlineStr">
        <is>
          <t>Manufactura / Dama / P. Inferiores</t>
        </is>
      </c>
      <c r="D1582" t="n">
        <v>366.42875797</v>
      </c>
      <c r="E1582" t="n">
        <v>8.971369489517477e-05</v>
      </c>
      <c r="F1582" t="n">
        <v>0.9479215290993804</v>
      </c>
      <c r="G1582" t="inlineStr">
        <is>
          <t>B</t>
        </is>
      </c>
      <c r="H1582" t="n">
        <v>60</v>
      </c>
      <c r="I1582" t="n">
        <v>10.22113744</v>
      </c>
      <c r="J1582" t="n">
        <v>613.2682464</v>
      </c>
      <c r="K1582" t="n">
        <v>0.8</v>
      </c>
      <c r="L1582" t="n">
        <v>75</v>
      </c>
      <c r="M1582" t="n">
        <v>3</v>
      </c>
      <c r="N1582" t="n">
        <v>2.4</v>
      </c>
      <c r="O1582" t="n">
        <v>57.6</v>
      </c>
      <c r="P1582" t="n">
        <v>588.737516544</v>
      </c>
      <c r="Q1582" t="n">
        <v>0.96</v>
      </c>
      <c r="R1582" t="inlineStr">
        <is>
          <t>Sobrestock crítico</t>
        </is>
      </c>
    </row>
    <row r="1583">
      <c r="A1583" t="inlineStr">
        <is>
          <t>CUTAG83</t>
        </is>
      </c>
      <c r="B1583" t="inlineStr">
        <is>
          <t>CUADRO TAG</t>
        </is>
      </c>
      <c r="C1583" t="inlineStr">
        <is>
          <t>Equipamiento / Accesorios</t>
        </is>
      </c>
      <c r="D1583" t="n">
        <v>365.515684879</v>
      </c>
      <c r="E1583" t="n">
        <v>8.949014486281165e-05</v>
      </c>
      <c r="F1583" t="n">
        <v>0.9480110192442432</v>
      </c>
      <c r="G1583" t="inlineStr">
        <is>
          <t>B</t>
        </is>
      </c>
      <c r="H1583" t="n">
        <v>242</v>
      </c>
      <c r="I1583" t="n">
        <v>0.8100000000000001</v>
      </c>
      <c r="J1583" t="n">
        <v>196.02</v>
      </c>
      <c r="K1583" t="n">
        <v>3.5</v>
      </c>
      <c r="L1583" t="n">
        <v>69.14285714285714</v>
      </c>
      <c r="M1583" t="n">
        <v>3</v>
      </c>
      <c r="N1583" t="n">
        <v>10.5</v>
      </c>
      <c r="O1583" t="n">
        <v>231.5</v>
      </c>
      <c r="P1583" t="n">
        <v>187.515</v>
      </c>
      <c r="Q1583" t="n">
        <v>0.9566115702479339</v>
      </c>
      <c r="R1583" t="inlineStr">
        <is>
          <t>Sobrestock crítico</t>
        </is>
      </c>
    </row>
    <row r="1584">
      <c r="A1584" t="inlineStr">
        <is>
          <t>MARMIKI30T14</t>
        </is>
      </c>
      <c r="B1584" t="inlineStr">
        <is>
          <t>MAR ORIGINAL KIDS</t>
        </is>
      </c>
      <c r="C1584" t="inlineStr">
        <is>
          <t>Manufactura / Kids / P. Superiores</t>
        </is>
      </c>
      <c r="D1584" t="n">
        <v>363.96815637</v>
      </c>
      <c r="E1584" t="n">
        <v>8.911125947928678e-05</v>
      </c>
      <c r="F1584" t="n">
        <v>0.9481001305037224</v>
      </c>
      <c r="G1584" t="inlineStr">
        <is>
          <t>B</t>
        </is>
      </c>
      <c r="H1584" t="n">
        <v>0</v>
      </c>
      <c r="I1584" t="n">
        <v>3.168013332000001</v>
      </c>
      <c r="J1584" t="n">
        <v>0</v>
      </c>
      <c r="K1584" t="n">
        <v>0.9</v>
      </c>
      <c r="L1584" t="n">
        <v>0</v>
      </c>
      <c r="M1584" t="n">
        <v>3</v>
      </c>
      <c r="N1584" t="n">
        <v>2.7</v>
      </c>
      <c r="O1584" t="n">
        <v>0</v>
      </c>
      <c r="P1584" t="n">
        <v>0</v>
      </c>
      <c r="Q1584" t="n">
        <v>0</v>
      </c>
      <c r="R1584" t="inlineStr">
        <is>
          <t>Riesgo bajo stock</t>
        </is>
      </c>
    </row>
    <row r="1585">
      <c r="A1585" t="inlineStr">
        <is>
          <t>TALGOTADA12TS</t>
        </is>
      </c>
      <c r="B1585" t="inlineStr">
        <is>
          <t>URBAN COTTON TOP VINTAGE GRIS DAMA</t>
        </is>
      </c>
      <c r="C1585" t="inlineStr">
        <is>
          <t>Manufactura / Dama / P. Superiores</t>
        </is>
      </c>
      <c r="D1585" t="n">
        <v>363.16121341</v>
      </c>
      <c r="E1585" t="n">
        <v>8.891369355975494e-05</v>
      </c>
      <c r="F1585" t="n">
        <v>0.9481890441972822</v>
      </c>
      <c r="G1585" t="inlineStr">
        <is>
          <t>B</t>
        </is>
      </c>
      <c r="H1585" t="n">
        <v>19</v>
      </c>
      <c r="I1585" t="n">
        <v>7.819069274</v>
      </c>
      <c r="J1585" t="n">
        <v>148.562316206</v>
      </c>
      <c r="K1585" t="n">
        <v>1.2</v>
      </c>
      <c r="L1585" t="n">
        <v>15.83333333333333</v>
      </c>
      <c r="M1585" t="n">
        <v>3</v>
      </c>
      <c r="N1585" t="n">
        <v>3.6</v>
      </c>
      <c r="O1585" t="n">
        <v>15.4</v>
      </c>
      <c r="P1585" t="n">
        <v>120.4136668196</v>
      </c>
      <c r="Q1585" t="n">
        <v>0.8105263157894738</v>
      </c>
      <c r="R1585" t="inlineStr">
        <is>
          <t>Sobrestock crítico</t>
        </is>
      </c>
    </row>
    <row r="1586">
      <c r="A1586" t="inlineStr">
        <is>
          <t>SHOUNCA170T2XL</t>
        </is>
      </c>
      <c r="B1586" t="inlineStr">
        <is>
          <t>SHORT PLAYA CAB</t>
        </is>
      </c>
      <c r="C1586" t="inlineStr">
        <is>
          <t>Manufactura / Caballero / P. Inferiores</t>
        </is>
      </c>
      <c r="D1586" t="n">
        <v>362.92033808</v>
      </c>
      <c r="E1586" t="n">
        <v>8.885471943342513e-05</v>
      </c>
      <c r="F1586" t="n">
        <v>0.9482778989167158</v>
      </c>
      <c r="G1586" t="inlineStr">
        <is>
          <t>B</t>
        </is>
      </c>
      <c r="H1586" t="n">
        <v>26</v>
      </c>
      <c r="I1586" t="n">
        <v>9.99</v>
      </c>
      <c r="J1586" t="n">
        <v>259.74</v>
      </c>
      <c r="K1586" t="n">
        <v>0.7</v>
      </c>
      <c r="L1586" t="n">
        <v>37.14285714285715</v>
      </c>
      <c r="M1586" t="n">
        <v>3</v>
      </c>
      <c r="N1586" t="n">
        <v>2.1</v>
      </c>
      <c r="O1586" t="n">
        <v>23.9</v>
      </c>
      <c r="P1586" t="n">
        <v>238.761</v>
      </c>
      <c r="Q1586" t="n">
        <v>0.9192307692307692</v>
      </c>
      <c r="R1586" t="inlineStr">
        <is>
          <t>Sobrestock crítico</t>
        </is>
      </c>
    </row>
    <row r="1587">
      <c r="A1587" t="inlineStr">
        <is>
          <t>ACDMIDA121TS</t>
        </is>
      </c>
      <c r="B1587" t="inlineStr">
        <is>
          <t>DANI ACTIVE DAMA</t>
        </is>
      </c>
      <c r="C1587" t="inlineStr">
        <is>
          <t>Manufactura / Dama / P. Superiores</t>
        </is>
      </c>
      <c r="D1587" t="n">
        <v>362.24579266</v>
      </c>
      <c r="E1587" t="n">
        <v>8.868956874400307e-05</v>
      </c>
      <c r="F1587" t="n">
        <v>0.9483665884854597</v>
      </c>
      <c r="G1587" t="inlineStr">
        <is>
          <t>B</t>
        </is>
      </c>
      <c r="H1587" t="n">
        <v>12</v>
      </c>
      <c r="I1587" t="n">
        <v>9.82</v>
      </c>
      <c r="J1587" t="n">
        <v>117.84</v>
      </c>
      <c r="K1587" t="n">
        <v>0.9</v>
      </c>
      <c r="L1587" t="n">
        <v>13.33333333333333</v>
      </c>
      <c r="M1587" t="n">
        <v>3</v>
      </c>
      <c r="N1587" t="n">
        <v>2.7</v>
      </c>
      <c r="O1587" t="n">
        <v>9.300000000000001</v>
      </c>
      <c r="P1587" t="n">
        <v>91.32600000000001</v>
      </c>
      <c r="Q1587" t="n">
        <v>0.775</v>
      </c>
      <c r="R1587" t="inlineStr">
        <is>
          <t>Sobrestock crítico</t>
        </is>
      </c>
    </row>
    <row r="1588">
      <c r="A1588" t="inlineStr">
        <is>
          <t>PANNTKI12T2</t>
        </is>
      </c>
      <c r="B1588" t="inlineStr">
        <is>
          <t>EXPLORE PANTS KIDS</t>
        </is>
      </c>
      <c r="C1588" t="inlineStr">
        <is>
          <t>Manufactura / Kids / P. Inferiores</t>
        </is>
      </c>
      <c r="D1588" t="n">
        <v>362.14727342</v>
      </c>
      <c r="E1588" t="n">
        <v>8.866544802518277e-05</v>
      </c>
      <c r="F1588" t="n">
        <v>0.9484552539334848</v>
      </c>
      <c r="G1588" t="inlineStr">
        <is>
          <t>B</t>
        </is>
      </c>
      <c r="H1588" t="n">
        <v>33</v>
      </c>
      <c r="I1588" t="n">
        <v>13.98</v>
      </c>
      <c r="J1588" t="n">
        <v>461.34</v>
      </c>
      <c r="K1588" t="n">
        <v>0.9</v>
      </c>
      <c r="L1588" t="n">
        <v>36.66666666666666</v>
      </c>
      <c r="M1588" t="n">
        <v>3</v>
      </c>
      <c r="N1588" t="n">
        <v>2.7</v>
      </c>
      <c r="O1588" t="n">
        <v>30.3</v>
      </c>
      <c r="P1588" t="n">
        <v>423.5940000000001</v>
      </c>
      <c r="Q1588" t="n">
        <v>0.9181818181818182</v>
      </c>
      <c r="R1588" t="inlineStr">
        <is>
          <t>Sobrestock crítico</t>
        </is>
      </c>
    </row>
    <row r="1589">
      <c r="A1589" t="inlineStr">
        <is>
          <t>MARMICA43T3XL</t>
        </is>
      </c>
      <c r="B1589" t="inlineStr">
        <is>
          <t>MAR ORIGINAL CAB</t>
        </is>
      </c>
      <c r="C1589" t="inlineStr">
        <is>
          <t>Manufactura / Caballero / P. Superiores</t>
        </is>
      </c>
      <c r="D1589" t="n">
        <v>361.52649563</v>
      </c>
      <c r="E1589" t="n">
        <v>8.851346140284917e-05</v>
      </c>
      <c r="F1589" t="n">
        <v>0.9485437673948877</v>
      </c>
      <c r="G1589" t="inlineStr">
        <is>
          <t>B</t>
        </is>
      </c>
      <c r="H1589" t="n">
        <v>4</v>
      </c>
      <c r="I1589" t="n">
        <v>4.946357428</v>
      </c>
      <c r="J1589" t="n">
        <v>19.785429712</v>
      </c>
      <c r="K1589" t="n">
        <v>0.8</v>
      </c>
      <c r="L1589" t="n">
        <v>5</v>
      </c>
      <c r="M1589" t="n">
        <v>3</v>
      </c>
      <c r="N1589" t="n">
        <v>2.4</v>
      </c>
      <c r="O1589" t="n">
        <v>1.6</v>
      </c>
      <c r="P1589" t="n">
        <v>7.914171884799998</v>
      </c>
      <c r="Q1589" t="n">
        <v>0.3999999999999999</v>
      </c>
      <c r="R1589" t="inlineStr">
        <is>
          <t>Sobrestock crítico</t>
        </is>
      </c>
    </row>
    <row r="1590">
      <c r="A1590" t="inlineStr">
        <is>
          <t>MAYFNDA24TM</t>
        </is>
      </c>
      <c r="B1590" t="inlineStr">
        <is>
          <t>MAYA SPORT LITE DAMA</t>
        </is>
      </c>
      <c r="C1590" t="inlineStr">
        <is>
          <t>Manufactura / Dama / P. Superiores</t>
        </is>
      </c>
      <c r="D1590" t="n">
        <v>361.30634871</v>
      </c>
      <c r="E1590" t="n">
        <v>8.845956226643201e-05</v>
      </c>
      <c r="F1590" t="n">
        <v>0.9486322269571541</v>
      </c>
      <c r="G1590" t="inlineStr">
        <is>
          <t>B</t>
        </is>
      </c>
      <c r="H1590" t="n">
        <v>22</v>
      </c>
      <c r="I1590" t="n">
        <v>3.87</v>
      </c>
      <c r="J1590" t="n">
        <v>85.14</v>
      </c>
      <c r="K1590" t="n">
        <v>2.8</v>
      </c>
      <c r="L1590" t="n">
        <v>7.857142857142858</v>
      </c>
      <c r="M1590" t="n">
        <v>3</v>
      </c>
      <c r="N1590" t="n">
        <v>8.399999999999999</v>
      </c>
      <c r="O1590" t="n">
        <v>13.6</v>
      </c>
      <c r="P1590" t="n">
        <v>52.63200000000001</v>
      </c>
      <c r="Q1590" t="n">
        <v>0.6181818181818183</v>
      </c>
      <c r="R1590" t="inlineStr">
        <is>
          <t>Sobrestock crítico</t>
        </is>
      </c>
    </row>
    <row r="1591">
      <c r="A1591" t="inlineStr">
        <is>
          <t>CLAMICA66T2XL</t>
        </is>
      </c>
      <c r="B1591" t="inlineStr">
        <is>
          <t>CLASICA ORIGINAL CAB</t>
        </is>
      </c>
      <c r="C1591" t="inlineStr">
        <is>
          <t>Manufactura / Caballero / P. Superiores</t>
        </is>
      </c>
      <c r="D1591" t="n">
        <v>361.10834773</v>
      </c>
      <c r="E1591" t="n">
        <v>8.841108517744185e-05</v>
      </c>
      <c r="F1591" t="n">
        <v>0.9487206380423316</v>
      </c>
      <c r="G1591" t="inlineStr">
        <is>
          <t>B</t>
        </is>
      </c>
      <c r="H1591" t="n">
        <v>11</v>
      </c>
      <c r="I1591" t="n">
        <v>4.598442536</v>
      </c>
      <c r="J1591" t="n">
        <v>50.582867896</v>
      </c>
      <c r="K1591" t="n">
        <v>0.9</v>
      </c>
      <c r="L1591" t="n">
        <v>12.22222222222222</v>
      </c>
      <c r="M1591" t="n">
        <v>3</v>
      </c>
      <c r="N1591" t="n">
        <v>2.7</v>
      </c>
      <c r="O1591" t="n">
        <v>8.300000000000001</v>
      </c>
      <c r="P1591" t="n">
        <v>38.16707304880001</v>
      </c>
      <c r="Q1591" t="n">
        <v>0.7545454545454546</v>
      </c>
      <c r="R1591" t="inlineStr">
        <is>
          <t>Sobrestock crítico</t>
        </is>
      </c>
    </row>
    <row r="1592">
      <c r="A1592" t="inlineStr">
        <is>
          <t>SABMEDA30TS</t>
        </is>
      </c>
      <c r="B1592" t="inlineStr">
        <is>
          <t>SABRI SPORT DAMA</t>
        </is>
      </c>
      <c r="C1592" t="inlineStr">
        <is>
          <t>Manufactura / Dama / P. Superiores</t>
        </is>
      </c>
      <c r="D1592" t="n">
        <v>360.46972551</v>
      </c>
      <c r="E1592" t="n">
        <v>8.825472965743365e-05</v>
      </c>
      <c r="F1592" t="n">
        <v>0.948808892771989</v>
      </c>
      <c r="G1592" t="inlineStr">
        <is>
          <t>B</t>
        </is>
      </c>
      <c r="H1592" t="n">
        <v>45</v>
      </c>
      <c r="I1592" t="n">
        <v>4.51</v>
      </c>
      <c r="J1592" t="n">
        <v>202.95</v>
      </c>
      <c r="K1592" t="n">
        <v>1.1</v>
      </c>
      <c r="L1592" t="n">
        <v>40.90909090909091</v>
      </c>
      <c r="M1592" t="n">
        <v>3</v>
      </c>
      <c r="N1592" t="n">
        <v>3.3</v>
      </c>
      <c r="O1592" t="n">
        <v>41.7</v>
      </c>
      <c r="P1592" t="n">
        <v>188.067</v>
      </c>
      <c r="Q1592" t="n">
        <v>0.9266666666666667</v>
      </c>
      <c r="R1592" t="inlineStr">
        <is>
          <t>Sobrestock crítico</t>
        </is>
      </c>
    </row>
    <row r="1593">
      <c r="A1593" t="inlineStr">
        <is>
          <t>SHOUNKI13T6</t>
        </is>
      </c>
      <c r="B1593" t="inlineStr">
        <is>
          <t>SHORT PLAYA KIDS</t>
        </is>
      </c>
      <c r="C1593" t="inlineStr">
        <is>
          <t>Manufactura / Kids / P. Inferiores</t>
        </is>
      </c>
      <c r="D1593" t="n">
        <v>360.33750324</v>
      </c>
      <c r="E1593" t="n">
        <v>8.822235733912861e-05</v>
      </c>
      <c r="F1593" t="n">
        <v>0.9488971151293282</v>
      </c>
      <c r="G1593" t="inlineStr">
        <is>
          <t>B</t>
        </is>
      </c>
      <c r="H1593" t="n">
        <v>12</v>
      </c>
      <c r="I1593" t="n">
        <v>6.09</v>
      </c>
      <c r="J1593" t="n">
        <v>73.08</v>
      </c>
      <c r="K1593" t="n">
        <v>0.9</v>
      </c>
      <c r="L1593" t="n">
        <v>13.33333333333333</v>
      </c>
      <c r="M1593" t="n">
        <v>3</v>
      </c>
      <c r="N1593" t="n">
        <v>2.7</v>
      </c>
      <c r="O1593" t="n">
        <v>9.300000000000001</v>
      </c>
      <c r="P1593" t="n">
        <v>56.637</v>
      </c>
      <c r="Q1593" t="n">
        <v>0.775</v>
      </c>
      <c r="R1593" t="inlineStr">
        <is>
          <t>Sobrestock crítico</t>
        </is>
      </c>
    </row>
    <row r="1594">
      <c r="A1594" t="inlineStr">
        <is>
          <t>SHONTDA66TXL</t>
        </is>
      </c>
      <c r="B1594" t="inlineStr">
        <is>
          <t>EXPLORE SHORT DAMA</t>
        </is>
      </c>
      <c r="C1594" t="inlineStr">
        <is>
          <t>Manufactura / Dama / P. Inferiores</t>
        </is>
      </c>
      <c r="D1594" t="n">
        <v>360.0154546</v>
      </c>
      <c r="E1594" t="n">
        <v>8.814350934261646e-05</v>
      </c>
      <c r="F1594" t="n">
        <v>0.9489852586386707</v>
      </c>
      <c r="G1594" t="inlineStr">
        <is>
          <t>B</t>
        </is>
      </c>
      <c r="H1594" t="n">
        <v>27</v>
      </c>
      <c r="I1594" t="n">
        <v>10.22113744</v>
      </c>
      <c r="J1594" t="n">
        <v>275.97071088</v>
      </c>
      <c r="K1594" t="n">
        <v>0.6</v>
      </c>
      <c r="L1594" t="n">
        <v>45</v>
      </c>
      <c r="M1594" t="n">
        <v>3</v>
      </c>
      <c r="N1594" t="n">
        <v>1.8</v>
      </c>
      <c r="O1594" t="n">
        <v>25.2</v>
      </c>
      <c r="P1594" t="n">
        <v>257.572663488</v>
      </c>
      <c r="Q1594" t="n">
        <v>0.9333333333333332</v>
      </c>
      <c r="R1594" t="inlineStr">
        <is>
          <t>Sobrestock crítico</t>
        </is>
      </c>
    </row>
    <row r="1595">
      <c r="A1595" t="inlineStr">
        <is>
          <t>RIOMICA04TXL</t>
        </is>
      </c>
      <c r="B1595" t="inlineStr">
        <is>
          <t>RIO ORIGINAL CAB</t>
        </is>
      </c>
      <c r="C1595" t="inlineStr">
        <is>
          <t>Manufactura / Caballero / P. Superiores</t>
        </is>
      </c>
      <c r="D1595" t="n">
        <v>359.95023508</v>
      </c>
      <c r="E1595" t="n">
        <v>8.812754147985671e-05</v>
      </c>
      <c r="F1595" t="n">
        <v>0.9490733861801506</v>
      </c>
      <c r="G1595" t="inlineStr">
        <is>
          <t>B</t>
        </is>
      </c>
      <c r="H1595" t="n">
        <v>17</v>
      </c>
      <c r="I1595" t="n">
        <v>5.939350288</v>
      </c>
      <c r="J1595" t="n">
        <v>100.968954896</v>
      </c>
      <c r="K1595" t="n">
        <v>0.6</v>
      </c>
      <c r="L1595" t="n">
        <v>28.33333333333334</v>
      </c>
      <c r="M1595" t="n">
        <v>3</v>
      </c>
      <c r="N1595" t="n">
        <v>1.8</v>
      </c>
      <c r="O1595" t="n">
        <v>15.2</v>
      </c>
      <c r="P1595" t="n">
        <v>90.27812437759999</v>
      </c>
      <c r="Q1595" t="n">
        <v>0.8941176470588235</v>
      </c>
      <c r="R1595" t="inlineStr">
        <is>
          <t>Sobrestock crítico</t>
        </is>
      </c>
    </row>
    <row r="1596">
      <c r="A1596" t="inlineStr">
        <is>
          <t>SARSPDA12TXL</t>
        </is>
      </c>
      <c r="B1596" t="inlineStr">
        <is>
          <t>FALDA SARA DAMA</t>
        </is>
      </c>
      <c r="C1596" t="inlineStr">
        <is>
          <t>Manufactura / Dama / P. Inferiores</t>
        </is>
      </c>
      <c r="D1596" t="n">
        <v>359.80246023</v>
      </c>
      <c r="E1596" t="n">
        <v>8.809136138340488e-05</v>
      </c>
      <c r="F1596" t="n">
        <v>0.9491614775415339</v>
      </c>
      <c r="G1596" t="inlineStr">
        <is>
          <t>B</t>
        </is>
      </c>
      <c r="H1596" t="n">
        <v>4</v>
      </c>
      <c r="I1596" t="n">
        <v>9.500113852</v>
      </c>
      <c r="J1596" t="n">
        <v>38.000455408</v>
      </c>
      <c r="K1596" t="n">
        <v>0.8</v>
      </c>
      <c r="L1596" t="n">
        <v>5</v>
      </c>
      <c r="M1596" t="n">
        <v>3</v>
      </c>
      <c r="N1596" t="n">
        <v>2.4</v>
      </c>
      <c r="O1596" t="n">
        <v>1.6</v>
      </c>
      <c r="P1596" t="n">
        <v>15.2001821632</v>
      </c>
      <c r="Q1596" t="n">
        <v>0.3999999999999999</v>
      </c>
      <c r="R1596" t="inlineStr">
        <is>
          <t>Sobrestock crítico</t>
        </is>
      </c>
    </row>
    <row r="1597">
      <c r="A1597" t="inlineStr">
        <is>
          <t>ADUMMCA16TXL</t>
        </is>
      </c>
      <c r="B1597" t="inlineStr">
        <is>
          <t>ACTIVE DUO CAB</t>
        </is>
      </c>
      <c r="C1597" t="inlineStr">
        <is>
          <t>Manufactura / Caballero / P. Superiores</t>
        </is>
      </c>
      <c r="D1597" t="n">
        <v>359.59554445</v>
      </c>
      <c r="E1597" t="n">
        <v>8.804070166101094e-05</v>
      </c>
      <c r="F1597" t="n">
        <v>0.9492495182431949</v>
      </c>
      <c r="G1597" t="inlineStr">
        <is>
          <t>B</t>
        </is>
      </c>
      <c r="H1597" t="n">
        <v>24</v>
      </c>
      <c r="I1597" t="n">
        <v>5.09</v>
      </c>
      <c r="J1597" t="n">
        <v>122.16</v>
      </c>
      <c r="K1597" t="n">
        <v>1.1</v>
      </c>
      <c r="L1597" t="n">
        <v>21.81818181818182</v>
      </c>
      <c r="M1597" t="n">
        <v>3</v>
      </c>
      <c r="N1597" t="n">
        <v>3.3</v>
      </c>
      <c r="O1597" t="n">
        <v>20.7</v>
      </c>
      <c r="P1597" t="n">
        <v>105.363</v>
      </c>
      <c r="Q1597" t="n">
        <v>0.8625</v>
      </c>
      <c r="R1597" t="inlineStr">
        <is>
          <t>Sobrestock crítico</t>
        </is>
      </c>
    </row>
    <row r="1598">
      <c r="A1598" t="inlineStr">
        <is>
          <t>MARMIKI13T14</t>
        </is>
      </c>
      <c r="B1598" t="inlineStr">
        <is>
          <t>MAR ORIGINAL KIDS</t>
        </is>
      </c>
      <c r="C1598" t="inlineStr">
        <is>
          <t>Manufactura / Kids / P. Superiores</t>
        </is>
      </c>
      <c r="D1598" t="n">
        <v>359.55906454</v>
      </c>
      <c r="E1598" t="n">
        <v>8.803177019085648e-05</v>
      </c>
      <c r="F1598" t="n">
        <v>0.9493375500133858</v>
      </c>
      <c r="G1598" t="inlineStr">
        <is>
          <t>B</t>
        </is>
      </c>
      <c r="H1598" t="n">
        <v>38</v>
      </c>
      <c r="I1598" t="n">
        <v>3.168013332000001</v>
      </c>
      <c r="J1598" t="n">
        <v>120.384506616</v>
      </c>
      <c r="K1598" t="n">
        <v>0.9</v>
      </c>
      <c r="L1598" t="n">
        <v>42.22222222222222</v>
      </c>
      <c r="M1598" t="n">
        <v>3</v>
      </c>
      <c r="N1598" t="n">
        <v>2.7</v>
      </c>
      <c r="O1598" t="n">
        <v>35.3</v>
      </c>
      <c r="P1598" t="n">
        <v>111.8308706196</v>
      </c>
      <c r="Q1598" t="n">
        <v>0.9289473684210525</v>
      </c>
      <c r="R1598" t="inlineStr">
        <is>
          <t>Sobrestock crítico</t>
        </is>
      </c>
    </row>
    <row r="1599">
      <c r="A1599" t="inlineStr">
        <is>
          <t>HELBFDA205TM</t>
        </is>
      </c>
      <c r="B1599" t="inlineStr">
        <is>
          <t>HELEN BIO MOVE DAMA</t>
        </is>
      </c>
      <c r="C1599" t="inlineStr">
        <is>
          <t>Manufactura / Dama / P. Superiores</t>
        </is>
      </c>
      <c r="D1599" t="n">
        <v>358.55237481</v>
      </c>
      <c r="E1599" t="n">
        <v>8.77852997560804e-05</v>
      </c>
      <c r="F1599" t="n">
        <v>0.9494253353131419</v>
      </c>
      <c r="G1599" t="inlineStr">
        <is>
          <t>B</t>
        </is>
      </c>
      <c r="H1599" t="n">
        <v>30</v>
      </c>
      <c r="I1599" t="n">
        <v>7.34081746</v>
      </c>
      <c r="J1599" t="n">
        <v>220.2245238</v>
      </c>
      <c r="K1599" t="n">
        <v>0.6</v>
      </c>
      <c r="L1599" t="n">
        <v>50</v>
      </c>
      <c r="M1599" t="n">
        <v>3</v>
      </c>
      <c r="N1599" t="n">
        <v>1.8</v>
      </c>
      <c r="O1599" t="n">
        <v>28.2</v>
      </c>
      <c r="P1599" t="n">
        <v>207.011052372</v>
      </c>
      <c r="Q1599" t="n">
        <v>0.9399999999999999</v>
      </c>
      <c r="R1599" t="inlineStr">
        <is>
          <t>Sobrestock crítico</t>
        </is>
      </c>
    </row>
    <row r="1600">
      <c r="A1600" t="inlineStr">
        <is>
          <t>ANDMIDA53TXL</t>
        </is>
      </c>
      <c r="B1600" t="inlineStr">
        <is>
          <t>ANDRE ORIGINAL DAMA</t>
        </is>
      </c>
      <c r="C1600" t="inlineStr">
        <is>
          <t>Manufactura / Dama / P. Superiores</t>
        </is>
      </c>
      <c r="D1600" t="n">
        <v>357.68192205</v>
      </c>
      <c r="E1600" t="n">
        <v>8.757218456893209e-05</v>
      </c>
      <c r="F1600" t="n">
        <v>0.9495129074977109</v>
      </c>
      <c r="G1600" t="inlineStr">
        <is>
          <t>B</t>
        </is>
      </c>
      <c r="H1600" t="n">
        <v>14</v>
      </c>
      <c r="I1600" t="n">
        <v>3.274295302</v>
      </c>
      <c r="J1600" t="n">
        <v>45.840134228</v>
      </c>
      <c r="K1600" t="n">
        <v>1</v>
      </c>
      <c r="L1600" t="n">
        <v>14</v>
      </c>
      <c r="M1600" t="n">
        <v>3</v>
      </c>
      <c r="N1600" t="n">
        <v>3</v>
      </c>
      <c r="O1600" t="n">
        <v>11</v>
      </c>
      <c r="P1600" t="n">
        <v>36.017248322</v>
      </c>
      <c r="Q1600" t="n">
        <v>0.7857142857142857</v>
      </c>
      <c r="R1600" t="inlineStr">
        <is>
          <t>Sobrestock crítico</t>
        </is>
      </c>
    </row>
    <row r="1601">
      <c r="A1601" t="inlineStr">
        <is>
          <t>SHOUNKI33T4</t>
        </is>
      </c>
      <c r="B1601" t="inlineStr">
        <is>
          <t>SHORT PLAYA KIDS</t>
        </is>
      </c>
      <c r="C1601" t="inlineStr">
        <is>
          <t>Manufactura / Kids / P. Inferiores</t>
        </is>
      </c>
      <c r="D1601" t="n">
        <v>356.40759454</v>
      </c>
      <c r="E1601" t="n">
        <v>8.726018768838694e-05</v>
      </c>
      <c r="F1601" t="n">
        <v>0.9496001676853993</v>
      </c>
      <c r="G1601" t="inlineStr">
        <is>
          <t>B</t>
        </is>
      </c>
      <c r="H1601" t="n">
        <v>19</v>
      </c>
      <c r="I1601" t="n">
        <v>6.09</v>
      </c>
      <c r="J1601" t="n">
        <v>115.71</v>
      </c>
      <c r="K1601" t="n">
        <v>1</v>
      </c>
      <c r="L1601" t="n">
        <v>19</v>
      </c>
      <c r="M1601" t="n">
        <v>3</v>
      </c>
      <c r="N1601" t="n">
        <v>3</v>
      </c>
      <c r="O1601" t="n">
        <v>16</v>
      </c>
      <c r="P1601" t="n">
        <v>97.44</v>
      </c>
      <c r="Q1601" t="n">
        <v>0.8421052631578948</v>
      </c>
      <c r="R1601" t="inlineStr">
        <is>
          <t>Sobrestock crítico</t>
        </is>
      </c>
    </row>
    <row r="1602">
      <c r="A1602" t="inlineStr">
        <is>
          <t>NAHFNCA16TXL</t>
        </is>
      </c>
      <c r="B1602" t="inlineStr">
        <is>
          <t>NOAH SPORT LITE CAB</t>
        </is>
      </c>
      <c r="C1602" t="inlineStr">
        <is>
          <t>Manufactura / Caballero / P. Superiores</t>
        </is>
      </c>
      <c r="D1602" t="n">
        <v>355.88454348</v>
      </c>
      <c r="E1602" t="n">
        <v>8.71321277526128e-05</v>
      </c>
      <c r="F1602" t="n">
        <v>0.9496872998131519</v>
      </c>
      <c r="G1602" t="inlineStr">
        <is>
          <t>B</t>
        </is>
      </c>
      <c r="H1602" t="n">
        <v>8</v>
      </c>
      <c r="I1602" t="n">
        <v>17.61141534</v>
      </c>
      <c r="J1602" t="n">
        <v>140.89132272</v>
      </c>
      <c r="K1602" t="n">
        <v>1.4</v>
      </c>
      <c r="L1602" t="n">
        <v>5.714285714285714</v>
      </c>
      <c r="M1602" t="n">
        <v>3</v>
      </c>
      <c r="N1602" t="n">
        <v>4.199999999999999</v>
      </c>
      <c r="O1602" t="n">
        <v>3.800000000000001</v>
      </c>
      <c r="P1602" t="n">
        <v>66.92337829200001</v>
      </c>
      <c r="Q1602" t="n">
        <v>0.475</v>
      </c>
      <c r="R1602" t="inlineStr">
        <is>
          <t>Sobrestock crítico</t>
        </is>
      </c>
    </row>
    <row r="1603">
      <c r="A1603" t="inlineStr">
        <is>
          <t>ANDMIDA53TL</t>
        </is>
      </c>
      <c r="B1603" t="inlineStr">
        <is>
          <t>ANDRE ORIGINAL DAMA</t>
        </is>
      </c>
      <c r="C1603" t="inlineStr">
        <is>
          <t>Manufactura / Dama / P. Superiores</t>
        </is>
      </c>
      <c r="D1603" t="n">
        <v>355.60762188</v>
      </c>
      <c r="E1603" t="n">
        <v>8.706432832532463e-05</v>
      </c>
      <c r="F1603" t="n">
        <v>0.9497743641414772</v>
      </c>
      <c r="G1603" t="inlineStr">
        <is>
          <t>B</t>
        </is>
      </c>
      <c r="H1603" t="n">
        <v>7</v>
      </c>
      <c r="I1603" t="n">
        <v>3.274295302</v>
      </c>
      <c r="J1603" t="n">
        <v>22.920067114</v>
      </c>
      <c r="K1603" t="n">
        <v>1.1</v>
      </c>
      <c r="L1603" t="n">
        <v>6.363636363636363</v>
      </c>
      <c r="M1603" t="n">
        <v>3</v>
      </c>
      <c r="N1603" t="n">
        <v>3.3</v>
      </c>
      <c r="O1603" t="n">
        <v>3.7</v>
      </c>
      <c r="P1603" t="n">
        <v>12.1148926174</v>
      </c>
      <c r="Q1603" t="n">
        <v>0.5285714285714285</v>
      </c>
      <c r="R1603" t="inlineStr">
        <is>
          <t>Sobrestock crítico</t>
        </is>
      </c>
    </row>
    <row r="1604">
      <c r="A1604" t="inlineStr">
        <is>
          <t>ZOEMIKI53T12</t>
        </is>
      </c>
      <c r="B1604" t="inlineStr">
        <is>
          <t>ZOE ORIGINAL KIDS</t>
        </is>
      </c>
      <c r="C1604" t="inlineStr">
        <is>
          <t>Manufactura / Kids / P. Superiores</t>
        </is>
      </c>
      <c r="D1604" t="n">
        <v>355.52673828</v>
      </c>
      <c r="E1604" t="n">
        <v>8.704452538558644e-05</v>
      </c>
      <c r="F1604" t="n">
        <v>0.9498614086668627</v>
      </c>
      <c r="G1604" t="inlineStr">
        <is>
          <t>B</t>
        </is>
      </c>
      <c r="H1604" t="n">
        <v>3</v>
      </c>
      <c r="I1604" t="n">
        <v>4.12</v>
      </c>
      <c r="J1604" t="n">
        <v>12.36</v>
      </c>
      <c r="K1604" t="n">
        <v>1.1</v>
      </c>
      <c r="L1604" t="n">
        <v>2.727272727272727</v>
      </c>
      <c r="M1604" t="n">
        <v>3</v>
      </c>
      <c r="N1604" t="n">
        <v>3.3</v>
      </c>
      <c r="O1604" t="n">
        <v>0</v>
      </c>
      <c r="P1604" t="n">
        <v>0</v>
      </c>
      <c r="Q1604" t="n">
        <v>0</v>
      </c>
      <c r="R1604" t="inlineStr">
        <is>
          <t>OK</t>
        </is>
      </c>
    </row>
    <row r="1605">
      <c r="A1605" t="inlineStr">
        <is>
          <t>CLAMIDA30TXL</t>
        </is>
      </c>
      <c r="B1605" t="inlineStr">
        <is>
          <t>CLASICA ORIGINAL DAMA</t>
        </is>
      </c>
      <c r="C1605" t="inlineStr">
        <is>
          <t>Manufactura / Dama / P. Superiores</t>
        </is>
      </c>
      <c r="D1605" t="n">
        <v>355.49985791</v>
      </c>
      <c r="E1605" t="n">
        <v>8.70379441954904e-05</v>
      </c>
      <c r="F1605" t="n">
        <v>0.9499484466110583</v>
      </c>
      <c r="G1605" t="inlineStr">
        <is>
          <t>B</t>
        </is>
      </c>
      <c r="H1605" t="n">
        <v>26</v>
      </c>
      <c r="I1605" t="n">
        <v>3.923227589000001</v>
      </c>
      <c r="J1605" t="n">
        <v>102.003917314</v>
      </c>
      <c r="K1605" t="n">
        <v>0.9</v>
      </c>
      <c r="L1605" t="n">
        <v>28.88888888888889</v>
      </c>
      <c r="M1605" t="n">
        <v>3</v>
      </c>
      <c r="N1605" t="n">
        <v>2.7</v>
      </c>
      <c r="O1605" t="n">
        <v>23.3</v>
      </c>
      <c r="P1605" t="n">
        <v>91.41120282370002</v>
      </c>
      <c r="Q1605" t="n">
        <v>0.8961538461538462</v>
      </c>
      <c r="R1605" t="inlineStr">
        <is>
          <t>Sobrestock crítico</t>
        </is>
      </c>
    </row>
    <row r="1606">
      <c r="A1606" t="inlineStr">
        <is>
          <t>CCBHMDA151TS</t>
        </is>
      </c>
      <c r="B1606" t="inlineStr">
        <is>
          <t>CLUB CLASICA DAMA</t>
        </is>
      </c>
      <c r="C1606" t="inlineStr">
        <is>
          <t>Manufactura / Dama / P. Superiores</t>
        </is>
      </c>
      <c r="D1606" t="n">
        <v>355</v>
      </c>
      <c r="E1606" t="n">
        <v>8.691556269825991e-05</v>
      </c>
      <c r="F1606" t="n">
        <v>0.9500353621737565</v>
      </c>
      <c r="G1606" t="inlineStr">
        <is>
          <t>C</t>
        </is>
      </c>
      <c r="H1606" t="n">
        <v>9</v>
      </c>
      <c r="I1606" t="n">
        <v>1</v>
      </c>
      <c r="J1606" t="n">
        <v>9</v>
      </c>
      <c r="K1606" t="n">
        <v>0.9</v>
      </c>
      <c r="L1606" t="n">
        <v>10</v>
      </c>
      <c r="M1606" t="n">
        <v>4</v>
      </c>
      <c r="N1606" t="n">
        <v>3.6</v>
      </c>
      <c r="O1606" t="n">
        <v>5.4</v>
      </c>
      <c r="P1606" t="n">
        <v>5.4</v>
      </c>
      <c r="Q1606" t="n">
        <v>0.6000000000000001</v>
      </c>
      <c r="R1606" t="inlineStr">
        <is>
          <t>Sobrestock crítico</t>
        </is>
      </c>
    </row>
    <row r="1607">
      <c r="A1607" t="inlineStr">
        <is>
          <t>CLMSUCA152TM</t>
        </is>
      </c>
      <c r="B1607" t="inlineStr">
        <is>
          <t>CLASICA MOTION CAB</t>
        </is>
      </c>
      <c r="C1607" t="inlineStr">
        <is>
          <t>Manufactura / Caballero / P. Superiores</t>
        </is>
      </c>
      <c r="D1607" t="n">
        <v>354.96266484</v>
      </c>
      <c r="E1607" t="n">
        <v>8.690642183504912e-05</v>
      </c>
      <c r="F1607" t="n">
        <v>0.9501222685955915</v>
      </c>
      <c r="G1607" t="inlineStr">
        <is>
          <t>C</t>
        </is>
      </c>
      <c r="H1607" t="n">
        <v>0</v>
      </c>
      <c r="I1607" t="n">
        <v>12.26</v>
      </c>
      <c r="J1607" t="n">
        <v>0</v>
      </c>
      <c r="K1607" t="n">
        <v>0.9</v>
      </c>
      <c r="L1607" t="n">
        <v>0</v>
      </c>
      <c r="M1607" t="n">
        <v>4</v>
      </c>
      <c r="N1607" t="n">
        <v>3.6</v>
      </c>
      <c r="O1607" t="n">
        <v>0</v>
      </c>
      <c r="P1607" t="n">
        <v>0</v>
      </c>
      <c r="Q1607" t="n">
        <v>0</v>
      </c>
      <c r="R1607" t="inlineStr">
        <is>
          <t>Sin rotación</t>
        </is>
      </c>
    </row>
    <row r="1608">
      <c r="A1608" t="inlineStr">
        <is>
          <t>DOMBFCA16TXL</t>
        </is>
      </c>
      <c r="B1608" t="inlineStr">
        <is>
          <t>DOMINIC BIO MOVE CAB</t>
        </is>
      </c>
      <c r="C1608" t="inlineStr">
        <is>
          <t>Manufactura / Caballero / P. Superiores</t>
        </is>
      </c>
      <c r="D1608" t="n">
        <v>353.48604724</v>
      </c>
      <c r="E1608" t="n">
        <v>8.654489775168531e-05</v>
      </c>
      <c r="F1608" t="n">
        <v>0.9502088134933432</v>
      </c>
      <c r="G1608" t="inlineStr">
        <is>
          <t>C</t>
        </is>
      </c>
      <c r="H1608" t="n">
        <v>32</v>
      </c>
      <c r="I1608" t="n">
        <v>13.86</v>
      </c>
      <c r="J1608" t="n">
        <v>443.52</v>
      </c>
      <c r="K1608" t="n">
        <v>0.7</v>
      </c>
      <c r="L1608" t="n">
        <v>45.71428571428572</v>
      </c>
      <c r="M1608" t="n">
        <v>4</v>
      </c>
      <c r="N1608" t="n">
        <v>2.8</v>
      </c>
      <c r="O1608" t="n">
        <v>29.2</v>
      </c>
      <c r="P1608" t="n">
        <v>404.712</v>
      </c>
      <c r="Q1608" t="n">
        <v>0.9125</v>
      </c>
      <c r="R1608" t="inlineStr">
        <is>
          <t>Sobrestock crítico</t>
        </is>
      </c>
    </row>
    <row r="1609">
      <c r="A1609" t="inlineStr">
        <is>
          <t>RIOMIKI53T10</t>
        </is>
      </c>
      <c r="B1609" t="inlineStr">
        <is>
          <t>RIO ORIGINAL KIDS</t>
        </is>
      </c>
      <c r="C1609" t="inlineStr">
        <is>
          <t>Manufactura / Kids / P. Superiores</t>
        </is>
      </c>
      <c r="D1609" t="n">
        <v>353.41485699</v>
      </c>
      <c r="E1609" t="n">
        <v>8.652746805974902e-05</v>
      </c>
      <c r="F1609" t="n">
        <v>0.950295340961403</v>
      </c>
      <c r="G1609" t="inlineStr">
        <is>
          <t>C</t>
        </is>
      </c>
      <c r="H1609" t="n">
        <v>0</v>
      </c>
      <c r="I1609" t="n">
        <v>3.617969464</v>
      </c>
      <c r="J1609" t="n">
        <v>0</v>
      </c>
      <c r="K1609" t="n">
        <v>0.8</v>
      </c>
      <c r="L1609" t="n">
        <v>0</v>
      </c>
      <c r="M1609" t="n">
        <v>4</v>
      </c>
      <c r="N1609" t="n">
        <v>3.2</v>
      </c>
      <c r="O1609" t="n">
        <v>0</v>
      </c>
      <c r="P1609" t="n">
        <v>0</v>
      </c>
      <c r="Q1609" t="n">
        <v>0</v>
      </c>
      <c r="R1609" t="inlineStr">
        <is>
          <t>Riesgo bajo stock</t>
        </is>
      </c>
    </row>
    <row r="1610">
      <c r="A1610" t="inlineStr">
        <is>
          <t>MAFMIDA70TXL</t>
        </is>
      </c>
      <c r="B1610" t="inlineStr">
        <is>
          <t>MAFE ORIGINAL DAMA</t>
        </is>
      </c>
      <c r="C1610" t="inlineStr">
        <is>
          <t>Manufactura / Dama / P. Superiores</t>
        </is>
      </c>
      <c r="D1610" t="n">
        <v>353.12305192</v>
      </c>
      <c r="E1610" t="n">
        <v>8.645602467423564e-05</v>
      </c>
      <c r="F1610" t="n">
        <v>0.9503817969860773</v>
      </c>
      <c r="G1610" t="inlineStr">
        <is>
          <t>C</t>
        </is>
      </c>
      <c r="H1610" t="n">
        <v>14</v>
      </c>
      <c r="I1610" t="n">
        <v>4.54817671</v>
      </c>
      <c r="J1610" t="n">
        <v>63.67447394</v>
      </c>
      <c r="K1610" t="n">
        <v>1.1</v>
      </c>
      <c r="L1610" t="n">
        <v>12.72727272727273</v>
      </c>
      <c r="M1610" t="n">
        <v>4</v>
      </c>
      <c r="N1610" t="n">
        <v>4.4</v>
      </c>
      <c r="O1610" t="n">
        <v>9.6</v>
      </c>
      <c r="P1610" t="n">
        <v>43.662496416</v>
      </c>
      <c r="Q1610" t="n">
        <v>0.6857142857142857</v>
      </c>
      <c r="R1610" t="inlineStr">
        <is>
          <t>Sobrestock crítico</t>
        </is>
      </c>
    </row>
    <row r="1611">
      <c r="A1611" t="inlineStr">
        <is>
          <t>DALSSTDA43TM</t>
        </is>
      </c>
      <c r="B1611" t="inlineStr">
        <is>
          <t>MANGA LARGA DAILY 2.0 DAMA</t>
        </is>
      </c>
      <c r="C1611" t="inlineStr">
        <is>
          <t>Manufactura / Dama / P. Superiores</t>
        </is>
      </c>
      <c r="D1611" t="n">
        <v>350.52543815</v>
      </c>
      <c r="E1611" t="n">
        <v>8.582004421651085e-05</v>
      </c>
      <c r="F1611" t="n">
        <v>0.9504676170302937</v>
      </c>
      <c r="G1611" t="inlineStr">
        <is>
          <t>C</t>
        </is>
      </c>
      <c r="H1611" t="n">
        <v>3</v>
      </c>
      <c r="I1611" t="n">
        <v>12.3</v>
      </c>
      <c r="J1611" t="n">
        <v>36.90000000000001</v>
      </c>
      <c r="K1611" t="n">
        <v>0.6</v>
      </c>
      <c r="L1611" t="n">
        <v>5</v>
      </c>
      <c r="M1611" t="n">
        <v>4</v>
      </c>
      <c r="N1611" t="n">
        <v>2.4</v>
      </c>
      <c r="O1611" t="n">
        <v>0.6000000000000001</v>
      </c>
      <c r="P1611" t="n">
        <v>7.380000000000002</v>
      </c>
      <c r="Q1611" t="n">
        <v>0.2</v>
      </c>
      <c r="R1611" t="inlineStr">
        <is>
          <t>Sobrestock</t>
        </is>
      </c>
    </row>
    <row r="1612">
      <c r="A1612" t="inlineStr">
        <is>
          <t>SHONTCA30TM</t>
        </is>
      </c>
      <c r="B1612" t="inlineStr">
        <is>
          <t>EXPLORE SHORT CAB</t>
        </is>
      </c>
      <c r="C1612" t="inlineStr">
        <is>
          <t>Manufactura / Caballero / P. Inferiores</t>
        </is>
      </c>
      <c r="D1612" t="n">
        <v>349.88656119</v>
      </c>
      <c r="E1612" t="n">
        <v>8.566362632785352e-05</v>
      </c>
      <c r="F1612" t="n">
        <v>0.9505532806566215</v>
      </c>
      <c r="G1612" t="inlineStr">
        <is>
          <t>C</t>
        </is>
      </c>
      <c r="H1612" t="n">
        <v>0</v>
      </c>
      <c r="I1612" t="n">
        <v>11.17</v>
      </c>
      <c r="J1612" t="n">
        <v>0</v>
      </c>
      <c r="K1612" t="n">
        <v>0.7</v>
      </c>
      <c r="L1612" t="n">
        <v>0</v>
      </c>
      <c r="M1612" t="n">
        <v>4</v>
      </c>
      <c r="N1612" t="n">
        <v>2.8</v>
      </c>
      <c r="O1612" t="n">
        <v>0</v>
      </c>
      <c r="P1612" t="n">
        <v>0</v>
      </c>
      <c r="Q1612" t="n">
        <v>0</v>
      </c>
      <c r="R1612" t="inlineStr">
        <is>
          <t>Riesgo bajo stock</t>
        </is>
      </c>
    </row>
    <row r="1613">
      <c r="A1613" t="inlineStr">
        <is>
          <t>TALGTADA170TS</t>
        </is>
      </c>
      <c r="B1613" t="inlineStr">
        <is>
          <t>URBAN COTTON TOP GRAY BLOCK DAMA</t>
        </is>
      </c>
      <c r="C1613" t="inlineStr">
        <is>
          <t>Manufactura / Dama / P. Superiores</t>
        </is>
      </c>
      <c r="D1613" t="n">
        <v>348.80291463</v>
      </c>
      <c r="E1613" t="n">
        <v>8.539831435453399e-05</v>
      </c>
      <c r="F1613" t="n">
        <v>0.9506386789709761</v>
      </c>
      <c r="G1613" t="inlineStr">
        <is>
          <t>C</t>
        </is>
      </c>
      <c r="H1613" t="n">
        <v>12</v>
      </c>
      <c r="I1613" t="n">
        <v>7.811820557</v>
      </c>
      <c r="J1613" t="n">
        <v>93.741846684</v>
      </c>
      <c r="K1613" t="n">
        <v>0.7</v>
      </c>
      <c r="L1613" t="n">
        <v>17.14285714285714</v>
      </c>
      <c r="M1613" t="n">
        <v>4</v>
      </c>
      <c r="N1613" t="n">
        <v>2.8</v>
      </c>
      <c r="O1613" t="n">
        <v>9.199999999999999</v>
      </c>
      <c r="P1613" t="n">
        <v>71.8687491244</v>
      </c>
      <c r="Q1613" t="n">
        <v>0.7666666666666667</v>
      </c>
      <c r="R1613" t="inlineStr">
        <is>
          <t>Sobrestock crítico</t>
        </is>
      </c>
    </row>
    <row r="1614">
      <c r="A1614" t="inlineStr">
        <is>
          <t>TALGOTACA12TXS</t>
        </is>
      </c>
      <c r="B1614" t="inlineStr">
        <is>
          <t>URBAN COTTON OVERSIZED SUNSET CAB</t>
        </is>
      </c>
      <c r="C1614" t="inlineStr">
        <is>
          <t>Manufactura / Caballero / P. Superiores</t>
        </is>
      </c>
      <c r="D1614" t="n">
        <v>348.20095549</v>
      </c>
      <c r="E1614" t="n">
        <v>8.525093515066225e-05</v>
      </c>
      <c r="F1614" t="n">
        <v>0.9507239299061268</v>
      </c>
      <c r="G1614" t="inlineStr">
        <is>
          <t>C</t>
        </is>
      </c>
      <c r="H1614" t="n">
        <v>1</v>
      </c>
      <c r="I1614" t="n">
        <v>12.16112582</v>
      </c>
      <c r="J1614" t="n">
        <v>12.16112582</v>
      </c>
      <c r="K1614" t="n">
        <v>0.7</v>
      </c>
      <c r="L1614" t="n">
        <v>1.428571428571429</v>
      </c>
      <c r="M1614" t="n">
        <v>4</v>
      </c>
      <c r="N1614" t="n">
        <v>2.8</v>
      </c>
      <c r="O1614" t="n">
        <v>0</v>
      </c>
      <c r="P1614" t="n">
        <v>0</v>
      </c>
      <c r="Q1614" t="n">
        <v>0</v>
      </c>
      <c r="R1614" t="inlineStr">
        <is>
          <t>OK</t>
        </is>
      </c>
    </row>
    <row r="1615">
      <c r="A1615" t="inlineStr">
        <is>
          <t>SHOUNKI12T12</t>
        </is>
      </c>
      <c r="B1615" t="inlineStr">
        <is>
          <t>SHORT PLAYA KIDS</t>
        </is>
      </c>
      <c r="C1615" t="inlineStr">
        <is>
          <t>Manufactura / Kids / P. Inferiores</t>
        </is>
      </c>
      <c r="D1615" t="n">
        <v>347.68180815</v>
      </c>
      <c r="E1615" t="n">
        <v>8.512383097269211e-05</v>
      </c>
      <c r="F1615" t="n">
        <v>0.9508090537370995</v>
      </c>
      <c r="G1615" t="inlineStr">
        <is>
          <t>C</t>
        </is>
      </c>
      <c r="H1615" t="n">
        <v>0</v>
      </c>
      <c r="I1615" t="n">
        <v>6.09</v>
      </c>
      <c r="J1615" t="n">
        <v>0</v>
      </c>
      <c r="K1615" t="n">
        <v>0.8</v>
      </c>
      <c r="L1615" t="n">
        <v>0</v>
      </c>
      <c r="M1615" t="n">
        <v>4</v>
      </c>
      <c r="N1615" t="n">
        <v>3.2</v>
      </c>
      <c r="O1615" t="n">
        <v>0</v>
      </c>
      <c r="P1615" t="n">
        <v>0</v>
      </c>
      <c r="Q1615" t="n">
        <v>0</v>
      </c>
      <c r="R1615" t="inlineStr">
        <is>
          <t>Riesgo bajo stock</t>
        </is>
      </c>
    </row>
    <row r="1616">
      <c r="A1616" t="inlineStr">
        <is>
          <t>CAP10SC</t>
        </is>
      </c>
      <c r="B1616" t="inlineStr">
        <is>
          <t>CAP SOLID</t>
        </is>
      </c>
      <c r="C1616" t="inlineStr">
        <is>
          <t>Equipamiento / Gorras</t>
        </is>
      </c>
      <c r="D1616" t="n">
        <v>347.60129037</v>
      </c>
      <c r="E1616" t="n">
        <v>8.510411759760502e-05</v>
      </c>
      <c r="F1616" t="n">
        <v>0.950894157854697</v>
      </c>
      <c r="G1616" t="inlineStr">
        <is>
          <t>C</t>
        </is>
      </c>
      <c r="H1616" t="n">
        <v>0</v>
      </c>
      <c r="I1616" t="n">
        <v>0</v>
      </c>
      <c r="J1616" t="n">
        <v>0</v>
      </c>
      <c r="K1616" t="n">
        <v>1.4</v>
      </c>
      <c r="L1616" t="n">
        <v>0</v>
      </c>
      <c r="M1616" t="n">
        <v>4</v>
      </c>
      <c r="N1616" t="n">
        <v>5.6</v>
      </c>
      <c r="O1616" t="n">
        <v>0</v>
      </c>
      <c r="P1616" t="n">
        <v>0</v>
      </c>
      <c r="Q1616" t="n">
        <v>0</v>
      </c>
      <c r="R1616" t="inlineStr">
        <is>
          <t>Riesgo bajo stock</t>
        </is>
      </c>
    </row>
    <row r="1617">
      <c r="A1617" t="inlineStr">
        <is>
          <t>POR104EQ</t>
        </is>
      </c>
      <c r="B1617" t="inlineStr">
        <is>
          <t>PORTAVASOS</t>
        </is>
      </c>
      <c r="C1617" t="inlineStr">
        <is>
          <t>Equipamiento / Accesorios</t>
        </is>
      </c>
      <c r="D1617" t="n">
        <v>347.059111841</v>
      </c>
      <c r="E1617" t="n">
        <v>8.497137463441925e-05</v>
      </c>
      <c r="F1617" t="n">
        <v>0.9509791292293315</v>
      </c>
      <c r="G1617" t="inlineStr">
        <is>
          <t>C</t>
        </is>
      </c>
      <c r="H1617" t="n">
        <v>15</v>
      </c>
      <c r="I1617" t="n">
        <v>1</v>
      </c>
      <c r="J1617" t="n">
        <v>15</v>
      </c>
      <c r="K1617" t="n">
        <v>7</v>
      </c>
      <c r="L1617" t="n">
        <v>2.142857142857143</v>
      </c>
      <c r="M1617" t="n">
        <v>4</v>
      </c>
      <c r="N1617" t="n">
        <v>28</v>
      </c>
      <c r="O1617" t="n">
        <v>0</v>
      </c>
      <c r="P1617" t="n">
        <v>0</v>
      </c>
      <c r="Q1617" t="n">
        <v>0</v>
      </c>
      <c r="R1617" t="inlineStr">
        <is>
          <t>OK</t>
        </is>
      </c>
    </row>
    <row r="1618">
      <c r="A1618" t="inlineStr">
        <is>
          <t>SHOUNKI33T8</t>
        </is>
      </c>
      <c r="B1618" t="inlineStr">
        <is>
          <t>SHORT PLAYA KIDS</t>
        </is>
      </c>
      <c r="C1618" t="inlineStr">
        <is>
          <t>Manufactura / Kids / P. Inferiores</t>
        </is>
      </c>
      <c r="D1618" t="n">
        <v>346.65769936</v>
      </c>
      <c r="E1618" t="n">
        <v>8.487309578467214e-05</v>
      </c>
      <c r="F1618" t="n">
        <v>0.9510640023251161</v>
      </c>
      <c r="G1618" t="inlineStr">
        <is>
          <t>C</t>
        </is>
      </c>
      <c r="H1618" t="n">
        <v>27</v>
      </c>
      <c r="I1618" t="n">
        <v>6.09</v>
      </c>
      <c r="J1618" t="n">
        <v>164.43</v>
      </c>
      <c r="K1618" t="n">
        <v>1</v>
      </c>
      <c r="L1618" t="n">
        <v>27</v>
      </c>
      <c r="M1618" t="n">
        <v>4</v>
      </c>
      <c r="N1618" t="n">
        <v>4</v>
      </c>
      <c r="O1618" t="n">
        <v>23</v>
      </c>
      <c r="P1618" t="n">
        <v>140.07</v>
      </c>
      <c r="Q1618" t="n">
        <v>0.8518518518518517</v>
      </c>
      <c r="R1618" t="inlineStr">
        <is>
          <t>Sobrestock crítico</t>
        </is>
      </c>
    </row>
    <row r="1619">
      <c r="A1619" t="inlineStr">
        <is>
          <t>ETN90E300ML</t>
        </is>
      </c>
      <c r="B1619" t="inlineStr">
        <is>
          <t>KAMBUKKA ETNA 300 ML</t>
        </is>
      </c>
      <c r="C1619" t="inlineStr">
        <is>
          <t>Equipamiento / Cava</t>
        </is>
      </c>
      <c r="D1619" t="n">
        <v>345.98721598</v>
      </c>
      <c r="E1619" t="n">
        <v>8.470893961494671e-05</v>
      </c>
      <c r="F1619" t="n">
        <v>0.9511487112647312</v>
      </c>
      <c r="G1619" t="inlineStr">
        <is>
          <t>C</t>
        </is>
      </c>
      <c r="H1619" t="n">
        <v>20</v>
      </c>
      <c r="I1619" t="n">
        <v>23.5</v>
      </c>
      <c r="J1619" t="n">
        <v>470</v>
      </c>
      <c r="K1619" t="n">
        <v>0.9</v>
      </c>
      <c r="L1619" t="n">
        <v>22.22222222222222</v>
      </c>
      <c r="M1619" t="n">
        <v>4</v>
      </c>
      <c r="N1619" t="n">
        <v>3.6</v>
      </c>
      <c r="O1619" t="n">
        <v>16.4</v>
      </c>
      <c r="P1619" t="n">
        <v>385.4</v>
      </c>
      <c r="Q1619" t="n">
        <v>0.82</v>
      </c>
      <c r="R1619" t="inlineStr">
        <is>
          <t>Sobrestock crítico</t>
        </is>
      </c>
    </row>
    <row r="1620">
      <c r="A1620" t="inlineStr">
        <is>
          <t>CLAMIDA66TS</t>
        </is>
      </c>
      <c r="B1620" t="inlineStr">
        <is>
          <t>CLASICA ORIGINAL DAMA</t>
        </is>
      </c>
      <c r="C1620" t="inlineStr">
        <is>
          <t>Manufactura / Dama / P. Superiores</t>
        </is>
      </c>
      <c r="D1620" t="n">
        <v>345.2112584082001</v>
      </c>
      <c r="E1620" t="n">
        <v>8.451895992767076e-05</v>
      </c>
      <c r="F1620" t="n">
        <v>0.9512332302246589</v>
      </c>
      <c r="G1620" t="inlineStr">
        <is>
          <t>C</t>
        </is>
      </c>
      <c r="H1620" t="n">
        <v>45</v>
      </c>
      <c r="I1620" t="n">
        <v>3.923227589</v>
      </c>
      <c r="J1620" t="n">
        <v>176.545241505</v>
      </c>
      <c r="K1620" t="n">
        <v>1.3</v>
      </c>
      <c r="L1620" t="n">
        <v>34.61538461538461</v>
      </c>
      <c r="M1620" t="n">
        <v>4</v>
      </c>
      <c r="N1620" t="n">
        <v>5.2</v>
      </c>
      <c r="O1620" t="n">
        <v>39.8</v>
      </c>
      <c r="P1620" t="n">
        <v>156.1444580422</v>
      </c>
      <c r="Q1620" t="n">
        <v>0.8844444444444444</v>
      </c>
      <c r="R1620" t="inlineStr">
        <is>
          <t>Sobrestock crítico</t>
        </is>
      </c>
    </row>
    <row r="1621">
      <c r="A1621" t="inlineStr">
        <is>
          <t>RIOMIDA30TXS</t>
        </is>
      </c>
      <c r="B1621" t="inlineStr">
        <is>
          <t>RIO ORIGINAL DAMA</t>
        </is>
      </c>
      <c r="C1621" t="inlineStr">
        <is>
          <t>Manufactura / Dama / P. Superiores</t>
        </is>
      </c>
      <c r="D1621" t="n">
        <v>345.04829987</v>
      </c>
      <c r="E1621" t="n">
        <v>8.447906236979992e-05</v>
      </c>
      <c r="F1621" t="n">
        <v>0.9513177092870286</v>
      </c>
      <c r="G1621" t="inlineStr">
        <is>
          <t>C</t>
        </is>
      </c>
      <c r="H1621" t="n">
        <v>0</v>
      </c>
      <c r="I1621" t="n">
        <v>5.538832275</v>
      </c>
      <c r="J1621" t="n">
        <v>0</v>
      </c>
      <c r="K1621" t="n">
        <v>0.6</v>
      </c>
      <c r="L1621" t="n">
        <v>0</v>
      </c>
      <c r="M1621" t="n">
        <v>4</v>
      </c>
      <c r="N1621" t="n">
        <v>2.4</v>
      </c>
      <c r="O1621" t="n">
        <v>0</v>
      </c>
      <c r="P1621" t="n">
        <v>0</v>
      </c>
      <c r="Q1621" t="n">
        <v>0</v>
      </c>
      <c r="R1621" t="inlineStr">
        <is>
          <t>Riesgo bajo stock</t>
        </is>
      </c>
    </row>
    <row r="1622">
      <c r="A1622" t="inlineStr">
        <is>
          <t>SHOSUKI155T4</t>
        </is>
      </c>
      <c r="B1622" t="inlineStr">
        <is>
          <t>SHORT PLAYA ESTAMPADO KIDS</t>
        </is>
      </c>
      <c r="C1622" t="inlineStr">
        <is>
          <t>Manufactura / Kids / P. Superiores</t>
        </is>
      </c>
      <c r="D1622" t="n">
        <v>343.73733629</v>
      </c>
      <c r="E1622" t="n">
        <v>8.415809578604605e-05</v>
      </c>
      <c r="F1622" t="n">
        <v>0.9514018673828147</v>
      </c>
      <c r="G1622" t="inlineStr">
        <is>
          <t>C</t>
        </is>
      </c>
      <c r="H1622" t="n">
        <v>7</v>
      </c>
      <c r="I1622" t="n">
        <v>7.21</v>
      </c>
      <c r="J1622" t="n">
        <v>50.47</v>
      </c>
      <c r="K1622" t="n">
        <v>0.8</v>
      </c>
      <c r="L1622" t="n">
        <v>8.75</v>
      </c>
      <c r="M1622" t="n">
        <v>4</v>
      </c>
      <c r="N1622" t="n">
        <v>3.2</v>
      </c>
      <c r="O1622" t="n">
        <v>3.8</v>
      </c>
      <c r="P1622" t="n">
        <v>27.398</v>
      </c>
      <c r="Q1622" t="n">
        <v>0.5428571428571428</v>
      </c>
      <c r="R1622" t="inlineStr">
        <is>
          <t>Sobrestock crítico</t>
        </is>
      </c>
    </row>
    <row r="1623">
      <c r="A1623" t="inlineStr">
        <is>
          <t>MIKFNDA10TXL</t>
        </is>
      </c>
      <c r="B1623" t="inlineStr">
        <is>
          <t>MIKA SPORT LITE DAMA</t>
        </is>
      </c>
      <c r="C1623" t="inlineStr">
        <is>
          <t>Manufactura / Dama / P. Superiores</t>
        </is>
      </c>
      <c r="D1623" t="n">
        <v>343.68532126</v>
      </c>
      <c r="E1623" t="n">
        <v>8.41453608125215e-05</v>
      </c>
      <c r="F1623" t="n">
        <v>0.9514860127436272</v>
      </c>
      <c r="G1623" t="inlineStr">
        <is>
          <t>C</t>
        </is>
      </c>
      <c r="H1623" t="n">
        <v>19</v>
      </c>
      <c r="I1623" t="n">
        <v>5.484675344</v>
      </c>
      <c r="J1623" t="n">
        <v>104.208831536</v>
      </c>
      <c r="K1623" t="n">
        <v>1.2</v>
      </c>
      <c r="L1623" t="n">
        <v>15.83333333333333</v>
      </c>
      <c r="M1623" t="n">
        <v>4</v>
      </c>
      <c r="N1623" t="n">
        <v>4.8</v>
      </c>
      <c r="O1623" t="n">
        <v>14.2</v>
      </c>
      <c r="P1623" t="n">
        <v>77.88238988480001</v>
      </c>
      <c r="Q1623" t="n">
        <v>0.7473684210526316</v>
      </c>
      <c r="R1623" t="inlineStr">
        <is>
          <t>Sobrestock crítico</t>
        </is>
      </c>
    </row>
    <row r="1624">
      <c r="A1624" t="inlineStr">
        <is>
          <t>MARMIKI30T2</t>
        </is>
      </c>
      <c r="B1624" t="inlineStr">
        <is>
          <t>MAR ORIGINAL KIDS</t>
        </is>
      </c>
      <c r="C1624" t="inlineStr">
        <is>
          <t>Manufactura / Kids / P. Superiores</t>
        </is>
      </c>
      <c r="D1624" t="n">
        <v>343.57512406</v>
      </c>
      <c r="E1624" t="n">
        <v>8.411838094873059e-05</v>
      </c>
      <c r="F1624" t="n">
        <v>0.951570131124576</v>
      </c>
      <c r="G1624" t="inlineStr">
        <is>
          <t>C</t>
        </is>
      </c>
      <c r="H1624" t="n">
        <v>5</v>
      </c>
      <c r="I1624" t="n">
        <v>3.168013332</v>
      </c>
      <c r="J1624" t="n">
        <v>15.84006666</v>
      </c>
      <c r="K1624" t="n">
        <v>1</v>
      </c>
      <c r="L1624" t="n">
        <v>5</v>
      </c>
      <c r="M1624" t="n">
        <v>4</v>
      </c>
      <c r="N1624" t="n">
        <v>4</v>
      </c>
      <c r="O1624" t="n">
        <v>1</v>
      </c>
      <c r="P1624" t="n">
        <v>3.168013332</v>
      </c>
      <c r="Q1624" t="n">
        <v>0.2</v>
      </c>
      <c r="R1624" t="inlineStr">
        <is>
          <t>Sobrestock</t>
        </is>
      </c>
    </row>
    <row r="1625">
      <c r="A1625" t="inlineStr">
        <is>
          <t>CLAMIDA13TM</t>
        </is>
      </c>
      <c r="B1625" t="inlineStr">
        <is>
          <t>CLASICA ORIGINAL DAMA</t>
        </is>
      </c>
      <c r="C1625" t="inlineStr">
        <is>
          <t>Manufactura / Dama / P. Superiores</t>
        </is>
      </c>
      <c r="D1625" t="n">
        <v>343.51306793</v>
      </c>
      <c r="E1625" t="n">
        <v>8.410318758687754e-05</v>
      </c>
      <c r="F1625" t="n">
        <v>0.9516542343121629</v>
      </c>
      <c r="G1625" t="inlineStr">
        <is>
          <t>C</t>
        </is>
      </c>
      <c r="H1625" t="n">
        <v>8</v>
      </c>
      <c r="I1625" t="n">
        <v>3.923227589</v>
      </c>
      <c r="J1625" t="n">
        <v>31.385820712</v>
      </c>
      <c r="K1625" t="n">
        <v>1</v>
      </c>
      <c r="L1625" t="n">
        <v>8</v>
      </c>
      <c r="M1625" t="n">
        <v>4</v>
      </c>
      <c r="N1625" t="n">
        <v>4</v>
      </c>
      <c r="O1625" t="n">
        <v>4</v>
      </c>
      <c r="P1625" t="n">
        <v>15.692910356</v>
      </c>
      <c r="Q1625" t="n">
        <v>0.5</v>
      </c>
      <c r="R1625" t="inlineStr">
        <is>
          <t>Sobrestock crítico</t>
        </is>
      </c>
    </row>
    <row r="1626">
      <c r="A1626" t="inlineStr">
        <is>
          <t>CCBHMKI03T8</t>
        </is>
      </c>
      <c r="B1626" t="inlineStr">
        <is>
          <t>CLUB CLASICA KIDS</t>
        </is>
      </c>
      <c r="C1626" t="inlineStr">
        <is>
          <t>Manufactura / Kids / P. Superiores</t>
        </is>
      </c>
      <c r="D1626" t="n">
        <v>343</v>
      </c>
      <c r="E1626" t="n">
        <v>8.397757184648775e-05</v>
      </c>
      <c r="F1626" t="n">
        <v>0.9517382118840093</v>
      </c>
      <c r="G1626" t="inlineStr">
        <is>
          <t>C</t>
        </is>
      </c>
      <c r="H1626" t="n">
        <v>4</v>
      </c>
      <c r="I1626" t="n">
        <v>1</v>
      </c>
      <c r="J1626" t="n">
        <v>4</v>
      </c>
      <c r="K1626" t="n">
        <v>1.1</v>
      </c>
      <c r="L1626" t="n">
        <v>3.636363636363636</v>
      </c>
      <c r="M1626" t="n">
        <v>4</v>
      </c>
      <c r="N1626" t="n">
        <v>4.4</v>
      </c>
      <c r="O1626" t="n">
        <v>0</v>
      </c>
      <c r="P1626" t="n">
        <v>0</v>
      </c>
      <c r="Q1626" t="n">
        <v>0</v>
      </c>
      <c r="R1626" t="inlineStr">
        <is>
          <t>OK</t>
        </is>
      </c>
    </row>
    <row r="1627">
      <c r="A1627" t="inlineStr">
        <is>
          <t>LMOFIDA10TL</t>
        </is>
      </c>
      <c r="B1627" t="inlineStr">
        <is>
          <t>LEGGING MOVA</t>
        </is>
      </c>
      <c r="C1627" t="inlineStr">
        <is>
          <t>Manufactura / Dama / P. Inferiores</t>
        </is>
      </c>
      <c r="D1627" t="n">
        <v>342.8421269</v>
      </c>
      <c r="E1627" t="n">
        <v>8.393891936952599e-05</v>
      </c>
      <c r="F1627" t="n">
        <v>0.9518221508033788</v>
      </c>
      <c r="G1627" t="inlineStr">
        <is>
          <t>C</t>
        </is>
      </c>
      <c r="H1627" t="n">
        <v>8</v>
      </c>
      <c r="I1627" t="n">
        <v>17.7</v>
      </c>
      <c r="J1627" t="n">
        <v>141.6</v>
      </c>
      <c r="K1627" t="n">
        <v>0.6</v>
      </c>
      <c r="L1627" t="n">
        <v>13.33333333333333</v>
      </c>
      <c r="M1627" t="n">
        <v>4</v>
      </c>
      <c r="N1627" t="n">
        <v>2.4</v>
      </c>
      <c r="O1627" t="n">
        <v>5.6</v>
      </c>
      <c r="P1627" t="n">
        <v>99.11999999999999</v>
      </c>
      <c r="Q1627" t="n">
        <v>0.7</v>
      </c>
      <c r="R1627" t="inlineStr">
        <is>
          <t>Sobrestock crítico</t>
        </is>
      </c>
    </row>
    <row r="1628">
      <c r="A1628" t="inlineStr">
        <is>
          <t>ZOEMIKI34T6</t>
        </is>
      </c>
      <c r="B1628" t="inlineStr">
        <is>
          <t>ZOE ORIGINAL KIDS</t>
        </is>
      </c>
      <c r="C1628" t="inlineStr">
        <is>
          <t>Manufactura / Kids / P. Superiores</t>
        </is>
      </c>
      <c r="D1628" t="n">
        <v>342.67298474</v>
      </c>
      <c r="E1628" t="n">
        <v>8.389750785963193e-05</v>
      </c>
      <c r="F1628" t="n">
        <v>0.9519060483112385</v>
      </c>
      <c r="G1628" t="inlineStr">
        <is>
          <t>C</t>
        </is>
      </c>
      <c r="H1628" t="n">
        <v>46</v>
      </c>
      <c r="I1628" t="n">
        <v>4.12</v>
      </c>
      <c r="J1628" t="n">
        <v>189.52</v>
      </c>
      <c r="K1628" t="n">
        <v>1</v>
      </c>
      <c r="L1628" t="n">
        <v>46</v>
      </c>
      <c r="M1628" t="n">
        <v>4</v>
      </c>
      <c r="N1628" t="n">
        <v>4</v>
      </c>
      <c r="O1628" t="n">
        <v>42</v>
      </c>
      <c r="P1628" t="n">
        <v>173.04</v>
      </c>
      <c r="Q1628" t="n">
        <v>0.9130434782608695</v>
      </c>
      <c r="R1628" t="inlineStr">
        <is>
          <t>Sobrestock crítico</t>
        </is>
      </c>
    </row>
    <row r="1629">
      <c r="A1629" t="inlineStr">
        <is>
          <t>RUNTBMBFCA206TM</t>
        </is>
      </c>
      <c r="B1629" t="inlineStr">
        <is>
          <t>RUNNING TANK BIOMOVE CAB</t>
        </is>
      </c>
      <c r="C1629" t="inlineStr">
        <is>
          <t>Manufactura / Caballero / P. Superiores</t>
        </is>
      </c>
      <c r="D1629" t="n">
        <v>342.51591707</v>
      </c>
      <c r="E1629" t="n">
        <v>8.385905257816782e-05</v>
      </c>
      <c r="F1629" t="n">
        <v>0.9520737664163949</v>
      </c>
      <c r="G1629" t="inlineStr">
        <is>
          <t>C</t>
        </is>
      </c>
      <c r="H1629" t="n">
        <v>22</v>
      </c>
      <c r="I1629" t="n">
        <v>0.4823510283999999</v>
      </c>
      <c r="J1629" t="n">
        <v>10.6117226248</v>
      </c>
      <c r="K1629" t="n">
        <v>0.6</v>
      </c>
      <c r="L1629" t="n">
        <v>36.66666666666667</v>
      </c>
      <c r="M1629" t="n">
        <v>4</v>
      </c>
      <c r="N1629" t="n">
        <v>2.4</v>
      </c>
      <c r="O1629" t="n">
        <v>19.6</v>
      </c>
      <c r="P1629" t="n">
        <v>9.45408015664</v>
      </c>
      <c r="Q1629" t="n">
        <v>0.890909090909091</v>
      </c>
      <c r="R1629" t="inlineStr">
        <is>
          <t>Sobrestock crítico</t>
        </is>
      </c>
    </row>
    <row r="1630">
      <c r="A1630" t="inlineStr">
        <is>
          <t>RUNTBMBFCA209TM</t>
        </is>
      </c>
      <c r="B1630" t="inlineStr">
        <is>
          <t>RUNNING TANK BIOMOVE CAB</t>
        </is>
      </c>
      <c r="C1630" t="inlineStr">
        <is>
          <t>Manufactura / Caballero / P. Superiores</t>
        </is>
      </c>
      <c r="D1630" t="n">
        <v>342.51591707</v>
      </c>
      <c r="E1630" t="n">
        <v>8.385905257816782e-05</v>
      </c>
      <c r="F1630" t="n">
        <v>0.9520737664163949</v>
      </c>
      <c r="G1630" t="inlineStr">
        <is>
          <t>C</t>
        </is>
      </c>
      <c r="H1630" t="n">
        <v>25</v>
      </c>
      <c r="I1630" t="n">
        <v>0.4823510284</v>
      </c>
      <c r="J1630" t="n">
        <v>12.05877571</v>
      </c>
      <c r="K1630" t="n">
        <v>0.7</v>
      </c>
      <c r="L1630" t="n">
        <v>35.71428571428572</v>
      </c>
      <c r="M1630" t="n">
        <v>4</v>
      </c>
      <c r="N1630" t="n">
        <v>2.8</v>
      </c>
      <c r="O1630" t="n">
        <v>22.2</v>
      </c>
      <c r="P1630" t="n">
        <v>10.70819283048</v>
      </c>
      <c r="Q1630" t="n">
        <v>0.888</v>
      </c>
      <c r="R1630" t="inlineStr">
        <is>
          <t>Sobrestock crítico</t>
        </is>
      </c>
    </row>
    <row r="1631">
      <c r="A1631" t="inlineStr">
        <is>
          <t>MARMIKI04T1</t>
        </is>
      </c>
      <c r="B1631" t="inlineStr">
        <is>
          <t>MAR ORIGINAL KIDS</t>
        </is>
      </c>
      <c r="C1631" t="inlineStr">
        <is>
          <t>Manufactura / Kids / P. Superiores</t>
        </is>
      </c>
      <c r="D1631" t="n">
        <v>341.93855162</v>
      </c>
      <c r="E1631" t="n">
        <v>8.371769471064872e-05</v>
      </c>
      <c r="F1631" t="n">
        <v>0.9521574841111053</v>
      </c>
      <c r="G1631" t="inlineStr">
        <is>
          <t>C</t>
        </is>
      </c>
      <c r="H1631" t="n">
        <v>0</v>
      </c>
      <c r="I1631" t="n">
        <v>3.168013332</v>
      </c>
      <c r="J1631" t="n">
        <v>0</v>
      </c>
      <c r="K1631" t="n">
        <v>1</v>
      </c>
      <c r="L1631" t="n">
        <v>0</v>
      </c>
      <c r="M1631" t="n">
        <v>4</v>
      </c>
      <c r="N1631" t="n">
        <v>4</v>
      </c>
      <c r="O1631" t="n">
        <v>0</v>
      </c>
      <c r="P1631" t="n">
        <v>0</v>
      </c>
      <c r="Q1631" t="n">
        <v>0</v>
      </c>
      <c r="R1631" t="inlineStr">
        <is>
          <t>Riesgo bajo stock</t>
        </is>
      </c>
    </row>
    <row r="1632">
      <c r="A1632" t="inlineStr">
        <is>
          <t>SHONTCA43TXL</t>
        </is>
      </c>
      <c r="B1632" t="inlineStr">
        <is>
          <t>EXPLORE SHORT CAB</t>
        </is>
      </c>
      <c r="C1632" t="inlineStr">
        <is>
          <t>Manufactura / Caballero / P. Inferiores</t>
        </is>
      </c>
      <c r="D1632" t="n">
        <v>341.54541266</v>
      </c>
      <c r="E1632" t="n">
        <v>8.362144148831912e-05</v>
      </c>
      <c r="F1632" t="n">
        <v>0.9522411055525939</v>
      </c>
      <c r="G1632" t="inlineStr">
        <is>
          <t>C</t>
        </is>
      </c>
      <c r="H1632" t="n">
        <v>4</v>
      </c>
      <c r="I1632" t="n">
        <v>11.17</v>
      </c>
      <c r="J1632" t="n">
        <v>44.68</v>
      </c>
      <c r="K1632" t="n">
        <v>0.6</v>
      </c>
      <c r="L1632" t="n">
        <v>6.666666666666667</v>
      </c>
      <c r="M1632" t="n">
        <v>4</v>
      </c>
      <c r="N1632" t="n">
        <v>2.4</v>
      </c>
      <c r="O1632" t="n">
        <v>1.6</v>
      </c>
      <c r="P1632" t="n">
        <v>17.872</v>
      </c>
      <c r="Q1632" t="n">
        <v>0.4</v>
      </c>
      <c r="R1632" t="inlineStr">
        <is>
          <t>Sobrestock crítico</t>
        </is>
      </c>
    </row>
    <row r="1633">
      <c r="A1633" t="inlineStr">
        <is>
          <t>CCBHMCA03T2XL</t>
        </is>
      </c>
      <c r="B1633" t="inlineStr">
        <is>
          <t>CLUB CLASICA CABALLERO</t>
        </is>
      </c>
      <c r="C1633" t="inlineStr">
        <is>
          <t>Manufactura / Caballero / P. Superiores</t>
        </is>
      </c>
      <c r="D1633" t="n">
        <v>341.5</v>
      </c>
      <c r="E1633" t="n">
        <v>8.361032299001622e-05</v>
      </c>
      <c r="F1633" t="n">
        <v>0.9523247158755839</v>
      </c>
      <c r="G1633" t="inlineStr">
        <is>
          <t>C</t>
        </is>
      </c>
      <c r="H1633" t="n">
        <v>5</v>
      </c>
      <c r="I1633" t="n">
        <v>1</v>
      </c>
      <c r="J1633" t="n">
        <v>5</v>
      </c>
      <c r="K1633" t="n">
        <v>0.8</v>
      </c>
      <c r="L1633" t="n">
        <v>6.25</v>
      </c>
      <c r="M1633" t="n">
        <v>4</v>
      </c>
      <c r="N1633" t="n">
        <v>3.2</v>
      </c>
      <c r="O1633" t="n">
        <v>1.8</v>
      </c>
      <c r="P1633" t="n">
        <v>1.8</v>
      </c>
      <c r="Q1633" t="n">
        <v>0.36</v>
      </c>
      <c r="R1633" t="inlineStr">
        <is>
          <t>Sobrestock crítico</t>
        </is>
      </c>
    </row>
    <row r="1634">
      <c r="A1634" t="inlineStr">
        <is>
          <t>ZOEMIKI16T8</t>
        </is>
      </c>
      <c r="B1634" t="inlineStr">
        <is>
          <t>ZOE ORIGINAL KIDS</t>
        </is>
      </c>
      <c r="C1634" t="inlineStr">
        <is>
          <t>Manufactura / Kids / P. Superiores</t>
        </is>
      </c>
      <c r="D1634" t="n">
        <v>341.24300633</v>
      </c>
      <c r="E1634" t="n">
        <v>8.354740256906428e-05</v>
      </c>
      <c r="F1634" t="n">
        <v>0.952408263278153</v>
      </c>
      <c r="G1634" t="inlineStr">
        <is>
          <t>C</t>
        </is>
      </c>
      <c r="H1634" t="n">
        <v>12</v>
      </c>
      <c r="I1634" t="n">
        <v>4.12</v>
      </c>
      <c r="J1634" t="n">
        <v>49.44</v>
      </c>
      <c r="K1634" t="n">
        <v>0.8</v>
      </c>
      <c r="L1634" t="n">
        <v>15</v>
      </c>
      <c r="M1634" t="n">
        <v>4</v>
      </c>
      <c r="N1634" t="n">
        <v>3.2</v>
      </c>
      <c r="O1634" t="n">
        <v>8.800000000000001</v>
      </c>
      <c r="P1634" t="n">
        <v>36.25600000000001</v>
      </c>
      <c r="Q1634" t="n">
        <v>0.7333333333333335</v>
      </c>
      <c r="R1634" t="inlineStr">
        <is>
          <t>Sobrestock crítico</t>
        </is>
      </c>
    </row>
    <row r="1635">
      <c r="A1635" t="inlineStr">
        <is>
          <t>SHONRKI43T6</t>
        </is>
      </c>
      <c r="B1635" t="inlineStr">
        <is>
          <t>SHORT SPORT KIDS</t>
        </is>
      </c>
      <c r="C1635" t="inlineStr">
        <is>
          <t>Manufactura / Kids / P. Inferiores</t>
        </is>
      </c>
      <c r="D1635" t="n">
        <v>340.37376691</v>
      </c>
      <c r="E1635" t="n">
        <v>8.333458444706763e-05</v>
      </c>
      <c r="F1635" t="n">
        <v>0.9524915978626</v>
      </c>
      <c r="G1635" t="inlineStr">
        <is>
          <t>C</t>
        </is>
      </c>
      <c r="H1635" t="n">
        <v>31</v>
      </c>
      <c r="I1635" t="n">
        <v>6.465724382</v>
      </c>
      <c r="J1635" t="n">
        <v>200.437455842</v>
      </c>
      <c r="K1635" t="n">
        <v>0.9</v>
      </c>
      <c r="L1635" t="n">
        <v>34.44444444444444</v>
      </c>
      <c r="M1635" t="n">
        <v>4</v>
      </c>
      <c r="N1635" t="n">
        <v>3.6</v>
      </c>
      <c r="O1635" t="n">
        <v>27.4</v>
      </c>
      <c r="P1635" t="n">
        <v>177.1608480668</v>
      </c>
      <c r="Q1635" t="n">
        <v>0.8838709677419353</v>
      </c>
      <c r="R1635" t="inlineStr">
        <is>
          <t>Sobrestock crítico</t>
        </is>
      </c>
    </row>
    <row r="1636">
      <c r="A1636" t="inlineStr">
        <is>
          <t>MAYFNDA13TXS</t>
        </is>
      </c>
      <c r="B1636" t="inlineStr">
        <is>
          <t>MAYA SPORT LITE DAMA</t>
        </is>
      </c>
      <c r="C1636" t="inlineStr">
        <is>
          <t>Manufactura / Dama / P. Superiores</t>
        </is>
      </c>
      <c r="D1636" t="n">
        <v>339.81097231</v>
      </c>
      <c r="E1636" t="n">
        <v>8.319679399821541e-05</v>
      </c>
      <c r="F1636" t="n">
        <v>0.9525747946565982</v>
      </c>
      <c r="G1636" t="inlineStr">
        <is>
          <t>C</t>
        </is>
      </c>
      <c r="H1636" t="n">
        <v>51</v>
      </c>
      <c r="I1636" t="n">
        <v>3.87</v>
      </c>
      <c r="J1636" t="n">
        <v>197.37</v>
      </c>
      <c r="K1636" t="n">
        <v>1.1</v>
      </c>
      <c r="L1636" t="n">
        <v>46.36363636363636</v>
      </c>
      <c r="M1636" t="n">
        <v>4</v>
      </c>
      <c r="N1636" t="n">
        <v>4.4</v>
      </c>
      <c r="O1636" t="n">
        <v>46.6</v>
      </c>
      <c r="P1636" t="n">
        <v>180.342</v>
      </c>
      <c r="Q1636" t="n">
        <v>0.9137254901960785</v>
      </c>
      <c r="R1636" t="inlineStr">
        <is>
          <t>Sobrestock crítico</t>
        </is>
      </c>
    </row>
    <row r="1637">
      <c r="A1637" t="inlineStr">
        <is>
          <t>MAYFNDA13TM</t>
        </is>
      </c>
      <c r="B1637" t="inlineStr">
        <is>
          <t>MAYA SPORT LITE DAMA</t>
        </is>
      </c>
      <c r="C1637" t="inlineStr">
        <is>
          <t>Manufactura / Dama / P. Superiores</t>
        </is>
      </c>
      <c r="D1637" t="n">
        <v>339.05052795</v>
      </c>
      <c r="E1637" t="n">
        <v>8.301061245046859e-05</v>
      </c>
      <c r="F1637" t="n">
        <v>0.9526578052690486</v>
      </c>
      <c r="G1637" t="inlineStr">
        <is>
          <t>C</t>
        </is>
      </c>
      <c r="H1637" t="n">
        <v>22</v>
      </c>
      <c r="I1637" t="n">
        <v>3.87</v>
      </c>
      <c r="J1637" t="n">
        <v>85.14</v>
      </c>
      <c r="K1637" t="n">
        <v>1.3</v>
      </c>
      <c r="L1637" t="n">
        <v>16.92307692307692</v>
      </c>
      <c r="M1637" t="n">
        <v>4</v>
      </c>
      <c r="N1637" t="n">
        <v>5.2</v>
      </c>
      <c r="O1637" t="n">
        <v>16.8</v>
      </c>
      <c r="P1637" t="n">
        <v>65.01600000000001</v>
      </c>
      <c r="Q1637" t="n">
        <v>0.7636363636363637</v>
      </c>
      <c r="R1637" t="inlineStr">
        <is>
          <t>Sobrestock crítico</t>
        </is>
      </c>
    </row>
    <row r="1638">
      <c r="A1638" t="inlineStr">
        <is>
          <t>MARMIKI43T1</t>
        </is>
      </c>
      <c r="B1638" t="inlineStr">
        <is>
          <t>MAR ORIGINAL KIDS</t>
        </is>
      </c>
      <c r="C1638" t="inlineStr">
        <is>
          <t>Manufactura / Kids / P. Superiores</t>
        </is>
      </c>
      <c r="D1638" t="n">
        <v>338.75924975</v>
      </c>
      <c r="E1638" t="n">
        <v>8.293929805989186e-05</v>
      </c>
      <c r="F1638" t="n">
        <v>0.9527407445671086</v>
      </c>
      <c r="G1638" t="inlineStr">
        <is>
          <t>C</t>
        </is>
      </c>
      <c r="H1638" t="n">
        <v>1</v>
      </c>
      <c r="I1638" t="n">
        <v>3.168013332000001</v>
      </c>
      <c r="J1638" t="n">
        <v>3.168013332000001</v>
      </c>
      <c r="K1638" t="n">
        <v>0.9</v>
      </c>
      <c r="L1638" t="n">
        <v>1.111111111111111</v>
      </c>
      <c r="M1638" t="n">
        <v>4</v>
      </c>
      <c r="N1638" t="n">
        <v>3.6</v>
      </c>
      <c r="O1638" t="n">
        <v>0</v>
      </c>
      <c r="P1638" t="n">
        <v>0</v>
      </c>
      <c r="Q1638" t="n">
        <v>0</v>
      </c>
      <c r="R1638" t="inlineStr">
        <is>
          <t>OK</t>
        </is>
      </c>
    </row>
    <row r="1639">
      <c r="A1639" t="inlineStr">
        <is>
          <t>MARMIKI11T2</t>
        </is>
      </c>
      <c r="B1639" t="inlineStr">
        <is>
          <t>MAR ORIGINAL KIDS</t>
        </is>
      </c>
      <c r="C1639" t="inlineStr">
        <is>
          <t>Manufactura / Kids / P. Superiores</t>
        </is>
      </c>
      <c r="D1639" t="n">
        <v>338.61563477</v>
      </c>
      <c r="E1639" t="n">
        <v>8.290413643510709e-05</v>
      </c>
      <c r="F1639" t="n">
        <v>0.9528236487035435</v>
      </c>
      <c r="G1639" t="inlineStr">
        <is>
          <t>C</t>
        </is>
      </c>
      <c r="H1639" t="n">
        <v>23</v>
      </c>
      <c r="I1639" t="n">
        <v>3.168013332</v>
      </c>
      <c r="J1639" t="n">
        <v>72.86430663600001</v>
      </c>
      <c r="K1639" t="n">
        <v>0.9</v>
      </c>
      <c r="L1639" t="n">
        <v>25.55555555555555</v>
      </c>
      <c r="M1639" t="n">
        <v>4</v>
      </c>
      <c r="N1639" t="n">
        <v>3.6</v>
      </c>
      <c r="O1639" t="n">
        <v>19.4</v>
      </c>
      <c r="P1639" t="n">
        <v>61.4594586408</v>
      </c>
      <c r="Q1639" t="n">
        <v>0.8434782608695651</v>
      </c>
      <c r="R1639" t="inlineStr">
        <is>
          <t>Sobrestock crítico</t>
        </is>
      </c>
    </row>
    <row r="1640">
      <c r="A1640" t="inlineStr">
        <is>
          <t>CCBHMDA03TXS</t>
        </is>
      </c>
      <c r="B1640" t="inlineStr">
        <is>
          <t>CLUB CLASICA DAMA</t>
        </is>
      </c>
      <c r="C1640" t="inlineStr">
        <is>
          <t>Manufactura / Dama / P. Superiores</t>
        </is>
      </c>
      <c r="D1640" t="n">
        <v>337</v>
      </c>
      <c r="E1640" t="n">
        <v>8.250857642060167e-05</v>
      </c>
      <c r="F1640" t="n">
        <v>0.9529061572799642</v>
      </c>
      <c r="G1640" t="inlineStr">
        <is>
          <t>C</t>
        </is>
      </c>
      <c r="H1640" t="n">
        <v>3</v>
      </c>
      <c r="I1640" t="n">
        <v>1</v>
      </c>
      <c r="J1640" t="n">
        <v>3</v>
      </c>
      <c r="K1640" t="n">
        <v>1.2</v>
      </c>
      <c r="L1640" t="n">
        <v>2.5</v>
      </c>
      <c r="M1640" t="n">
        <v>4</v>
      </c>
      <c r="N1640" t="n">
        <v>4.8</v>
      </c>
      <c r="O1640" t="n">
        <v>0</v>
      </c>
      <c r="P1640" t="n">
        <v>0</v>
      </c>
      <c r="Q1640" t="n">
        <v>0</v>
      </c>
      <c r="R1640" t="inlineStr">
        <is>
          <t>OK</t>
        </is>
      </c>
    </row>
    <row r="1641">
      <c r="A1641" t="inlineStr">
        <is>
          <t>BASCCDA43TXS</t>
        </is>
      </c>
      <c r="B1641" t="inlineStr">
        <is>
          <t>BASIC LINE SHORT DAMA</t>
        </is>
      </c>
      <c r="C1641" t="inlineStr">
        <is>
          <t>Manufactura / Dama / P. Inferiores</t>
        </is>
      </c>
      <c r="D1641" t="n">
        <v>336.74044467</v>
      </c>
      <c r="E1641" t="n">
        <v>8.244502882184594e-05</v>
      </c>
      <c r="F1641" t="n">
        <v>0.9529886023087861</v>
      </c>
      <c r="G1641" t="inlineStr">
        <is>
          <t>C</t>
        </is>
      </c>
      <c r="H1641" t="n">
        <v>45</v>
      </c>
      <c r="I1641" t="n">
        <v>6.01</v>
      </c>
      <c r="J1641" t="n">
        <v>270.45</v>
      </c>
      <c r="K1641" t="n">
        <v>0.7</v>
      </c>
      <c r="L1641" t="n">
        <v>64.28571428571429</v>
      </c>
      <c r="M1641" t="n">
        <v>4</v>
      </c>
      <c r="N1641" t="n">
        <v>2.8</v>
      </c>
      <c r="O1641" t="n">
        <v>42.2</v>
      </c>
      <c r="P1641" t="n">
        <v>253.622</v>
      </c>
      <c r="Q1641" t="n">
        <v>0.9377777777777778</v>
      </c>
      <c r="R1641" t="inlineStr">
        <is>
          <t>Sobrestock crítico</t>
        </is>
      </c>
    </row>
    <row r="1642">
      <c r="A1642" t="inlineStr">
        <is>
          <t>LAN50EQ</t>
        </is>
      </c>
      <c r="B1642" t="inlineStr">
        <is>
          <t>LANYARD</t>
        </is>
      </c>
      <c r="C1642" t="inlineStr">
        <is>
          <t>Equipamiento / Accesorios</t>
        </is>
      </c>
      <c r="D1642" t="n">
        <v>336.186479222</v>
      </c>
      <c r="E1642" t="n">
        <v>8.230940003697745e-05</v>
      </c>
      <c r="F1642" t="n">
        <v>0.9530709117088231</v>
      </c>
      <c r="G1642" t="inlineStr">
        <is>
          <t>C</t>
        </is>
      </c>
      <c r="H1642" t="n">
        <v>571</v>
      </c>
      <c r="I1642" t="n">
        <v>0.51</v>
      </c>
      <c r="J1642" t="n">
        <v>291.21</v>
      </c>
      <c r="K1642" t="n">
        <v>32</v>
      </c>
      <c r="L1642" t="n">
        <v>17.84375</v>
      </c>
      <c r="M1642" t="n">
        <v>4</v>
      </c>
      <c r="N1642" t="n">
        <v>128</v>
      </c>
      <c r="O1642" t="n">
        <v>443</v>
      </c>
      <c r="P1642" t="n">
        <v>225.93</v>
      </c>
      <c r="Q1642" t="n">
        <v>0.7758318739054292</v>
      </c>
      <c r="R1642" t="inlineStr">
        <is>
          <t>Sobrestock crítico</t>
        </is>
      </c>
    </row>
    <row r="1643">
      <c r="A1643" t="inlineStr">
        <is>
          <t>SABMEDA13TM</t>
        </is>
      </c>
      <c r="B1643" t="inlineStr">
        <is>
          <t>SABRI SPORT DAMA</t>
        </is>
      </c>
      <c r="C1643" t="inlineStr">
        <is>
          <t>Manufactura / Dama / P. Superiores</t>
        </is>
      </c>
      <c r="D1643" t="n">
        <v>336.18314659</v>
      </c>
      <c r="E1643" t="n">
        <v>8.230858410011676e-05</v>
      </c>
      <c r="F1643" t="n">
        <v>0.953153220292923</v>
      </c>
      <c r="G1643" t="inlineStr">
        <is>
          <t>C</t>
        </is>
      </c>
      <c r="H1643" t="n">
        <v>2</v>
      </c>
      <c r="I1643" t="n">
        <v>4.51</v>
      </c>
      <c r="J1643" t="n">
        <v>9.02</v>
      </c>
      <c r="K1643" t="n">
        <v>1.2</v>
      </c>
      <c r="L1643" t="n">
        <v>1.666666666666667</v>
      </c>
      <c r="M1643" t="n">
        <v>4</v>
      </c>
      <c r="N1643" t="n">
        <v>4.8</v>
      </c>
      <c r="O1643" t="n">
        <v>0</v>
      </c>
      <c r="P1643" t="n">
        <v>0</v>
      </c>
      <c r="Q1643" t="n">
        <v>0</v>
      </c>
      <c r="R1643" t="inlineStr">
        <is>
          <t>OK</t>
        </is>
      </c>
    </row>
    <row r="1644">
      <c r="A1644" t="inlineStr">
        <is>
          <t>ZOEMIDA01TS</t>
        </is>
      </c>
      <c r="B1644" t="inlineStr">
        <is>
          <t>ZOE ORIGINAL DAMA</t>
        </is>
      </c>
      <c r="C1644" t="inlineStr">
        <is>
          <t>Manufactura / Dama / P. Superiores</t>
        </is>
      </c>
      <c r="D1644" t="n">
        <v>336.16112852</v>
      </c>
      <c r="E1644" t="n">
        <v>8.230319335943063e-05</v>
      </c>
      <c r="F1644" t="n">
        <v>0.9532355234862825</v>
      </c>
      <c r="G1644" t="inlineStr">
        <is>
          <t>C</t>
        </is>
      </c>
      <c r="H1644" t="n">
        <v>20</v>
      </c>
      <c r="I1644" t="n">
        <v>4.116585696</v>
      </c>
      <c r="J1644" t="n">
        <v>82.33171392</v>
      </c>
      <c r="K1644" t="n">
        <v>0.9</v>
      </c>
      <c r="L1644" t="n">
        <v>22.22222222222222</v>
      </c>
      <c r="M1644" t="n">
        <v>4</v>
      </c>
      <c r="N1644" t="n">
        <v>3.6</v>
      </c>
      <c r="O1644" t="n">
        <v>16.4</v>
      </c>
      <c r="P1644" t="n">
        <v>67.51200541439999</v>
      </c>
      <c r="Q1644" t="n">
        <v>0.82</v>
      </c>
      <c r="R1644" t="inlineStr">
        <is>
          <t>Sobrestock crítico</t>
        </is>
      </c>
    </row>
    <row r="1645">
      <c r="A1645" t="inlineStr">
        <is>
          <t>MARMICA30T3XL</t>
        </is>
      </c>
      <c r="B1645" t="inlineStr">
        <is>
          <t>MAR ORIGINAL CAB</t>
        </is>
      </c>
      <c r="C1645" t="inlineStr">
        <is>
          <t>Manufactura / Caballero / P. Superiores</t>
        </is>
      </c>
      <c r="D1645" t="n">
        <v>336.05294542</v>
      </c>
      <c r="E1645" t="n">
        <v>8.227670661292092e-05</v>
      </c>
      <c r="F1645" t="n">
        <v>0.9533178001928955</v>
      </c>
      <c r="G1645" t="inlineStr">
        <is>
          <t>C</t>
        </is>
      </c>
      <c r="H1645" t="n">
        <v>1</v>
      </c>
      <c r="I1645" t="n">
        <v>4.946357428</v>
      </c>
      <c r="J1645" t="n">
        <v>4.946357428</v>
      </c>
      <c r="K1645" t="n">
        <v>0.7</v>
      </c>
      <c r="L1645" t="n">
        <v>1.428571428571429</v>
      </c>
      <c r="M1645" t="n">
        <v>4</v>
      </c>
      <c r="N1645" t="n">
        <v>2.8</v>
      </c>
      <c r="O1645" t="n">
        <v>0</v>
      </c>
      <c r="P1645" t="n">
        <v>0</v>
      </c>
      <c r="Q1645" t="n">
        <v>0</v>
      </c>
      <c r="R1645" t="inlineStr">
        <is>
          <t>OK</t>
        </is>
      </c>
    </row>
    <row r="1646">
      <c r="A1646" t="inlineStr">
        <is>
          <t>CLAMEKI66T14</t>
        </is>
      </c>
      <c r="B1646" t="inlineStr">
        <is>
          <t>CLASICA SPORT KIDS</t>
        </is>
      </c>
      <c r="C1646" t="inlineStr">
        <is>
          <t>Manufactura / Kids / P. Superiores</t>
        </is>
      </c>
      <c r="D1646" t="n">
        <v>335.66072656</v>
      </c>
      <c r="E1646" t="n">
        <v>8.218067866103987e-05</v>
      </c>
      <c r="F1646" t="n">
        <v>0.9533999808715566</v>
      </c>
      <c r="G1646" t="inlineStr">
        <is>
          <t>C</t>
        </is>
      </c>
      <c r="H1646" t="n">
        <v>5</v>
      </c>
      <c r="I1646" t="n">
        <v>3.97</v>
      </c>
      <c r="J1646" t="n">
        <v>19.85</v>
      </c>
      <c r="K1646" t="n">
        <v>0.9</v>
      </c>
      <c r="L1646" t="n">
        <v>5.555555555555555</v>
      </c>
      <c r="M1646" t="n">
        <v>4</v>
      </c>
      <c r="N1646" t="n">
        <v>3.6</v>
      </c>
      <c r="O1646" t="n">
        <v>1.4</v>
      </c>
      <c r="P1646" t="n">
        <v>5.558</v>
      </c>
      <c r="Q1646" t="n">
        <v>0.28</v>
      </c>
      <c r="R1646" t="inlineStr">
        <is>
          <t>Sobrestock</t>
        </is>
      </c>
    </row>
    <row r="1647">
      <c r="A1647" t="inlineStr">
        <is>
          <t>TMOFIDA12TXL</t>
        </is>
      </c>
      <c r="B1647" t="inlineStr">
        <is>
          <t>TOP MOVA</t>
        </is>
      </c>
      <c r="C1647" t="inlineStr">
        <is>
          <t>Manufactura / Dama / P. Superiores</t>
        </is>
      </c>
      <c r="D1647" t="n">
        <v>335.65475784</v>
      </c>
      <c r="E1647" t="n">
        <v>8.217921732397681e-05</v>
      </c>
      <c r="F1647" t="n">
        <v>0.9534821600888804</v>
      </c>
      <c r="G1647" t="inlineStr">
        <is>
          <t>C</t>
        </is>
      </c>
      <c r="H1647" t="n">
        <v>9</v>
      </c>
      <c r="I1647" t="n">
        <v>9.942967033</v>
      </c>
      <c r="J1647" t="n">
        <v>89.48670329700001</v>
      </c>
      <c r="K1647" t="n">
        <v>0.6</v>
      </c>
      <c r="L1647" t="n">
        <v>15</v>
      </c>
      <c r="M1647" t="n">
        <v>4</v>
      </c>
      <c r="N1647" t="n">
        <v>2.4</v>
      </c>
      <c r="O1647" t="n">
        <v>6.6</v>
      </c>
      <c r="P1647" t="n">
        <v>65.62358241779999</v>
      </c>
      <c r="Q1647" t="n">
        <v>0.7333333333333333</v>
      </c>
      <c r="R1647" t="inlineStr">
        <is>
          <t>Sobrestock crítico</t>
        </is>
      </c>
    </row>
    <row r="1648">
      <c r="A1648" t="inlineStr">
        <is>
          <t>MIKFNDA24TS</t>
        </is>
      </c>
      <c r="B1648" t="inlineStr">
        <is>
          <t>MIKA SPORT LITE DAMA</t>
        </is>
      </c>
      <c r="C1648" t="inlineStr">
        <is>
          <t>Manufactura / Dama / P. Superiores</t>
        </is>
      </c>
      <c r="D1648" t="n">
        <v>335.38187733</v>
      </c>
      <c r="E1648" t="n">
        <v>8.21124072871429e-05</v>
      </c>
      <c r="F1648" t="n">
        <v>0.9535642724961676</v>
      </c>
      <c r="G1648" t="inlineStr">
        <is>
          <t>C</t>
        </is>
      </c>
      <c r="H1648" t="n">
        <v>31</v>
      </c>
      <c r="I1648" t="n">
        <v>5.484675344</v>
      </c>
      <c r="J1648" t="n">
        <v>170.024935664</v>
      </c>
      <c r="K1648" t="n">
        <v>2</v>
      </c>
      <c r="L1648" t="n">
        <v>15.5</v>
      </c>
      <c r="M1648" t="n">
        <v>4</v>
      </c>
      <c r="N1648" t="n">
        <v>8</v>
      </c>
      <c r="O1648" t="n">
        <v>23</v>
      </c>
      <c r="P1648" t="n">
        <v>126.147532912</v>
      </c>
      <c r="Q1648" t="n">
        <v>0.7419354838709677</v>
      </c>
      <c r="R1648" t="inlineStr">
        <is>
          <t>Sobrestock crítico</t>
        </is>
      </c>
    </row>
    <row r="1649">
      <c r="A1649" t="inlineStr">
        <is>
          <t>SARSPDA43TXL</t>
        </is>
      </c>
      <c r="B1649" t="inlineStr">
        <is>
          <t>FALDA SARA DAMA</t>
        </is>
      </c>
      <c r="C1649" t="inlineStr">
        <is>
          <t>Manufactura / Dama / P. Inferiores</t>
        </is>
      </c>
      <c r="D1649" t="n">
        <v>335.18415427</v>
      </c>
      <c r="E1649" t="n">
        <v>8.206399824202087e-05</v>
      </c>
      <c r="F1649" t="n">
        <v>0.9536463364944098</v>
      </c>
      <c r="G1649" t="inlineStr">
        <is>
          <t>C</t>
        </is>
      </c>
      <c r="H1649" t="n">
        <v>15</v>
      </c>
      <c r="I1649" t="n">
        <v>9.500113852</v>
      </c>
      <c r="J1649" t="n">
        <v>142.50170778</v>
      </c>
      <c r="K1649" t="n">
        <v>0.6</v>
      </c>
      <c r="L1649" t="n">
        <v>25</v>
      </c>
      <c r="M1649" t="n">
        <v>4</v>
      </c>
      <c r="N1649" t="n">
        <v>2.4</v>
      </c>
      <c r="O1649" t="n">
        <v>12.6</v>
      </c>
      <c r="P1649" t="n">
        <v>119.7014345352</v>
      </c>
      <c r="Q1649" t="n">
        <v>0.84</v>
      </c>
      <c r="R1649" t="inlineStr">
        <is>
          <t>Sobrestock crítico</t>
        </is>
      </c>
    </row>
    <row r="1650">
      <c r="A1650" t="inlineStr">
        <is>
          <t>PANNTCA43T2XL</t>
        </is>
      </c>
      <c r="B1650" t="inlineStr">
        <is>
          <t>EXPLORE PANTS CAB</t>
        </is>
      </c>
      <c r="C1650" t="inlineStr">
        <is>
          <t>Manufactura / Caballero / P. Inferiores</t>
        </is>
      </c>
      <c r="D1650" t="n">
        <v>335</v>
      </c>
      <c r="E1650" t="n">
        <v>8.201891127863964e-05</v>
      </c>
      <c r="F1650" t="n">
        <v>0.9537283554056883</v>
      </c>
      <c r="G1650" t="inlineStr">
        <is>
          <t>C</t>
        </is>
      </c>
      <c r="H1650" t="n">
        <v>43</v>
      </c>
      <c r="I1650" t="n">
        <v>15.68994502</v>
      </c>
      <c r="J1650" t="n">
        <v>674.66763586</v>
      </c>
      <c r="K1650" t="n">
        <v>0.5</v>
      </c>
      <c r="L1650" t="n">
        <v>86</v>
      </c>
      <c r="M1650" t="n">
        <v>4</v>
      </c>
      <c r="N1650" t="n">
        <v>2</v>
      </c>
      <c r="O1650" t="n">
        <v>41</v>
      </c>
      <c r="P1650" t="n">
        <v>643.2877458199999</v>
      </c>
      <c r="Q1650" t="n">
        <v>0.9534883720930232</v>
      </c>
      <c r="R1650" t="inlineStr">
        <is>
          <t>Sobrestock crítico</t>
        </is>
      </c>
    </row>
    <row r="1651">
      <c r="A1651" t="inlineStr">
        <is>
          <t>TALGTACA167TXL</t>
        </is>
      </c>
      <c r="B1651" t="inlineStr">
        <is>
          <t>URBAN COTTON OVERSIZED COLOR BLOCK CAB</t>
        </is>
      </c>
      <c r="C1651" t="inlineStr">
        <is>
          <t>Manufactura / Caballero / P. Superiores</t>
        </is>
      </c>
      <c r="D1651" t="n">
        <v>333.58378926</v>
      </c>
      <c r="E1651" t="n">
        <v>8.167217676211451e-05</v>
      </c>
      <c r="F1651" t="n">
        <v>0.9538100275824503</v>
      </c>
      <c r="G1651" t="inlineStr">
        <is>
          <t>C</t>
        </is>
      </c>
      <c r="H1651" t="n">
        <v>13</v>
      </c>
      <c r="I1651" t="n">
        <v>12.16641162</v>
      </c>
      <c r="J1651" t="n">
        <v>158.16335106</v>
      </c>
      <c r="K1651" t="n">
        <v>0.6</v>
      </c>
      <c r="L1651" t="n">
        <v>21.66666666666667</v>
      </c>
      <c r="M1651" t="n">
        <v>4</v>
      </c>
      <c r="N1651" t="n">
        <v>2.4</v>
      </c>
      <c r="O1651" t="n">
        <v>10.6</v>
      </c>
      <c r="P1651" t="n">
        <v>128.963963172</v>
      </c>
      <c r="Q1651" t="n">
        <v>0.8153846153846155</v>
      </c>
      <c r="R1651" t="inlineStr">
        <is>
          <t>Sin rotación</t>
        </is>
      </c>
    </row>
    <row r="1652">
      <c r="A1652" t="inlineStr">
        <is>
          <t>TALGTACA12TXS</t>
        </is>
      </c>
      <c r="B1652" t="inlineStr">
        <is>
          <t>URBAN COTTON OVERSIZED OUTSIDE CAB</t>
        </is>
      </c>
      <c r="C1652" t="inlineStr">
        <is>
          <t>Manufactura / Caballero / P. Superiores</t>
        </is>
      </c>
      <c r="D1652" t="n">
        <v>332.84251252</v>
      </c>
      <c r="E1652" t="n">
        <v>8.149068807205188e-05</v>
      </c>
      <c r="F1652" t="n">
        <v>0.9538915182705223</v>
      </c>
      <c r="G1652" t="inlineStr">
        <is>
          <t>C</t>
        </is>
      </c>
      <c r="H1652" t="n">
        <v>0</v>
      </c>
      <c r="I1652" t="n">
        <v>12.16758159</v>
      </c>
      <c r="J1652" t="n">
        <v>0</v>
      </c>
      <c r="K1652" t="n">
        <v>0.9</v>
      </c>
      <c r="L1652" t="n">
        <v>0</v>
      </c>
      <c r="M1652" t="n">
        <v>4</v>
      </c>
      <c r="N1652" t="n">
        <v>3.6</v>
      </c>
      <c r="O1652" t="n">
        <v>0</v>
      </c>
      <c r="P1652" t="n">
        <v>0</v>
      </c>
      <c r="Q1652" t="n">
        <v>0</v>
      </c>
      <c r="R1652" t="inlineStr">
        <is>
          <t>Riesgo bajo stock</t>
        </is>
      </c>
    </row>
    <row r="1653">
      <c r="A1653" t="inlineStr">
        <is>
          <t>SHOUNKI57T4</t>
        </is>
      </c>
      <c r="B1653" t="inlineStr">
        <is>
          <t>SHORT PLAYA KIDS</t>
        </is>
      </c>
      <c r="C1653" t="inlineStr">
        <is>
          <t>Manufactura / Kids / P. Inferiores</t>
        </is>
      </c>
      <c r="D1653" t="n">
        <v>331.90686932</v>
      </c>
      <c r="E1653" t="n">
        <v>8.126161214187498e-05</v>
      </c>
      <c r="F1653" t="n">
        <v>0.9539727798826643</v>
      </c>
      <c r="G1653" t="inlineStr">
        <is>
          <t>C</t>
        </is>
      </c>
      <c r="H1653" t="n">
        <v>22</v>
      </c>
      <c r="I1653" t="n">
        <v>6.089999999999999</v>
      </c>
      <c r="J1653" t="n">
        <v>133.98</v>
      </c>
      <c r="K1653" t="n">
        <v>0.8</v>
      </c>
      <c r="L1653" t="n">
        <v>27.5</v>
      </c>
      <c r="M1653" t="n">
        <v>4</v>
      </c>
      <c r="N1653" t="n">
        <v>3.2</v>
      </c>
      <c r="O1653" t="n">
        <v>18.8</v>
      </c>
      <c r="P1653" t="n">
        <v>114.492</v>
      </c>
      <c r="Q1653" t="n">
        <v>0.8545454545454545</v>
      </c>
      <c r="R1653" t="inlineStr">
        <is>
          <t>Sobrestock crítico</t>
        </is>
      </c>
    </row>
    <row r="1654">
      <c r="A1654" t="inlineStr">
        <is>
          <t>CCBHMKI03T12</t>
        </is>
      </c>
      <c r="B1654" t="inlineStr">
        <is>
          <t>CLUB CLASICA KIDS</t>
        </is>
      </c>
      <c r="C1654" t="inlineStr">
        <is>
          <t>Manufactura / Kids / P. Superiores</t>
        </is>
      </c>
      <c r="D1654" t="n">
        <v>331</v>
      </c>
      <c r="E1654" t="n">
        <v>8.103958099471558e-05</v>
      </c>
      <c r="F1654" t="n">
        <v>0.954053819463659</v>
      </c>
      <c r="G1654" t="inlineStr">
        <is>
          <t>C</t>
        </is>
      </c>
      <c r="H1654" t="n">
        <v>20</v>
      </c>
      <c r="I1654" t="n">
        <v>1</v>
      </c>
      <c r="J1654" t="n">
        <v>20</v>
      </c>
      <c r="K1654" t="n">
        <v>1</v>
      </c>
      <c r="L1654" t="n">
        <v>20</v>
      </c>
      <c r="M1654" t="n">
        <v>4</v>
      </c>
      <c r="N1654" t="n">
        <v>4</v>
      </c>
      <c r="O1654" t="n">
        <v>16</v>
      </c>
      <c r="P1654" t="n">
        <v>16</v>
      </c>
      <c r="Q1654" t="n">
        <v>0.8</v>
      </c>
      <c r="R1654" t="inlineStr">
        <is>
          <t>Sobrestock crítico</t>
        </is>
      </c>
    </row>
    <row r="1655">
      <c r="A1655" t="inlineStr">
        <is>
          <t>VIVMIDA53TXS</t>
        </is>
      </c>
      <c r="B1655" t="inlineStr">
        <is>
          <t>VIVI ORIGINAL DAMA</t>
        </is>
      </c>
      <c r="C1655" t="inlineStr">
        <is>
          <t>Manufactura / Dama / P. Superiores</t>
        </is>
      </c>
      <c r="D1655" t="n">
        <v>330.81676436</v>
      </c>
      <c r="E1655" t="n">
        <v>8.099471894187903e-05</v>
      </c>
      <c r="F1655" t="n">
        <v>0.9541348141826008</v>
      </c>
      <c r="G1655" t="inlineStr">
        <is>
          <t>C</t>
        </is>
      </c>
      <c r="H1655" t="n">
        <v>12</v>
      </c>
      <c r="I1655" t="n">
        <v>4.303181706</v>
      </c>
      <c r="J1655" t="n">
        <v>51.638180472</v>
      </c>
      <c r="K1655" t="n">
        <v>0.8</v>
      </c>
      <c r="L1655" t="n">
        <v>15</v>
      </c>
      <c r="M1655" t="n">
        <v>4</v>
      </c>
      <c r="N1655" t="n">
        <v>3.2</v>
      </c>
      <c r="O1655" t="n">
        <v>8.800000000000001</v>
      </c>
      <c r="P1655" t="n">
        <v>37.86799901280001</v>
      </c>
      <c r="Q1655" t="n">
        <v>0.7333333333333334</v>
      </c>
      <c r="R1655" t="inlineStr">
        <is>
          <t>Sobrestock crítico</t>
        </is>
      </c>
    </row>
    <row r="1656">
      <c r="A1656" t="inlineStr">
        <is>
          <t>SHOUNCA68TL</t>
        </is>
      </c>
      <c r="B1656" t="inlineStr">
        <is>
          <t>SHORT PLAYA CAB</t>
        </is>
      </c>
      <c r="C1656" t="inlineStr">
        <is>
          <t>Manufactura / Caballero / P. Inferiores</t>
        </is>
      </c>
      <c r="D1656" t="n">
        <v>330.47265659</v>
      </c>
      <c r="E1656" t="n">
        <v>8.091047015185539e-05</v>
      </c>
      <c r="F1656" t="n">
        <v>0.9542157246527526</v>
      </c>
      <c r="G1656" t="inlineStr">
        <is>
          <t>C</t>
        </is>
      </c>
      <c r="H1656" t="n">
        <v>0</v>
      </c>
      <c r="I1656" t="n">
        <v>9.99</v>
      </c>
      <c r="J1656" t="n">
        <v>0</v>
      </c>
      <c r="K1656" t="n">
        <v>0.7</v>
      </c>
      <c r="L1656" t="n">
        <v>0</v>
      </c>
      <c r="M1656" t="n">
        <v>4</v>
      </c>
      <c r="N1656" t="n">
        <v>2.8</v>
      </c>
      <c r="O1656" t="n">
        <v>0</v>
      </c>
      <c r="P1656" t="n">
        <v>0</v>
      </c>
      <c r="Q1656" t="n">
        <v>0</v>
      </c>
      <c r="R1656" t="inlineStr">
        <is>
          <t>Riesgo bajo stock</t>
        </is>
      </c>
    </row>
    <row r="1657">
      <c r="A1657" t="inlineStr">
        <is>
          <t>CLAMIDA12TXS</t>
        </is>
      </c>
      <c r="B1657" t="inlineStr">
        <is>
          <t>CLASICA ORIGINAL DAMA</t>
        </is>
      </c>
      <c r="C1657" t="inlineStr">
        <is>
          <t>Manufactura / Dama / P. Superiores</t>
        </is>
      </c>
      <c r="D1657" t="n">
        <v>330.01809539</v>
      </c>
      <c r="E1657" t="n">
        <v>8.079917876459117e-05</v>
      </c>
      <c r="F1657" t="n">
        <v>0.9542965238315172</v>
      </c>
      <c r="G1657" t="inlineStr">
        <is>
          <t>C</t>
        </is>
      </c>
      <c r="H1657" t="n">
        <v>3</v>
      </c>
      <c r="I1657" t="n">
        <v>3.923227589</v>
      </c>
      <c r="J1657" t="n">
        <v>11.769682767</v>
      </c>
      <c r="K1657" t="n">
        <v>1.1</v>
      </c>
      <c r="L1657" t="n">
        <v>2.727272727272727</v>
      </c>
      <c r="M1657" t="n">
        <v>4</v>
      </c>
      <c r="N1657" t="n">
        <v>4.4</v>
      </c>
      <c r="O1657" t="n">
        <v>0</v>
      </c>
      <c r="P1657" t="n">
        <v>0</v>
      </c>
      <c r="Q1657" t="n">
        <v>0</v>
      </c>
      <c r="R1657" t="inlineStr">
        <is>
          <t>OK</t>
        </is>
      </c>
    </row>
    <row r="1658">
      <c r="A1658" t="inlineStr">
        <is>
          <t>SHONTCA30TL</t>
        </is>
      </c>
      <c r="B1658" t="inlineStr">
        <is>
          <t>EXPLORE SHORT CAB</t>
        </is>
      </c>
      <c r="C1658" t="inlineStr">
        <is>
          <t>Manufactura / Caballero / P. Inferiores</t>
        </is>
      </c>
      <c r="D1658" t="n">
        <v>329.54740781</v>
      </c>
      <c r="E1658" t="n">
        <v>8.068393911425094e-05</v>
      </c>
      <c r="F1658" t="n">
        <v>0.9543772077706315</v>
      </c>
      <c r="G1658" t="inlineStr">
        <is>
          <t>C</t>
        </is>
      </c>
      <c r="H1658" t="n">
        <v>0</v>
      </c>
      <c r="I1658" t="n">
        <v>11.17</v>
      </c>
      <c r="J1658" t="n">
        <v>0</v>
      </c>
      <c r="K1658" t="n">
        <v>0.7</v>
      </c>
      <c r="L1658" t="n">
        <v>0</v>
      </c>
      <c r="M1658" t="n">
        <v>4</v>
      </c>
      <c r="N1658" t="n">
        <v>2.8</v>
      </c>
      <c r="O1658" t="n">
        <v>0</v>
      </c>
      <c r="P1658" t="n">
        <v>0</v>
      </c>
      <c r="Q1658" t="n">
        <v>0</v>
      </c>
      <c r="R1658" t="inlineStr">
        <is>
          <t>Riesgo bajo stock</t>
        </is>
      </c>
    </row>
    <row r="1659">
      <c r="A1659" t="inlineStr">
        <is>
          <t>CLAMIKI16T8</t>
        </is>
      </c>
      <c r="B1659" t="inlineStr">
        <is>
          <t>CLASICA ORIGINAL KIDS</t>
        </is>
      </c>
      <c r="C1659" t="inlineStr">
        <is>
          <t>Manufactura / Kids / P. Superiores</t>
        </is>
      </c>
      <c r="D1659" t="n">
        <v>329.1164976</v>
      </c>
      <c r="E1659" t="n">
        <v>8.057843825967467e-05</v>
      </c>
      <c r="F1659" t="n">
        <v>0.9544577862088912</v>
      </c>
      <c r="G1659" t="inlineStr">
        <is>
          <t>C</t>
        </is>
      </c>
      <c r="H1659" t="n">
        <v>2</v>
      </c>
      <c r="I1659" t="n">
        <v>2.053774806</v>
      </c>
      <c r="J1659" t="n">
        <v>4.107549612</v>
      </c>
      <c r="K1659" t="n">
        <v>1.2</v>
      </c>
      <c r="L1659" t="n">
        <v>1.666666666666667</v>
      </c>
      <c r="M1659" t="n">
        <v>4</v>
      </c>
      <c r="N1659" t="n">
        <v>4.8</v>
      </c>
      <c r="O1659" t="n">
        <v>0</v>
      </c>
      <c r="P1659" t="n">
        <v>0</v>
      </c>
      <c r="Q1659" t="n">
        <v>0</v>
      </c>
      <c r="R1659" t="inlineStr">
        <is>
          <t>OK</t>
        </is>
      </c>
    </row>
    <row r="1660">
      <c r="A1660" t="inlineStr">
        <is>
          <t>NAHFNCA10T2XL</t>
        </is>
      </c>
      <c r="B1660" t="inlineStr">
        <is>
          <t>NOAH SPORT LITE CAB</t>
        </is>
      </c>
      <c r="C1660" t="inlineStr">
        <is>
          <t>Manufactura / Caballero / P. Superiores</t>
        </is>
      </c>
      <c r="D1660" t="n">
        <v>328.99914728</v>
      </c>
      <c r="E1660" t="n">
        <v>8.054970707912362e-05</v>
      </c>
      <c r="F1660" t="n">
        <v>0.9545383359159704</v>
      </c>
      <c r="G1660" t="inlineStr">
        <is>
          <t>C</t>
        </is>
      </c>
      <c r="H1660" t="n">
        <v>4</v>
      </c>
      <c r="I1660" t="n">
        <v>17.61141534</v>
      </c>
      <c r="J1660" t="n">
        <v>70.44566136</v>
      </c>
      <c r="K1660" t="n">
        <v>1</v>
      </c>
      <c r="L1660" t="n">
        <v>4</v>
      </c>
      <c r="M1660" t="n">
        <v>4</v>
      </c>
      <c r="N1660" t="n">
        <v>4</v>
      </c>
      <c r="O1660" t="n">
        <v>0</v>
      </c>
      <c r="P1660" t="n">
        <v>0</v>
      </c>
      <c r="Q1660" t="n">
        <v>0</v>
      </c>
      <c r="R1660" t="inlineStr">
        <is>
          <t>Sin rotación</t>
        </is>
      </c>
    </row>
    <row r="1661">
      <c r="A1661" t="inlineStr">
        <is>
          <t>RIOMIDA53TM</t>
        </is>
      </c>
      <c r="B1661" t="inlineStr">
        <is>
          <t>RIO ORIGINAL DAMA</t>
        </is>
      </c>
      <c r="C1661" t="inlineStr">
        <is>
          <t>Manufactura / Dama / P. Superiores</t>
        </is>
      </c>
      <c r="D1661" t="n">
        <v>328.84525036</v>
      </c>
      <c r="E1661" t="n">
        <v>8.051202810053396e-05</v>
      </c>
      <c r="F1661" t="n">
        <v>0.9546188479440709</v>
      </c>
      <c r="G1661" t="inlineStr">
        <is>
          <t>C</t>
        </is>
      </c>
      <c r="H1661" t="n">
        <v>5</v>
      </c>
      <c r="I1661" t="n">
        <v>5.538832275</v>
      </c>
      <c r="J1661" t="n">
        <v>27.694161375</v>
      </c>
      <c r="K1661" t="n">
        <v>0.8</v>
      </c>
      <c r="L1661" t="n">
        <v>6.25</v>
      </c>
      <c r="M1661" t="n">
        <v>4</v>
      </c>
      <c r="N1661" t="n">
        <v>3.2</v>
      </c>
      <c r="O1661" t="n">
        <v>1.8</v>
      </c>
      <c r="P1661" t="n">
        <v>9.969898095</v>
      </c>
      <c r="Q1661" t="n">
        <v>0.36</v>
      </c>
      <c r="R1661" t="inlineStr">
        <is>
          <t>Sobrestock crítico</t>
        </is>
      </c>
    </row>
    <row r="1662">
      <c r="A1662" t="inlineStr">
        <is>
          <t>CLAMIDA70TL</t>
        </is>
      </c>
      <c r="B1662" t="inlineStr">
        <is>
          <t>CLASICA ORIGINAL DAMA</t>
        </is>
      </c>
      <c r="C1662" t="inlineStr">
        <is>
          <t>Manufactura / Dama / P. Superiores</t>
        </is>
      </c>
      <c r="D1662" t="n">
        <v>328.79711832</v>
      </c>
      <c r="E1662" t="n">
        <v>8.050024380943419e-05</v>
      </c>
      <c r="F1662" t="n">
        <v>0.9546993481878803</v>
      </c>
      <c r="G1662" t="inlineStr">
        <is>
          <t>C</t>
        </is>
      </c>
      <c r="H1662" t="n">
        <v>25</v>
      </c>
      <c r="I1662" t="n">
        <v>3.923227589</v>
      </c>
      <c r="J1662" t="n">
        <v>98.080689725</v>
      </c>
      <c r="K1662" t="n">
        <v>0.9</v>
      </c>
      <c r="L1662" t="n">
        <v>27.77777777777778</v>
      </c>
      <c r="M1662" t="n">
        <v>4</v>
      </c>
      <c r="N1662" t="n">
        <v>3.6</v>
      </c>
      <c r="O1662" t="n">
        <v>21.4</v>
      </c>
      <c r="P1662" t="n">
        <v>83.9570704046</v>
      </c>
      <c r="Q1662" t="n">
        <v>0.8560000000000001</v>
      </c>
      <c r="R1662" t="inlineStr">
        <is>
          <t>Sobrestock crítico</t>
        </is>
      </c>
    </row>
    <row r="1663">
      <c r="A1663" t="inlineStr">
        <is>
          <t>CLAMIDA66TXL</t>
        </is>
      </c>
      <c r="B1663" t="inlineStr">
        <is>
          <t>CLASICA ORIGINAL DAMA</t>
        </is>
      </c>
      <c r="C1663" t="inlineStr">
        <is>
          <t>Manufactura / Dama / P. Superiores</t>
        </is>
      </c>
      <c r="D1663" t="n">
        <v>328.76079299</v>
      </c>
      <c r="E1663" t="n">
        <v>8.049135018549857e-05</v>
      </c>
      <c r="F1663" t="n">
        <v>0.9547798395380658</v>
      </c>
      <c r="G1663" t="inlineStr">
        <is>
          <t>C</t>
        </is>
      </c>
      <c r="H1663" t="n">
        <v>40</v>
      </c>
      <c r="I1663" t="n">
        <v>3.923227589000001</v>
      </c>
      <c r="J1663" t="n">
        <v>156.92910356</v>
      </c>
      <c r="K1663" t="n">
        <v>0.9</v>
      </c>
      <c r="L1663" t="n">
        <v>44.44444444444444</v>
      </c>
      <c r="M1663" t="n">
        <v>4</v>
      </c>
      <c r="N1663" t="n">
        <v>3.6</v>
      </c>
      <c r="O1663" t="n">
        <v>36.4</v>
      </c>
      <c r="P1663" t="n">
        <v>142.8054842396</v>
      </c>
      <c r="Q1663" t="n">
        <v>0.91</v>
      </c>
      <c r="R1663" t="inlineStr">
        <is>
          <t>Sobrestock crítico</t>
        </is>
      </c>
    </row>
    <row r="1664">
      <c r="A1664" t="inlineStr">
        <is>
          <t>CLAMEDA66TXS</t>
        </is>
      </c>
      <c r="B1664" t="inlineStr">
        <is>
          <t>CLÁSICA SPORT DAMA</t>
        </is>
      </c>
      <c r="C1664" t="inlineStr">
        <is>
          <t>Manufactura / Dama / P. Superiores</t>
        </is>
      </c>
      <c r="D1664" t="n">
        <v>327.8164214</v>
      </c>
      <c r="E1664" t="n">
        <v>8.026013726115743e-05</v>
      </c>
      <c r="F1664" t="n">
        <v>0.9548600996753269</v>
      </c>
      <c r="G1664" t="inlineStr">
        <is>
          <t>C</t>
        </is>
      </c>
      <c r="H1664" t="n">
        <v>10</v>
      </c>
      <c r="I1664" t="n">
        <v>6.536105769</v>
      </c>
      <c r="J1664" t="n">
        <v>65.36105769</v>
      </c>
      <c r="K1664" t="n">
        <v>0.8</v>
      </c>
      <c r="L1664" t="n">
        <v>12.5</v>
      </c>
      <c r="M1664" t="n">
        <v>4</v>
      </c>
      <c r="N1664" t="n">
        <v>3.2</v>
      </c>
      <c r="O1664" t="n">
        <v>6.8</v>
      </c>
      <c r="P1664" t="n">
        <v>44.44551922919999</v>
      </c>
      <c r="Q1664" t="n">
        <v>0.6799999999999999</v>
      </c>
      <c r="R1664" t="inlineStr">
        <is>
          <t>Sobrestock crítico</t>
        </is>
      </c>
    </row>
    <row r="1665">
      <c r="A1665" t="inlineStr">
        <is>
          <t>GEMBADA12TL</t>
        </is>
      </c>
      <c r="B1665" t="inlineStr">
        <is>
          <t>VESTIDO GEMMA DAMA</t>
        </is>
      </c>
      <c r="C1665" t="inlineStr">
        <is>
          <t>Manufactura / Dama / Conjuntos</t>
        </is>
      </c>
      <c r="D1665" t="n">
        <v>327.76453327</v>
      </c>
      <c r="E1665" t="n">
        <v>8.024743335688615e-05</v>
      </c>
      <c r="F1665" t="n">
        <v>0.9549403471086838</v>
      </c>
      <c r="G1665" t="inlineStr">
        <is>
          <t>C</t>
        </is>
      </c>
      <c r="H1665" t="n">
        <v>22</v>
      </c>
      <c r="I1665" t="n">
        <v>23.99</v>
      </c>
      <c r="J1665" t="n">
        <v>527.78</v>
      </c>
      <c r="K1665" t="n">
        <v>0.9</v>
      </c>
      <c r="L1665" t="n">
        <v>24.44444444444444</v>
      </c>
      <c r="M1665" t="n">
        <v>4</v>
      </c>
      <c r="N1665" t="n">
        <v>3.6</v>
      </c>
      <c r="O1665" t="n">
        <v>18.4</v>
      </c>
      <c r="P1665" t="n">
        <v>441.4159999999999</v>
      </c>
      <c r="Q1665" t="n">
        <v>0.8363636363636363</v>
      </c>
      <c r="R1665" t="inlineStr">
        <is>
          <t>Sobrestock crítico</t>
        </is>
      </c>
    </row>
    <row r="1666">
      <c r="A1666" t="inlineStr">
        <is>
          <t>SHOUNKI50T2</t>
        </is>
      </c>
      <c r="B1666" t="inlineStr">
        <is>
          <t>SHORT PLAYA KIDS</t>
        </is>
      </c>
      <c r="C1666" t="inlineStr">
        <is>
          <t>Manufactura / Kids / P. Inferiores</t>
        </is>
      </c>
      <c r="D1666" t="n">
        <v>327.50430814</v>
      </c>
      <c r="E1666" t="n">
        <v>8.018372176927438e-05</v>
      </c>
      <c r="F1666" t="n">
        <v>0.9550205308304531</v>
      </c>
      <c r="G1666" t="inlineStr">
        <is>
          <t>C</t>
        </is>
      </c>
      <c r="H1666" t="n">
        <v>13</v>
      </c>
      <c r="I1666" t="n">
        <v>6.09</v>
      </c>
      <c r="J1666" t="n">
        <v>79.17</v>
      </c>
      <c r="K1666" t="n">
        <v>0.8</v>
      </c>
      <c r="L1666" t="n">
        <v>16.25</v>
      </c>
      <c r="M1666" t="n">
        <v>4</v>
      </c>
      <c r="N1666" t="n">
        <v>3.2</v>
      </c>
      <c r="O1666" t="n">
        <v>9.800000000000001</v>
      </c>
      <c r="P1666" t="n">
        <v>59.682</v>
      </c>
      <c r="Q1666" t="n">
        <v>0.7538461538461538</v>
      </c>
      <c r="R1666" t="inlineStr">
        <is>
          <t>Sobrestock crítico</t>
        </is>
      </c>
    </row>
    <row r="1667">
      <c r="A1667" t="inlineStr">
        <is>
          <t>GEMBADA09TS</t>
        </is>
      </c>
      <c r="B1667" t="inlineStr">
        <is>
          <t>VESTIDO GEMMA DAMA</t>
        </is>
      </c>
      <c r="C1667" t="inlineStr">
        <is>
          <t>Manufactura / Dama / Conjuntos</t>
        </is>
      </c>
      <c r="D1667" t="n">
        <v>326.60794548</v>
      </c>
      <c r="E1667" t="n">
        <v>7.99642629946952e-05</v>
      </c>
      <c r="F1667" t="n">
        <v>0.9551004950934479</v>
      </c>
      <c r="G1667" t="inlineStr">
        <is>
          <t>C</t>
        </is>
      </c>
      <c r="H1667" t="n">
        <v>41</v>
      </c>
      <c r="I1667" t="n">
        <v>23.99</v>
      </c>
      <c r="J1667" t="n">
        <v>983.5899999999999</v>
      </c>
      <c r="K1667" t="n">
        <v>0.8</v>
      </c>
      <c r="L1667" t="n">
        <v>51.25</v>
      </c>
      <c r="M1667" t="n">
        <v>4</v>
      </c>
      <c r="N1667" t="n">
        <v>3.2</v>
      </c>
      <c r="O1667" t="n">
        <v>37.8</v>
      </c>
      <c r="P1667" t="n">
        <v>906.8219999999999</v>
      </c>
      <c r="Q1667" t="n">
        <v>0.9219512195121951</v>
      </c>
      <c r="R1667" t="inlineStr">
        <is>
          <t>Sobrestock crítico</t>
        </is>
      </c>
    </row>
    <row r="1668">
      <c r="A1668" t="inlineStr">
        <is>
          <t>ZOEMIDA70TXS</t>
        </is>
      </c>
      <c r="B1668" t="inlineStr">
        <is>
          <t>ZOE ORIGINAL DAMA</t>
        </is>
      </c>
      <c r="C1668" t="inlineStr">
        <is>
          <t>Manufactura / Dama / P. Superiores</t>
        </is>
      </c>
      <c r="D1668" t="n">
        <v>325.9906874</v>
      </c>
      <c r="E1668" t="n">
        <v>7.981313811200999e-05</v>
      </c>
      <c r="F1668" t="n">
        <v>0.95518030823156</v>
      </c>
      <c r="G1668" t="inlineStr">
        <is>
          <t>C</t>
        </is>
      </c>
      <c r="H1668" t="n">
        <v>11</v>
      </c>
      <c r="I1668" t="n">
        <v>4.116585696</v>
      </c>
      <c r="J1668" t="n">
        <v>45.28244265599999</v>
      </c>
      <c r="K1668" t="n">
        <v>1.4</v>
      </c>
      <c r="L1668" t="n">
        <v>7.857142857142858</v>
      </c>
      <c r="M1668" t="n">
        <v>4</v>
      </c>
      <c r="N1668" t="n">
        <v>5.6</v>
      </c>
      <c r="O1668" t="n">
        <v>5.4</v>
      </c>
      <c r="P1668" t="n">
        <v>22.2295627584</v>
      </c>
      <c r="Q1668" t="n">
        <v>0.490909090909091</v>
      </c>
      <c r="R1668" t="inlineStr">
        <is>
          <t>Sobrestock crítico</t>
        </is>
      </c>
    </row>
    <row r="1669">
      <c r="A1669" t="inlineStr">
        <is>
          <t>MAYFNDA13TS</t>
        </is>
      </c>
      <c r="B1669" t="inlineStr">
        <is>
          <t>MAYA SPORT LITE DAMA</t>
        </is>
      </c>
      <c r="C1669" t="inlineStr">
        <is>
          <t>Manufactura / Dama / P. Superiores</t>
        </is>
      </c>
      <c r="D1669" t="n">
        <v>325.68471281</v>
      </c>
      <c r="E1669" t="n">
        <v>7.973822556648543e-05</v>
      </c>
      <c r="F1669" t="n">
        <v>0.9552600464571264</v>
      </c>
      <c r="G1669" t="inlineStr">
        <is>
          <t>C</t>
        </is>
      </c>
      <c r="H1669" t="n">
        <v>8</v>
      </c>
      <c r="I1669" t="n">
        <v>3.87</v>
      </c>
      <c r="J1669" t="n">
        <v>30.96</v>
      </c>
      <c r="K1669" t="n">
        <v>0.8</v>
      </c>
      <c r="L1669" t="n">
        <v>10</v>
      </c>
      <c r="M1669" t="n">
        <v>4</v>
      </c>
      <c r="N1669" t="n">
        <v>3.2</v>
      </c>
      <c r="O1669" t="n">
        <v>4.8</v>
      </c>
      <c r="P1669" t="n">
        <v>18.576</v>
      </c>
      <c r="Q1669" t="n">
        <v>0.6</v>
      </c>
      <c r="R1669" t="inlineStr">
        <is>
          <t>Sobrestock crítico</t>
        </is>
      </c>
    </row>
    <row r="1670">
      <c r="A1670" t="inlineStr">
        <is>
          <t>TMOFIDA31TM</t>
        </is>
      </c>
      <c r="B1670" t="inlineStr">
        <is>
          <t>TOP MOVA</t>
        </is>
      </c>
      <c r="C1670" t="inlineStr">
        <is>
          <t>Manufactura / Dama / P. Superiores</t>
        </is>
      </c>
      <c r="D1670" t="n">
        <v>325.16775772</v>
      </c>
      <c r="E1670" t="n">
        <v>7.961165812271901e-05</v>
      </c>
      <c r="F1670" t="n">
        <v>0.9553396581152492</v>
      </c>
      <c r="G1670" t="inlineStr">
        <is>
          <t>C</t>
        </is>
      </c>
      <c r="H1670" t="n">
        <v>21</v>
      </c>
      <c r="I1670" t="n">
        <v>9.942967033</v>
      </c>
      <c r="J1670" t="n">
        <v>208.802307693</v>
      </c>
      <c r="K1670" t="n">
        <v>0.7</v>
      </c>
      <c r="L1670" t="n">
        <v>30</v>
      </c>
      <c r="M1670" t="n">
        <v>4</v>
      </c>
      <c r="N1670" t="n">
        <v>2.8</v>
      </c>
      <c r="O1670" t="n">
        <v>18.2</v>
      </c>
      <c r="P1670" t="n">
        <v>180.9620000006</v>
      </c>
      <c r="Q1670" t="n">
        <v>0.8666666666666666</v>
      </c>
      <c r="R1670" t="inlineStr">
        <is>
          <t>Sobrestock crítico</t>
        </is>
      </c>
    </row>
    <row r="1671">
      <c r="A1671" t="inlineStr">
        <is>
          <t>RIOMICA04TM</t>
        </is>
      </c>
      <c r="B1671" t="inlineStr">
        <is>
          <t>RIO ORIGINAL CAB</t>
        </is>
      </c>
      <c r="C1671" t="inlineStr">
        <is>
          <t>Manufactura / Caballero / P. Superiores</t>
        </is>
      </c>
      <c r="D1671" t="n">
        <v>325.16105979</v>
      </c>
      <c r="E1671" t="n">
        <v>7.961001825129685e-05</v>
      </c>
      <c r="F1671" t="n">
        <v>0.9554192681335004</v>
      </c>
      <c r="G1671" t="inlineStr">
        <is>
          <t>C</t>
        </is>
      </c>
      <c r="H1671" t="n">
        <v>8</v>
      </c>
      <c r="I1671" t="n">
        <v>5.939350288</v>
      </c>
      <c r="J1671" t="n">
        <v>47.514802304</v>
      </c>
      <c r="K1671" t="n">
        <v>0.5</v>
      </c>
      <c r="L1671" t="n">
        <v>16</v>
      </c>
      <c r="M1671" t="n">
        <v>4</v>
      </c>
      <c r="N1671" t="n">
        <v>2</v>
      </c>
      <c r="O1671" t="n">
        <v>6</v>
      </c>
      <c r="P1671" t="n">
        <v>35.636101728</v>
      </c>
      <c r="Q1671" t="n">
        <v>0.75</v>
      </c>
      <c r="R1671" t="inlineStr">
        <is>
          <t>Sobrestock crítico</t>
        </is>
      </c>
    </row>
    <row r="1672">
      <c r="A1672" t="inlineStr">
        <is>
          <t>ZOEMIKI53T10</t>
        </is>
      </c>
      <c r="B1672" t="inlineStr">
        <is>
          <t>ZOE ORIGINAL KIDS</t>
        </is>
      </c>
      <c r="C1672" t="inlineStr">
        <is>
          <t>Manufactura / Kids / P. Superiores</t>
        </is>
      </c>
      <c r="D1672" t="n">
        <v>324.94225588</v>
      </c>
      <c r="E1672" t="n">
        <v>7.955644792747087e-05</v>
      </c>
      <c r="F1672" t="n">
        <v>0.9554988245814279</v>
      </c>
      <c r="G1672" t="inlineStr">
        <is>
          <t>C</t>
        </is>
      </c>
      <c r="H1672" t="n">
        <v>2</v>
      </c>
      <c r="I1672" t="n">
        <v>4.12</v>
      </c>
      <c r="J1672" t="n">
        <v>8.24</v>
      </c>
      <c r="K1672" t="n">
        <v>0.9</v>
      </c>
      <c r="L1672" t="n">
        <v>2.222222222222222</v>
      </c>
      <c r="M1672" t="n">
        <v>4</v>
      </c>
      <c r="N1672" t="n">
        <v>3.6</v>
      </c>
      <c r="O1672" t="n">
        <v>0</v>
      </c>
      <c r="P1672" t="n">
        <v>0</v>
      </c>
      <c r="Q1672" t="n">
        <v>0</v>
      </c>
      <c r="R1672" t="inlineStr">
        <is>
          <t>OK</t>
        </is>
      </c>
    </row>
    <row r="1673">
      <c r="A1673" t="inlineStr">
        <is>
          <t>SHONTCA12TS</t>
        </is>
      </c>
      <c r="B1673" t="inlineStr">
        <is>
          <t>EXPLORE SHORT CAB</t>
        </is>
      </c>
      <c r="C1673" t="inlineStr">
        <is>
          <t>Manufactura / Caballero / P. Inferiores</t>
        </is>
      </c>
      <c r="D1673" t="n">
        <v>324.30973029</v>
      </c>
      <c r="E1673" t="n">
        <v>7.940158506105988e-05</v>
      </c>
      <c r="F1673" t="n">
        <v>0.955578226166489</v>
      </c>
      <c r="G1673" t="inlineStr">
        <is>
          <t>C</t>
        </is>
      </c>
      <c r="H1673" t="n">
        <v>1</v>
      </c>
      <c r="I1673" t="n">
        <v>11.17</v>
      </c>
      <c r="J1673" t="n">
        <v>11.17</v>
      </c>
      <c r="K1673" t="n">
        <v>1.1</v>
      </c>
      <c r="L1673" t="n">
        <v>0.9090909090909091</v>
      </c>
      <c r="M1673" t="n">
        <v>4</v>
      </c>
      <c r="N1673" t="n">
        <v>4.4</v>
      </c>
      <c r="O1673" t="n">
        <v>0</v>
      </c>
      <c r="P1673" t="n">
        <v>0</v>
      </c>
      <c r="Q1673" t="n">
        <v>0</v>
      </c>
      <c r="R1673" t="inlineStr">
        <is>
          <t>Riesgo bajo stock</t>
        </is>
      </c>
    </row>
    <row r="1674">
      <c r="A1674" t="inlineStr">
        <is>
          <t>MARMIDA05TL</t>
        </is>
      </c>
      <c r="B1674" t="inlineStr">
        <is>
          <t>MAR ORIGINAL DAMA</t>
        </is>
      </c>
      <c r="C1674" t="inlineStr">
        <is>
          <t>Manufactura / Dama / P. Superiores</t>
        </is>
      </c>
      <c r="D1674" t="n">
        <v>324.19685328</v>
      </c>
      <c r="E1674" t="n">
        <v>7.937394909249694e-05</v>
      </c>
      <c r="F1674" t="n">
        <v>0.9556576001155815</v>
      </c>
      <c r="G1674" t="inlineStr">
        <is>
          <t>C</t>
        </is>
      </c>
      <c r="H1674" t="n">
        <v>0</v>
      </c>
      <c r="I1674" t="n">
        <v>4.278324149</v>
      </c>
      <c r="J1674" t="n">
        <v>0</v>
      </c>
      <c r="K1674" t="n">
        <v>0.7</v>
      </c>
      <c r="L1674" t="n">
        <v>0</v>
      </c>
      <c r="M1674" t="n">
        <v>4</v>
      </c>
      <c r="N1674" t="n">
        <v>2.8</v>
      </c>
      <c r="O1674" t="n">
        <v>0</v>
      </c>
      <c r="P1674" t="n">
        <v>0</v>
      </c>
      <c r="Q1674" t="n">
        <v>0</v>
      </c>
      <c r="R1674" t="inlineStr">
        <is>
          <t>Sin rotación</t>
        </is>
      </c>
    </row>
    <row r="1675">
      <c r="A1675" t="inlineStr">
        <is>
          <t>ETN94E500ML</t>
        </is>
      </c>
      <c r="B1675" t="inlineStr">
        <is>
          <t>KAMBUKKA ETNA 500 ML</t>
        </is>
      </c>
      <c r="C1675" t="inlineStr">
        <is>
          <t>Equipamiento / Cava</t>
        </is>
      </c>
      <c r="D1675" t="n">
        <v>323.1166191</v>
      </c>
      <c r="E1675" t="n">
        <v>7.910947258094595e-05</v>
      </c>
      <c r="F1675" t="n">
        <v>0.9557367095881625</v>
      </c>
      <c r="G1675" t="inlineStr">
        <is>
          <t>C</t>
        </is>
      </c>
      <c r="H1675" t="n">
        <v>5</v>
      </c>
      <c r="I1675" t="n">
        <v>24.5</v>
      </c>
      <c r="J1675" t="n">
        <v>122.5</v>
      </c>
      <c r="K1675" t="n">
        <v>0.6</v>
      </c>
      <c r="L1675" t="n">
        <v>8.333333333333334</v>
      </c>
      <c r="M1675" t="n">
        <v>4</v>
      </c>
      <c r="N1675" t="n">
        <v>2.4</v>
      </c>
      <c r="O1675" t="n">
        <v>2.6</v>
      </c>
      <c r="P1675" t="n">
        <v>63.7</v>
      </c>
      <c r="Q1675" t="n">
        <v>0.52</v>
      </c>
      <c r="R1675" t="inlineStr">
        <is>
          <t>Sobrestock crítico</t>
        </is>
      </c>
    </row>
    <row r="1676">
      <c r="A1676" t="inlineStr">
        <is>
          <t>COA15C24OZ</t>
        </is>
      </c>
      <c r="B1676" t="inlineStr">
        <is>
          <t>CONTIGO ASHLAND 24OZ</t>
        </is>
      </c>
      <c r="C1676" t="inlineStr">
        <is>
          <t>Equipamiento / Cava</t>
        </is>
      </c>
      <c r="D1676" t="n">
        <v>323.10487797</v>
      </c>
      <c r="E1676" t="n">
        <v>7.910659796990185e-05</v>
      </c>
      <c r="F1676" t="n">
        <v>0.9558158161861323</v>
      </c>
      <c r="G1676" t="inlineStr">
        <is>
          <t>C</t>
        </is>
      </c>
      <c r="H1676" t="n">
        <v>0</v>
      </c>
      <c r="I1676" t="n">
        <v>24.5</v>
      </c>
      <c r="J1676" t="n">
        <v>0</v>
      </c>
      <c r="K1676" t="n">
        <v>1</v>
      </c>
      <c r="L1676" t="n">
        <v>0</v>
      </c>
      <c r="M1676" t="n">
        <v>4</v>
      </c>
      <c r="N1676" t="n">
        <v>4</v>
      </c>
      <c r="O1676" t="n">
        <v>0</v>
      </c>
      <c r="P1676" t="n">
        <v>0</v>
      </c>
      <c r="Q1676" t="n">
        <v>0</v>
      </c>
      <c r="R1676" t="inlineStr">
        <is>
          <t>Sin rotación</t>
        </is>
      </c>
    </row>
    <row r="1677">
      <c r="A1677" t="inlineStr">
        <is>
          <t>MARMIKI11T14</t>
        </is>
      </c>
      <c r="B1677" t="inlineStr">
        <is>
          <t>MAR ORIGINAL KIDS</t>
        </is>
      </c>
      <c r="C1677" t="inlineStr">
        <is>
          <t>Manufactura / Kids / P. Superiores</t>
        </is>
      </c>
      <c r="D1677" t="n">
        <v>322.53770482</v>
      </c>
      <c r="E1677" t="n">
        <v>7.896773550939593e-05</v>
      </c>
      <c r="F1677" t="n">
        <v>0.9558947839216417</v>
      </c>
      <c r="G1677" t="inlineStr">
        <is>
          <t>C</t>
        </is>
      </c>
      <c r="H1677" t="n">
        <v>0</v>
      </c>
      <c r="I1677" t="n">
        <v>3.168013332</v>
      </c>
      <c r="J1677" t="n">
        <v>0</v>
      </c>
      <c r="K1677" t="n">
        <v>0.9</v>
      </c>
      <c r="L1677" t="n">
        <v>0</v>
      </c>
      <c r="M1677" t="n">
        <v>4</v>
      </c>
      <c r="N1677" t="n">
        <v>3.6</v>
      </c>
      <c r="O1677" t="n">
        <v>0</v>
      </c>
      <c r="P1677" t="n">
        <v>0</v>
      </c>
      <c r="Q1677" t="n">
        <v>0</v>
      </c>
      <c r="R1677" t="inlineStr">
        <is>
          <t>Riesgo bajo stock</t>
        </is>
      </c>
    </row>
    <row r="1678">
      <c r="A1678" t="inlineStr">
        <is>
          <t>SHONRKI16T12</t>
        </is>
      </c>
      <c r="B1678" t="inlineStr">
        <is>
          <t>SHORT SPORT KIDS</t>
        </is>
      </c>
      <c r="C1678" t="inlineStr">
        <is>
          <t>Manufactura / Kids / P. Inferiores</t>
        </is>
      </c>
      <c r="D1678" t="n">
        <v>321.8937682494974</v>
      </c>
      <c r="E1678" t="n">
        <v>7.88100788632911e-05</v>
      </c>
      <c r="F1678" t="n">
        <v>0.9559735940005051</v>
      </c>
      <c r="G1678" t="inlineStr">
        <is>
          <t>C</t>
        </is>
      </c>
      <c r="H1678" t="n">
        <v>11</v>
      </c>
      <c r="I1678" t="n">
        <v>6.465724382</v>
      </c>
      <c r="J1678" t="n">
        <v>71.12296820200001</v>
      </c>
      <c r="K1678" t="n">
        <v>0.9</v>
      </c>
      <c r="L1678" t="n">
        <v>12.22222222222222</v>
      </c>
      <c r="M1678" t="n">
        <v>4</v>
      </c>
      <c r="N1678" t="n">
        <v>3.6</v>
      </c>
      <c r="O1678" t="n">
        <v>7.4</v>
      </c>
      <c r="P1678" t="n">
        <v>47.8463604268</v>
      </c>
      <c r="Q1678" t="n">
        <v>0.6727272727272727</v>
      </c>
      <c r="R1678" t="inlineStr">
        <is>
          <t>Sobrestock crítico</t>
        </is>
      </c>
    </row>
    <row r="1679">
      <c r="A1679" t="inlineStr">
        <is>
          <t>ZOEMIDA16TXS</t>
        </is>
      </c>
      <c r="B1679" t="inlineStr">
        <is>
          <t>ZOE ORIGINAL DAMA</t>
        </is>
      </c>
      <c r="C1679" t="inlineStr">
        <is>
          <t>Manufactura / Dama / P. Superiores</t>
        </is>
      </c>
      <c r="D1679" t="n">
        <v>321.84255641</v>
      </c>
      <c r="E1679" t="n">
        <v>7.879754053696227e-05</v>
      </c>
      <c r="F1679" t="n">
        <v>0.956052391541042</v>
      </c>
      <c r="G1679" t="inlineStr">
        <is>
          <t>C</t>
        </is>
      </c>
      <c r="H1679" t="n">
        <v>2</v>
      </c>
      <c r="I1679" t="n">
        <v>4.116585696</v>
      </c>
      <c r="J1679" t="n">
        <v>8.233171391999999</v>
      </c>
      <c r="K1679" t="n">
        <v>0.8</v>
      </c>
      <c r="L1679" t="n">
        <v>2.5</v>
      </c>
      <c r="M1679" t="n">
        <v>4</v>
      </c>
      <c r="N1679" t="n">
        <v>3.2</v>
      </c>
      <c r="O1679" t="n">
        <v>0</v>
      </c>
      <c r="P1679" t="n">
        <v>0</v>
      </c>
      <c r="Q1679" t="n">
        <v>0</v>
      </c>
      <c r="R1679" t="inlineStr">
        <is>
          <t>OK</t>
        </is>
      </c>
    </row>
    <row r="1680">
      <c r="A1680" t="inlineStr">
        <is>
          <t>CLAMIKI16T6</t>
        </is>
      </c>
      <c r="B1680" t="inlineStr">
        <is>
          <t>CLASICA ORIGINAL KIDS</t>
        </is>
      </c>
      <c r="C1680" t="inlineStr">
        <is>
          <t>Manufactura / Kids / P. Superiores</t>
        </is>
      </c>
      <c r="D1680" t="n">
        <v>321.3979157</v>
      </c>
      <c r="E1680" t="n">
        <v>7.868867800877016e-05</v>
      </c>
      <c r="F1680" t="n">
        <v>0.9561310802190508</v>
      </c>
      <c r="G1680" t="inlineStr">
        <is>
          <t>C</t>
        </is>
      </c>
      <c r="H1680" t="n">
        <v>52</v>
      </c>
      <c r="I1680" t="n">
        <v>2.053774806</v>
      </c>
      <c r="J1680" t="n">
        <v>106.796289912</v>
      </c>
      <c r="K1680" t="n">
        <v>1.1</v>
      </c>
      <c r="L1680" t="n">
        <v>47.27272727272727</v>
      </c>
      <c r="M1680" t="n">
        <v>4</v>
      </c>
      <c r="N1680" t="n">
        <v>4.4</v>
      </c>
      <c r="O1680" t="n">
        <v>47.6</v>
      </c>
      <c r="P1680" t="n">
        <v>97.7596807656</v>
      </c>
      <c r="Q1680" t="n">
        <v>0.9153846153846155</v>
      </c>
      <c r="R1680" t="inlineStr">
        <is>
          <t>Sobrestock crítico</t>
        </is>
      </c>
    </row>
    <row r="1681">
      <c r="A1681" t="inlineStr">
        <is>
          <t>SHONRKI66T8</t>
        </is>
      </c>
      <c r="B1681" t="inlineStr">
        <is>
          <t>SHORT SPORT KIDS</t>
        </is>
      </c>
      <c r="C1681" t="inlineStr">
        <is>
          <t>Manufactura / Kids / P. Inferiores</t>
        </is>
      </c>
      <c r="D1681" t="n">
        <v>321.20690049</v>
      </c>
      <c r="E1681" t="n">
        <v>7.864191126380937e-05</v>
      </c>
      <c r="F1681" t="n">
        <v>0.9562097221303145</v>
      </c>
      <c r="G1681" t="inlineStr">
        <is>
          <t>C</t>
        </is>
      </c>
      <c r="H1681" t="n">
        <v>20</v>
      </c>
      <c r="I1681" t="n">
        <v>6.465724382</v>
      </c>
      <c r="J1681" t="n">
        <v>129.31448764</v>
      </c>
      <c r="K1681" t="n">
        <v>0.8</v>
      </c>
      <c r="L1681" t="n">
        <v>25</v>
      </c>
      <c r="M1681" t="n">
        <v>4</v>
      </c>
      <c r="N1681" t="n">
        <v>3.2</v>
      </c>
      <c r="O1681" t="n">
        <v>16.8</v>
      </c>
      <c r="P1681" t="n">
        <v>108.6241696176</v>
      </c>
      <c r="Q1681" t="n">
        <v>0.84</v>
      </c>
      <c r="R1681" t="inlineStr">
        <is>
          <t>Sobrestock crítico</t>
        </is>
      </c>
    </row>
    <row r="1682">
      <c r="A1682" t="inlineStr">
        <is>
          <t>LAN63EQ</t>
        </is>
      </c>
      <c r="B1682" t="inlineStr">
        <is>
          <t>LANYARD</t>
        </is>
      </c>
      <c r="C1682" t="inlineStr">
        <is>
          <t>Equipamiento / Accesorios</t>
        </is>
      </c>
      <c r="D1682" t="n">
        <v>320.767784933</v>
      </c>
      <c r="E1682" t="n">
        <v>7.853440147303131e-05</v>
      </c>
      <c r="F1682" t="n">
        <v>0.9562882565317875</v>
      </c>
      <c r="G1682" t="inlineStr">
        <is>
          <t>C</t>
        </is>
      </c>
      <c r="H1682" t="n">
        <v>519</v>
      </c>
      <c r="I1682" t="n">
        <v>0.51</v>
      </c>
      <c r="J1682" t="n">
        <v>264.69</v>
      </c>
      <c r="K1682" t="n">
        <v>17.1</v>
      </c>
      <c r="L1682" t="n">
        <v>30.35087719298245</v>
      </c>
      <c r="M1682" t="n">
        <v>4</v>
      </c>
      <c r="N1682" t="n">
        <v>68.40000000000001</v>
      </c>
      <c r="O1682" t="n">
        <v>450.6</v>
      </c>
      <c r="P1682" t="n">
        <v>229.806</v>
      </c>
      <c r="Q1682" t="n">
        <v>0.8682080924855492</v>
      </c>
      <c r="R1682" t="inlineStr">
        <is>
          <t>Sobrestock crítico</t>
        </is>
      </c>
    </row>
    <row r="1683">
      <c r="A1683" t="inlineStr">
        <is>
          <t>ANMSUDA151TS</t>
        </is>
      </c>
      <c r="B1683" t="inlineStr">
        <is>
          <t>ANDRE MOTION DAMA</t>
        </is>
      </c>
      <c r="C1683" t="inlineStr">
        <is>
          <t>Manufactura / Dama / P. Superiores</t>
        </is>
      </c>
      <c r="D1683" t="n">
        <v>319.3014427</v>
      </c>
      <c r="E1683" t="n">
        <v>7.817539313418787e-05</v>
      </c>
      <c r="F1683" t="n">
        <v>0.9563664319249218</v>
      </c>
      <c r="G1683" t="inlineStr">
        <is>
          <t>C</t>
        </is>
      </c>
      <c r="H1683" t="n">
        <v>1</v>
      </c>
      <c r="I1683" t="n">
        <v>10.6</v>
      </c>
      <c r="J1683" t="n">
        <v>10.6</v>
      </c>
      <c r="K1683" t="n">
        <v>0.8</v>
      </c>
      <c r="L1683" t="n">
        <v>1.25</v>
      </c>
      <c r="M1683" t="n">
        <v>4</v>
      </c>
      <c r="N1683" t="n">
        <v>3.2</v>
      </c>
      <c r="O1683" t="n">
        <v>0</v>
      </c>
      <c r="P1683" t="n">
        <v>0</v>
      </c>
      <c r="Q1683" t="n">
        <v>0</v>
      </c>
      <c r="R1683" t="inlineStr">
        <is>
          <t>OK</t>
        </is>
      </c>
    </row>
    <row r="1684">
      <c r="A1684" t="inlineStr">
        <is>
          <t>SABSTKI30T10</t>
        </is>
      </c>
      <c r="B1684" t="inlineStr">
        <is>
          <t>RETRO VZLA KIDS</t>
        </is>
      </c>
      <c r="C1684" t="inlineStr">
        <is>
          <t>Manufactura / Dama / P. Superiores</t>
        </is>
      </c>
      <c r="D1684" t="n">
        <v>318.77274061</v>
      </c>
      <c r="E1684" t="n">
        <v>7.804594964221014e-05</v>
      </c>
      <c r="F1684" t="n">
        <v>0.956444477874564</v>
      </c>
      <c r="G1684" t="inlineStr">
        <is>
          <t>C</t>
        </is>
      </c>
      <c r="H1684" t="n">
        <v>5</v>
      </c>
      <c r="I1684" t="n">
        <v>10.18</v>
      </c>
      <c r="J1684" t="n">
        <v>50.9</v>
      </c>
      <c r="K1684" t="n">
        <v>0.9</v>
      </c>
      <c r="L1684" t="n">
        <v>5.555555555555555</v>
      </c>
      <c r="M1684" t="n">
        <v>4</v>
      </c>
      <c r="N1684" t="n">
        <v>3.6</v>
      </c>
      <c r="O1684" t="n">
        <v>1.4</v>
      </c>
      <c r="P1684" t="n">
        <v>14.252</v>
      </c>
      <c r="Q1684" t="n">
        <v>0.28</v>
      </c>
      <c r="R1684" t="inlineStr">
        <is>
          <t>Sobrestock</t>
        </is>
      </c>
    </row>
    <row r="1685">
      <c r="A1685" t="inlineStr">
        <is>
          <t>CLAMECA66TS</t>
        </is>
      </c>
      <c r="B1685" t="inlineStr">
        <is>
          <t>CLASICA SPORT CAB</t>
        </is>
      </c>
      <c r="C1685" t="inlineStr">
        <is>
          <t>Manufactura / Caballero / P. Superiores</t>
        </is>
      </c>
      <c r="D1685" t="n">
        <v>317.22051615</v>
      </c>
      <c r="E1685" t="n">
        <v>7.766591453692871e-05</v>
      </c>
      <c r="F1685" t="n">
        <v>0.9565221437891009</v>
      </c>
      <c r="G1685" t="inlineStr">
        <is>
          <t>C</t>
        </is>
      </c>
      <c r="H1685" t="n">
        <v>1</v>
      </c>
      <c r="I1685" t="n">
        <v>10.3013454</v>
      </c>
      <c r="J1685" t="n">
        <v>10.3013454</v>
      </c>
      <c r="K1685" t="n">
        <v>0.8</v>
      </c>
      <c r="L1685" t="n">
        <v>1.25</v>
      </c>
      <c r="M1685" t="n">
        <v>4</v>
      </c>
      <c r="N1685" t="n">
        <v>3.2</v>
      </c>
      <c r="O1685" t="n">
        <v>0</v>
      </c>
      <c r="P1685" t="n">
        <v>0</v>
      </c>
      <c r="Q1685" t="n">
        <v>0</v>
      </c>
      <c r="R1685" t="inlineStr">
        <is>
          <t>OK</t>
        </is>
      </c>
    </row>
    <row r="1686">
      <c r="A1686" t="inlineStr">
        <is>
          <t>RIOMIDA04TXL</t>
        </is>
      </c>
      <c r="B1686" t="inlineStr">
        <is>
          <t>RIO ORIGINAL DAMA</t>
        </is>
      </c>
      <c r="C1686" t="inlineStr">
        <is>
          <t>Manufactura / Dama / P. Superiores</t>
        </is>
      </c>
      <c r="D1686" t="n">
        <v>317.13163594</v>
      </c>
      <c r="E1686" t="n">
        <v>7.76441537666051e-05</v>
      </c>
      <c r="F1686" t="n">
        <v>0.9565997879428676</v>
      </c>
      <c r="G1686" t="inlineStr">
        <is>
          <t>C</t>
        </is>
      </c>
      <c r="H1686" t="n">
        <v>8</v>
      </c>
      <c r="I1686" t="n">
        <v>5.538832275</v>
      </c>
      <c r="J1686" t="n">
        <v>44.3106582</v>
      </c>
      <c r="K1686" t="n">
        <v>0.6</v>
      </c>
      <c r="L1686" t="n">
        <v>13.33333333333333</v>
      </c>
      <c r="M1686" t="n">
        <v>4</v>
      </c>
      <c r="N1686" t="n">
        <v>2.4</v>
      </c>
      <c r="O1686" t="n">
        <v>5.6</v>
      </c>
      <c r="P1686" t="n">
        <v>31.01746074</v>
      </c>
      <c r="Q1686" t="n">
        <v>0.7</v>
      </c>
      <c r="R1686" t="inlineStr">
        <is>
          <t>Sobrestock crítico</t>
        </is>
      </c>
    </row>
    <row r="1687">
      <c r="A1687" t="inlineStr">
        <is>
          <t>TALGOTADA166TXL</t>
        </is>
      </c>
      <c r="B1687" t="inlineStr">
        <is>
          <t>URBAN COTTON TOP SUNSET DAMA</t>
        </is>
      </c>
      <c r="C1687" t="inlineStr">
        <is>
          <t>Manufactura / Dama / P. Superiores</t>
        </is>
      </c>
      <c r="D1687" t="n">
        <v>316.7566495</v>
      </c>
      <c r="E1687" t="n">
        <v>7.755234487241687e-05</v>
      </c>
      <c r="F1687" t="n">
        <v>0.9566773402877399</v>
      </c>
      <c r="G1687" t="inlineStr">
        <is>
          <t>C</t>
        </is>
      </c>
      <c r="H1687" t="n">
        <v>0</v>
      </c>
      <c r="I1687" t="n">
        <v>7.815168794</v>
      </c>
      <c r="J1687" t="n">
        <v>0</v>
      </c>
      <c r="K1687" t="n">
        <v>0.5</v>
      </c>
      <c r="L1687" t="n">
        <v>0</v>
      </c>
      <c r="M1687" t="n">
        <v>4</v>
      </c>
      <c r="N1687" t="n">
        <v>2</v>
      </c>
      <c r="O1687" t="n">
        <v>0</v>
      </c>
      <c r="P1687" t="n">
        <v>0</v>
      </c>
      <c r="Q1687" t="n">
        <v>0</v>
      </c>
      <c r="R1687" t="inlineStr">
        <is>
          <t>Riesgo bajo stock</t>
        </is>
      </c>
    </row>
    <row r="1688">
      <c r="A1688" t="inlineStr">
        <is>
          <t>GEODOCACA03TM</t>
        </is>
      </c>
      <c r="B1688" t="inlineStr">
        <is>
          <t>ADVANCE GEO DOMINIC CAB</t>
        </is>
      </c>
      <c r="C1688" t="inlineStr">
        <is>
          <t>Manufactura / Caballero / P. Superiores</t>
        </is>
      </c>
      <c r="D1688" t="n">
        <v>316.04279017</v>
      </c>
      <c r="E1688" t="n">
        <v>7.737756885733419e-05</v>
      </c>
      <c r="F1688" t="n">
        <v>0.9567547178565973</v>
      </c>
      <c r="G1688" t="inlineStr">
        <is>
          <t>C</t>
        </is>
      </c>
      <c r="H1688" t="n">
        <v>34</v>
      </c>
      <c r="I1688" t="n">
        <v>13.35</v>
      </c>
      <c r="J1688" t="n">
        <v>453.9</v>
      </c>
      <c r="K1688" t="n">
        <v>0.9</v>
      </c>
      <c r="L1688" t="n">
        <v>37.77777777777778</v>
      </c>
      <c r="M1688" t="n">
        <v>4</v>
      </c>
      <c r="N1688" t="n">
        <v>3.6</v>
      </c>
      <c r="O1688" t="n">
        <v>30.4</v>
      </c>
      <c r="P1688" t="n">
        <v>405.84</v>
      </c>
      <c r="Q1688" t="n">
        <v>0.8941176470588236</v>
      </c>
      <c r="R1688" t="inlineStr">
        <is>
          <t>Sobrestock crítico</t>
        </is>
      </c>
    </row>
    <row r="1689">
      <c r="A1689" t="inlineStr">
        <is>
          <t>CLAMIKI12T10</t>
        </is>
      </c>
      <c r="B1689" t="inlineStr">
        <is>
          <t>CLASICA ORIGINAL KIDS</t>
        </is>
      </c>
      <c r="C1689" t="inlineStr">
        <is>
          <t>Manufactura / Kids / P. Superiores</t>
        </is>
      </c>
      <c r="D1689" t="n">
        <v>315.00841776</v>
      </c>
      <c r="E1689" t="n">
        <v>7.712432080084206e-05</v>
      </c>
      <c r="F1689" t="n">
        <v>0.9568318421773981</v>
      </c>
      <c r="G1689" t="inlineStr">
        <is>
          <t>C</t>
        </is>
      </c>
      <c r="H1689" t="n">
        <v>26</v>
      </c>
      <c r="I1689" t="n">
        <v>2.053774806</v>
      </c>
      <c r="J1689" t="n">
        <v>53.398144956</v>
      </c>
      <c r="K1689" t="n">
        <v>1</v>
      </c>
      <c r="L1689" t="n">
        <v>26</v>
      </c>
      <c r="M1689" t="n">
        <v>4</v>
      </c>
      <c r="N1689" t="n">
        <v>4</v>
      </c>
      <c r="O1689" t="n">
        <v>22</v>
      </c>
      <c r="P1689" t="n">
        <v>45.183045732</v>
      </c>
      <c r="Q1689" t="n">
        <v>0.8461538461538461</v>
      </c>
      <c r="R1689" t="inlineStr">
        <is>
          <t>Sobrestock crítico</t>
        </is>
      </c>
    </row>
    <row r="1690">
      <c r="A1690" t="inlineStr">
        <is>
          <t>CLMSUCA151T2XL</t>
        </is>
      </c>
      <c r="B1690" t="inlineStr">
        <is>
          <t>CLASICA MOTION CAB</t>
        </is>
      </c>
      <c r="C1690" t="inlineStr">
        <is>
          <t>Manufactura / Caballero / P. Superiores</t>
        </is>
      </c>
      <c r="D1690" t="n">
        <v>313.66547564</v>
      </c>
      <c r="E1690" t="n">
        <v>7.679552482892377e-05</v>
      </c>
      <c r="F1690" t="n">
        <v>0.9569086377022271</v>
      </c>
      <c r="G1690" t="inlineStr">
        <is>
          <t>C</t>
        </is>
      </c>
      <c r="H1690" t="n">
        <v>1</v>
      </c>
      <c r="I1690" t="n">
        <v>12.26</v>
      </c>
      <c r="J1690" t="n">
        <v>12.26</v>
      </c>
      <c r="K1690" t="n">
        <v>0.8</v>
      </c>
      <c r="L1690" t="n">
        <v>1.25</v>
      </c>
      <c r="M1690" t="n">
        <v>4</v>
      </c>
      <c r="N1690" t="n">
        <v>3.2</v>
      </c>
      <c r="O1690" t="n">
        <v>0</v>
      </c>
      <c r="P1690" t="n">
        <v>0</v>
      </c>
      <c r="Q1690" t="n">
        <v>0</v>
      </c>
      <c r="R1690" t="inlineStr">
        <is>
          <t>OK</t>
        </is>
      </c>
    </row>
    <row r="1691">
      <c r="A1691" t="inlineStr">
        <is>
          <t>CLAMEKI30T10</t>
        </is>
      </c>
      <c r="B1691" t="inlineStr">
        <is>
          <t>CLASICA SPORT KIDS</t>
        </is>
      </c>
      <c r="C1691" t="inlineStr">
        <is>
          <t>Manufactura / Kids / P. Superiores</t>
        </is>
      </c>
      <c r="D1691" t="n">
        <v>313.62320192</v>
      </c>
      <c r="E1691" t="n">
        <v>7.678517484537123e-05</v>
      </c>
      <c r="F1691" t="n">
        <v>0.9569854228770723</v>
      </c>
      <c r="G1691" t="inlineStr">
        <is>
          <t>C</t>
        </is>
      </c>
      <c r="H1691" t="n">
        <v>36</v>
      </c>
      <c r="I1691" t="n">
        <v>3.97</v>
      </c>
      <c r="J1691" t="n">
        <v>142.92</v>
      </c>
      <c r="K1691" t="n">
        <v>0.9</v>
      </c>
      <c r="L1691" t="n">
        <v>40</v>
      </c>
      <c r="M1691" t="n">
        <v>4</v>
      </c>
      <c r="N1691" t="n">
        <v>3.6</v>
      </c>
      <c r="O1691" t="n">
        <v>32.4</v>
      </c>
      <c r="P1691" t="n">
        <v>128.628</v>
      </c>
      <c r="Q1691" t="n">
        <v>0.9</v>
      </c>
      <c r="R1691" t="inlineStr">
        <is>
          <t>Sobrestock crítico</t>
        </is>
      </c>
    </row>
    <row r="1692">
      <c r="A1692" t="inlineStr">
        <is>
          <t>HELBFDA43TL</t>
        </is>
      </c>
      <c r="B1692" t="inlineStr">
        <is>
          <t>HELEN BIO MOVE DAMA</t>
        </is>
      </c>
      <c r="C1692" t="inlineStr">
        <is>
          <t>Manufactura / Dama / P. Superiores</t>
        </is>
      </c>
      <c r="D1692" t="n">
        <v>313.42558559</v>
      </c>
      <c r="E1692" t="n">
        <v>7.673679193122949e-05</v>
      </c>
      <c r="F1692" t="n">
        <v>0.9570621596690037</v>
      </c>
      <c r="G1692" t="inlineStr">
        <is>
          <t>C</t>
        </is>
      </c>
      <c r="H1692" t="n">
        <v>9</v>
      </c>
      <c r="I1692" t="n">
        <v>7.340817459999999</v>
      </c>
      <c r="J1692" t="n">
        <v>66.06735714</v>
      </c>
      <c r="K1692" t="n">
        <v>0.5</v>
      </c>
      <c r="L1692" t="n">
        <v>18</v>
      </c>
      <c r="M1692" t="n">
        <v>4</v>
      </c>
      <c r="N1692" t="n">
        <v>2</v>
      </c>
      <c r="O1692" t="n">
        <v>7</v>
      </c>
      <c r="P1692" t="n">
        <v>51.38572222</v>
      </c>
      <c r="Q1692" t="n">
        <v>0.7777777777777778</v>
      </c>
      <c r="R1692" t="inlineStr">
        <is>
          <t>Sobrestock crítico</t>
        </is>
      </c>
    </row>
    <row r="1693">
      <c r="A1693" t="inlineStr">
        <is>
          <t>SHOUNKI12T6</t>
        </is>
      </c>
      <c r="B1693" t="inlineStr">
        <is>
          <t>SHORT PLAYA KIDS</t>
        </is>
      </c>
      <c r="C1693" t="inlineStr">
        <is>
          <t>Manufactura / Kids / P. Inferiores</t>
        </is>
      </c>
      <c r="D1693" t="n">
        <v>312.52156658</v>
      </c>
      <c r="E1693" t="n">
        <v>7.65154586327955e-05</v>
      </c>
      <c r="F1693" t="n">
        <v>0.9571386751276364</v>
      </c>
      <c r="G1693" t="inlineStr">
        <is>
          <t>C</t>
        </is>
      </c>
      <c r="H1693" t="n">
        <v>26</v>
      </c>
      <c r="I1693" t="n">
        <v>6.09</v>
      </c>
      <c r="J1693" t="n">
        <v>158.34</v>
      </c>
      <c r="K1693" t="n">
        <v>0.8</v>
      </c>
      <c r="L1693" t="n">
        <v>32.5</v>
      </c>
      <c r="M1693" t="n">
        <v>4</v>
      </c>
      <c r="N1693" t="n">
        <v>3.2</v>
      </c>
      <c r="O1693" t="n">
        <v>22.8</v>
      </c>
      <c r="P1693" t="n">
        <v>138.852</v>
      </c>
      <c r="Q1693" t="n">
        <v>0.8769230769230769</v>
      </c>
      <c r="R1693" t="inlineStr">
        <is>
          <t>Sobrestock crítico</t>
        </is>
      </c>
    </row>
    <row r="1694">
      <c r="A1694" t="inlineStr">
        <is>
          <t>SHOUNCA68T2XL</t>
        </is>
      </c>
      <c r="B1694" t="inlineStr">
        <is>
          <t>SHORT PLAYA CAB</t>
        </is>
      </c>
      <c r="C1694" t="inlineStr">
        <is>
          <t>Manufactura / Caballero / P. Inferiores</t>
        </is>
      </c>
      <c r="D1694" t="n">
        <v>311.72032247</v>
      </c>
      <c r="E1694" t="n">
        <v>7.631928797736079e-05</v>
      </c>
      <c r="F1694" t="n">
        <v>0.9572149944156138</v>
      </c>
      <c r="G1694" t="inlineStr">
        <is>
          <t>C</t>
        </is>
      </c>
      <c r="H1694" t="n">
        <v>0</v>
      </c>
      <c r="I1694" t="n">
        <v>9.99</v>
      </c>
      <c r="J1694" t="n">
        <v>0</v>
      </c>
      <c r="K1694" t="n">
        <v>0.7</v>
      </c>
      <c r="L1694" t="n">
        <v>0</v>
      </c>
      <c r="M1694" t="n">
        <v>4</v>
      </c>
      <c r="N1694" t="n">
        <v>2.8</v>
      </c>
      <c r="O1694" t="n">
        <v>0</v>
      </c>
      <c r="P1694" t="n">
        <v>0</v>
      </c>
      <c r="Q1694" t="n">
        <v>0</v>
      </c>
      <c r="R1694" t="inlineStr">
        <is>
          <t>Sin rotación</t>
        </is>
      </c>
    </row>
    <row r="1695">
      <c r="A1695" t="inlineStr">
        <is>
          <t>MARMIKI48T10</t>
        </is>
      </c>
      <c r="B1695" t="inlineStr">
        <is>
          <t>MAR ORIGINAL KIDS</t>
        </is>
      </c>
      <c r="C1695" t="inlineStr">
        <is>
          <t>Manufactura / Kids / P. Superiores</t>
        </is>
      </c>
      <c r="D1695" t="n">
        <v>311.56707132</v>
      </c>
      <c r="E1695" t="n">
        <v>7.62817671043005e-05</v>
      </c>
      <c r="F1695" t="n">
        <v>0.9572912761827181</v>
      </c>
      <c r="G1695" t="inlineStr">
        <is>
          <t>C</t>
        </is>
      </c>
      <c r="H1695" t="n">
        <v>26</v>
      </c>
      <c r="I1695" t="n">
        <v>3.168013332</v>
      </c>
      <c r="J1695" t="n">
        <v>82.368346632</v>
      </c>
      <c r="K1695" t="n">
        <v>0.8</v>
      </c>
      <c r="L1695" t="n">
        <v>32.5</v>
      </c>
      <c r="M1695" t="n">
        <v>4</v>
      </c>
      <c r="N1695" t="n">
        <v>3.2</v>
      </c>
      <c r="O1695" t="n">
        <v>22.8</v>
      </c>
      <c r="P1695" t="n">
        <v>72.2307039696</v>
      </c>
      <c r="Q1695" t="n">
        <v>0.8769230769230769</v>
      </c>
      <c r="R1695" t="inlineStr">
        <is>
          <t>Sobrestock crítico</t>
        </is>
      </c>
    </row>
    <row r="1696">
      <c r="A1696" t="inlineStr">
        <is>
          <t>CLAMEKI30T8</t>
        </is>
      </c>
      <c r="B1696" t="inlineStr">
        <is>
          <t>CLASICA SPORT KIDS</t>
        </is>
      </c>
      <c r="C1696" t="inlineStr">
        <is>
          <t>Manufactura / Kids / P. Superiores</t>
        </is>
      </c>
      <c r="D1696" t="n">
        <v>311.44525316</v>
      </c>
      <c r="E1696" t="n">
        <v>7.625194205099552e-05</v>
      </c>
      <c r="F1696" t="n">
        <v>0.9573675281247692</v>
      </c>
      <c r="G1696" t="inlineStr">
        <is>
          <t>C</t>
        </is>
      </c>
      <c r="H1696" t="n">
        <v>42</v>
      </c>
      <c r="I1696" t="n">
        <v>3.970000000000001</v>
      </c>
      <c r="J1696" t="n">
        <v>166.74</v>
      </c>
      <c r="K1696" t="n">
        <v>0.9</v>
      </c>
      <c r="L1696" t="n">
        <v>46.66666666666666</v>
      </c>
      <c r="M1696" t="n">
        <v>4</v>
      </c>
      <c r="N1696" t="n">
        <v>3.6</v>
      </c>
      <c r="O1696" t="n">
        <v>38.4</v>
      </c>
      <c r="P1696" t="n">
        <v>152.448</v>
      </c>
      <c r="Q1696" t="n">
        <v>0.9142857142857141</v>
      </c>
      <c r="R1696" t="inlineStr">
        <is>
          <t>Sobrestock crítico</t>
        </is>
      </c>
    </row>
    <row r="1697">
      <c r="A1697" t="inlineStr">
        <is>
          <t>ANMSUDA15TS</t>
        </is>
      </c>
      <c r="B1697" t="inlineStr">
        <is>
          <t>ANDRE MOTION DAMA</t>
        </is>
      </c>
      <c r="C1697" t="inlineStr">
        <is>
          <t>Manufactura / Dama / P. Superiores</t>
        </is>
      </c>
      <c r="D1697" t="n">
        <v>310.98474697</v>
      </c>
      <c r="E1697" t="n">
        <v>7.613919513654516e-05</v>
      </c>
      <c r="F1697" t="n">
        <v>0.9574436673199056</v>
      </c>
      <c r="G1697" t="inlineStr">
        <is>
          <t>C</t>
        </is>
      </c>
      <c r="H1697" t="n">
        <v>5</v>
      </c>
      <c r="I1697" t="n">
        <v>10.6</v>
      </c>
      <c r="J1697" t="n">
        <v>53</v>
      </c>
      <c r="K1697" t="n">
        <v>0.7</v>
      </c>
      <c r="L1697" t="n">
        <v>7.142857142857143</v>
      </c>
      <c r="M1697" t="n">
        <v>4</v>
      </c>
      <c r="N1697" t="n">
        <v>2.8</v>
      </c>
      <c r="O1697" t="n">
        <v>2.2</v>
      </c>
      <c r="P1697" t="n">
        <v>23.32</v>
      </c>
      <c r="Q1697" t="n">
        <v>0.44</v>
      </c>
      <c r="R1697" t="inlineStr">
        <is>
          <t>Sobrestock crítico</t>
        </is>
      </c>
    </row>
    <row r="1698">
      <c r="A1698" t="inlineStr">
        <is>
          <t>SHOUNKI33T12</t>
        </is>
      </c>
      <c r="B1698" t="inlineStr">
        <is>
          <t>SHORT PLAYA KIDS</t>
        </is>
      </c>
      <c r="C1698" t="inlineStr">
        <is>
          <t>Manufactura / Kids / P. Inferiores</t>
        </is>
      </c>
      <c r="D1698" t="n">
        <v>310.92151006</v>
      </c>
      <c r="E1698" t="n">
        <v>7.612371268128896e-05</v>
      </c>
      <c r="F1698" t="n">
        <v>0.9575197910325869</v>
      </c>
      <c r="G1698" t="inlineStr">
        <is>
          <t>C</t>
        </is>
      </c>
      <c r="H1698" t="n">
        <v>1</v>
      </c>
      <c r="I1698" t="n">
        <v>6.09</v>
      </c>
      <c r="J1698" t="n">
        <v>6.09</v>
      </c>
      <c r="K1698" t="n">
        <v>0.8</v>
      </c>
      <c r="L1698" t="n">
        <v>1.25</v>
      </c>
      <c r="M1698" t="n">
        <v>4</v>
      </c>
      <c r="N1698" t="n">
        <v>3.2</v>
      </c>
      <c r="O1698" t="n">
        <v>0</v>
      </c>
      <c r="P1698" t="n">
        <v>0</v>
      </c>
      <c r="Q1698" t="n">
        <v>0</v>
      </c>
      <c r="R1698" t="inlineStr">
        <is>
          <t>OK</t>
        </is>
      </c>
    </row>
    <row r="1699">
      <c r="A1699" t="inlineStr">
        <is>
          <t>JACCA70T2XL</t>
        </is>
      </c>
      <c r="B1699" t="inlineStr">
        <is>
          <t>JACKET CAB</t>
        </is>
      </c>
      <c r="C1699" t="inlineStr">
        <is>
          <t>Equipamiento / Ropa</t>
        </is>
      </c>
      <c r="D1699" t="n">
        <v>310.54472529</v>
      </c>
      <c r="E1699" t="n">
        <v>7.603146349734336e-05</v>
      </c>
      <c r="F1699" t="n">
        <v>0.9575958224960843</v>
      </c>
      <c r="G1699" t="inlineStr">
        <is>
          <t>C</t>
        </is>
      </c>
      <c r="H1699" t="n">
        <v>0</v>
      </c>
      <c r="I1699" t="n">
        <v>20.25001933</v>
      </c>
      <c r="J1699" t="n">
        <v>0</v>
      </c>
      <c r="K1699" t="n">
        <v>0.5</v>
      </c>
      <c r="L1699" t="n">
        <v>0</v>
      </c>
      <c r="M1699" t="n">
        <v>4</v>
      </c>
      <c r="N1699" t="n">
        <v>2</v>
      </c>
      <c r="O1699" t="n">
        <v>0</v>
      </c>
      <c r="P1699" t="n">
        <v>0</v>
      </c>
      <c r="Q1699" t="n">
        <v>0</v>
      </c>
      <c r="R1699" t="inlineStr">
        <is>
          <t>Sin rotación</t>
        </is>
      </c>
    </row>
    <row r="1700">
      <c r="A1700" t="inlineStr">
        <is>
          <t>CLAMEKI43T8</t>
        </is>
      </c>
      <c r="B1700" t="inlineStr">
        <is>
          <t>CLASICA SPORT KIDS</t>
        </is>
      </c>
      <c r="C1700" t="inlineStr">
        <is>
          <t>Manufactura / Kids / P. Superiores</t>
        </is>
      </c>
      <c r="D1700" t="n">
        <v>310.40082507</v>
      </c>
      <c r="E1700" t="n">
        <v>7.599623203651603e-05</v>
      </c>
      <c r="F1700" t="n">
        <v>0.9576718187281208</v>
      </c>
      <c r="G1700" t="inlineStr">
        <is>
          <t>C</t>
        </is>
      </c>
      <c r="H1700" t="n">
        <v>10</v>
      </c>
      <c r="I1700" t="n">
        <v>3.97</v>
      </c>
      <c r="J1700" t="n">
        <v>39.7</v>
      </c>
      <c r="K1700" t="n">
        <v>0.9</v>
      </c>
      <c r="L1700" t="n">
        <v>11.11111111111111</v>
      </c>
      <c r="M1700" t="n">
        <v>4</v>
      </c>
      <c r="N1700" t="n">
        <v>3.6</v>
      </c>
      <c r="O1700" t="n">
        <v>6.4</v>
      </c>
      <c r="P1700" t="n">
        <v>25.408</v>
      </c>
      <c r="Q1700" t="n">
        <v>0.64</v>
      </c>
      <c r="R1700" t="inlineStr">
        <is>
          <t>Sobrestock crítico</t>
        </is>
      </c>
    </row>
    <row r="1701">
      <c r="A1701" t="inlineStr">
        <is>
          <t>CCBHMKI151T12</t>
        </is>
      </c>
      <c r="B1701" t="inlineStr">
        <is>
          <t>CLUB CLASICA KIDS</t>
        </is>
      </c>
      <c r="C1701" t="inlineStr">
        <is>
          <t>Manufactura / Kids / P. Superiores</t>
        </is>
      </c>
      <c r="D1701" t="n">
        <v>310</v>
      </c>
      <c r="E1701" t="n">
        <v>7.589809700411429e-05</v>
      </c>
      <c r="F1701" t="n">
        <v>0.9577477168251249</v>
      </c>
      <c r="G1701" t="inlineStr">
        <is>
          <t>C</t>
        </is>
      </c>
      <c r="H1701" t="n">
        <v>22</v>
      </c>
      <c r="I1701" t="n">
        <v>1</v>
      </c>
      <c r="J1701" t="n">
        <v>22</v>
      </c>
      <c r="K1701" t="n">
        <v>0.9</v>
      </c>
      <c r="L1701" t="n">
        <v>24.44444444444444</v>
      </c>
      <c r="M1701" t="n">
        <v>4</v>
      </c>
      <c r="N1701" t="n">
        <v>3.6</v>
      </c>
      <c r="O1701" t="n">
        <v>18.4</v>
      </c>
      <c r="P1701" t="n">
        <v>18.4</v>
      </c>
      <c r="Q1701" t="n">
        <v>0.8363636363636363</v>
      </c>
      <c r="R1701" t="inlineStr">
        <is>
          <t>Sobrestock crítico</t>
        </is>
      </c>
    </row>
    <row r="1702">
      <c r="A1702" t="inlineStr">
        <is>
          <t>GEODOCACA168T2XL</t>
        </is>
      </c>
      <c r="B1702" t="inlineStr">
        <is>
          <t>ADVANCE GEO DOMINIC CAB</t>
        </is>
      </c>
      <c r="C1702" t="inlineStr">
        <is>
          <t>Manufactura / Caballero / P. Superiores</t>
        </is>
      </c>
      <c r="D1702" t="n">
        <v>309.67253816</v>
      </c>
      <c r="E1702" t="n">
        <v>7.581792367992891e-05</v>
      </c>
      <c r="F1702" t="n">
        <v>0.9578235347488049</v>
      </c>
      <c r="G1702" t="inlineStr">
        <is>
          <t>C</t>
        </is>
      </c>
      <c r="H1702" t="n">
        <v>15</v>
      </c>
      <c r="I1702" t="n">
        <v>13.35</v>
      </c>
      <c r="J1702" t="n">
        <v>200.25</v>
      </c>
      <c r="K1702" t="n">
        <v>0.5</v>
      </c>
      <c r="L1702" t="n">
        <v>30</v>
      </c>
      <c r="M1702" t="n">
        <v>4</v>
      </c>
      <c r="N1702" t="n">
        <v>2</v>
      </c>
      <c r="O1702" t="n">
        <v>13</v>
      </c>
      <c r="P1702" t="n">
        <v>173.55</v>
      </c>
      <c r="Q1702" t="n">
        <v>0.8666666666666666</v>
      </c>
      <c r="R1702" t="inlineStr">
        <is>
          <t>Sobrestock crítico</t>
        </is>
      </c>
    </row>
    <row r="1703">
      <c r="A1703" t="inlineStr">
        <is>
          <t>RIOMICA14TXL</t>
        </is>
      </c>
      <c r="B1703" t="inlineStr">
        <is>
          <t>RIO ORIGINAL CAB</t>
        </is>
      </c>
      <c r="C1703" t="inlineStr">
        <is>
          <t>Manufactura / Caballero / P. Superiores</t>
        </is>
      </c>
      <c r="D1703" t="n">
        <v>309.43264264</v>
      </c>
      <c r="E1703" t="n">
        <v>7.575918944300049e-05</v>
      </c>
      <c r="F1703" t="n">
        <v>0.9578992939382479</v>
      </c>
      <c r="G1703" t="inlineStr">
        <is>
          <t>C</t>
        </is>
      </c>
      <c r="H1703" t="n">
        <v>0</v>
      </c>
      <c r="I1703" t="n">
        <v>5.939350288</v>
      </c>
      <c r="J1703" t="n">
        <v>0</v>
      </c>
      <c r="K1703" t="n">
        <v>0.6</v>
      </c>
      <c r="L1703" t="n">
        <v>0</v>
      </c>
      <c r="M1703" t="n">
        <v>4</v>
      </c>
      <c r="N1703" t="n">
        <v>2.4</v>
      </c>
      <c r="O1703" t="n">
        <v>0</v>
      </c>
      <c r="P1703" t="n">
        <v>0</v>
      </c>
      <c r="Q1703" t="n">
        <v>0</v>
      </c>
      <c r="R1703" t="inlineStr">
        <is>
          <t>Sin rotación</t>
        </is>
      </c>
    </row>
    <row r="1704">
      <c r="A1704" t="inlineStr">
        <is>
          <t>CLAMIKI16T14</t>
        </is>
      </c>
      <c r="B1704" t="inlineStr">
        <is>
          <t>CLASICA ORIGINAL KIDS</t>
        </is>
      </c>
      <c r="C1704" t="inlineStr">
        <is>
          <t>Manufactura / Kids / P. Superiores</t>
        </is>
      </c>
      <c r="D1704" t="n">
        <v>309.1304318</v>
      </c>
      <c r="E1704" t="n">
        <v>7.568519838606496e-05</v>
      </c>
      <c r="F1704" t="n">
        <v>0.957974979136634</v>
      </c>
      <c r="G1704" t="inlineStr">
        <is>
          <t>C</t>
        </is>
      </c>
      <c r="H1704" t="n">
        <v>0</v>
      </c>
      <c r="I1704" t="n">
        <v>2.053774806</v>
      </c>
      <c r="J1704" t="n">
        <v>0</v>
      </c>
      <c r="K1704" t="n">
        <v>2.3</v>
      </c>
      <c r="L1704" t="n">
        <v>0</v>
      </c>
      <c r="M1704" t="n">
        <v>4</v>
      </c>
      <c r="N1704" t="n">
        <v>9.199999999999999</v>
      </c>
      <c r="O1704" t="n">
        <v>0</v>
      </c>
      <c r="P1704" t="n">
        <v>0</v>
      </c>
      <c r="Q1704" t="n">
        <v>0</v>
      </c>
      <c r="R1704" t="inlineStr">
        <is>
          <t>Riesgo bajo stock</t>
        </is>
      </c>
    </row>
    <row r="1705">
      <c r="A1705" t="inlineStr">
        <is>
          <t>RIOMICA70T2XL</t>
        </is>
      </c>
      <c r="B1705" t="inlineStr">
        <is>
          <t>RIO ORIGINAL CAB</t>
        </is>
      </c>
      <c r="C1705" t="inlineStr">
        <is>
          <t>Manufactura / Caballero / P. Superiores</t>
        </is>
      </c>
      <c r="D1705" t="n">
        <v>309.06776448</v>
      </c>
      <c r="E1705" t="n">
        <v>7.566985538499287e-05</v>
      </c>
      <c r="F1705" t="n">
        <v>0.958050648992019</v>
      </c>
      <c r="G1705" t="inlineStr">
        <is>
          <t>C</t>
        </is>
      </c>
      <c r="H1705" t="n">
        <v>17</v>
      </c>
      <c r="I1705" t="n">
        <v>5.939350288</v>
      </c>
      <c r="J1705" t="n">
        <v>100.968954896</v>
      </c>
      <c r="K1705" t="n">
        <v>0.6</v>
      </c>
      <c r="L1705" t="n">
        <v>28.33333333333334</v>
      </c>
      <c r="M1705" t="n">
        <v>4</v>
      </c>
      <c r="N1705" t="n">
        <v>2.4</v>
      </c>
      <c r="O1705" t="n">
        <v>14.6</v>
      </c>
      <c r="P1705" t="n">
        <v>86.7145142048</v>
      </c>
      <c r="Q1705" t="n">
        <v>0.8588235294117647</v>
      </c>
      <c r="R1705" t="inlineStr">
        <is>
          <t>Sobrestock crítico</t>
        </is>
      </c>
    </row>
    <row r="1706">
      <c r="A1706" t="inlineStr">
        <is>
          <t>SUC39EQ</t>
        </is>
      </c>
      <c r="B1706" t="inlineStr">
        <is>
          <t>SUNNY CORD 2.0</t>
        </is>
      </c>
      <c r="C1706" t="inlineStr">
        <is>
          <t>Equipamiento / Accesorios</t>
        </is>
      </c>
      <c r="D1706" t="n">
        <v>308.906358699</v>
      </c>
      <c r="E1706" t="n">
        <v>7.563033799265945e-05</v>
      </c>
      <c r="F1706" t="n">
        <v>0.9581262793300116</v>
      </c>
      <c r="G1706" t="inlineStr">
        <is>
          <t>C</t>
        </is>
      </c>
      <c r="H1706" t="n">
        <v>545</v>
      </c>
      <c r="I1706" t="n">
        <v>0.66</v>
      </c>
      <c r="J1706" t="n">
        <v>359.7</v>
      </c>
      <c r="K1706" t="n">
        <v>9.199999999999999</v>
      </c>
      <c r="L1706" t="n">
        <v>59.23913043478262</v>
      </c>
      <c r="M1706" t="n">
        <v>4</v>
      </c>
      <c r="N1706" t="n">
        <v>36.8</v>
      </c>
      <c r="O1706" t="n">
        <v>508.2</v>
      </c>
      <c r="P1706" t="n">
        <v>335.412</v>
      </c>
      <c r="Q1706" t="n">
        <v>0.9324770642201836</v>
      </c>
      <c r="R1706" t="inlineStr">
        <is>
          <t>Sobrestock crítico</t>
        </is>
      </c>
    </row>
    <row r="1707">
      <c r="A1707" t="inlineStr">
        <is>
          <t>SMCBNEDA16TS</t>
        </is>
      </c>
      <c r="B1707" t="inlineStr">
        <is>
          <t>SPOTS MANGA CORTA DAMA</t>
        </is>
      </c>
      <c r="C1707" t="inlineStr">
        <is>
          <t>Manufactura / Dama / P. Superiores</t>
        </is>
      </c>
      <c r="D1707" t="n">
        <v>307.9421127077694</v>
      </c>
      <c r="E1707" t="n">
        <v>7.539425916756832e-05</v>
      </c>
      <c r="F1707" t="n">
        <v>0.9582016735891792</v>
      </c>
      <c r="G1707" t="inlineStr">
        <is>
          <t>C</t>
        </is>
      </c>
      <c r="H1707" t="n">
        <v>5</v>
      </c>
      <c r="I1707" t="n">
        <v>8.5</v>
      </c>
      <c r="J1707" t="n">
        <v>42.5</v>
      </c>
      <c r="K1707" t="n">
        <v>1.3</v>
      </c>
      <c r="L1707" t="n">
        <v>3.846153846153846</v>
      </c>
      <c r="M1707" t="n">
        <v>4</v>
      </c>
      <c r="N1707" t="n">
        <v>5.2</v>
      </c>
      <c r="O1707" t="n">
        <v>0</v>
      </c>
      <c r="P1707" t="n">
        <v>0</v>
      </c>
      <c r="Q1707" t="n">
        <v>0</v>
      </c>
      <c r="R1707" t="inlineStr">
        <is>
          <t>OK</t>
        </is>
      </c>
    </row>
    <row r="1708">
      <c r="A1708" t="inlineStr">
        <is>
          <t>GEOMACADA168TS</t>
        </is>
      </c>
      <c r="B1708" t="inlineStr">
        <is>
          <t>ADVANCE GEO MAYA DAMA</t>
        </is>
      </c>
      <c r="C1708" t="inlineStr">
        <is>
          <t>Manufactura / Dama / P. Superiores</t>
        </is>
      </c>
      <c r="D1708" t="n">
        <v>307.52326589</v>
      </c>
      <c r="E1708" t="n">
        <v>7.529171182432662e-05</v>
      </c>
      <c r="F1708" t="n">
        <v>0.9582769653010035</v>
      </c>
      <c r="G1708" t="inlineStr">
        <is>
          <t>C</t>
        </is>
      </c>
      <c r="H1708" t="n">
        <v>33</v>
      </c>
      <c r="I1708" t="n">
        <v>10.33</v>
      </c>
      <c r="J1708" t="n">
        <v>340.89</v>
      </c>
      <c r="K1708" t="n">
        <v>0.8</v>
      </c>
      <c r="L1708" t="n">
        <v>41.25</v>
      </c>
      <c r="M1708" t="n">
        <v>4</v>
      </c>
      <c r="N1708" t="n">
        <v>3.2</v>
      </c>
      <c r="O1708" t="n">
        <v>29.8</v>
      </c>
      <c r="P1708" t="n">
        <v>307.834</v>
      </c>
      <c r="Q1708" t="n">
        <v>0.9030303030303031</v>
      </c>
      <c r="R1708" t="inlineStr">
        <is>
          <t>Sobrestock crítico</t>
        </is>
      </c>
    </row>
    <row r="1709">
      <c r="A1709" t="inlineStr">
        <is>
          <t>SABMEDA66TL</t>
        </is>
      </c>
      <c r="B1709" t="inlineStr">
        <is>
          <t>SABRI SPORT DAMA</t>
        </is>
      </c>
      <c r="C1709" t="inlineStr">
        <is>
          <t>Manufactura / Dama / P. Superiores</t>
        </is>
      </c>
      <c r="D1709" t="n">
        <v>307.50343817</v>
      </c>
      <c r="E1709" t="n">
        <v>7.528685735266232e-05</v>
      </c>
      <c r="F1709" t="n">
        <v>0.9583522521583562</v>
      </c>
      <c r="G1709" t="inlineStr">
        <is>
          <t>C</t>
        </is>
      </c>
      <c r="H1709" t="n">
        <v>15</v>
      </c>
      <c r="I1709" t="n">
        <v>4.51</v>
      </c>
      <c r="J1709" t="n">
        <v>67.64999999999999</v>
      </c>
      <c r="K1709" t="n">
        <v>0.8</v>
      </c>
      <c r="L1709" t="n">
        <v>18.75</v>
      </c>
      <c r="M1709" t="n">
        <v>4</v>
      </c>
      <c r="N1709" t="n">
        <v>3.2</v>
      </c>
      <c r="O1709" t="n">
        <v>11.8</v>
      </c>
      <c r="P1709" t="n">
        <v>53.218</v>
      </c>
      <c r="Q1709" t="n">
        <v>0.7866666666666668</v>
      </c>
      <c r="R1709" t="inlineStr">
        <is>
          <t>Sobrestock crítico</t>
        </is>
      </c>
    </row>
    <row r="1710">
      <c r="A1710" t="inlineStr">
        <is>
          <t>SHONRKI12T12</t>
        </is>
      </c>
      <c r="B1710" t="inlineStr">
        <is>
          <t>SHORT SPORT KIDS</t>
        </is>
      </c>
      <c r="C1710" t="inlineStr">
        <is>
          <t>Manufactura / Kids / P. Inferiores</t>
        </is>
      </c>
      <c r="D1710" t="n">
        <v>306.80842899</v>
      </c>
      <c r="E1710" t="n">
        <v>7.511669646826752e-05</v>
      </c>
      <c r="F1710" t="n">
        <v>0.9584273688548244</v>
      </c>
      <c r="G1710" t="inlineStr">
        <is>
          <t>C</t>
        </is>
      </c>
      <c r="H1710" t="n">
        <v>52</v>
      </c>
      <c r="I1710" t="n">
        <v>6.465724382000001</v>
      </c>
      <c r="J1710" t="n">
        <v>336.2176678640001</v>
      </c>
      <c r="K1710" t="n">
        <v>1</v>
      </c>
      <c r="L1710" t="n">
        <v>52</v>
      </c>
      <c r="M1710" t="n">
        <v>4</v>
      </c>
      <c r="N1710" t="n">
        <v>4</v>
      </c>
      <c r="O1710" t="n">
        <v>48</v>
      </c>
      <c r="P1710" t="n">
        <v>310.3547703360001</v>
      </c>
      <c r="Q1710" t="n">
        <v>0.923076923076923</v>
      </c>
      <c r="R1710" t="inlineStr">
        <is>
          <t>Sobrestock crítico</t>
        </is>
      </c>
    </row>
    <row r="1711">
      <c r="A1711" t="inlineStr">
        <is>
          <t>LMOFIDA10TS</t>
        </is>
      </c>
      <c r="B1711" t="inlineStr">
        <is>
          <t>LEGGING MOVA</t>
        </is>
      </c>
      <c r="C1711" t="inlineStr">
        <is>
          <t>Manufactura / Dama / P. Inferiores</t>
        </is>
      </c>
      <c r="D1711" t="n">
        <v>306.21538308</v>
      </c>
      <c r="E1711" t="n">
        <v>7.497149951341244e-05</v>
      </c>
      <c r="F1711" t="n">
        <v>0.9585023403543379</v>
      </c>
      <c r="G1711" t="inlineStr">
        <is>
          <t>C</t>
        </is>
      </c>
      <c r="H1711" t="n">
        <v>23</v>
      </c>
      <c r="I1711" t="n">
        <v>17.7</v>
      </c>
      <c r="J1711" t="n">
        <v>407.1</v>
      </c>
      <c r="K1711" t="n">
        <v>0.8</v>
      </c>
      <c r="L1711" t="n">
        <v>28.75</v>
      </c>
      <c r="M1711" t="n">
        <v>4</v>
      </c>
      <c r="N1711" t="n">
        <v>3.2</v>
      </c>
      <c r="O1711" t="n">
        <v>19.8</v>
      </c>
      <c r="P1711" t="n">
        <v>350.46</v>
      </c>
      <c r="Q1711" t="n">
        <v>0.8608695652173913</v>
      </c>
      <c r="R1711" t="inlineStr">
        <is>
          <t>Sobrestock crítico</t>
        </is>
      </c>
    </row>
    <row r="1712">
      <c r="A1712" t="inlineStr">
        <is>
          <t>SHONRKI30T4</t>
        </is>
      </c>
      <c r="B1712" t="inlineStr">
        <is>
          <t>SHORT SPORT KIDS</t>
        </is>
      </c>
      <c r="C1712" t="inlineStr">
        <is>
          <t>Manufactura / Kids / P. Inferiores</t>
        </is>
      </c>
      <c r="D1712" t="n">
        <v>305.46765305</v>
      </c>
      <c r="E1712" t="n">
        <v>7.478843084776784e-05</v>
      </c>
      <c r="F1712" t="n">
        <v>0.9585771287851855</v>
      </c>
      <c r="G1712" t="inlineStr">
        <is>
          <t>C</t>
        </is>
      </c>
      <c r="H1712" t="n">
        <v>31</v>
      </c>
      <c r="I1712" t="n">
        <v>6.465724382</v>
      </c>
      <c r="J1712" t="n">
        <v>200.437455842</v>
      </c>
      <c r="K1712" t="n">
        <v>0.9</v>
      </c>
      <c r="L1712" t="n">
        <v>34.44444444444444</v>
      </c>
      <c r="M1712" t="n">
        <v>4</v>
      </c>
      <c r="N1712" t="n">
        <v>3.6</v>
      </c>
      <c r="O1712" t="n">
        <v>27.4</v>
      </c>
      <c r="P1712" t="n">
        <v>177.1608480668</v>
      </c>
      <c r="Q1712" t="n">
        <v>0.8838709677419353</v>
      </c>
      <c r="R1712" t="inlineStr">
        <is>
          <t>Sobrestock crítico</t>
        </is>
      </c>
    </row>
    <row r="1713">
      <c r="A1713" t="inlineStr">
        <is>
          <t>NAHFNCA13T2XL</t>
        </is>
      </c>
      <c r="B1713" t="inlineStr">
        <is>
          <t>NOAH SPORT LITE CAB</t>
        </is>
      </c>
      <c r="C1713" t="inlineStr">
        <is>
          <t>Manufactura / Caballero / P. Superiores</t>
        </is>
      </c>
      <c r="D1713" t="n">
        <v>305.458677</v>
      </c>
      <c r="E1713" t="n">
        <v>7.478623321836908e-05</v>
      </c>
      <c r="F1713" t="n">
        <v>0.9586519150184041</v>
      </c>
      <c r="G1713" t="inlineStr">
        <is>
          <t>C</t>
        </is>
      </c>
      <c r="H1713" t="n">
        <v>5</v>
      </c>
      <c r="I1713" t="n">
        <v>17.61141534</v>
      </c>
      <c r="J1713" t="n">
        <v>88.05707670000001</v>
      </c>
      <c r="K1713" t="n">
        <v>0.9</v>
      </c>
      <c r="L1713" t="n">
        <v>5.555555555555555</v>
      </c>
      <c r="M1713" t="n">
        <v>4</v>
      </c>
      <c r="N1713" t="n">
        <v>3.6</v>
      </c>
      <c r="O1713" t="n">
        <v>1.4</v>
      </c>
      <c r="P1713" t="n">
        <v>24.655981476</v>
      </c>
      <c r="Q1713" t="n">
        <v>0.28</v>
      </c>
      <c r="R1713" t="inlineStr">
        <is>
          <t>Sobrestock</t>
        </is>
      </c>
    </row>
    <row r="1714">
      <c r="A1714" t="inlineStr">
        <is>
          <t>CCBHMCA151TXL</t>
        </is>
      </c>
      <c r="B1714" t="inlineStr">
        <is>
          <t>CLUB CLASICA CABALLERO</t>
        </is>
      </c>
      <c r="C1714" t="inlineStr">
        <is>
          <t>Manufactura / Caballero / P. Superiores</t>
        </is>
      </c>
      <c r="D1714" t="n">
        <v>305</v>
      </c>
      <c r="E1714" t="n">
        <v>7.467393414920922e-05</v>
      </c>
      <c r="F1714" t="n">
        <v>0.9587265889525532</v>
      </c>
      <c r="G1714" t="inlineStr">
        <is>
          <t>C</t>
        </is>
      </c>
      <c r="H1714" t="n">
        <v>12</v>
      </c>
      <c r="I1714" t="n">
        <v>1</v>
      </c>
      <c r="J1714" t="n">
        <v>12</v>
      </c>
      <c r="K1714" t="n">
        <v>0.7</v>
      </c>
      <c r="L1714" t="n">
        <v>17.14285714285714</v>
      </c>
      <c r="M1714" t="n">
        <v>4</v>
      </c>
      <c r="N1714" t="n">
        <v>2.8</v>
      </c>
      <c r="O1714" t="n">
        <v>9.199999999999999</v>
      </c>
      <c r="P1714" t="n">
        <v>9.199999999999999</v>
      </c>
      <c r="Q1714" t="n">
        <v>0.7666666666666666</v>
      </c>
      <c r="R1714" t="inlineStr">
        <is>
          <t>Sobrestock crítico</t>
        </is>
      </c>
    </row>
    <row r="1715">
      <c r="A1715" t="inlineStr">
        <is>
          <t>CCBHMKI151T14</t>
        </is>
      </c>
      <c r="B1715" t="inlineStr">
        <is>
          <t>CLUB CLASICA KIDS</t>
        </is>
      </c>
      <c r="C1715" t="inlineStr">
        <is>
          <t>Manufactura / Kids / P. Superiores</t>
        </is>
      </c>
      <c r="D1715" t="n">
        <v>304.9999967343377</v>
      </c>
      <c r="E1715" t="n">
        <v>7.467393334966873e-05</v>
      </c>
      <c r="F1715" t="n">
        <v>0.9588012628859027</v>
      </c>
      <c r="G1715" t="inlineStr">
        <is>
          <t>C</t>
        </is>
      </c>
      <c r="H1715" t="n">
        <v>38</v>
      </c>
      <c r="I1715" t="n">
        <v>1</v>
      </c>
      <c r="J1715" t="n">
        <v>38</v>
      </c>
      <c r="K1715" t="n">
        <v>1.1</v>
      </c>
      <c r="L1715" t="n">
        <v>34.54545454545454</v>
      </c>
      <c r="M1715" t="n">
        <v>4</v>
      </c>
      <c r="N1715" t="n">
        <v>4.4</v>
      </c>
      <c r="O1715" t="n">
        <v>33.6</v>
      </c>
      <c r="P1715" t="n">
        <v>33.6</v>
      </c>
      <c r="Q1715" t="n">
        <v>0.8842105263157896</v>
      </c>
      <c r="R1715" t="inlineStr">
        <is>
          <t>Sobrestock crítico</t>
        </is>
      </c>
    </row>
    <row r="1716">
      <c r="A1716" t="inlineStr">
        <is>
          <t>ZOEMIDA50TS</t>
        </is>
      </c>
      <c r="B1716" t="inlineStr">
        <is>
          <t>ZOE ORIGINAL DAMA</t>
        </is>
      </c>
      <c r="C1716" t="inlineStr">
        <is>
          <t>Manufactura / Dama / P. Superiores</t>
        </is>
      </c>
      <c r="D1716" t="n">
        <v>304.82809882</v>
      </c>
      <c r="E1716" t="n">
        <v>7.463184714135515e-05</v>
      </c>
      <c r="F1716" t="n">
        <v>0.9588758947330441</v>
      </c>
      <c r="G1716" t="inlineStr">
        <is>
          <t>C</t>
        </is>
      </c>
      <c r="H1716" t="n">
        <v>14</v>
      </c>
      <c r="I1716" t="n">
        <v>4.116585696</v>
      </c>
      <c r="J1716" t="n">
        <v>57.63219974399999</v>
      </c>
      <c r="K1716" t="n">
        <v>0.8</v>
      </c>
      <c r="L1716" t="n">
        <v>17.5</v>
      </c>
      <c r="M1716" t="n">
        <v>4</v>
      </c>
      <c r="N1716" t="n">
        <v>3.2</v>
      </c>
      <c r="O1716" t="n">
        <v>10.8</v>
      </c>
      <c r="P1716" t="n">
        <v>44.4591255168</v>
      </c>
      <c r="Q1716" t="n">
        <v>0.7714285714285716</v>
      </c>
      <c r="R1716" t="inlineStr">
        <is>
          <t>Sobrestock crítico</t>
        </is>
      </c>
    </row>
    <row r="1717">
      <c r="A1717" t="inlineStr">
        <is>
          <t>CLASTDA43TM</t>
        </is>
      </c>
      <c r="B1717" t="inlineStr">
        <is>
          <t>CLASICA ALGODON STRETCH DAMA</t>
        </is>
      </c>
      <c r="C1717" t="inlineStr">
        <is>
          <t>Manufactura / Dama / P. Superiores</t>
        </is>
      </c>
      <c r="D1717" t="n">
        <v>303.9921472</v>
      </c>
      <c r="E1717" t="n">
        <v>7.44271789570148e-05</v>
      </c>
      <c r="F1717" t="n">
        <v>0.9589503219120012</v>
      </c>
      <c r="G1717" t="inlineStr">
        <is>
          <t>C</t>
        </is>
      </c>
      <c r="H1717" t="n">
        <v>0</v>
      </c>
      <c r="I1717" t="n">
        <v>9.27</v>
      </c>
      <c r="J1717" t="n">
        <v>0</v>
      </c>
      <c r="K1717" t="n">
        <v>1.5</v>
      </c>
      <c r="L1717" t="n">
        <v>0</v>
      </c>
      <c r="M1717" t="n">
        <v>4</v>
      </c>
      <c r="N1717" t="n">
        <v>6</v>
      </c>
      <c r="O1717" t="n">
        <v>0</v>
      </c>
      <c r="P1717" t="n">
        <v>0</v>
      </c>
      <c r="Q1717" t="n">
        <v>0</v>
      </c>
      <c r="R1717" t="inlineStr">
        <is>
          <t>Riesgo bajo stock</t>
        </is>
      </c>
    </row>
    <row r="1718">
      <c r="A1718" t="inlineStr">
        <is>
          <t>ADUMMCA16T2XL</t>
        </is>
      </c>
      <c r="B1718" t="inlineStr">
        <is>
          <t>ACTIVE DUO CAB</t>
        </is>
      </c>
      <c r="C1718" t="inlineStr">
        <is>
          <t>Manufactura / Caballero / P. Superiores</t>
        </is>
      </c>
      <c r="D1718" t="n">
        <v>303.6925445</v>
      </c>
      <c r="E1718" t="n">
        <v>7.435382645770095e-05</v>
      </c>
      <c r="F1718" t="n">
        <v>0.959024675738459</v>
      </c>
      <c r="G1718" t="inlineStr">
        <is>
          <t>C</t>
        </is>
      </c>
      <c r="H1718" t="n">
        <v>18</v>
      </c>
      <c r="I1718" t="n">
        <v>5.089999999999999</v>
      </c>
      <c r="J1718" t="n">
        <v>91.61999999999998</v>
      </c>
      <c r="K1718" t="n">
        <v>0.7</v>
      </c>
      <c r="L1718" t="n">
        <v>25.71428571428572</v>
      </c>
      <c r="M1718" t="n">
        <v>4</v>
      </c>
      <c r="N1718" t="n">
        <v>2.8</v>
      </c>
      <c r="O1718" t="n">
        <v>15.2</v>
      </c>
      <c r="P1718" t="n">
        <v>77.36799999999998</v>
      </c>
      <c r="Q1718" t="n">
        <v>0.8444444444444444</v>
      </c>
      <c r="R1718" t="inlineStr">
        <is>
          <t>Sobrestock crítico</t>
        </is>
      </c>
    </row>
    <row r="1719">
      <c r="A1719" t="inlineStr">
        <is>
          <t>TALGTACA12TS</t>
        </is>
      </c>
      <c r="B1719" t="inlineStr">
        <is>
          <t>URBAN COTTON OVERSIZED OUTSIDE CAB</t>
        </is>
      </c>
      <c r="C1719" t="inlineStr">
        <is>
          <t>Manufactura / Caballero / P. Superiores</t>
        </is>
      </c>
      <c r="D1719" t="n">
        <v>303.64460113</v>
      </c>
      <c r="E1719" t="n">
        <v>7.434208835916237e-05</v>
      </c>
      <c r="F1719" t="n">
        <v>0.9590990178268181</v>
      </c>
      <c r="G1719" t="inlineStr">
        <is>
          <t>C</t>
        </is>
      </c>
      <c r="H1719" t="n">
        <v>0</v>
      </c>
      <c r="I1719" t="n">
        <v>12.16758159</v>
      </c>
      <c r="J1719" t="n">
        <v>0</v>
      </c>
      <c r="K1719" t="n">
        <v>0.9</v>
      </c>
      <c r="L1719" t="n">
        <v>0</v>
      </c>
      <c r="M1719" t="n">
        <v>4</v>
      </c>
      <c r="N1719" t="n">
        <v>3.6</v>
      </c>
      <c r="O1719" t="n">
        <v>0</v>
      </c>
      <c r="P1719" t="n">
        <v>0</v>
      </c>
      <c r="Q1719" t="n">
        <v>0</v>
      </c>
      <c r="R1719" t="inlineStr">
        <is>
          <t>Riesgo bajo stock</t>
        </is>
      </c>
    </row>
    <row r="1720">
      <c r="A1720" t="inlineStr">
        <is>
          <t>RIOMIKI48T8</t>
        </is>
      </c>
      <c r="B1720" t="inlineStr">
        <is>
          <t>RIO ORIGINAL KIDS</t>
        </is>
      </c>
      <c r="C1720" t="inlineStr">
        <is>
          <t>Manufactura / Kids / P. Superiores</t>
        </is>
      </c>
      <c r="D1720" t="n">
        <v>303.51788</v>
      </c>
      <c r="E1720" t="n">
        <v>7.431106289910684e-05</v>
      </c>
      <c r="F1720" t="n">
        <v>0.9591733288897172</v>
      </c>
      <c r="G1720" t="inlineStr">
        <is>
          <t>C</t>
        </is>
      </c>
      <c r="H1720" t="n">
        <v>10</v>
      </c>
      <c r="I1720" t="n">
        <v>3.617969464</v>
      </c>
      <c r="J1720" t="n">
        <v>36.17969464</v>
      </c>
      <c r="K1720" t="n">
        <v>0.7</v>
      </c>
      <c r="L1720" t="n">
        <v>14.28571428571429</v>
      </c>
      <c r="M1720" t="n">
        <v>4</v>
      </c>
      <c r="N1720" t="n">
        <v>2.8</v>
      </c>
      <c r="O1720" t="n">
        <v>7.2</v>
      </c>
      <c r="P1720" t="n">
        <v>26.0493801408</v>
      </c>
      <c r="Q1720" t="n">
        <v>0.72</v>
      </c>
      <c r="R1720" t="inlineStr">
        <is>
          <t>Sobrestock crítico</t>
        </is>
      </c>
    </row>
    <row r="1721">
      <c r="A1721" t="inlineStr">
        <is>
          <t>COW65C16OZ</t>
        </is>
      </c>
      <c r="B1721" t="inlineStr">
        <is>
          <t>CONTIGO WEST LOOP 3.0 16OZ</t>
        </is>
      </c>
      <c r="C1721" t="inlineStr">
        <is>
          <t>Equipamiento / Cava</t>
        </is>
      </c>
      <c r="D1721" t="n">
        <v>302.52783331</v>
      </c>
      <c r="E1721" t="n">
        <v>7.40686672226029e-05</v>
      </c>
      <c r="F1721" t="n">
        <v>0.9592473975569398</v>
      </c>
      <c r="G1721" t="inlineStr">
        <is>
          <t>C</t>
        </is>
      </c>
      <c r="H1721" t="n">
        <v>19</v>
      </c>
      <c r="I1721" t="n">
        <v>22.5</v>
      </c>
      <c r="J1721" t="n">
        <v>427.5</v>
      </c>
      <c r="K1721" t="n">
        <v>0.8</v>
      </c>
      <c r="L1721" t="n">
        <v>23.75</v>
      </c>
      <c r="M1721" t="n">
        <v>4</v>
      </c>
      <c r="N1721" t="n">
        <v>3.2</v>
      </c>
      <c r="O1721" t="n">
        <v>15.8</v>
      </c>
      <c r="P1721" t="n">
        <v>355.5</v>
      </c>
      <c r="Q1721" t="n">
        <v>0.8315789473684211</v>
      </c>
      <c r="R1721" t="inlineStr">
        <is>
          <t>Sobrestock crítico</t>
        </is>
      </c>
    </row>
    <row r="1722">
      <c r="A1722" t="inlineStr">
        <is>
          <t>SHONTDA12TXL</t>
        </is>
      </c>
      <c r="B1722" t="inlineStr">
        <is>
          <t>EXPLORE SHORT DAMA</t>
        </is>
      </c>
      <c r="C1722" t="inlineStr">
        <is>
          <t>Manufactura / Dama / P. Inferiores</t>
        </is>
      </c>
      <c r="D1722" t="n">
        <v>301.77413914</v>
      </c>
      <c r="E1722" t="n">
        <v>7.388413834122839e-05</v>
      </c>
      <c r="F1722" t="n">
        <v>0.959321281695281</v>
      </c>
      <c r="G1722" t="inlineStr">
        <is>
          <t>C</t>
        </is>
      </c>
      <c r="H1722" t="n">
        <v>34</v>
      </c>
      <c r="I1722" t="n">
        <v>10.22113744</v>
      </c>
      <c r="J1722" t="n">
        <v>347.51867296</v>
      </c>
      <c r="K1722" t="n">
        <v>0.5</v>
      </c>
      <c r="L1722" t="n">
        <v>68</v>
      </c>
      <c r="M1722" t="n">
        <v>4</v>
      </c>
      <c r="N1722" t="n">
        <v>2</v>
      </c>
      <c r="O1722" t="n">
        <v>32</v>
      </c>
      <c r="P1722" t="n">
        <v>327.07639808</v>
      </c>
      <c r="Q1722" t="n">
        <v>0.9411764705882353</v>
      </c>
      <c r="R1722" t="inlineStr">
        <is>
          <t>Sobrestock crítico</t>
        </is>
      </c>
    </row>
    <row r="1723">
      <c r="A1723" t="inlineStr">
        <is>
          <t>CLAMEDA16TL</t>
        </is>
      </c>
      <c r="B1723" t="inlineStr">
        <is>
          <t>CLÁSICA SPORT DAMA</t>
        </is>
      </c>
      <c r="C1723" t="inlineStr">
        <is>
          <t>Manufactura / Dama / P. Superiores</t>
        </is>
      </c>
      <c r="D1723" t="n">
        <v>301.37175245</v>
      </c>
      <c r="E1723" t="n">
        <v>7.378562097338716e-05</v>
      </c>
      <c r="F1723" t="n">
        <v>0.9593950673162545</v>
      </c>
      <c r="G1723" t="inlineStr">
        <is>
          <t>C</t>
        </is>
      </c>
      <c r="H1723" t="n">
        <v>0</v>
      </c>
      <c r="I1723" t="n">
        <v>6.536105769</v>
      </c>
      <c r="J1723" t="n">
        <v>0</v>
      </c>
      <c r="K1723" t="n">
        <v>0.7</v>
      </c>
      <c r="L1723" t="n">
        <v>0</v>
      </c>
      <c r="M1723" t="n">
        <v>4</v>
      </c>
      <c r="N1723" t="n">
        <v>2.8</v>
      </c>
      <c r="O1723" t="n">
        <v>0</v>
      </c>
      <c r="P1723" t="n">
        <v>0</v>
      </c>
      <c r="Q1723" t="n">
        <v>0</v>
      </c>
      <c r="R1723" t="inlineStr">
        <is>
          <t>Riesgo bajo stock</t>
        </is>
      </c>
    </row>
    <row r="1724">
      <c r="A1724" t="inlineStr">
        <is>
          <t>SARSPKI30T14</t>
        </is>
      </c>
      <c r="B1724" t="inlineStr">
        <is>
          <t>FALDA SARA KIDS</t>
        </is>
      </c>
      <c r="C1724" t="inlineStr">
        <is>
          <t>Manufactura / Kids / P. Inferiores</t>
        </is>
      </c>
      <c r="D1724" t="n">
        <v>301.30233123</v>
      </c>
      <c r="E1724" t="n">
        <v>7.376862439761391e-05</v>
      </c>
      <c r="F1724" t="n">
        <v>0.959468835940652</v>
      </c>
      <c r="G1724" t="inlineStr">
        <is>
          <t>C</t>
        </is>
      </c>
      <c r="H1724" t="n">
        <v>10</v>
      </c>
      <c r="I1724" t="n">
        <v>5.753743316</v>
      </c>
      <c r="J1724" t="n">
        <v>57.53743316000001</v>
      </c>
      <c r="K1724" t="n">
        <v>0.8</v>
      </c>
      <c r="L1724" t="n">
        <v>12.5</v>
      </c>
      <c r="M1724" t="n">
        <v>4</v>
      </c>
      <c r="N1724" t="n">
        <v>3.2</v>
      </c>
      <c r="O1724" t="n">
        <v>6.8</v>
      </c>
      <c r="P1724" t="n">
        <v>39.1254545488</v>
      </c>
      <c r="Q1724" t="n">
        <v>0.6799999999999999</v>
      </c>
      <c r="R1724" t="inlineStr">
        <is>
          <t>Sobrestock crítico</t>
        </is>
      </c>
    </row>
    <row r="1725">
      <c r="A1725" t="inlineStr">
        <is>
          <t>MARMIKI01T1</t>
        </is>
      </c>
      <c r="B1725" t="inlineStr">
        <is>
          <t>MAR ORIGINAL KIDS</t>
        </is>
      </c>
      <c r="C1725" t="inlineStr">
        <is>
          <t>Manufactura / Kids / P. Superiores</t>
        </is>
      </c>
      <c r="D1725" t="n">
        <v>301.1753139</v>
      </c>
      <c r="E1725" t="n">
        <v>7.373752641815087e-05</v>
      </c>
      <c r="F1725" t="n">
        <v>0.9595425734670702</v>
      </c>
      <c r="G1725" t="inlineStr">
        <is>
          <t>C</t>
        </is>
      </c>
      <c r="H1725" t="n">
        <v>0</v>
      </c>
      <c r="I1725" t="n">
        <v>3.168013332</v>
      </c>
      <c r="J1725" t="n">
        <v>0</v>
      </c>
      <c r="K1725" t="n">
        <v>0.8</v>
      </c>
      <c r="L1725" t="n">
        <v>0</v>
      </c>
      <c r="M1725" t="n">
        <v>4</v>
      </c>
      <c r="N1725" t="n">
        <v>3.2</v>
      </c>
      <c r="O1725" t="n">
        <v>0</v>
      </c>
      <c r="P1725" t="n">
        <v>0</v>
      </c>
      <c r="Q1725" t="n">
        <v>0</v>
      </c>
      <c r="R1725" t="inlineStr">
        <is>
          <t>Riesgo bajo stock</t>
        </is>
      </c>
    </row>
    <row r="1726">
      <c r="A1726" t="inlineStr">
        <is>
          <t>ZOEMIKI11T10</t>
        </is>
      </c>
      <c r="B1726" t="inlineStr">
        <is>
          <t>ZOE ORIGINAL KIDS</t>
        </is>
      </c>
      <c r="C1726" t="inlineStr">
        <is>
          <t>Manufactura / Kids / P. Superiores</t>
        </is>
      </c>
      <c r="D1726" t="n">
        <v>300.86408838</v>
      </c>
      <c r="E1726" t="n">
        <v>7.366132827393437e-05</v>
      </c>
      <c r="F1726" t="n">
        <v>0.9596162347953442</v>
      </c>
      <c r="G1726" t="inlineStr">
        <is>
          <t>C</t>
        </is>
      </c>
      <c r="H1726" t="n">
        <v>8</v>
      </c>
      <c r="I1726" t="n">
        <v>4.12</v>
      </c>
      <c r="J1726" t="n">
        <v>32.96</v>
      </c>
      <c r="K1726" t="n">
        <v>0.8</v>
      </c>
      <c r="L1726" t="n">
        <v>10</v>
      </c>
      <c r="M1726" t="n">
        <v>4</v>
      </c>
      <c r="N1726" t="n">
        <v>3.2</v>
      </c>
      <c r="O1726" t="n">
        <v>4.8</v>
      </c>
      <c r="P1726" t="n">
        <v>19.776</v>
      </c>
      <c r="Q1726" t="n">
        <v>0.6</v>
      </c>
      <c r="R1726" t="inlineStr">
        <is>
          <t>Sobrestock crítico</t>
        </is>
      </c>
    </row>
    <row r="1727">
      <c r="A1727" t="inlineStr">
        <is>
          <t>EC173UN</t>
        </is>
      </c>
      <c r="B1727" t="inlineStr">
        <is>
          <t>ECO BAG</t>
        </is>
      </c>
      <c r="C1727" t="inlineStr">
        <is>
          <t>Equipamiento / Bolsos</t>
        </is>
      </c>
      <c r="D1727" t="n">
        <v>300.2370147468892</v>
      </c>
      <c r="E1727" t="n">
        <v>7.350780022414545e-05</v>
      </c>
      <c r="F1727" t="n">
        <v>0.9596897425955683</v>
      </c>
      <c r="G1727" t="inlineStr">
        <is>
          <t>C</t>
        </is>
      </c>
      <c r="H1727" t="n">
        <v>76</v>
      </c>
      <c r="I1727" t="n">
        <v>5.5</v>
      </c>
      <c r="J1727" t="n">
        <v>418</v>
      </c>
      <c r="K1727" t="n">
        <v>12.2</v>
      </c>
      <c r="L1727" t="n">
        <v>6.229508196721312</v>
      </c>
      <c r="M1727" t="n">
        <v>4</v>
      </c>
      <c r="N1727" t="n">
        <v>48.8</v>
      </c>
      <c r="O1727" t="n">
        <v>27.2</v>
      </c>
      <c r="P1727" t="n">
        <v>149.6</v>
      </c>
      <c r="Q1727" t="n">
        <v>0.3578947368421053</v>
      </c>
      <c r="R1727" t="inlineStr">
        <is>
          <t>Sobrestock crítico</t>
        </is>
      </c>
    </row>
    <row r="1728">
      <c r="A1728" t="inlineStr">
        <is>
          <t>MAADFDA151TS</t>
        </is>
      </c>
      <c r="B1728" t="inlineStr">
        <is>
          <t>MAFE ADVANCE DAMA</t>
        </is>
      </c>
      <c r="C1728" t="inlineStr">
        <is>
          <t>Manufactura / Dama / P. Superiores</t>
        </is>
      </c>
      <c r="D1728" t="n">
        <v>300.22848506</v>
      </c>
      <c r="E1728" t="n">
        <v>7.350571187897471e-05</v>
      </c>
      <c r="F1728" t="n">
        <v>0.9597632483074472</v>
      </c>
      <c r="G1728" t="inlineStr">
        <is>
          <t>C</t>
        </is>
      </c>
      <c r="H1728" t="n">
        <v>5</v>
      </c>
      <c r="I1728" t="n">
        <v>4.98</v>
      </c>
      <c r="J1728" t="n">
        <v>24.9</v>
      </c>
      <c r="K1728" t="n">
        <v>0.8</v>
      </c>
      <c r="L1728" t="n">
        <v>6.25</v>
      </c>
      <c r="M1728" t="n">
        <v>4</v>
      </c>
      <c r="N1728" t="n">
        <v>3.2</v>
      </c>
      <c r="O1728" t="n">
        <v>1.8</v>
      </c>
      <c r="P1728" t="n">
        <v>8.964</v>
      </c>
      <c r="Q1728" t="n">
        <v>0.36</v>
      </c>
      <c r="R1728" t="inlineStr">
        <is>
          <t>Sobrestock crítico</t>
        </is>
      </c>
    </row>
    <row r="1729">
      <c r="A1729" t="inlineStr">
        <is>
          <t>GEOMACADA43TM</t>
        </is>
      </c>
      <c r="B1729" t="inlineStr">
        <is>
          <t>ADVANCE GEO MAYA DAMA</t>
        </is>
      </c>
      <c r="C1729" t="inlineStr">
        <is>
          <t>Manufactura / Dama / P. Superiores</t>
        </is>
      </c>
      <c r="D1729" t="n">
        <v>300.13083001</v>
      </c>
      <c r="E1729" t="n">
        <v>7.348180274201393e-05</v>
      </c>
      <c r="F1729" t="n">
        <v>0.9598367301101892</v>
      </c>
      <c r="G1729" t="inlineStr">
        <is>
          <t>C</t>
        </is>
      </c>
      <c r="H1729" t="n">
        <v>34</v>
      </c>
      <c r="I1729" t="n">
        <v>10.33</v>
      </c>
      <c r="J1729" t="n">
        <v>351.22</v>
      </c>
      <c r="K1729" t="n">
        <v>0.8</v>
      </c>
      <c r="L1729" t="n">
        <v>42.5</v>
      </c>
      <c r="M1729" t="n">
        <v>4</v>
      </c>
      <c r="N1729" t="n">
        <v>3.2</v>
      </c>
      <c r="O1729" t="n">
        <v>30.8</v>
      </c>
      <c r="P1729" t="n">
        <v>318.164</v>
      </c>
      <c r="Q1729" t="n">
        <v>0.9058823529411764</v>
      </c>
      <c r="R1729" t="inlineStr">
        <is>
          <t>Sobrestock crítico</t>
        </is>
      </c>
    </row>
    <row r="1730">
      <c r="A1730" t="inlineStr">
        <is>
          <t>HELBFDA206TS</t>
        </is>
      </c>
      <c r="B1730" t="inlineStr">
        <is>
          <t>HELEN BIO MOVE DAMA</t>
        </is>
      </c>
      <c r="C1730" t="inlineStr">
        <is>
          <t>Manufactura / Dama / P. Superiores</t>
        </is>
      </c>
      <c r="D1730" t="n">
        <v>299.65964603</v>
      </c>
      <c r="E1730" t="n">
        <v>7.336644155678545e-05</v>
      </c>
      <c r="F1730" t="n">
        <v>0.959910096551746</v>
      </c>
      <c r="G1730" t="inlineStr">
        <is>
          <t>C</t>
        </is>
      </c>
      <c r="H1730" t="n">
        <v>23</v>
      </c>
      <c r="I1730" t="n">
        <v>7.340817460000001</v>
      </c>
      <c r="J1730" t="n">
        <v>168.83880158</v>
      </c>
      <c r="K1730" t="n">
        <v>0.7</v>
      </c>
      <c r="L1730" t="n">
        <v>32.85714285714286</v>
      </c>
      <c r="M1730" t="n">
        <v>4</v>
      </c>
      <c r="N1730" t="n">
        <v>2.8</v>
      </c>
      <c r="O1730" t="n">
        <v>20.2</v>
      </c>
      <c r="P1730" t="n">
        <v>148.284512692</v>
      </c>
      <c r="Q1730" t="n">
        <v>0.8782608695652174</v>
      </c>
      <c r="R1730" t="inlineStr">
        <is>
          <t>Sobrestock crítico</t>
        </is>
      </c>
    </row>
    <row r="1731">
      <c r="A1731" t="inlineStr">
        <is>
          <t>SHOUNKI33T10</t>
        </is>
      </c>
      <c r="B1731" t="inlineStr">
        <is>
          <t>SHORT PLAYA KIDS</t>
        </is>
      </c>
      <c r="C1731" t="inlineStr">
        <is>
          <t>Manufactura / Kids / P. Inferiores</t>
        </is>
      </c>
      <c r="D1731" t="n">
        <v>299.41213355</v>
      </c>
      <c r="E1731" t="n">
        <v>7.330584243995718e-05</v>
      </c>
      <c r="F1731" t="n">
        <v>0.9599834023941857</v>
      </c>
      <c r="G1731" t="inlineStr">
        <is>
          <t>C</t>
        </is>
      </c>
      <c r="H1731" t="n">
        <v>19</v>
      </c>
      <c r="I1731" t="n">
        <v>6.089999999999999</v>
      </c>
      <c r="J1731" t="n">
        <v>115.71</v>
      </c>
      <c r="K1731" t="n">
        <v>0.7</v>
      </c>
      <c r="L1731" t="n">
        <v>27.14285714285715</v>
      </c>
      <c r="M1731" t="n">
        <v>4</v>
      </c>
      <c r="N1731" t="n">
        <v>2.8</v>
      </c>
      <c r="O1731" t="n">
        <v>16.2</v>
      </c>
      <c r="P1731" t="n">
        <v>98.65799999999997</v>
      </c>
      <c r="Q1731" t="n">
        <v>0.8526315789473683</v>
      </c>
      <c r="R1731" t="inlineStr">
        <is>
          <t>Sobrestock crítico</t>
        </is>
      </c>
    </row>
    <row r="1732">
      <c r="A1732" t="inlineStr">
        <is>
          <t>ZOEMIKI70T12</t>
        </is>
      </c>
      <c r="B1732" t="inlineStr">
        <is>
          <t>ZOE ORIGINAL KIDS</t>
        </is>
      </c>
      <c r="C1732" t="inlineStr">
        <is>
          <t>Manufactura / Kids / P. Superiores</t>
        </is>
      </c>
      <c r="D1732" t="n">
        <v>298.82791391</v>
      </c>
      <c r="E1732" t="n">
        <v>7.316280644347836e-05</v>
      </c>
      <c r="F1732" t="n">
        <v>0.9600565652006292</v>
      </c>
      <c r="G1732" t="inlineStr">
        <is>
          <t>C</t>
        </is>
      </c>
      <c r="H1732" t="n">
        <v>1</v>
      </c>
      <c r="I1732" t="n">
        <v>4.12</v>
      </c>
      <c r="J1732" t="n">
        <v>4.12</v>
      </c>
      <c r="K1732" t="n">
        <v>0.8</v>
      </c>
      <c r="L1732" t="n">
        <v>1.25</v>
      </c>
      <c r="M1732" t="n">
        <v>4</v>
      </c>
      <c r="N1732" t="n">
        <v>3.2</v>
      </c>
      <c r="O1732" t="n">
        <v>0</v>
      </c>
      <c r="P1732" t="n">
        <v>0</v>
      </c>
      <c r="Q1732" t="n">
        <v>0</v>
      </c>
      <c r="R1732" t="inlineStr">
        <is>
          <t>OK</t>
        </is>
      </c>
    </row>
    <row r="1733">
      <c r="A1733" t="inlineStr">
        <is>
          <t>ADUMMDA30TM</t>
        </is>
      </c>
      <c r="B1733" t="inlineStr">
        <is>
          <t>ACTIVE DUO DAMA</t>
        </is>
      </c>
      <c r="C1733" t="inlineStr">
        <is>
          <t>Manufactura / Caballero / P. Superiores</t>
        </is>
      </c>
      <c r="D1733" t="n">
        <v>298.74208604</v>
      </c>
      <c r="E1733" t="n">
        <v>7.314179298540444e-05</v>
      </c>
      <c r="F1733" t="n">
        <v>0.9601297069936146</v>
      </c>
      <c r="G1733" t="inlineStr">
        <is>
          <t>C</t>
        </is>
      </c>
      <c r="H1733" t="n">
        <v>30</v>
      </c>
      <c r="I1733" t="n">
        <v>3.19128</v>
      </c>
      <c r="J1733" t="n">
        <v>95.7384</v>
      </c>
      <c r="K1733" t="n">
        <v>0.8</v>
      </c>
      <c r="L1733" t="n">
        <v>37.5</v>
      </c>
      <c r="M1733" t="n">
        <v>4</v>
      </c>
      <c r="N1733" t="n">
        <v>3.2</v>
      </c>
      <c r="O1733" t="n">
        <v>26.8</v>
      </c>
      <c r="P1733" t="n">
        <v>85.526304</v>
      </c>
      <c r="Q1733" t="n">
        <v>0.8933333333333333</v>
      </c>
      <c r="R1733" t="inlineStr">
        <is>
          <t>Sobrestock crítico</t>
        </is>
      </c>
    </row>
    <row r="1734">
      <c r="A1734" t="inlineStr">
        <is>
          <t>SMLBLIDA16TS</t>
        </is>
      </c>
      <c r="B1734" t="inlineStr">
        <is>
          <t>SPOTS MANGA LARGA DAMA</t>
        </is>
      </c>
      <c r="C1734" t="inlineStr">
        <is>
          <t>Manufactura / Dama / P. Superiores</t>
        </is>
      </c>
      <c r="D1734" t="n">
        <v>297.7396571264629</v>
      </c>
      <c r="E1734" t="n">
        <v>7.289636573727745e-05</v>
      </c>
      <c r="F1734" t="n">
        <v>0.9602026033593519</v>
      </c>
      <c r="G1734" t="inlineStr">
        <is>
          <t>C</t>
        </is>
      </c>
      <c r="H1734" t="n">
        <v>7</v>
      </c>
      <c r="I1734" t="n">
        <v>12.89</v>
      </c>
      <c r="J1734" t="n">
        <v>90.23</v>
      </c>
      <c r="K1734" t="n">
        <v>1.1</v>
      </c>
      <c r="L1734" t="n">
        <v>6.363636363636363</v>
      </c>
      <c r="M1734" t="n">
        <v>4</v>
      </c>
      <c r="N1734" t="n">
        <v>4.4</v>
      </c>
      <c r="O1734" t="n">
        <v>2.6</v>
      </c>
      <c r="P1734" t="n">
        <v>33.514</v>
      </c>
      <c r="Q1734" t="n">
        <v>0.3714285714285714</v>
      </c>
      <c r="R1734" t="inlineStr">
        <is>
          <t>Sobrestock crítico</t>
        </is>
      </c>
    </row>
    <row r="1735">
      <c r="A1735" t="inlineStr">
        <is>
          <t>JAPKI43T2</t>
        </is>
      </c>
      <c r="B1735" t="inlineStr">
        <is>
          <t>CUADRO JACKET 2.0 KIDS</t>
        </is>
      </c>
      <c r="C1735" t="inlineStr">
        <is>
          <t>Equipamiento / Ropa</t>
        </is>
      </c>
      <c r="D1735" t="n">
        <v>297.49984989</v>
      </c>
      <c r="E1735" t="n">
        <v>7.283765311503439e-05</v>
      </c>
      <c r="F1735" t="n">
        <v>0.960275441012467</v>
      </c>
      <c r="G1735" t="inlineStr">
        <is>
          <t>C</t>
        </is>
      </c>
      <c r="H1735" t="n">
        <v>56</v>
      </c>
      <c r="I1735" t="n">
        <v>15.17</v>
      </c>
      <c r="J1735" t="n">
        <v>849.5199999999999</v>
      </c>
      <c r="K1735" t="n">
        <v>0.5</v>
      </c>
      <c r="L1735" t="n">
        <v>112</v>
      </c>
      <c r="M1735" t="n">
        <v>4</v>
      </c>
      <c r="N1735" t="n">
        <v>2</v>
      </c>
      <c r="O1735" t="n">
        <v>54</v>
      </c>
      <c r="P1735" t="n">
        <v>819.1799999999999</v>
      </c>
      <c r="Q1735" t="n">
        <v>0.9642857142857144</v>
      </c>
      <c r="R1735" t="inlineStr">
        <is>
          <t>Sobrestock crítico</t>
        </is>
      </c>
    </row>
    <row r="1736">
      <c r="A1736" t="inlineStr">
        <is>
          <t>MAFMIDA11TL</t>
        </is>
      </c>
      <c r="B1736" t="inlineStr">
        <is>
          <t>MAFE ORIGINAL DAMA</t>
        </is>
      </c>
      <c r="C1736" t="inlineStr">
        <is>
          <t>Manufactura / Dama / P. Superiores</t>
        </is>
      </c>
      <c r="D1736" t="n">
        <v>297.2711569</v>
      </c>
      <c r="E1736" t="n">
        <v>7.278166162232735e-05</v>
      </c>
      <c r="F1736" t="n">
        <v>0.9603482226740893</v>
      </c>
      <c r="G1736" t="inlineStr">
        <is>
          <t>C</t>
        </is>
      </c>
      <c r="H1736" t="n">
        <v>2</v>
      </c>
      <c r="I1736" t="n">
        <v>4.548176709999999</v>
      </c>
      <c r="J1736" t="n">
        <v>9.096353419999998</v>
      </c>
      <c r="K1736" t="n">
        <v>6</v>
      </c>
      <c r="L1736" t="n">
        <v>0.3333333333333333</v>
      </c>
      <c r="M1736" t="n">
        <v>4</v>
      </c>
      <c r="N1736" t="n">
        <v>24</v>
      </c>
      <c r="O1736" t="n">
        <v>0</v>
      </c>
      <c r="P1736" t="n">
        <v>0</v>
      </c>
      <c r="Q1736" t="n">
        <v>0</v>
      </c>
      <c r="R1736" t="inlineStr">
        <is>
          <t>Riesgo bajo stock</t>
        </is>
      </c>
    </row>
    <row r="1737">
      <c r="A1737" t="inlineStr">
        <is>
          <t>MARMIDA30TXL</t>
        </is>
      </c>
      <c r="B1737" t="inlineStr">
        <is>
          <t>MAR ORIGINAL DAMA</t>
        </is>
      </c>
      <c r="C1737" t="inlineStr">
        <is>
          <t>Manufactura / Dama / P. Superiores</t>
        </is>
      </c>
      <c r="D1737" t="n">
        <v>296.72636951</v>
      </c>
      <c r="E1737" t="n">
        <v>7.264827992499562e-05</v>
      </c>
      <c r="F1737" t="n">
        <v>0.9604208709540143</v>
      </c>
      <c r="G1737" t="inlineStr">
        <is>
          <t>C</t>
        </is>
      </c>
      <c r="H1737" t="n">
        <v>38</v>
      </c>
      <c r="I1737" t="n">
        <v>4.278324149</v>
      </c>
      <c r="J1737" t="n">
        <v>162.576317662</v>
      </c>
      <c r="K1737" t="n">
        <v>0.6</v>
      </c>
      <c r="L1737" t="n">
        <v>63.33333333333334</v>
      </c>
      <c r="M1737" t="n">
        <v>4</v>
      </c>
      <c r="N1737" t="n">
        <v>2.4</v>
      </c>
      <c r="O1737" t="n">
        <v>35.6</v>
      </c>
      <c r="P1737" t="n">
        <v>152.3083397044</v>
      </c>
      <c r="Q1737" t="n">
        <v>0.936842105263158</v>
      </c>
      <c r="R1737" t="inlineStr">
        <is>
          <t>Sobrestock crítico</t>
        </is>
      </c>
    </row>
    <row r="1738">
      <c r="A1738" t="inlineStr">
        <is>
          <t>SHOSUKI154T4</t>
        </is>
      </c>
      <c r="B1738" t="inlineStr">
        <is>
          <t>SHORT PLAYA ESTAMPADO KIDS</t>
        </is>
      </c>
      <c r="C1738" t="inlineStr">
        <is>
          <t>Manufactura / Kids / P. Superiores</t>
        </is>
      </c>
      <c r="D1738" t="n">
        <v>296.26960361</v>
      </c>
      <c r="E1738" t="n">
        <v>7.253644875536216e-05</v>
      </c>
      <c r="F1738" t="n">
        <v>0.9604934074027697</v>
      </c>
      <c r="G1738" t="inlineStr">
        <is>
          <t>C</t>
        </is>
      </c>
      <c r="H1738" t="n">
        <v>17</v>
      </c>
      <c r="I1738" t="n">
        <v>7.21</v>
      </c>
      <c r="J1738" t="n">
        <v>122.57</v>
      </c>
      <c r="K1738" t="n">
        <v>0.8</v>
      </c>
      <c r="L1738" t="n">
        <v>21.25</v>
      </c>
      <c r="M1738" t="n">
        <v>4</v>
      </c>
      <c r="N1738" t="n">
        <v>3.2</v>
      </c>
      <c r="O1738" t="n">
        <v>13.8</v>
      </c>
      <c r="P1738" t="n">
        <v>99.498</v>
      </c>
      <c r="Q1738" t="n">
        <v>0.8117647058823531</v>
      </c>
      <c r="R1738" t="inlineStr">
        <is>
          <t>Sobrestock crítico</t>
        </is>
      </c>
    </row>
    <row r="1739">
      <c r="A1739" t="inlineStr">
        <is>
          <t>ZOEMIKI16T6</t>
        </is>
      </c>
      <c r="B1739" t="inlineStr">
        <is>
          <t>ZOE ORIGINAL KIDS</t>
        </is>
      </c>
      <c r="C1739" t="inlineStr">
        <is>
          <t>Manufactura / Kids / P. Superiores</t>
        </is>
      </c>
      <c r="D1739" t="n">
        <v>295.52267901</v>
      </c>
      <c r="E1739" t="n">
        <v>7.235357728521519e-05</v>
      </c>
      <c r="F1739" t="n">
        <v>0.9605657609800549</v>
      </c>
      <c r="G1739" t="inlineStr">
        <is>
          <t>C</t>
        </is>
      </c>
      <c r="H1739" t="n">
        <v>12</v>
      </c>
      <c r="I1739" t="n">
        <v>4.12</v>
      </c>
      <c r="J1739" t="n">
        <v>49.44</v>
      </c>
      <c r="K1739" t="n">
        <v>0.8</v>
      </c>
      <c r="L1739" t="n">
        <v>15</v>
      </c>
      <c r="M1739" t="n">
        <v>4</v>
      </c>
      <c r="N1739" t="n">
        <v>3.2</v>
      </c>
      <c r="O1739" t="n">
        <v>8.800000000000001</v>
      </c>
      <c r="P1739" t="n">
        <v>36.25600000000001</v>
      </c>
      <c r="Q1739" t="n">
        <v>0.7333333333333335</v>
      </c>
      <c r="R1739" t="inlineStr">
        <is>
          <t>Sobrestock crítico</t>
        </is>
      </c>
    </row>
    <row r="1740">
      <c r="A1740" t="inlineStr">
        <is>
          <t>CLAMIDA66TXS</t>
        </is>
      </c>
      <c r="B1740" t="inlineStr">
        <is>
          <t>CLASICA ORIGINAL DAMA</t>
        </is>
      </c>
      <c r="C1740" t="inlineStr">
        <is>
          <t>Manufactura / Dama / P. Superiores</t>
        </is>
      </c>
      <c r="D1740" t="n">
        <v>295.47976558</v>
      </c>
      <c r="E1740" t="n">
        <v>7.234307067981868e-05</v>
      </c>
      <c r="F1740" t="n">
        <v>0.9606381040507347</v>
      </c>
      <c r="G1740" t="inlineStr">
        <is>
          <t>C</t>
        </is>
      </c>
      <c r="H1740" t="n">
        <v>25</v>
      </c>
      <c r="I1740" t="n">
        <v>3.923227589000001</v>
      </c>
      <c r="J1740" t="n">
        <v>98.08068972500001</v>
      </c>
      <c r="K1740" t="n">
        <v>0.9</v>
      </c>
      <c r="L1740" t="n">
        <v>27.77777777777778</v>
      </c>
      <c r="M1740" t="n">
        <v>4</v>
      </c>
      <c r="N1740" t="n">
        <v>3.6</v>
      </c>
      <c r="O1740" t="n">
        <v>21.4</v>
      </c>
      <c r="P1740" t="n">
        <v>83.9570704046</v>
      </c>
      <c r="Q1740" t="n">
        <v>0.8559999999999999</v>
      </c>
      <c r="R1740" t="inlineStr">
        <is>
          <t>Sobrestock crítico</t>
        </is>
      </c>
    </row>
    <row r="1741">
      <c r="A1741" t="inlineStr">
        <is>
          <t>CLAMEKI66T12</t>
        </is>
      </c>
      <c r="B1741" t="inlineStr">
        <is>
          <t>CLASICA SPORT KIDS</t>
        </is>
      </c>
      <c r="C1741" t="inlineStr">
        <is>
          <t>Manufactura / Kids / P. Superiores</t>
        </is>
      </c>
      <c r="D1741" t="n">
        <v>295.1664516</v>
      </c>
      <c r="E1741" t="n">
        <v>7.226636121257099e-05</v>
      </c>
      <c r="F1741" t="n">
        <v>0.9607103704119473</v>
      </c>
      <c r="G1741" t="inlineStr">
        <is>
          <t>C</t>
        </is>
      </c>
      <c r="H1741" t="n">
        <v>3</v>
      </c>
      <c r="I1741" t="n">
        <v>3.97</v>
      </c>
      <c r="J1741" t="n">
        <v>11.91</v>
      </c>
      <c r="K1741" t="n">
        <v>0.9</v>
      </c>
      <c r="L1741" t="n">
        <v>3.333333333333333</v>
      </c>
      <c r="M1741" t="n">
        <v>4</v>
      </c>
      <c r="N1741" t="n">
        <v>3.6</v>
      </c>
      <c r="O1741" t="n">
        <v>0</v>
      </c>
      <c r="P1741" t="n">
        <v>0</v>
      </c>
      <c r="Q1741" t="n">
        <v>0</v>
      </c>
      <c r="R1741" t="inlineStr">
        <is>
          <t>OK</t>
        </is>
      </c>
    </row>
    <row r="1742">
      <c r="A1742" t="inlineStr">
        <is>
          <t>OVEFTGE31TM</t>
        </is>
      </c>
      <c r="B1742" t="inlineStr">
        <is>
          <t>UNIHOODIE</t>
        </is>
      </c>
      <c r="C1742" t="inlineStr">
        <is>
          <t>Manufactura / General</t>
        </is>
      </c>
      <c r="D1742" t="n">
        <v>295.0210671</v>
      </c>
      <c r="E1742" t="n">
        <v>7.223076635165519e-05</v>
      </c>
      <c r="F1742" t="n">
        <v>0.9607826011782989</v>
      </c>
      <c r="G1742" t="inlineStr">
        <is>
          <t>C</t>
        </is>
      </c>
      <c r="H1742" t="n">
        <v>0</v>
      </c>
      <c r="I1742" t="n">
        <v>20.27</v>
      </c>
      <c r="J1742" t="n">
        <v>0</v>
      </c>
      <c r="K1742" t="n">
        <v>0.8</v>
      </c>
      <c r="L1742" t="n">
        <v>0</v>
      </c>
      <c r="M1742" t="n">
        <v>4</v>
      </c>
      <c r="N1742" t="n">
        <v>3.2</v>
      </c>
      <c r="O1742" t="n">
        <v>0</v>
      </c>
      <c r="P1742" t="n">
        <v>0</v>
      </c>
      <c r="Q1742" t="n">
        <v>0</v>
      </c>
      <c r="R1742" t="inlineStr">
        <is>
          <t>Sin rotación</t>
        </is>
      </c>
    </row>
    <row r="1743">
      <c r="A1743" t="inlineStr">
        <is>
          <t>VIVMIDA53TM</t>
        </is>
      </c>
      <c r="B1743" t="inlineStr">
        <is>
          <t>VIVI ORIGINAL DAMA</t>
        </is>
      </c>
      <c r="C1743" t="inlineStr">
        <is>
          <t>Manufactura / Dama / P. Superiores</t>
        </is>
      </c>
      <c r="D1743" t="n">
        <v>294.34363322</v>
      </c>
      <c r="E1743" t="n">
        <v>7.206490847314516e-05</v>
      </c>
      <c r="F1743" t="n">
        <v>0.9608546660867721</v>
      </c>
      <c r="G1743" t="inlineStr">
        <is>
          <t>C</t>
        </is>
      </c>
      <c r="H1743" t="n">
        <v>28</v>
      </c>
      <c r="I1743" t="n">
        <v>4.303181706</v>
      </c>
      <c r="J1743" t="n">
        <v>120.489087768</v>
      </c>
      <c r="K1743" t="n">
        <v>0.7</v>
      </c>
      <c r="L1743" t="n">
        <v>40</v>
      </c>
      <c r="M1743" t="n">
        <v>4</v>
      </c>
      <c r="N1743" t="n">
        <v>2.8</v>
      </c>
      <c r="O1743" t="n">
        <v>25.2</v>
      </c>
      <c r="P1743" t="n">
        <v>108.4401789912</v>
      </c>
      <c r="Q1743" t="n">
        <v>0.8999999999999999</v>
      </c>
      <c r="R1743" t="inlineStr">
        <is>
          <t>Sobrestock crítico</t>
        </is>
      </c>
    </row>
    <row r="1744">
      <c r="A1744" t="inlineStr">
        <is>
          <t>OVEFTGE30TM</t>
        </is>
      </c>
      <c r="B1744" t="inlineStr">
        <is>
          <t>UNIHOODIE</t>
        </is>
      </c>
      <c r="C1744" t="inlineStr">
        <is>
          <t>Manufactura / General</t>
        </is>
      </c>
      <c r="D1744" t="n">
        <v>294.32888704</v>
      </c>
      <c r="E1744" t="n">
        <v>7.20612981279836e-05</v>
      </c>
      <c r="F1744" t="n">
        <v>0.9609267273849</v>
      </c>
      <c r="G1744" t="inlineStr">
        <is>
          <t>C</t>
        </is>
      </c>
      <c r="H1744" t="n">
        <v>0</v>
      </c>
      <c r="I1744" t="n">
        <v>20.27</v>
      </c>
      <c r="J1744" t="n">
        <v>0</v>
      </c>
      <c r="K1744" t="n">
        <v>0.9</v>
      </c>
      <c r="L1744" t="n">
        <v>0</v>
      </c>
      <c r="M1744" t="n">
        <v>4</v>
      </c>
      <c r="N1744" t="n">
        <v>3.6</v>
      </c>
      <c r="O1744" t="n">
        <v>0</v>
      </c>
      <c r="P1744" t="n">
        <v>0</v>
      </c>
      <c r="Q1744" t="n">
        <v>0</v>
      </c>
      <c r="R1744" t="inlineStr">
        <is>
          <t>Sin rotación</t>
        </is>
      </c>
    </row>
    <row r="1745">
      <c r="A1745" t="inlineStr">
        <is>
          <t>TMOFIDA43TXS</t>
        </is>
      </c>
      <c r="B1745" t="inlineStr">
        <is>
          <t>TOP MOVA</t>
        </is>
      </c>
      <c r="C1745" t="inlineStr">
        <is>
          <t>Manufactura / Dama / P. Superiores</t>
        </is>
      </c>
      <c r="D1745" t="n">
        <v>294.17332037</v>
      </c>
      <c r="E1745" t="n">
        <v>7.202321034020855e-05</v>
      </c>
      <c r="F1745" t="n">
        <v>0.9609987505952402</v>
      </c>
      <c r="G1745" t="inlineStr">
        <is>
          <t>C</t>
        </is>
      </c>
      <c r="H1745" t="n">
        <v>41</v>
      </c>
      <c r="I1745" t="n">
        <v>9.942967033</v>
      </c>
      <c r="J1745" t="n">
        <v>407.661648353</v>
      </c>
      <c r="K1745" t="n">
        <v>0.7</v>
      </c>
      <c r="L1745" t="n">
        <v>58.57142857142858</v>
      </c>
      <c r="M1745" t="n">
        <v>4</v>
      </c>
      <c r="N1745" t="n">
        <v>2.8</v>
      </c>
      <c r="O1745" t="n">
        <v>38.2</v>
      </c>
      <c r="P1745" t="n">
        <v>379.8213406606001</v>
      </c>
      <c r="Q1745" t="n">
        <v>0.9317073170731708</v>
      </c>
      <c r="R1745" t="inlineStr">
        <is>
          <t>Sobrestock crítico</t>
        </is>
      </c>
    </row>
    <row r="1746">
      <c r="A1746" t="inlineStr">
        <is>
          <t>ZOEMIDA05TS</t>
        </is>
      </c>
      <c r="B1746" t="inlineStr">
        <is>
          <t>ZOE ORIGINAL DAMA</t>
        </is>
      </c>
      <c r="C1746" t="inlineStr">
        <is>
          <t>Manufactura / Dama / P. Superiores</t>
        </is>
      </c>
      <c r="D1746" t="n">
        <v>293.5560386</v>
      </c>
      <c r="E1746" t="n">
        <v>7.187207965743973e-05</v>
      </c>
      <c r="F1746" t="n">
        <v>0.9610706226748977</v>
      </c>
      <c r="G1746" t="inlineStr">
        <is>
          <t>C</t>
        </is>
      </c>
      <c r="H1746" t="n">
        <v>0</v>
      </c>
      <c r="I1746" t="n">
        <v>4.116585696</v>
      </c>
      <c r="J1746" t="n">
        <v>0</v>
      </c>
      <c r="K1746" t="n">
        <v>0.5</v>
      </c>
      <c r="L1746" t="n">
        <v>0</v>
      </c>
      <c r="M1746" t="n">
        <v>4</v>
      </c>
      <c r="N1746" t="n">
        <v>2</v>
      </c>
      <c r="O1746" t="n">
        <v>0</v>
      </c>
      <c r="P1746" t="n">
        <v>0</v>
      </c>
      <c r="Q1746" t="n">
        <v>0</v>
      </c>
      <c r="R1746" t="inlineStr">
        <is>
          <t>Riesgo bajo stock</t>
        </is>
      </c>
    </row>
    <row r="1747">
      <c r="A1747" t="inlineStr">
        <is>
          <t>CLAMEKI12T12</t>
        </is>
      </c>
      <c r="B1747" t="inlineStr">
        <is>
          <t>CLASICA SPORT KIDS</t>
        </is>
      </c>
      <c r="C1747" t="inlineStr">
        <is>
          <t>Manufactura / Kids / P. Superiores</t>
        </is>
      </c>
      <c r="D1747" t="n">
        <v>293.51982077</v>
      </c>
      <c r="E1747" t="n">
        <v>7.186321235300549e-05</v>
      </c>
      <c r="F1747" t="n">
        <v>0.9611424858872508</v>
      </c>
      <c r="G1747" t="inlineStr">
        <is>
          <t>C</t>
        </is>
      </c>
      <c r="H1747" t="n">
        <v>4</v>
      </c>
      <c r="I1747" t="n">
        <v>3.97</v>
      </c>
      <c r="J1747" t="n">
        <v>15.88</v>
      </c>
      <c r="K1747" t="n">
        <v>0.8</v>
      </c>
      <c r="L1747" t="n">
        <v>5</v>
      </c>
      <c r="M1747" t="n">
        <v>4</v>
      </c>
      <c r="N1747" t="n">
        <v>3.2</v>
      </c>
      <c r="O1747" t="n">
        <v>0.7999999999999998</v>
      </c>
      <c r="P1747" t="n">
        <v>3.175999999999999</v>
      </c>
      <c r="Q1747" t="n">
        <v>0.2</v>
      </c>
      <c r="R1747" t="inlineStr">
        <is>
          <t>Sobrestock</t>
        </is>
      </c>
    </row>
    <row r="1748">
      <c r="A1748" t="inlineStr">
        <is>
          <t>MAYFNDA10TL</t>
        </is>
      </c>
      <c r="B1748" t="inlineStr">
        <is>
          <t>MAYA SPORT LITE DAMA</t>
        </is>
      </c>
      <c r="C1748" t="inlineStr">
        <is>
          <t>Manufactura / Dama / P. Superiores</t>
        </is>
      </c>
      <c r="D1748" t="n">
        <v>291.76104709</v>
      </c>
      <c r="E1748" t="n">
        <v>7.143260727115735e-05</v>
      </c>
      <c r="F1748" t="n">
        <v>0.9612139184945219</v>
      </c>
      <c r="G1748" t="inlineStr">
        <is>
          <t>C</t>
        </is>
      </c>
      <c r="H1748" t="n">
        <v>1</v>
      </c>
      <c r="I1748" t="n">
        <v>3.87</v>
      </c>
      <c r="J1748" t="n">
        <v>3.87</v>
      </c>
      <c r="K1748" t="n">
        <v>0.9</v>
      </c>
      <c r="L1748" t="n">
        <v>1.111111111111111</v>
      </c>
      <c r="M1748" t="n">
        <v>4</v>
      </c>
      <c r="N1748" t="n">
        <v>3.6</v>
      </c>
      <c r="O1748" t="n">
        <v>0</v>
      </c>
      <c r="P1748" t="n">
        <v>0</v>
      </c>
      <c r="Q1748" t="n">
        <v>0</v>
      </c>
      <c r="R1748" t="inlineStr">
        <is>
          <t>OK</t>
        </is>
      </c>
    </row>
    <row r="1749">
      <c r="A1749" t="inlineStr">
        <is>
          <t>ZOEMIDA50TXS</t>
        </is>
      </c>
      <c r="B1749" t="inlineStr">
        <is>
          <t>ZOE ORIGINAL DAMA</t>
        </is>
      </c>
      <c r="C1749" t="inlineStr">
        <is>
          <t>Manufactura / Dama / P. Superiores</t>
        </is>
      </c>
      <c r="D1749" t="n">
        <v>291.23465057</v>
      </c>
      <c r="E1749" t="n">
        <v>7.130372825781029e-05</v>
      </c>
      <c r="F1749" t="n">
        <v>0.9612852222227798</v>
      </c>
      <c r="G1749" t="inlineStr">
        <is>
          <t>C</t>
        </is>
      </c>
      <c r="H1749" t="n">
        <v>14</v>
      </c>
      <c r="I1749" t="n">
        <v>4.116585696</v>
      </c>
      <c r="J1749" t="n">
        <v>57.63219974399999</v>
      </c>
      <c r="K1749" t="n">
        <v>0.9</v>
      </c>
      <c r="L1749" t="n">
        <v>15.55555555555556</v>
      </c>
      <c r="M1749" t="n">
        <v>4</v>
      </c>
      <c r="N1749" t="n">
        <v>3.6</v>
      </c>
      <c r="O1749" t="n">
        <v>10.4</v>
      </c>
      <c r="P1749" t="n">
        <v>42.8124912384</v>
      </c>
      <c r="Q1749" t="n">
        <v>0.742857142857143</v>
      </c>
      <c r="R1749" t="inlineStr">
        <is>
          <t>Sobrestock crítico</t>
        </is>
      </c>
    </row>
    <row r="1750">
      <c r="A1750" t="inlineStr">
        <is>
          <t>MARMIKI70T8</t>
        </is>
      </c>
      <c r="B1750" t="inlineStr">
        <is>
          <t>MAR ORIGINAL KIDS</t>
        </is>
      </c>
      <c r="C1750" t="inlineStr">
        <is>
          <t>Manufactura / Kids / P. Superiores</t>
        </is>
      </c>
      <c r="D1750" t="n">
        <v>290.92917424</v>
      </c>
      <c r="E1750" t="n">
        <v>7.122893770256255e-05</v>
      </c>
      <c r="F1750" t="n">
        <v>0.9613564511604823</v>
      </c>
      <c r="G1750" t="inlineStr">
        <is>
          <t>C</t>
        </is>
      </c>
      <c r="H1750" t="n">
        <v>0</v>
      </c>
      <c r="I1750" t="n">
        <v>3.168013332</v>
      </c>
      <c r="J1750" t="n">
        <v>0</v>
      </c>
      <c r="K1750" t="n">
        <v>0.8</v>
      </c>
      <c r="L1750" t="n">
        <v>0</v>
      </c>
      <c r="M1750" t="n">
        <v>4</v>
      </c>
      <c r="N1750" t="n">
        <v>3.2</v>
      </c>
      <c r="O1750" t="n">
        <v>0</v>
      </c>
      <c r="P1750" t="n">
        <v>0</v>
      </c>
      <c r="Q1750" t="n">
        <v>0</v>
      </c>
      <c r="R1750" t="inlineStr">
        <is>
          <t>Riesgo bajo stock</t>
        </is>
      </c>
    </row>
    <row r="1751">
      <c r="A1751" t="inlineStr">
        <is>
          <t>ADUMMDA16TXS</t>
        </is>
      </c>
      <c r="B1751" t="inlineStr">
        <is>
          <t>ACTIVE DUO DAMA</t>
        </is>
      </c>
      <c r="C1751" t="inlineStr">
        <is>
          <t>Manufactura / Caballero / P. Superiores</t>
        </is>
      </c>
      <c r="D1751" t="n">
        <v>290.90764007</v>
      </c>
      <c r="E1751" t="n">
        <v>7.12236654363575e-05</v>
      </c>
      <c r="F1751" t="n">
        <v>0.9614276748259187</v>
      </c>
      <c r="G1751" t="inlineStr">
        <is>
          <t>C</t>
        </is>
      </c>
      <c r="H1751" t="n">
        <v>28</v>
      </c>
      <c r="I1751" t="n">
        <v>3.19128</v>
      </c>
      <c r="J1751" t="n">
        <v>89.35584</v>
      </c>
      <c r="K1751" t="n">
        <v>0.7</v>
      </c>
      <c r="L1751" t="n">
        <v>40</v>
      </c>
      <c r="M1751" t="n">
        <v>4</v>
      </c>
      <c r="N1751" t="n">
        <v>2.8</v>
      </c>
      <c r="O1751" t="n">
        <v>25.2</v>
      </c>
      <c r="P1751" t="n">
        <v>80.42025599999999</v>
      </c>
      <c r="Q1751" t="n">
        <v>0.8999999999999999</v>
      </c>
      <c r="R1751" t="inlineStr">
        <is>
          <t>Sobrestock crítico</t>
        </is>
      </c>
    </row>
    <row r="1752">
      <c r="A1752" t="inlineStr">
        <is>
          <t>MAFMIDA66TXS</t>
        </is>
      </c>
      <c r="B1752" t="inlineStr">
        <is>
          <t>MAFE ORIGINAL DAMA</t>
        </is>
      </c>
      <c r="C1752" t="inlineStr">
        <is>
          <t>Manufactura / Dama / P. Superiores</t>
        </is>
      </c>
      <c r="D1752" t="n">
        <v>290.27875152</v>
      </c>
      <c r="E1752" t="n">
        <v>7.106969303580048e-05</v>
      </c>
      <c r="F1752" t="n">
        <v>0.9614987445189546</v>
      </c>
      <c r="G1752" t="inlineStr">
        <is>
          <t>C</t>
        </is>
      </c>
      <c r="H1752" t="n">
        <v>29</v>
      </c>
      <c r="I1752" t="n">
        <v>4.54817671</v>
      </c>
      <c r="J1752" t="n">
        <v>131.89712459</v>
      </c>
      <c r="K1752" t="n">
        <v>0.9</v>
      </c>
      <c r="L1752" t="n">
        <v>32.22222222222222</v>
      </c>
      <c r="M1752" t="n">
        <v>4</v>
      </c>
      <c r="N1752" t="n">
        <v>3.6</v>
      </c>
      <c r="O1752" t="n">
        <v>25.4</v>
      </c>
      <c r="P1752" t="n">
        <v>115.523688434</v>
      </c>
      <c r="Q1752" t="n">
        <v>0.8758620689655172</v>
      </c>
      <c r="R1752" t="inlineStr">
        <is>
          <t>Sobrestock crítico</t>
        </is>
      </c>
    </row>
    <row r="1753">
      <c r="A1753" t="inlineStr">
        <is>
          <t>ZOEMIDA16TM</t>
        </is>
      </c>
      <c r="B1753" t="inlineStr">
        <is>
          <t>ZOE ORIGINAL DAMA</t>
        </is>
      </c>
      <c r="C1753" t="inlineStr">
        <is>
          <t>Manufactura / Dama / P. Superiores</t>
        </is>
      </c>
      <c r="D1753" t="n">
        <v>289.81602828</v>
      </c>
      <c r="E1753" t="n">
        <v>7.095640331529861e-05</v>
      </c>
      <c r="F1753" t="n">
        <v>0.9615697009222698</v>
      </c>
      <c r="G1753" t="inlineStr">
        <is>
          <t>C</t>
        </is>
      </c>
      <c r="H1753" t="n">
        <v>0</v>
      </c>
      <c r="I1753" t="n">
        <v>4.116585696</v>
      </c>
      <c r="J1753" t="n">
        <v>0</v>
      </c>
      <c r="K1753" t="n">
        <v>0.8</v>
      </c>
      <c r="L1753" t="n">
        <v>0</v>
      </c>
      <c r="M1753" t="n">
        <v>4</v>
      </c>
      <c r="N1753" t="n">
        <v>3.2</v>
      </c>
      <c r="O1753" t="n">
        <v>0</v>
      </c>
      <c r="P1753" t="n">
        <v>0</v>
      </c>
      <c r="Q1753" t="n">
        <v>0</v>
      </c>
      <c r="R1753" t="inlineStr">
        <is>
          <t>Riesgo bajo stock</t>
        </is>
      </c>
    </row>
    <row r="1754">
      <c r="A1754" t="inlineStr">
        <is>
          <t>RIOMIDA14TM</t>
        </is>
      </c>
      <c r="B1754" t="inlineStr">
        <is>
          <t>RIO ORIGINAL DAMA</t>
        </is>
      </c>
      <c r="C1754" t="inlineStr">
        <is>
          <t>Manufactura / Dama / P. Superiores</t>
        </is>
      </c>
      <c r="D1754" t="n">
        <v>289.53842338</v>
      </c>
      <c r="E1754" t="n">
        <v>7.088843659391468e-05</v>
      </c>
      <c r="F1754" t="n">
        <v>0.9616405893588638</v>
      </c>
      <c r="G1754" t="inlineStr">
        <is>
          <t>C</t>
        </is>
      </c>
      <c r="H1754" t="n">
        <v>0</v>
      </c>
      <c r="I1754" t="n">
        <v>5.538832275</v>
      </c>
      <c r="J1754" t="n">
        <v>0</v>
      </c>
      <c r="K1754" t="n">
        <v>0.6</v>
      </c>
      <c r="L1754" t="n">
        <v>0</v>
      </c>
      <c r="M1754" t="n">
        <v>4</v>
      </c>
      <c r="N1754" t="n">
        <v>2.4</v>
      </c>
      <c r="O1754" t="n">
        <v>0</v>
      </c>
      <c r="P1754" t="n">
        <v>0</v>
      </c>
      <c r="Q1754" t="n">
        <v>0</v>
      </c>
      <c r="R1754" t="inlineStr">
        <is>
          <t>Sin rotación</t>
        </is>
      </c>
    </row>
    <row r="1755">
      <c r="A1755" t="inlineStr">
        <is>
          <t>CLAMECA66TL</t>
        </is>
      </c>
      <c r="B1755" t="inlineStr">
        <is>
          <t>CLASICA SPORT CAB</t>
        </is>
      </c>
      <c r="C1755" t="inlineStr">
        <is>
          <t>Manufactura / Caballero / P. Superiores</t>
        </is>
      </c>
      <c r="D1755" t="n">
        <v>289.51819518</v>
      </c>
      <c r="E1755" t="n">
        <v>7.088348407170238e-05</v>
      </c>
      <c r="F1755" t="n">
        <v>0.9617114728429355</v>
      </c>
      <c r="G1755" t="inlineStr">
        <is>
          <t>C</t>
        </is>
      </c>
      <c r="H1755" t="n">
        <v>0</v>
      </c>
      <c r="I1755" t="n">
        <v>10.3013454</v>
      </c>
      <c r="J1755" t="n">
        <v>0</v>
      </c>
      <c r="K1755" t="n">
        <v>0.7</v>
      </c>
      <c r="L1755" t="n">
        <v>0</v>
      </c>
      <c r="M1755" t="n">
        <v>4</v>
      </c>
      <c r="N1755" t="n">
        <v>2.8</v>
      </c>
      <c r="O1755" t="n">
        <v>0</v>
      </c>
      <c r="P1755" t="n">
        <v>0</v>
      </c>
      <c r="Q1755" t="n">
        <v>0</v>
      </c>
      <c r="R1755" t="inlineStr">
        <is>
          <t>Sin rotación</t>
        </is>
      </c>
    </row>
    <row r="1756">
      <c r="A1756" t="inlineStr">
        <is>
          <t>RIOMIDA09TS</t>
        </is>
      </c>
      <c r="B1756" t="inlineStr">
        <is>
          <t>RIO ORIGINAL DAMA</t>
        </is>
      </c>
      <c r="C1756" t="inlineStr">
        <is>
          <t>Manufactura / Dama / P. Superiores</t>
        </is>
      </c>
      <c r="D1756" t="n">
        <v>289.45853594</v>
      </c>
      <c r="E1756" t="n">
        <v>7.086887754659039e-05</v>
      </c>
      <c r="F1756" t="n">
        <v>0.9617823417204819</v>
      </c>
      <c r="G1756" t="inlineStr">
        <is>
          <t>C</t>
        </is>
      </c>
      <c r="H1756" t="n">
        <v>0</v>
      </c>
      <c r="I1756" t="n">
        <v>5.538832275</v>
      </c>
      <c r="J1756" t="n">
        <v>0</v>
      </c>
      <c r="K1756" t="n">
        <v>0.7</v>
      </c>
      <c r="L1756" t="n">
        <v>0</v>
      </c>
      <c r="M1756" t="n">
        <v>4</v>
      </c>
      <c r="N1756" t="n">
        <v>2.8</v>
      </c>
      <c r="O1756" t="n">
        <v>0</v>
      </c>
      <c r="P1756" t="n">
        <v>0</v>
      </c>
      <c r="Q1756" t="n">
        <v>0</v>
      </c>
      <c r="R1756" t="inlineStr">
        <is>
          <t>Riesgo bajo stock</t>
        </is>
      </c>
    </row>
    <row r="1757">
      <c r="A1757" t="inlineStr">
        <is>
          <t>CLADFCA151TS</t>
        </is>
      </c>
      <c r="B1757" t="inlineStr">
        <is>
          <t>CLASICA ADVANCE CAB</t>
        </is>
      </c>
      <c r="C1757" t="inlineStr">
        <is>
          <t>Manufactura / Caballero / P. Superiores</t>
        </is>
      </c>
      <c r="D1757" t="n">
        <v>288.91980483</v>
      </c>
      <c r="E1757" t="n">
        <v>7.073697862386163e-05</v>
      </c>
      <c r="F1757" t="n">
        <v>0.9618530786991059</v>
      </c>
      <c r="G1757" t="inlineStr">
        <is>
          <t>C</t>
        </is>
      </c>
      <c r="H1757" t="n">
        <v>0</v>
      </c>
      <c r="I1757" t="n">
        <v>15.51</v>
      </c>
      <c r="J1757" t="n">
        <v>0</v>
      </c>
      <c r="K1757" t="n">
        <v>0.9</v>
      </c>
      <c r="L1757" t="n">
        <v>0</v>
      </c>
      <c r="M1757" t="n">
        <v>4</v>
      </c>
      <c r="N1757" t="n">
        <v>3.6</v>
      </c>
      <c r="O1757" t="n">
        <v>0</v>
      </c>
      <c r="P1757" t="n">
        <v>0</v>
      </c>
      <c r="Q1757" t="n">
        <v>0</v>
      </c>
      <c r="R1757" t="inlineStr">
        <is>
          <t>Riesgo bajo stock</t>
        </is>
      </c>
    </row>
    <row r="1758">
      <c r="A1758" t="inlineStr">
        <is>
          <t>SHONTCA66TS</t>
        </is>
      </c>
      <c r="B1758" t="inlineStr">
        <is>
          <t>EXPLORE SHORT CAB</t>
        </is>
      </c>
      <c r="C1758" t="inlineStr">
        <is>
          <t>Manufactura / Caballero / P. Inferiores</t>
        </is>
      </c>
      <c r="D1758" t="n">
        <v>287.01240047</v>
      </c>
      <c r="E1758" t="n">
        <v>7.026998391050244e-05</v>
      </c>
      <c r="F1758" t="n">
        <v>0.9619233486830163</v>
      </c>
      <c r="G1758" t="inlineStr">
        <is>
          <t>C</t>
        </is>
      </c>
      <c r="H1758" t="n">
        <v>1</v>
      </c>
      <c r="I1758" t="n">
        <v>11.17</v>
      </c>
      <c r="J1758" t="n">
        <v>11.17</v>
      </c>
      <c r="K1758" t="n">
        <v>0.6</v>
      </c>
      <c r="L1758" t="n">
        <v>1.666666666666667</v>
      </c>
      <c r="M1758" t="n">
        <v>4</v>
      </c>
      <c r="N1758" t="n">
        <v>2.4</v>
      </c>
      <c r="O1758" t="n">
        <v>0</v>
      </c>
      <c r="P1758" t="n">
        <v>0</v>
      </c>
      <c r="Q1758" t="n">
        <v>0</v>
      </c>
      <c r="R1758" t="inlineStr">
        <is>
          <t>Sin rotación</t>
        </is>
      </c>
    </row>
    <row r="1759">
      <c r="A1759" t="inlineStr">
        <is>
          <t>ANDMIDA66TXS</t>
        </is>
      </c>
      <c r="B1759" t="inlineStr">
        <is>
          <t>ANDRE ORIGINAL DAMA</t>
        </is>
      </c>
      <c r="C1759" t="inlineStr">
        <is>
          <t>Manufactura / Dama / P. Superiores</t>
        </is>
      </c>
      <c r="D1759" t="n">
        <v>286.97321601</v>
      </c>
      <c r="E1759" t="n">
        <v>7.026039027841814e-05</v>
      </c>
      <c r="F1759" t="n">
        <v>0.9619936090732948</v>
      </c>
      <c r="G1759" t="inlineStr">
        <is>
          <t>C</t>
        </is>
      </c>
      <c r="H1759" t="n">
        <v>22</v>
      </c>
      <c r="I1759" t="n">
        <v>3.274295302</v>
      </c>
      <c r="J1759" t="n">
        <v>72.034496644</v>
      </c>
      <c r="K1759" t="n">
        <v>0.7</v>
      </c>
      <c r="L1759" t="n">
        <v>31.42857142857143</v>
      </c>
      <c r="M1759" t="n">
        <v>4</v>
      </c>
      <c r="N1759" t="n">
        <v>2.8</v>
      </c>
      <c r="O1759" t="n">
        <v>19.2</v>
      </c>
      <c r="P1759" t="n">
        <v>62.8664697984</v>
      </c>
      <c r="Q1759" t="n">
        <v>0.8727272727272727</v>
      </c>
      <c r="R1759" t="inlineStr">
        <is>
          <t>Sobrestock crítico</t>
        </is>
      </c>
    </row>
    <row r="1760">
      <c r="A1760" t="inlineStr">
        <is>
          <t>RIOMICA04TS</t>
        </is>
      </c>
      <c r="B1760" t="inlineStr">
        <is>
          <t>RIO ORIGINAL CAB</t>
        </is>
      </c>
      <c r="C1760" t="inlineStr">
        <is>
          <t>Manufactura / Caballero / P. Superiores</t>
        </is>
      </c>
      <c r="D1760" t="n">
        <v>285.89025483</v>
      </c>
      <c r="E1760" t="n">
        <v>6.999524610844611e-05</v>
      </c>
      <c r="F1760" t="n">
        <v>0.9620636043194032</v>
      </c>
      <c r="G1760" t="inlineStr">
        <is>
          <t>C</t>
        </is>
      </c>
      <c r="H1760" t="n">
        <v>7</v>
      </c>
      <c r="I1760" t="n">
        <v>5.939350288</v>
      </c>
      <c r="J1760" t="n">
        <v>41.575452016</v>
      </c>
      <c r="K1760" t="n">
        <v>0.5</v>
      </c>
      <c r="L1760" t="n">
        <v>14</v>
      </c>
      <c r="M1760" t="n">
        <v>4</v>
      </c>
      <c r="N1760" t="n">
        <v>2</v>
      </c>
      <c r="O1760" t="n">
        <v>5</v>
      </c>
      <c r="P1760" t="n">
        <v>29.69675144</v>
      </c>
      <c r="Q1760" t="n">
        <v>0.7142857142857143</v>
      </c>
      <c r="R1760" t="inlineStr">
        <is>
          <t>Sobrestock crítico</t>
        </is>
      </c>
    </row>
    <row r="1761">
      <c r="A1761" t="inlineStr">
        <is>
          <t>TALGOTADA12TXS</t>
        </is>
      </c>
      <c r="B1761" t="inlineStr">
        <is>
          <t>URBAN COTTON TOP VINTAGE GRIS DAMA</t>
        </is>
      </c>
      <c r="C1761" t="inlineStr">
        <is>
          <t>Manufactura / Dama / P. Superiores</t>
        </is>
      </c>
      <c r="D1761" t="n">
        <v>285.66859139</v>
      </c>
      <c r="E1761" t="n">
        <v>6.994097567853842e-05</v>
      </c>
      <c r="F1761" t="n">
        <v>0.9621335452950818</v>
      </c>
      <c r="G1761" t="inlineStr">
        <is>
          <t>C</t>
        </is>
      </c>
      <c r="H1761" t="n">
        <v>37</v>
      </c>
      <c r="I1761" t="n">
        <v>7.819069274</v>
      </c>
      <c r="J1761" t="n">
        <v>289.305563138</v>
      </c>
      <c r="K1761" t="n">
        <v>0.6</v>
      </c>
      <c r="L1761" t="n">
        <v>61.66666666666667</v>
      </c>
      <c r="M1761" t="n">
        <v>4</v>
      </c>
      <c r="N1761" t="n">
        <v>2.4</v>
      </c>
      <c r="O1761" t="n">
        <v>34.6</v>
      </c>
      <c r="P1761" t="n">
        <v>270.5397968804</v>
      </c>
      <c r="Q1761" t="n">
        <v>0.9351351351351352</v>
      </c>
      <c r="R1761" t="inlineStr">
        <is>
          <t>Sobrestock crítico</t>
        </is>
      </c>
    </row>
    <row r="1762">
      <c r="A1762" t="inlineStr">
        <is>
          <t>RIOMIKI12T1</t>
        </is>
      </c>
      <c r="B1762" t="inlineStr">
        <is>
          <t>RIO ORIGINAL KIDS</t>
        </is>
      </c>
      <c r="C1762" t="inlineStr">
        <is>
          <t>Manufactura / Kids / P. Superiores</t>
        </is>
      </c>
      <c r="D1762" t="n">
        <v>285.06109892</v>
      </c>
      <c r="E1762" t="n">
        <v>6.97922417352567e-05</v>
      </c>
      <c r="F1762" t="n">
        <v>0.9622033375368171</v>
      </c>
      <c r="G1762" t="inlineStr">
        <is>
          <t>C</t>
        </is>
      </c>
      <c r="H1762" t="n">
        <v>0</v>
      </c>
      <c r="I1762" t="n">
        <v>3.617969464</v>
      </c>
      <c r="J1762" t="n">
        <v>0</v>
      </c>
      <c r="K1762" t="n">
        <v>0.7</v>
      </c>
      <c r="L1762" t="n">
        <v>0</v>
      </c>
      <c r="M1762" t="n">
        <v>4</v>
      </c>
      <c r="N1762" t="n">
        <v>2.8</v>
      </c>
      <c r="O1762" t="n">
        <v>0</v>
      </c>
      <c r="P1762" t="n">
        <v>0</v>
      </c>
      <c r="Q1762" t="n">
        <v>0</v>
      </c>
      <c r="R1762" t="inlineStr">
        <is>
          <t>Riesgo bajo stock</t>
        </is>
      </c>
    </row>
    <row r="1763">
      <c r="A1763" t="inlineStr">
        <is>
          <t>ANDMIDA66TM</t>
        </is>
      </c>
      <c r="B1763" t="inlineStr">
        <is>
          <t>ANDRE ORIGINAL DAMA</t>
        </is>
      </c>
      <c r="C1763" t="inlineStr">
        <is>
          <t>Manufactura / Dama / P. Superiores</t>
        </is>
      </c>
      <c r="D1763" t="n">
        <v>284.81393546</v>
      </c>
      <c r="E1763" t="n">
        <v>6.973172806989234e-05</v>
      </c>
      <c r="F1763" t="n">
        <v>0.962273069264887</v>
      </c>
      <c r="G1763" t="inlineStr">
        <is>
          <t>C</t>
        </is>
      </c>
      <c r="H1763" t="n">
        <v>26</v>
      </c>
      <c r="I1763" t="n">
        <v>3.274295302</v>
      </c>
      <c r="J1763" t="n">
        <v>85.131677852</v>
      </c>
      <c r="K1763" t="n">
        <v>0.8</v>
      </c>
      <c r="L1763" t="n">
        <v>32.5</v>
      </c>
      <c r="M1763" t="n">
        <v>4</v>
      </c>
      <c r="N1763" t="n">
        <v>3.2</v>
      </c>
      <c r="O1763" t="n">
        <v>22.8</v>
      </c>
      <c r="P1763" t="n">
        <v>74.6539328856</v>
      </c>
      <c r="Q1763" t="n">
        <v>0.8769230769230769</v>
      </c>
      <c r="R1763" t="inlineStr">
        <is>
          <t>Sobrestock crítico</t>
        </is>
      </c>
    </row>
    <row r="1764">
      <c r="A1764" t="inlineStr">
        <is>
          <t>SHOUNKI12T10</t>
        </is>
      </c>
      <c r="B1764" t="inlineStr">
        <is>
          <t>SHORT PLAYA KIDS</t>
        </is>
      </c>
      <c r="C1764" t="inlineStr">
        <is>
          <t>Manufactura / Kids / P. Inferiores</t>
        </is>
      </c>
      <c r="D1764" t="n">
        <v>284.63313294</v>
      </c>
      <c r="E1764" t="n">
        <v>6.96874617240809e-05</v>
      </c>
      <c r="F1764" t="n">
        <v>0.962342756726611</v>
      </c>
      <c r="G1764" t="inlineStr">
        <is>
          <t>C</t>
        </is>
      </c>
      <c r="H1764" t="n">
        <v>29</v>
      </c>
      <c r="I1764" t="n">
        <v>6.089999999999999</v>
      </c>
      <c r="J1764" t="n">
        <v>176.61</v>
      </c>
      <c r="K1764" t="n">
        <v>0.7</v>
      </c>
      <c r="L1764" t="n">
        <v>41.42857142857143</v>
      </c>
      <c r="M1764" t="n">
        <v>4</v>
      </c>
      <c r="N1764" t="n">
        <v>2.8</v>
      </c>
      <c r="O1764" t="n">
        <v>26.2</v>
      </c>
      <c r="P1764" t="n">
        <v>159.558</v>
      </c>
      <c r="Q1764" t="n">
        <v>0.903448275862069</v>
      </c>
      <c r="R1764" t="inlineStr">
        <is>
          <t>Sobrestock crítico</t>
        </is>
      </c>
    </row>
    <row r="1765">
      <c r="A1765" t="inlineStr">
        <is>
          <t>SHPEUNCA211TM</t>
        </is>
      </c>
      <c r="B1765" t="inlineStr">
        <is>
          <t>SHORT PLAYA ESTAMPADO CAB</t>
        </is>
      </c>
      <c r="C1765" t="inlineStr">
        <is>
          <t>Manufactura / Caballero / P. Inferiores</t>
        </is>
      </c>
      <c r="D1765" t="n">
        <v>284.2717834</v>
      </c>
      <c r="E1765" t="n">
        <v>6.959899158717989e-05</v>
      </c>
      <c r="F1765" t="n">
        <v>0.9624123557181981</v>
      </c>
      <c r="G1765" t="inlineStr">
        <is>
          <t>C</t>
        </is>
      </c>
      <c r="H1765" t="n">
        <v>0</v>
      </c>
      <c r="I1765" t="n">
        <v>12.11</v>
      </c>
      <c r="J1765" t="n">
        <v>0</v>
      </c>
      <c r="K1765" t="n">
        <v>0.7</v>
      </c>
      <c r="L1765" t="n">
        <v>0</v>
      </c>
      <c r="M1765" t="n">
        <v>4</v>
      </c>
      <c r="N1765" t="n">
        <v>2.8</v>
      </c>
      <c r="O1765" t="n">
        <v>0</v>
      </c>
      <c r="P1765" t="n">
        <v>0</v>
      </c>
      <c r="Q1765" t="n">
        <v>0</v>
      </c>
      <c r="R1765" t="inlineStr">
        <is>
          <t>Riesgo bajo stock</t>
        </is>
      </c>
    </row>
    <row r="1766">
      <c r="A1766" t="inlineStr">
        <is>
          <t>CGCSDA16TXL</t>
        </is>
      </c>
      <c r="B1766" t="inlineStr">
        <is>
          <t>CLASICA GC SUBLIMADO DAMA</t>
        </is>
      </c>
      <c r="C1766" t="inlineStr">
        <is>
          <t>Manufactura / Dama / P. Superiores</t>
        </is>
      </c>
      <c r="D1766" t="n">
        <v>284.01354702</v>
      </c>
      <c r="E1766" t="n">
        <v>6.953576691034365e-05</v>
      </c>
      <c r="F1766" t="n">
        <v>0.9624818914851084</v>
      </c>
      <c r="G1766" t="inlineStr">
        <is>
          <t>C</t>
        </is>
      </c>
      <c r="H1766" t="n">
        <v>0</v>
      </c>
      <c r="I1766" t="n">
        <v>0</v>
      </c>
      <c r="J1766" t="n">
        <v>0</v>
      </c>
      <c r="K1766" t="n">
        <v>2</v>
      </c>
      <c r="L1766" t="n">
        <v>0</v>
      </c>
      <c r="M1766" t="n">
        <v>4</v>
      </c>
      <c r="N1766" t="n">
        <v>8</v>
      </c>
      <c r="O1766" t="n">
        <v>0</v>
      </c>
      <c r="P1766" t="n">
        <v>0</v>
      </c>
      <c r="Q1766" t="n">
        <v>0</v>
      </c>
      <c r="R1766" t="inlineStr">
        <is>
          <t>Riesgo bajo stock</t>
        </is>
      </c>
    </row>
    <row r="1767">
      <c r="A1767" t="inlineStr">
        <is>
          <t>SHOUNKI29T1</t>
        </is>
      </c>
      <c r="B1767" t="inlineStr">
        <is>
          <t>SHORT PLAYA KIDS</t>
        </is>
      </c>
      <c r="C1767" t="inlineStr">
        <is>
          <t>Manufactura / Kids / P. Inferiores</t>
        </is>
      </c>
      <c r="D1767" t="n">
        <v>283.7803561</v>
      </c>
      <c r="E1767" t="n">
        <v>6.947867417787064e-05</v>
      </c>
      <c r="F1767" t="n">
        <v>0.9625513701592864</v>
      </c>
      <c r="G1767" t="inlineStr">
        <is>
          <t>C</t>
        </is>
      </c>
      <c r="H1767" t="n">
        <v>9</v>
      </c>
      <c r="I1767" t="n">
        <v>6.09</v>
      </c>
      <c r="J1767" t="n">
        <v>54.81</v>
      </c>
      <c r="K1767" t="n">
        <v>0.6</v>
      </c>
      <c r="L1767" t="n">
        <v>15</v>
      </c>
      <c r="M1767" t="n">
        <v>4</v>
      </c>
      <c r="N1767" t="n">
        <v>2.4</v>
      </c>
      <c r="O1767" t="n">
        <v>6.6</v>
      </c>
      <c r="P1767" t="n">
        <v>40.194</v>
      </c>
      <c r="Q1767" t="n">
        <v>0.7333333333333332</v>
      </c>
      <c r="R1767" t="inlineStr">
        <is>
          <t>Sobrestock crítico</t>
        </is>
      </c>
    </row>
    <row r="1768">
      <c r="A1768" t="inlineStr">
        <is>
          <t>HELBFDA206TL</t>
        </is>
      </c>
      <c r="B1768" t="inlineStr">
        <is>
          <t>HELEN BIO MOVE DAMA</t>
        </is>
      </c>
      <c r="C1768" t="inlineStr">
        <is>
          <t>Manufactura / Dama / P. Superiores</t>
        </is>
      </c>
      <c r="D1768" t="n">
        <v>283.52270079</v>
      </c>
      <c r="E1768" t="n">
        <v>6.941559176589642e-05</v>
      </c>
      <c r="F1768" t="n">
        <v>0.9626207857510523</v>
      </c>
      <c r="G1768" t="inlineStr">
        <is>
          <t>C</t>
        </is>
      </c>
      <c r="H1768" t="n">
        <v>28</v>
      </c>
      <c r="I1768" t="n">
        <v>7.34081746</v>
      </c>
      <c r="J1768" t="n">
        <v>205.54288888</v>
      </c>
      <c r="K1768" t="n">
        <v>0.4</v>
      </c>
      <c r="L1768" t="n">
        <v>70</v>
      </c>
      <c r="M1768" t="n">
        <v>4</v>
      </c>
      <c r="N1768" t="n">
        <v>1.6</v>
      </c>
      <c r="O1768" t="n">
        <v>26.4</v>
      </c>
      <c r="P1768" t="n">
        <v>193.797580944</v>
      </c>
      <c r="Q1768" t="n">
        <v>0.9428571428571427</v>
      </c>
      <c r="R1768" t="inlineStr">
        <is>
          <t>Sobrestock crítico</t>
        </is>
      </c>
    </row>
    <row r="1769">
      <c r="A1769" t="inlineStr">
        <is>
          <t>SHOUNKI68T6</t>
        </is>
      </c>
      <c r="B1769" t="inlineStr">
        <is>
          <t>SHORT PLAYA KIDS</t>
        </is>
      </c>
      <c r="C1769" t="inlineStr">
        <is>
          <t>Manufactura / Kids / P. Inferiores</t>
        </is>
      </c>
      <c r="D1769" t="n">
        <v>283.05286455</v>
      </c>
      <c r="E1769" t="n">
        <v>6.930056055131716e-05</v>
      </c>
      <c r="F1769" t="n">
        <v>0.9626900863116036</v>
      </c>
      <c r="G1769" t="inlineStr">
        <is>
          <t>C</t>
        </is>
      </c>
      <c r="H1769" t="n">
        <v>24</v>
      </c>
      <c r="I1769" t="n">
        <v>6.09</v>
      </c>
      <c r="J1769" t="n">
        <v>146.16</v>
      </c>
      <c r="K1769" t="n">
        <v>0.6</v>
      </c>
      <c r="L1769" t="n">
        <v>40</v>
      </c>
      <c r="M1769" t="n">
        <v>4</v>
      </c>
      <c r="N1769" t="n">
        <v>2.4</v>
      </c>
      <c r="O1769" t="n">
        <v>21.6</v>
      </c>
      <c r="P1769" t="n">
        <v>131.544</v>
      </c>
      <c r="Q1769" t="n">
        <v>0.9000000000000001</v>
      </c>
      <c r="R1769" t="inlineStr">
        <is>
          <t>Sobrestock crítico</t>
        </is>
      </c>
    </row>
    <row r="1770">
      <c r="A1770" t="inlineStr">
        <is>
          <t>SUN33EQ</t>
        </is>
      </c>
      <c r="B1770" t="inlineStr">
        <is>
          <t>SUN HAT</t>
        </is>
      </c>
      <c r="C1770" t="inlineStr">
        <is>
          <t>Equipamiento / Sombreros</t>
        </is>
      </c>
      <c r="D1770" t="n">
        <v>282.86637101</v>
      </c>
      <c r="E1770" t="n">
        <v>6.925490085844762e-05</v>
      </c>
      <c r="F1770" t="n">
        <v>0.9627593412124621</v>
      </c>
      <c r="G1770" t="inlineStr">
        <is>
          <t>C</t>
        </is>
      </c>
      <c r="H1770" t="n">
        <v>0</v>
      </c>
      <c r="I1770" t="n">
        <v>5.58</v>
      </c>
      <c r="J1770" t="n">
        <v>0</v>
      </c>
      <c r="K1770" t="n">
        <v>1.1</v>
      </c>
      <c r="L1770" t="n">
        <v>0</v>
      </c>
      <c r="M1770" t="n">
        <v>4</v>
      </c>
      <c r="N1770" t="n">
        <v>4.4</v>
      </c>
      <c r="O1770" t="n">
        <v>0</v>
      </c>
      <c r="P1770" t="n">
        <v>0</v>
      </c>
      <c r="Q1770" t="n">
        <v>0</v>
      </c>
      <c r="R1770" t="inlineStr">
        <is>
          <t>Sin rotación</t>
        </is>
      </c>
    </row>
    <row r="1771">
      <c r="A1771" t="inlineStr">
        <is>
          <t>CGCSKI16T4</t>
        </is>
      </c>
      <c r="B1771" t="inlineStr">
        <is>
          <t>CLASICA GC SUBLIMADO KIDS</t>
        </is>
      </c>
      <c r="C1771" t="inlineStr">
        <is>
          <t>Manufactura / Kids / P. Superiores</t>
        </is>
      </c>
      <c r="D1771" t="n">
        <v>282.6785167</v>
      </c>
      <c r="E1771" t="n">
        <v>6.920890800476046e-05</v>
      </c>
      <c r="F1771" t="n">
        <v>0.9628285501204668</v>
      </c>
      <c r="G1771" t="inlineStr">
        <is>
          <t>C</t>
        </is>
      </c>
      <c r="H1771" t="n">
        <v>0</v>
      </c>
      <c r="I1771" t="n">
        <v>0</v>
      </c>
      <c r="J1771" t="n">
        <v>0</v>
      </c>
      <c r="K1771" t="n">
        <v>0.6</v>
      </c>
      <c r="L1771" t="n">
        <v>0</v>
      </c>
      <c r="M1771" t="n">
        <v>4</v>
      </c>
      <c r="N1771" t="n">
        <v>2.4</v>
      </c>
      <c r="O1771" t="n">
        <v>0</v>
      </c>
      <c r="P1771" t="n">
        <v>0</v>
      </c>
      <c r="Q1771" t="n">
        <v>0</v>
      </c>
      <c r="R1771" t="inlineStr">
        <is>
          <t>Riesgo bajo stock</t>
        </is>
      </c>
    </row>
    <row r="1772">
      <c r="A1772" t="inlineStr">
        <is>
          <t>MARMICA01T3XL</t>
        </is>
      </c>
      <c r="B1772" t="inlineStr">
        <is>
          <t>MAR ORIGINAL CAB</t>
        </is>
      </c>
      <c r="C1772" t="inlineStr">
        <is>
          <t>Manufactura / Caballero / P. Superiores</t>
        </is>
      </c>
      <c r="D1772" t="n">
        <v>282.33632725</v>
      </c>
      <c r="E1772" t="n">
        <v>6.912512888195438e-05</v>
      </c>
      <c r="F1772" t="n">
        <v>0.9628976752493488</v>
      </c>
      <c r="G1772" t="inlineStr">
        <is>
          <t>C</t>
        </is>
      </c>
      <c r="H1772" t="n">
        <v>10</v>
      </c>
      <c r="I1772" t="n">
        <v>4.946357428</v>
      </c>
      <c r="J1772" t="n">
        <v>49.46357428</v>
      </c>
      <c r="K1772" t="n">
        <v>0.6</v>
      </c>
      <c r="L1772" t="n">
        <v>16.66666666666667</v>
      </c>
      <c r="M1772" t="n">
        <v>4</v>
      </c>
      <c r="N1772" t="n">
        <v>2.4</v>
      </c>
      <c r="O1772" t="n">
        <v>7.6</v>
      </c>
      <c r="P1772" t="n">
        <v>37.5923164528</v>
      </c>
      <c r="Q1772" t="n">
        <v>0.76</v>
      </c>
      <c r="R1772" t="inlineStr">
        <is>
          <t>Sobrestock crítico</t>
        </is>
      </c>
    </row>
    <row r="1773">
      <c r="A1773" t="inlineStr">
        <is>
          <t>RIOMIDA04TL</t>
        </is>
      </c>
      <c r="B1773" t="inlineStr">
        <is>
          <t>RIO ORIGINAL DAMA</t>
        </is>
      </c>
      <c r="C1773" t="inlineStr">
        <is>
          <t>Manufactura / Dama / P. Superiores</t>
        </is>
      </c>
      <c r="D1773" t="n">
        <v>281.99936798</v>
      </c>
      <c r="E1773" t="n">
        <v>6.904263027756439e-05</v>
      </c>
      <c r="F1773" t="n">
        <v>0.9629667178796263</v>
      </c>
      <c r="G1773" t="inlineStr">
        <is>
          <t>C</t>
        </is>
      </c>
      <c r="H1773" t="n">
        <v>13</v>
      </c>
      <c r="I1773" t="n">
        <v>5.538832275</v>
      </c>
      <c r="J1773" t="n">
        <v>72.004819575</v>
      </c>
      <c r="K1773" t="n">
        <v>0.5</v>
      </c>
      <c r="L1773" t="n">
        <v>26</v>
      </c>
      <c r="M1773" t="n">
        <v>4</v>
      </c>
      <c r="N1773" t="n">
        <v>2</v>
      </c>
      <c r="O1773" t="n">
        <v>11</v>
      </c>
      <c r="P1773" t="n">
        <v>60.927155025</v>
      </c>
      <c r="Q1773" t="n">
        <v>0.8461538461538461</v>
      </c>
      <c r="R1773" t="inlineStr">
        <is>
          <t>Sobrestock crítico</t>
        </is>
      </c>
    </row>
    <row r="1774">
      <c r="A1774" t="inlineStr">
        <is>
          <t>RIOMICA01T2XL</t>
        </is>
      </c>
      <c r="B1774" t="inlineStr">
        <is>
          <t>RIO ORIGINAL CAB</t>
        </is>
      </c>
      <c r="C1774" t="inlineStr">
        <is>
          <t>Manufactura / Caballero / P. Superiores</t>
        </is>
      </c>
      <c r="D1774" t="n">
        <v>281.89082827</v>
      </c>
      <c r="E1774" t="n">
        <v>6.901605622131156e-05</v>
      </c>
      <c r="F1774" t="n">
        <v>0.9630357339358476</v>
      </c>
      <c r="G1774" t="inlineStr">
        <is>
          <t>C</t>
        </is>
      </c>
      <c r="H1774" t="n">
        <v>4</v>
      </c>
      <c r="I1774" t="n">
        <v>5.939350288</v>
      </c>
      <c r="J1774" t="n">
        <v>23.757401152</v>
      </c>
      <c r="K1774" t="n">
        <v>0.5</v>
      </c>
      <c r="L1774" t="n">
        <v>8</v>
      </c>
      <c r="M1774" t="n">
        <v>4</v>
      </c>
      <c r="N1774" t="n">
        <v>2</v>
      </c>
      <c r="O1774" t="n">
        <v>2</v>
      </c>
      <c r="P1774" t="n">
        <v>11.878700576</v>
      </c>
      <c r="Q1774" t="n">
        <v>0.5</v>
      </c>
      <c r="R1774" t="inlineStr">
        <is>
          <t>Sobrestock crítico</t>
        </is>
      </c>
    </row>
    <row r="1775">
      <c r="A1775" t="inlineStr">
        <is>
          <t>MAYFNDA16TXS</t>
        </is>
      </c>
      <c r="B1775" t="inlineStr">
        <is>
          <t>MAYA SPORT LITE DAMA</t>
        </is>
      </c>
      <c r="C1775" t="inlineStr">
        <is>
          <t>Manufactura / Dama / P. Superiores</t>
        </is>
      </c>
      <c r="D1775" t="n">
        <v>281.58892053</v>
      </c>
      <c r="E1775" t="n">
        <v>6.894213937312829e-05</v>
      </c>
      <c r="F1775" t="n">
        <v>0.9631046760752208</v>
      </c>
      <c r="G1775" t="inlineStr">
        <is>
          <t>C</t>
        </is>
      </c>
      <c r="H1775" t="n">
        <v>21</v>
      </c>
      <c r="I1775" t="n">
        <v>3.87</v>
      </c>
      <c r="J1775" t="n">
        <v>81.27</v>
      </c>
      <c r="K1775" t="n">
        <v>0.8</v>
      </c>
      <c r="L1775" t="n">
        <v>26.25</v>
      </c>
      <c r="M1775" t="n">
        <v>4</v>
      </c>
      <c r="N1775" t="n">
        <v>3.2</v>
      </c>
      <c r="O1775" t="n">
        <v>17.8</v>
      </c>
      <c r="P1775" t="n">
        <v>68.88600000000001</v>
      </c>
      <c r="Q1775" t="n">
        <v>0.8476190476190478</v>
      </c>
      <c r="R1775" t="inlineStr">
        <is>
          <t>Sobrestock crítico</t>
        </is>
      </c>
    </row>
    <row r="1776">
      <c r="A1776" t="inlineStr">
        <is>
          <t>TALGOTADA170TXS</t>
        </is>
      </c>
      <c r="B1776" t="inlineStr">
        <is>
          <t>URBAN COTTON TOP VINTAGE GRIS DAMA</t>
        </is>
      </c>
      <c r="C1776" t="inlineStr">
        <is>
          <t>Manufactura / Dama / P. Superiores</t>
        </is>
      </c>
      <c r="D1776" t="n">
        <v>281.02596408</v>
      </c>
      <c r="E1776" t="n">
        <v>6.880430929812444e-05</v>
      </c>
      <c r="F1776" t="n">
        <v>0.9631734803845189</v>
      </c>
      <c r="G1776" t="inlineStr">
        <is>
          <t>C</t>
        </is>
      </c>
      <c r="H1776" t="n">
        <v>30</v>
      </c>
      <c r="I1776" t="n">
        <v>7.819069274</v>
      </c>
      <c r="J1776" t="n">
        <v>234.57207822</v>
      </c>
      <c r="K1776" t="n">
        <v>0.8</v>
      </c>
      <c r="L1776" t="n">
        <v>37.5</v>
      </c>
      <c r="M1776" t="n">
        <v>4</v>
      </c>
      <c r="N1776" t="n">
        <v>3.2</v>
      </c>
      <c r="O1776" t="n">
        <v>26.8</v>
      </c>
      <c r="P1776" t="n">
        <v>209.5510565432</v>
      </c>
      <c r="Q1776" t="n">
        <v>0.8933333333333334</v>
      </c>
      <c r="R1776" t="inlineStr">
        <is>
          <t>Sobrestock crítico</t>
        </is>
      </c>
    </row>
    <row r="1777">
      <c r="A1777" t="inlineStr">
        <is>
          <t>SHONRKI16T8</t>
        </is>
      </c>
      <c r="B1777" t="inlineStr">
        <is>
          <t>SHORT SPORT KIDS</t>
        </is>
      </c>
      <c r="C1777" t="inlineStr">
        <is>
          <t>Manufactura / Kids / P. Inferiores</t>
        </is>
      </c>
      <c r="D1777" t="n">
        <v>280.35911019</v>
      </c>
      <c r="E1777" t="n">
        <v>6.864104174576705e-05</v>
      </c>
      <c r="F1777" t="n">
        <v>0.9632421214262646</v>
      </c>
      <c r="G1777" t="inlineStr">
        <is>
          <t>C</t>
        </is>
      </c>
      <c r="H1777" t="n">
        <v>10</v>
      </c>
      <c r="I1777" t="n">
        <v>6.465724382</v>
      </c>
      <c r="J1777" t="n">
        <v>64.65724382000001</v>
      </c>
      <c r="K1777" t="n">
        <v>0.7</v>
      </c>
      <c r="L1777" t="n">
        <v>14.28571428571429</v>
      </c>
      <c r="M1777" t="n">
        <v>4</v>
      </c>
      <c r="N1777" t="n">
        <v>2.8</v>
      </c>
      <c r="O1777" t="n">
        <v>7.2</v>
      </c>
      <c r="P1777" t="n">
        <v>46.5532155504</v>
      </c>
      <c r="Q1777" t="n">
        <v>0.72</v>
      </c>
      <c r="R1777" t="inlineStr">
        <is>
          <t>Sobrestock crítico</t>
        </is>
      </c>
    </row>
    <row r="1778">
      <c r="A1778" t="inlineStr">
        <is>
          <t>SHOUNCA57TL</t>
        </is>
      </c>
      <c r="B1778" t="inlineStr">
        <is>
          <t>SHORT PLAYA CAB</t>
        </is>
      </c>
      <c r="C1778" t="inlineStr">
        <is>
          <t>Manufactura / Caballero / P. Inferiores</t>
        </is>
      </c>
      <c r="D1778" t="n">
        <v>280.06792852</v>
      </c>
      <c r="E1778" t="n">
        <v>6.856975098887841e-05</v>
      </c>
      <c r="F1778" t="n">
        <v>0.9633106911772535</v>
      </c>
      <c r="G1778" t="inlineStr">
        <is>
          <t>C</t>
        </is>
      </c>
      <c r="H1778" t="n">
        <v>0</v>
      </c>
      <c r="I1778" t="n">
        <v>9.99</v>
      </c>
      <c r="J1778" t="n">
        <v>0</v>
      </c>
      <c r="K1778" t="n">
        <v>0.7</v>
      </c>
      <c r="L1778" t="n">
        <v>0</v>
      </c>
      <c r="M1778" t="n">
        <v>4</v>
      </c>
      <c r="N1778" t="n">
        <v>2.8</v>
      </c>
      <c r="O1778" t="n">
        <v>0</v>
      </c>
      <c r="P1778" t="n">
        <v>0</v>
      </c>
      <c r="Q1778" t="n">
        <v>0</v>
      </c>
      <c r="R1778" t="inlineStr">
        <is>
          <t>Sin rotación</t>
        </is>
      </c>
    </row>
    <row r="1779">
      <c r="A1779" t="inlineStr">
        <is>
          <t>TALGOTACA12TS</t>
        </is>
      </c>
      <c r="B1779" t="inlineStr">
        <is>
          <t>URBAN COTTON OVERSIZED SUNSET CAB</t>
        </is>
      </c>
      <c r="C1779" t="inlineStr">
        <is>
          <t>Manufactura / Caballero / P. Superiores</t>
        </is>
      </c>
      <c r="D1779" t="n">
        <v>279.87197259</v>
      </c>
      <c r="E1779" t="n">
        <v>6.852177459473753e-05</v>
      </c>
      <c r="F1779" t="n">
        <v>0.9633792129518483</v>
      </c>
      <c r="G1779" t="inlineStr">
        <is>
          <t>C</t>
        </is>
      </c>
      <c r="H1779" t="n">
        <v>11</v>
      </c>
      <c r="I1779" t="n">
        <v>12.16112582</v>
      </c>
      <c r="J1779" t="n">
        <v>133.77238402</v>
      </c>
      <c r="K1779" t="n">
        <v>0.8</v>
      </c>
      <c r="L1779" t="n">
        <v>13.75</v>
      </c>
      <c r="M1779" t="n">
        <v>4</v>
      </c>
      <c r="N1779" t="n">
        <v>3.2</v>
      </c>
      <c r="O1779" t="n">
        <v>7.8</v>
      </c>
      <c r="P1779" t="n">
        <v>94.856781396</v>
      </c>
      <c r="Q1779" t="n">
        <v>0.7090909090909091</v>
      </c>
      <c r="R1779" t="inlineStr">
        <is>
          <t>Sobrestock crítico</t>
        </is>
      </c>
    </row>
    <row r="1780">
      <c r="A1780" t="inlineStr">
        <is>
          <t>TOA16WA</t>
        </is>
      </c>
      <c r="B1780" t="inlineStr">
        <is>
          <t>TOALLA WAFFLE</t>
        </is>
      </c>
      <c r="C1780" t="inlineStr">
        <is>
          <t>Equipamiento / Toallas</t>
        </is>
      </c>
      <c r="D1780" t="n">
        <v>279.83013958</v>
      </c>
      <c r="E1780" t="n">
        <v>6.851153251134735e-05</v>
      </c>
      <c r="F1780" t="n">
        <v>0.9634477244843596</v>
      </c>
      <c r="G1780" t="inlineStr">
        <is>
          <t>C</t>
        </is>
      </c>
      <c r="H1780" t="n">
        <v>4</v>
      </c>
      <c r="I1780" t="n">
        <v>5.5</v>
      </c>
      <c r="J1780" t="n">
        <v>22</v>
      </c>
      <c r="K1780" t="n">
        <v>1.2</v>
      </c>
      <c r="L1780" t="n">
        <v>3.333333333333333</v>
      </c>
      <c r="M1780" t="n">
        <v>4</v>
      </c>
      <c r="N1780" t="n">
        <v>4.8</v>
      </c>
      <c r="O1780" t="n">
        <v>0</v>
      </c>
      <c r="P1780" t="n">
        <v>0</v>
      </c>
      <c r="Q1780" t="n">
        <v>0</v>
      </c>
      <c r="R1780" t="inlineStr">
        <is>
          <t>OK</t>
        </is>
      </c>
    </row>
    <row r="1781">
      <c r="A1781" t="inlineStr">
        <is>
          <t>CLAMECA66T2XL</t>
        </is>
      </c>
      <c r="B1781" t="inlineStr">
        <is>
          <t>CLASICA SPORT CAB</t>
        </is>
      </c>
      <c r="C1781" t="inlineStr">
        <is>
          <t>Manufactura / Caballero / P. Superiores</t>
        </is>
      </c>
      <c r="D1781" t="n">
        <v>279.50709084</v>
      </c>
      <c r="E1781" t="n">
        <v>6.843243965778098e-05</v>
      </c>
      <c r="F1781" t="n">
        <v>0.9635161569240174</v>
      </c>
      <c r="G1781" t="inlineStr">
        <is>
          <t>C</t>
        </is>
      </c>
      <c r="H1781" t="n">
        <v>1</v>
      </c>
      <c r="I1781" t="n">
        <v>10.3013454</v>
      </c>
      <c r="J1781" t="n">
        <v>10.3013454</v>
      </c>
      <c r="K1781" t="n">
        <v>0.7</v>
      </c>
      <c r="L1781" t="n">
        <v>1.428571428571429</v>
      </c>
      <c r="M1781" t="n">
        <v>4</v>
      </c>
      <c r="N1781" t="n">
        <v>2.8</v>
      </c>
      <c r="O1781" t="n">
        <v>0</v>
      </c>
      <c r="P1781" t="n">
        <v>0</v>
      </c>
      <c r="Q1781" t="n">
        <v>0</v>
      </c>
      <c r="R1781" t="inlineStr">
        <is>
          <t>OK</t>
        </is>
      </c>
    </row>
    <row r="1782">
      <c r="A1782" t="inlineStr">
        <is>
          <t>CLASTCA16TL</t>
        </is>
      </c>
      <c r="B1782" t="inlineStr">
        <is>
          <t>CLASICA ALGODON STRETCH CAB</t>
        </is>
      </c>
      <c r="C1782" t="inlineStr">
        <is>
          <t>Manufactura / Caballero / P. Superiores</t>
        </is>
      </c>
      <c r="D1782" t="n">
        <v>279.3261443</v>
      </c>
      <c r="E1782" t="n">
        <v>6.838813805118266e-05</v>
      </c>
      <c r="F1782" t="n">
        <v>0.9635845450620685</v>
      </c>
      <c r="G1782" t="inlineStr">
        <is>
          <t>C</t>
        </is>
      </c>
      <c r="H1782" t="n">
        <v>0</v>
      </c>
      <c r="I1782" t="n">
        <v>9.27</v>
      </c>
      <c r="J1782" t="n">
        <v>0</v>
      </c>
      <c r="K1782" t="n">
        <v>1</v>
      </c>
      <c r="L1782" t="n">
        <v>0</v>
      </c>
      <c r="M1782" t="n">
        <v>4</v>
      </c>
      <c r="N1782" t="n">
        <v>4</v>
      </c>
      <c r="O1782" t="n">
        <v>0</v>
      </c>
      <c r="P1782" t="n">
        <v>0</v>
      </c>
      <c r="Q1782" t="n">
        <v>0</v>
      </c>
      <c r="R1782" t="inlineStr">
        <is>
          <t>Riesgo bajo stock</t>
        </is>
      </c>
    </row>
    <row r="1783">
      <c r="A1783" t="inlineStr">
        <is>
          <t>TALGOTACA166TXS</t>
        </is>
      </c>
      <c r="B1783" t="inlineStr">
        <is>
          <t>URBAN COTTON OVERSIZED HORIZONTE CAB</t>
        </is>
      </c>
      <c r="C1783" t="inlineStr">
        <is>
          <t>Manufactura / Caballero / P. Superiores</t>
        </is>
      </c>
      <c r="D1783" t="n">
        <v>279.09042231</v>
      </c>
      <c r="E1783" t="n">
        <v>6.833042563033421e-05</v>
      </c>
      <c r="F1783" t="n">
        <v>0.963652875487699</v>
      </c>
      <c r="G1783" t="inlineStr">
        <is>
          <t>C</t>
        </is>
      </c>
      <c r="H1783" t="n">
        <v>0</v>
      </c>
      <c r="I1783" t="n">
        <v>11.06389452</v>
      </c>
      <c r="J1783" t="n">
        <v>0</v>
      </c>
      <c r="K1783" t="n">
        <v>0.7</v>
      </c>
      <c r="L1783" t="n">
        <v>0</v>
      </c>
      <c r="M1783" t="n">
        <v>4</v>
      </c>
      <c r="N1783" t="n">
        <v>2.8</v>
      </c>
      <c r="O1783" t="n">
        <v>0</v>
      </c>
      <c r="P1783" t="n">
        <v>0</v>
      </c>
      <c r="Q1783" t="n">
        <v>0</v>
      </c>
      <c r="R1783" t="inlineStr">
        <is>
          <t>Riesgo bajo stock</t>
        </is>
      </c>
    </row>
    <row r="1784">
      <c r="A1784" t="inlineStr">
        <is>
          <t>CLAMEKI66T10</t>
        </is>
      </c>
      <c r="B1784" t="inlineStr">
        <is>
          <t>CLASICA SPORT KIDS</t>
        </is>
      </c>
      <c r="C1784" t="inlineStr">
        <is>
          <t>Manufactura / Kids / P. Superiores</t>
        </is>
      </c>
      <c r="D1784" t="n">
        <v>278.78116604</v>
      </c>
      <c r="E1784" t="n">
        <v>6.825470962265811e-05</v>
      </c>
      <c r="F1784" t="n">
        <v>0.9637211301973215</v>
      </c>
      <c r="G1784" t="inlineStr">
        <is>
          <t>C</t>
        </is>
      </c>
      <c r="H1784" t="n">
        <v>38</v>
      </c>
      <c r="I1784" t="n">
        <v>3.97</v>
      </c>
      <c r="J1784" t="n">
        <v>150.86</v>
      </c>
      <c r="K1784" t="n">
        <v>1</v>
      </c>
      <c r="L1784" t="n">
        <v>38</v>
      </c>
      <c r="M1784" t="n">
        <v>4</v>
      </c>
      <c r="N1784" t="n">
        <v>4</v>
      </c>
      <c r="O1784" t="n">
        <v>34</v>
      </c>
      <c r="P1784" t="n">
        <v>134.98</v>
      </c>
      <c r="Q1784" t="n">
        <v>0.8947368421052632</v>
      </c>
      <c r="R1784" t="inlineStr">
        <is>
          <t>Sobrestock crítico</t>
        </is>
      </c>
    </row>
    <row r="1785">
      <c r="A1785" t="inlineStr">
        <is>
          <t>CON94C24OZ</t>
        </is>
      </c>
      <c r="B1785" t="inlineStr">
        <is>
          <t>CONTIGO STAINLESS 24OZ</t>
        </is>
      </c>
      <c r="C1785" t="inlineStr">
        <is>
          <t>Equipamiento / Cava</t>
        </is>
      </c>
      <c r="D1785" t="n">
        <v>278.3071717</v>
      </c>
      <c r="E1785" t="n">
        <v>6.813866036976545e-05</v>
      </c>
      <c r="F1785" t="n">
        <v>0.9637892688576913</v>
      </c>
      <c r="G1785" t="inlineStr">
        <is>
          <t>C</t>
        </is>
      </c>
      <c r="H1785" t="n">
        <v>0</v>
      </c>
      <c r="I1785" t="n">
        <v>24.5</v>
      </c>
      <c r="J1785" t="n">
        <v>0</v>
      </c>
      <c r="K1785" t="n">
        <v>0.5</v>
      </c>
      <c r="L1785" t="n">
        <v>0</v>
      </c>
      <c r="M1785" t="n">
        <v>4</v>
      </c>
      <c r="N1785" t="n">
        <v>2</v>
      </c>
      <c r="O1785" t="n">
        <v>0</v>
      </c>
      <c r="P1785" t="n">
        <v>0</v>
      </c>
      <c r="Q1785" t="n">
        <v>0</v>
      </c>
      <c r="R1785" t="inlineStr">
        <is>
          <t>Riesgo bajo stock</t>
        </is>
      </c>
    </row>
    <row r="1786">
      <c r="A1786" t="inlineStr">
        <is>
          <t>TALGTACA167T2XL</t>
        </is>
      </c>
      <c r="B1786" t="inlineStr">
        <is>
          <t>URBAN COTTON OVERSIZED COLOR BLOCK CAB</t>
        </is>
      </c>
      <c r="C1786" t="inlineStr">
        <is>
          <t>Manufactura / Caballero / P. Superiores</t>
        </is>
      </c>
      <c r="D1786" t="n">
        <v>278.2496098</v>
      </c>
      <c r="E1786" t="n">
        <v>6.812456734179789e-05</v>
      </c>
      <c r="F1786" t="n">
        <v>0.9638573934250332</v>
      </c>
      <c r="G1786" t="inlineStr">
        <is>
          <t>C</t>
        </is>
      </c>
      <c r="H1786" t="n">
        <v>10</v>
      </c>
      <c r="I1786" t="n">
        <v>12.16641162</v>
      </c>
      <c r="J1786" t="n">
        <v>121.6641162</v>
      </c>
      <c r="K1786" t="n">
        <v>0.5</v>
      </c>
      <c r="L1786" t="n">
        <v>20</v>
      </c>
      <c r="M1786" t="n">
        <v>4</v>
      </c>
      <c r="N1786" t="n">
        <v>2</v>
      </c>
      <c r="O1786" t="n">
        <v>8</v>
      </c>
      <c r="P1786" t="n">
        <v>97.33129296</v>
      </c>
      <c r="Q1786" t="n">
        <v>0.8</v>
      </c>
      <c r="R1786" t="inlineStr">
        <is>
          <t>Sobrestock crítico</t>
        </is>
      </c>
    </row>
    <row r="1787">
      <c r="A1787" t="inlineStr">
        <is>
          <t>CLADFCA151TXL</t>
        </is>
      </c>
      <c r="B1787" t="inlineStr">
        <is>
          <t>CLASICA ADVANCE CAB</t>
        </is>
      </c>
      <c r="C1787" t="inlineStr">
        <is>
          <t>Manufactura / Caballero / P. Superiores</t>
        </is>
      </c>
      <c r="D1787" t="n">
        <v>277.48974029</v>
      </c>
      <c r="E1787" t="n">
        <v>6.793852653605452e-05</v>
      </c>
      <c r="F1787" t="n">
        <v>0.9639253319515692</v>
      </c>
      <c r="G1787" t="inlineStr">
        <is>
          <t>C</t>
        </is>
      </c>
      <c r="H1787" t="n">
        <v>6</v>
      </c>
      <c r="I1787" t="n">
        <v>15.51</v>
      </c>
      <c r="J1787" t="n">
        <v>93.06</v>
      </c>
      <c r="K1787" t="n">
        <v>0.5</v>
      </c>
      <c r="L1787" t="n">
        <v>12</v>
      </c>
      <c r="M1787" t="n">
        <v>4</v>
      </c>
      <c r="N1787" t="n">
        <v>2</v>
      </c>
      <c r="O1787" t="n">
        <v>4</v>
      </c>
      <c r="P1787" t="n">
        <v>62.04</v>
      </c>
      <c r="Q1787" t="n">
        <v>0.6666666666666666</v>
      </c>
      <c r="R1787" t="inlineStr">
        <is>
          <t>Sobrestock crítico</t>
        </is>
      </c>
    </row>
    <row r="1788">
      <c r="A1788" t="inlineStr">
        <is>
          <t>CLAMIKI48T10</t>
        </is>
      </c>
      <c r="B1788" t="inlineStr">
        <is>
          <t>CLASICA ORIGINAL KIDS</t>
        </is>
      </c>
      <c r="C1788" t="inlineStr">
        <is>
          <t>Manufactura / Kids / P. Superiores</t>
        </is>
      </c>
      <c r="D1788" t="n">
        <v>277.400997</v>
      </c>
      <c r="E1788" t="n">
        <v>6.791679928820651e-05</v>
      </c>
      <c r="F1788" t="n">
        <v>0.9639932487508575</v>
      </c>
      <c r="G1788" t="inlineStr">
        <is>
          <t>C</t>
        </is>
      </c>
      <c r="H1788" t="n">
        <v>27</v>
      </c>
      <c r="I1788" t="n">
        <v>2.053774806</v>
      </c>
      <c r="J1788" t="n">
        <v>55.451919762</v>
      </c>
      <c r="K1788" t="n">
        <v>0.8</v>
      </c>
      <c r="L1788" t="n">
        <v>33.75</v>
      </c>
      <c r="M1788" t="n">
        <v>4</v>
      </c>
      <c r="N1788" t="n">
        <v>3.2</v>
      </c>
      <c r="O1788" t="n">
        <v>23.8</v>
      </c>
      <c r="P1788" t="n">
        <v>48.8798403828</v>
      </c>
      <c r="Q1788" t="n">
        <v>0.8814814814814815</v>
      </c>
      <c r="R1788" t="inlineStr">
        <is>
          <t>Sobrestock crítico</t>
        </is>
      </c>
    </row>
    <row r="1789">
      <c r="A1789" t="inlineStr">
        <is>
          <t>TALGOTACA12TXL</t>
        </is>
      </c>
      <c r="B1789" t="inlineStr">
        <is>
          <t>URBAN COTTON OVERSIZED SUNSET CAB</t>
        </is>
      </c>
      <c r="C1789" t="inlineStr">
        <is>
          <t>Manufactura / Caballero / P. Superiores</t>
        </is>
      </c>
      <c r="D1789" t="n">
        <v>276.83617196</v>
      </c>
      <c r="E1789" t="n">
        <v>6.777851172150885e-05</v>
      </c>
      <c r="F1789" t="n">
        <v>0.9640610272625788</v>
      </c>
      <c r="G1789" t="inlineStr">
        <is>
          <t>C</t>
        </is>
      </c>
      <c r="H1789" t="n">
        <v>24</v>
      </c>
      <c r="I1789" t="n">
        <v>12.16112582</v>
      </c>
      <c r="J1789" t="n">
        <v>291.86701968</v>
      </c>
      <c r="K1789" t="n">
        <v>0.5</v>
      </c>
      <c r="L1789" t="n">
        <v>48</v>
      </c>
      <c r="M1789" t="n">
        <v>4</v>
      </c>
      <c r="N1789" t="n">
        <v>2</v>
      </c>
      <c r="O1789" t="n">
        <v>22</v>
      </c>
      <c r="P1789" t="n">
        <v>267.54476804</v>
      </c>
      <c r="Q1789" t="n">
        <v>0.9166666666666667</v>
      </c>
      <c r="R1789" t="inlineStr">
        <is>
          <t>Sobrestock crítico</t>
        </is>
      </c>
    </row>
    <row r="1790">
      <c r="A1790" t="inlineStr">
        <is>
          <t>SABMEDA12TM</t>
        </is>
      </c>
      <c r="B1790" t="inlineStr">
        <is>
          <t>SABRI SPORT DAMA</t>
        </is>
      </c>
      <c r="C1790" t="inlineStr">
        <is>
          <t>Manufactura / Dama / P. Superiores</t>
        </is>
      </c>
      <c r="D1790" t="n">
        <v>276.33441575</v>
      </c>
      <c r="E1790" t="n">
        <v>6.765566545860886e-05</v>
      </c>
      <c r="F1790" t="n">
        <v>0.9641286829280374</v>
      </c>
      <c r="G1790" t="inlineStr">
        <is>
          <t>C</t>
        </is>
      </c>
      <c r="H1790" t="n">
        <v>24</v>
      </c>
      <c r="I1790" t="n">
        <v>4.51</v>
      </c>
      <c r="J1790" t="n">
        <v>108.24</v>
      </c>
      <c r="K1790" t="n">
        <v>0.8</v>
      </c>
      <c r="L1790" t="n">
        <v>30</v>
      </c>
      <c r="M1790" t="n">
        <v>4</v>
      </c>
      <c r="N1790" t="n">
        <v>3.2</v>
      </c>
      <c r="O1790" t="n">
        <v>20.8</v>
      </c>
      <c r="P1790" t="n">
        <v>93.80799999999999</v>
      </c>
      <c r="Q1790" t="n">
        <v>0.8666666666666666</v>
      </c>
      <c r="R1790" t="inlineStr">
        <is>
          <t>Sobrestock crítico</t>
        </is>
      </c>
    </row>
    <row r="1791">
      <c r="A1791" t="inlineStr">
        <is>
          <t>ZOEMIDA16TL</t>
        </is>
      </c>
      <c r="B1791" t="inlineStr">
        <is>
          <t>ZOE ORIGINAL DAMA</t>
        </is>
      </c>
      <c r="C1791" t="inlineStr">
        <is>
          <t>Manufactura / Dama / P. Superiores</t>
        </is>
      </c>
      <c r="D1791" t="n">
        <v>275.67033773</v>
      </c>
      <c r="E1791" t="n">
        <v>6.749307752964029e-05</v>
      </c>
      <c r="F1791" t="n">
        <v>0.9641961760055672</v>
      </c>
      <c r="G1791" t="inlineStr">
        <is>
          <t>C</t>
        </is>
      </c>
      <c r="H1791" t="n">
        <v>1</v>
      </c>
      <c r="I1791" t="n">
        <v>4.116585696</v>
      </c>
      <c r="J1791" t="n">
        <v>4.116585696</v>
      </c>
      <c r="K1791" t="n">
        <v>0.7</v>
      </c>
      <c r="L1791" t="n">
        <v>1.428571428571429</v>
      </c>
      <c r="M1791" t="n">
        <v>4</v>
      </c>
      <c r="N1791" t="n">
        <v>2.8</v>
      </c>
      <c r="O1791" t="n">
        <v>0</v>
      </c>
      <c r="P1791" t="n">
        <v>0</v>
      </c>
      <c r="Q1791" t="n">
        <v>0</v>
      </c>
      <c r="R1791" t="inlineStr">
        <is>
          <t>OK</t>
        </is>
      </c>
    </row>
    <row r="1792">
      <c r="A1792" t="inlineStr">
        <is>
          <t>CLAMECA12TXL</t>
        </is>
      </c>
      <c r="B1792" t="inlineStr">
        <is>
          <t>CLASICA SPORT CAB</t>
        </is>
      </c>
      <c r="C1792" t="inlineStr">
        <is>
          <t>Manufactura / Caballero / P. Superiores</t>
        </is>
      </c>
      <c r="D1792" t="n">
        <v>274.70113292</v>
      </c>
      <c r="E1792" t="n">
        <v>6.725578462420082e-05</v>
      </c>
      <c r="F1792" t="n">
        <v>0.9642634317901914</v>
      </c>
      <c r="G1792" t="inlineStr">
        <is>
          <t>C</t>
        </is>
      </c>
      <c r="H1792" t="n">
        <v>0</v>
      </c>
      <c r="I1792" t="n">
        <v>10.3013454</v>
      </c>
      <c r="J1792" t="n">
        <v>0</v>
      </c>
      <c r="K1792" t="n">
        <v>0.7</v>
      </c>
      <c r="L1792" t="n">
        <v>0</v>
      </c>
      <c r="M1792" t="n">
        <v>4</v>
      </c>
      <c r="N1792" t="n">
        <v>2.8</v>
      </c>
      <c r="O1792" t="n">
        <v>0</v>
      </c>
      <c r="P1792" t="n">
        <v>0</v>
      </c>
      <c r="Q1792" t="n">
        <v>0</v>
      </c>
      <c r="R1792" t="inlineStr">
        <is>
          <t>Sin rotación</t>
        </is>
      </c>
    </row>
    <row r="1793">
      <c r="A1793" t="inlineStr">
        <is>
          <t>CLAMEDA16TM</t>
        </is>
      </c>
      <c r="B1793" t="inlineStr">
        <is>
          <t>CLÁSICA SPORT DAMA</t>
        </is>
      </c>
      <c r="C1793" t="inlineStr">
        <is>
          <t>Manufactura / Dama / P. Superiores</t>
        </is>
      </c>
      <c r="D1793" t="n">
        <v>274.4243522</v>
      </c>
      <c r="E1793" t="n">
        <v>6.718801968892525e-05</v>
      </c>
      <c r="F1793" t="n">
        <v>0.9643306198098802</v>
      </c>
      <c r="G1793" t="inlineStr">
        <is>
          <t>C</t>
        </is>
      </c>
      <c r="H1793" t="n">
        <v>4</v>
      </c>
      <c r="I1793" t="n">
        <v>6.536105769</v>
      </c>
      <c r="J1793" t="n">
        <v>26.144423076</v>
      </c>
      <c r="K1793" t="n">
        <v>0.5</v>
      </c>
      <c r="L1793" t="n">
        <v>8</v>
      </c>
      <c r="M1793" t="n">
        <v>4</v>
      </c>
      <c r="N1793" t="n">
        <v>2</v>
      </c>
      <c r="O1793" t="n">
        <v>2</v>
      </c>
      <c r="P1793" t="n">
        <v>13.072211538</v>
      </c>
      <c r="Q1793" t="n">
        <v>0.5</v>
      </c>
      <c r="R1793" t="inlineStr">
        <is>
          <t>Sobrestock crítico</t>
        </is>
      </c>
    </row>
    <row r="1794">
      <c r="A1794" t="inlineStr">
        <is>
          <t>RIOMIDA30TM</t>
        </is>
      </c>
      <c r="B1794" t="inlineStr">
        <is>
          <t>RIO ORIGINAL DAMA</t>
        </is>
      </c>
      <c r="C1794" t="inlineStr">
        <is>
          <t>Manufactura / Dama / P. Superiores</t>
        </is>
      </c>
      <c r="D1794" t="n">
        <v>274.0646738</v>
      </c>
      <c r="E1794" t="n">
        <v>6.70999587015269e-05</v>
      </c>
      <c r="F1794" t="n">
        <v>0.9643977197685818</v>
      </c>
      <c r="G1794" t="inlineStr">
        <is>
          <t>C</t>
        </is>
      </c>
      <c r="H1794" t="n">
        <v>0</v>
      </c>
      <c r="I1794" t="n">
        <v>5.538832275</v>
      </c>
      <c r="J1794" t="n">
        <v>0</v>
      </c>
      <c r="K1794" t="n">
        <v>0.5</v>
      </c>
      <c r="L1794" t="n">
        <v>0</v>
      </c>
      <c r="M1794" t="n">
        <v>4</v>
      </c>
      <c r="N1794" t="n">
        <v>2</v>
      </c>
      <c r="O1794" t="n">
        <v>0</v>
      </c>
      <c r="P1794" t="n">
        <v>0</v>
      </c>
      <c r="Q1794" t="n">
        <v>0</v>
      </c>
      <c r="R1794" t="inlineStr">
        <is>
          <t>Sin rotación</t>
        </is>
      </c>
    </row>
    <row r="1795">
      <c r="A1795" t="inlineStr">
        <is>
          <t>ACDMIDA120TM</t>
        </is>
      </c>
      <c r="B1795" t="inlineStr">
        <is>
          <t>DANI ACTIVE DAMA</t>
        </is>
      </c>
      <c r="C1795" t="inlineStr">
        <is>
          <t>Manufactura / Dama / P. Superiores</t>
        </is>
      </c>
      <c r="D1795" t="n">
        <v>273.99487</v>
      </c>
      <c r="E1795" t="n">
        <v>6.708286845770865e-05</v>
      </c>
      <c r="F1795" t="n">
        <v>0.9644648026370394</v>
      </c>
      <c r="G1795" t="inlineStr">
        <is>
          <t>C</t>
        </is>
      </c>
      <c r="H1795" t="n">
        <v>2</v>
      </c>
      <c r="I1795" t="n">
        <v>9.820000000000002</v>
      </c>
      <c r="J1795" t="n">
        <v>19.64</v>
      </c>
      <c r="K1795" t="n">
        <v>0.7</v>
      </c>
      <c r="L1795" t="n">
        <v>2.857142857142857</v>
      </c>
      <c r="M1795" t="n">
        <v>4</v>
      </c>
      <c r="N1795" t="n">
        <v>2.8</v>
      </c>
      <c r="O1795" t="n">
        <v>0</v>
      </c>
      <c r="P1795" t="n">
        <v>0</v>
      </c>
      <c r="Q1795" t="n">
        <v>0</v>
      </c>
      <c r="R1795" t="inlineStr">
        <is>
          <t>OK</t>
        </is>
      </c>
    </row>
    <row r="1796">
      <c r="A1796" t="inlineStr">
        <is>
          <t>SABMEDA66TM</t>
        </is>
      </c>
      <c r="B1796" t="inlineStr">
        <is>
          <t>SABRI SPORT DAMA</t>
        </is>
      </c>
      <c r="C1796" t="inlineStr">
        <is>
          <t>Manufactura / Dama / P. Superiores</t>
        </is>
      </c>
      <c r="D1796" t="n">
        <v>273.62978504</v>
      </c>
      <c r="E1796" t="n">
        <v>6.699348376832535e-05</v>
      </c>
      <c r="F1796" t="n">
        <v>0.9645317961208077</v>
      </c>
      <c r="G1796" t="inlineStr">
        <is>
          <t>C</t>
        </is>
      </c>
      <c r="H1796" t="n">
        <v>39</v>
      </c>
      <c r="I1796" t="n">
        <v>4.51</v>
      </c>
      <c r="J1796" t="n">
        <v>175.89</v>
      </c>
      <c r="K1796" t="n">
        <v>0.8</v>
      </c>
      <c r="L1796" t="n">
        <v>48.75</v>
      </c>
      <c r="M1796" t="n">
        <v>4</v>
      </c>
      <c r="N1796" t="n">
        <v>3.2</v>
      </c>
      <c r="O1796" t="n">
        <v>35.8</v>
      </c>
      <c r="P1796" t="n">
        <v>161.458</v>
      </c>
      <c r="Q1796" t="n">
        <v>0.9179487179487178</v>
      </c>
      <c r="R1796" t="inlineStr">
        <is>
          <t>Sobrestock crítico</t>
        </is>
      </c>
    </row>
    <row r="1797">
      <c r="A1797" t="inlineStr">
        <is>
          <t>MARMIDA28TL</t>
        </is>
      </c>
      <c r="B1797" t="inlineStr">
        <is>
          <t>MAR ORIGINAL DAMA</t>
        </is>
      </c>
      <c r="C1797" t="inlineStr">
        <is>
          <t>Manufactura / Dama / P. Superiores</t>
        </is>
      </c>
      <c r="D1797" t="n">
        <v>273.4958610789456</v>
      </c>
      <c r="E1797" t="n">
        <v>6.696069482062444e-05</v>
      </c>
      <c r="F1797" t="n">
        <v>0.9645987568156283</v>
      </c>
      <c r="G1797" t="inlineStr">
        <is>
          <t>C</t>
        </is>
      </c>
      <c r="H1797" t="n">
        <v>0</v>
      </c>
      <c r="I1797" t="n">
        <v>4.278324149</v>
      </c>
      <c r="J1797" t="n">
        <v>0</v>
      </c>
      <c r="K1797" t="n">
        <v>0.6</v>
      </c>
      <c r="L1797" t="n">
        <v>0</v>
      </c>
      <c r="M1797" t="n">
        <v>4</v>
      </c>
      <c r="N1797" t="n">
        <v>2.4</v>
      </c>
      <c r="O1797" t="n">
        <v>0</v>
      </c>
      <c r="P1797" t="n">
        <v>0</v>
      </c>
      <c r="Q1797" t="n">
        <v>0</v>
      </c>
      <c r="R1797" t="inlineStr">
        <is>
          <t>Riesgo bajo stock</t>
        </is>
      </c>
    </row>
    <row r="1798">
      <c r="A1798" t="inlineStr">
        <is>
          <t>PANNTKI30T2</t>
        </is>
      </c>
      <c r="B1798" t="inlineStr">
        <is>
          <t>EXPLORE PANTS KIDS</t>
        </is>
      </c>
      <c r="C1798" t="inlineStr">
        <is>
          <t>Manufactura / Kids / P. Inferiores</t>
        </is>
      </c>
      <c r="D1798" t="n">
        <v>273.31618422</v>
      </c>
      <c r="E1798" t="n">
        <v>6.691670407330299e-05</v>
      </c>
      <c r="F1798" t="n">
        <v>0.9646656735197016</v>
      </c>
      <c r="G1798" t="inlineStr">
        <is>
          <t>C</t>
        </is>
      </c>
      <c r="H1798" t="n">
        <v>9</v>
      </c>
      <c r="I1798" t="n">
        <v>13.98</v>
      </c>
      <c r="J1798" t="n">
        <v>125.82</v>
      </c>
      <c r="K1798" t="n">
        <v>0.7</v>
      </c>
      <c r="L1798" t="n">
        <v>12.85714285714286</v>
      </c>
      <c r="M1798" t="n">
        <v>4</v>
      </c>
      <c r="N1798" t="n">
        <v>2.8</v>
      </c>
      <c r="O1798" t="n">
        <v>6.2</v>
      </c>
      <c r="P1798" t="n">
        <v>86.676</v>
      </c>
      <c r="Q1798" t="n">
        <v>0.6888888888888889</v>
      </c>
      <c r="R1798" t="inlineStr">
        <is>
          <t>Sobrestock crítico</t>
        </is>
      </c>
    </row>
    <row r="1799">
      <c r="A1799" t="inlineStr">
        <is>
          <t>SHOUNKI29T4</t>
        </is>
      </c>
      <c r="B1799" t="inlineStr">
        <is>
          <t>SHORT PLAYA KIDS</t>
        </is>
      </c>
      <c r="C1799" t="inlineStr">
        <is>
          <t>Manufactura / Kids / P. Inferiores</t>
        </is>
      </c>
      <c r="D1799" t="n">
        <v>273.16135021</v>
      </c>
      <c r="E1799" t="n">
        <v>6.68787956645594e-05</v>
      </c>
      <c r="F1799" t="n">
        <v>0.9647325523153663</v>
      </c>
      <c r="G1799" t="inlineStr">
        <is>
          <t>C</t>
        </is>
      </c>
      <c r="H1799" t="n">
        <v>23</v>
      </c>
      <c r="I1799" t="n">
        <v>6.09</v>
      </c>
      <c r="J1799" t="n">
        <v>140.07</v>
      </c>
      <c r="K1799" t="n">
        <v>0.9</v>
      </c>
      <c r="L1799" t="n">
        <v>25.55555555555555</v>
      </c>
      <c r="M1799" t="n">
        <v>4</v>
      </c>
      <c r="N1799" t="n">
        <v>3.6</v>
      </c>
      <c r="O1799" t="n">
        <v>19.4</v>
      </c>
      <c r="P1799" t="n">
        <v>118.146</v>
      </c>
      <c r="Q1799" t="n">
        <v>0.8434782608695651</v>
      </c>
      <c r="R1799" t="inlineStr">
        <is>
          <t>Sobrestock crítico</t>
        </is>
      </c>
    </row>
    <row r="1800">
      <c r="A1800" t="inlineStr">
        <is>
          <t>CCBHMKI151T8</t>
        </is>
      </c>
      <c r="B1800" t="inlineStr">
        <is>
          <t>CLUB CLASICA KIDS</t>
        </is>
      </c>
      <c r="C1800" t="inlineStr">
        <is>
          <t>Manufactura / Kids / P. Superiores</t>
        </is>
      </c>
      <c r="D1800" t="n">
        <v>273</v>
      </c>
      <c r="E1800" t="n">
        <v>6.683929187781677e-05</v>
      </c>
      <c r="F1800" t="n">
        <v>0.964799391607244</v>
      </c>
      <c r="G1800" t="inlineStr">
        <is>
          <t>C</t>
        </is>
      </c>
      <c r="H1800" t="n">
        <v>8</v>
      </c>
      <c r="I1800" t="n">
        <v>1</v>
      </c>
      <c r="J1800" t="n">
        <v>8</v>
      </c>
      <c r="K1800" t="n">
        <v>0.8</v>
      </c>
      <c r="L1800" t="n">
        <v>10</v>
      </c>
      <c r="M1800" t="n">
        <v>4</v>
      </c>
      <c r="N1800" t="n">
        <v>3.2</v>
      </c>
      <c r="O1800" t="n">
        <v>4.8</v>
      </c>
      <c r="P1800" t="n">
        <v>4.8</v>
      </c>
      <c r="Q1800" t="n">
        <v>0.6</v>
      </c>
      <c r="R1800" t="inlineStr">
        <is>
          <t>Sobrestock crítico</t>
        </is>
      </c>
    </row>
    <row r="1801">
      <c r="A1801" t="inlineStr">
        <is>
          <t>HELBFDA43TXL</t>
        </is>
      </c>
      <c r="B1801" t="inlineStr">
        <is>
          <t>HELEN BIO MOVE DAMA</t>
        </is>
      </c>
      <c r="C1801" t="inlineStr">
        <is>
          <t>Manufactura / Dama / P. Superiores</t>
        </is>
      </c>
      <c r="D1801" t="n">
        <v>271.49311902</v>
      </c>
      <c r="E1801" t="n">
        <v>6.647035833332099e-05</v>
      </c>
      <c r="F1801" t="n">
        <v>0.9648658619655773</v>
      </c>
      <c r="G1801" t="inlineStr">
        <is>
          <t>C</t>
        </is>
      </c>
      <c r="H1801" t="n">
        <v>37</v>
      </c>
      <c r="I1801" t="n">
        <v>7.34081746</v>
      </c>
      <c r="J1801" t="n">
        <v>271.61024602</v>
      </c>
      <c r="K1801" t="n">
        <v>0.4</v>
      </c>
      <c r="L1801" t="n">
        <v>92.5</v>
      </c>
      <c r="M1801" t="n">
        <v>4</v>
      </c>
      <c r="N1801" t="n">
        <v>1.6</v>
      </c>
      <c r="O1801" t="n">
        <v>35.4</v>
      </c>
      <c r="P1801" t="n">
        <v>259.864938084</v>
      </c>
      <c r="Q1801" t="n">
        <v>0.9567567567567566</v>
      </c>
      <c r="R1801" t="inlineStr">
        <is>
          <t>Sobrestock crítico</t>
        </is>
      </c>
    </row>
    <row r="1802">
      <c r="A1802" t="inlineStr">
        <is>
          <t>CLAMECA66TM</t>
        </is>
      </c>
      <c r="B1802" t="inlineStr">
        <is>
          <t>CLASICA SPORT CAB</t>
        </is>
      </c>
      <c r="C1802" t="inlineStr">
        <is>
          <t>Manufactura / Caballero / P. Superiores</t>
        </is>
      </c>
      <c r="D1802" t="n">
        <v>271.20990727</v>
      </c>
      <c r="E1802" t="n">
        <v>6.640101887243645e-05</v>
      </c>
      <c r="F1802" t="n">
        <v>0.9649322629844498</v>
      </c>
      <c r="G1802" t="inlineStr">
        <is>
          <t>C</t>
        </is>
      </c>
      <c r="H1802" t="n">
        <v>0</v>
      </c>
      <c r="I1802" t="n">
        <v>10.3013454</v>
      </c>
      <c r="J1802" t="n">
        <v>0</v>
      </c>
      <c r="K1802" t="n">
        <v>0.7</v>
      </c>
      <c r="L1802" t="n">
        <v>0</v>
      </c>
      <c r="M1802" t="n">
        <v>4</v>
      </c>
      <c r="N1802" t="n">
        <v>2.8</v>
      </c>
      <c r="O1802" t="n">
        <v>0</v>
      </c>
      <c r="P1802" t="n">
        <v>0</v>
      </c>
      <c r="Q1802" t="n">
        <v>0</v>
      </c>
      <c r="R1802" t="inlineStr">
        <is>
          <t>Sin rotación</t>
        </is>
      </c>
    </row>
    <row r="1803">
      <c r="A1803" t="inlineStr">
        <is>
          <t>MAADFDA70TM</t>
        </is>
      </c>
      <c r="B1803" t="inlineStr">
        <is>
          <t>MAFE ADVANCE DAMA</t>
        </is>
      </c>
      <c r="C1803" t="inlineStr">
        <is>
          <t>Manufactura / Dama / P. Superiores</t>
        </is>
      </c>
      <c r="D1803" t="n">
        <v>270.85382529</v>
      </c>
      <c r="E1803" t="n">
        <v>6.631383840579305e-05</v>
      </c>
      <c r="F1803" t="n">
        <v>0.9649985768228555</v>
      </c>
      <c r="G1803" t="inlineStr">
        <is>
          <t>C</t>
        </is>
      </c>
      <c r="H1803" t="n">
        <v>14</v>
      </c>
      <c r="I1803" t="n">
        <v>4.98</v>
      </c>
      <c r="J1803" t="n">
        <v>69.72</v>
      </c>
      <c r="K1803" t="n">
        <v>0.7</v>
      </c>
      <c r="L1803" t="n">
        <v>20</v>
      </c>
      <c r="M1803" t="n">
        <v>4</v>
      </c>
      <c r="N1803" t="n">
        <v>2.8</v>
      </c>
      <c r="O1803" t="n">
        <v>11.2</v>
      </c>
      <c r="P1803" t="n">
        <v>55.776</v>
      </c>
      <c r="Q1803" t="n">
        <v>0.8</v>
      </c>
      <c r="R1803" t="inlineStr">
        <is>
          <t>Sobrestock crítico</t>
        </is>
      </c>
    </row>
    <row r="1804">
      <c r="A1804" t="inlineStr">
        <is>
          <t>RIOMICA04T2XL</t>
        </is>
      </c>
      <c r="B1804" t="inlineStr">
        <is>
          <t>RIO ORIGINAL CAB</t>
        </is>
      </c>
      <c r="C1804" t="inlineStr">
        <is>
          <t>Manufactura / Caballero / P. Superiores</t>
        </is>
      </c>
      <c r="D1804" t="n">
        <v>270.65853237</v>
      </c>
      <c r="E1804" t="n">
        <v>6.626602433809505e-05</v>
      </c>
      <c r="F1804" t="n">
        <v>0.9650648428471937</v>
      </c>
      <c r="G1804" t="inlineStr">
        <is>
          <t>C</t>
        </is>
      </c>
      <c r="H1804" t="n">
        <v>3</v>
      </c>
      <c r="I1804" t="n">
        <v>5.939350288</v>
      </c>
      <c r="J1804" t="n">
        <v>17.818050864</v>
      </c>
      <c r="K1804" t="n">
        <v>0.5</v>
      </c>
      <c r="L1804" t="n">
        <v>6</v>
      </c>
      <c r="M1804" t="n">
        <v>4</v>
      </c>
      <c r="N1804" t="n">
        <v>2</v>
      </c>
      <c r="O1804" t="n">
        <v>1</v>
      </c>
      <c r="P1804" t="n">
        <v>5.939350288</v>
      </c>
      <c r="Q1804" t="n">
        <v>0.3333333333333333</v>
      </c>
      <c r="R1804" t="inlineStr">
        <is>
          <t>Sobrestock crítico</t>
        </is>
      </c>
    </row>
    <row r="1805">
      <c r="A1805" t="inlineStr">
        <is>
          <t>SHONTDA66TS</t>
        </is>
      </c>
      <c r="B1805" t="inlineStr">
        <is>
          <t>EXPLORE SHORT DAMA</t>
        </is>
      </c>
      <c r="C1805" t="inlineStr">
        <is>
          <t>Manufactura / Dama / P. Inferiores</t>
        </is>
      </c>
      <c r="D1805" t="n">
        <v>270.51016271</v>
      </c>
      <c r="E1805" t="n">
        <v>6.622969861278168e-05</v>
      </c>
      <c r="F1805" t="n">
        <v>0.9651310725458064</v>
      </c>
      <c r="G1805" t="inlineStr">
        <is>
          <t>C</t>
        </is>
      </c>
      <c r="H1805" t="n">
        <v>79</v>
      </c>
      <c r="I1805" t="n">
        <v>10.22113744</v>
      </c>
      <c r="J1805" t="n">
        <v>807.46985776</v>
      </c>
      <c r="K1805" t="n">
        <v>0.5</v>
      </c>
      <c r="L1805" t="n">
        <v>158</v>
      </c>
      <c r="M1805" t="n">
        <v>4</v>
      </c>
      <c r="N1805" t="n">
        <v>2</v>
      </c>
      <c r="O1805" t="n">
        <v>77</v>
      </c>
      <c r="P1805" t="n">
        <v>787.02758288</v>
      </c>
      <c r="Q1805" t="n">
        <v>0.9746835443037974</v>
      </c>
      <c r="R1805" t="inlineStr">
        <is>
          <t>Sobrestock crítico</t>
        </is>
      </c>
    </row>
    <row r="1806">
      <c r="A1806" t="inlineStr">
        <is>
          <t>DOMBFCA206TXL</t>
        </is>
      </c>
      <c r="B1806" t="inlineStr">
        <is>
          <t>DOMINIC BIO MOVE CAB</t>
        </is>
      </c>
      <c r="C1806" t="inlineStr">
        <is>
          <t>Manufactura / Caballero / P. Superiores</t>
        </is>
      </c>
      <c r="D1806" t="n">
        <v>270.45811266</v>
      </c>
      <c r="E1806" t="n">
        <v>6.621695506522048e-05</v>
      </c>
      <c r="F1806" t="n">
        <v>0.9651972895008716</v>
      </c>
      <c r="G1806" t="inlineStr">
        <is>
          <t>C</t>
        </is>
      </c>
      <c r="H1806" t="n">
        <v>35</v>
      </c>
      <c r="I1806" t="n">
        <v>13.86</v>
      </c>
      <c r="J1806" t="n">
        <v>485.1</v>
      </c>
      <c r="K1806" t="n">
        <v>0.5</v>
      </c>
      <c r="L1806" t="n">
        <v>70</v>
      </c>
      <c r="M1806" t="n">
        <v>4</v>
      </c>
      <c r="N1806" t="n">
        <v>2</v>
      </c>
      <c r="O1806" t="n">
        <v>33</v>
      </c>
      <c r="P1806" t="n">
        <v>457.38</v>
      </c>
      <c r="Q1806" t="n">
        <v>0.9428571428571429</v>
      </c>
      <c r="R1806" t="inlineStr">
        <is>
          <t>Sobrestock crítico</t>
        </is>
      </c>
    </row>
    <row r="1807">
      <c r="A1807" t="inlineStr">
        <is>
          <t>MANMIGE43TP</t>
        </is>
      </c>
      <c r="B1807" t="inlineStr">
        <is>
          <t>MANGAS GENERAL</t>
        </is>
      </c>
      <c r="C1807" t="inlineStr">
        <is>
          <t>Manufactura / General</t>
        </is>
      </c>
      <c r="D1807" t="n">
        <v>270.293359605</v>
      </c>
      <c r="E1807" t="n">
        <v>6.617661815118785e-05</v>
      </c>
      <c r="F1807" t="n">
        <v>0.9652634661190228</v>
      </c>
      <c r="G1807" t="inlineStr">
        <is>
          <t>C</t>
        </is>
      </c>
      <c r="H1807" t="n">
        <v>26</v>
      </c>
      <c r="I1807" t="n">
        <v>0.92</v>
      </c>
      <c r="J1807" t="n">
        <v>23.92</v>
      </c>
      <c r="K1807" t="n">
        <v>2</v>
      </c>
      <c r="L1807" t="n">
        <v>13</v>
      </c>
      <c r="M1807" t="n">
        <v>4</v>
      </c>
      <c r="N1807" t="n">
        <v>8</v>
      </c>
      <c r="O1807" t="n">
        <v>18</v>
      </c>
      <c r="P1807" t="n">
        <v>16.56</v>
      </c>
      <c r="Q1807" t="n">
        <v>0.6923076923076924</v>
      </c>
      <c r="R1807" t="inlineStr">
        <is>
          <t>Sobrestock crítico</t>
        </is>
      </c>
    </row>
    <row r="1808">
      <c r="A1808" t="inlineStr">
        <is>
          <t>SHUNTCA31T2XL</t>
        </is>
      </c>
      <c r="B1808" t="inlineStr">
        <is>
          <t>SHORT SPORT R1 CAB</t>
        </is>
      </c>
      <c r="C1808" t="inlineStr">
        <is>
          <t>Manufactura / Caballero / P. Inferiores</t>
        </is>
      </c>
      <c r="D1808" t="n">
        <v>269.011362</v>
      </c>
      <c r="E1808" t="n">
        <v>6.586274338156421e-05</v>
      </c>
      <c r="F1808" t="n">
        <v>0.9653293288624044</v>
      </c>
      <c r="G1808" t="inlineStr">
        <is>
          <t>C</t>
        </is>
      </c>
      <c r="H1808" t="n">
        <v>14</v>
      </c>
      <c r="I1808" t="n">
        <v>9.119999999999999</v>
      </c>
      <c r="J1808" t="n">
        <v>127.68</v>
      </c>
      <c r="K1808" t="n">
        <v>0.5</v>
      </c>
      <c r="L1808" t="n">
        <v>28</v>
      </c>
      <c r="M1808" t="n">
        <v>4</v>
      </c>
      <c r="N1808" t="n">
        <v>2</v>
      </c>
      <c r="O1808" t="n">
        <v>12</v>
      </c>
      <c r="P1808" t="n">
        <v>109.44</v>
      </c>
      <c r="Q1808" t="n">
        <v>0.8571428571428572</v>
      </c>
      <c r="R1808" t="inlineStr">
        <is>
          <t>Sobrestock crítico</t>
        </is>
      </c>
    </row>
    <row r="1809">
      <c r="A1809" t="inlineStr">
        <is>
          <t>LAN67EQ</t>
        </is>
      </c>
      <c r="B1809" t="inlineStr">
        <is>
          <t>LANYARD</t>
        </is>
      </c>
      <c r="C1809" t="inlineStr">
        <is>
          <t>Equipamiento / Accesorios</t>
        </is>
      </c>
      <c r="D1809" t="n">
        <v>268.276699406</v>
      </c>
      <c r="E1809" t="n">
        <v>6.56828740498716e-05</v>
      </c>
      <c r="F1809" t="n">
        <v>0.9653950117364543</v>
      </c>
      <c r="G1809" t="inlineStr">
        <is>
          <t>C</t>
        </is>
      </c>
      <c r="H1809" t="n">
        <v>186</v>
      </c>
      <c r="I1809" t="n">
        <v>0.51</v>
      </c>
      <c r="J1809" t="n">
        <v>94.86</v>
      </c>
      <c r="K1809" t="n">
        <v>10.6</v>
      </c>
      <c r="L1809" t="n">
        <v>17.54716981132076</v>
      </c>
      <c r="M1809" t="n">
        <v>4</v>
      </c>
      <c r="N1809" t="n">
        <v>42.4</v>
      </c>
      <c r="O1809" t="n">
        <v>143.6</v>
      </c>
      <c r="P1809" t="n">
        <v>73.236</v>
      </c>
      <c r="Q1809" t="n">
        <v>0.7720430107526882</v>
      </c>
      <c r="R1809" t="inlineStr">
        <is>
          <t>Sobrestock crítico</t>
        </is>
      </c>
    </row>
    <row r="1810">
      <c r="A1810" t="inlineStr">
        <is>
          <t>CCBHMKI151T10</t>
        </is>
      </c>
      <c r="B1810" t="inlineStr">
        <is>
          <t>CLUB CLASICA KIDS</t>
        </is>
      </c>
      <c r="C1810" t="inlineStr">
        <is>
          <t>Manufactura / Kids / P. Superiores</t>
        </is>
      </c>
      <c r="D1810" t="n">
        <v>268</v>
      </c>
      <c r="E1810" t="n">
        <v>6.561512902291171e-05</v>
      </c>
      <c r="F1810" t="n">
        <v>0.9654606268654772</v>
      </c>
      <c r="G1810" t="inlineStr">
        <is>
          <t>C</t>
        </is>
      </c>
      <c r="H1810" t="n">
        <v>21</v>
      </c>
      <c r="I1810" t="n">
        <v>1</v>
      </c>
      <c r="J1810" t="n">
        <v>21</v>
      </c>
      <c r="K1810" t="n">
        <v>0.8</v>
      </c>
      <c r="L1810" t="n">
        <v>26.25</v>
      </c>
      <c r="M1810" t="n">
        <v>4</v>
      </c>
      <c r="N1810" t="n">
        <v>3.2</v>
      </c>
      <c r="O1810" t="n">
        <v>17.8</v>
      </c>
      <c r="P1810" t="n">
        <v>17.8</v>
      </c>
      <c r="Q1810" t="n">
        <v>0.8476190476190476</v>
      </c>
      <c r="R1810" t="inlineStr">
        <is>
          <t>Sobrestock crítico</t>
        </is>
      </c>
    </row>
    <row r="1811">
      <c r="A1811" t="inlineStr">
        <is>
          <t>SABMEDA66TXS</t>
        </is>
      </c>
      <c r="B1811" t="inlineStr">
        <is>
          <t>SABRI SPORT DAMA</t>
        </is>
      </c>
      <c r="C1811" t="inlineStr">
        <is>
          <t>Manufactura / Dama / P. Superiores</t>
        </is>
      </c>
      <c r="D1811" t="n">
        <v>267.94336501</v>
      </c>
      <c r="E1811" t="n">
        <v>6.560126293270252e-05</v>
      </c>
      <c r="F1811" t="n">
        <v>0.9655262281284098</v>
      </c>
      <c r="G1811" t="inlineStr">
        <is>
          <t>C</t>
        </is>
      </c>
      <c r="H1811" t="n">
        <v>82</v>
      </c>
      <c r="I1811" t="n">
        <v>4.51</v>
      </c>
      <c r="J1811" t="n">
        <v>369.82</v>
      </c>
      <c r="K1811" t="n">
        <v>0.7</v>
      </c>
      <c r="L1811" t="n">
        <v>117.1428571428572</v>
      </c>
      <c r="M1811" t="n">
        <v>4</v>
      </c>
      <c r="N1811" t="n">
        <v>2.8</v>
      </c>
      <c r="O1811" t="n">
        <v>79.2</v>
      </c>
      <c r="P1811" t="n">
        <v>357.192</v>
      </c>
      <c r="Q1811" t="n">
        <v>0.9658536585365854</v>
      </c>
      <c r="R1811" t="inlineStr">
        <is>
          <t>Sobrestock crítico</t>
        </is>
      </c>
    </row>
    <row r="1812">
      <c r="A1812" t="inlineStr">
        <is>
          <t>SABMEDA16TXL</t>
        </is>
      </c>
      <c r="B1812" t="inlineStr">
        <is>
          <t>SABRI SPORT DAMA</t>
        </is>
      </c>
      <c r="C1812" t="inlineStr">
        <is>
          <t>Manufactura / Dama / P. Superiores</t>
        </is>
      </c>
      <c r="D1812" t="n">
        <v>267.9392363</v>
      </c>
      <c r="E1812" t="n">
        <v>6.560025209001838e-05</v>
      </c>
      <c r="F1812" t="n">
        <v>0.9655918283805</v>
      </c>
      <c r="G1812" t="inlineStr">
        <is>
          <t>C</t>
        </is>
      </c>
      <c r="H1812" t="n">
        <v>5</v>
      </c>
      <c r="I1812" t="n">
        <v>4.51</v>
      </c>
      <c r="J1812" t="n">
        <v>22.55</v>
      </c>
      <c r="K1812" t="n">
        <v>0.6</v>
      </c>
      <c r="L1812" t="n">
        <v>8.333333333333334</v>
      </c>
      <c r="M1812" t="n">
        <v>4</v>
      </c>
      <c r="N1812" t="n">
        <v>2.4</v>
      </c>
      <c r="O1812" t="n">
        <v>2.6</v>
      </c>
      <c r="P1812" t="n">
        <v>11.726</v>
      </c>
      <c r="Q1812" t="n">
        <v>0.52</v>
      </c>
      <c r="R1812" t="inlineStr">
        <is>
          <t>Sobrestock crítico</t>
        </is>
      </c>
    </row>
    <row r="1813">
      <c r="A1813" t="inlineStr">
        <is>
          <t>HELBFDA205TXS</t>
        </is>
      </c>
      <c r="B1813" t="inlineStr">
        <is>
          <t>HELEN BIO MOVE DAMA</t>
        </is>
      </c>
      <c r="C1813" t="inlineStr">
        <is>
          <t>Manufactura / Dama / P. Superiores</t>
        </is>
      </c>
      <c r="D1813" t="n">
        <v>267.91356621</v>
      </c>
      <c r="E1813" t="n">
        <v>6.559396721588637e-05</v>
      </c>
      <c r="F1813" t="n">
        <v>0.9656574223477158</v>
      </c>
      <c r="G1813" t="inlineStr">
        <is>
          <t>C</t>
        </is>
      </c>
      <c r="H1813" t="n">
        <v>13</v>
      </c>
      <c r="I1813" t="n">
        <v>7.34081746</v>
      </c>
      <c r="J1813" t="n">
        <v>95.43062698</v>
      </c>
      <c r="K1813" t="n">
        <v>0.7</v>
      </c>
      <c r="L1813" t="n">
        <v>18.57142857142857</v>
      </c>
      <c r="M1813" t="n">
        <v>4</v>
      </c>
      <c r="N1813" t="n">
        <v>2.8</v>
      </c>
      <c r="O1813" t="n">
        <v>10.2</v>
      </c>
      <c r="P1813" t="n">
        <v>74.876338092</v>
      </c>
      <c r="Q1813" t="n">
        <v>0.7846153846153846</v>
      </c>
      <c r="R1813" t="inlineStr">
        <is>
          <t>Sobrestock crítico</t>
        </is>
      </c>
    </row>
    <row r="1814">
      <c r="A1814" t="inlineStr">
        <is>
          <t>TALGTACA166TXL</t>
        </is>
      </c>
      <c r="B1814" t="inlineStr">
        <is>
          <t>URBAN COTTON OVERSIZED VINTAGE VERDE CAB</t>
        </is>
      </c>
      <c r="C1814" t="inlineStr">
        <is>
          <t>Manufactura / Caballero / P. Superiores</t>
        </is>
      </c>
      <c r="D1814" t="n">
        <v>267.63602457</v>
      </c>
      <c r="E1814" t="n">
        <v>6.552601598261089e-05</v>
      </c>
      <c r="F1814" t="n">
        <v>0.9657229483636984</v>
      </c>
      <c r="G1814" t="inlineStr">
        <is>
          <t>C</t>
        </is>
      </c>
      <c r="H1814" t="n">
        <v>20</v>
      </c>
      <c r="I1814" t="n">
        <v>12.16396667</v>
      </c>
      <c r="J1814" t="n">
        <v>243.2793334</v>
      </c>
      <c r="K1814" t="n">
        <v>0.5</v>
      </c>
      <c r="L1814" t="n">
        <v>40</v>
      </c>
      <c r="M1814" t="n">
        <v>4</v>
      </c>
      <c r="N1814" t="n">
        <v>2</v>
      </c>
      <c r="O1814" t="n">
        <v>18</v>
      </c>
      <c r="P1814" t="n">
        <v>218.95140006</v>
      </c>
      <c r="Q1814" t="n">
        <v>0.9</v>
      </c>
      <c r="R1814" t="inlineStr">
        <is>
          <t>Sin rotación</t>
        </is>
      </c>
    </row>
    <row r="1815">
      <c r="A1815" t="inlineStr">
        <is>
          <t>BAPCCDA184TXS</t>
        </is>
      </c>
      <c r="B1815" t="inlineStr">
        <is>
          <t>BASIC LINE PANT DAMA</t>
        </is>
      </c>
      <c r="C1815" t="inlineStr">
        <is>
          <t>Manufactura / Dama / P. Inferiores</t>
        </is>
      </c>
      <c r="D1815" t="n">
        <v>267.25394014</v>
      </c>
      <c r="E1815" t="n">
        <v>6.543246926928217e-05</v>
      </c>
      <c r="F1815" t="n">
        <v>0.9657883808329677</v>
      </c>
      <c r="G1815" t="inlineStr">
        <is>
          <t>C</t>
        </is>
      </c>
      <c r="H1815" t="n">
        <v>19</v>
      </c>
      <c r="I1815" t="n">
        <v>11.2</v>
      </c>
      <c r="J1815" t="n">
        <v>212.8</v>
      </c>
      <c r="K1815" t="n">
        <v>1</v>
      </c>
      <c r="L1815" t="n">
        <v>19</v>
      </c>
      <c r="M1815" t="n">
        <v>4</v>
      </c>
      <c r="N1815" t="n">
        <v>4</v>
      </c>
      <c r="O1815" t="n">
        <v>15</v>
      </c>
      <c r="P1815" t="n">
        <v>168</v>
      </c>
      <c r="Q1815" t="n">
        <v>0.7894736842105263</v>
      </c>
      <c r="R1815" t="inlineStr">
        <is>
          <t>Sobrestock crítico</t>
        </is>
      </c>
    </row>
    <row r="1816">
      <c r="A1816" t="inlineStr">
        <is>
          <t>MAADFDA30TXL</t>
        </is>
      </c>
      <c r="B1816" t="inlineStr">
        <is>
          <t>MAFE ADVANCE DAMA</t>
        </is>
      </c>
      <c r="C1816" t="inlineStr">
        <is>
          <t>Manufactura / Dama / P. Superiores</t>
        </is>
      </c>
      <c r="D1816" t="n">
        <v>266.85260244</v>
      </c>
      <c r="E1816" t="n">
        <v>6.533420872835957e-05</v>
      </c>
      <c r="F1816" t="n">
        <v>0.965853715041696</v>
      </c>
      <c r="G1816" t="inlineStr">
        <is>
          <t>C</t>
        </is>
      </c>
      <c r="H1816" t="n">
        <v>2</v>
      </c>
      <c r="I1816" t="n">
        <v>4.98</v>
      </c>
      <c r="J1816" t="n">
        <v>9.960000000000001</v>
      </c>
      <c r="K1816" t="n">
        <v>0.5</v>
      </c>
      <c r="L1816" t="n">
        <v>4</v>
      </c>
      <c r="M1816" t="n">
        <v>4</v>
      </c>
      <c r="N1816" t="n">
        <v>2</v>
      </c>
      <c r="O1816" t="n">
        <v>0</v>
      </c>
      <c r="P1816" t="n">
        <v>0</v>
      </c>
      <c r="Q1816" t="n">
        <v>0</v>
      </c>
      <c r="R1816" t="inlineStr">
        <is>
          <t>OK</t>
        </is>
      </c>
    </row>
    <row r="1817">
      <c r="A1817" t="inlineStr">
        <is>
          <t>RIOMIDA70TXL</t>
        </is>
      </c>
      <c r="B1817" t="inlineStr">
        <is>
          <t>RIO ORIGINAL DAMA</t>
        </is>
      </c>
      <c r="C1817" t="inlineStr">
        <is>
          <t>Manufactura / Dama / P. Superiores</t>
        </is>
      </c>
      <c r="D1817" t="n">
        <v>266.74436426</v>
      </c>
      <c r="E1817" t="n">
        <v>6.530770849647186e-05</v>
      </c>
      <c r="F1817" t="n">
        <v>0.9659190227501925</v>
      </c>
      <c r="G1817" t="inlineStr">
        <is>
          <t>C</t>
        </is>
      </c>
      <c r="H1817" t="n">
        <v>20</v>
      </c>
      <c r="I1817" t="n">
        <v>5.538832275</v>
      </c>
      <c r="J1817" t="n">
        <v>110.7766455</v>
      </c>
      <c r="K1817" t="n">
        <v>0.5</v>
      </c>
      <c r="L1817" t="n">
        <v>40</v>
      </c>
      <c r="M1817" t="n">
        <v>4</v>
      </c>
      <c r="N1817" t="n">
        <v>2</v>
      </c>
      <c r="O1817" t="n">
        <v>18</v>
      </c>
      <c r="P1817" t="n">
        <v>99.69898094999999</v>
      </c>
      <c r="Q1817" t="n">
        <v>0.8999999999999999</v>
      </c>
      <c r="R1817" t="inlineStr">
        <is>
          <t>Sobrestock crítico</t>
        </is>
      </c>
    </row>
    <row r="1818">
      <c r="A1818" t="inlineStr">
        <is>
          <t>BAN42EQ</t>
        </is>
      </c>
      <c r="B1818" t="inlineStr">
        <is>
          <t>CUADRO BAND</t>
        </is>
      </c>
      <c r="C1818" t="inlineStr">
        <is>
          <t>Equipamiento / Accesorios</t>
        </is>
      </c>
      <c r="D1818" t="n">
        <v>266.421881356</v>
      </c>
      <c r="E1818" t="n">
        <v>6.522875417798812e-05</v>
      </c>
      <c r="F1818" t="n">
        <v>0.9659842515043705</v>
      </c>
      <c r="G1818" t="inlineStr">
        <is>
          <t>C</t>
        </is>
      </c>
      <c r="H1818" t="n">
        <v>6197</v>
      </c>
      <c r="I1818" t="n">
        <v>0.3159183673</v>
      </c>
      <c r="J1818" t="n">
        <v>1957.7461221581</v>
      </c>
      <c r="K1818" t="n">
        <v>44</v>
      </c>
      <c r="L1818" t="n">
        <v>140.8409090909091</v>
      </c>
      <c r="M1818" t="n">
        <v>4</v>
      </c>
      <c r="N1818" t="n">
        <v>176</v>
      </c>
      <c r="O1818" t="n">
        <v>6021</v>
      </c>
      <c r="P1818" t="n">
        <v>1902.1444895133</v>
      </c>
      <c r="Q1818" t="n">
        <v>0.9715991608842989</v>
      </c>
      <c r="R1818" t="inlineStr">
        <is>
          <t>Sobrestock crítico</t>
        </is>
      </c>
    </row>
    <row r="1819">
      <c r="A1819" t="inlineStr">
        <is>
          <t>DAYCSTDA66TXS</t>
        </is>
      </c>
      <c r="B1819" t="inlineStr">
        <is>
          <t>CLASICA DAILY 3.0 DAMA</t>
        </is>
      </c>
      <c r="C1819" t="inlineStr">
        <is>
          <t>Manufactura / Dama / P. Superiores</t>
        </is>
      </c>
      <c r="D1819" t="n">
        <v>266.28369905</v>
      </c>
      <c r="E1819" t="n">
        <v>6.519492264874605e-05</v>
      </c>
      <c r="F1819" t="n">
        <v>0.9660494464270192</v>
      </c>
      <c r="G1819" t="inlineStr">
        <is>
          <t>C</t>
        </is>
      </c>
      <c r="H1819" t="n">
        <v>26</v>
      </c>
      <c r="I1819" t="n">
        <v>10.28586481</v>
      </c>
      <c r="J1819" t="n">
        <v>267.43248506</v>
      </c>
      <c r="K1819" t="n">
        <v>1</v>
      </c>
      <c r="L1819" t="n">
        <v>26</v>
      </c>
      <c r="M1819" t="n">
        <v>4</v>
      </c>
      <c r="N1819" t="n">
        <v>4</v>
      </c>
      <c r="O1819" t="n">
        <v>22</v>
      </c>
      <c r="P1819" t="n">
        <v>226.28902582</v>
      </c>
      <c r="Q1819" t="n">
        <v>0.8461538461538463</v>
      </c>
      <c r="R1819" t="inlineStr">
        <is>
          <t>Sobrestock crítico</t>
        </is>
      </c>
    </row>
    <row r="1820">
      <c r="A1820" t="inlineStr">
        <is>
          <t>CLADFCA30T2XL</t>
        </is>
      </c>
      <c r="B1820" t="inlineStr">
        <is>
          <t>CLASICA ADVANCE CAB</t>
        </is>
      </c>
      <c r="C1820" t="inlineStr">
        <is>
          <t>Manufactura / Caballero / P. Superiores</t>
        </is>
      </c>
      <c r="D1820" t="n">
        <v>266.2808041</v>
      </c>
      <c r="E1820" t="n">
        <v>6.51942138706947e-05</v>
      </c>
      <c r="F1820" t="n">
        <v>0.9661146406408899</v>
      </c>
      <c r="G1820" t="inlineStr">
        <is>
          <t>C</t>
        </is>
      </c>
      <c r="H1820" t="n">
        <v>2</v>
      </c>
      <c r="I1820" t="n">
        <v>15.51</v>
      </c>
      <c r="J1820" t="n">
        <v>31.02</v>
      </c>
      <c r="K1820" t="n">
        <v>0.5</v>
      </c>
      <c r="L1820" t="n">
        <v>4</v>
      </c>
      <c r="M1820" t="n">
        <v>4</v>
      </c>
      <c r="N1820" t="n">
        <v>2</v>
      </c>
      <c r="O1820" t="n">
        <v>0</v>
      </c>
      <c r="P1820" t="n">
        <v>0</v>
      </c>
      <c r="Q1820" t="n">
        <v>0</v>
      </c>
      <c r="R1820" t="inlineStr">
        <is>
          <t>OK</t>
        </is>
      </c>
    </row>
    <row r="1821">
      <c r="A1821" t="inlineStr">
        <is>
          <t>MIKFNDA24TL</t>
        </is>
      </c>
      <c r="B1821" t="inlineStr">
        <is>
          <t>MIKA SPORT LITE DAMA</t>
        </is>
      </c>
      <c r="C1821" t="inlineStr">
        <is>
          <t>Manufactura / Dama / P. Superiores</t>
        </is>
      </c>
      <c r="D1821" t="n">
        <v>265.46509991</v>
      </c>
      <c r="E1821" t="n">
        <v>6.4994502916697e-05</v>
      </c>
      <c r="F1821" t="n">
        <v>0.9661796351438067</v>
      </c>
      <c r="G1821" t="inlineStr">
        <is>
          <t>C</t>
        </is>
      </c>
      <c r="H1821" t="n">
        <v>32</v>
      </c>
      <c r="I1821" t="n">
        <v>5.484675344</v>
      </c>
      <c r="J1821" t="n">
        <v>175.509611008</v>
      </c>
      <c r="K1821" t="n">
        <v>1.3</v>
      </c>
      <c r="L1821" t="n">
        <v>24.61538461538461</v>
      </c>
      <c r="M1821" t="n">
        <v>4</v>
      </c>
      <c r="N1821" t="n">
        <v>5.2</v>
      </c>
      <c r="O1821" t="n">
        <v>26.8</v>
      </c>
      <c r="P1821" t="n">
        <v>146.9892992192</v>
      </c>
      <c r="Q1821" t="n">
        <v>0.8375</v>
      </c>
      <c r="R1821" t="inlineStr">
        <is>
          <t>Sobrestock crítico</t>
        </is>
      </c>
    </row>
    <row r="1822">
      <c r="A1822" t="inlineStr">
        <is>
          <t>CCBHMCA151TL</t>
        </is>
      </c>
      <c r="B1822" t="inlineStr">
        <is>
          <t>CLUB CLASICA CABALLERO</t>
        </is>
      </c>
      <c r="C1822" t="inlineStr">
        <is>
          <t>Manufactura / Caballero / P. Superiores</t>
        </is>
      </c>
      <c r="D1822" t="n">
        <v>265</v>
      </c>
      <c r="E1822" t="n">
        <v>6.488063130996867e-05</v>
      </c>
      <c r="F1822" t="n">
        <v>0.9662445157751166</v>
      </c>
      <c r="G1822" t="inlineStr">
        <is>
          <t>C</t>
        </is>
      </c>
      <c r="H1822" t="n">
        <v>24</v>
      </c>
      <c r="I1822" t="n">
        <v>1</v>
      </c>
      <c r="J1822" t="n">
        <v>24</v>
      </c>
      <c r="K1822" t="n">
        <v>0.7</v>
      </c>
      <c r="L1822" t="n">
        <v>34.28571428571428</v>
      </c>
      <c r="M1822" t="n">
        <v>4</v>
      </c>
      <c r="N1822" t="n">
        <v>2.8</v>
      </c>
      <c r="O1822" t="n">
        <v>21.2</v>
      </c>
      <c r="P1822" t="n">
        <v>21.2</v>
      </c>
      <c r="Q1822" t="n">
        <v>0.8833333333333333</v>
      </c>
      <c r="R1822" t="inlineStr">
        <is>
          <t>Sobrestock crítico</t>
        </is>
      </c>
    </row>
    <row r="1823">
      <c r="A1823" t="inlineStr">
        <is>
          <t>SHUNTDA31TS</t>
        </is>
      </c>
      <c r="B1823" t="inlineStr">
        <is>
          <t>SHORT SPORT R1 DAMA</t>
        </is>
      </c>
      <c r="C1823" t="inlineStr">
        <is>
          <t>Manufactura / Dama / P. Inferiores</t>
        </is>
      </c>
      <c r="D1823" t="n">
        <v>264.82744888</v>
      </c>
      <c r="E1823" t="n">
        <v>6.483838517563342e-05</v>
      </c>
      <c r="F1823" t="n">
        <v>0.9663093541602923</v>
      </c>
      <c r="G1823" t="inlineStr">
        <is>
          <t>C</t>
        </is>
      </c>
      <c r="H1823" t="n">
        <v>25</v>
      </c>
      <c r="I1823" t="n">
        <v>8.33</v>
      </c>
      <c r="J1823" t="n">
        <v>208.25</v>
      </c>
      <c r="K1823" t="n">
        <v>0.5</v>
      </c>
      <c r="L1823" t="n">
        <v>50</v>
      </c>
      <c r="M1823" t="n">
        <v>4</v>
      </c>
      <c r="N1823" t="n">
        <v>2</v>
      </c>
      <c r="O1823" t="n">
        <v>23</v>
      </c>
      <c r="P1823" t="n">
        <v>191.59</v>
      </c>
      <c r="Q1823" t="n">
        <v>0.92</v>
      </c>
      <c r="R1823" t="inlineStr">
        <is>
          <t>Sobrestock crítico</t>
        </is>
      </c>
    </row>
    <row r="1824">
      <c r="A1824" t="inlineStr">
        <is>
          <t>JACCA67TXL</t>
        </is>
      </c>
      <c r="B1824" t="inlineStr">
        <is>
          <t>JACKET CAB</t>
        </is>
      </c>
      <c r="C1824" t="inlineStr">
        <is>
          <t>Equipamiento / Ropa</t>
        </is>
      </c>
      <c r="D1824" t="n">
        <v>264.18147253</v>
      </c>
      <c r="E1824" t="n">
        <v>6.468022912506999e-05</v>
      </c>
      <c r="F1824" t="n">
        <v>0.9663740343894174</v>
      </c>
      <c r="G1824" t="inlineStr">
        <is>
          <t>C</t>
        </is>
      </c>
      <c r="H1824" t="n">
        <v>68</v>
      </c>
      <c r="I1824" t="n">
        <v>20.25001933</v>
      </c>
      <c r="J1824" t="n">
        <v>1377.00131444</v>
      </c>
      <c r="K1824" t="n">
        <v>0.4</v>
      </c>
      <c r="L1824" t="n">
        <v>170</v>
      </c>
      <c r="M1824" t="n">
        <v>4</v>
      </c>
      <c r="N1824" t="n">
        <v>1.6</v>
      </c>
      <c r="O1824" t="n">
        <v>66.40000000000001</v>
      </c>
      <c r="P1824" t="n">
        <v>1344.601283512</v>
      </c>
      <c r="Q1824" t="n">
        <v>0.9764705882352943</v>
      </c>
      <c r="R1824" t="inlineStr">
        <is>
          <t>Sobrestock crítico</t>
        </is>
      </c>
    </row>
    <row r="1825">
      <c r="A1825" t="inlineStr">
        <is>
          <t>BAN133EQ</t>
        </is>
      </c>
      <c r="B1825" t="inlineStr">
        <is>
          <t>CUADRO BAND</t>
        </is>
      </c>
      <c r="C1825" t="inlineStr">
        <is>
          <t>Equipamiento / Accesorios</t>
        </is>
      </c>
      <c r="D1825" t="n">
        <v>262.393274996</v>
      </c>
      <c r="E1825" t="n">
        <v>6.424242012539885e-05</v>
      </c>
      <c r="F1825" t="n">
        <v>0.9664382768095428</v>
      </c>
      <c r="G1825" t="inlineStr">
        <is>
          <t>C</t>
        </is>
      </c>
      <c r="H1825" t="n">
        <v>5696</v>
      </c>
      <c r="I1825" t="n">
        <v>0.3159183673</v>
      </c>
      <c r="J1825" t="n">
        <v>1799.4710201408</v>
      </c>
      <c r="K1825" t="n">
        <v>42</v>
      </c>
      <c r="L1825" t="n">
        <v>135.6190476190476</v>
      </c>
      <c r="M1825" t="n">
        <v>4</v>
      </c>
      <c r="N1825" t="n">
        <v>168</v>
      </c>
      <c r="O1825" t="n">
        <v>5528</v>
      </c>
      <c r="P1825" t="n">
        <v>1746.3967344344</v>
      </c>
      <c r="Q1825" t="n">
        <v>0.9705056179775281</v>
      </c>
      <c r="R1825" t="inlineStr">
        <is>
          <t>Sobrestock crítico</t>
        </is>
      </c>
    </row>
    <row r="1826">
      <c r="A1826" t="inlineStr">
        <is>
          <t>VIVMIDA16TXS</t>
        </is>
      </c>
      <c r="B1826" t="inlineStr">
        <is>
          <t>VIVI ORIGINAL DAMA</t>
        </is>
      </c>
      <c r="C1826" t="inlineStr">
        <is>
          <t>Manufactura / Dama / P. Superiores</t>
        </is>
      </c>
      <c r="D1826" t="n">
        <v>262.19213971</v>
      </c>
      <c r="E1826" t="n">
        <v>6.419317565621248e-05</v>
      </c>
      <c r="F1826" t="n">
        <v>0.966502469985199</v>
      </c>
      <c r="G1826" t="inlineStr">
        <is>
          <t>C</t>
        </is>
      </c>
      <c r="H1826" t="n">
        <v>6</v>
      </c>
      <c r="I1826" t="n">
        <v>4.303181706</v>
      </c>
      <c r="J1826" t="n">
        <v>25.819090236</v>
      </c>
      <c r="K1826" t="n">
        <v>0.8</v>
      </c>
      <c r="L1826" t="n">
        <v>7.5</v>
      </c>
      <c r="M1826" t="n">
        <v>4</v>
      </c>
      <c r="N1826" t="n">
        <v>3.2</v>
      </c>
      <c r="O1826" t="n">
        <v>2.8</v>
      </c>
      <c r="P1826" t="n">
        <v>12.0489087768</v>
      </c>
      <c r="Q1826" t="n">
        <v>0.4666666666666666</v>
      </c>
      <c r="R1826" t="inlineStr">
        <is>
          <t>Sobrestock crítico</t>
        </is>
      </c>
    </row>
    <row r="1827">
      <c r="A1827" t="inlineStr">
        <is>
          <t>CLADFCA151TL</t>
        </is>
      </c>
      <c r="B1827" t="inlineStr">
        <is>
          <t>CLASICA ADVANCE CAB</t>
        </is>
      </c>
      <c r="C1827" t="inlineStr">
        <is>
          <t>Manufactura / Caballero / P. Superiores</t>
        </is>
      </c>
      <c r="D1827" t="n">
        <v>261.84690952</v>
      </c>
      <c r="E1827" t="n">
        <v>6.41086520612145e-05</v>
      </c>
      <c r="F1827" t="n">
        <v>0.9665665786372601</v>
      </c>
      <c r="G1827" t="inlineStr">
        <is>
          <t>C</t>
        </is>
      </c>
      <c r="H1827" t="n">
        <v>1</v>
      </c>
      <c r="I1827" t="n">
        <v>15.51</v>
      </c>
      <c r="J1827" t="n">
        <v>15.51</v>
      </c>
      <c r="K1827" t="n">
        <v>0.6</v>
      </c>
      <c r="L1827" t="n">
        <v>1.666666666666667</v>
      </c>
      <c r="M1827" t="n">
        <v>4</v>
      </c>
      <c r="N1827" t="n">
        <v>2.4</v>
      </c>
      <c r="O1827" t="n">
        <v>0</v>
      </c>
      <c r="P1827" t="n">
        <v>0</v>
      </c>
      <c r="Q1827" t="n">
        <v>0</v>
      </c>
      <c r="R1827" t="inlineStr">
        <is>
          <t>OK</t>
        </is>
      </c>
    </row>
    <row r="1828">
      <c r="A1828" t="inlineStr">
        <is>
          <t>ADUMMDA11TS</t>
        </is>
      </c>
      <c r="B1828" t="inlineStr">
        <is>
          <t>ACTIVE DUO DAMA</t>
        </is>
      </c>
      <c r="C1828" t="inlineStr">
        <is>
          <t>Manufactura / Caballero / P. Superiores</t>
        </is>
      </c>
      <c r="D1828" t="n">
        <v>261.58827473</v>
      </c>
      <c r="E1828" t="n">
        <v>6.404532984063368e-05</v>
      </c>
      <c r="F1828" t="n">
        <v>0.9666306239671009</v>
      </c>
      <c r="G1828" t="inlineStr">
        <is>
          <t>C</t>
        </is>
      </c>
      <c r="H1828" t="n">
        <v>4</v>
      </c>
      <c r="I1828" t="n">
        <v>3.19128</v>
      </c>
      <c r="J1828" t="n">
        <v>12.76512</v>
      </c>
      <c r="K1828" t="n">
        <v>0.9</v>
      </c>
      <c r="L1828" t="n">
        <v>4.444444444444445</v>
      </c>
      <c r="M1828" t="n">
        <v>4</v>
      </c>
      <c r="N1828" t="n">
        <v>3.6</v>
      </c>
      <c r="O1828" t="n">
        <v>0.3999999999999999</v>
      </c>
      <c r="P1828" t="n">
        <v>1.276512</v>
      </c>
      <c r="Q1828" t="n">
        <v>0.09999999999999998</v>
      </c>
      <c r="R1828" t="inlineStr">
        <is>
          <t>Sobrestock</t>
        </is>
      </c>
    </row>
    <row r="1829">
      <c r="A1829" t="inlineStr">
        <is>
          <t>MARMIKI70T14</t>
        </is>
      </c>
      <c r="B1829" t="inlineStr">
        <is>
          <t>MAR ORIGINAL KIDS</t>
        </is>
      </c>
      <c r="C1829" t="inlineStr">
        <is>
          <t>Manufactura / Kids / P. Superiores</t>
        </is>
      </c>
      <c r="D1829" t="n">
        <v>261.36822053</v>
      </c>
      <c r="E1829" t="n">
        <v>6.39914534050925e-05</v>
      </c>
      <c r="F1829" t="n">
        <v>0.9666946154205058</v>
      </c>
      <c r="G1829" t="inlineStr">
        <is>
          <t>C</t>
        </is>
      </c>
      <c r="H1829" t="n">
        <v>1</v>
      </c>
      <c r="I1829" t="n">
        <v>3.168013332</v>
      </c>
      <c r="J1829" t="n">
        <v>3.168013332</v>
      </c>
      <c r="K1829" t="n">
        <v>0.7</v>
      </c>
      <c r="L1829" t="n">
        <v>1.428571428571429</v>
      </c>
      <c r="M1829" t="n">
        <v>4</v>
      </c>
      <c r="N1829" t="n">
        <v>2.8</v>
      </c>
      <c r="O1829" t="n">
        <v>0</v>
      </c>
      <c r="P1829" t="n">
        <v>0</v>
      </c>
      <c r="Q1829" t="n">
        <v>0</v>
      </c>
      <c r="R1829" t="inlineStr">
        <is>
          <t>OK</t>
        </is>
      </c>
    </row>
    <row r="1830">
      <c r="A1830" t="inlineStr">
        <is>
          <t>CCBHMDA151TXS</t>
        </is>
      </c>
      <c r="B1830" t="inlineStr">
        <is>
          <t>CLUB CLASICA DAMA</t>
        </is>
      </c>
      <c r="C1830" t="inlineStr">
        <is>
          <t>Manufactura / Dama / P. Superiores</t>
        </is>
      </c>
      <c r="D1830" t="n">
        <v>260.5</v>
      </c>
      <c r="E1830" t="n">
        <v>6.377888474055411e-05</v>
      </c>
      <c r="F1830" t="n">
        <v>0.9667583943052465</v>
      </c>
      <c r="G1830" t="inlineStr">
        <is>
          <t>C</t>
        </is>
      </c>
      <c r="H1830" t="n">
        <v>10</v>
      </c>
      <c r="I1830" t="n">
        <v>1</v>
      </c>
      <c r="J1830" t="n">
        <v>10</v>
      </c>
      <c r="K1830" t="n">
        <v>0.7</v>
      </c>
      <c r="L1830" t="n">
        <v>14.28571428571429</v>
      </c>
      <c r="M1830" t="n">
        <v>4</v>
      </c>
      <c r="N1830" t="n">
        <v>2.8</v>
      </c>
      <c r="O1830" t="n">
        <v>7.2</v>
      </c>
      <c r="P1830" t="n">
        <v>7.2</v>
      </c>
      <c r="Q1830" t="n">
        <v>0.72</v>
      </c>
      <c r="R1830" t="inlineStr">
        <is>
          <t>Sobrestock crítico</t>
        </is>
      </c>
    </row>
    <row r="1831">
      <c r="A1831" t="inlineStr">
        <is>
          <t>TMOFIDA66TL</t>
        </is>
      </c>
      <c r="B1831" t="inlineStr">
        <is>
          <t>TOP MOVA</t>
        </is>
      </c>
      <c r="C1831" t="inlineStr">
        <is>
          <t>Manufactura / Dama / P. Superiores</t>
        </is>
      </c>
      <c r="D1831" t="n">
        <v>260.11787062</v>
      </c>
      <c r="E1831" t="n">
        <v>6.368532702200133e-05</v>
      </c>
      <c r="F1831" t="n">
        <v>0.9668220796322685</v>
      </c>
      <c r="G1831" t="inlineStr">
        <is>
          <t>C</t>
        </is>
      </c>
      <c r="H1831" t="n">
        <v>8</v>
      </c>
      <c r="I1831" t="n">
        <v>9.942967033</v>
      </c>
      <c r="J1831" t="n">
        <v>79.543736264</v>
      </c>
      <c r="K1831" t="n">
        <v>0.5</v>
      </c>
      <c r="L1831" t="n">
        <v>16</v>
      </c>
      <c r="M1831" t="n">
        <v>4</v>
      </c>
      <c r="N1831" t="n">
        <v>2</v>
      </c>
      <c r="O1831" t="n">
        <v>6</v>
      </c>
      <c r="P1831" t="n">
        <v>59.657802198</v>
      </c>
      <c r="Q1831" t="n">
        <v>0.75</v>
      </c>
      <c r="R1831" t="inlineStr">
        <is>
          <t>Sobrestock crítico</t>
        </is>
      </c>
    </row>
    <row r="1832">
      <c r="A1832" t="inlineStr">
        <is>
          <t>CLADFCA70T2XL</t>
        </is>
      </c>
      <c r="B1832" t="inlineStr">
        <is>
          <t>CLASICA ADVANCE CAB</t>
        </is>
      </c>
      <c r="C1832" t="inlineStr">
        <is>
          <t>Manufactura / Caballero / P. Superiores</t>
        </is>
      </c>
      <c r="D1832" t="n">
        <v>258.95331854</v>
      </c>
      <c r="E1832" t="n">
        <v>6.340020674221364e-05</v>
      </c>
      <c r="F1832" t="n">
        <v>0.9668854798390107</v>
      </c>
      <c r="G1832" t="inlineStr">
        <is>
          <t>C</t>
        </is>
      </c>
      <c r="H1832" t="n">
        <v>14</v>
      </c>
      <c r="I1832" t="n">
        <v>15.51</v>
      </c>
      <c r="J1832" t="n">
        <v>217.14</v>
      </c>
      <c r="K1832" t="n">
        <v>0.5</v>
      </c>
      <c r="L1832" t="n">
        <v>28</v>
      </c>
      <c r="M1832" t="n">
        <v>4</v>
      </c>
      <c r="N1832" t="n">
        <v>2</v>
      </c>
      <c r="O1832" t="n">
        <v>12</v>
      </c>
      <c r="P1832" t="n">
        <v>186.12</v>
      </c>
      <c r="Q1832" t="n">
        <v>0.8571428571428572</v>
      </c>
      <c r="R1832" t="inlineStr">
        <is>
          <t>Sobrestock crítico</t>
        </is>
      </c>
    </row>
    <row r="1833">
      <c r="A1833" t="inlineStr">
        <is>
          <t>SHOUNKI12T14</t>
        </is>
      </c>
      <c r="B1833" t="inlineStr">
        <is>
          <t>SHORT PLAYA KIDS</t>
        </is>
      </c>
      <c r="C1833" t="inlineStr">
        <is>
          <t>Manufactura / Kids / P. Inferiores</t>
        </is>
      </c>
      <c r="D1833" t="n">
        <v>258.92956722</v>
      </c>
      <c r="E1833" t="n">
        <v>6.339439164547383e-05</v>
      </c>
      <c r="F1833" t="n">
        <v>0.9669488742306561</v>
      </c>
      <c r="G1833" t="inlineStr">
        <is>
          <t>C</t>
        </is>
      </c>
      <c r="H1833" t="n">
        <v>1</v>
      </c>
      <c r="I1833" t="n">
        <v>6.09</v>
      </c>
      <c r="J1833" t="n">
        <v>6.09</v>
      </c>
      <c r="K1833" t="n">
        <v>0.8</v>
      </c>
      <c r="L1833" t="n">
        <v>1.25</v>
      </c>
      <c r="M1833" t="n">
        <v>4</v>
      </c>
      <c r="N1833" t="n">
        <v>3.2</v>
      </c>
      <c r="O1833" t="n">
        <v>0</v>
      </c>
      <c r="P1833" t="n">
        <v>0</v>
      </c>
      <c r="Q1833" t="n">
        <v>0</v>
      </c>
      <c r="R1833" t="inlineStr">
        <is>
          <t>OK</t>
        </is>
      </c>
    </row>
    <row r="1834">
      <c r="A1834" t="inlineStr">
        <is>
          <t>MARMIKI11T1</t>
        </is>
      </c>
      <c r="B1834" t="inlineStr">
        <is>
          <t>MAR ORIGINAL KIDS</t>
        </is>
      </c>
      <c r="C1834" t="inlineStr">
        <is>
          <t>Manufactura / Kids / P. Superiores</t>
        </is>
      </c>
      <c r="D1834" t="n">
        <v>258.8451405</v>
      </c>
      <c r="E1834" t="n">
        <v>6.337372123455676e-05</v>
      </c>
      <c r="F1834" t="n">
        <v>0.9670122479518907</v>
      </c>
      <c r="G1834" t="inlineStr">
        <is>
          <t>C</t>
        </is>
      </c>
      <c r="H1834" t="n">
        <v>0</v>
      </c>
      <c r="I1834" t="n">
        <v>3.168013332</v>
      </c>
      <c r="J1834" t="n">
        <v>0</v>
      </c>
      <c r="K1834" t="n">
        <v>0.8</v>
      </c>
      <c r="L1834" t="n">
        <v>0</v>
      </c>
      <c r="M1834" t="n">
        <v>4</v>
      </c>
      <c r="N1834" t="n">
        <v>3.2</v>
      </c>
      <c r="O1834" t="n">
        <v>0</v>
      </c>
      <c r="P1834" t="n">
        <v>0</v>
      </c>
      <c r="Q1834" t="n">
        <v>0</v>
      </c>
      <c r="R1834" t="inlineStr">
        <is>
          <t>Riesgo bajo stock</t>
        </is>
      </c>
    </row>
    <row r="1835">
      <c r="A1835" t="inlineStr">
        <is>
          <t>SHOUNKI23T4</t>
        </is>
      </c>
      <c r="B1835" t="inlineStr">
        <is>
          <t>SHORT PLAYA KIDS</t>
        </is>
      </c>
      <c r="C1835" t="inlineStr">
        <is>
          <t>Manufactura / Kids / P. Inferiores</t>
        </is>
      </c>
      <c r="D1835" t="n">
        <v>258.62578652</v>
      </c>
      <c r="E1835" t="n">
        <v>6.332001623567843e-05</v>
      </c>
      <c r="F1835" t="n">
        <v>0.9670755679681264</v>
      </c>
      <c r="G1835" t="inlineStr">
        <is>
          <t>C</t>
        </is>
      </c>
      <c r="H1835" t="n">
        <v>37</v>
      </c>
      <c r="I1835" t="n">
        <v>6.09</v>
      </c>
      <c r="J1835" t="n">
        <v>225.33</v>
      </c>
      <c r="K1835" t="n">
        <v>0.6</v>
      </c>
      <c r="L1835" t="n">
        <v>61.66666666666667</v>
      </c>
      <c r="M1835" t="n">
        <v>4</v>
      </c>
      <c r="N1835" t="n">
        <v>2.4</v>
      </c>
      <c r="O1835" t="n">
        <v>34.6</v>
      </c>
      <c r="P1835" t="n">
        <v>210.714</v>
      </c>
      <c r="Q1835" t="n">
        <v>0.9351351351351352</v>
      </c>
      <c r="R1835" t="inlineStr">
        <is>
          <t>Sobrestock crítico</t>
        </is>
      </c>
    </row>
    <row r="1836">
      <c r="A1836" t="inlineStr">
        <is>
          <t>LMOFIDA10TXL</t>
        </is>
      </c>
      <c r="B1836" t="inlineStr">
        <is>
          <t>LEGGING MOVA</t>
        </is>
      </c>
      <c r="C1836" t="inlineStr">
        <is>
          <t>Manufactura / Dama / P. Inferiores</t>
        </is>
      </c>
      <c r="D1836" t="n">
        <v>258.33693401</v>
      </c>
      <c r="E1836" t="n">
        <v>6.324929573302081e-05</v>
      </c>
      <c r="F1836" t="n">
        <v>0.9671388172638594</v>
      </c>
      <c r="G1836" t="inlineStr">
        <is>
          <t>C</t>
        </is>
      </c>
      <c r="H1836" t="n">
        <v>12</v>
      </c>
      <c r="I1836" t="n">
        <v>17.7</v>
      </c>
      <c r="J1836" t="n">
        <v>212.4</v>
      </c>
      <c r="K1836" t="n">
        <v>0.3</v>
      </c>
      <c r="L1836" t="n">
        <v>40</v>
      </c>
      <c r="M1836" t="n">
        <v>4</v>
      </c>
      <c r="N1836" t="n">
        <v>1.2</v>
      </c>
      <c r="O1836" t="n">
        <v>10.8</v>
      </c>
      <c r="P1836" t="n">
        <v>191.16</v>
      </c>
      <c r="Q1836" t="n">
        <v>0.9000000000000001</v>
      </c>
      <c r="R1836" t="inlineStr">
        <is>
          <t>Sobrestock crítico</t>
        </is>
      </c>
    </row>
    <row r="1837">
      <c r="A1837" t="inlineStr">
        <is>
          <t>CLAMEDA66TL</t>
        </is>
      </c>
      <c r="B1837" t="inlineStr">
        <is>
          <t>CLÁSICA SPORT DAMA</t>
        </is>
      </c>
      <c r="C1837" t="inlineStr">
        <is>
          <t>Manufactura / Dama / P. Superiores</t>
        </is>
      </c>
      <c r="D1837" t="n">
        <v>258.23740424</v>
      </c>
      <c r="E1837" t="n">
        <v>6.322492760354258e-05</v>
      </c>
      <c r="F1837" t="n">
        <v>0.9672020421914629</v>
      </c>
      <c r="G1837" t="inlineStr">
        <is>
          <t>C</t>
        </is>
      </c>
      <c r="H1837" t="n">
        <v>1</v>
      </c>
      <c r="I1837" t="n">
        <v>6.536105769</v>
      </c>
      <c r="J1837" t="n">
        <v>6.536105769</v>
      </c>
      <c r="K1837" t="n">
        <v>0.5</v>
      </c>
      <c r="L1837" t="n">
        <v>2</v>
      </c>
      <c r="M1837" t="n">
        <v>4</v>
      </c>
      <c r="N1837" t="n">
        <v>2</v>
      </c>
      <c r="O1837" t="n">
        <v>0</v>
      </c>
      <c r="P1837" t="n">
        <v>0</v>
      </c>
      <c r="Q1837" t="n">
        <v>0</v>
      </c>
      <c r="R1837" t="inlineStr">
        <is>
          <t>OK</t>
        </is>
      </c>
    </row>
    <row r="1838">
      <c r="A1838" t="inlineStr">
        <is>
          <t>LMOFIDA31TS</t>
        </is>
      </c>
      <c r="B1838" t="inlineStr">
        <is>
          <t>LEGGING MOVA</t>
        </is>
      </c>
      <c r="C1838" t="inlineStr">
        <is>
          <t>Manufactura / Dama / P. Inferiores</t>
        </is>
      </c>
      <c r="D1838" t="n">
        <v>258.22617534</v>
      </c>
      <c r="E1838" t="n">
        <v>6.322217840308628e-05</v>
      </c>
      <c r="F1838" t="n">
        <v>0.9672652643698662</v>
      </c>
      <c r="G1838" t="inlineStr">
        <is>
          <t>C</t>
        </is>
      </c>
      <c r="H1838" t="n">
        <v>22</v>
      </c>
      <c r="I1838" t="n">
        <v>17.7</v>
      </c>
      <c r="J1838" t="n">
        <v>389.4</v>
      </c>
      <c r="K1838" t="n">
        <v>0.6</v>
      </c>
      <c r="L1838" t="n">
        <v>36.66666666666667</v>
      </c>
      <c r="M1838" t="n">
        <v>4</v>
      </c>
      <c r="N1838" t="n">
        <v>2.4</v>
      </c>
      <c r="O1838" t="n">
        <v>19.6</v>
      </c>
      <c r="P1838" t="n">
        <v>346.92</v>
      </c>
      <c r="Q1838" t="n">
        <v>0.890909090909091</v>
      </c>
      <c r="R1838" t="inlineStr">
        <is>
          <t>Sobrestock crítico</t>
        </is>
      </c>
    </row>
    <row r="1839">
      <c r="A1839" t="inlineStr">
        <is>
          <t>SHONTCA30TXL</t>
        </is>
      </c>
      <c r="B1839" t="inlineStr">
        <is>
          <t>EXPLORE SHORT CAB</t>
        </is>
      </c>
      <c r="C1839" t="inlineStr">
        <is>
          <t>Manufactura / Caballero / P. Inferiores</t>
        </is>
      </c>
      <c r="D1839" t="n">
        <v>257.95706275</v>
      </c>
      <c r="E1839" t="n">
        <v>6.315629087579321e-05</v>
      </c>
      <c r="F1839" t="n">
        <v>0.9673284206607419</v>
      </c>
      <c r="G1839" t="inlineStr">
        <is>
          <t>C</t>
        </is>
      </c>
      <c r="H1839" t="n">
        <v>2</v>
      </c>
      <c r="I1839" t="n">
        <v>11.17</v>
      </c>
      <c r="J1839" t="n">
        <v>22.34</v>
      </c>
      <c r="K1839" t="n">
        <v>0.6</v>
      </c>
      <c r="L1839" t="n">
        <v>3.333333333333333</v>
      </c>
      <c r="M1839" t="n">
        <v>4</v>
      </c>
      <c r="N1839" t="n">
        <v>2.4</v>
      </c>
      <c r="O1839" t="n">
        <v>0</v>
      </c>
      <c r="P1839" t="n">
        <v>0</v>
      </c>
      <c r="Q1839" t="n">
        <v>0</v>
      </c>
      <c r="R1839" t="inlineStr">
        <is>
          <t>OK</t>
        </is>
      </c>
    </row>
    <row r="1840">
      <c r="A1840" t="inlineStr">
        <is>
          <t>RIOMIKI66T1</t>
        </is>
      </c>
      <c r="B1840" t="inlineStr">
        <is>
          <t>RIO ORIGINAL KIDS</t>
        </is>
      </c>
      <c r="C1840" t="inlineStr">
        <is>
          <t>Manufactura / Kids / P. Superiores</t>
        </is>
      </c>
      <c r="D1840" t="n">
        <v>257.77685178</v>
      </c>
      <c r="E1840" t="n">
        <v>6.311216936068914e-05</v>
      </c>
      <c r="F1840" t="n">
        <v>0.9673915328301026</v>
      </c>
      <c r="G1840" t="inlineStr">
        <is>
          <t>C</t>
        </is>
      </c>
      <c r="H1840" t="n">
        <v>0</v>
      </c>
      <c r="I1840" t="n">
        <v>3.617969464</v>
      </c>
      <c r="J1840" t="n">
        <v>0</v>
      </c>
      <c r="K1840" t="n">
        <v>0.6</v>
      </c>
      <c r="L1840" t="n">
        <v>0</v>
      </c>
      <c r="M1840" t="n">
        <v>4</v>
      </c>
      <c r="N1840" t="n">
        <v>2.4</v>
      </c>
      <c r="O1840" t="n">
        <v>0</v>
      </c>
      <c r="P1840" t="n">
        <v>0</v>
      </c>
      <c r="Q1840" t="n">
        <v>0</v>
      </c>
      <c r="R1840" t="inlineStr">
        <is>
          <t>Riesgo bajo stock</t>
        </is>
      </c>
    </row>
    <row r="1841">
      <c r="A1841" t="inlineStr">
        <is>
          <t>SHOUNKI33T6</t>
        </is>
      </c>
      <c r="B1841" t="inlineStr">
        <is>
          <t>SHORT PLAYA KIDS</t>
        </is>
      </c>
      <c r="C1841" t="inlineStr">
        <is>
          <t>Manufactura / Kids / P. Inferiores</t>
        </is>
      </c>
      <c r="D1841" t="n">
        <v>257.517937</v>
      </c>
      <c r="E1841" t="n">
        <v>6.304877858943675e-05</v>
      </c>
      <c r="F1841" t="n">
        <v>0.967454581608692</v>
      </c>
      <c r="G1841" t="inlineStr">
        <is>
          <t>C</t>
        </is>
      </c>
      <c r="H1841" t="n">
        <v>20</v>
      </c>
      <c r="I1841" t="n">
        <v>6.089999999999999</v>
      </c>
      <c r="J1841" t="n">
        <v>121.8</v>
      </c>
      <c r="K1841" t="n">
        <v>0.7</v>
      </c>
      <c r="L1841" t="n">
        <v>28.57142857142857</v>
      </c>
      <c r="M1841" t="n">
        <v>4</v>
      </c>
      <c r="N1841" t="n">
        <v>2.8</v>
      </c>
      <c r="O1841" t="n">
        <v>17.2</v>
      </c>
      <c r="P1841" t="n">
        <v>104.748</v>
      </c>
      <c r="Q1841" t="n">
        <v>0.8599999999999999</v>
      </c>
      <c r="R1841" t="inlineStr">
        <is>
          <t>Sobrestock crítico</t>
        </is>
      </c>
    </row>
    <row r="1842">
      <c r="A1842" t="inlineStr">
        <is>
          <t>CLAMIKI66T12</t>
        </is>
      </c>
      <c r="B1842" t="inlineStr">
        <is>
          <t>CLASICA ORIGINAL KIDS</t>
        </is>
      </c>
      <c r="C1842" t="inlineStr">
        <is>
          <t>Manufactura / Kids / P. Superiores</t>
        </is>
      </c>
      <c r="D1842" t="n">
        <v>256.85738134</v>
      </c>
      <c r="E1842" t="n">
        <v>6.288705304892289e-05</v>
      </c>
      <c r="F1842" t="n">
        <v>0.9675174686617409</v>
      </c>
      <c r="G1842" t="inlineStr">
        <is>
          <t>C</t>
        </is>
      </c>
      <c r="H1842" t="n">
        <v>34</v>
      </c>
      <c r="I1842" t="n">
        <v>2.053774806</v>
      </c>
      <c r="J1842" t="n">
        <v>69.82834340399999</v>
      </c>
      <c r="K1842" t="n">
        <v>0.7</v>
      </c>
      <c r="L1842" t="n">
        <v>48.57142857142858</v>
      </c>
      <c r="M1842" t="n">
        <v>4</v>
      </c>
      <c r="N1842" t="n">
        <v>2.8</v>
      </c>
      <c r="O1842" t="n">
        <v>31.2</v>
      </c>
      <c r="P1842" t="n">
        <v>64.07777394719999</v>
      </c>
      <c r="Q1842" t="n">
        <v>0.9176470588235293</v>
      </c>
      <c r="R1842" t="inlineStr">
        <is>
          <t>Sobrestock crítico</t>
        </is>
      </c>
    </row>
    <row r="1843">
      <c r="A1843" t="inlineStr">
        <is>
          <t>SABMEDA13TXS</t>
        </is>
      </c>
      <c r="B1843" t="inlineStr">
        <is>
          <t>SABRI SPORT DAMA</t>
        </is>
      </c>
      <c r="C1843" t="inlineStr">
        <is>
          <t>Manufactura / Dama / P. Superiores</t>
        </is>
      </c>
      <c r="D1843" t="n">
        <v>256.71301539</v>
      </c>
      <c r="E1843" t="n">
        <v>6.285170756222227e-05</v>
      </c>
      <c r="F1843" t="n">
        <v>0.9675803203693031</v>
      </c>
      <c r="G1843" t="inlineStr">
        <is>
          <t>C</t>
        </is>
      </c>
      <c r="H1843" t="n">
        <v>22</v>
      </c>
      <c r="I1843" t="n">
        <v>4.51</v>
      </c>
      <c r="J1843" t="n">
        <v>99.22</v>
      </c>
      <c r="K1843" t="n">
        <v>0.6</v>
      </c>
      <c r="L1843" t="n">
        <v>36.66666666666667</v>
      </c>
      <c r="M1843" t="n">
        <v>4</v>
      </c>
      <c r="N1843" t="n">
        <v>2.4</v>
      </c>
      <c r="O1843" t="n">
        <v>19.6</v>
      </c>
      <c r="P1843" t="n">
        <v>88.396</v>
      </c>
      <c r="Q1843" t="n">
        <v>0.8909090909090909</v>
      </c>
      <c r="R1843" t="inlineStr">
        <is>
          <t>Sobrestock crítico</t>
        </is>
      </c>
    </row>
    <row r="1844">
      <c r="A1844" t="inlineStr">
        <is>
          <t>TMOFIDA31TL</t>
        </is>
      </c>
      <c r="B1844" t="inlineStr">
        <is>
          <t>TOP MOVA</t>
        </is>
      </c>
      <c r="C1844" t="inlineStr">
        <is>
          <t>Manufactura / Dama / P. Superiores</t>
        </is>
      </c>
      <c r="D1844" t="n">
        <v>256.65791221</v>
      </c>
      <c r="E1844" t="n">
        <v>6.283821650899365e-05</v>
      </c>
      <c r="F1844" t="n">
        <v>0.9676431585858121</v>
      </c>
      <c r="G1844" t="inlineStr">
        <is>
          <t>C</t>
        </is>
      </c>
      <c r="H1844" t="n">
        <v>5</v>
      </c>
      <c r="I1844" t="n">
        <v>9.942967033</v>
      </c>
      <c r="J1844" t="n">
        <v>49.714835165</v>
      </c>
      <c r="K1844" t="n">
        <v>0.7</v>
      </c>
      <c r="L1844" t="n">
        <v>7.142857142857143</v>
      </c>
      <c r="M1844" t="n">
        <v>4</v>
      </c>
      <c r="N1844" t="n">
        <v>2.8</v>
      </c>
      <c r="O1844" t="n">
        <v>2.2</v>
      </c>
      <c r="P1844" t="n">
        <v>21.8745274726</v>
      </c>
      <c r="Q1844" t="n">
        <v>0.4400000000000001</v>
      </c>
      <c r="R1844" t="inlineStr">
        <is>
          <t>Sobrestock crítico</t>
        </is>
      </c>
    </row>
    <row r="1845">
      <c r="A1845" t="inlineStr">
        <is>
          <t>MIKFNDA13TXL</t>
        </is>
      </c>
      <c r="B1845" t="inlineStr">
        <is>
          <t>MIKA SPORT LITE DAMA</t>
        </is>
      </c>
      <c r="C1845" t="inlineStr">
        <is>
          <t>Manufactura / Dama / P. Superiores</t>
        </is>
      </c>
      <c r="D1845" t="n">
        <v>256.63379639</v>
      </c>
      <c r="E1845" t="n">
        <v>6.283231217078172e-05</v>
      </c>
      <c r="F1845" t="n">
        <v>0.9677059908979829</v>
      </c>
      <c r="G1845" t="inlineStr">
        <is>
          <t>C</t>
        </is>
      </c>
      <c r="H1845" t="n">
        <v>21</v>
      </c>
      <c r="I1845" t="n">
        <v>5.484675344</v>
      </c>
      <c r="J1845" t="n">
        <v>115.178182224</v>
      </c>
      <c r="K1845" t="n">
        <v>0.6</v>
      </c>
      <c r="L1845" t="n">
        <v>35</v>
      </c>
      <c r="M1845" t="n">
        <v>4</v>
      </c>
      <c r="N1845" t="n">
        <v>2.4</v>
      </c>
      <c r="O1845" t="n">
        <v>18.6</v>
      </c>
      <c r="P1845" t="n">
        <v>102.0149613984</v>
      </c>
      <c r="Q1845" t="n">
        <v>0.8857142857142858</v>
      </c>
      <c r="R1845" t="inlineStr">
        <is>
          <t>Sobrestock crítico</t>
        </is>
      </c>
    </row>
    <row r="1846">
      <c r="A1846" t="inlineStr">
        <is>
          <t>NAHFNCA16T2XL</t>
        </is>
      </c>
      <c r="B1846" t="inlineStr">
        <is>
          <t>NOAH SPORT LITE CAB</t>
        </is>
      </c>
      <c r="C1846" t="inlineStr">
        <is>
          <t>Manufactura / Caballero / P. Superiores</t>
        </is>
      </c>
      <c r="D1846" t="n">
        <v>256.41465677</v>
      </c>
      <c r="E1846" t="n">
        <v>6.277865965421332e-05</v>
      </c>
      <c r="F1846" t="n">
        <v>0.9677687695576371</v>
      </c>
      <c r="G1846" t="inlineStr">
        <is>
          <t>C</t>
        </is>
      </c>
      <c r="H1846" t="n">
        <v>6</v>
      </c>
      <c r="I1846" t="n">
        <v>17.61141534</v>
      </c>
      <c r="J1846" t="n">
        <v>105.66849204</v>
      </c>
      <c r="K1846" t="n">
        <v>0.7</v>
      </c>
      <c r="L1846" t="n">
        <v>8.571428571428571</v>
      </c>
      <c r="M1846" t="n">
        <v>4</v>
      </c>
      <c r="N1846" t="n">
        <v>2.8</v>
      </c>
      <c r="O1846" t="n">
        <v>3.2</v>
      </c>
      <c r="P1846" t="n">
        <v>56.356529088</v>
      </c>
      <c r="Q1846" t="n">
        <v>0.5333333333333333</v>
      </c>
      <c r="R1846" t="inlineStr">
        <is>
          <t>Sobrestock crítico</t>
        </is>
      </c>
    </row>
    <row r="1847">
      <c r="A1847" t="inlineStr">
        <is>
          <t>TALGOTACA167TXS</t>
        </is>
      </c>
      <c r="B1847" t="inlineStr">
        <is>
          <t>URBAN COTTON OVERSIZED VINTAGE GRIS CAB</t>
        </is>
      </c>
      <c r="C1847" t="inlineStr">
        <is>
          <t>Manufactura / Caballero / P. Superiores</t>
        </is>
      </c>
      <c r="D1847" t="n">
        <v>256.24366625</v>
      </c>
      <c r="E1847" t="n">
        <v>6.273679560558835e-05</v>
      </c>
      <c r="F1847" t="n">
        <v>0.9678315063532427</v>
      </c>
      <c r="G1847" t="inlineStr">
        <is>
          <t>C</t>
        </is>
      </c>
      <c r="H1847" t="n">
        <v>1</v>
      </c>
      <c r="I1847" t="n">
        <v>12.16179793</v>
      </c>
      <c r="J1847" t="n">
        <v>12.16179793</v>
      </c>
      <c r="K1847" t="n">
        <v>0.4</v>
      </c>
      <c r="L1847" t="n">
        <v>2.5</v>
      </c>
      <c r="M1847" t="n">
        <v>4</v>
      </c>
      <c r="N1847" t="n">
        <v>1.6</v>
      </c>
      <c r="O1847" t="n">
        <v>0</v>
      </c>
      <c r="P1847" t="n">
        <v>0</v>
      </c>
      <c r="Q1847" t="n">
        <v>0</v>
      </c>
      <c r="R1847" t="inlineStr">
        <is>
          <t>OK</t>
        </is>
      </c>
    </row>
    <row r="1848">
      <c r="A1848" t="inlineStr">
        <is>
          <t>TOA06ES</t>
        </is>
      </c>
      <c r="B1848" t="inlineStr">
        <is>
          <t>TOALLA ESTAMPADA</t>
        </is>
      </c>
      <c r="C1848" t="inlineStr">
        <is>
          <t>Equipamiento / Toallas</t>
        </is>
      </c>
      <c r="D1848" t="n">
        <v>256.18505625</v>
      </c>
      <c r="E1848" t="n">
        <v>6.272244596860315e-05</v>
      </c>
      <c r="F1848" t="n">
        <v>0.9678942287992113</v>
      </c>
      <c r="G1848" t="inlineStr">
        <is>
          <t>C</t>
        </is>
      </c>
      <c r="H1848" t="n">
        <v>0</v>
      </c>
      <c r="I1848" t="n">
        <v>6.29</v>
      </c>
      <c r="J1848" t="n">
        <v>0</v>
      </c>
      <c r="K1848" t="n">
        <v>0.8</v>
      </c>
      <c r="L1848" t="n">
        <v>0</v>
      </c>
      <c r="M1848" t="n">
        <v>4</v>
      </c>
      <c r="N1848" t="n">
        <v>3.2</v>
      </c>
      <c r="O1848" t="n">
        <v>0</v>
      </c>
      <c r="P1848" t="n">
        <v>0</v>
      </c>
      <c r="Q1848" t="n">
        <v>0</v>
      </c>
      <c r="R1848" t="inlineStr">
        <is>
          <t>Sin rotación</t>
        </is>
      </c>
    </row>
    <row r="1849">
      <c r="A1849" t="inlineStr">
        <is>
          <t>SHUNTDA31TL</t>
        </is>
      </c>
      <c r="B1849" t="inlineStr">
        <is>
          <t>SHORT SPORT R1 DAMA</t>
        </is>
      </c>
      <c r="C1849" t="inlineStr">
        <is>
          <t>Manufactura / Dama / P. Inferiores</t>
        </is>
      </c>
      <c r="D1849" t="n">
        <v>255.28047959</v>
      </c>
      <c r="E1849" t="n">
        <v>6.250097613928593e-05</v>
      </c>
      <c r="F1849" t="n">
        <v>0.9679567297753505</v>
      </c>
      <c r="G1849" t="inlineStr">
        <is>
          <t>C</t>
        </is>
      </c>
      <c r="H1849" t="n">
        <v>27</v>
      </c>
      <c r="I1849" t="n">
        <v>8.33</v>
      </c>
      <c r="J1849" t="n">
        <v>224.91</v>
      </c>
      <c r="K1849" t="n">
        <v>0.5</v>
      </c>
      <c r="L1849" t="n">
        <v>54</v>
      </c>
      <c r="M1849" t="n">
        <v>4</v>
      </c>
      <c r="N1849" t="n">
        <v>2</v>
      </c>
      <c r="O1849" t="n">
        <v>25</v>
      </c>
      <c r="P1849" t="n">
        <v>208.25</v>
      </c>
      <c r="Q1849" t="n">
        <v>0.9259259259259259</v>
      </c>
      <c r="R1849" t="inlineStr">
        <is>
          <t>Sobrestock crítico</t>
        </is>
      </c>
    </row>
    <row r="1850">
      <c r="A1850" t="inlineStr">
        <is>
          <t>SABMEDA43TL</t>
        </is>
      </c>
      <c r="B1850" t="inlineStr">
        <is>
          <t>SABRI SPORT DAMA</t>
        </is>
      </c>
      <c r="C1850" t="inlineStr">
        <is>
          <t>Manufactura / Dama / P. Superiores</t>
        </is>
      </c>
      <c r="D1850" t="n">
        <v>254.58231191</v>
      </c>
      <c r="E1850" t="n">
        <v>6.233004195121568e-05</v>
      </c>
      <c r="F1850" t="n">
        <v>0.9680190598173017</v>
      </c>
      <c r="G1850" t="inlineStr">
        <is>
          <t>C</t>
        </is>
      </c>
      <c r="H1850" t="n">
        <v>16</v>
      </c>
      <c r="I1850" t="n">
        <v>4.51</v>
      </c>
      <c r="J1850" t="n">
        <v>72.16</v>
      </c>
      <c r="K1850" t="n">
        <v>0.6</v>
      </c>
      <c r="L1850" t="n">
        <v>26.66666666666667</v>
      </c>
      <c r="M1850" t="n">
        <v>4</v>
      </c>
      <c r="N1850" t="n">
        <v>2.4</v>
      </c>
      <c r="O1850" t="n">
        <v>13.6</v>
      </c>
      <c r="P1850" t="n">
        <v>61.336</v>
      </c>
      <c r="Q1850" t="n">
        <v>0.85</v>
      </c>
      <c r="R1850" t="inlineStr">
        <is>
          <t>Sobrestock crítico</t>
        </is>
      </c>
    </row>
    <row r="1851">
      <c r="A1851" t="inlineStr">
        <is>
          <t>POR67EQ</t>
        </is>
      </c>
      <c r="B1851" t="inlineStr">
        <is>
          <t>PORTAVASOS</t>
        </is>
      </c>
      <c r="C1851" t="inlineStr">
        <is>
          <t>Equipamiento / Accesorios</t>
        </is>
      </c>
      <c r="D1851" t="n">
        <v>254.519874549</v>
      </c>
      <c r="E1851" t="n">
        <v>6.231475525159678e-05</v>
      </c>
      <c r="F1851" t="n">
        <v>0.9680813745725534</v>
      </c>
      <c r="G1851" t="inlineStr">
        <is>
          <t>C</t>
        </is>
      </c>
      <c r="H1851" t="n">
        <v>91</v>
      </c>
      <c r="I1851" t="n">
        <v>1</v>
      </c>
      <c r="J1851" t="n">
        <v>91</v>
      </c>
      <c r="K1851" t="n">
        <v>5.5</v>
      </c>
      <c r="L1851" t="n">
        <v>16.54545454545455</v>
      </c>
      <c r="M1851" t="n">
        <v>4</v>
      </c>
      <c r="N1851" t="n">
        <v>22</v>
      </c>
      <c r="O1851" t="n">
        <v>69</v>
      </c>
      <c r="P1851" t="n">
        <v>69</v>
      </c>
      <c r="Q1851" t="n">
        <v>0.7582417582417582</v>
      </c>
      <c r="R1851" t="inlineStr">
        <is>
          <t>Sobrestock crítico</t>
        </is>
      </c>
    </row>
    <row r="1852">
      <c r="A1852" t="inlineStr">
        <is>
          <t>ZOEMIKI53T6</t>
        </is>
      </c>
      <c r="B1852" t="inlineStr">
        <is>
          <t>ZOE ORIGINAL KIDS</t>
        </is>
      </c>
      <c r="C1852" t="inlineStr">
        <is>
          <t>Manufactura / Kids / P. Superiores</t>
        </is>
      </c>
      <c r="D1852" t="n">
        <v>254.50087755</v>
      </c>
      <c r="E1852" t="n">
        <v>6.231010416749068e-05</v>
      </c>
      <c r="F1852" t="n">
        <v>0.968143684676721</v>
      </c>
      <c r="G1852" t="inlineStr">
        <is>
          <t>C</t>
        </is>
      </c>
      <c r="H1852" t="n">
        <v>5</v>
      </c>
      <c r="I1852" t="n">
        <v>4.12</v>
      </c>
      <c r="J1852" t="n">
        <v>20.6</v>
      </c>
      <c r="K1852" t="n">
        <v>0.7</v>
      </c>
      <c r="L1852" t="n">
        <v>7.142857142857143</v>
      </c>
      <c r="M1852" t="n">
        <v>4</v>
      </c>
      <c r="N1852" t="n">
        <v>2.8</v>
      </c>
      <c r="O1852" t="n">
        <v>2.2</v>
      </c>
      <c r="P1852" t="n">
        <v>9.064000000000002</v>
      </c>
      <c r="Q1852" t="n">
        <v>0.4400000000000001</v>
      </c>
      <c r="R1852" t="inlineStr">
        <is>
          <t>Sobrestock crítico</t>
        </is>
      </c>
    </row>
    <row r="1853">
      <c r="A1853" t="inlineStr">
        <is>
          <t>CLAMICA11TS</t>
        </is>
      </c>
      <c r="B1853" t="inlineStr">
        <is>
          <t>CLASICA ORIGINAL CAB</t>
        </is>
      </c>
      <c r="C1853" t="inlineStr">
        <is>
          <t>Manufactura / Caballero / P. Superiores</t>
        </is>
      </c>
      <c r="D1853" t="n">
        <v>253.51261185</v>
      </c>
      <c r="E1853" t="n">
        <v>6.206814453534734e-05</v>
      </c>
      <c r="F1853" t="n">
        <v>0.9682057528212562</v>
      </c>
      <c r="G1853" t="inlineStr">
        <is>
          <t>C</t>
        </is>
      </c>
      <c r="H1853" t="n">
        <v>5</v>
      </c>
      <c r="I1853" t="n">
        <v>4.598442536</v>
      </c>
      <c r="J1853" t="n">
        <v>22.99221268</v>
      </c>
      <c r="K1853" t="n">
        <v>5.1</v>
      </c>
      <c r="L1853" t="n">
        <v>0.9803921568627452</v>
      </c>
      <c r="M1853" t="n">
        <v>4</v>
      </c>
      <c r="N1853" t="n">
        <v>20.4</v>
      </c>
      <c r="O1853" t="n">
        <v>0</v>
      </c>
      <c r="P1853" t="n">
        <v>0</v>
      </c>
      <c r="Q1853" t="n">
        <v>0</v>
      </c>
      <c r="R1853" t="inlineStr">
        <is>
          <t>Riesgo bajo stock</t>
        </is>
      </c>
    </row>
    <row r="1854">
      <c r="A1854" t="inlineStr">
        <is>
          <t>CLASTDA43TS</t>
        </is>
      </c>
      <c r="B1854" t="inlineStr">
        <is>
          <t>CLASICA ALGODON STRETCH DAMA</t>
        </is>
      </c>
      <c r="C1854" t="inlineStr">
        <is>
          <t>Manufactura / Dama / P. Superiores</t>
        </is>
      </c>
      <c r="D1854" t="n">
        <v>252.9821472</v>
      </c>
      <c r="E1854" t="n">
        <v>6.193826951127329e-05</v>
      </c>
      <c r="F1854" t="n">
        <v>0.9682676910907675</v>
      </c>
      <c r="G1854" t="inlineStr">
        <is>
          <t>C</t>
        </is>
      </c>
      <c r="H1854" t="n">
        <v>0</v>
      </c>
      <c r="I1854" t="n">
        <v>9.27</v>
      </c>
      <c r="J1854" t="n">
        <v>0</v>
      </c>
      <c r="K1854" t="n">
        <v>1.2</v>
      </c>
      <c r="L1854" t="n">
        <v>0</v>
      </c>
      <c r="M1854" t="n">
        <v>4</v>
      </c>
      <c r="N1854" t="n">
        <v>4.8</v>
      </c>
      <c r="O1854" t="n">
        <v>0</v>
      </c>
      <c r="P1854" t="n">
        <v>0</v>
      </c>
      <c r="Q1854" t="n">
        <v>0</v>
      </c>
      <c r="R1854" t="inlineStr">
        <is>
          <t>Riesgo bajo stock</t>
        </is>
      </c>
    </row>
    <row r="1855">
      <c r="A1855" t="inlineStr">
        <is>
          <t>ANKCA16TU</t>
        </is>
      </c>
      <c r="B1855" t="inlineStr">
        <is>
          <t>ANKLE SOCKS CAB</t>
        </is>
      </c>
      <c r="C1855" t="inlineStr">
        <is>
          <t>Equipamiento / Accesorios</t>
        </is>
      </c>
      <c r="D1855" t="n">
        <v>252.512708845</v>
      </c>
      <c r="E1855" t="n">
        <v>6.182333571190155e-05</v>
      </c>
      <c r="F1855" t="n">
        <v>0.9683295144264794</v>
      </c>
      <c r="G1855" t="inlineStr">
        <is>
          <t>C</t>
        </is>
      </c>
      <c r="H1855" t="n">
        <v>601</v>
      </c>
      <c r="I1855" t="n">
        <v>2.67</v>
      </c>
      <c r="J1855" t="n">
        <v>1604.67</v>
      </c>
      <c r="K1855" t="n">
        <v>1.8</v>
      </c>
      <c r="L1855" t="n">
        <v>333.8888888888889</v>
      </c>
      <c r="M1855" t="n">
        <v>4</v>
      </c>
      <c r="N1855" t="n">
        <v>7.2</v>
      </c>
      <c r="O1855" t="n">
        <v>593.8</v>
      </c>
      <c r="P1855" t="n">
        <v>1585.446</v>
      </c>
      <c r="Q1855" t="n">
        <v>0.9880199667221298</v>
      </c>
      <c r="R1855" t="inlineStr">
        <is>
          <t>Sin rotación</t>
        </is>
      </c>
    </row>
    <row r="1856">
      <c r="A1856" t="inlineStr">
        <is>
          <t>PANNTKI30T6</t>
        </is>
      </c>
      <c r="B1856" t="inlineStr">
        <is>
          <t>EXPLORE PANTS KIDS</t>
        </is>
      </c>
      <c r="C1856" t="inlineStr">
        <is>
          <t>Manufactura / Kids / P. Inferiores</t>
        </is>
      </c>
      <c r="D1856" t="n">
        <v>252.48663824</v>
      </c>
      <c r="E1856" t="n">
        <v>6.181695277865237e-05</v>
      </c>
      <c r="F1856" t="n">
        <v>0.968391331379258</v>
      </c>
      <c r="G1856" t="inlineStr">
        <is>
          <t>C</t>
        </is>
      </c>
      <c r="H1856" t="n">
        <v>3</v>
      </c>
      <c r="I1856" t="n">
        <v>13.98</v>
      </c>
      <c r="J1856" t="n">
        <v>41.94</v>
      </c>
      <c r="K1856" t="n">
        <v>0.5</v>
      </c>
      <c r="L1856" t="n">
        <v>6</v>
      </c>
      <c r="M1856" t="n">
        <v>4</v>
      </c>
      <c r="N1856" t="n">
        <v>2</v>
      </c>
      <c r="O1856" t="n">
        <v>1</v>
      </c>
      <c r="P1856" t="n">
        <v>13.98</v>
      </c>
      <c r="Q1856" t="n">
        <v>0.3333333333333334</v>
      </c>
      <c r="R1856" t="inlineStr">
        <is>
          <t>Sobrestock crítico</t>
        </is>
      </c>
    </row>
    <row r="1857">
      <c r="A1857" t="inlineStr">
        <is>
          <t>MIKFNDA16T2XL</t>
        </is>
      </c>
      <c r="B1857" t="inlineStr">
        <is>
          <t>MIKA SPORT LITE DAMA</t>
        </is>
      </c>
      <c r="C1857" t="inlineStr">
        <is>
          <t>Manufactura / Dama / P. Superiores</t>
        </is>
      </c>
      <c r="D1857" t="n">
        <v>252.44569865</v>
      </c>
      <c r="E1857" t="n">
        <v>6.180692943357775e-05</v>
      </c>
      <c r="F1857" t="n">
        <v>0.9684531383086917</v>
      </c>
      <c r="G1857" t="inlineStr">
        <is>
          <t>C</t>
        </is>
      </c>
      <c r="H1857" t="n">
        <v>17</v>
      </c>
      <c r="I1857" t="n">
        <v>5.484675344</v>
      </c>
      <c r="J1857" t="n">
        <v>93.239480848</v>
      </c>
      <c r="K1857" t="n">
        <v>0.6</v>
      </c>
      <c r="L1857" t="n">
        <v>28.33333333333334</v>
      </c>
      <c r="M1857" t="n">
        <v>4</v>
      </c>
      <c r="N1857" t="n">
        <v>2.4</v>
      </c>
      <c r="O1857" t="n">
        <v>14.6</v>
      </c>
      <c r="P1857" t="n">
        <v>80.07626002240001</v>
      </c>
      <c r="Q1857" t="n">
        <v>0.8588235294117648</v>
      </c>
      <c r="R1857" t="inlineStr">
        <is>
          <t>Sobrestock crítico</t>
        </is>
      </c>
    </row>
    <row r="1858">
      <c r="A1858" t="inlineStr">
        <is>
          <t>CLAMIKI16T4</t>
        </is>
      </c>
      <c r="B1858" t="inlineStr">
        <is>
          <t>CLASICA ORIGINAL KIDS</t>
        </is>
      </c>
      <c r="C1858" t="inlineStr">
        <is>
          <t>Manufactura / Kids / P. Superiores</t>
        </is>
      </c>
      <c r="D1858" t="n">
        <v>252.27696011</v>
      </c>
      <c r="E1858" t="n">
        <v>6.176561674300598e-05</v>
      </c>
      <c r="F1858" t="n">
        <v>0.9685149039254346</v>
      </c>
      <c r="G1858" t="inlineStr">
        <is>
          <t>C</t>
        </is>
      </c>
      <c r="H1858" t="n">
        <v>52</v>
      </c>
      <c r="I1858" t="n">
        <v>2.053774806</v>
      </c>
      <c r="J1858" t="n">
        <v>106.796289912</v>
      </c>
      <c r="K1858" t="n">
        <v>0.9</v>
      </c>
      <c r="L1858" t="n">
        <v>57.77777777777778</v>
      </c>
      <c r="M1858" t="n">
        <v>4</v>
      </c>
      <c r="N1858" t="n">
        <v>3.6</v>
      </c>
      <c r="O1858" t="n">
        <v>48.4</v>
      </c>
      <c r="P1858" t="n">
        <v>99.40270061039999</v>
      </c>
      <c r="Q1858" t="n">
        <v>0.9307692307692308</v>
      </c>
      <c r="R1858" t="inlineStr">
        <is>
          <t>Sobrestock crítico</t>
        </is>
      </c>
    </row>
    <row r="1859">
      <c r="A1859" t="inlineStr">
        <is>
          <t>CCBHMCA03TXL</t>
        </is>
      </c>
      <c r="B1859" t="inlineStr">
        <is>
          <t>CLUB CLASICA CABALLERO</t>
        </is>
      </c>
      <c r="C1859" t="inlineStr">
        <is>
          <t>Manufactura / Caballero / P. Superiores</t>
        </is>
      </c>
      <c r="D1859" t="n">
        <v>252.1551721275495</v>
      </c>
      <c r="E1859" t="n">
        <v>6.173579907814803e-05</v>
      </c>
      <c r="F1859" t="n">
        <v>0.9685766397245128</v>
      </c>
      <c r="G1859" t="inlineStr">
        <is>
          <t>C</t>
        </is>
      </c>
      <c r="H1859" t="n">
        <v>4</v>
      </c>
      <c r="I1859" t="n">
        <v>1</v>
      </c>
      <c r="J1859" t="n">
        <v>4</v>
      </c>
      <c r="K1859" t="n">
        <v>0.6</v>
      </c>
      <c r="L1859" t="n">
        <v>6.666666666666667</v>
      </c>
      <c r="M1859" t="n">
        <v>4</v>
      </c>
      <c r="N1859" t="n">
        <v>2.4</v>
      </c>
      <c r="O1859" t="n">
        <v>1.6</v>
      </c>
      <c r="P1859" t="n">
        <v>1.6</v>
      </c>
      <c r="Q1859" t="n">
        <v>0.4</v>
      </c>
      <c r="R1859" t="inlineStr">
        <is>
          <t>Sobrestock crítico</t>
        </is>
      </c>
    </row>
    <row r="1860">
      <c r="A1860" t="inlineStr">
        <is>
          <t>GEOMACADA43TS</t>
        </is>
      </c>
      <c r="B1860" t="inlineStr">
        <is>
          <t>ADVANCE GEO MAYA DAMA</t>
        </is>
      </c>
      <c r="C1860" t="inlineStr">
        <is>
          <t>Manufactura / Dama / P. Superiores</t>
        </is>
      </c>
      <c r="D1860" t="n">
        <v>251.74579518</v>
      </c>
      <c r="E1860" t="n">
        <v>6.163557026757912e-05</v>
      </c>
      <c r="F1860" t="n">
        <v>0.9686382752947804</v>
      </c>
      <c r="G1860" t="inlineStr">
        <is>
          <t>C</t>
        </is>
      </c>
      <c r="H1860" t="n">
        <v>42</v>
      </c>
      <c r="I1860" t="n">
        <v>10.33</v>
      </c>
      <c r="J1860" t="n">
        <v>433.86</v>
      </c>
      <c r="K1860" t="n">
        <v>0.5</v>
      </c>
      <c r="L1860" t="n">
        <v>84</v>
      </c>
      <c r="M1860" t="n">
        <v>4</v>
      </c>
      <c r="N1860" t="n">
        <v>2</v>
      </c>
      <c r="O1860" t="n">
        <v>40</v>
      </c>
      <c r="P1860" t="n">
        <v>413.2</v>
      </c>
      <c r="Q1860" t="n">
        <v>0.9523809523809523</v>
      </c>
      <c r="R1860" t="inlineStr">
        <is>
          <t>Sobrestock crítico</t>
        </is>
      </c>
    </row>
    <row r="1861">
      <c r="A1861" t="inlineStr">
        <is>
          <t>ZOEMIDA01TXS</t>
        </is>
      </c>
      <c r="B1861" t="inlineStr">
        <is>
          <t>ZOE ORIGINAL DAMA</t>
        </is>
      </c>
      <c r="C1861" t="inlineStr">
        <is>
          <t>Manufactura / Dama / P. Superiores</t>
        </is>
      </c>
      <c r="D1861" t="n">
        <v>251.69771056</v>
      </c>
      <c r="E1861" t="n">
        <v>6.162379758643988e-05</v>
      </c>
      <c r="F1861" t="n">
        <v>0.968699899092367</v>
      </c>
      <c r="G1861" t="inlineStr">
        <is>
          <t>C</t>
        </is>
      </c>
      <c r="H1861" t="n">
        <v>16</v>
      </c>
      <c r="I1861" t="n">
        <v>4.116585696</v>
      </c>
      <c r="J1861" t="n">
        <v>65.86537113599999</v>
      </c>
      <c r="K1861" t="n">
        <v>0.6</v>
      </c>
      <c r="L1861" t="n">
        <v>26.66666666666667</v>
      </c>
      <c r="M1861" t="n">
        <v>4</v>
      </c>
      <c r="N1861" t="n">
        <v>2.4</v>
      </c>
      <c r="O1861" t="n">
        <v>13.6</v>
      </c>
      <c r="P1861" t="n">
        <v>55.98556546559999</v>
      </c>
      <c r="Q1861" t="n">
        <v>0.85</v>
      </c>
      <c r="R1861" t="inlineStr">
        <is>
          <t>Sobrestock crítico</t>
        </is>
      </c>
    </row>
    <row r="1862">
      <c r="A1862" t="inlineStr">
        <is>
          <t>MAYFNDA16TS</t>
        </is>
      </c>
      <c r="B1862" t="inlineStr">
        <is>
          <t>MAYA SPORT LITE DAMA</t>
        </is>
      </c>
      <c r="C1862" t="inlineStr">
        <is>
          <t>Manufactura / Dama / P. Superiores</t>
        </is>
      </c>
      <c r="D1862" t="n">
        <v>251.16017736</v>
      </c>
      <c r="E1862" t="n">
        <v>6.149219195109623e-05</v>
      </c>
      <c r="F1862" t="n">
        <v>0.968761391284318</v>
      </c>
      <c r="G1862" t="inlineStr">
        <is>
          <t>C</t>
        </is>
      </c>
      <c r="H1862" t="n">
        <v>2</v>
      </c>
      <c r="I1862" t="n">
        <v>3.87</v>
      </c>
      <c r="J1862" t="n">
        <v>7.74</v>
      </c>
      <c r="K1862" t="n">
        <v>0.7</v>
      </c>
      <c r="L1862" t="n">
        <v>2.857142857142857</v>
      </c>
      <c r="M1862" t="n">
        <v>4</v>
      </c>
      <c r="N1862" t="n">
        <v>2.8</v>
      </c>
      <c r="O1862" t="n">
        <v>0</v>
      </c>
      <c r="P1862" t="n">
        <v>0</v>
      </c>
      <c r="Q1862" t="n">
        <v>0</v>
      </c>
      <c r="R1862" t="inlineStr">
        <is>
          <t>OK</t>
        </is>
      </c>
    </row>
    <row r="1863">
      <c r="A1863" t="inlineStr">
        <is>
          <t>TMOFIDA66TXL</t>
        </is>
      </c>
      <c r="B1863" t="inlineStr">
        <is>
          <t>TOP MOVA</t>
        </is>
      </c>
      <c r="C1863" t="inlineStr">
        <is>
          <t>Manufactura / Dama / P. Superiores</t>
        </is>
      </c>
      <c r="D1863" t="n">
        <v>251.14535632</v>
      </c>
      <c r="E1863" t="n">
        <v>6.148856327776841e-05</v>
      </c>
      <c r="F1863" t="n">
        <v>0.9688228798475957</v>
      </c>
      <c r="G1863" t="inlineStr">
        <is>
          <t>C</t>
        </is>
      </c>
      <c r="H1863" t="n">
        <v>8</v>
      </c>
      <c r="I1863" t="n">
        <v>9.942967033</v>
      </c>
      <c r="J1863" t="n">
        <v>79.543736264</v>
      </c>
      <c r="K1863" t="n">
        <v>0.4</v>
      </c>
      <c r="L1863" t="n">
        <v>20</v>
      </c>
      <c r="M1863" t="n">
        <v>4</v>
      </c>
      <c r="N1863" t="n">
        <v>1.6</v>
      </c>
      <c r="O1863" t="n">
        <v>6.4</v>
      </c>
      <c r="P1863" t="n">
        <v>63.63498901120001</v>
      </c>
      <c r="Q1863" t="n">
        <v>0.8</v>
      </c>
      <c r="R1863" t="inlineStr">
        <is>
          <t>Sobrestock crítico</t>
        </is>
      </c>
    </row>
    <row r="1864">
      <c r="A1864" t="inlineStr">
        <is>
          <t>SARSPKI30T12</t>
        </is>
      </c>
      <c r="B1864" t="inlineStr">
        <is>
          <t>FALDA SARA KIDS</t>
        </is>
      </c>
      <c r="C1864" t="inlineStr">
        <is>
          <t>Manufactura / Kids / P. Inferiores</t>
        </is>
      </c>
      <c r="D1864" t="n">
        <v>251.05132878</v>
      </c>
      <c r="E1864" t="n">
        <v>6.146554227340719e-05</v>
      </c>
      <c r="F1864" t="n">
        <v>0.9688843453898691</v>
      </c>
      <c r="G1864" t="inlineStr">
        <is>
          <t>C</t>
        </is>
      </c>
      <c r="H1864" t="n">
        <v>3</v>
      </c>
      <c r="I1864" t="n">
        <v>5.753743316</v>
      </c>
      <c r="J1864" t="n">
        <v>17.261229948</v>
      </c>
      <c r="K1864" t="n">
        <v>0.6</v>
      </c>
      <c r="L1864" t="n">
        <v>5</v>
      </c>
      <c r="M1864" t="n">
        <v>4</v>
      </c>
      <c r="N1864" t="n">
        <v>2.4</v>
      </c>
      <c r="O1864" t="n">
        <v>0.6000000000000001</v>
      </c>
      <c r="P1864" t="n">
        <v>3.452245989600001</v>
      </c>
      <c r="Q1864" t="n">
        <v>0.2</v>
      </c>
      <c r="R1864" t="inlineStr">
        <is>
          <t>Sobrestock</t>
        </is>
      </c>
    </row>
    <row r="1865">
      <c r="A1865" t="inlineStr">
        <is>
          <t>SHOUNKI57T6</t>
        </is>
      </c>
      <c r="B1865" t="inlineStr">
        <is>
          <t>SHORT PLAYA KIDS</t>
        </is>
      </c>
      <c r="C1865" t="inlineStr">
        <is>
          <t>Manufactura / Kids / P. Inferiores</t>
        </is>
      </c>
      <c r="D1865" t="n">
        <v>250.85464801</v>
      </c>
      <c r="E1865" t="n">
        <v>6.141738841482557e-05</v>
      </c>
      <c r="F1865" t="n">
        <v>0.9689457627782839</v>
      </c>
      <c r="G1865" t="inlineStr">
        <is>
          <t>C</t>
        </is>
      </c>
      <c r="H1865" t="n">
        <v>27</v>
      </c>
      <c r="I1865" t="n">
        <v>6.09</v>
      </c>
      <c r="J1865" t="n">
        <v>164.43</v>
      </c>
      <c r="K1865" t="n">
        <v>0.6</v>
      </c>
      <c r="L1865" t="n">
        <v>45</v>
      </c>
      <c r="M1865" t="n">
        <v>4</v>
      </c>
      <c r="N1865" t="n">
        <v>2.4</v>
      </c>
      <c r="O1865" t="n">
        <v>24.6</v>
      </c>
      <c r="P1865" t="n">
        <v>149.814</v>
      </c>
      <c r="Q1865" t="n">
        <v>0.911111111111111</v>
      </c>
      <c r="R1865" t="inlineStr">
        <is>
          <t>Sobrestock crítico</t>
        </is>
      </c>
    </row>
    <row r="1866">
      <c r="A1866" t="inlineStr">
        <is>
          <t>MARMICA66T3XL</t>
        </is>
      </c>
      <c r="B1866" t="inlineStr">
        <is>
          <t>MAR ORIGINAL CAB</t>
        </is>
      </c>
      <c r="C1866" t="inlineStr">
        <is>
          <t>Manufactura / Caballero / P. Superiores</t>
        </is>
      </c>
      <c r="D1866" t="n">
        <v>250.83588264</v>
      </c>
      <c r="E1866" t="n">
        <v>6.141279404104306e-05</v>
      </c>
      <c r="F1866" t="n">
        <v>0.969007175572325</v>
      </c>
      <c r="G1866" t="inlineStr">
        <is>
          <t>C</t>
        </is>
      </c>
      <c r="H1866" t="n">
        <v>5</v>
      </c>
      <c r="I1866" t="n">
        <v>4.946357428</v>
      </c>
      <c r="J1866" t="n">
        <v>24.73178714</v>
      </c>
      <c r="K1866" t="n">
        <v>0.5</v>
      </c>
      <c r="L1866" t="n">
        <v>10</v>
      </c>
      <c r="M1866" t="n">
        <v>4</v>
      </c>
      <c r="N1866" t="n">
        <v>2</v>
      </c>
      <c r="O1866" t="n">
        <v>3</v>
      </c>
      <c r="P1866" t="n">
        <v>14.839072284</v>
      </c>
      <c r="Q1866" t="n">
        <v>0.6000000000000001</v>
      </c>
      <c r="R1866" t="inlineStr">
        <is>
          <t>Sobrestock crítico</t>
        </is>
      </c>
    </row>
    <row r="1867">
      <c r="A1867" t="inlineStr">
        <is>
          <t>PANNTKI30T4</t>
        </is>
      </c>
      <c r="B1867" t="inlineStr">
        <is>
          <t>EXPLORE PANTS KIDS</t>
        </is>
      </c>
      <c r="C1867" t="inlineStr">
        <is>
          <t>Manufactura / Kids / P. Inferiores</t>
        </is>
      </c>
      <c r="D1867" t="n">
        <v>250.21444921</v>
      </c>
      <c r="E1867" t="n">
        <v>6.12606468966826e-05</v>
      </c>
      <c r="F1867" t="n">
        <v>0.9690684362192217</v>
      </c>
      <c r="G1867" t="inlineStr">
        <is>
          <t>C</t>
        </is>
      </c>
      <c r="H1867" t="n">
        <v>5</v>
      </c>
      <c r="I1867" t="n">
        <v>13.98</v>
      </c>
      <c r="J1867" t="n">
        <v>69.90000000000001</v>
      </c>
      <c r="K1867" t="n">
        <v>0.4</v>
      </c>
      <c r="L1867" t="n">
        <v>12.5</v>
      </c>
      <c r="M1867" t="n">
        <v>4</v>
      </c>
      <c r="N1867" t="n">
        <v>1.6</v>
      </c>
      <c r="O1867" t="n">
        <v>3.4</v>
      </c>
      <c r="P1867" t="n">
        <v>47.532</v>
      </c>
      <c r="Q1867" t="n">
        <v>0.68</v>
      </c>
      <c r="R1867" t="inlineStr">
        <is>
          <t>Sobrestock crítico</t>
        </is>
      </c>
    </row>
    <row r="1868">
      <c r="A1868" t="inlineStr">
        <is>
          <t>TALGOTACA166TL</t>
        </is>
      </c>
      <c r="B1868" t="inlineStr">
        <is>
          <t>URBAN COTTON OVERSIZED HORIZONTE CAB</t>
        </is>
      </c>
      <c r="C1868" t="inlineStr">
        <is>
          <t>Manufactura / Caballero / P. Superiores</t>
        </is>
      </c>
      <c r="D1868" t="n">
        <v>249.70646731</v>
      </c>
      <c r="E1868" t="n">
        <v>6.113627638209378e-05</v>
      </c>
      <c r="F1868" t="n">
        <v>0.9691295724956038</v>
      </c>
      <c r="G1868" t="inlineStr">
        <is>
          <t>C</t>
        </is>
      </c>
      <c r="H1868" t="n">
        <v>25</v>
      </c>
      <c r="I1868" t="n">
        <v>11.06389452</v>
      </c>
      <c r="J1868" t="n">
        <v>276.597363</v>
      </c>
      <c r="K1868" t="n">
        <v>0.9</v>
      </c>
      <c r="L1868" t="n">
        <v>27.77777777777778</v>
      </c>
      <c r="M1868" t="n">
        <v>4</v>
      </c>
      <c r="N1868" t="n">
        <v>3.6</v>
      </c>
      <c r="O1868" t="n">
        <v>21.4</v>
      </c>
      <c r="P1868" t="n">
        <v>236.767342728</v>
      </c>
      <c r="Q1868" t="n">
        <v>0.8560000000000001</v>
      </c>
      <c r="R1868" t="inlineStr">
        <is>
          <t>Sobrestock crítico</t>
        </is>
      </c>
    </row>
    <row r="1869">
      <c r="A1869" t="inlineStr">
        <is>
          <t>RIOMIDA14TL</t>
        </is>
      </c>
      <c r="B1869" t="inlineStr">
        <is>
          <t>RIO ORIGINAL DAMA</t>
        </is>
      </c>
      <c r="C1869" t="inlineStr">
        <is>
          <t>Manufactura / Dama / P. Superiores</t>
        </is>
      </c>
      <c r="D1869" t="n">
        <v>249.38196678</v>
      </c>
      <c r="E1869" t="n">
        <v>6.105682808304919e-05</v>
      </c>
      <c r="F1869" t="n">
        <v>0.9691906293236868</v>
      </c>
      <c r="G1869" t="inlineStr">
        <is>
          <t>C</t>
        </is>
      </c>
      <c r="H1869" t="n">
        <v>0</v>
      </c>
      <c r="I1869" t="n">
        <v>5.538832275</v>
      </c>
      <c r="J1869" t="n">
        <v>0</v>
      </c>
      <c r="K1869" t="n">
        <v>0.5</v>
      </c>
      <c r="L1869" t="n">
        <v>0</v>
      </c>
      <c r="M1869" t="n">
        <v>4</v>
      </c>
      <c r="N1869" t="n">
        <v>2</v>
      </c>
      <c r="O1869" t="n">
        <v>0</v>
      </c>
      <c r="P1869" t="n">
        <v>0</v>
      </c>
      <c r="Q1869" t="n">
        <v>0</v>
      </c>
      <c r="R1869" t="inlineStr">
        <is>
          <t>Sin rotación</t>
        </is>
      </c>
    </row>
    <row r="1870">
      <c r="A1870" t="inlineStr">
        <is>
          <t>SHONTCA33TM</t>
        </is>
      </c>
      <c r="B1870" t="inlineStr">
        <is>
          <t>EXPLORE SHORT CAB</t>
        </is>
      </c>
      <c r="C1870" t="inlineStr">
        <is>
          <t>Manufactura / Caballero / P. Inferiores</t>
        </is>
      </c>
      <c r="D1870" t="n">
        <v>249.08977778</v>
      </c>
      <c r="E1870" t="n">
        <v>6.098529069896681e-05</v>
      </c>
      <c r="F1870" t="n">
        <v>0.9692516146143858</v>
      </c>
      <c r="G1870" t="inlineStr">
        <is>
          <t>C</t>
        </is>
      </c>
      <c r="H1870" t="n">
        <v>0</v>
      </c>
      <c r="I1870" t="n">
        <v>11.17</v>
      </c>
      <c r="J1870" t="n">
        <v>0</v>
      </c>
      <c r="K1870" t="n">
        <v>0.6</v>
      </c>
      <c r="L1870" t="n">
        <v>0</v>
      </c>
      <c r="M1870" t="n">
        <v>4</v>
      </c>
      <c r="N1870" t="n">
        <v>2.4</v>
      </c>
      <c r="O1870" t="n">
        <v>0</v>
      </c>
      <c r="P1870" t="n">
        <v>0</v>
      </c>
      <c r="Q1870" t="n">
        <v>0</v>
      </c>
      <c r="R1870" t="inlineStr">
        <is>
          <t>Sin rotación</t>
        </is>
      </c>
    </row>
    <row r="1871">
      <c r="A1871" t="inlineStr">
        <is>
          <t>CLAMEDA43TL</t>
        </is>
      </c>
      <c r="B1871" t="inlineStr">
        <is>
          <t>CLÁSICA SPORT DAMA</t>
        </is>
      </c>
      <c r="C1871" t="inlineStr">
        <is>
          <t>Manufactura / Dama / P. Superiores</t>
        </is>
      </c>
      <c r="D1871" t="n">
        <v>248.52469038</v>
      </c>
      <c r="E1871" t="n">
        <v>6.084693889799584e-05</v>
      </c>
      <c r="F1871" t="n">
        <v>0.9693124615532838</v>
      </c>
      <c r="G1871" t="inlineStr">
        <is>
          <t>C</t>
        </is>
      </c>
      <c r="H1871" t="n">
        <v>0</v>
      </c>
      <c r="I1871" t="n">
        <v>6.536105769</v>
      </c>
      <c r="J1871" t="n">
        <v>0</v>
      </c>
      <c r="K1871" t="n">
        <v>0.7</v>
      </c>
      <c r="L1871" t="n">
        <v>0</v>
      </c>
      <c r="M1871" t="n">
        <v>4</v>
      </c>
      <c r="N1871" t="n">
        <v>2.8</v>
      </c>
      <c r="O1871" t="n">
        <v>0</v>
      </c>
      <c r="P1871" t="n">
        <v>0</v>
      </c>
      <c r="Q1871" t="n">
        <v>0</v>
      </c>
      <c r="R1871" t="inlineStr">
        <is>
          <t>Riesgo bajo stock</t>
        </is>
      </c>
    </row>
    <row r="1872">
      <c r="A1872" t="inlineStr">
        <is>
          <t>ELT79E750ML</t>
        </is>
      </c>
      <c r="B1872" t="inlineStr">
        <is>
          <t>KAMBUKKA ELTON 750 ML</t>
        </is>
      </c>
      <c r="C1872" t="inlineStr">
        <is>
          <t>Equipamiento / Cava</t>
        </is>
      </c>
      <c r="D1872" t="n">
        <v>248.19241942</v>
      </c>
      <c r="E1872" t="n">
        <v>6.07655881445967e-05</v>
      </c>
      <c r="F1872" t="n">
        <v>0.9693732271414284</v>
      </c>
      <c r="G1872" t="inlineStr">
        <is>
          <t>C</t>
        </is>
      </c>
      <c r="H1872" t="n">
        <v>2</v>
      </c>
      <c r="I1872" t="n">
        <v>24.5</v>
      </c>
      <c r="J1872" t="n">
        <v>49</v>
      </c>
      <c r="K1872" t="n">
        <v>0.9</v>
      </c>
      <c r="L1872" t="n">
        <v>2.222222222222222</v>
      </c>
      <c r="M1872" t="n">
        <v>4</v>
      </c>
      <c r="N1872" t="n">
        <v>3.6</v>
      </c>
      <c r="O1872" t="n">
        <v>0</v>
      </c>
      <c r="P1872" t="n">
        <v>0</v>
      </c>
      <c r="Q1872" t="n">
        <v>0</v>
      </c>
      <c r="R1872" t="inlineStr">
        <is>
          <t>OK</t>
        </is>
      </c>
    </row>
    <row r="1873">
      <c r="A1873" t="inlineStr">
        <is>
          <t>MAFMIDA01TXS</t>
        </is>
      </c>
      <c r="B1873" t="inlineStr">
        <is>
          <t>MAFE ORIGINAL DAMA</t>
        </is>
      </c>
      <c r="C1873" t="inlineStr">
        <is>
          <t>Manufactura / Dama / P. Superiores</t>
        </is>
      </c>
      <c r="D1873" t="n">
        <v>248.00372039</v>
      </c>
      <c r="E1873" t="n">
        <v>6.071938847594018e-05</v>
      </c>
      <c r="F1873" t="n">
        <v>0.9694339465299043</v>
      </c>
      <c r="G1873" t="inlineStr">
        <is>
          <t>C</t>
        </is>
      </c>
      <c r="H1873" t="n">
        <v>4</v>
      </c>
      <c r="I1873" t="n">
        <v>4.54817671</v>
      </c>
      <c r="J1873" t="n">
        <v>18.19270684</v>
      </c>
      <c r="K1873" t="n">
        <v>0.8</v>
      </c>
      <c r="L1873" t="n">
        <v>5</v>
      </c>
      <c r="M1873" t="n">
        <v>4</v>
      </c>
      <c r="N1873" t="n">
        <v>3.2</v>
      </c>
      <c r="O1873" t="n">
        <v>0.7999999999999998</v>
      </c>
      <c r="P1873" t="n">
        <v>3.638541367999999</v>
      </c>
      <c r="Q1873" t="n">
        <v>0.2</v>
      </c>
      <c r="R1873" t="inlineStr">
        <is>
          <t>Sobrestock</t>
        </is>
      </c>
    </row>
    <row r="1874">
      <c r="A1874" t="inlineStr">
        <is>
          <t>SHOUNKI12T4</t>
        </is>
      </c>
      <c r="B1874" t="inlineStr">
        <is>
          <t>SHORT PLAYA KIDS</t>
        </is>
      </c>
      <c r="C1874" t="inlineStr">
        <is>
          <t>Manufactura / Kids / P. Inferiores</t>
        </is>
      </c>
      <c r="D1874" t="n">
        <v>247.96784572</v>
      </c>
      <c r="E1874" t="n">
        <v>6.071060518825099e-05</v>
      </c>
      <c r="F1874" t="n">
        <v>0.9694946571350925</v>
      </c>
      <c r="G1874" t="inlineStr">
        <is>
          <t>C</t>
        </is>
      </c>
      <c r="H1874" t="n">
        <v>31</v>
      </c>
      <c r="I1874" t="n">
        <v>6.09</v>
      </c>
      <c r="J1874" t="n">
        <v>188.79</v>
      </c>
      <c r="K1874" t="n">
        <v>0.6</v>
      </c>
      <c r="L1874" t="n">
        <v>51.66666666666667</v>
      </c>
      <c r="M1874" t="n">
        <v>4</v>
      </c>
      <c r="N1874" t="n">
        <v>2.4</v>
      </c>
      <c r="O1874" t="n">
        <v>28.6</v>
      </c>
      <c r="P1874" t="n">
        <v>174.174</v>
      </c>
      <c r="Q1874" t="n">
        <v>0.9225806451612903</v>
      </c>
      <c r="R1874" t="inlineStr">
        <is>
          <t>Sobrestock crítico</t>
        </is>
      </c>
    </row>
    <row r="1875">
      <c r="A1875" t="inlineStr">
        <is>
          <t>RIOMIDA53TS</t>
        </is>
      </c>
      <c r="B1875" t="inlineStr">
        <is>
          <t>RIO ORIGINAL DAMA</t>
        </is>
      </c>
      <c r="C1875" t="inlineStr">
        <is>
          <t>Manufactura / Dama / P. Superiores</t>
        </is>
      </c>
      <c r="D1875" t="n">
        <v>247.36596413</v>
      </c>
      <c r="E1875" t="n">
        <v>6.056324497114515e-05</v>
      </c>
      <c r="F1875" t="n">
        <v>0.9695552203800638</v>
      </c>
      <c r="G1875" t="inlineStr">
        <is>
          <t>C</t>
        </is>
      </c>
      <c r="H1875" t="n">
        <v>7</v>
      </c>
      <c r="I1875" t="n">
        <v>5.538832275</v>
      </c>
      <c r="J1875" t="n">
        <v>38.771825925</v>
      </c>
      <c r="K1875" t="n">
        <v>0.5</v>
      </c>
      <c r="L1875" t="n">
        <v>14</v>
      </c>
      <c r="M1875" t="n">
        <v>4</v>
      </c>
      <c r="N1875" t="n">
        <v>2</v>
      </c>
      <c r="O1875" t="n">
        <v>5</v>
      </c>
      <c r="P1875" t="n">
        <v>27.694161375</v>
      </c>
      <c r="Q1875" t="n">
        <v>0.7142857142857143</v>
      </c>
      <c r="R1875" t="inlineStr">
        <is>
          <t>Sin rotación</t>
        </is>
      </c>
    </row>
    <row r="1876">
      <c r="A1876" t="inlineStr">
        <is>
          <t>CCBHMCA03TL</t>
        </is>
      </c>
      <c r="B1876" t="inlineStr">
        <is>
          <t>CLUB CLASICA CABALLERO</t>
        </is>
      </c>
      <c r="C1876" t="inlineStr">
        <is>
          <t>Manufactura / Caballero / P. Superiores</t>
        </is>
      </c>
      <c r="D1876" t="n">
        <v>247.1288655691753</v>
      </c>
      <c r="E1876" t="n">
        <v>6.050519552092253e-05</v>
      </c>
      <c r="F1876" t="n">
        <v>0.9696157255755848</v>
      </c>
      <c r="G1876" t="inlineStr">
        <is>
          <t>C</t>
        </is>
      </c>
      <c r="H1876" t="n">
        <v>12</v>
      </c>
      <c r="I1876" t="n">
        <v>1</v>
      </c>
      <c r="J1876" t="n">
        <v>12</v>
      </c>
      <c r="K1876" t="n">
        <v>0.9</v>
      </c>
      <c r="L1876" t="n">
        <v>13.33333333333333</v>
      </c>
      <c r="M1876" t="n">
        <v>4</v>
      </c>
      <c r="N1876" t="n">
        <v>3.6</v>
      </c>
      <c r="O1876" t="n">
        <v>8.4</v>
      </c>
      <c r="P1876" t="n">
        <v>8.4</v>
      </c>
      <c r="Q1876" t="n">
        <v>0.7000000000000001</v>
      </c>
      <c r="R1876" t="inlineStr">
        <is>
          <t>Sobrestock crítico</t>
        </is>
      </c>
    </row>
    <row r="1877">
      <c r="A1877" t="inlineStr">
        <is>
          <t>TALGOTADA170TS</t>
        </is>
      </c>
      <c r="B1877" t="inlineStr">
        <is>
          <t>URBAN COTTON TOP VINTAGE GRIS DAMA</t>
        </is>
      </c>
      <c r="C1877" t="inlineStr">
        <is>
          <t>Manufactura / Dama / P. Superiores</t>
        </is>
      </c>
      <c r="D1877" t="n">
        <v>246.51672301</v>
      </c>
      <c r="E1877" t="n">
        <v>6.035532308435275e-05</v>
      </c>
      <c r="F1877" t="n">
        <v>0.9696760808986691</v>
      </c>
      <c r="G1877" t="inlineStr">
        <is>
          <t>C</t>
        </is>
      </c>
      <c r="H1877" t="n">
        <v>7</v>
      </c>
      <c r="I1877" t="n">
        <v>7.819069274</v>
      </c>
      <c r="J1877" t="n">
        <v>54.733484918</v>
      </c>
      <c r="K1877" t="n">
        <v>0.6</v>
      </c>
      <c r="L1877" t="n">
        <v>11.66666666666667</v>
      </c>
      <c r="M1877" t="n">
        <v>4</v>
      </c>
      <c r="N1877" t="n">
        <v>2.4</v>
      </c>
      <c r="O1877" t="n">
        <v>4.6</v>
      </c>
      <c r="P1877" t="n">
        <v>35.9677186604</v>
      </c>
      <c r="Q1877" t="n">
        <v>0.657142857142857</v>
      </c>
      <c r="R1877" t="inlineStr">
        <is>
          <t>Sobrestock crítico</t>
        </is>
      </c>
    </row>
    <row r="1878">
      <c r="A1878" t="inlineStr">
        <is>
          <t>SHOUNCA29TM</t>
        </is>
      </c>
      <c r="B1878" t="inlineStr">
        <is>
          <t>SHORT PLAYA CAB</t>
        </is>
      </c>
      <c r="C1878" t="inlineStr">
        <is>
          <t>Manufactura / Caballero / P. Inferiores</t>
        </is>
      </c>
      <c r="D1878" t="n">
        <v>245.2179699422079</v>
      </c>
      <c r="E1878" t="n">
        <v>6.003734603169572e-05</v>
      </c>
      <c r="F1878" t="n">
        <v>0.9697361182447009</v>
      </c>
      <c r="G1878" t="inlineStr">
        <is>
          <t>C</t>
        </is>
      </c>
      <c r="H1878" t="n">
        <v>0</v>
      </c>
      <c r="I1878" t="n">
        <v>9.99</v>
      </c>
      <c r="J1878" t="n">
        <v>0</v>
      </c>
      <c r="K1878" t="n">
        <v>0.6</v>
      </c>
      <c r="L1878" t="n">
        <v>0</v>
      </c>
      <c r="M1878" t="n">
        <v>4</v>
      </c>
      <c r="N1878" t="n">
        <v>2.4</v>
      </c>
      <c r="O1878" t="n">
        <v>0</v>
      </c>
      <c r="P1878" t="n">
        <v>0</v>
      </c>
      <c r="Q1878" t="n">
        <v>0</v>
      </c>
      <c r="R1878" t="inlineStr">
        <is>
          <t>Riesgo bajo stock</t>
        </is>
      </c>
    </row>
    <row r="1879">
      <c r="A1879" t="inlineStr">
        <is>
          <t>TMOFIDA12TL</t>
        </is>
      </c>
      <c r="B1879" t="inlineStr">
        <is>
          <t>TOP MOVA</t>
        </is>
      </c>
      <c r="C1879" t="inlineStr">
        <is>
          <t>Manufactura / Dama / P. Superiores</t>
        </is>
      </c>
      <c r="D1879" t="n">
        <v>245.19460585</v>
      </c>
      <c r="E1879" t="n">
        <v>6.003162574093184e-05</v>
      </c>
      <c r="F1879" t="n">
        <v>0.9697961498704417</v>
      </c>
      <c r="G1879" t="inlineStr">
        <is>
          <t>C</t>
        </is>
      </c>
      <c r="H1879" t="n">
        <v>10</v>
      </c>
      <c r="I1879" t="n">
        <v>9.942967033</v>
      </c>
      <c r="J1879" t="n">
        <v>99.42967033000001</v>
      </c>
      <c r="K1879" t="n">
        <v>0.5</v>
      </c>
      <c r="L1879" t="n">
        <v>20</v>
      </c>
      <c r="M1879" t="n">
        <v>4</v>
      </c>
      <c r="N1879" t="n">
        <v>2</v>
      </c>
      <c r="O1879" t="n">
        <v>8</v>
      </c>
      <c r="P1879" t="n">
        <v>79.543736264</v>
      </c>
      <c r="Q1879" t="n">
        <v>0.7999999999999999</v>
      </c>
      <c r="R1879" t="inlineStr">
        <is>
          <t>Sobrestock crítico</t>
        </is>
      </c>
    </row>
    <row r="1880">
      <c r="A1880" t="inlineStr">
        <is>
          <t>ADUMMDA16TL</t>
        </is>
      </c>
      <c r="B1880" t="inlineStr">
        <is>
          <t>ACTIVE DUO DAMA</t>
        </is>
      </c>
      <c r="C1880" t="inlineStr">
        <is>
          <t>Manufactura / Caballero / P. Superiores</t>
        </is>
      </c>
      <c r="D1880" t="n">
        <v>245.04922951</v>
      </c>
      <c r="E1880" t="n">
        <v>5.999603287784983e-05</v>
      </c>
      <c r="F1880" t="n">
        <v>0.9698561459033196</v>
      </c>
      <c r="G1880" t="inlineStr">
        <is>
          <t>C</t>
        </is>
      </c>
      <c r="H1880" t="n">
        <v>14</v>
      </c>
      <c r="I1880" t="n">
        <v>3.19128</v>
      </c>
      <c r="J1880" t="n">
        <v>44.67792000000001</v>
      </c>
      <c r="K1880" t="n">
        <v>0.6</v>
      </c>
      <c r="L1880" t="n">
        <v>23.33333333333334</v>
      </c>
      <c r="M1880" t="n">
        <v>4</v>
      </c>
      <c r="N1880" t="n">
        <v>2.4</v>
      </c>
      <c r="O1880" t="n">
        <v>11.6</v>
      </c>
      <c r="P1880" t="n">
        <v>37.01884800000001</v>
      </c>
      <c r="Q1880" t="n">
        <v>0.8285714285714285</v>
      </c>
      <c r="R1880" t="inlineStr">
        <is>
          <t>Sobrestock crítico</t>
        </is>
      </c>
    </row>
    <row r="1881">
      <c r="A1881" t="inlineStr">
        <is>
          <t>ZOEMIDA50TL</t>
        </is>
      </c>
      <c r="B1881" t="inlineStr">
        <is>
          <t>ZOE ORIGINAL DAMA</t>
        </is>
      </c>
      <c r="C1881" t="inlineStr">
        <is>
          <t>Manufactura / Dama / P. Superiores</t>
        </is>
      </c>
      <c r="D1881" t="n">
        <v>244.70512781</v>
      </c>
      <c r="E1881" t="n">
        <v>5.991178557395989e-05</v>
      </c>
      <c r="F1881" t="n">
        <v>0.9699160576888936</v>
      </c>
      <c r="G1881" t="inlineStr">
        <is>
          <t>C</t>
        </is>
      </c>
      <c r="H1881" t="n">
        <v>14</v>
      </c>
      <c r="I1881" t="n">
        <v>4.116585696</v>
      </c>
      <c r="J1881" t="n">
        <v>57.63219974399999</v>
      </c>
      <c r="K1881" t="n">
        <v>0.6</v>
      </c>
      <c r="L1881" t="n">
        <v>23.33333333333334</v>
      </c>
      <c r="M1881" t="n">
        <v>4</v>
      </c>
      <c r="N1881" t="n">
        <v>2.4</v>
      </c>
      <c r="O1881" t="n">
        <v>11.6</v>
      </c>
      <c r="P1881" t="n">
        <v>47.75239407359999</v>
      </c>
      <c r="Q1881" t="n">
        <v>0.8285714285714286</v>
      </c>
      <c r="R1881" t="inlineStr">
        <is>
          <t>Sobrestock crítico</t>
        </is>
      </c>
    </row>
    <row r="1882">
      <c r="A1882" t="inlineStr">
        <is>
          <t>SHOSUKI153T1</t>
        </is>
      </c>
      <c r="B1882" t="inlineStr">
        <is>
          <t>SHORT PLAYA ESTAMPADO KIDS</t>
        </is>
      </c>
      <c r="C1882" t="inlineStr">
        <is>
          <t>Manufactura / Kids / P. Superiores</t>
        </is>
      </c>
      <c r="D1882" t="n">
        <v>244.33528671</v>
      </c>
      <c r="E1882" t="n">
        <v>5.982123642659244e-05</v>
      </c>
      <c r="F1882" t="n">
        <v>0.9699758789253201</v>
      </c>
      <c r="G1882" t="inlineStr">
        <is>
          <t>C</t>
        </is>
      </c>
      <c r="H1882" t="n">
        <v>20</v>
      </c>
      <c r="I1882" t="n">
        <v>7.209999999999999</v>
      </c>
      <c r="J1882" t="n">
        <v>144.2</v>
      </c>
      <c r="K1882" t="n">
        <v>0.6</v>
      </c>
      <c r="L1882" t="n">
        <v>33.33333333333334</v>
      </c>
      <c r="M1882" t="n">
        <v>4</v>
      </c>
      <c r="N1882" t="n">
        <v>2.4</v>
      </c>
      <c r="O1882" t="n">
        <v>17.6</v>
      </c>
      <c r="P1882" t="n">
        <v>126.896</v>
      </c>
      <c r="Q1882" t="n">
        <v>0.8800000000000001</v>
      </c>
      <c r="R1882" t="inlineStr">
        <is>
          <t>Sobrestock crítico</t>
        </is>
      </c>
    </row>
    <row r="1883">
      <c r="A1883" t="inlineStr">
        <is>
          <t>SHOUNKI13T1</t>
        </is>
      </c>
      <c r="B1883" t="inlineStr">
        <is>
          <t>SHORT PLAYA KIDS</t>
        </is>
      </c>
      <c r="C1883" t="inlineStr">
        <is>
          <t>Manufactura / Kids / P. Inferiores</t>
        </is>
      </c>
      <c r="D1883" t="n">
        <v>243.95803999</v>
      </c>
      <c r="E1883" t="n">
        <v>5.972887414224069e-05</v>
      </c>
      <c r="F1883" t="n">
        <v>0.9700356077994623</v>
      </c>
      <c r="G1883" t="inlineStr">
        <is>
          <t>C</t>
        </is>
      </c>
      <c r="H1883" t="n">
        <v>17</v>
      </c>
      <c r="I1883" t="n">
        <v>6.09</v>
      </c>
      <c r="J1883" t="n">
        <v>103.53</v>
      </c>
      <c r="K1883" t="n">
        <v>0.6</v>
      </c>
      <c r="L1883" t="n">
        <v>28.33333333333334</v>
      </c>
      <c r="M1883" t="n">
        <v>4</v>
      </c>
      <c r="N1883" t="n">
        <v>2.4</v>
      </c>
      <c r="O1883" t="n">
        <v>14.6</v>
      </c>
      <c r="P1883" t="n">
        <v>88.914</v>
      </c>
      <c r="Q1883" t="n">
        <v>0.8588235294117648</v>
      </c>
      <c r="R1883" t="inlineStr">
        <is>
          <t>Sobrestock crítico</t>
        </is>
      </c>
    </row>
    <row r="1884">
      <c r="A1884" t="inlineStr">
        <is>
          <t>SHOUNKI68T8</t>
        </is>
      </c>
      <c r="B1884" t="inlineStr">
        <is>
          <t>SHORT PLAYA KIDS</t>
        </is>
      </c>
      <c r="C1884" t="inlineStr">
        <is>
          <t>Manufactura / Kids / P. Inferiores</t>
        </is>
      </c>
      <c r="D1884" t="n">
        <v>243.86214864</v>
      </c>
      <c r="E1884" t="n">
        <v>5.970539681648534e-05</v>
      </c>
      <c r="F1884" t="n">
        <v>0.9700953131962788</v>
      </c>
      <c r="G1884" t="inlineStr">
        <is>
          <t>C</t>
        </is>
      </c>
      <c r="H1884" t="n">
        <v>34</v>
      </c>
      <c r="I1884" t="n">
        <v>6.09</v>
      </c>
      <c r="J1884" t="n">
        <v>207.06</v>
      </c>
      <c r="K1884" t="n">
        <v>0.6</v>
      </c>
      <c r="L1884" t="n">
        <v>56.66666666666667</v>
      </c>
      <c r="M1884" t="n">
        <v>4</v>
      </c>
      <c r="N1884" t="n">
        <v>2.4</v>
      </c>
      <c r="O1884" t="n">
        <v>31.6</v>
      </c>
      <c r="P1884" t="n">
        <v>192.444</v>
      </c>
      <c r="Q1884" t="n">
        <v>0.9294117647058824</v>
      </c>
      <c r="R1884" t="inlineStr">
        <is>
          <t>Sobrestock crítico</t>
        </is>
      </c>
    </row>
    <row r="1885">
      <c r="A1885" t="inlineStr">
        <is>
          <t>ANMSUDA119TS</t>
        </is>
      </c>
      <c r="B1885" t="inlineStr">
        <is>
          <t>ANDRE MOTION DAMA</t>
        </is>
      </c>
      <c r="C1885" t="inlineStr">
        <is>
          <t>Manufactura / Dama / P. Superiores</t>
        </is>
      </c>
      <c r="D1885" t="n">
        <v>242.61909507</v>
      </c>
      <c r="E1885" t="n">
        <v>5.940105681507511e-05</v>
      </c>
      <c r="F1885" t="n">
        <v>0.9701547142530939</v>
      </c>
      <c r="G1885" t="inlineStr">
        <is>
          <t>C</t>
        </is>
      </c>
      <c r="H1885" t="n">
        <v>2</v>
      </c>
      <c r="I1885" t="n">
        <v>10.6</v>
      </c>
      <c r="J1885" t="n">
        <v>21.2</v>
      </c>
      <c r="K1885" t="n">
        <v>0.8</v>
      </c>
      <c r="L1885" t="n">
        <v>2.5</v>
      </c>
      <c r="M1885" t="n">
        <v>4</v>
      </c>
      <c r="N1885" t="n">
        <v>3.2</v>
      </c>
      <c r="O1885" t="n">
        <v>0</v>
      </c>
      <c r="P1885" t="n">
        <v>0</v>
      </c>
      <c r="Q1885" t="n">
        <v>0</v>
      </c>
      <c r="R1885" t="inlineStr">
        <is>
          <t>OK</t>
        </is>
      </c>
    </row>
    <row r="1886">
      <c r="A1886" t="inlineStr">
        <is>
          <t>ANDMIDA04TXS</t>
        </is>
      </c>
      <c r="B1886" t="inlineStr">
        <is>
          <t>ANDRE ORIGINAL DAMA</t>
        </is>
      </c>
      <c r="C1886" t="inlineStr">
        <is>
          <t>Manufactura / Dama / P. Superiores</t>
        </is>
      </c>
      <c r="D1886" t="n">
        <v>242.44097327</v>
      </c>
      <c r="E1886" t="n">
        <v>5.935744679683335e-05</v>
      </c>
      <c r="F1886" t="n">
        <v>0.9702140716998907</v>
      </c>
      <c r="G1886" t="inlineStr">
        <is>
          <t>C</t>
        </is>
      </c>
      <c r="H1886" t="n">
        <v>15</v>
      </c>
      <c r="I1886" t="n">
        <v>3.274295302</v>
      </c>
      <c r="J1886" t="n">
        <v>49.11442953</v>
      </c>
      <c r="K1886" t="n">
        <v>0.6</v>
      </c>
      <c r="L1886" t="n">
        <v>25</v>
      </c>
      <c r="M1886" t="n">
        <v>4</v>
      </c>
      <c r="N1886" t="n">
        <v>2.4</v>
      </c>
      <c r="O1886" t="n">
        <v>12.6</v>
      </c>
      <c r="P1886" t="n">
        <v>41.2561208052</v>
      </c>
      <c r="Q1886" t="n">
        <v>0.84</v>
      </c>
      <c r="R1886" t="inlineStr">
        <is>
          <t>Sobrestock crítico</t>
        </is>
      </c>
    </row>
    <row r="1887">
      <c r="A1887" t="inlineStr">
        <is>
          <t>SHOUNCA33TL</t>
        </is>
      </c>
      <c r="B1887" t="inlineStr">
        <is>
          <t>SHORT PLAYA CAB</t>
        </is>
      </c>
      <c r="C1887" t="inlineStr">
        <is>
          <t>Manufactura / Caballero / P. Inferiores</t>
        </is>
      </c>
      <c r="D1887" t="n">
        <v>241.852813</v>
      </c>
      <c r="E1887" t="n">
        <v>5.921344600578037e-05</v>
      </c>
      <c r="F1887" t="n">
        <v>0.9702732851458965</v>
      </c>
      <c r="G1887" t="inlineStr">
        <is>
          <t>C</t>
        </is>
      </c>
      <c r="H1887" t="n">
        <v>0</v>
      </c>
      <c r="I1887" t="n">
        <v>9.99</v>
      </c>
      <c r="J1887" t="n">
        <v>0</v>
      </c>
      <c r="K1887" t="n">
        <v>0.6</v>
      </c>
      <c r="L1887" t="n">
        <v>0</v>
      </c>
      <c r="M1887" t="n">
        <v>4</v>
      </c>
      <c r="N1887" t="n">
        <v>2.4</v>
      </c>
      <c r="O1887" t="n">
        <v>0</v>
      </c>
      <c r="P1887" t="n">
        <v>0</v>
      </c>
      <c r="Q1887" t="n">
        <v>0</v>
      </c>
      <c r="R1887" t="inlineStr">
        <is>
          <t>Sin rotación</t>
        </is>
      </c>
    </row>
    <row r="1888">
      <c r="A1888" t="inlineStr">
        <is>
          <t>ZOEMIKI16T14</t>
        </is>
      </c>
      <c r="B1888" t="inlineStr">
        <is>
          <t>ZOE ORIGINAL KIDS</t>
        </is>
      </c>
      <c r="C1888" t="inlineStr">
        <is>
          <t>Manufactura / Kids / P. Superiores</t>
        </is>
      </c>
      <c r="D1888" t="n">
        <v>241.57433261</v>
      </c>
      <c r="E1888" t="n">
        <v>5.914526493592887e-05</v>
      </c>
      <c r="F1888" t="n">
        <v>0.9703324304108325</v>
      </c>
      <c r="G1888" t="inlineStr">
        <is>
          <t>C</t>
        </is>
      </c>
      <c r="H1888" t="n">
        <v>16</v>
      </c>
      <c r="I1888" t="n">
        <v>4.12</v>
      </c>
      <c r="J1888" t="n">
        <v>65.92</v>
      </c>
      <c r="K1888" t="n">
        <v>0.7</v>
      </c>
      <c r="L1888" t="n">
        <v>22.85714285714286</v>
      </c>
      <c r="M1888" t="n">
        <v>4</v>
      </c>
      <c r="N1888" t="n">
        <v>2.8</v>
      </c>
      <c r="O1888" t="n">
        <v>13.2</v>
      </c>
      <c r="P1888" t="n">
        <v>54.384</v>
      </c>
      <c r="Q1888" t="n">
        <v>0.825</v>
      </c>
      <c r="R1888" t="inlineStr">
        <is>
          <t>Sobrestock crítico</t>
        </is>
      </c>
    </row>
    <row r="1889">
      <c r="A1889" t="inlineStr">
        <is>
          <t>MAFMIDA48TXL</t>
        </is>
      </c>
      <c r="B1889" t="inlineStr">
        <is>
          <t>MAFE ORIGINAL DAMA</t>
        </is>
      </c>
      <c r="C1889" t="inlineStr">
        <is>
          <t>Manufactura / Dama / P. Superiores</t>
        </is>
      </c>
      <c r="D1889" t="n">
        <v>240.76974583</v>
      </c>
      <c r="E1889" t="n">
        <v>5.894827588600414e-05</v>
      </c>
      <c r="F1889" t="n">
        <v>0.9703913786867185</v>
      </c>
      <c r="G1889" t="inlineStr">
        <is>
          <t>C</t>
        </is>
      </c>
      <c r="H1889" t="n">
        <v>22</v>
      </c>
      <c r="I1889" t="n">
        <v>4.54817671</v>
      </c>
      <c r="J1889" t="n">
        <v>100.05988762</v>
      </c>
      <c r="K1889" t="n">
        <v>0.8</v>
      </c>
      <c r="L1889" t="n">
        <v>27.5</v>
      </c>
      <c r="M1889" t="n">
        <v>4</v>
      </c>
      <c r="N1889" t="n">
        <v>3.2</v>
      </c>
      <c r="O1889" t="n">
        <v>18.8</v>
      </c>
      <c r="P1889" t="n">
        <v>85.505722148</v>
      </c>
      <c r="Q1889" t="n">
        <v>0.8545454545454546</v>
      </c>
      <c r="R1889" t="inlineStr">
        <is>
          <t>Sobrestock crítico</t>
        </is>
      </c>
    </row>
    <row r="1890">
      <c r="A1890" t="inlineStr">
        <is>
          <t>CLAMICA11TL</t>
        </is>
      </c>
      <c r="B1890" t="inlineStr">
        <is>
          <t>CLASICA ORIGINAL CAB</t>
        </is>
      </c>
      <c r="C1890" t="inlineStr">
        <is>
          <t>Manufactura / Caballero / P. Superiores</t>
        </is>
      </c>
      <c r="D1890" t="n">
        <v>240.37989538</v>
      </c>
      <c r="E1890" t="n">
        <v>5.885282779803253e-05</v>
      </c>
      <c r="F1890" t="n">
        <v>0.9704502315145165</v>
      </c>
      <c r="G1890" t="inlineStr">
        <is>
          <t>C</t>
        </is>
      </c>
      <c r="H1890" t="n">
        <v>0</v>
      </c>
      <c r="I1890" t="n">
        <v>4.598442536</v>
      </c>
      <c r="J1890" t="n">
        <v>0</v>
      </c>
      <c r="K1890" t="n">
        <v>5.6</v>
      </c>
      <c r="L1890" t="n">
        <v>0</v>
      </c>
      <c r="M1890" t="n">
        <v>4</v>
      </c>
      <c r="N1890" t="n">
        <v>22.4</v>
      </c>
      <c r="O1890" t="n">
        <v>0</v>
      </c>
      <c r="P1890" t="n">
        <v>0</v>
      </c>
      <c r="Q1890" t="n">
        <v>0</v>
      </c>
      <c r="R1890" t="inlineStr">
        <is>
          <t>Riesgo bajo stock</t>
        </is>
      </c>
    </row>
    <row r="1891">
      <c r="A1891" t="inlineStr">
        <is>
          <t>SHOUNCA186TS</t>
        </is>
      </c>
      <c r="B1891" t="inlineStr">
        <is>
          <t>SHORT PLAYA CAB</t>
        </is>
      </c>
      <c r="C1891" t="inlineStr">
        <is>
          <t>Manufactura / Caballero / P. Inferiores</t>
        </is>
      </c>
      <c r="D1891" t="n">
        <v>240.30261598</v>
      </c>
      <c r="E1891" t="n">
        <v>5.883390728384665e-05</v>
      </c>
      <c r="F1891" t="n">
        <v>0.9705090654218003</v>
      </c>
      <c r="G1891" t="inlineStr">
        <is>
          <t>C</t>
        </is>
      </c>
      <c r="H1891" t="n">
        <v>52</v>
      </c>
      <c r="I1891" t="n">
        <v>9.99</v>
      </c>
      <c r="J1891" t="n">
        <v>519.48</v>
      </c>
      <c r="K1891" t="n">
        <v>0.6</v>
      </c>
      <c r="L1891" t="n">
        <v>86.66666666666667</v>
      </c>
      <c r="M1891" t="n">
        <v>4</v>
      </c>
      <c r="N1891" t="n">
        <v>2.4</v>
      </c>
      <c r="O1891" t="n">
        <v>49.6</v>
      </c>
      <c r="P1891" t="n">
        <v>495.504</v>
      </c>
      <c r="Q1891" t="n">
        <v>0.9538461538461539</v>
      </c>
      <c r="R1891" t="inlineStr">
        <is>
          <t>Sobrestock crítico</t>
        </is>
      </c>
    </row>
    <row r="1892">
      <c r="A1892" t="inlineStr">
        <is>
          <t>RIOMIKI01T1</t>
        </is>
      </c>
      <c r="B1892" t="inlineStr">
        <is>
          <t>RIO ORIGINAL KIDS</t>
        </is>
      </c>
      <c r="C1892" t="inlineStr">
        <is>
          <t>Manufactura / Kids / P. Superiores</t>
        </is>
      </c>
      <c r="D1892" t="n">
        <v>239.64419654</v>
      </c>
      <c r="E1892" t="n">
        <v>5.867270475956758e-05</v>
      </c>
      <c r="F1892" t="n">
        <v>0.9705677381265598</v>
      </c>
      <c r="G1892" t="inlineStr">
        <is>
          <t>C</t>
        </is>
      </c>
      <c r="H1892" t="n">
        <v>0</v>
      </c>
      <c r="I1892" t="n">
        <v>3.617969464</v>
      </c>
      <c r="J1892" t="n">
        <v>0</v>
      </c>
      <c r="K1892" t="n">
        <v>0.6</v>
      </c>
      <c r="L1892" t="n">
        <v>0</v>
      </c>
      <c r="M1892" t="n">
        <v>4</v>
      </c>
      <c r="N1892" t="n">
        <v>2.4</v>
      </c>
      <c r="O1892" t="n">
        <v>0</v>
      </c>
      <c r="P1892" t="n">
        <v>0</v>
      </c>
      <c r="Q1892" t="n">
        <v>0</v>
      </c>
      <c r="R1892" t="inlineStr">
        <is>
          <t>Riesgo bajo stock</t>
        </is>
      </c>
    </row>
    <row r="1893">
      <c r="A1893" t="inlineStr">
        <is>
          <t>MIKFNDA16TXL</t>
        </is>
      </c>
      <c r="B1893" t="inlineStr">
        <is>
          <t>MIKA SPORT LITE DAMA</t>
        </is>
      </c>
      <c r="C1893" t="inlineStr">
        <is>
          <t>Manufactura / Dama / P. Superiores</t>
        </is>
      </c>
      <c r="D1893" t="n">
        <v>238.59679723</v>
      </c>
      <c r="E1893" t="n">
        <v>5.841626729365654e-05</v>
      </c>
      <c r="F1893" t="n">
        <v>0.9706261543938535</v>
      </c>
      <c r="G1893" t="inlineStr">
        <is>
          <t>C</t>
        </is>
      </c>
      <c r="H1893" t="n">
        <v>26</v>
      </c>
      <c r="I1893" t="n">
        <v>5.484675344</v>
      </c>
      <c r="J1893" t="n">
        <v>142.601558944</v>
      </c>
      <c r="K1893" t="n">
        <v>0.8</v>
      </c>
      <c r="L1893" t="n">
        <v>32.5</v>
      </c>
      <c r="M1893" t="n">
        <v>4</v>
      </c>
      <c r="N1893" t="n">
        <v>3.2</v>
      </c>
      <c r="O1893" t="n">
        <v>22.8</v>
      </c>
      <c r="P1893" t="n">
        <v>125.0505978432</v>
      </c>
      <c r="Q1893" t="n">
        <v>0.8769230769230769</v>
      </c>
      <c r="R1893" t="inlineStr">
        <is>
          <t>Sobrestock crítico</t>
        </is>
      </c>
    </row>
    <row r="1894">
      <c r="A1894" t="inlineStr">
        <is>
          <t>ZOEMIKI53T8</t>
        </is>
      </c>
      <c r="B1894" t="inlineStr">
        <is>
          <t>ZOE ORIGINAL KIDS</t>
        </is>
      </c>
      <c r="C1894" t="inlineStr">
        <is>
          <t>Manufactura / Kids / P. Superiores</t>
        </is>
      </c>
      <c r="D1894" t="n">
        <v>236.93873283</v>
      </c>
      <c r="E1894" t="n">
        <v>5.801031912375245e-05</v>
      </c>
      <c r="F1894" t="n">
        <v>0.9706841647129772</v>
      </c>
      <c r="G1894" t="inlineStr">
        <is>
          <t>C</t>
        </is>
      </c>
      <c r="H1894" t="n">
        <v>0</v>
      </c>
      <c r="I1894" t="n">
        <v>4.12</v>
      </c>
      <c r="J1894" t="n">
        <v>0</v>
      </c>
      <c r="K1894" t="n">
        <v>0.6</v>
      </c>
      <c r="L1894" t="n">
        <v>0</v>
      </c>
      <c r="M1894" t="n">
        <v>4</v>
      </c>
      <c r="N1894" t="n">
        <v>2.4</v>
      </c>
      <c r="O1894" t="n">
        <v>0</v>
      </c>
      <c r="P1894" t="n">
        <v>0</v>
      </c>
      <c r="Q1894" t="n">
        <v>0</v>
      </c>
      <c r="R1894" t="inlineStr">
        <is>
          <t>Riesgo bajo stock</t>
        </is>
      </c>
    </row>
    <row r="1895">
      <c r="A1895" t="inlineStr">
        <is>
          <t>ETN100E500ML</t>
        </is>
      </c>
      <c r="B1895" t="inlineStr">
        <is>
          <t>KAMBUKKA ETNA 500 ML</t>
        </is>
      </c>
      <c r="C1895" t="inlineStr">
        <is>
          <t>Equipamiento / Cava</t>
        </is>
      </c>
      <c r="D1895" t="n">
        <v>236.73305239</v>
      </c>
      <c r="E1895" t="n">
        <v>5.795996185282675e-05</v>
      </c>
      <c r="F1895" t="n">
        <v>0.97074212467483</v>
      </c>
      <c r="G1895" t="inlineStr">
        <is>
          <t>C</t>
        </is>
      </c>
      <c r="H1895" t="n">
        <v>8</v>
      </c>
      <c r="I1895" t="n">
        <v>24.5</v>
      </c>
      <c r="J1895" t="n">
        <v>196</v>
      </c>
      <c r="K1895" t="n">
        <v>0.6</v>
      </c>
      <c r="L1895" t="n">
        <v>13.33333333333333</v>
      </c>
      <c r="M1895" t="n">
        <v>4</v>
      </c>
      <c r="N1895" t="n">
        <v>2.4</v>
      </c>
      <c r="O1895" t="n">
        <v>5.6</v>
      </c>
      <c r="P1895" t="n">
        <v>137.2</v>
      </c>
      <c r="Q1895" t="n">
        <v>0.7</v>
      </c>
      <c r="R1895" t="inlineStr">
        <is>
          <t>Sobrestock crítico</t>
        </is>
      </c>
    </row>
    <row r="1896">
      <c r="A1896" t="inlineStr">
        <is>
          <t>ADUMMDA11TL</t>
        </is>
      </c>
      <c r="B1896" t="inlineStr">
        <is>
          <t>ACTIVE DUO DAMA</t>
        </is>
      </c>
      <c r="C1896" t="inlineStr">
        <is>
          <t>Manufactura / Caballero / P. Superiores</t>
        </is>
      </c>
      <c r="D1896" t="n">
        <v>236.70663742</v>
      </c>
      <c r="E1896" t="n">
        <v>5.795349460780926e-05</v>
      </c>
      <c r="F1896" t="n">
        <v>0.9708000781694379</v>
      </c>
      <c r="G1896" t="inlineStr">
        <is>
          <t>C</t>
        </is>
      </c>
      <c r="H1896" t="n">
        <v>11</v>
      </c>
      <c r="I1896" t="n">
        <v>3.19128</v>
      </c>
      <c r="J1896" t="n">
        <v>35.10408</v>
      </c>
      <c r="K1896" t="n">
        <v>0.5</v>
      </c>
      <c r="L1896" t="n">
        <v>22</v>
      </c>
      <c r="M1896" t="n">
        <v>4</v>
      </c>
      <c r="N1896" t="n">
        <v>2</v>
      </c>
      <c r="O1896" t="n">
        <v>9</v>
      </c>
      <c r="P1896" t="n">
        <v>28.72152</v>
      </c>
      <c r="Q1896" t="n">
        <v>0.8181818181818182</v>
      </c>
      <c r="R1896" t="inlineStr">
        <is>
          <t>Sobrestock crítico</t>
        </is>
      </c>
    </row>
    <row r="1897">
      <c r="A1897" t="inlineStr">
        <is>
          <t>ANMSUDA152TL</t>
        </is>
      </c>
      <c r="B1897" t="inlineStr">
        <is>
          <t>ANDRE MOTION DAMA</t>
        </is>
      </c>
      <c r="C1897" t="inlineStr">
        <is>
          <t>Manufactura / Dama / P. Superiores</t>
        </is>
      </c>
      <c r="D1897" t="n">
        <v>236.58809131</v>
      </c>
      <c r="E1897" t="n">
        <v>5.792447065891816e-05</v>
      </c>
      <c r="F1897" t="n">
        <v>0.9708580026400967</v>
      </c>
      <c r="G1897" t="inlineStr">
        <is>
          <t>C</t>
        </is>
      </c>
      <c r="H1897" t="n">
        <v>9</v>
      </c>
      <c r="I1897" t="n">
        <v>10.6</v>
      </c>
      <c r="J1897" t="n">
        <v>95.39999999999999</v>
      </c>
      <c r="K1897" t="n">
        <v>0.5</v>
      </c>
      <c r="L1897" t="n">
        <v>18</v>
      </c>
      <c r="M1897" t="n">
        <v>4</v>
      </c>
      <c r="N1897" t="n">
        <v>2</v>
      </c>
      <c r="O1897" t="n">
        <v>7</v>
      </c>
      <c r="P1897" t="n">
        <v>74.2</v>
      </c>
      <c r="Q1897" t="n">
        <v>0.7777777777777779</v>
      </c>
      <c r="R1897" t="inlineStr">
        <is>
          <t>Sobrestock crítico</t>
        </is>
      </c>
    </row>
    <row r="1898">
      <c r="A1898" t="inlineStr">
        <is>
          <t>ZOEMIDA05TM</t>
        </is>
      </c>
      <c r="B1898" t="inlineStr">
        <is>
          <t>ZOE ORIGINAL DAMA</t>
        </is>
      </c>
      <c r="C1898" t="inlineStr">
        <is>
          <t>Manufactura / Dama / P. Superiores</t>
        </is>
      </c>
      <c r="D1898" t="n">
        <v>236.57655054</v>
      </c>
      <c r="E1898" t="n">
        <v>5.792164510252796e-05</v>
      </c>
      <c r="F1898" t="n">
        <v>0.9709159242851992</v>
      </c>
      <c r="G1898" t="inlineStr">
        <is>
          <t>C</t>
        </is>
      </c>
      <c r="H1898" t="n">
        <v>0</v>
      </c>
      <c r="I1898" t="n">
        <v>4.116585696</v>
      </c>
      <c r="J1898" t="n">
        <v>0</v>
      </c>
      <c r="K1898" t="n">
        <v>0.5</v>
      </c>
      <c r="L1898" t="n">
        <v>0</v>
      </c>
      <c r="M1898" t="n">
        <v>4</v>
      </c>
      <c r="N1898" t="n">
        <v>2</v>
      </c>
      <c r="O1898" t="n">
        <v>0</v>
      </c>
      <c r="P1898" t="n">
        <v>0</v>
      </c>
      <c r="Q1898" t="n">
        <v>0</v>
      </c>
      <c r="R1898" t="inlineStr">
        <is>
          <t>Riesgo bajo stock</t>
        </is>
      </c>
    </row>
    <row r="1899">
      <c r="A1899" t="inlineStr">
        <is>
          <t>ZOEMIKI34T4</t>
        </is>
      </c>
      <c r="B1899" t="inlineStr">
        <is>
          <t>ZOE ORIGINAL KIDS</t>
        </is>
      </c>
      <c r="C1899" t="inlineStr">
        <is>
          <t>Manufactura / Kids / P. Superiores</t>
        </is>
      </c>
      <c r="D1899" t="n">
        <v>236.00537518</v>
      </c>
      <c r="E1899" t="n">
        <v>5.778180277065815e-05</v>
      </c>
      <c r="F1899" t="n">
        <v>0.9709737060879698</v>
      </c>
      <c r="G1899" t="inlineStr">
        <is>
          <t>C</t>
        </is>
      </c>
      <c r="H1899" t="n">
        <v>37</v>
      </c>
      <c r="I1899" t="n">
        <v>4.12</v>
      </c>
      <c r="J1899" t="n">
        <v>152.44</v>
      </c>
      <c r="K1899" t="n">
        <v>0.7</v>
      </c>
      <c r="L1899" t="n">
        <v>52.85714285714286</v>
      </c>
      <c r="M1899" t="n">
        <v>4</v>
      </c>
      <c r="N1899" t="n">
        <v>2.8</v>
      </c>
      <c r="O1899" t="n">
        <v>34.2</v>
      </c>
      <c r="P1899" t="n">
        <v>140.904</v>
      </c>
      <c r="Q1899" t="n">
        <v>0.9243243243243245</v>
      </c>
      <c r="R1899" t="inlineStr">
        <is>
          <t>Sobrestock crítico</t>
        </is>
      </c>
    </row>
    <row r="1900">
      <c r="A1900" t="inlineStr">
        <is>
          <t>VIVMIDA13TL</t>
        </is>
      </c>
      <c r="B1900" t="inlineStr">
        <is>
          <t>VIVI ORIGINAL DAMA</t>
        </is>
      </c>
      <c r="C1900" t="inlineStr">
        <is>
          <t>Manufactura / Dama / P. Superiores</t>
        </is>
      </c>
      <c r="D1900" t="n">
        <v>235.87411604</v>
      </c>
      <c r="E1900" t="n">
        <v>5.77496662579472e-05</v>
      </c>
      <c r="F1900" t="n">
        <v>0.9710314557542279</v>
      </c>
      <c r="G1900" t="inlineStr">
        <is>
          <t>C</t>
        </is>
      </c>
      <c r="H1900" t="n">
        <v>4</v>
      </c>
      <c r="I1900" t="n">
        <v>4.303181706</v>
      </c>
      <c r="J1900" t="n">
        <v>17.212726824</v>
      </c>
      <c r="K1900" t="n">
        <v>0.6</v>
      </c>
      <c r="L1900" t="n">
        <v>6.666666666666667</v>
      </c>
      <c r="M1900" t="n">
        <v>4</v>
      </c>
      <c r="N1900" t="n">
        <v>2.4</v>
      </c>
      <c r="O1900" t="n">
        <v>1.6</v>
      </c>
      <c r="P1900" t="n">
        <v>6.885090729600001</v>
      </c>
      <c r="Q1900" t="n">
        <v>0.4</v>
      </c>
      <c r="R1900" t="inlineStr">
        <is>
          <t>Sobrestock crítico</t>
        </is>
      </c>
    </row>
    <row r="1901">
      <c r="A1901" t="inlineStr">
        <is>
          <t>SARSPDA30TXL</t>
        </is>
      </c>
      <c r="B1901" t="inlineStr">
        <is>
          <t>FALDA SARA DAMA</t>
        </is>
      </c>
      <c r="C1901" t="inlineStr">
        <is>
          <t>Manufactura / Dama / P. Inferiores</t>
        </is>
      </c>
      <c r="D1901" t="n">
        <v>235.58121061</v>
      </c>
      <c r="E1901" t="n">
        <v>5.7677953468466e-05</v>
      </c>
      <c r="F1901" t="n">
        <v>0.9710891337076963</v>
      </c>
      <c r="G1901" t="inlineStr">
        <is>
          <t>C</t>
        </is>
      </c>
      <c r="H1901" t="n">
        <v>1</v>
      </c>
      <c r="I1901" t="n">
        <v>9.500113852</v>
      </c>
      <c r="J1901" t="n">
        <v>9.500113852</v>
      </c>
      <c r="K1901" t="n">
        <v>0.6</v>
      </c>
      <c r="L1901" t="n">
        <v>1.666666666666667</v>
      </c>
      <c r="M1901" t="n">
        <v>4</v>
      </c>
      <c r="N1901" t="n">
        <v>2.4</v>
      </c>
      <c r="O1901" t="n">
        <v>0</v>
      </c>
      <c r="P1901" t="n">
        <v>0</v>
      </c>
      <c r="Q1901" t="n">
        <v>0</v>
      </c>
      <c r="R1901" t="inlineStr">
        <is>
          <t>OK</t>
        </is>
      </c>
    </row>
    <row r="1902">
      <c r="A1902" t="inlineStr">
        <is>
          <t>TALGTACA166TL</t>
        </is>
      </c>
      <c r="B1902" t="inlineStr">
        <is>
          <t>URBAN COTTON OVERSIZED VINTAGE VERDE CAB</t>
        </is>
      </c>
      <c r="C1902" t="inlineStr">
        <is>
          <t>Manufactura / Caballero / P. Superiores</t>
        </is>
      </c>
      <c r="D1902" t="n">
        <v>235.40862879</v>
      </c>
      <c r="E1902" t="n">
        <v>5.763569981777082e-05</v>
      </c>
      <c r="F1902" t="n">
        <v>0.9711467694075141</v>
      </c>
      <c r="G1902" t="inlineStr">
        <is>
          <t>C</t>
        </is>
      </c>
      <c r="H1902" t="n">
        <v>20</v>
      </c>
      <c r="I1902" t="n">
        <v>12.16396667</v>
      </c>
      <c r="J1902" t="n">
        <v>243.2793334</v>
      </c>
      <c r="K1902" t="n">
        <v>0.9</v>
      </c>
      <c r="L1902" t="n">
        <v>22.22222222222222</v>
      </c>
      <c r="M1902" t="n">
        <v>4</v>
      </c>
      <c r="N1902" t="n">
        <v>3.6</v>
      </c>
      <c r="O1902" t="n">
        <v>16.4</v>
      </c>
      <c r="P1902" t="n">
        <v>199.489053388</v>
      </c>
      <c r="Q1902" t="n">
        <v>0.82</v>
      </c>
      <c r="R1902" t="inlineStr">
        <is>
          <t>Sobrestock crítico</t>
        </is>
      </c>
    </row>
    <row r="1903">
      <c r="A1903" t="inlineStr">
        <is>
          <t>VIVMIDA43TM</t>
        </is>
      </c>
      <c r="B1903" t="inlineStr">
        <is>
          <t>VIVI ORIGINAL DAMA</t>
        </is>
      </c>
      <c r="C1903" t="inlineStr">
        <is>
          <t>Manufactura / Dama / P. Superiores</t>
        </is>
      </c>
      <c r="D1903" t="n">
        <v>234.46280542</v>
      </c>
      <c r="E1903" t="n">
        <v>5.740413145039979e-05</v>
      </c>
      <c r="F1903" t="n">
        <v>0.9712041735389645</v>
      </c>
      <c r="G1903" t="inlineStr">
        <is>
          <t>C</t>
        </is>
      </c>
      <c r="H1903" t="n">
        <v>70</v>
      </c>
      <c r="I1903" t="n">
        <v>4.303181706</v>
      </c>
      <c r="J1903" t="n">
        <v>301.22271942</v>
      </c>
      <c r="K1903" t="n">
        <v>0.8</v>
      </c>
      <c r="L1903" t="n">
        <v>87.5</v>
      </c>
      <c r="M1903" t="n">
        <v>4</v>
      </c>
      <c r="N1903" t="n">
        <v>3.2</v>
      </c>
      <c r="O1903" t="n">
        <v>66.8</v>
      </c>
      <c r="P1903" t="n">
        <v>287.4525379608</v>
      </c>
      <c r="Q1903" t="n">
        <v>0.9542857142857142</v>
      </c>
      <c r="R1903" t="inlineStr">
        <is>
          <t>Sobrestock crítico</t>
        </is>
      </c>
    </row>
    <row r="1904">
      <c r="A1904" t="inlineStr">
        <is>
          <t>GEOMACADA168TXS</t>
        </is>
      </c>
      <c r="B1904" t="inlineStr">
        <is>
          <t>ADVANCE GEO MAYA DAMA</t>
        </is>
      </c>
      <c r="C1904" t="inlineStr">
        <is>
          <t>Manufactura / Dama / P. Superiores</t>
        </is>
      </c>
      <c r="D1904" t="n">
        <v>234.16935</v>
      </c>
      <c r="E1904" t="n">
        <v>5.733228400545288e-05</v>
      </c>
      <c r="F1904" t="n">
        <v>0.97126150582297</v>
      </c>
      <c r="G1904" t="inlineStr">
        <is>
          <t>C</t>
        </is>
      </c>
      <c r="H1904" t="n">
        <v>23</v>
      </c>
      <c r="I1904" t="n">
        <v>10.33</v>
      </c>
      <c r="J1904" t="n">
        <v>237.59</v>
      </c>
      <c r="K1904" t="n">
        <v>0.4</v>
      </c>
      <c r="L1904" t="n">
        <v>57.5</v>
      </c>
      <c r="M1904" t="n">
        <v>4</v>
      </c>
      <c r="N1904" t="n">
        <v>1.6</v>
      </c>
      <c r="O1904" t="n">
        <v>21.4</v>
      </c>
      <c r="P1904" t="n">
        <v>221.062</v>
      </c>
      <c r="Q1904" t="n">
        <v>0.9304347826086956</v>
      </c>
      <c r="R1904" t="inlineStr">
        <is>
          <t>Sobrestock crítico</t>
        </is>
      </c>
    </row>
    <row r="1905">
      <c r="A1905" t="inlineStr">
        <is>
          <t>CLMSUCA152TL</t>
        </is>
      </c>
      <c r="B1905" t="inlineStr">
        <is>
          <t>CLASICA MOTION CAB</t>
        </is>
      </c>
      <c r="C1905" t="inlineStr">
        <is>
          <t>Manufactura / Caballero / P. Superiores</t>
        </is>
      </c>
      <c r="D1905" t="n">
        <v>233.13195314</v>
      </c>
      <c r="E1905" t="n">
        <v>5.707829546509144e-05</v>
      </c>
      <c r="F1905" t="n">
        <v>0.9713185841184351</v>
      </c>
      <c r="G1905" t="inlineStr">
        <is>
          <t>C</t>
        </is>
      </c>
      <c r="H1905" t="n">
        <v>0</v>
      </c>
      <c r="I1905" t="n">
        <v>12.26</v>
      </c>
      <c r="J1905" t="n">
        <v>0</v>
      </c>
      <c r="K1905" t="n">
        <v>0.6</v>
      </c>
      <c r="L1905" t="n">
        <v>0</v>
      </c>
      <c r="M1905" t="n">
        <v>4</v>
      </c>
      <c r="N1905" t="n">
        <v>2.4</v>
      </c>
      <c r="O1905" t="n">
        <v>0</v>
      </c>
      <c r="P1905" t="n">
        <v>0</v>
      </c>
      <c r="Q1905" t="n">
        <v>0</v>
      </c>
      <c r="R1905" t="inlineStr">
        <is>
          <t>Sin rotación</t>
        </is>
      </c>
    </row>
    <row r="1906">
      <c r="A1906" t="inlineStr">
        <is>
          <t>TALGTACA167TXS</t>
        </is>
      </c>
      <c r="B1906" t="inlineStr">
        <is>
          <t>URBAN COTTON OVERSIZED COLOR BLOCK CAB</t>
        </is>
      </c>
      <c r="C1906" t="inlineStr">
        <is>
          <t>Manufactura / Caballero / P. Superiores</t>
        </is>
      </c>
      <c r="D1906" t="n">
        <v>232.82762544</v>
      </c>
      <c r="E1906" t="n">
        <v>5.70037861318797e-05</v>
      </c>
      <c r="F1906" t="n">
        <v>0.971375587904567</v>
      </c>
      <c r="G1906" t="inlineStr">
        <is>
          <t>C</t>
        </is>
      </c>
      <c r="H1906" t="n">
        <v>0</v>
      </c>
      <c r="I1906" t="n">
        <v>12.16641162</v>
      </c>
      <c r="J1906" t="n">
        <v>0</v>
      </c>
      <c r="K1906" t="n">
        <v>0.7</v>
      </c>
      <c r="L1906" t="n">
        <v>0</v>
      </c>
      <c r="M1906" t="n">
        <v>4</v>
      </c>
      <c r="N1906" t="n">
        <v>2.8</v>
      </c>
      <c r="O1906" t="n">
        <v>0</v>
      </c>
      <c r="P1906" t="n">
        <v>0</v>
      </c>
      <c r="Q1906" t="n">
        <v>0</v>
      </c>
      <c r="R1906" t="inlineStr">
        <is>
          <t>Riesgo bajo stock</t>
        </is>
      </c>
    </row>
    <row r="1907">
      <c r="A1907" t="inlineStr">
        <is>
          <t>MAADFDA30TL</t>
        </is>
      </c>
      <c r="B1907" t="inlineStr">
        <is>
          <t>MAFE ADVANCE DAMA</t>
        </is>
      </c>
      <c r="C1907" t="inlineStr">
        <is>
          <t>Manufactura / Dama / P. Superiores</t>
        </is>
      </c>
      <c r="D1907" t="n">
        <v>232.50359801</v>
      </c>
      <c r="E1907" t="n">
        <v>5.692445366312443e-05</v>
      </c>
      <c r="F1907" t="n">
        <v>0.9714325123582301</v>
      </c>
      <c r="G1907" t="inlineStr">
        <is>
          <t>C</t>
        </is>
      </c>
      <c r="H1907" t="n">
        <v>0</v>
      </c>
      <c r="I1907" t="n">
        <v>4.98</v>
      </c>
      <c r="J1907" t="n">
        <v>0</v>
      </c>
      <c r="K1907" t="n">
        <v>0.5</v>
      </c>
      <c r="L1907" t="n">
        <v>0</v>
      </c>
      <c r="M1907" t="n">
        <v>4</v>
      </c>
      <c r="N1907" t="n">
        <v>2</v>
      </c>
      <c r="O1907" t="n">
        <v>0</v>
      </c>
      <c r="P1907" t="n">
        <v>0</v>
      </c>
      <c r="Q1907" t="n">
        <v>0</v>
      </c>
      <c r="R1907" t="inlineStr">
        <is>
          <t>Riesgo bajo stock</t>
        </is>
      </c>
    </row>
    <row r="1908">
      <c r="A1908" t="inlineStr">
        <is>
          <t>MARMICA04T2XL</t>
        </is>
      </c>
      <c r="B1908" t="inlineStr">
        <is>
          <t>MAR ORIGINAL CAB</t>
        </is>
      </c>
      <c r="C1908" t="inlineStr">
        <is>
          <t>Manufactura / Caballero / P. Superiores</t>
        </is>
      </c>
      <c r="D1908" t="n">
        <v>231.81188296</v>
      </c>
      <c r="E1908" t="n">
        <v>5.675509928904667e-05</v>
      </c>
      <c r="F1908" t="n">
        <v>0.9714892674575192</v>
      </c>
      <c r="G1908" t="inlineStr">
        <is>
          <t>C</t>
        </is>
      </c>
      <c r="H1908" t="n">
        <v>45</v>
      </c>
      <c r="I1908" t="n">
        <v>4.946357428</v>
      </c>
      <c r="J1908" t="n">
        <v>222.58608426</v>
      </c>
      <c r="K1908" t="n">
        <v>0.5</v>
      </c>
      <c r="L1908" t="n">
        <v>90</v>
      </c>
      <c r="M1908" t="n">
        <v>4</v>
      </c>
      <c r="N1908" t="n">
        <v>2</v>
      </c>
      <c r="O1908" t="n">
        <v>43</v>
      </c>
      <c r="P1908" t="n">
        <v>212.693369404</v>
      </c>
      <c r="Q1908" t="n">
        <v>0.9555555555555556</v>
      </c>
      <c r="R1908" t="inlineStr">
        <is>
          <t>Sobrestock crítico</t>
        </is>
      </c>
    </row>
    <row r="1909">
      <c r="A1909" t="inlineStr">
        <is>
          <t>DOMBFCA30T2XL</t>
        </is>
      </c>
      <c r="B1909" t="inlineStr">
        <is>
          <t>DOMINIC BIO MOVE CAB</t>
        </is>
      </c>
      <c r="C1909" t="inlineStr">
        <is>
          <t>Manufactura / Caballero / P. Superiores</t>
        </is>
      </c>
      <c r="D1909" t="n">
        <v>231.5608212</v>
      </c>
      <c r="E1909" t="n">
        <v>5.669363119287085e-05</v>
      </c>
      <c r="F1909" t="n">
        <v>0.9715459610887121</v>
      </c>
      <c r="G1909" t="inlineStr">
        <is>
          <t>C</t>
        </is>
      </c>
      <c r="H1909" t="n">
        <v>35</v>
      </c>
      <c r="I1909" t="n">
        <v>13.86</v>
      </c>
      <c r="J1909" t="n">
        <v>485.1</v>
      </c>
      <c r="K1909" t="n">
        <v>0.3</v>
      </c>
      <c r="L1909" t="n">
        <v>116.6666666666667</v>
      </c>
      <c r="M1909" t="n">
        <v>4</v>
      </c>
      <c r="N1909" t="n">
        <v>1.2</v>
      </c>
      <c r="O1909" t="n">
        <v>33.8</v>
      </c>
      <c r="P1909" t="n">
        <v>468.468</v>
      </c>
      <c r="Q1909" t="n">
        <v>0.9657142857142857</v>
      </c>
      <c r="R1909" t="inlineStr">
        <is>
          <t>Sobrestock crítico</t>
        </is>
      </c>
    </row>
    <row r="1910">
      <c r="A1910" t="inlineStr">
        <is>
          <t>CLAMIKI48T8</t>
        </is>
      </c>
      <c r="B1910" t="inlineStr">
        <is>
          <t>CLASICA ORIGINAL KIDS</t>
        </is>
      </c>
      <c r="C1910" t="inlineStr">
        <is>
          <t>Manufactura / Kids / P. Superiores</t>
        </is>
      </c>
      <c r="D1910" t="n">
        <v>231.28409976</v>
      </c>
      <c r="E1910" t="n">
        <v>5.662588077127009e-05</v>
      </c>
      <c r="F1910" t="n">
        <v>0.9716025869694833</v>
      </c>
      <c r="G1910" t="inlineStr">
        <is>
          <t>C</t>
        </is>
      </c>
      <c r="H1910" t="n">
        <v>12</v>
      </c>
      <c r="I1910" t="n">
        <v>2.053774806</v>
      </c>
      <c r="J1910" t="n">
        <v>24.645297672</v>
      </c>
      <c r="K1910" t="n">
        <v>0.7</v>
      </c>
      <c r="L1910" t="n">
        <v>17.14285714285714</v>
      </c>
      <c r="M1910" t="n">
        <v>4</v>
      </c>
      <c r="N1910" t="n">
        <v>2.8</v>
      </c>
      <c r="O1910" t="n">
        <v>9.199999999999999</v>
      </c>
      <c r="P1910" t="n">
        <v>18.8947282152</v>
      </c>
      <c r="Q1910" t="n">
        <v>0.7666666666666666</v>
      </c>
      <c r="R1910" t="inlineStr">
        <is>
          <t>Sobrestock crítico</t>
        </is>
      </c>
    </row>
    <row r="1911">
      <c r="A1911" t="inlineStr">
        <is>
          <t>TALGOTACA12T2XL</t>
        </is>
      </c>
      <c r="B1911" t="inlineStr">
        <is>
          <t>URBAN COTTON OVERSIZED SUNSET CAB</t>
        </is>
      </c>
      <c r="C1911" t="inlineStr">
        <is>
          <t>Manufactura / Caballero / P. Superiores</t>
        </is>
      </c>
      <c r="D1911" t="n">
        <v>230.55244628</v>
      </c>
      <c r="E1911" t="n">
        <v>5.644674816869448e-05</v>
      </c>
      <c r="F1911" t="n">
        <v>0.9716590337176519</v>
      </c>
      <c r="G1911" t="inlineStr">
        <is>
          <t>C</t>
        </is>
      </c>
      <c r="H1911" t="n">
        <v>13</v>
      </c>
      <c r="I1911" t="n">
        <v>12.16112582</v>
      </c>
      <c r="J1911" t="n">
        <v>158.09463566</v>
      </c>
      <c r="K1911" t="n">
        <v>0.5</v>
      </c>
      <c r="L1911" t="n">
        <v>26</v>
      </c>
      <c r="M1911" t="n">
        <v>4</v>
      </c>
      <c r="N1911" t="n">
        <v>2</v>
      </c>
      <c r="O1911" t="n">
        <v>11</v>
      </c>
      <c r="P1911" t="n">
        <v>133.77238402</v>
      </c>
      <c r="Q1911" t="n">
        <v>0.8461538461538463</v>
      </c>
      <c r="R1911" t="inlineStr">
        <is>
          <t>Sobrestock crítico</t>
        </is>
      </c>
    </row>
    <row r="1912">
      <c r="A1912" t="inlineStr">
        <is>
          <t>ANDMIDA12TXS</t>
        </is>
      </c>
      <c r="B1912" t="inlineStr">
        <is>
          <t>ANDRE ORIGINAL DAMA</t>
        </is>
      </c>
      <c r="C1912" t="inlineStr">
        <is>
          <t>Manufactura / Dama / P. Superiores</t>
        </is>
      </c>
      <c r="D1912" t="n">
        <v>230.53379577</v>
      </c>
      <c r="E1912" t="n">
        <v>5.644218191638107e-05</v>
      </c>
      <c r="F1912" t="n">
        <v>0.9717154758995684</v>
      </c>
      <c r="G1912" t="inlineStr">
        <is>
          <t>C</t>
        </is>
      </c>
      <c r="H1912" t="n">
        <v>78</v>
      </c>
      <c r="I1912" t="n">
        <v>3.274295302</v>
      </c>
      <c r="J1912" t="n">
        <v>255.395033556</v>
      </c>
      <c r="K1912" t="n">
        <v>0.7</v>
      </c>
      <c r="L1912" t="n">
        <v>111.4285714285714</v>
      </c>
      <c r="M1912" t="n">
        <v>4</v>
      </c>
      <c r="N1912" t="n">
        <v>2.8</v>
      </c>
      <c r="O1912" t="n">
        <v>75.2</v>
      </c>
      <c r="P1912" t="n">
        <v>246.2270067104</v>
      </c>
      <c r="Q1912" t="n">
        <v>0.9641025641025641</v>
      </c>
      <c r="R1912" t="inlineStr">
        <is>
          <t>Sobrestock crítico</t>
        </is>
      </c>
    </row>
    <row r="1913">
      <c r="A1913" t="inlineStr">
        <is>
          <t>MAFMIDA01TL</t>
        </is>
      </c>
      <c r="B1913" t="inlineStr">
        <is>
          <t>MAFE ORIGINAL DAMA</t>
        </is>
      </c>
      <c r="C1913" t="inlineStr">
        <is>
          <t>Manufactura / Dama / P. Superiores</t>
        </is>
      </c>
      <c r="D1913" t="n">
        <v>230.21265037</v>
      </c>
      <c r="E1913" t="n">
        <v>5.636355506244035e-05</v>
      </c>
      <c r="F1913" t="n">
        <v>0.9717718394546309</v>
      </c>
      <c r="G1913" t="inlineStr">
        <is>
          <t>C</t>
        </is>
      </c>
      <c r="H1913" t="n">
        <v>0</v>
      </c>
      <c r="I1913" t="n">
        <v>4.54817671</v>
      </c>
      <c r="J1913" t="n">
        <v>0</v>
      </c>
      <c r="K1913" t="n">
        <v>0.7</v>
      </c>
      <c r="L1913" t="n">
        <v>0</v>
      </c>
      <c r="M1913" t="n">
        <v>4</v>
      </c>
      <c r="N1913" t="n">
        <v>2.8</v>
      </c>
      <c r="O1913" t="n">
        <v>0</v>
      </c>
      <c r="P1913" t="n">
        <v>0</v>
      </c>
      <c r="Q1913" t="n">
        <v>0</v>
      </c>
      <c r="R1913" t="inlineStr">
        <is>
          <t>Riesgo bajo stock</t>
        </is>
      </c>
    </row>
    <row r="1914">
      <c r="A1914" t="inlineStr">
        <is>
          <t>TALGOTADA12TM</t>
        </is>
      </c>
      <c r="B1914" t="inlineStr">
        <is>
          <t>URBAN COTTON TOP VINTAGE GRIS DAMA</t>
        </is>
      </c>
      <c r="C1914" t="inlineStr">
        <is>
          <t>Manufactura / Dama / P. Superiores</t>
        </is>
      </c>
      <c r="D1914" t="n">
        <v>229.57570334</v>
      </c>
      <c r="E1914" t="n">
        <v>5.620760968350672e-05</v>
      </c>
      <c r="F1914" t="n">
        <v>0.9718280470643144</v>
      </c>
      <c r="G1914" t="inlineStr">
        <is>
          <t>C</t>
        </is>
      </c>
      <c r="H1914" t="n">
        <v>23</v>
      </c>
      <c r="I1914" t="n">
        <v>7.819069274</v>
      </c>
      <c r="J1914" t="n">
        <v>179.838593302</v>
      </c>
      <c r="K1914" t="n">
        <v>0.6</v>
      </c>
      <c r="L1914" t="n">
        <v>38.33333333333334</v>
      </c>
      <c r="M1914" t="n">
        <v>4</v>
      </c>
      <c r="N1914" t="n">
        <v>2.4</v>
      </c>
      <c r="O1914" t="n">
        <v>20.6</v>
      </c>
      <c r="P1914" t="n">
        <v>161.0728270444</v>
      </c>
      <c r="Q1914" t="n">
        <v>0.8956521739130436</v>
      </c>
      <c r="R1914" t="inlineStr">
        <is>
          <t>Sobrestock crítico</t>
        </is>
      </c>
    </row>
    <row r="1915">
      <c r="A1915" t="inlineStr">
        <is>
          <t>CLAMIKI43T10</t>
        </is>
      </c>
      <c r="B1915" t="inlineStr">
        <is>
          <t>CLASICA ORIGINAL KIDS</t>
        </is>
      </c>
      <c r="C1915" t="inlineStr">
        <is>
          <t>Manufactura / Kids / P. Superiores</t>
        </is>
      </c>
      <c r="D1915" t="n">
        <v>229.2103096</v>
      </c>
      <c r="E1915" t="n">
        <v>5.611814939472216e-05</v>
      </c>
      <c r="F1915" t="n">
        <v>0.971884165213709</v>
      </c>
      <c r="G1915" t="inlineStr">
        <is>
          <t>C</t>
        </is>
      </c>
      <c r="H1915" t="n">
        <v>30</v>
      </c>
      <c r="I1915" t="n">
        <v>2.053774806</v>
      </c>
      <c r="J1915" t="n">
        <v>61.61324418</v>
      </c>
      <c r="K1915" t="n">
        <v>0.8</v>
      </c>
      <c r="L1915" t="n">
        <v>37.5</v>
      </c>
      <c r="M1915" t="n">
        <v>4</v>
      </c>
      <c r="N1915" t="n">
        <v>3.2</v>
      </c>
      <c r="O1915" t="n">
        <v>26.8</v>
      </c>
      <c r="P1915" t="n">
        <v>55.0411648008</v>
      </c>
      <c r="Q1915" t="n">
        <v>0.8933333333333333</v>
      </c>
      <c r="R1915" t="inlineStr">
        <is>
          <t>Sobrestock crítico</t>
        </is>
      </c>
    </row>
    <row r="1916">
      <c r="A1916" t="inlineStr">
        <is>
          <t>EC172UN</t>
        </is>
      </c>
      <c r="B1916" t="inlineStr">
        <is>
          <t>ECO BAG</t>
        </is>
      </c>
      <c r="C1916" t="inlineStr">
        <is>
          <t>Equipamiento / Bolsos</t>
        </is>
      </c>
      <c r="D1916" t="n">
        <v>227.27539874</v>
      </c>
      <c r="E1916" t="n">
        <v>5.564442019424927e-05</v>
      </c>
      <c r="F1916" t="n">
        <v>0.9719398096339034</v>
      </c>
      <c r="G1916" t="inlineStr">
        <is>
          <t>C</t>
        </is>
      </c>
      <c r="H1916" t="n">
        <v>98</v>
      </c>
      <c r="I1916" t="n">
        <v>5.5</v>
      </c>
      <c r="J1916" t="n">
        <v>539</v>
      </c>
      <c r="K1916" t="n">
        <v>10.3</v>
      </c>
      <c r="L1916" t="n">
        <v>9.514563106796116</v>
      </c>
      <c r="M1916" t="n">
        <v>4</v>
      </c>
      <c r="N1916" t="n">
        <v>41.2</v>
      </c>
      <c r="O1916" t="n">
        <v>56.8</v>
      </c>
      <c r="P1916" t="n">
        <v>312.4</v>
      </c>
      <c r="Q1916" t="n">
        <v>0.5795918367346938</v>
      </c>
      <c r="R1916" t="inlineStr">
        <is>
          <t>Sobrestock crítico</t>
        </is>
      </c>
    </row>
    <row r="1917">
      <c r="A1917" t="inlineStr">
        <is>
          <t>MIKFNDA24TM</t>
        </is>
      </c>
      <c r="B1917" t="inlineStr">
        <is>
          <t>MIKA SPORT LITE DAMA</t>
        </is>
      </c>
      <c r="C1917" t="inlineStr">
        <is>
          <t>Manufactura / Dama / P. Superiores</t>
        </is>
      </c>
      <c r="D1917" t="n">
        <v>226.96962246</v>
      </c>
      <c r="E1917" t="n">
        <v>5.556955620147187e-05</v>
      </c>
      <c r="F1917" t="n">
        <v>0.9719953791901047</v>
      </c>
      <c r="G1917" t="inlineStr">
        <is>
          <t>C</t>
        </is>
      </c>
      <c r="H1917" t="n">
        <v>43</v>
      </c>
      <c r="I1917" t="n">
        <v>5.484675344</v>
      </c>
      <c r="J1917" t="n">
        <v>235.841039792</v>
      </c>
      <c r="K1917" t="n">
        <v>1.8</v>
      </c>
      <c r="L1917" t="n">
        <v>23.88888888888889</v>
      </c>
      <c r="M1917" t="n">
        <v>4</v>
      </c>
      <c r="N1917" t="n">
        <v>7.2</v>
      </c>
      <c r="O1917" t="n">
        <v>35.8</v>
      </c>
      <c r="P1917" t="n">
        <v>196.3513773152</v>
      </c>
      <c r="Q1917" t="n">
        <v>0.8325581395348837</v>
      </c>
      <c r="R1917" t="inlineStr">
        <is>
          <t>Sobrestock crítico</t>
        </is>
      </c>
    </row>
    <row r="1918">
      <c r="A1918" t="inlineStr">
        <is>
          <t>MARMIKI53T1</t>
        </is>
      </c>
      <c r="B1918" t="inlineStr">
        <is>
          <t>MAR ORIGINAL KIDS</t>
        </is>
      </c>
      <c r="C1918" t="inlineStr">
        <is>
          <t>Manufactura / Kids / P. Superiores</t>
        </is>
      </c>
      <c r="D1918" t="n">
        <v>226.16257</v>
      </c>
      <c r="E1918" t="n">
        <v>5.537196347277351e-05</v>
      </c>
      <c r="F1918" t="n">
        <v>0.9720507511535775</v>
      </c>
      <c r="G1918" t="inlineStr">
        <is>
          <t>C</t>
        </is>
      </c>
      <c r="H1918" t="n">
        <v>0</v>
      </c>
      <c r="I1918" t="n">
        <v>3.168013332</v>
      </c>
      <c r="J1918" t="n">
        <v>0</v>
      </c>
      <c r="K1918" t="n">
        <v>0.6</v>
      </c>
      <c r="L1918" t="n">
        <v>0</v>
      </c>
      <c r="M1918" t="n">
        <v>4</v>
      </c>
      <c r="N1918" t="n">
        <v>2.4</v>
      </c>
      <c r="O1918" t="n">
        <v>0</v>
      </c>
      <c r="P1918" t="n">
        <v>0</v>
      </c>
      <c r="Q1918" t="n">
        <v>0</v>
      </c>
      <c r="R1918" t="inlineStr">
        <is>
          <t>Riesgo bajo stock</t>
        </is>
      </c>
    </row>
    <row r="1919">
      <c r="A1919" t="inlineStr">
        <is>
          <t>TALGTADA170TL</t>
        </is>
      </c>
      <c r="B1919" t="inlineStr">
        <is>
          <t>URBAN COTTON TOP GRAY BLOCK DAMA</t>
        </is>
      </c>
      <c r="C1919" t="inlineStr">
        <is>
          <t>Manufactura / Dama / P. Superiores</t>
        </is>
      </c>
      <c r="D1919" t="n">
        <v>226.12072347</v>
      </c>
      <c r="E1919" t="n">
        <v>5.536171807924698e-05</v>
      </c>
      <c r="F1919" t="n">
        <v>0.9721061128716568</v>
      </c>
      <c r="G1919" t="inlineStr">
        <is>
          <t>C</t>
        </is>
      </c>
      <c r="H1919" t="n">
        <v>1</v>
      </c>
      <c r="I1919" t="n">
        <v>7.811820557</v>
      </c>
      <c r="J1919" t="n">
        <v>7.811820557</v>
      </c>
      <c r="K1919" t="n">
        <v>0.4</v>
      </c>
      <c r="L1919" t="n">
        <v>2.5</v>
      </c>
      <c r="M1919" t="n">
        <v>4</v>
      </c>
      <c r="N1919" t="n">
        <v>1.6</v>
      </c>
      <c r="O1919" t="n">
        <v>0</v>
      </c>
      <c r="P1919" t="n">
        <v>0</v>
      </c>
      <c r="Q1919" t="n">
        <v>0</v>
      </c>
      <c r="R1919" t="inlineStr">
        <is>
          <t>OK</t>
        </is>
      </c>
    </row>
    <row r="1920">
      <c r="A1920" t="inlineStr">
        <is>
          <t>CLAMIDA13TL</t>
        </is>
      </c>
      <c r="B1920" t="inlineStr">
        <is>
          <t>CLASICA ORIGINAL DAMA</t>
        </is>
      </c>
      <c r="C1920" t="inlineStr">
        <is>
          <t>Manufactura / Dama / P. Superiores</t>
        </is>
      </c>
      <c r="D1920" t="n">
        <v>226.00688205</v>
      </c>
      <c r="E1920" t="n">
        <v>5.533384599170425e-05</v>
      </c>
      <c r="F1920" t="n">
        <v>0.9721614467176485</v>
      </c>
      <c r="G1920" t="inlineStr">
        <is>
          <t>C</t>
        </is>
      </c>
      <c r="H1920" t="n">
        <v>8</v>
      </c>
      <c r="I1920" t="n">
        <v>3.923227589</v>
      </c>
      <c r="J1920" t="n">
        <v>31.385820712</v>
      </c>
      <c r="K1920" t="n">
        <v>0.6</v>
      </c>
      <c r="L1920" t="n">
        <v>13.33333333333333</v>
      </c>
      <c r="M1920" t="n">
        <v>4</v>
      </c>
      <c r="N1920" t="n">
        <v>2.4</v>
      </c>
      <c r="O1920" t="n">
        <v>5.6</v>
      </c>
      <c r="P1920" t="n">
        <v>21.9700744984</v>
      </c>
      <c r="Q1920" t="n">
        <v>0.7</v>
      </c>
      <c r="R1920" t="inlineStr">
        <is>
          <t>Sobrestock crítico</t>
        </is>
      </c>
    </row>
    <row r="1921">
      <c r="A1921" t="inlineStr">
        <is>
          <t>MARMIKI04T10</t>
        </is>
      </c>
      <c r="B1921" t="inlineStr">
        <is>
          <t>MAR ORIGINAL KIDS</t>
        </is>
      </c>
      <c r="C1921" t="inlineStr">
        <is>
          <t>Manufactura / Kids / P. Superiores</t>
        </is>
      </c>
      <c r="D1921" t="n">
        <v>225.71244521</v>
      </c>
      <c r="E1921" t="n">
        <v>5.526175826317552e-05</v>
      </c>
      <c r="F1921" t="n">
        <v>0.9722167084759117</v>
      </c>
      <c r="G1921" t="inlineStr">
        <is>
          <t>C</t>
        </is>
      </c>
      <c r="H1921" t="n">
        <v>44</v>
      </c>
      <c r="I1921" t="n">
        <v>3.168013332</v>
      </c>
      <c r="J1921" t="n">
        <v>139.392586608</v>
      </c>
      <c r="K1921" t="n">
        <v>0.6</v>
      </c>
      <c r="L1921" t="n">
        <v>73.33333333333334</v>
      </c>
      <c r="M1921" t="n">
        <v>4</v>
      </c>
      <c r="N1921" t="n">
        <v>2.4</v>
      </c>
      <c r="O1921" t="n">
        <v>41.6</v>
      </c>
      <c r="P1921" t="n">
        <v>131.7893546112</v>
      </c>
      <c r="Q1921" t="n">
        <v>0.9454545454545455</v>
      </c>
      <c r="R1921" t="inlineStr">
        <is>
          <t>Sin rotación</t>
        </is>
      </c>
    </row>
    <row r="1922">
      <c r="A1922" t="inlineStr">
        <is>
          <t>SHOUNCA33TM</t>
        </is>
      </c>
      <c r="B1922" t="inlineStr">
        <is>
          <t>SHORT PLAYA CAB</t>
        </is>
      </c>
      <c r="C1922" t="inlineStr">
        <is>
          <t>Manufactura / Caballero / P. Inferiores</t>
        </is>
      </c>
      <c r="D1922" t="n">
        <v>225.54435379</v>
      </c>
      <c r="E1922" t="n">
        <v>5.522060400865707e-05</v>
      </c>
      <c r="F1922" t="n">
        <v>0.9722719290799203</v>
      </c>
      <c r="G1922" t="inlineStr">
        <is>
          <t>C</t>
        </is>
      </c>
      <c r="H1922" t="n">
        <v>0</v>
      </c>
      <c r="I1922" t="n">
        <v>9.99</v>
      </c>
      <c r="J1922" t="n">
        <v>0</v>
      </c>
      <c r="K1922" t="n">
        <v>0.5</v>
      </c>
      <c r="L1922" t="n">
        <v>0</v>
      </c>
      <c r="M1922" t="n">
        <v>4</v>
      </c>
      <c r="N1922" t="n">
        <v>2</v>
      </c>
      <c r="O1922" t="n">
        <v>0</v>
      </c>
      <c r="P1922" t="n">
        <v>0</v>
      </c>
      <c r="Q1922" t="n">
        <v>0</v>
      </c>
      <c r="R1922" t="inlineStr">
        <is>
          <t>Riesgo bajo stock</t>
        </is>
      </c>
    </row>
    <row r="1923">
      <c r="A1923" t="inlineStr">
        <is>
          <t>ELT76E600ML</t>
        </is>
      </c>
      <c r="B1923" t="inlineStr">
        <is>
          <t>KAMBUKKA ELTON 600 ML</t>
        </is>
      </c>
      <c r="C1923" t="inlineStr">
        <is>
          <t>Equipamiento / Cava</t>
        </is>
      </c>
      <c r="D1923" t="n">
        <v>225.26513603</v>
      </c>
      <c r="E1923" t="n">
        <v>5.515224240661272e-05</v>
      </c>
      <c r="F1923" t="n">
        <v>0.972327081322327</v>
      </c>
      <c r="G1923" t="inlineStr">
        <is>
          <t>C</t>
        </is>
      </c>
      <c r="H1923" t="n">
        <v>0</v>
      </c>
      <c r="I1923" t="n">
        <v>24.5</v>
      </c>
      <c r="J1923" t="n">
        <v>0</v>
      </c>
      <c r="K1923" t="n">
        <v>0.5</v>
      </c>
      <c r="L1923" t="n">
        <v>0</v>
      </c>
      <c r="M1923" t="n">
        <v>4</v>
      </c>
      <c r="N1923" t="n">
        <v>2</v>
      </c>
      <c r="O1923" t="n">
        <v>0</v>
      </c>
      <c r="P1923" t="n">
        <v>0</v>
      </c>
      <c r="Q1923" t="n">
        <v>0</v>
      </c>
      <c r="R1923" t="inlineStr">
        <is>
          <t>Riesgo bajo stock</t>
        </is>
      </c>
    </row>
    <row r="1924">
      <c r="A1924" t="inlineStr">
        <is>
          <t>CCBHMDA03TL</t>
        </is>
      </c>
      <c r="B1924" t="inlineStr">
        <is>
          <t>CLUB CLASICA DAMA</t>
        </is>
      </c>
      <c r="C1924" t="inlineStr">
        <is>
          <t>Manufactura / Dama / P. Superiores</t>
        </is>
      </c>
      <c r="D1924" t="n">
        <v>225</v>
      </c>
      <c r="E1924" t="n">
        <v>5.508732847072811e-05</v>
      </c>
      <c r="F1924" t="n">
        <v>0.9723821686507979</v>
      </c>
      <c r="G1924" t="inlineStr">
        <is>
          <t>C</t>
        </is>
      </c>
      <c r="H1924" t="n">
        <v>9</v>
      </c>
      <c r="I1924" t="n">
        <v>1</v>
      </c>
      <c r="J1924" t="n">
        <v>9</v>
      </c>
      <c r="K1924" t="n">
        <v>0.7</v>
      </c>
      <c r="L1924" t="n">
        <v>12.85714285714286</v>
      </c>
      <c r="M1924" t="n">
        <v>4</v>
      </c>
      <c r="N1924" t="n">
        <v>2.8</v>
      </c>
      <c r="O1924" t="n">
        <v>6.2</v>
      </c>
      <c r="P1924" t="n">
        <v>6.2</v>
      </c>
      <c r="Q1924" t="n">
        <v>0.6888888888888889</v>
      </c>
      <c r="R1924" t="inlineStr">
        <is>
          <t>Sobrestock crítico</t>
        </is>
      </c>
    </row>
    <row r="1925">
      <c r="A1925" t="inlineStr">
        <is>
          <t>CLAMIKI43T14</t>
        </is>
      </c>
      <c r="B1925" t="inlineStr">
        <is>
          <t>CLASICA ORIGINAL KIDS</t>
        </is>
      </c>
      <c r="C1925" t="inlineStr">
        <is>
          <t>Manufactura / Kids / P. Superiores</t>
        </is>
      </c>
      <c r="D1925" t="n">
        <v>224.95387427</v>
      </c>
      <c r="E1925" t="n">
        <v>5.507603538966383e-05</v>
      </c>
      <c r="F1925" t="n">
        <v>0.9724372446861873</v>
      </c>
      <c r="G1925" t="inlineStr">
        <is>
          <t>C</t>
        </is>
      </c>
      <c r="H1925" t="n">
        <v>1</v>
      </c>
      <c r="I1925" t="n">
        <v>2.053774806</v>
      </c>
      <c r="J1925" t="n">
        <v>2.053774806</v>
      </c>
      <c r="K1925" t="n">
        <v>0.9</v>
      </c>
      <c r="L1925" t="n">
        <v>1.111111111111111</v>
      </c>
      <c r="M1925" t="n">
        <v>4</v>
      </c>
      <c r="N1925" t="n">
        <v>3.6</v>
      </c>
      <c r="O1925" t="n">
        <v>0</v>
      </c>
      <c r="P1925" t="n">
        <v>0</v>
      </c>
      <c r="Q1925" t="n">
        <v>0</v>
      </c>
      <c r="R1925" t="inlineStr">
        <is>
          <t>OK</t>
        </is>
      </c>
    </row>
    <row r="1926">
      <c r="A1926" t="inlineStr">
        <is>
          <t>ANDMIDA16TM</t>
        </is>
      </c>
      <c r="B1926" t="inlineStr">
        <is>
          <t>ANDRE ORIGINAL DAMA</t>
        </is>
      </c>
      <c r="C1926" t="inlineStr">
        <is>
          <t>Manufactura / Dama / P. Superiores</t>
        </is>
      </c>
      <c r="D1926" t="n">
        <v>224.70365834</v>
      </c>
      <c r="E1926" t="n">
        <v>5.501477438022153e-05</v>
      </c>
      <c r="F1926" t="n">
        <v>0.9724922594605677</v>
      </c>
      <c r="G1926" t="inlineStr">
        <is>
          <t>C</t>
        </is>
      </c>
      <c r="H1926" t="n">
        <v>1</v>
      </c>
      <c r="I1926" t="n">
        <v>3.274295302</v>
      </c>
      <c r="J1926" t="n">
        <v>3.274295302</v>
      </c>
      <c r="K1926" t="n">
        <v>0.7</v>
      </c>
      <c r="L1926" t="n">
        <v>1.428571428571429</v>
      </c>
      <c r="M1926" t="n">
        <v>4</v>
      </c>
      <c r="N1926" t="n">
        <v>2.8</v>
      </c>
      <c r="O1926" t="n">
        <v>0</v>
      </c>
      <c r="P1926" t="n">
        <v>0</v>
      </c>
      <c r="Q1926" t="n">
        <v>0</v>
      </c>
      <c r="R1926" t="inlineStr">
        <is>
          <t>OK</t>
        </is>
      </c>
    </row>
    <row r="1927">
      <c r="A1927" t="inlineStr">
        <is>
          <t>SABMEDA30TXS</t>
        </is>
      </c>
      <c r="B1927" t="inlineStr">
        <is>
          <t>SABRI SPORT DAMA</t>
        </is>
      </c>
      <c r="C1927" t="inlineStr">
        <is>
          <t>Manufactura / Dama / P. Superiores</t>
        </is>
      </c>
      <c r="D1927" t="n">
        <v>224.1483498</v>
      </c>
      <c r="E1927" t="n">
        <v>5.487881676268562e-05</v>
      </c>
      <c r="F1927" t="n">
        <v>0.9725471382773303</v>
      </c>
      <c r="G1927" t="inlineStr">
        <is>
          <t>C</t>
        </is>
      </c>
      <c r="H1927" t="n">
        <v>56</v>
      </c>
      <c r="I1927" t="n">
        <v>4.51</v>
      </c>
      <c r="J1927" t="n">
        <v>252.56</v>
      </c>
      <c r="K1927" t="n">
        <v>0.7</v>
      </c>
      <c r="L1927" t="n">
        <v>80</v>
      </c>
      <c r="M1927" t="n">
        <v>4</v>
      </c>
      <c r="N1927" t="n">
        <v>2.8</v>
      </c>
      <c r="O1927" t="n">
        <v>53.2</v>
      </c>
      <c r="P1927" t="n">
        <v>239.932</v>
      </c>
      <c r="Q1927" t="n">
        <v>0.95</v>
      </c>
      <c r="R1927" t="inlineStr">
        <is>
          <t>Sobrestock crítico</t>
        </is>
      </c>
    </row>
    <row r="1928">
      <c r="A1928" t="inlineStr">
        <is>
          <t>DAYCSTDA66TXL</t>
        </is>
      </c>
      <c r="B1928" t="inlineStr">
        <is>
          <t>CLASICA DAILY 3.0 DAMA</t>
        </is>
      </c>
      <c r="C1928" t="inlineStr">
        <is>
          <t>Manufactura / Dama / P. Superiores</t>
        </is>
      </c>
      <c r="D1928" t="n">
        <v>223.77434803</v>
      </c>
      <c r="E1928" t="n">
        <v>5.478724894778507e-05</v>
      </c>
      <c r="F1928" t="n">
        <v>0.9726019255262782</v>
      </c>
      <c r="G1928" t="inlineStr">
        <is>
          <t>C</t>
        </is>
      </c>
      <c r="H1928" t="n">
        <v>5</v>
      </c>
      <c r="I1928" t="n">
        <v>10.28586481</v>
      </c>
      <c r="J1928" t="n">
        <v>51.42932405</v>
      </c>
      <c r="K1928" t="n">
        <v>0.5</v>
      </c>
      <c r="L1928" t="n">
        <v>10</v>
      </c>
      <c r="M1928" t="n">
        <v>4</v>
      </c>
      <c r="N1928" t="n">
        <v>2</v>
      </c>
      <c r="O1928" t="n">
        <v>3</v>
      </c>
      <c r="P1928" t="n">
        <v>30.85759443</v>
      </c>
      <c r="Q1928" t="n">
        <v>0.6</v>
      </c>
      <c r="R1928" t="inlineStr">
        <is>
          <t>Sobrestock crítico</t>
        </is>
      </c>
    </row>
    <row r="1929">
      <c r="A1929" t="inlineStr">
        <is>
          <t>CLASTDA16TM</t>
        </is>
      </c>
      <c r="B1929" t="inlineStr">
        <is>
          <t>CLASICA ALGODON STRETCH DAMA</t>
        </is>
      </c>
      <c r="C1929" t="inlineStr">
        <is>
          <t>Manufactura / Dama / P. Superiores</t>
        </is>
      </c>
      <c r="D1929" t="n">
        <v>223.72518931</v>
      </c>
      <c r="E1929" t="n">
        <v>5.477521329198134e-05</v>
      </c>
      <c r="F1929" t="n">
        <v>0.97265670073957</v>
      </c>
      <c r="G1929" t="inlineStr">
        <is>
          <t>C</t>
        </is>
      </c>
      <c r="H1929" t="n">
        <v>0</v>
      </c>
      <c r="I1929" t="n">
        <v>9.27</v>
      </c>
      <c r="J1929" t="n">
        <v>0</v>
      </c>
      <c r="K1929" t="n">
        <v>0.9</v>
      </c>
      <c r="L1929" t="n">
        <v>0</v>
      </c>
      <c r="M1929" t="n">
        <v>4</v>
      </c>
      <c r="N1929" t="n">
        <v>3.6</v>
      </c>
      <c r="O1929" t="n">
        <v>0</v>
      </c>
      <c r="P1929" t="n">
        <v>0</v>
      </c>
      <c r="Q1929" t="n">
        <v>0</v>
      </c>
      <c r="R1929" t="inlineStr">
        <is>
          <t>Riesgo bajo stock</t>
        </is>
      </c>
    </row>
    <row r="1930">
      <c r="A1930" t="inlineStr">
        <is>
          <t>SHOUNCA01TL</t>
        </is>
      </c>
      <c r="B1930" t="inlineStr">
        <is>
          <t>SHORT PLAYA CAB</t>
        </is>
      </c>
      <c r="C1930" t="inlineStr">
        <is>
          <t>Manufactura / Caballero / P. Inferiores</t>
        </is>
      </c>
      <c r="D1930" t="n">
        <v>223.71871383</v>
      </c>
      <c r="E1930" t="n">
        <v>5.47736278835646e-05</v>
      </c>
      <c r="F1930" t="n">
        <v>0.9727114743674536</v>
      </c>
      <c r="G1930" t="inlineStr">
        <is>
          <t>C</t>
        </is>
      </c>
      <c r="H1930" t="n">
        <v>0</v>
      </c>
      <c r="I1930" t="n">
        <v>9.99</v>
      </c>
      <c r="J1930" t="n">
        <v>0</v>
      </c>
      <c r="K1930" t="n">
        <v>0.5</v>
      </c>
      <c r="L1930" t="n">
        <v>0</v>
      </c>
      <c r="M1930" t="n">
        <v>4</v>
      </c>
      <c r="N1930" t="n">
        <v>2</v>
      </c>
      <c r="O1930" t="n">
        <v>0</v>
      </c>
      <c r="P1930" t="n">
        <v>0</v>
      </c>
      <c r="Q1930" t="n">
        <v>0</v>
      </c>
      <c r="R1930" t="inlineStr">
        <is>
          <t>Riesgo bajo stock</t>
        </is>
      </c>
    </row>
    <row r="1931">
      <c r="A1931" t="inlineStr">
        <is>
          <t>VIVMIDA70TM</t>
        </is>
      </c>
      <c r="B1931" t="inlineStr">
        <is>
          <t>VIVI ORIGINAL DAMA</t>
        </is>
      </c>
      <c r="C1931" t="inlineStr">
        <is>
          <t>Manufactura / Dama / P. Superiores</t>
        </is>
      </c>
      <c r="D1931" t="n">
        <v>223.15860388</v>
      </c>
      <c r="E1931" t="n">
        <v>5.463649472447404e-05</v>
      </c>
      <c r="F1931" t="n">
        <v>0.9727661108621781</v>
      </c>
      <c r="G1931" t="inlineStr">
        <is>
          <t>C</t>
        </is>
      </c>
      <c r="H1931" t="n">
        <v>22</v>
      </c>
      <c r="I1931" t="n">
        <v>4.303181706</v>
      </c>
      <c r="J1931" t="n">
        <v>94.669997532</v>
      </c>
      <c r="K1931" t="n">
        <v>0.6</v>
      </c>
      <c r="L1931" t="n">
        <v>36.66666666666667</v>
      </c>
      <c r="M1931" t="n">
        <v>4</v>
      </c>
      <c r="N1931" t="n">
        <v>2.4</v>
      </c>
      <c r="O1931" t="n">
        <v>19.6</v>
      </c>
      <c r="P1931" t="n">
        <v>84.3423614376</v>
      </c>
      <c r="Q1931" t="n">
        <v>0.890909090909091</v>
      </c>
      <c r="R1931" t="inlineStr">
        <is>
          <t>Sobrestock crítico</t>
        </is>
      </c>
    </row>
    <row r="1932">
      <c r="A1932" t="inlineStr">
        <is>
          <t>ANDMIDA04TXL</t>
        </is>
      </c>
      <c r="B1932" t="inlineStr">
        <is>
          <t>ANDRE ORIGINAL DAMA</t>
        </is>
      </c>
      <c r="C1932" t="inlineStr">
        <is>
          <t>Manufactura / Dama / P. Superiores</t>
        </is>
      </c>
      <c r="D1932" t="n">
        <v>223.04678805</v>
      </c>
      <c r="E1932" t="n">
        <v>5.460911856733877e-05</v>
      </c>
      <c r="F1932" t="n">
        <v>0.9728207199807455</v>
      </c>
      <c r="G1932" t="inlineStr">
        <is>
          <t>C</t>
        </is>
      </c>
      <c r="H1932" t="n">
        <v>12</v>
      </c>
      <c r="I1932" t="n">
        <v>3.274295302</v>
      </c>
      <c r="J1932" t="n">
        <v>39.291543624</v>
      </c>
      <c r="K1932" t="n">
        <v>0.6</v>
      </c>
      <c r="L1932" t="n">
        <v>20</v>
      </c>
      <c r="M1932" t="n">
        <v>4</v>
      </c>
      <c r="N1932" t="n">
        <v>2.4</v>
      </c>
      <c r="O1932" t="n">
        <v>9.6</v>
      </c>
      <c r="P1932" t="n">
        <v>31.4332348992</v>
      </c>
      <c r="Q1932" t="n">
        <v>0.7999999999999999</v>
      </c>
      <c r="R1932" t="inlineStr">
        <is>
          <t>Sobrestock crítico</t>
        </is>
      </c>
    </row>
    <row r="1933">
      <c r="A1933" t="inlineStr">
        <is>
          <t>ANDMIDA16TXS</t>
        </is>
      </c>
      <c r="B1933" t="inlineStr">
        <is>
          <t>ANDRE ORIGINAL DAMA</t>
        </is>
      </c>
      <c r="C1933" t="inlineStr">
        <is>
          <t>Manufactura / Dama / P. Superiores</t>
        </is>
      </c>
      <c r="D1933" t="n">
        <v>222.04909768</v>
      </c>
      <c r="E1933" t="n">
        <v>5.436485146900867e-05</v>
      </c>
      <c r="F1933" t="n">
        <v>0.9728750848322145</v>
      </c>
      <c r="G1933" t="inlineStr">
        <is>
          <t>C</t>
        </is>
      </c>
      <c r="H1933" t="n">
        <v>1</v>
      </c>
      <c r="I1933" t="n">
        <v>3.274295302</v>
      </c>
      <c r="J1933" t="n">
        <v>3.274295302</v>
      </c>
      <c r="K1933" t="n">
        <v>0.8</v>
      </c>
      <c r="L1933" t="n">
        <v>1.25</v>
      </c>
      <c r="M1933" t="n">
        <v>4</v>
      </c>
      <c r="N1933" t="n">
        <v>3.2</v>
      </c>
      <c r="O1933" t="n">
        <v>0</v>
      </c>
      <c r="P1933" t="n">
        <v>0</v>
      </c>
      <c r="Q1933" t="n">
        <v>0</v>
      </c>
      <c r="R1933" t="inlineStr">
        <is>
          <t>OK</t>
        </is>
      </c>
    </row>
    <row r="1934">
      <c r="A1934" t="inlineStr">
        <is>
          <t>SHONTDA66TL</t>
        </is>
      </c>
      <c r="B1934" t="inlineStr">
        <is>
          <t>EXPLORE SHORT DAMA</t>
        </is>
      </c>
      <c r="C1934" t="inlineStr">
        <is>
          <t>Manufactura / Dama / P. Inferiores</t>
        </is>
      </c>
      <c r="D1934" t="n">
        <v>221.5366675</v>
      </c>
      <c r="E1934" t="n">
        <v>5.423939187059102e-05</v>
      </c>
      <c r="F1934" t="n">
        <v>0.9729293242240851</v>
      </c>
      <c r="G1934" t="inlineStr">
        <is>
          <t>C</t>
        </is>
      </c>
      <c r="H1934" t="n">
        <v>9</v>
      </c>
      <c r="I1934" t="n">
        <v>10.22113744</v>
      </c>
      <c r="J1934" t="n">
        <v>91.99023696</v>
      </c>
      <c r="K1934" t="n">
        <v>0.6</v>
      </c>
      <c r="L1934" t="n">
        <v>15</v>
      </c>
      <c r="M1934" t="n">
        <v>4</v>
      </c>
      <c r="N1934" t="n">
        <v>2.4</v>
      </c>
      <c r="O1934" t="n">
        <v>6.6</v>
      </c>
      <c r="P1934" t="n">
        <v>67.459507104</v>
      </c>
      <c r="Q1934" t="n">
        <v>0.7333333333333333</v>
      </c>
      <c r="R1934" t="inlineStr">
        <is>
          <t>Sobrestock crítico</t>
        </is>
      </c>
    </row>
    <row r="1935">
      <c r="A1935" t="inlineStr">
        <is>
          <t>CCBHMCA151TS</t>
        </is>
      </c>
      <c r="B1935" t="inlineStr">
        <is>
          <t>CLUB CLASICA CABALLERO</t>
        </is>
      </c>
      <c r="C1935" t="inlineStr">
        <is>
          <t>Manufactura / Caballero / P. Superiores</t>
        </is>
      </c>
      <c r="D1935" t="n">
        <v>220.5</v>
      </c>
      <c r="E1935" t="n">
        <v>5.398558190131355e-05</v>
      </c>
      <c r="F1935" t="n">
        <v>0.9729833098059865</v>
      </c>
      <c r="G1935" t="inlineStr">
        <is>
          <t>C</t>
        </is>
      </c>
      <c r="H1935" t="n">
        <v>28</v>
      </c>
      <c r="I1935" t="n">
        <v>1</v>
      </c>
      <c r="J1935" t="n">
        <v>28</v>
      </c>
      <c r="K1935" t="n">
        <v>0.7</v>
      </c>
      <c r="L1935" t="n">
        <v>40</v>
      </c>
      <c r="M1935" t="n">
        <v>4</v>
      </c>
      <c r="N1935" t="n">
        <v>2.8</v>
      </c>
      <c r="O1935" t="n">
        <v>25.2</v>
      </c>
      <c r="P1935" t="n">
        <v>25.2</v>
      </c>
      <c r="Q1935" t="n">
        <v>0.9</v>
      </c>
      <c r="R1935" t="inlineStr">
        <is>
          <t>Sobrestock crítico</t>
        </is>
      </c>
    </row>
    <row r="1936">
      <c r="A1936" t="inlineStr">
        <is>
          <t>ANDMIDA04TM</t>
        </is>
      </c>
      <c r="B1936" t="inlineStr">
        <is>
          <t>ANDRE ORIGINAL DAMA</t>
        </is>
      </c>
      <c r="C1936" t="inlineStr">
        <is>
          <t>Manufactura / Dama / P. Superiores</t>
        </is>
      </c>
      <c r="D1936" t="n">
        <v>220.49576776</v>
      </c>
      <c r="E1936" t="n">
        <v>5.398454571111335e-05</v>
      </c>
      <c r="F1936" t="n">
        <v>0.9730372943516974</v>
      </c>
      <c r="G1936" t="inlineStr">
        <is>
          <t>C</t>
        </is>
      </c>
      <c r="H1936" t="n">
        <v>25</v>
      </c>
      <c r="I1936" t="n">
        <v>3.274295302</v>
      </c>
      <c r="J1936" t="n">
        <v>81.85738255</v>
      </c>
      <c r="K1936" t="n">
        <v>0.7</v>
      </c>
      <c r="L1936" t="n">
        <v>35.71428571428572</v>
      </c>
      <c r="M1936" t="n">
        <v>4</v>
      </c>
      <c r="N1936" t="n">
        <v>2.8</v>
      </c>
      <c r="O1936" t="n">
        <v>22.2</v>
      </c>
      <c r="P1936" t="n">
        <v>72.6893557044</v>
      </c>
      <c r="Q1936" t="n">
        <v>0.888</v>
      </c>
      <c r="R1936" t="inlineStr">
        <is>
          <t>Sobrestock crítico</t>
        </is>
      </c>
    </row>
    <row r="1937">
      <c r="A1937" t="inlineStr">
        <is>
          <t>RIOMIKI50T1</t>
        </is>
      </c>
      <c r="B1937" t="inlineStr">
        <is>
          <t>RIO ORIGINAL KIDS</t>
        </is>
      </c>
      <c r="C1937" t="inlineStr">
        <is>
          <t>Manufactura / Kids / P. Superiores</t>
        </is>
      </c>
      <c r="D1937" t="n">
        <v>220.13513576</v>
      </c>
      <c r="E1937" t="n">
        <v>5.389625125137532e-05</v>
      </c>
      <c r="F1937" t="n">
        <v>0.9730911906029488</v>
      </c>
      <c r="G1937" t="inlineStr">
        <is>
          <t>C</t>
        </is>
      </c>
      <c r="H1937" t="n">
        <v>0</v>
      </c>
      <c r="I1937" t="n">
        <v>3.617969464</v>
      </c>
      <c r="J1937" t="n">
        <v>0</v>
      </c>
      <c r="K1937" t="n">
        <v>0.5</v>
      </c>
      <c r="L1937" t="n">
        <v>0</v>
      </c>
      <c r="M1937" t="n">
        <v>4</v>
      </c>
      <c r="N1937" t="n">
        <v>2</v>
      </c>
      <c r="O1937" t="n">
        <v>0</v>
      </c>
      <c r="P1937" t="n">
        <v>0</v>
      </c>
      <c r="Q1937" t="n">
        <v>0</v>
      </c>
      <c r="R1937" t="inlineStr">
        <is>
          <t>Riesgo bajo stock</t>
        </is>
      </c>
    </row>
    <row r="1938">
      <c r="A1938" t="inlineStr">
        <is>
          <t>TALGTACA12T2XL</t>
        </is>
      </c>
      <c r="B1938" t="inlineStr">
        <is>
          <t>URBAN COTTON OVERSIZED OUTSIDE CAB</t>
        </is>
      </c>
      <c r="C1938" t="inlineStr">
        <is>
          <t>Manufactura / Caballero / P. Superiores</t>
        </is>
      </c>
      <c r="D1938" t="n">
        <v>219.75246888</v>
      </c>
      <c r="E1938" t="n">
        <v>5.380256193531564e-05</v>
      </c>
      <c r="F1938" t="n">
        <v>0.9731449931648842</v>
      </c>
      <c r="G1938" t="inlineStr">
        <is>
          <t>C</t>
        </is>
      </c>
      <c r="H1938" t="n">
        <v>9</v>
      </c>
      <c r="I1938" t="n">
        <v>12.16758159</v>
      </c>
      <c r="J1938" t="n">
        <v>109.50823431</v>
      </c>
      <c r="K1938" t="n">
        <v>0.4</v>
      </c>
      <c r="L1938" t="n">
        <v>22.5</v>
      </c>
      <c r="M1938" t="n">
        <v>4</v>
      </c>
      <c r="N1938" t="n">
        <v>1.6</v>
      </c>
      <c r="O1938" t="n">
        <v>7.4</v>
      </c>
      <c r="P1938" t="n">
        <v>90.040103766</v>
      </c>
      <c r="Q1938" t="n">
        <v>0.8222222222222223</v>
      </c>
      <c r="R1938" t="inlineStr">
        <is>
          <t>Sobrestock crítico</t>
        </is>
      </c>
    </row>
    <row r="1939">
      <c r="A1939" t="inlineStr">
        <is>
          <t>CLAMEDA43TXL</t>
        </is>
      </c>
      <c r="B1939" t="inlineStr">
        <is>
          <t>CLÁSICA SPORT DAMA</t>
        </is>
      </c>
      <c r="C1939" t="inlineStr">
        <is>
          <t>Manufactura / Dama / P. Superiores</t>
        </is>
      </c>
      <c r="D1939" t="n">
        <v>219.3386408</v>
      </c>
      <c r="E1939" t="n">
        <v>5.37012433425451e-05</v>
      </c>
      <c r="F1939" t="n">
        <v>0.9731986944082267</v>
      </c>
      <c r="G1939" t="inlineStr">
        <is>
          <t>C</t>
        </is>
      </c>
      <c r="H1939" t="n">
        <v>2</v>
      </c>
      <c r="I1939" t="n">
        <v>6.536105769</v>
      </c>
      <c r="J1939" t="n">
        <v>13.072211538</v>
      </c>
      <c r="K1939" t="n">
        <v>0.5</v>
      </c>
      <c r="L1939" t="n">
        <v>4</v>
      </c>
      <c r="M1939" t="n">
        <v>4</v>
      </c>
      <c r="N1939" t="n">
        <v>2</v>
      </c>
      <c r="O1939" t="n">
        <v>0</v>
      </c>
      <c r="P1939" t="n">
        <v>0</v>
      </c>
      <c r="Q1939" t="n">
        <v>0</v>
      </c>
      <c r="R1939" t="inlineStr">
        <is>
          <t>OK</t>
        </is>
      </c>
    </row>
    <row r="1940">
      <c r="A1940" t="inlineStr">
        <is>
          <t>HELBFDA30TXS</t>
        </is>
      </c>
      <c r="B1940" t="inlineStr">
        <is>
          <t>HELEN BIO MOVE DAMA</t>
        </is>
      </c>
      <c r="C1940" t="inlineStr">
        <is>
          <t>Manufactura / Dama / P. Superiores</t>
        </is>
      </c>
      <c r="D1940" t="n">
        <v>219.18877355</v>
      </c>
      <c r="E1940" t="n">
        <v>5.366455095842175e-05</v>
      </c>
      <c r="F1940" t="n">
        <v>0.973252358959185</v>
      </c>
      <c r="G1940" t="inlineStr">
        <is>
          <t>C</t>
        </is>
      </c>
      <c r="H1940" t="n">
        <v>158</v>
      </c>
      <c r="I1940" t="n">
        <v>7.34081746</v>
      </c>
      <c r="J1940" t="n">
        <v>1159.84915868</v>
      </c>
      <c r="K1940" t="n">
        <v>0.4</v>
      </c>
      <c r="L1940" t="n">
        <v>395</v>
      </c>
      <c r="M1940" t="n">
        <v>4</v>
      </c>
      <c r="N1940" t="n">
        <v>1.6</v>
      </c>
      <c r="O1940" t="n">
        <v>156.4</v>
      </c>
      <c r="P1940" t="n">
        <v>1148.103850744</v>
      </c>
      <c r="Q1940" t="n">
        <v>0.9898734177215189</v>
      </c>
      <c r="R1940" t="inlineStr">
        <is>
          <t>Sobrestock crítico</t>
        </is>
      </c>
    </row>
    <row r="1941">
      <c r="A1941" t="inlineStr">
        <is>
          <t>ZOEMIKI12T6</t>
        </is>
      </c>
      <c r="B1941" t="inlineStr">
        <is>
          <t>ZOE ORIGINAL KIDS</t>
        </is>
      </c>
      <c r="C1941" t="inlineStr">
        <is>
          <t>Manufactura / Kids / P. Superiores</t>
        </is>
      </c>
      <c r="D1941" t="n">
        <v>219.03402721</v>
      </c>
      <c r="E1941" t="n">
        <v>5.362666401414965e-05</v>
      </c>
      <c r="F1941" t="n">
        <v>0.9733059856231993</v>
      </c>
      <c r="G1941" t="inlineStr">
        <is>
          <t>C</t>
        </is>
      </c>
      <c r="H1941" t="n">
        <v>25</v>
      </c>
      <c r="I1941" t="n">
        <v>4.12</v>
      </c>
      <c r="J1941" t="n">
        <v>103</v>
      </c>
      <c r="K1941" t="n">
        <v>0.6</v>
      </c>
      <c r="L1941" t="n">
        <v>41.66666666666667</v>
      </c>
      <c r="M1941" t="n">
        <v>4</v>
      </c>
      <c r="N1941" t="n">
        <v>2.4</v>
      </c>
      <c r="O1941" t="n">
        <v>22.6</v>
      </c>
      <c r="P1941" t="n">
        <v>93.11200000000001</v>
      </c>
      <c r="Q1941" t="n">
        <v>0.9040000000000001</v>
      </c>
      <c r="R1941" t="inlineStr">
        <is>
          <t>Sobrestock crítico</t>
        </is>
      </c>
    </row>
    <row r="1942">
      <c r="A1942" t="inlineStr">
        <is>
          <t>NAHFNCA24TL</t>
        </is>
      </c>
      <c r="B1942" t="inlineStr">
        <is>
          <t>NOAH SPORT LITE CAB</t>
        </is>
      </c>
      <c r="C1942" t="inlineStr">
        <is>
          <t>Manufactura / Caballero / P. Superiores</t>
        </is>
      </c>
      <c r="D1942" t="n">
        <v>219.03136388</v>
      </c>
      <c r="E1942" t="n">
        <v>5.362601194421836e-05</v>
      </c>
      <c r="F1942" t="n">
        <v>0.9733596116351435</v>
      </c>
      <c r="G1942" t="inlineStr">
        <is>
          <t>C</t>
        </is>
      </c>
      <c r="H1942" t="n">
        <v>19</v>
      </c>
      <c r="I1942" t="n">
        <v>17.61141534</v>
      </c>
      <c r="J1942" t="n">
        <v>334.61689146</v>
      </c>
      <c r="K1942" t="n">
        <v>1</v>
      </c>
      <c r="L1942" t="n">
        <v>19</v>
      </c>
      <c r="M1942" t="n">
        <v>4</v>
      </c>
      <c r="N1942" t="n">
        <v>4</v>
      </c>
      <c r="O1942" t="n">
        <v>15</v>
      </c>
      <c r="P1942" t="n">
        <v>264.1712301</v>
      </c>
      <c r="Q1942" t="n">
        <v>0.7894736842105262</v>
      </c>
      <c r="R1942" t="inlineStr">
        <is>
          <t>Sobrestock crítico</t>
        </is>
      </c>
    </row>
    <row r="1943">
      <c r="A1943" t="inlineStr">
        <is>
          <t>HELBFDA206TXS</t>
        </is>
      </c>
      <c r="B1943" t="inlineStr">
        <is>
          <t>HELEN BIO MOVE DAMA</t>
        </is>
      </c>
      <c r="C1943" t="inlineStr">
        <is>
          <t>Manufactura / Dama / P. Superiores</t>
        </is>
      </c>
      <c r="D1943" t="n">
        <v>219</v>
      </c>
      <c r="E1943" t="n">
        <v>5.361833304484203e-05</v>
      </c>
      <c r="F1943" t="n">
        <v>0.9734132299681882</v>
      </c>
      <c r="G1943" t="inlineStr">
        <is>
          <t>C</t>
        </is>
      </c>
      <c r="H1943" t="n">
        <v>15</v>
      </c>
      <c r="I1943" t="n">
        <v>7.34081746</v>
      </c>
      <c r="J1943" t="n">
        <v>110.1122619</v>
      </c>
      <c r="K1943" t="n">
        <v>0.4</v>
      </c>
      <c r="L1943" t="n">
        <v>37.5</v>
      </c>
      <c r="M1943" t="n">
        <v>4</v>
      </c>
      <c r="N1943" t="n">
        <v>1.6</v>
      </c>
      <c r="O1943" t="n">
        <v>13.4</v>
      </c>
      <c r="P1943" t="n">
        <v>98.366953964</v>
      </c>
      <c r="Q1943" t="n">
        <v>0.8933333333333333</v>
      </c>
      <c r="R1943" t="inlineStr">
        <is>
          <t>Sobrestock crítico</t>
        </is>
      </c>
    </row>
    <row r="1944">
      <c r="A1944" t="inlineStr">
        <is>
          <t>ZOEMIKI53T4</t>
        </is>
      </c>
      <c r="B1944" t="inlineStr">
        <is>
          <t>ZOE ORIGINAL KIDS</t>
        </is>
      </c>
      <c r="C1944" t="inlineStr">
        <is>
          <t>Manufactura / Kids / P. Superiores</t>
        </is>
      </c>
      <c r="D1944" t="n">
        <v>218.79891565</v>
      </c>
      <c r="E1944" t="n">
        <v>5.356910104644748e-05</v>
      </c>
      <c r="F1944" t="n">
        <v>0.9734667990692348</v>
      </c>
      <c r="G1944" t="inlineStr">
        <is>
          <t>C</t>
        </is>
      </c>
      <c r="H1944" t="n">
        <v>7</v>
      </c>
      <c r="I1944" t="n">
        <v>4.12</v>
      </c>
      <c r="J1944" t="n">
        <v>28.84</v>
      </c>
      <c r="K1944" t="n">
        <v>0.7</v>
      </c>
      <c r="L1944" t="n">
        <v>10</v>
      </c>
      <c r="M1944" t="n">
        <v>4</v>
      </c>
      <c r="N1944" t="n">
        <v>2.8</v>
      </c>
      <c r="O1944" t="n">
        <v>4.2</v>
      </c>
      <c r="P1944" t="n">
        <v>17.304</v>
      </c>
      <c r="Q1944" t="n">
        <v>0.6000000000000001</v>
      </c>
      <c r="R1944" t="inlineStr">
        <is>
          <t>Sobrestock crítico</t>
        </is>
      </c>
    </row>
    <row r="1945">
      <c r="A1945" t="inlineStr">
        <is>
          <t>SHOUNCA01T2XL</t>
        </is>
      </c>
      <c r="B1945" t="inlineStr">
        <is>
          <t>SHORT PLAYA CAB</t>
        </is>
      </c>
      <c r="C1945" t="inlineStr">
        <is>
          <t>Manufactura / Caballero / P. Inferiores</t>
        </is>
      </c>
      <c r="D1945" t="n">
        <v>218.63949579</v>
      </c>
      <c r="E1945" t="n">
        <v>5.353006987225825e-05</v>
      </c>
      <c r="F1945" t="n">
        <v>0.973520329139107</v>
      </c>
      <c r="G1945" t="inlineStr">
        <is>
          <t>C</t>
        </is>
      </c>
      <c r="H1945" t="n">
        <v>0</v>
      </c>
      <c r="I1945" t="n">
        <v>9.99</v>
      </c>
      <c r="J1945" t="n">
        <v>0</v>
      </c>
      <c r="K1945" t="n">
        <v>0.6</v>
      </c>
      <c r="L1945" t="n">
        <v>0</v>
      </c>
      <c r="M1945" t="n">
        <v>4</v>
      </c>
      <c r="N1945" t="n">
        <v>2.4</v>
      </c>
      <c r="O1945" t="n">
        <v>0</v>
      </c>
      <c r="P1945" t="n">
        <v>0</v>
      </c>
      <c r="Q1945" t="n">
        <v>0</v>
      </c>
      <c r="R1945" t="inlineStr">
        <is>
          <t>Sin rotación</t>
        </is>
      </c>
    </row>
    <row r="1946">
      <c r="A1946" t="inlineStr">
        <is>
          <t>MAFMIDA11TXL</t>
        </is>
      </c>
      <c r="B1946" t="inlineStr">
        <is>
          <t>MAFE ORIGINAL DAMA</t>
        </is>
      </c>
      <c r="C1946" t="inlineStr">
        <is>
          <t>Manufactura / Dama / P. Superiores</t>
        </is>
      </c>
      <c r="D1946" t="n">
        <v>218.58158704</v>
      </c>
      <c r="E1946" t="n">
        <v>5.351589192411345e-05</v>
      </c>
      <c r="F1946" t="n">
        <v>0.9735738450310312</v>
      </c>
      <c r="G1946" t="inlineStr">
        <is>
          <t>C</t>
        </is>
      </c>
      <c r="H1946" t="n">
        <v>18</v>
      </c>
      <c r="I1946" t="n">
        <v>4.54817671</v>
      </c>
      <c r="J1946" t="n">
        <v>81.86718078</v>
      </c>
      <c r="K1946" t="n">
        <v>2.7</v>
      </c>
      <c r="L1946" t="n">
        <v>6.666666666666666</v>
      </c>
      <c r="M1946" t="n">
        <v>4</v>
      </c>
      <c r="N1946" t="n">
        <v>10.8</v>
      </c>
      <c r="O1946" t="n">
        <v>7.199999999999999</v>
      </c>
      <c r="P1946" t="n">
        <v>32.74687231199999</v>
      </c>
      <c r="Q1946" t="n">
        <v>0.3999999999999999</v>
      </c>
      <c r="R1946" t="inlineStr">
        <is>
          <t>Sobrestock crítico</t>
        </is>
      </c>
    </row>
    <row r="1947">
      <c r="A1947" t="inlineStr">
        <is>
          <t>SHONRKI66T12</t>
        </is>
      </c>
      <c r="B1947" t="inlineStr">
        <is>
          <t>SHORT SPORT KIDS</t>
        </is>
      </c>
      <c r="C1947" t="inlineStr">
        <is>
          <t>Manufactura / Kids / P. Inferiores</t>
        </is>
      </c>
      <c r="D1947" t="n">
        <v>218.50591826</v>
      </c>
      <c r="E1947" t="n">
        <v>5.349736574216306e-05</v>
      </c>
      <c r="F1947" t="n">
        <v>0.9736273423967733</v>
      </c>
      <c r="G1947" t="inlineStr">
        <is>
          <t>C</t>
        </is>
      </c>
      <c r="H1947" t="n">
        <v>10</v>
      </c>
      <c r="I1947" t="n">
        <v>6.465724382</v>
      </c>
      <c r="J1947" t="n">
        <v>64.65724382000001</v>
      </c>
      <c r="K1947" t="n">
        <v>0.8</v>
      </c>
      <c r="L1947" t="n">
        <v>12.5</v>
      </c>
      <c r="M1947" t="n">
        <v>4</v>
      </c>
      <c r="N1947" t="n">
        <v>3.2</v>
      </c>
      <c r="O1947" t="n">
        <v>6.8</v>
      </c>
      <c r="P1947" t="n">
        <v>43.9669257976</v>
      </c>
      <c r="Q1947" t="n">
        <v>0.6799999999999999</v>
      </c>
      <c r="R1947" t="inlineStr">
        <is>
          <t>Sobrestock crítico</t>
        </is>
      </c>
    </row>
    <row r="1948">
      <c r="A1948" t="inlineStr">
        <is>
          <t>CLAMIDA43TXL</t>
        </is>
      </c>
      <c r="B1948" t="inlineStr">
        <is>
          <t>CLASICA ORIGINAL DAMA</t>
        </is>
      </c>
      <c r="C1948" t="inlineStr">
        <is>
          <t>Manufactura / Dama / P. Superiores</t>
        </is>
      </c>
      <c r="D1948" t="n">
        <v>218.38507454</v>
      </c>
      <c r="E1948" t="n">
        <v>5.346777926350855e-05</v>
      </c>
      <c r="F1948" t="n">
        <v>0.9736808101760368</v>
      </c>
      <c r="G1948" t="inlineStr">
        <is>
          <t>C</t>
        </is>
      </c>
      <c r="H1948" t="n">
        <v>16</v>
      </c>
      <c r="I1948" t="n">
        <v>3.923227589</v>
      </c>
      <c r="J1948" t="n">
        <v>62.771641424</v>
      </c>
      <c r="K1948" t="n">
        <v>1.7</v>
      </c>
      <c r="L1948" t="n">
        <v>9.411764705882353</v>
      </c>
      <c r="M1948" t="n">
        <v>4</v>
      </c>
      <c r="N1948" t="n">
        <v>6.8</v>
      </c>
      <c r="O1948" t="n">
        <v>9.199999999999999</v>
      </c>
      <c r="P1948" t="n">
        <v>36.0936938188</v>
      </c>
      <c r="Q1948" t="n">
        <v>0.575</v>
      </c>
      <c r="R1948" t="inlineStr">
        <is>
          <t>Sobrestock crítico</t>
        </is>
      </c>
    </row>
    <row r="1949">
      <c r="A1949" t="inlineStr">
        <is>
          <t>MAADFDA70TS</t>
        </is>
      </c>
      <c r="B1949" t="inlineStr">
        <is>
          <t>MAFE ADVANCE DAMA</t>
        </is>
      </c>
      <c r="C1949" t="inlineStr">
        <is>
          <t>Manufactura / Dama / P. Superiores</t>
        </is>
      </c>
      <c r="D1949" t="n">
        <v>217.35543585</v>
      </c>
      <c r="E1949" t="n">
        <v>5.321569017585432e-05</v>
      </c>
      <c r="F1949" t="n">
        <v>0.9737340258662126</v>
      </c>
      <c r="G1949" t="inlineStr">
        <is>
          <t>C</t>
        </is>
      </c>
      <c r="H1949" t="n">
        <v>14</v>
      </c>
      <c r="I1949" t="n">
        <v>4.98</v>
      </c>
      <c r="J1949" t="n">
        <v>69.72</v>
      </c>
      <c r="K1949" t="n">
        <v>0.9</v>
      </c>
      <c r="L1949" t="n">
        <v>15.55555555555556</v>
      </c>
      <c r="M1949" t="n">
        <v>4</v>
      </c>
      <c r="N1949" t="n">
        <v>3.6</v>
      </c>
      <c r="O1949" t="n">
        <v>10.4</v>
      </c>
      <c r="P1949" t="n">
        <v>51.79200000000001</v>
      </c>
      <c r="Q1949" t="n">
        <v>0.742857142857143</v>
      </c>
      <c r="R1949" t="inlineStr">
        <is>
          <t>Sobrestock crítico</t>
        </is>
      </c>
    </row>
    <row r="1950">
      <c r="A1950" t="inlineStr">
        <is>
          <t>VIVMIDA11TS</t>
        </is>
      </c>
      <c r="B1950" t="inlineStr">
        <is>
          <t>VIVI ORIGINAL DAMA</t>
        </is>
      </c>
      <c r="C1950" t="inlineStr">
        <is>
          <t>Manufactura / Dama / P. Superiores</t>
        </is>
      </c>
      <c r="D1950" t="n">
        <v>217.24026305</v>
      </c>
      <c r="E1950" t="n">
        <v>5.318749212312324e-05</v>
      </c>
      <c r="F1950" t="n">
        <v>0.9737872133583357</v>
      </c>
      <c r="G1950" t="inlineStr">
        <is>
          <t>C</t>
        </is>
      </c>
      <c r="H1950" t="n">
        <v>33</v>
      </c>
      <c r="I1950" t="n">
        <v>4.303181706</v>
      </c>
      <c r="J1950" t="n">
        <v>142.004996298</v>
      </c>
      <c r="K1950" t="n">
        <v>0.6</v>
      </c>
      <c r="L1950" t="n">
        <v>55</v>
      </c>
      <c r="M1950" t="n">
        <v>4</v>
      </c>
      <c r="N1950" t="n">
        <v>2.4</v>
      </c>
      <c r="O1950" t="n">
        <v>30.6</v>
      </c>
      <c r="P1950" t="n">
        <v>131.6773602036</v>
      </c>
      <c r="Q1950" t="n">
        <v>0.9272727272727274</v>
      </c>
      <c r="R1950" t="inlineStr">
        <is>
          <t>Sobrestock crítico</t>
        </is>
      </c>
    </row>
    <row r="1951">
      <c r="A1951" t="inlineStr">
        <is>
          <t>MARMIKI13T1</t>
        </is>
      </c>
      <c r="B1951" t="inlineStr">
        <is>
          <t>MAR ORIGINAL KIDS</t>
        </is>
      </c>
      <c r="C1951" t="inlineStr">
        <is>
          <t>Manufactura / Kids / P. Superiores</t>
        </is>
      </c>
      <c r="D1951" t="n">
        <v>216.80264167</v>
      </c>
      <c r="E1951" t="n">
        <v>5.308034815554159e-05</v>
      </c>
      <c r="F1951" t="n">
        <v>0.9738402937064913</v>
      </c>
      <c r="G1951" t="inlineStr">
        <is>
          <t>C</t>
        </is>
      </c>
      <c r="H1951" t="n">
        <v>0</v>
      </c>
      <c r="I1951" t="n">
        <v>3.168013332</v>
      </c>
      <c r="J1951" t="n">
        <v>0</v>
      </c>
      <c r="K1951" t="n">
        <v>0.6</v>
      </c>
      <c r="L1951" t="n">
        <v>0</v>
      </c>
      <c r="M1951" t="n">
        <v>4</v>
      </c>
      <c r="N1951" t="n">
        <v>2.4</v>
      </c>
      <c r="O1951" t="n">
        <v>0</v>
      </c>
      <c r="P1951" t="n">
        <v>0</v>
      </c>
      <c r="Q1951" t="n">
        <v>0</v>
      </c>
      <c r="R1951" t="inlineStr">
        <is>
          <t>Riesgo bajo stock</t>
        </is>
      </c>
    </row>
    <row r="1952">
      <c r="A1952" t="inlineStr">
        <is>
          <t>ETN88E300ML</t>
        </is>
      </c>
      <c r="B1952" t="inlineStr">
        <is>
          <t>KAMBUKKA ETNA 300 ML</t>
        </is>
      </c>
      <c r="C1952" t="inlineStr">
        <is>
          <t>Equipamiento / Cava</t>
        </is>
      </c>
      <c r="D1952" t="n">
        <v>216.74274306</v>
      </c>
      <c r="E1952" t="n">
        <v>5.30656830248571e-05</v>
      </c>
      <c r="F1952" t="n">
        <v>0.973893359389516</v>
      </c>
      <c r="G1952" t="inlineStr">
        <is>
          <t>C</t>
        </is>
      </c>
      <c r="H1952" t="n">
        <v>6</v>
      </c>
      <c r="I1952" t="n">
        <v>23.5</v>
      </c>
      <c r="J1952" t="n">
        <v>141</v>
      </c>
      <c r="K1952" t="n">
        <v>0.5</v>
      </c>
      <c r="L1952" t="n">
        <v>12</v>
      </c>
      <c r="M1952" t="n">
        <v>4</v>
      </c>
      <c r="N1952" t="n">
        <v>2</v>
      </c>
      <c r="O1952" t="n">
        <v>4</v>
      </c>
      <c r="P1952" t="n">
        <v>94</v>
      </c>
      <c r="Q1952" t="n">
        <v>0.6666666666666666</v>
      </c>
      <c r="R1952" t="inlineStr">
        <is>
          <t>Sobrestock crítico</t>
        </is>
      </c>
    </row>
    <row r="1953">
      <c r="A1953" t="inlineStr">
        <is>
          <t>SARSPDA70TS</t>
        </is>
      </c>
      <c r="B1953" t="inlineStr">
        <is>
          <t>FALDA SARA DAMA</t>
        </is>
      </c>
      <c r="C1953" t="inlineStr">
        <is>
          <t>Manufactura / Dama / P. Inferiores</t>
        </is>
      </c>
      <c r="D1953" t="n">
        <v>216.56779757</v>
      </c>
      <c r="E1953" t="n">
        <v>5.302285067075886e-05</v>
      </c>
      <c r="F1953" t="n">
        <v>0.9739463822401869</v>
      </c>
      <c r="G1953" t="inlineStr">
        <is>
          <t>C</t>
        </is>
      </c>
      <c r="H1953" t="n">
        <v>23</v>
      </c>
      <c r="I1953" t="n">
        <v>9.500113852</v>
      </c>
      <c r="J1953" t="n">
        <v>218.502618596</v>
      </c>
      <c r="K1953" t="n">
        <v>0.5</v>
      </c>
      <c r="L1953" t="n">
        <v>46</v>
      </c>
      <c r="M1953" t="n">
        <v>4</v>
      </c>
      <c r="N1953" t="n">
        <v>2</v>
      </c>
      <c r="O1953" t="n">
        <v>21</v>
      </c>
      <c r="P1953" t="n">
        <v>199.502390892</v>
      </c>
      <c r="Q1953" t="n">
        <v>0.9130434782608696</v>
      </c>
      <c r="R1953" t="inlineStr">
        <is>
          <t>Sobrestock crítico</t>
        </is>
      </c>
    </row>
    <row r="1954">
      <c r="A1954" t="inlineStr">
        <is>
          <t>MARMICA34TM</t>
        </is>
      </c>
      <c r="B1954" t="inlineStr">
        <is>
          <t>MAR ORIGINAL CAB</t>
        </is>
      </c>
      <c r="C1954" t="inlineStr">
        <is>
          <t>Manufactura / Caballero / P. Superiores</t>
        </is>
      </c>
      <c r="D1954" t="n">
        <v>216.19317492</v>
      </c>
      <c r="E1954" t="n">
        <v>5.293113084421164e-05</v>
      </c>
      <c r="F1954" t="n">
        <v>0.9739993133710311</v>
      </c>
      <c r="G1954" t="inlineStr">
        <is>
          <t>C</t>
        </is>
      </c>
      <c r="H1954" t="n">
        <v>0</v>
      </c>
      <c r="I1954" t="n">
        <v>4.946357428</v>
      </c>
      <c r="J1954" t="n">
        <v>0</v>
      </c>
      <c r="K1954" t="n">
        <v>1.5</v>
      </c>
      <c r="L1954" t="n">
        <v>0</v>
      </c>
      <c r="M1954" t="n">
        <v>4</v>
      </c>
      <c r="N1954" t="n">
        <v>6</v>
      </c>
      <c r="O1954" t="n">
        <v>0</v>
      </c>
      <c r="P1954" t="n">
        <v>0</v>
      </c>
      <c r="Q1954" t="n">
        <v>0</v>
      </c>
      <c r="R1954" t="inlineStr">
        <is>
          <t>Riesgo bajo stock</t>
        </is>
      </c>
    </row>
    <row r="1955">
      <c r="A1955" t="inlineStr">
        <is>
          <t>CLAMICA04TXL</t>
        </is>
      </c>
      <c r="B1955" t="inlineStr">
        <is>
          <t>CLASICA ORIGINAL CAB</t>
        </is>
      </c>
      <c r="C1955" t="inlineStr">
        <is>
          <t>Manufactura / Caballero / P. Superiores</t>
        </is>
      </c>
      <c r="D1955" t="n">
        <v>215.35039436</v>
      </c>
      <c r="E1955" t="n">
        <v>5.272479071293402e-05</v>
      </c>
      <c r="F1955" t="n">
        <v>0.9740520381617441</v>
      </c>
      <c r="G1955" t="inlineStr">
        <is>
          <t>C</t>
        </is>
      </c>
      <c r="H1955" t="n">
        <v>24</v>
      </c>
      <c r="I1955" t="n">
        <v>4.598442536</v>
      </c>
      <c r="J1955" t="n">
        <v>110.362620864</v>
      </c>
      <c r="K1955" t="n">
        <v>0.5</v>
      </c>
      <c r="L1955" t="n">
        <v>48</v>
      </c>
      <c r="M1955" t="n">
        <v>4</v>
      </c>
      <c r="N1955" t="n">
        <v>2</v>
      </c>
      <c r="O1955" t="n">
        <v>22</v>
      </c>
      <c r="P1955" t="n">
        <v>101.165735792</v>
      </c>
      <c r="Q1955" t="n">
        <v>0.9166666666666666</v>
      </c>
      <c r="R1955" t="inlineStr">
        <is>
          <t>Sobrestock crítico</t>
        </is>
      </c>
    </row>
    <row r="1956">
      <c r="A1956" t="inlineStr">
        <is>
          <t>ANDMIDA12TL</t>
        </is>
      </c>
      <c r="B1956" t="inlineStr">
        <is>
          <t>ANDRE ORIGINAL DAMA</t>
        </is>
      </c>
      <c r="C1956" t="inlineStr">
        <is>
          <t>Manufactura / Dama / P. Superiores</t>
        </is>
      </c>
      <c r="D1956" t="n">
        <v>215.24891742</v>
      </c>
      <c r="E1956" t="n">
        <v>5.269994585281854e-05</v>
      </c>
      <c r="F1956" t="n">
        <v>0.974104738107597</v>
      </c>
      <c r="G1956" t="inlineStr">
        <is>
          <t>C</t>
        </is>
      </c>
      <c r="H1956" t="n">
        <v>41</v>
      </c>
      <c r="I1956" t="n">
        <v>3.274295302</v>
      </c>
      <c r="J1956" t="n">
        <v>134.246107382</v>
      </c>
      <c r="K1956" t="n">
        <v>0.6</v>
      </c>
      <c r="L1956" t="n">
        <v>68.33333333333334</v>
      </c>
      <c r="M1956" t="n">
        <v>4</v>
      </c>
      <c r="N1956" t="n">
        <v>2.4</v>
      </c>
      <c r="O1956" t="n">
        <v>38.6</v>
      </c>
      <c r="P1956" t="n">
        <v>126.3877986572</v>
      </c>
      <c r="Q1956" t="n">
        <v>0.9414634146341465</v>
      </c>
      <c r="R1956" t="inlineStr">
        <is>
          <t>Sobrestock crítico</t>
        </is>
      </c>
    </row>
    <row r="1957">
      <c r="A1957" t="inlineStr">
        <is>
          <t>TALGTADA170TXS</t>
        </is>
      </c>
      <c r="B1957" t="inlineStr">
        <is>
          <t>URBAN COTTON TOP GRAY BLOCK DAMA</t>
        </is>
      </c>
      <c r="C1957" t="inlineStr">
        <is>
          <t>Manufactura / Dama / P. Superiores</t>
        </is>
      </c>
      <c r="D1957" t="n">
        <v>215.14351664</v>
      </c>
      <c r="E1957" t="n">
        <v>5.267414030886773e-05</v>
      </c>
      <c r="F1957" t="n">
        <v>0.9741574122479059</v>
      </c>
      <c r="G1957" t="inlineStr">
        <is>
          <t>C</t>
        </is>
      </c>
      <c r="H1957" t="n">
        <v>30</v>
      </c>
      <c r="I1957" t="n">
        <v>7.811820557</v>
      </c>
      <c r="J1957" t="n">
        <v>234.35461671</v>
      </c>
      <c r="K1957" t="n">
        <v>0.6</v>
      </c>
      <c r="L1957" t="n">
        <v>50</v>
      </c>
      <c r="M1957" t="n">
        <v>4</v>
      </c>
      <c r="N1957" t="n">
        <v>2.4</v>
      </c>
      <c r="O1957" t="n">
        <v>27.6</v>
      </c>
      <c r="P1957" t="n">
        <v>215.6062473732</v>
      </c>
      <c r="Q1957" t="n">
        <v>0.92</v>
      </c>
      <c r="R1957" t="inlineStr">
        <is>
          <t>Sobrestock crítico</t>
        </is>
      </c>
    </row>
    <row r="1958">
      <c r="A1958" t="inlineStr">
        <is>
          <t>DOMBFCA30TL</t>
        </is>
      </c>
      <c r="B1958" t="inlineStr">
        <is>
          <t>DOMINIC BIO MOVE CAB</t>
        </is>
      </c>
      <c r="C1958" t="inlineStr">
        <is>
          <t>Manufactura / Caballero / P. Superiores</t>
        </is>
      </c>
      <c r="D1958" t="n">
        <v>214.87538553</v>
      </c>
      <c r="E1958" t="n">
        <v>5.260849307984644e-05</v>
      </c>
      <c r="F1958" t="n">
        <v>0.9742100207409857</v>
      </c>
      <c r="G1958" t="inlineStr">
        <is>
          <t>C</t>
        </is>
      </c>
      <c r="H1958" t="n">
        <v>16</v>
      </c>
      <c r="I1958" t="n">
        <v>13.86</v>
      </c>
      <c r="J1958" t="n">
        <v>221.76</v>
      </c>
      <c r="K1958" t="n">
        <v>0.4</v>
      </c>
      <c r="L1958" t="n">
        <v>40</v>
      </c>
      <c r="M1958" t="n">
        <v>4</v>
      </c>
      <c r="N1958" t="n">
        <v>1.6</v>
      </c>
      <c r="O1958" t="n">
        <v>14.4</v>
      </c>
      <c r="P1958" t="n">
        <v>199.584</v>
      </c>
      <c r="Q1958" t="n">
        <v>0.9</v>
      </c>
      <c r="R1958" t="inlineStr">
        <is>
          <t>Sobrestock crítico</t>
        </is>
      </c>
    </row>
    <row r="1959">
      <c r="A1959" t="inlineStr">
        <is>
          <t>SARSPKI30T4</t>
        </is>
      </c>
      <c r="B1959" t="inlineStr">
        <is>
          <t>FALDA SARA KIDS</t>
        </is>
      </c>
      <c r="C1959" t="inlineStr">
        <is>
          <t>Manufactura / Kids / P. Inferiores</t>
        </is>
      </c>
      <c r="D1959" t="n">
        <v>214.19932852</v>
      </c>
      <c r="E1959" t="n">
        <v>5.24429723039584e-05</v>
      </c>
      <c r="F1959" t="n">
        <v>0.9742624637132896</v>
      </c>
      <c r="G1959" t="inlineStr">
        <is>
          <t>C</t>
        </is>
      </c>
      <c r="H1959" t="n">
        <v>11</v>
      </c>
      <c r="I1959" t="n">
        <v>5.753743316</v>
      </c>
      <c r="J1959" t="n">
        <v>63.291176476</v>
      </c>
      <c r="K1959" t="n">
        <v>0.6</v>
      </c>
      <c r="L1959" t="n">
        <v>18.33333333333334</v>
      </c>
      <c r="M1959" t="n">
        <v>4</v>
      </c>
      <c r="N1959" t="n">
        <v>2.4</v>
      </c>
      <c r="O1959" t="n">
        <v>8.6</v>
      </c>
      <c r="P1959" t="n">
        <v>49.48219251760001</v>
      </c>
      <c r="Q1959" t="n">
        <v>0.7818181818181819</v>
      </c>
      <c r="R1959" t="inlineStr">
        <is>
          <t>Sobrestock crítico</t>
        </is>
      </c>
    </row>
    <row r="1960">
      <c r="A1960" t="inlineStr">
        <is>
          <t>ACCMICA121TM</t>
        </is>
      </c>
      <c r="B1960" t="inlineStr">
        <is>
          <t>CLASICA ACTIVE CAB</t>
        </is>
      </c>
      <c r="C1960" t="inlineStr">
        <is>
          <t>Manufactura / Caballero / P. Superiores</t>
        </is>
      </c>
      <c r="D1960" t="n">
        <v>213.72768376</v>
      </c>
      <c r="E1960" t="n">
        <v>5.232749830477788e-05</v>
      </c>
      <c r="F1960" t="n">
        <v>0.9743147912115945</v>
      </c>
      <c r="G1960" t="inlineStr">
        <is>
          <t>C</t>
        </is>
      </c>
      <c r="H1960" t="n">
        <v>1</v>
      </c>
      <c r="I1960" t="n">
        <v>12.74</v>
      </c>
      <c r="J1960" t="n">
        <v>12.74</v>
      </c>
      <c r="K1960" t="n">
        <v>0.5</v>
      </c>
      <c r="L1960" t="n">
        <v>2</v>
      </c>
      <c r="M1960" t="n">
        <v>4</v>
      </c>
      <c r="N1960" t="n">
        <v>2</v>
      </c>
      <c r="O1960" t="n">
        <v>0</v>
      </c>
      <c r="P1960" t="n">
        <v>0</v>
      </c>
      <c r="Q1960" t="n">
        <v>0</v>
      </c>
      <c r="R1960" t="inlineStr">
        <is>
          <t>OK</t>
        </is>
      </c>
    </row>
    <row r="1961">
      <c r="A1961" t="inlineStr">
        <is>
          <t>PANNTKI66T2</t>
        </is>
      </c>
      <c r="B1961" t="inlineStr">
        <is>
          <t>EXPLORE PANTS KIDS</t>
        </is>
      </c>
      <c r="C1961" t="inlineStr">
        <is>
          <t>Manufactura / Kids / P. Inferiores</t>
        </is>
      </c>
      <c r="D1961" t="n">
        <v>213.50042324</v>
      </c>
      <c r="E1961" t="n">
        <v>5.22718575273838e-05</v>
      </c>
      <c r="F1961" t="n">
        <v>0.9743670630691218</v>
      </c>
      <c r="G1961" t="inlineStr">
        <is>
          <t>C</t>
        </is>
      </c>
      <c r="H1961" t="n">
        <v>31</v>
      </c>
      <c r="I1961" t="n">
        <v>13.98</v>
      </c>
      <c r="J1961" t="n">
        <v>433.38</v>
      </c>
      <c r="K1961" t="n">
        <v>0.7</v>
      </c>
      <c r="L1961" t="n">
        <v>44.28571428571429</v>
      </c>
      <c r="M1961" t="n">
        <v>4</v>
      </c>
      <c r="N1961" t="n">
        <v>2.8</v>
      </c>
      <c r="O1961" t="n">
        <v>28.2</v>
      </c>
      <c r="P1961" t="n">
        <v>394.236</v>
      </c>
      <c r="Q1961" t="n">
        <v>0.9096774193548387</v>
      </c>
      <c r="R1961" t="inlineStr">
        <is>
          <t>Sobrestock crítico</t>
        </is>
      </c>
    </row>
    <row r="1962">
      <c r="A1962" t="inlineStr">
        <is>
          <t>RIOMIKI53T6</t>
        </is>
      </c>
      <c r="B1962" t="inlineStr">
        <is>
          <t>RIO ORIGINAL KIDS</t>
        </is>
      </c>
      <c r="C1962" t="inlineStr">
        <is>
          <t>Manufactura / Kids / P. Superiores</t>
        </is>
      </c>
      <c r="D1962" t="n">
        <v>213.04045554</v>
      </c>
      <c r="E1962" t="n">
        <v>5.215924245282457e-05</v>
      </c>
      <c r="F1962" t="n">
        <v>0.9744192223115746</v>
      </c>
      <c r="G1962" t="inlineStr">
        <is>
          <t>C</t>
        </is>
      </c>
      <c r="H1962" t="n">
        <v>21</v>
      </c>
      <c r="I1962" t="n">
        <v>3.617969464</v>
      </c>
      <c r="J1962" t="n">
        <v>75.977358744</v>
      </c>
      <c r="K1962" t="n">
        <v>0.5</v>
      </c>
      <c r="L1962" t="n">
        <v>42</v>
      </c>
      <c r="M1962" t="n">
        <v>4</v>
      </c>
      <c r="N1962" t="n">
        <v>2</v>
      </c>
      <c r="O1962" t="n">
        <v>19</v>
      </c>
      <c r="P1962" t="n">
        <v>68.741419816</v>
      </c>
      <c r="Q1962" t="n">
        <v>0.9047619047619048</v>
      </c>
      <c r="R1962" t="inlineStr">
        <is>
          <t>Sobrestock crítico</t>
        </is>
      </c>
    </row>
    <row r="1963">
      <c r="A1963" t="inlineStr">
        <is>
          <t>CLAMIKI43T4</t>
        </is>
      </c>
      <c r="B1963" t="inlineStr">
        <is>
          <t>CLASICA ORIGINAL KIDS</t>
        </is>
      </c>
      <c r="C1963" t="inlineStr">
        <is>
          <t>Manufactura / Kids / P. Superiores</t>
        </is>
      </c>
      <c r="D1963" t="n">
        <v>212.64102877</v>
      </c>
      <c r="E1963" t="n">
        <v>5.206144976980683e-05</v>
      </c>
      <c r="F1963" t="n">
        <v>0.9744712837613445</v>
      </c>
      <c r="G1963" t="inlineStr">
        <is>
          <t>C</t>
        </is>
      </c>
      <c r="H1963" t="n">
        <v>65</v>
      </c>
      <c r="I1963" t="n">
        <v>2.053774806</v>
      </c>
      <c r="J1963" t="n">
        <v>133.49536239</v>
      </c>
      <c r="K1963" t="n">
        <v>0.7</v>
      </c>
      <c r="L1963" t="n">
        <v>92.85714285714286</v>
      </c>
      <c r="M1963" t="n">
        <v>4</v>
      </c>
      <c r="N1963" t="n">
        <v>2.8</v>
      </c>
      <c r="O1963" t="n">
        <v>62.2</v>
      </c>
      <c r="P1963" t="n">
        <v>127.7447929332</v>
      </c>
      <c r="Q1963" t="n">
        <v>0.956923076923077</v>
      </c>
      <c r="R1963" t="inlineStr">
        <is>
          <t>Sobrestock crítico</t>
        </is>
      </c>
    </row>
    <row r="1964">
      <c r="A1964" t="inlineStr">
        <is>
          <t>SHOUNKI01T1</t>
        </is>
      </c>
      <c r="B1964" t="inlineStr">
        <is>
          <t>SHORT PLAYA KIDS</t>
        </is>
      </c>
      <c r="C1964" t="inlineStr">
        <is>
          <t>Manufactura / Kids / P. Inferiores</t>
        </is>
      </c>
      <c r="D1964" t="n">
        <v>212.57727231</v>
      </c>
      <c r="E1964" t="n">
        <v>5.204584011178838e-05</v>
      </c>
      <c r="F1964" t="n">
        <v>0.9745233296014563</v>
      </c>
      <c r="G1964" t="inlineStr">
        <is>
          <t>C</t>
        </is>
      </c>
      <c r="H1964" t="n">
        <v>12</v>
      </c>
      <c r="I1964" t="n">
        <v>6.09</v>
      </c>
      <c r="J1964" t="n">
        <v>73.08</v>
      </c>
      <c r="K1964" t="n">
        <v>0.5</v>
      </c>
      <c r="L1964" t="n">
        <v>24</v>
      </c>
      <c r="M1964" t="n">
        <v>4</v>
      </c>
      <c r="N1964" t="n">
        <v>2</v>
      </c>
      <c r="O1964" t="n">
        <v>10</v>
      </c>
      <c r="P1964" t="n">
        <v>60.9</v>
      </c>
      <c r="Q1964" t="n">
        <v>0.8333333333333334</v>
      </c>
      <c r="R1964" t="inlineStr">
        <is>
          <t>Sobrestock crítico</t>
        </is>
      </c>
    </row>
    <row r="1965">
      <c r="A1965" t="inlineStr">
        <is>
          <t>RIOMIDA30TL</t>
        </is>
      </c>
      <c r="B1965" t="inlineStr">
        <is>
          <t>RIO ORIGINAL DAMA</t>
        </is>
      </c>
      <c r="C1965" t="inlineStr">
        <is>
          <t>Manufactura / Dama / P. Superiores</t>
        </is>
      </c>
      <c r="D1965" t="n">
        <v>212.50174183</v>
      </c>
      <c r="E1965" t="n">
        <v>5.202734779018255e-05</v>
      </c>
      <c r="F1965" t="n">
        <v>0.9745753569492464</v>
      </c>
      <c r="G1965" t="inlineStr">
        <is>
          <t>C</t>
        </is>
      </c>
      <c r="H1965" t="n">
        <v>2</v>
      </c>
      <c r="I1965" t="n">
        <v>5.538832275</v>
      </c>
      <c r="J1965" t="n">
        <v>11.07766455</v>
      </c>
      <c r="K1965" t="n">
        <v>0.4</v>
      </c>
      <c r="L1965" t="n">
        <v>5</v>
      </c>
      <c r="M1965" t="n">
        <v>4</v>
      </c>
      <c r="N1965" t="n">
        <v>1.6</v>
      </c>
      <c r="O1965" t="n">
        <v>0.3999999999999999</v>
      </c>
      <c r="P1965" t="n">
        <v>2.215532909999999</v>
      </c>
      <c r="Q1965" t="n">
        <v>0.2</v>
      </c>
      <c r="R1965" t="inlineStr">
        <is>
          <t>Sobrestock</t>
        </is>
      </c>
    </row>
    <row r="1966">
      <c r="A1966" t="inlineStr">
        <is>
          <t>ZOEMIKI43T12</t>
        </is>
      </c>
      <c r="B1966" t="inlineStr">
        <is>
          <t>ZOE ORIGINAL KIDS</t>
        </is>
      </c>
      <c r="C1966" t="inlineStr">
        <is>
          <t>Manufactura / Kids / P. Superiores</t>
        </is>
      </c>
      <c r="D1966" t="n">
        <v>212.44398981</v>
      </c>
      <c r="E1966" t="n">
        <v>5.201320821464661e-05</v>
      </c>
      <c r="F1966" t="n">
        <v>0.974627370157461</v>
      </c>
      <c r="G1966" t="inlineStr">
        <is>
          <t>C</t>
        </is>
      </c>
      <c r="H1966" t="n">
        <v>24</v>
      </c>
      <c r="I1966" t="n">
        <v>4.12</v>
      </c>
      <c r="J1966" t="n">
        <v>98.88</v>
      </c>
      <c r="K1966" t="n">
        <v>0.7</v>
      </c>
      <c r="L1966" t="n">
        <v>34.28571428571428</v>
      </c>
      <c r="M1966" t="n">
        <v>4</v>
      </c>
      <c r="N1966" t="n">
        <v>2.8</v>
      </c>
      <c r="O1966" t="n">
        <v>21.2</v>
      </c>
      <c r="P1966" t="n">
        <v>87.34399999999999</v>
      </c>
      <c r="Q1966" t="n">
        <v>0.8833333333333333</v>
      </c>
      <c r="R1966" t="inlineStr">
        <is>
          <t>Sobrestock crítico</t>
        </is>
      </c>
    </row>
    <row r="1967">
      <c r="A1967" t="inlineStr">
        <is>
          <t>MIKFNDA24TXS</t>
        </is>
      </c>
      <c r="B1967" t="inlineStr">
        <is>
          <t>MIKA SPORT LITE DAMA</t>
        </is>
      </c>
      <c r="C1967" t="inlineStr">
        <is>
          <t>Manufactura / Dama / P. Superiores</t>
        </is>
      </c>
      <c r="D1967" t="n">
        <v>212.29484265</v>
      </c>
      <c r="E1967" t="n">
        <v>5.19766921320093e-05</v>
      </c>
      <c r="F1967" t="n">
        <v>0.9746793468495931</v>
      </c>
      <c r="G1967" t="inlineStr">
        <is>
          <t>C</t>
        </is>
      </c>
      <c r="H1967" t="n">
        <v>39</v>
      </c>
      <c r="I1967" t="n">
        <v>5.484675344</v>
      </c>
      <c r="J1967" t="n">
        <v>213.902338416</v>
      </c>
      <c r="K1967" t="n">
        <v>0.7</v>
      </c>
      <c r="L1967" t="n">
        <v>55.71428571428572</v>
      </c>
      <c r="M1967" t="n">
        <v>4</v>
      </c>
      <c r="N1967" t="n">
        <v>2.8</v>
      </c>
      <c r="O1967" t="n">
        <v>36.2</v>
      </c>
      <c r="P1967" t="n">
        <v>198.5452474528</v>
      </c>
      <c r="Q1967" t="n">
        <v>0.9282051282051282</v>
      </c>
      <c r="R1967" t="inlineStr">
        <is>
          <t>Sobrestock crítico</t>
        </is>
      </c>
    </row>
    <row r="1968">
      <c r="A1968" t="inlineStr">
        <is>
          <t>ANDMIDA13TL</t>
        </is>
      </c>
      <c r="B1968" t="inlineStr">
        <is>
          <t>ANDRE ORIGINAL DAMA</t>
        </is>
      </c>
      <c r="C1968" t="inlineStr">
        <is>
          <t>Manufactura / Dama / P. Superiores</t>
        </is>
      </c>
      <c r="D1968" t="n">
        <v>212.20310374</v>
      </c>
      <c r="E1968" t="n">
        <v>5.1954231458815e-05</v>
      </c>
      <c r="F1968" t="n">
        <v>0.9747313010810519</v>
      </c>
      <c r="G1968" t="inlineStr">
        <is>
          <t>C</t>
        </is>
      </c>
      <c r="H1968" t="n">
        <v>1</v>
      </c>
      <c r="I1968" t="n">
        <v>3.274295302</v>
      </c>
      <c r="J1968" t="n">
        <v>3.274295302</v>
      </c>
      <c r="K1968" t="n">
        <v>0.5</v>
      </c>
      <c r="L1968" t="n">
        <v>2</v>
      </c>
      <c r="M1968" t="n">
        <v>4</v>
      </c>
      <c r="N1968" t="n">
        <v>2</v>
      </c>
      <c r="O1968" t="n">
        <v>0</v>
      </c>
      <c r="P1968" t="n">
        <v>0</v>
      </c>
      <c r="Q1968" t="n">
        <v>0</v>
      </c>
      <c r="R1968" t="inlineStr">
        <is>
          <t>OK</t>
        </is>
      </c>
    </row>
    <row r="1969">
      <c r="A1969" t="inlineStr">
        <is>
          <t>RIOMIKI43T1</t>
        </is>
      </c>
      <c r="B1969" t="inlineStr">
        <is>
          <t>RIO ORIGINAL KIDS</t>
        </is>
      </c>
      <c r="C1969" t="inlineStr">
        <is>
          <t>Manufactura / Kids / P. Superiores</t>
        </is>
      </c>
      <c r="D1969" t="n">
        <v>211.91155683</v>
      </c>
      <c r="E1969" t="n">
        <v>5.188285127927812e-05</v>
      </c>
      <c r="F1969" t="n">
        <v>0.9747831839323312</v>
      </c>
      <c r="G1969" t="inlineStr">
        <is>
          <t>C</t>
        </is>
      </c>
      <c r="H1969" t="n">
        <v>0</v>
      </c>
      <c r="I1969" t="n">
        <v>3.617969464</v>
      </c>
      <c r="J1969" t="n">
        <v>0</v>
      </c>
      <c r="K1969" t="n">
        <v>0.5</v>
      </c>
      <c r="L1969" t="n">
        <v>0</v>
      </c>
      <c r="M1969" t="n">
        <v>4</v>
      </c>
      <c r="N1969" t="n">
        <v>2</v>
      </c>
      <c r="O1969" t="n">
        <v>0</v>
      </c>
      <c r="P1969" t="n">
        <v>0</v>
      </c>
      <c r="Q1969" t="n">
        <v>0</v>
      </c>
      <c r="R1969" t="inlineStr">
        <is>
          <t>Sin rotación</t>
        </is>
      </c>
    </row>
    <row r="1970">
      <c r="A1970" t="inlineStr">
        <is>
          <t>MARMIKI28T6</t>
        </is>
      </c>
      <c r="B1970" t="inlineStr">
        <is>
          <t>MAR ORIGINAL KIDS</t>
        </is>
      </c>
      <c r="C1970" t="inlineStr">
        <is>
          <t>Manufactura / Kids / P. Superiores</t>
        </is>
      </c>
      <c r="D1970" t="n">
        <v>211.69103284</v>
      </c>
      <c r="E1970" t="n">
        <v>5.182885982384343e-05</v>
      </c>
      <c r="F1970" t="n">
        <v>0.974835012792155</v>
      </c>
      <c r="G1970" t="inlineStr">
        <is>
          <t>C</t>
        </is>
      </c>
      <c r="H1970" t="n">
        <v>0</v>
      </c>
      <c r="I1970" t="n">
        <v>3.168013332</v>
      </c>
      <c r="J1970" t="n">
        <v>0</v>
      </c>
      <c r="K1970" t="n">
        <v>0.6</v>
      </c>
      <c r="L1970" t="n">
        <v>0</v>
      </c>
      <c r="M1970" t="n">
        <v>4</v>
      </c>
      <c r="N1970" t="n">
        <v>2.4</v>
      </c>
      <c r="O1970" t="n">
        <v>0</v>
      </c>
      <c r="P1970" t="n">
        <v>0</v>
      </c>
      <c r="Q1970" t="n">
        <v>0</v>
      </c>
      <c r="R1970" t="inlineStr">
        <is>
          <t>Sin rotación</t>
        </is>
      </c>
    </row>
    <row r="1971">
      <c r="A1971" t="inlineStr">
        <is>
          <t>SABSTKI30T12</t>
        </is>
      </c>
      <c r="B1971" t="inlineStr">
        <is>
          <t>RETRO VZLA KIDS</t>
        </is>
      </c>
      <c r="C1971" t="inlineStr">
        <is>
          <t>Manufactura / Dama / P. Superiores</t>
        </is>
      </c>
      <c r="D1971" t="n">
        <v>211.15507997</v>
      </c>
      <c r="E1971" t="n">
        <v>5.169764110475668e-05</v>
      </c>
      <c r="F1971" t="n">
        <v>0.9748867104332597</v>
      </c>
      <c r="G1971" t="inlineStr">
        <is>
          <t>C</t>
        </is>
      </c>
      <c r="H1971" t="n">
        <v>1</v>
      </c>
      <c r="I1971" t="n">
        <v>10.18</v>
      </c>
      <c r="J1971" t="n">
        <v>10.18</v>
      </c>
      <c r="K1971" t="n">
        <v>0.6</v>
      </c>
      <c r="L1971" t="n">
        <v>1.666666666666667</v>
      </c>
      <c r="M1971" t="n">
        <v>4</v>
      </c>
      <c r="N1971" t="n">
        <v>2.4</v>
      </c>
      <c r="O1971" t="n">
        <v>0</v>
      </c>
      <c r="P1971" t="n">
        <v>0</v>
      </c>
      <c r="Q1971" t="n">
        <v>0</v>
      </c>
      <c r="R1971" t="inlineStr">
        <is>
          <t>Sin rotación</t>
        </is>
      </c>
    </row>
    <row r="1972">
      <c r="A1972" t="inlineStr">
        <is>
          <t>ADUMMCA11TS</t>
        </is>
      </c>
      <c r="B1972" t="inlineStr">
        <is>
          <t>ACTIVE DUO CAB</t>
        </is>
      </c>
      <c r="C1972" t="inlineStr">
        <is>
          <t>Manufactura / Caballero / P. Superiores</t>
        </is>
      </c>
      <c r="D1972" t="n">
        <v>211.02416867</v>
      </c>
      <c r="E1972" t="n">
        <v>5.166558975460721e-05</v>
      </c>
      <c r="F1972" t="n">
        <v>0.9749383760230144</v>
      </c>
      <c r="G1972" t="inlineStr">
        <is>
          <t>C</t>
        </is>
      </c>
      <c r="H1972" t="n">
        <v>22</v>
      </c>
      <c r="I1972" t="n">
        <v>5.09</v>
      </c>
      <c r="J1972" t="n">
        <v>111.98</v>
      </c>
      <c r="K1972" t="n">
        <v>1.1</v>
      </c>
      <c r="L1972" t="n">
        <v>20</v>
      </c>
      <c r="M1972" t="n">
        <v>4</v>
      </c>
      <c r="N1972" t="n">
        <v>4.4</v>
      </c>
      <c r="O1972" t="n">
        <v>17.6</v>
      </c>
      <c r="P1972" t="n">
        <v>89.584</v>
      </c>
      <c r="Q1972" t="n">
        <v>0.8000000000000002</v>
      </c>
      <c r="R1972" t="inlineStr">
        <is>
          <t>Sobrestock crítico</t>
        </is>
      </c>
    </row>
    <row r="1973">
      <c r="A1973" t="inlineStr">
        <is>
          <t>SHONTDA12TS</t>
        </is>
      </c>
      <c r="B1973" t="inlineStr">
        <is>
          <t>EXPLORE SHORT DAMA</t>
        </is>
      </c>
      <c r="C1973" t="inlineStr">
        <is>
          <t>Manufactura / Dama / P. Inferiores</t>
        </is>
      </c>
      <c r="D1973" t="n">
        <v>210.41348541</v>
      </c>
      <c r="E1973" t="n">
        <v>5.151607460200634e-05</v>
      </c>
      <c r="F1973" t="n">
        <v>0.9749898920976163</v>
      </c>
      <c r="G1973" t="inlineStr">
        <is>
          <t>C</t>
        </is>
      </c>
      <c r="H1973" t="n">
        <v>87</v>
      </c>
      <c r="I1973" t="n">
        <v>10.22113744</v>
      </c>
      <c r="J1973" t="n">
        <v>889.23895728</v>
      </c>
      <c r="K1973" t="n">
        <v>0.4</v>
      </c>
      <c r="L1973" t="n">
        <v>217.5</v>
      </c>
      <c r="M1973" t="n">
        <v>4</v>
      </c>
      <c r="N1973" t="n">
        <v>1.6</v>
      </c>
      <c r="O1973" t="n">
        <v>85.40000000000001</v>
      </c>
      <c r="P1973" t="n">
        <v>872.885137376</v>
      </c>
      <c r="Q1973" t="n">
        <v>0.9816091954022989</v>
      </c>
      <c r="R1973" t="inlineStr">
        <is>
          <t>Sobrestock crítico</t>
        </is>
      </c>
    </row>
    <row r="1974">
      <c r="A1974" t="inlineStr">
        <is>
          <t>GEOMACADA43TXS</t>
        </is>
      </c>
      <c r="B1974" t="inlineStr">
        <is>
          <t>ADVANCE GEO MAYA DAMA</t>
        </is>
      </c>
      <c r="C1974" t="inlineStr">
        <is>
          <t>Manufactura / Dama / P. Superiores</t>
        </is>
      </c>
      <c r="D1974" t="n">
        <v>209.94736461</v>
      </c>
      <c r="E1974" t="n">
        <v>5.140195304815461e-05</v>
      </c>
      <c r="F1974" t="n">
        <v>0.9750412940506644</v>
      </c>
      <c r="G1974" t="inlineStr">
        <is>
          <t>C</t>
        </is>
      </c>
      <c r="H1974" t="n">
        <v>23</v>
      </c>
      <c r="I1974" t="n">
        <v>10.33</v>
      </c>
      <c r="J1974" t="n">
        <v>237.59</v>
      </c>
      <c r="K1974" t="n">
        <v>0.5</v>
      </c>
      <c r="L1974" t="n">
        <v>46</v>
      </c>
      <c r="M1974" t="n">
        <v>4</v>
      </c>
      <c r="N1974" t="n">
        <v>2</v>
      </c>
      <c r="O1974" t="n">
        <v>21</v>
      </c>
      <c r="P1974" t="n">
        <v>216.93</v>
      </c>
      <c r="Q1974" t="n">
        <v>0.9130434782608696</v>
      </c>
      <c r="R1974" t="inlineStr">
        <is>
          <t>Sobrestock crítico</t>
        </is>
      </c>
    </row>
    <row r="1975">
      <c r="A1975" t="inlineStr">
        <is>
          <t>ANDMIDA66TS</t>
        </is>
      </c>
      <c r="B1975" t="inlineStr">
        <is>
          <t>ANDRE ORIGINAL DAMA</t>
        </is>
      </c>
      <c r="C1975" t="inlineStr">
        <is>
          <t>Manufactura / Dama / P. Superiores</t>
        </is>
      </c>
      <c r="D1975" t="n">
        <v>209.79087016</v>
      </c>
      <c r="E1975" t="n">
        <v>5.136363810961686e-05</v>
      </c>
      <c r="F1975" t="n">
        <v>0.9750926576887742</v>
      </c>
      <c r="G1975" t="inlineStr">
        <is>
          <t>C</t>
        </is>
      </c>
      <c r="H1975" t="n">
        <v>28</v>
      </c>
      <c r="I1975" t="n">
        <v>3.274295302</v>
      </c>
      <c r="J1975" t="n">
        <v>91.68026845600001</v>
      </c>
      <c r="K1975" t="n">
        <v>0.7</v>
      </c>
      <c r="L1975" t="n">
        <v>40</v>
      </c>
      <c r="M1975" t="n">
        <v>4</v>
      </c>
      <c r="N1975" t="n">
        <v>2.8</v>
      </c>
      <c r="O1975" t="n">
        <v>25.2</v>
      </c>
      <c r="P1975" t="n">
        <v>82.5122416104</v>
      </c>
      <c r="Q1975" t="n">
        <v>0.8999999999999999</v>
      </c>
      <c r="R1975" t="inlineStr">
        <is>
          <t>Sobrestock crítico</t>
        </is>
      </c>
    </row>
    <row r="1976">
      <c r="A1976" t="inlineStr">
        <is>
          <t>ZOEMIDA12TXS</t>
        </is>
      </c>
      <c r="B1976" t="inlineStr">
        <is>
          <t>ZOE ORIGINAL DAMA</t>
        </is>
      </c>
      <c r="C1976" t="inlineStr">
        <is>
          <t>Manufactura / Dama / P. Superiores</t>
        </is>
      </c>
      <c r="D1976" t="n">
        <v>208.59352475</v>
      </c>
      <c r="E1976" t="n">
        <v>5.107048895453424e-05</v>
      </c>
      <c r="F1976" t="n">
        <v>0.9751437281777287</v>
      </c>
      <c r="G1976" t="inlineStr">
        <is>
          <t>C</t>
        </is>
      </c>
      <c r="H1976" t="n">
        <v>0</v>
      </c>
      <c r="I1976" t="n">
        <v>4.116585696</v>
      </c>
      <c r="J1976" t="n">
        <v>0</v>
      </c>
      <c r="K1976" t="n">
        <v>0.6</v>
      </c>
      <c r="L1976" t="n">
        <v>0</v>
      </c>
      <c r="M1976" t="n">
        <v>4</v>
      </c>
      <c r="N1976" t="n">
        <v>2.4</v>
      </c>
      <c r="O1976" t="n">
        <v>0</v>
      </c>
      <c r="P1976" t="n">
        <v>0</v>
      </c>
      <c r="Q1976" t="n">
        <v>0</v>
      </c>
      <c r="R1976" t="inlineStr">
        <is>
          <t>Sin rotación</t>
        </is>
      </c>
    </row>
    <row r="1977">
      <c r="A1977" t="inlineStr">
        <is>
          <t>HELBFDA206TM</t>
        </is>
      </c>
      <c r="B1977" t="inlineStr">
        <is>
          <t>HELEN BIO MOVE DAMA</t>
        </is>
      </c>
      <c r="C1977" t="inlineStr">
        <is>
          <t>Manufactura / Dama / P. Superiores</t>
        </is>
      </c>
      <c r="D1977" t="n">
        <v>208.25407443</v>
      </c>
      <c r="E1977" t="n">
        <v>5.098738045996832e-05</v>
      </c>
      <c r="F1977" t="n">
        <v>0.9751947155581886</v>
      </c>
      <c r="G1977" t="inlineStr">
        <is>
          <t>C</t>
        </is>
      </c>
      <c r="H1977" t="n">
        <v>19</v>
      </c>
      <c r="I1977" t="n">
        <v>7.340817459999999</v>
      </c>
      <c r="J1977" t="n">
        <v>139.47553174</v>
      </c>
      <c r="K1977" t="n">
        <v>0.5</v>
      </c>
      <c r="L1977" t="n">
        <v>38</v>
      </c>
      <c r="M1977" t="n">
        <v>4</v>
      </c>
      <c r="N1977" t="n">
        <v>2</v>
      </c>
      <c r="O1977" t="n">
        <v>17</v>
      </c>
      <c r="P1977" t="n">
        <v>124.79389682</v>
      </c>
      <c r="Q1977" t="n">
        <v>0.8947368421052632</v>
      </c>
      <c r="R1977" t="inlineStr">
        <is>
          <t>Sobrestock crítico</t>
        </is>
      </c>
    </row>
    <row r="1978">
      <c r="A1978" t="inlineStr">
        <is>
          <t>RIOMIDA05TS</t>
        </is>
      </c>
      <c r="B1978" t="inlineStr">
        <is>
          <t>RIO ORIGINAL DAMA</t>
        </is>
      </c>
      <c r="C1978" t="inlineStr">
        <is>
          <t>Manufactura / Dama / P. Superiores</t>
        </is>
      </c>
      <c r="D1978" t="n">
        <v>207.70623241</v>
      </c>
      <c r="E1978" t="n">
        <v>5.085325088972028e-05</v>
      </c>
      <c r="F1978" t="n">
        <v>0.9752455688090783</v>
      </c>
      <c r="G1978" t="inlineStr">
        <is>
          <t>C</t>
        </is>
      </c>
      <c r="H1978" t="n">
        <v>0</v>
      </c>
      <c r="I1978" t="n">
        <v>5.538832275</v>
      </c>
      <c r="J1978" t="n">
        <v>0</v>
      </c>
      <c r="K1978" t="n">
        <v>0.4</v>
      </c>
      <c r="L1978" t="n">
        <v>0</v>
      </c>
      <c r="M1978" t="n">
        <v>4</v>
      </c>
      <c r="N1978" t="n">
        <v>1.6</v>
      </c>
      <c r="O1978" t="n">
        <v>0</v>
      </c>
      <c r="P1978" t="n">
        <v>0</v>
      </c>
      <c r="Q1978" t="n">
        <v>0</v>
      </c>
      <c r="R1978" t="inlineStr">
        <is>
          <t>Sin rotación</t>
        </is>
      </c>
    </row>
    <row r="1979">
      <c r="A1979" t="inlineStr">
        <is>
          <t>SHONRKI43T4</t>
        </is>
      </c>
      <c r="B1979" t="inlineStr">
        <is>
          <t>SHORT SPORT KIDS</t>
        </is>
      </c>
      <c r="C1979" t="inlineStr">
        <is>
          <t>Manufactura / Kids / P. Inferiores</t>
        </is>
      </c>
      <c r="D1979" t="n">
        <v>207.66381727</v>
      </c>
      <c r="E1979" t="n">
        <v>5.084286628194556e-05</v>
      </c>
      <c r="F1979" t="n">
        <v>0.9752964116753602</v>
      </c>
      <c r="G1979" t="inlineStr">
        <is>
          <t>C</t>
        </is>
      </c>
      <c r="H1979" t="n">
        <v>40</v>
      </c>
      <c r="I1979" t="n">
        <v>6.465724382</v>
      </c>
      <c r="J1979" t="n">
        <v>258.62897528</v>
      </c>
      <c r="K1979" t="n">
        <v>0.6</v>
      </c>
      <c r="L1979" t="n">
        <v>66.66666666666667</v>
      </c>
      <c r="M1979" t="n">
        <v>4</v>
      </c>
      <c r="N1979" t="n">
        <v>2.4</v>
      </c>
      <c r="O1979" t="n">
        <v>37.6</v>
      </c>
      <c r="P1979" t="n">
        <v>243.1112367632</v>
      </c>
      <c r="Q1979" t="n">
        <v>0.9400000000000001</v>
      </c>
      <c r="R1979" t="inlineStr">
        <is>
          <t>Sobrestock crítico</t>
        </is>
      </c>
    </row>
    <row r="1980">
      <c r="A1980" t="inlineStr">
        <is>
          <t>MAYFNDA16TL</t>
        </is>
      </c>
      <c r="B1980" t="inlineStr">
        <is>
          <t>MAYA SPORT LITE DAMA</t>
        </is>
      </c>
      <c r="C1980" t="inlineStr">
        <is>
          <t>Manufactura / Dama / P. Superiores</t>
        </is>
      </c>
      <c r="D1980" t="n">
        <v>207.44572993</v>
      </c>
      <c r="E1980" t="n">
        <v>5.078947139779495e-05</v>
      </c>
      <c r="F1980" t="n">
        <v>0.975347201146758</v>
      </c>
      <c r="G1980" t="inlineStr">
        <is>
          <t>C</t>
        </is>
      </c>
      <c r="H1980" t="n">
        <v>4</v>
      </c>
      <c r="I1980" t="n">
        <v>3.87</v>
      </c>
      <c r="J1980" t="n">
        <v>15.48</v>
      </c>
      <c r="K1980" t="n">
        <v>0.7</v>
      </c>
      <c r="L1980" t="n">
        <v>5.714285714285714</v>
      </c>
      <c r="M1980" t="n">
        <v>4</v>
      </c>
      <c r="N1980" t="n">
        <v>2.8</v>
      </c>
      <c r="O1980" t="n">
        <v>1.2</v>
      </c>
      <c r="P1980" t="n">
        <v>4.644000000000001</v>
      </c>
      <c r="Q1980" t="n">
        <v>0.3</v>
      </c>
      <c r="R1980" t="inlineStr">
        <is>
          <t>Sobrestock crítico</t>
        </is>
      </c>
    </row>
    <row r="1981">
      <c r="A1981" t="inlineStr">
        <is>
          <t>VIVMIDA43TXL</t>
        </is>
      </c>
      <c r="B1981" t="inlineStr">
        <is>
          <t>VIVI ORIGINAL DAMA</t>
        </is>
      </c>
      <c r="C1981" t="inlineStr">
        <is>
          <t>Manufactura / Dama / P. Superiores</t>
        </is>
      </c>
      <c r="D1981" t="n">
        <v>207.24349809</v>
      </c>
      <c r="E1981" t="n">
        <v>5.073995845647353e-05</v>
      </c>
      <c r="F1981" t="n">
        <v>0.9753979411052145</v>
      </c>
      <c r="G1981" t="inlineStr">
        <is>
          <t>C</t>
        </is>
      </c>
      <c r="H1981" t="n">
        <v>30</v>
      </c>
      <c r="I1981" t="n">
        <v>4.303181706</v>
      </c>
      <c r="J1981" t="n">
        <v>129.09545118</v>
      </c>
      <c r="K1981" t="n">
        <v>0.5</v>
      </c>
      <c r="L1981" t="n">
        <v>60</v>
      </c>
      <c r="M1981" t="n">
        <v>4</v>
      </c>
      <c r="N1981" t="n">
        <v>2</v>
      </c>
      <c r="O1981" t="n">
        <v>28</v>
      </c>
      <c r="P1981" t="n">
        <v>120.489087768</v>
      </c>
      <c r="Q1981" t="n">
        <v>0.9333333333333333</v>
      </c>
      <c r="R1981" t="inlineStr">
        <is>
          <t>Sobrestock crítico</t>
        </is>
      </c>
    </row>
    <row r="1982">
      <c r="A1982" t="inlineStr">
        <is>
          <t>CLAMEKI12T6</t>
        </is>
      </c>
      <c r="B1982" t="inlineStr">
        <is>
          <t>CLASICA SPORT KIDS</t>
        </is>
      </c>
      <c r="C1982" t="inlineStr">
        <is>
          <t>Manufactura / Kids / P. Superiores</t>
        </is>
      </c>
      <c r="D1982" t="n">
        <v>207.15712696</v>
      </c>
      <c r="E1982" t="n">
        <v>5.07188119906571e-05</v>
      </c>
      <c r="F1982" t="n">
        <v>0.9754486599172051</v>
      </c>
      <c r="G1982" t="inlineStr">
        <is>
          <t>C</t>
        </is>
      </c>
      <c r="H1982" t="n">
        <v>45</v>
      </c>
      <c r="I1982" t="n">
        <v>3.97</v>
      </c>
      <c r="J1982" t="n">
        <v>178.65</v>
      </c>
      <c r="K1982" t="n">
        <v>0.6</v>
      </c>
      <c r="L1982" t="n">
        <v>75</v>
      </c>
      <c r="M1982" t="n">
        <v>4</v>
      </c>
      <c r="N1982" t="n">
        <v>2.4</v>
      </c>
      <c r="O1982" t="n">
        <v>42.6</v>
      </c>
      <c r="P1982" t="n">
        <v>169.122</v>
      </c>
      <c r="Q1982" t="n">
        <v>0.9466666666666668</v>
      </c>
      <c r="R1982" t="inlineStr">
        <is>
          <t>Sobrestock crítico</t>
        </is>
      </c>
    </row>
    <row r="1983">
      <c r="A1983" t="inlineStr">
        <is>
          <t>MAYFNDA70TXS</t>
        </is>
      </c>
      <c r="B1983" t="inlineStr">
        <is>
          <t>MAYA SPORT LITE DAMA</t>
        </is>
      </c>
      <c r="C1983" t="inlineStr">
        <is>
          <t>Manufactura / Dama / P. Superiores</t>
        </is>
      </c>
      <c r="D1983" t="n">
        <v>206.87279231</v>
      </c>
      <c r="E1983" t="n">
        <v>5.064919760727861e-05</v>
      </c>
      <c r="F1983" t="n">
        <v>0.9754993091148124</v>
      </c>
      <c r="G1983" t="inlineStr">
        <is>
          <t>C</t>
        </is>
      </c>
      <c r="H1983" t="n">
        <v>56</v>
      </c>
      <c r="I1983" t="n">
        <v>3.87</v>
      </c>
      <c r="J1983" t="n">
        <v>216.72</v>
      </c>
      <c r="K1983" t="n">
        <v>0.7</v>
      </c>
      <c r="L1983" t="n">
        <v>80</v>
      </c>
      <c r="M1983" t="n">
        <v>4</v>
      </c>
      <c r="N1983" t="n">
        <v>2.8</v>
      </c>
      <c r="O1983" t="n">
        <v>53.2</v>
      </c>
      <c r="P1983" t="n">
        <v>205.884</v>
      </c>
      <c r="Q1983" t="n">
        <v>0.9500000000000001</v>
      </c>
      <c r="R1983" t="inlineStr">
        <is>
          <t>Sobrestock crítico</t>
        </is>
      </c>
    </row>
    <row r="1984">
      <c r="A1984" t="inlineStr">
        <is>
          <t>CCBHMDA151TM</t>
        </is>
      </c>
      <c r="B1984" t="inlineStr">
        <is>
          <t>CLUB CLASICA DAMA</t>
        </is>
      </c>
      <c r="C1984" t="inlineStr">
        <is>
          <t>Manufactura / Dama / P. Superiores</t>
        </is>
      </c>
      <c r="D1984" t="n">
        <v>206.7126257860278</v>
      </c>
      <c r="E1984" t="n">
        <v>5.06099836254294e-05</v>
      </c>
      <c r="F1984" t="n">
        <v>0.9755499190984379</v>
      </c>
      <c r="G1984" t="inlineStr">
        <is>
          <t>C</t>
        </is>
      </c>
      <c r="H1984" t="n">
        <v>11</v>
      </c>
      <c r="I1984" t="n">
        <v>1</v>
      </c>
      <c r="J1984" t="n">
        <v>11</v>
      </c>
      <c r="K1984" t="n">
        <v>0.5</v>
      </c>
      <c r="L1984" t="n">
        <v>22</v>
      </c>
      <c r="M1984" t="n">
        <v>4</v>
      </c>
      <c r="N1984" t="n">
        <v>2</v>
      </c>
      <c r="O1984" t="n">
        <v>9</v>
      </c>
      <c r="P1984" t="n">
        <v>9</v>
      </c>
      <c r="Q1984" t="n">
        <v>0.8181818181818182</v>
      </c>
      <c r="R1984" t="inlineStr">
        <is>
          <t>Sobrestock crítico</t>
        </is>
      </c>
    </row>
    <row r="1985">
      <c r="A1985" t="inlineStr">
        <is>
          <t>MAADFDA151TXL</t>
        </is>
      </c>
      <c r="B1985" t="inlineStr">
        <is>
          <t>MAFE ADVANCE DAMA</t>
        </is>
      </c>
      <c r="C1985" t="inlineStr">
        <is>
          <t>Manufactura / Dama / P. Superiores</t>
        </is>
      </c>
      <c r="D1985" t="n">
        <v>206.50025204</v>
      </c>
      <c r="E1985" t="n">
        <v>5.055798761518055e-05</v>
      </c>
      <c r="F1985" t="n">
        <v>0.9756004770860531</v>
      </c>
      <c r="G1985" t="inlineStr">
        <is>
          <t>C</t>
        </is>
      </c>
      <c r="H1985" t="n">
        <v>13</v>
      </c>
      <c r="I1985" t="n">
        <v>4.98</v>
      </c>
      <c r="J1985" t="n">
        <v>64.74000000000001</v>
      </c>
      <c r="K1985" t="n">
        <v>0.4</v>
      </c>
      <c r="L1985" t="n">
        <v>32.5</v>
      </c>
      <c r="M1985" t="n">
        <v>4</v>
      </c>
      <c r="N1985" t="n">
        <v>1.6</v>
      </c>
      <c r="O1985" t="n">
        <v>11.4</v>
      </c>
      <c r="P1985" t="n">
        <v>56.77200000000001</v>
      </c>
      <c r="Q1985" t="n">
        <v>0.8769230769230769</v>
      </c>
      <c r="R1985" t="inlineStr">
        <is>
          <t>Sobrestock crítico</t>
        </is>
      </c>
    </row>
    <row r="1986">
      <c r="A1986" t="inlineStr">
        <is>
          <t>ANMSUDA43TXL</t>
        </is>
      </c>
      <c r="B1986" t="inlineStr">
        <is>
          <t>ANDRE MOTION DAMA</t>
        </is>
      </c>
      <c r="C1986" t="inlineStr">
        <is>
          <t>Manufactura / Dama / P. Superiores</t>
        </is>
      </c>
      <c r="D1986" t="n">
        <v>206.47964952</v>
      </c>
      <c r="E1986" t="n">
        <v>5.055294344724026e-05</v>
      </c>
      <c r="F1986" t="n">
        <v>0.9756510300295004</v>
      </c>
      <c r="G1986" t="inlineStr">
        <is>
          <t>C</t>
        </is>
      </c>
      <c r="H1986" t="n">
        <v>8</v>
      </c>
      <c r="I1986" t="n">
        <v>10.6</v>
      </c>
      <c r="J1986" t="n">
        <v>84.8</v>
      </c>
      <c r="K1986" t="n">
        <v>0.5</v>
      </c>
      <c r="L1986" t="n">
        <v>16</v>
      </c>
      <c r="M1986" t="n">
        <v>4</v>
      </c>
      <c r="N1986" t="n">
        <v>2</v>
      </c>
      <c r="O1986" t="n">
        <v>6</v>
      </c>
      <c r="P1986" t="n">
        <v>63.59999999999999</v>
      </c>
      <c r="Q1986" t="n">
        <v>0.75</v>
      </c>
      <c r="R1986" t="inlineStr">
        <is>
          <t>Sobrestock crítico</t>
        </is>
      </c>
    </row>
    <row r="1987">
      <c r="A1987" t="inlineStr">
        <is>
          <t>HELBFDA206TXL</t>
        </is>
      </c>
      <c r="B1987" t="inlineStr">
        <is>
          <t>HELEN BIO MOVE DAMA</t>
        </is>
      </c>
      <c r="C1987" t="inlineStr">
        <is>
          <t>Manufactura / Dama / P. Superiores</t>
        </is>
      </c>
      <c r="D1987" t="n">
        <v>206.33398265</v>
      </c>
      <c r="E1987" t="n">
        <v>5.05172794529514e-05</v>
      </c>
      <c r="F1987" t="n">
        <v>0.9757015473089532</v>
      </c>
      <c r="G1987" t="inlineStr">
        <is>
          <t>C</t>
        </is>
      </c>
      <c r="H1987" t="n">
        <v>10</v>
      </c>
      <c r="I1987" t="n">
        <v>7.34081746</v>
      </c>
      <c r="J1987" t="n">
        <v>73.4081746</v>
      </c>
      <c r="K1987" t="n">
        <v>0.3</v>
      </c>
      <c r="L1987" t="n">
        <v>33.33333333333334</v>
      </c>
      <c r="M1987" t="n">
        <v>4</v>
      </c>
      <c r="N1987" t="n">
        <v>1.2</v>
      </c>
      <c r="O1987" t="n">
        <v>8.800000000000001</v>
      </c>
      <c r="P1987" t="n">
        <v>64.59919364800001</v>
      </c>
      <c r="Q1987" t="n">
        <v>0.8800000000000002</v>
      </c>
      <c r="R1987" t="inlineStr">
        <is>
          <t>Sobrestock crítico</t>
        </is>
      </c>
    </row>
    <row r="1988">
      <c r="A1988" t="inlineStr">
        <is>
          <t>GEOMACADA03TS</t>
        </is>
      </c>
      <c r="B1988" t="inlineStr">
        <is>
          <t>ADVANCE GEO MAYA DAMA</t>
        </is>
      </c>
      <c r="C1988" t="inlineStr">
        <is>
          <t>Manufactura / Dama / P. Superiores</t>
        </is>
      </c>
      <c r="D1988" t="n">
        <v>206.30310409</v>
      </c>
      <c r="E1988" t="n">
        <v>5.050971937571841e-05</v>
      </c>
      <c r="F1988" t="n">
        <v>0.975752057028329</v>
      </c>
      <c r="G1988" t="inlineStr">
        <is>
          <t>C</t>
        </is>
      </c>
      <c r="H1988" t="n">
        <v>31</v>
      </c>
      <c r="I1988" t="n">
        <v>10.33</v>
      </c>
      <c r="J1988" t="n">
        <v>320.23</v>
      </c>
      <c r="K1988" t="n">
        <v>0.5</v>
      </c>
      <c r="L1988" t="n">
        <v>62</v>
      </c>
      <c r="M1988" t="n">
        <v>4</v>
      </c>
      <c r="N1988" t="n">
        <v>2</v>
      </c>
      <c r="O1988" t="n">
        <v>29</v>
      </c>
      <c r="P1988" t="n">
        <v>299.57</v>
      </c>
      <c r="Q1988" t="n">
        <v>0.9354838709677419</v>
      </c>
      <c r="R1988" t="inlineStr">
        <is>
          <t>Sobrestock crítico</t>
        </is>
      </c>
    </row>
    <row r="1989">
      <c r="A1989" t="inlineStr">
        <is>
          <t>BUFMIGE43TUN</t>
        </is>
      </c>
      <c r="B1989" t="inlineStr">
        <is>
          <t>FLEX COVER</t>
        </is>
      </c>
      <c r="C1989" t="inlineStr">
        <is>
          <t>Manufactura / General</t>
        </is>
      </c>
      <c r="D1989" t="n">
        <v>206.2915171168353</v>
      </c>
      <c r="E1989" t="n">
        <v>5.05068825072886e-05</v>
      </c>
      <c r="F1989" t="n">
        <v>0.9758025639108362</v>
      </c>
      <c r="G1989" t="inlineStr">
        <is>
          <t>C</t>
        </is>
      </c>
      <c r="H1989" t="n">
        <v>39</v>
      </c>
      <c r="I1989" t="n">
        <v>2.21</v>
      </c>
      <c r="J1989" t="n">
        <v>86.19</v>
      </c>
      <c r="K1989" t="n">
        <v>2</v>
      </c>
      <c r="L1989" t="n">
        <v>19.5</v>
      </c>
      <c r="M1989" t="n">
        <v>4</v>
      </c>
      <c r="N1989" t="n">
        <v>8</v>
      </c>
      <c r="O1989" t="n">
        <v>31</v>
      </c>
      <c r="P1989" t="n">
        <v>68.51000000000001</v>
      </c>
      <c r="Q1989" t="n">
        <v>0.7948717948717949</v>
      </c>
      <c r="R1989" t="inlineStr">
        <is>
          <t>Sobrestock crítico</t>
        </is>
      </c>
    </row>
    <row r="1990">
      <c r="A1990" t="inlineStr">
        <is>
          <t>MAADFDA70TXS</t>
        </is>
      </c>
      <c r="B1990" t="inlineStr">
        <is>
          <t>MAFE ADVANCE DAMA</t>
        </is>
      </c>
      <c r="C1990" t="inlineStr">
        <is>
          <t>Manufactura / Dama / P. Superiores</t>
        </is>
      </c>
      <c r="D1990" t="n">
        <v>206.25817275</v>
      </c>
      <c r="E1990" t="n">
        <v>5.049871872022859e-05</v>
      </c>
      <c r="F1990" t="n">
        <v>0.9758530626295564</v>
      </c>
      <c r="G1990" t="inlineStr">
        <is>
          <t>C</t>
        </is>
      </c>
      <c r="H1990" t="n">
        <v>23</v>
      </c>
      <c r="I1990" t="n">
        <v>4.98</v>
      </c>
      <c r="J1990" t="n">
        <v>114.54</v>
      </c>
      <c r="K1990" t="n">
        <v>0.6</v>
      </c>
      <c r="L1990" t="n">
        <v>38.33333333333334</v>
      </c>
      <c r="M1990" t="n">
        <v>4</v>
      </c>
      <c r="N1990" t="n">
        <v>2.4</v>
      </c>
      <c r="O1990" t="n">
        <v>20.6</v>
      </c>
      <c r="P1990" t="n">
        <v>102.588</v>
      </c>
      <c r="Q1990" t="n">
        <v>0.8956521739130436</v>
      </c>
      <c r="R1990" t="inlineStr">
        <is>
          <t>Sobrestock crítico</t>
        </is>
      </c>
    </row>
    <row r="1991">
      <c r="A1991" t="inlineStr">
        <is>
          <t>LARIMJDA16TM</t>
        </is>
      </c>
      <c r="B1991" t="inlineStr">
        <is>
          <t>LARISA ORIGINAL DAMA</t>
        </is>
      </c>
      <c r="C1991" t="inlineStr">
        <is>
          <t>Manufactura / Dama / P. Superiores</t>
        </is>
      </c>
      <c r="D1991" t="n">
        <v>206.16847952</v>
      </c>
      <c r="E1991" t="n">
        <v>5.04767588961281e-05</v>
      </c>
      <c r="F1991" t="n">
        <v>0.9759035393884525</v>
      </c>
      <c r="G1991" t="inlineStr">
        <is>
          <t>C</t>
        </is>
      </c>
      <c r="H1991" t="n">
        <v>27</v>
      </c>
      <c r="I1991" t="n">
        <v>1.765998491</v>
      </c>
      <c r="J1991" t="n">
        <v>47.681959257</v>
      </c>
      <c r="K1991" t="n">
        <v>0.6</v>
      </c>
      <c r="L1991" t="n">
        <v>45</v>
      </c>
      <c r="M1991" t="n">
        <v>4</v>
      </c>
      <c r="N1991" t="n">
        <v>2.4</v>
      </c>
      <c r="O1991" t="n">
        <v>24.6</v>
      </c>
      <c r="P1991" t="n">
        <v>43.44356287860001</v>
      </c>
      <c r="Q1991" t="n">
        <v>0.9111111111111112</v>
      </c>
      <c r="R1991" t="inlineStr">
        <is>
          <t>Sobrestock crítico</t>
        </is>
      </c>
    </row>
    <row r="1992">
      <c r="A1992" t="inlineStr">
        <is>
          <t>POR34EQ</t>
        </is>
      </c>
      <c r="B1992" t="inlineStr">
        <is>
          <t>PORTAVASOS</t>
        </is>
      </c>
      <c r="C1992" t="inlineStr">
        <is>
          <t>Equipamiento / Accesorios</t>
        </is>
      </c>
      <c r="D1992" t="n">
        <v>205.856647952</v>
      </c>
      <c r="E1992" t="n">
        <v>5.040041237162162e-05</v>
      </c>
      <c r="F1992" t="n">
        <v>0.9759539398008242</v>
      </c>
      <c r="G1992" t="inlineStr">
        <is>
          <t>C</t>
        </is>
      </c>
      <c r="H1992" t="n">
        <v>72</v>
      </c>
      <c r="I1992" t="n">
        <v>1</v>
      </c>
      <c r="J1992" t="n">
        <v>72</v>
      </c>
      <c r="K1992" t="n">
        <v>4.5</v>
      </c>
      <c r="L1992" t="n">
        <v>16</v>
      </c>
      <c r="M1992" t="n">
        <v>4</v>
      </c>
      <c r="N1992" t="n">
        <v>18</v>
      </c>
      <c r="O1992" t="n">
        <v>54</v>
      </c>
      <c r="P1992" t="n">
        <v>54</v>
      </c>
      <c r="Q1992" t="n">
        <v>0.75</v>
      </c>
      <c r="R1992" t="inlineStr">
        <is>
          <t>Sobrestock crítico</t>
        </is>
      </c>
    </row>
    <row r="1993">
      <c r="A1993" t="inlineStr">
        <is>
          <t>TMOFIDA10TM</t>
        </is>
      </c>
      <c r="B1993" t="inlineStr">
        <is>
          <t>TOP MOVA</t>
        </is>
      </c>
      <c r="C1993" t="inlineStr">
        <is>
          <t>Manufactura / Dama / P. Superiores</t>
        </is>
      </c>
      <c r="D1993" t="n">
        <v>205.75709623</v>
      </c>
      <c r="E1993" t="n">
        <v>5.037603886757877e-05</v>
      </c>
      <c r="F1993" t="n">
        <v>0.9760043158396917</v>
      </c>
      <c r="G1993" t="inlineStr">
        <is>
          <t>C</t>
        </is>
      </c>
      <c r="H1993" t="n">
        <v>26</v>
      </c>
      <c r="I1993" t="n">
        <v>9.942967033</v>
      </c>
      <c r="J1993" t="n">
        <v>258.517142858</v>
      </c>
      <c r="K1993" t="n">
        <v>0.4</v>
      </c>
      <c r="L1993" t="n">
        <v>65</v>
      </c>
      <c r="M1993" t="n">
        <v>4</v>
      </c>
      <c r="N1993" t="n">
        <v>1.6</v>
      </c>
      <c r="O1993" t="n">
        <v>24.4</v>
      </c>
      <c r="P1993" t="n">
        <v>242.6083956052</v>
      </c>
      <c r="Q1993" t="n">
        <v>0.9384615384615385</v>
      </c>
      <c r="R1993" t="inlineStr">
        <is>
          <t>Sobrestock crítico</t>
        </is>
      </c>
    </row>
    <row r="1994">
      <c r="A1994" t="inlineStr">
        <is>
          <t>ZOEMIKI43T14</t>
        </is>
      </c>
      <c r="B1994" t="inlineStr">
        <is>
          <t>ZOE ORIGINAL KIDS</t>
        </is>
      </c>
      <c r="C1994" t="inlineStr">
        <is>
          <t>Manufactura / Kids / P. Superiores</t>
        </is>
      </c>
      <c r="D1994" t="n">
        <v>205.64474762</v>
      </c>
      <c r="E1994" t="n">
        <v>5.034853226854633e-05</v>
      </c>
      <c r="F1994" t="n">
        <v>0.9760546643719603</v>
      </c>
      <c r="G1994" t="inlineStr">
        <is>
          <t>C</t>
        </is>
      </c>
      <c r="H1994" t="n">
        <v>23</v>
      </c>
      <c r="I1994" t="n">
        <v>4.12</v>
      </c>
      <c r="J1994" t="n">
        <v>94.76000000000001</v>
      </c>
      <c r="K1994" t="n">
        <v>0.7</v>
      </c>
      <c r="L1994" t="n">
        <v>32.85714285714286</v>
      </c>
      <c r="M1994" t="n">
        <v>4</v>
      </c>
      <c r="N1994" t="n">
        <v>2.8</v>
      </c>
      <c r="O1994" t="n">
        <v>20.2</v>
      </c>
      <c r="P1994" t="n">
        <v>83.224</v>
      </c>
      <c r="Q1994" t="n">
        <v>0.8782608695652174</v>
      </c>
      <c r="R1994" t="inlineStr">
        <is>
          <t>Sobrestock crítico</t>
        </is>
      </c>
    </row>
    <row r="1995">
      <c r="A1995" t="inlineStr">
        <is>
          <t>ZOEMIKI70T10</t>
        </is>
      </c>
      <c r="B1995" t="inlineStr">
        <is>
          <t>ZOE ORIGINAL KIDS</t>
        </is>
      </c>
      <c r="C1995" t="inlineStr">
        <is>
          <t>Manufactura / Kids / P. Superiores</t>
        </is>
      </c>
      <c r="D1995" t="n">
        <v>204.77579061</v>
      </c>
      <c r="E1995" t="n">
        <v>5.013578328971605e-05</v>
      </c>
      <c r="F1995" t="n">
        <v>0.9761048001552501</v>
      </c>
      <c r="G1995" t="inlineStr">
        <is>
          <t>C</t>
        </is>
      </c>
      <c r="H1995" t="n">
        <v>3</v>
      </c>
      <c r="I1995" t="n">
        <v>4.12</v>
      </c>
      <c r="J1995" t="n">
        <v>12.36</v>
      </c>
      <c r="K1995" t="n">
        <v>0.5</v>
      </c>
      <c r="L1995" t="n">
        <v>6</v>
      </c>
      <c r="M1995" t="n">
        <v>4</v>
      </c>
      <c r="N1995" t="n">
        <v>2</v>
      </c>
      <c r="O1995" t="n">
        <v>1</v>
      </c>
      <c r="P1995" t="n">
        <v>4.12</v>
      </c>
      <c r="Q1995" t="n">
        <v>0.3333333333333334</v>
      </c>
      <c r="R1995" t="inlineStr">
        <is>
          <t>Sobrestock crítico</t>
        </is>
      </c>
    </row>
    <row r="1996">
      <c r="A1996" t="inlineStr">
        <is>
          <t>TALGOTACA166T2XL</t>
        </is>
      </c>
      <c r="B1996" t="inlineStr">
        <is>
          <t>URBAN COTTON OVERSIZED HORIZONTE CAB</t>
        </is>
      </c>
      <c r="C1996" t="inlineStr">
        <is>
          <t>Manufactura / Caballero / P. Superiores</t>
        </is>
      </c>
      <c r="D1996" t="n">
        <v>204.48353919</v>
      </c>
      <c r="E1996" t="n">
        <v>5.00642306231846e-05</v>
      </c>
      <c r="F1996" t="n">
        <v>0.9761548643858732</v>
      </c>
      <c r="G1996" t="inlineStr">
        <is>
          <t>C</t>
        </is>
      </c>
      <c r="H1996" t="n">
        <v>11</v>
      </c>
      <c r="I1996" t="n">
        <v>11.06389452</v>
      </c>
      <c r="J1996" t="n">
        <v>121.70283972</v>
      </c>
      <c r="K1996" t="n">
        <v>0.4</v>
      </c>
      <c r="L1996" t="n">
        <v>27.5</v>
      </c>
      <c r="M1996" t="n">
        <v>4</v>
      </c>
      <c r="N1996" t="n">
        <v>1.6</v>
      </c>
      <c r="O1996" t="n">
        <v>9.4</v>
      </c>
      <c r="P1996" t="n">
        <v>104.000608488</v>
      </c>
      <c r="Q1996" t="n">
        <v>0.8545454545454545</v>
      </c>
      <c r="R1996" t="inlineStr">
        <is>
          <t>Sobrestock crítico</t>
        </is>
      </c>
    </row>
    <row r="1997">
      <c r="A1997" t="inlineStr">
        <is>
          <t>MIKFNDA10T2XL</t>
        </is>
      </c>
      <c r="B1997" t="inlineStr">
        <is>
          <t>MIKA SPORT LITE DAMA</t>
        </is>
      </c>
      <c r="C1997" t="inlineStr">
        <is>
          <t>Manufactura / Dama / P. Superiores</t>
        </is>
      </c>
      <c r="D1997" t="n">
        <v>204.19119172</v>
      </c>
      <c r="E1997" t="n">
        <v>4.999265444048471e-05</v>
      </c>
      <c r="F1997" t="n">
        <v>0.9762048570403138</v>
      </c>
      <c r="G1997" t="inlineStr">
        <is>
          <t>C</t>
        </is>
      </c>
      <c r="H1997" t="n">
        <v>19</v>
      </c>
      <c r="I1997" t="n">
        <v>5.484675344</v>
      </c>
      <c r="J1997" t="n">
        <v>104.208831536</v>
      </c>
      <c r="K1997" t="n">
        <v>0.5</v>
      </c>
      <c r="L1997" t="n">
        <v>38</v>
      </c>
      <c r="M1997" t="n">
        <v>4</v>
      </c>
      <c r="N1997" t="n">
        <v>2</v>
      </c>
      <c r="O1997" t="n">
        <v>17</v>
      </c>
      <c r="P1997" t="n">
        <v>93.239480848</v>
      </c>
      <c r="Q1997" t="n">
        <v>0.8947368421052631</v>
      </c>
      <c r="R1997" t="inlineStr">
        <is>
          <t>Sobrestock crítico</t>
        </is>
      </c>
    </row>
    <row r="1998">
      <c r="A1998" t="inlineStr">
        <is>
          <t>MARMIKI04T2</t>
        </is>
      </c>
      <c r="B1998" t="inlineStr">
        <is>
          <t>MAR ORIGINAL KIDS</t>
        </is>
      </c>
      <c r="C1998" t="inlineStr">
        <is>
          <t>Manufactura / Kids / P. Superiores</t>
        </is>
      </c>
      <c r="D1998" t="n">
        <v>202.41918545</v>
      </c>
      <c r="E1998" t="n">
        <v>4.955880958960612e-05</v>
      </c>
      <c r="F1998" t="n">
        <v>0.9762544158499034</v>
      </c>
      <c r="G1998" t="inlineStr">
        <is>
          <t>C</t>
        </is>
      </c>
      <c r="H1998" t="n">
        <v>7</v>
      </c>
      <c r="I1998" t="n">
        <v>3.168013332</v>
      </c>
      <c r="J1998" t="n">
        <v>22.176093324</v>
      </c>
      <c r="K1998" t="n">
        <v>0.7</v>
      </c>
      <c r="L1998" t="n">
        <v>10</v>
      </c>
      <c r="M1998" t="n">
        <v>4</v>
      </c>
      <c r="N1998" t="n">
        <v>2.8</v>
      </c>
      <c r="O1998" t="n">
        <v>4.2</v>
      </c>
      <c r="P1998" t="n">
        <v>13.3056559944</v>
      </c>
      <c r="Q1998" t="n">
        <v>0.6</v>
      </c>
      <c r="R1998" t="inlineStr">
        <is>
          <t>Sin rotación</t>
        </is>
      </c>
    </row>
    <row r="1999">
      <c r="A1999" t="inlineStr">
        <is>
          <t>TALGOTACA166TXL</t>
        </is>
      </c>
      <c r="B1999" t="inlineStr">
        <is>
          <t>URBAN COTTON OVERSIZED HORIZONTE CAB</t>
        </is>
      </c>
      <c r="C1999" t="inlineStr">
        <is>
          <t>Manufactura / Caballero / P. Superiores</t>
        </is>
      </c>
      <c r="D1999" t="n">
        <v>202.03204497</v>
      </c>
      <c r="E1999" t="n">
        <v>4.94640249905569e-05</v>
      </c>
      <c r="F1999" t="n">
        <v>0.9763038798748939</v>
      </c>
      <c r="G1999" t="inlineStr">
        <is>
          <t>C</t>
        </is>
      </c>
      <c r="H1999" t="n">
        <v>23</v>
      </c>
      <c r="I1999" t="n">
        <v>11.06389452</v>
      </c>
      <c r="J1999" t="n">
        <v>254.46957396</v>
      </c>
      <c r="K1999" t="n">
        <v>0.5</v>
      </c>
      <c r="L1999" t="n">
        <v>46</v>
      </c>
      <c r="M1999" t="n">
        <v>4</v>
      </c>
      <c r="N1999" t="n">
        <v>2</v>
      </c>
      <c r="O1999" t="n">
        <v>21</v>
      </c>
      <c r="P1999" t="n">
        <v>232.34178492</v>
      </c>
      <c r="Q1999" t="n">
        <v>0.9130434782608696</v>
      </c>
      <c r="R1999" t="inlineStr">
        <is>
          <t>Sobrestock crítico</t>
        </is>
      </c>
    </row>
    <row r="2000">
      <c r="A2000" t="inlineStr">
        <is>
          <t>DOMBFCA206TS</t>
        </is>
      </c>
      <c r="B2000" t="inlineStr">
        <is>
          <t>DOMINIC BIO MOVE CAB</t>
        </is>
      </c>
      <c r="C2000" t="inlineStr">
        <is>
          <t>Manufactura / Caballero / P. Superiores</t>
        </is>
      </c>
      <c r="D2000" t="n">
        <v>201.5108152</v>
      </c>
      <c r="E2000" t="n">
        <v>4.933641096589596e-05</v>
      </c>
      <c r="F2000" t="n">
        <v>0.9763532162858597</v>
      </c>
      <c r="G2000" t="inlineStr">
        <is>
          <t>C</t>
        </is>
      </c>
      <c r="H2000" t="n">
        <v>32</v>
      </c>
      <c r="I2000" t="n">
        <v>13.86</v>
      </c>
      <c r="J2000" t="n">
        <v>443.52</v>
      </c>
      <c r="K2000" t="n">
        <v>0.6</v>
      </c>
      <c r="L2000" t="n">
        <v>53.33333333333334</v>
      </c>
      <c r="M2000" t="n">
        <v>4</v>
      </c>
      <c r="N2000" t="n">
        <v>2.4</v>
      </c>
      <c r="O2000" t="n">
        <v>29.6</v>
      </c>
      <c r="P2000" t="n">
        <v>410.256</v>
      </c>
      <c r="Q2000" t="n">
        <v>0.9250000000000002</v>
      </c>
      <c r="R2000" t="inlineStr">
        <is>
          <t>Sobrestock crítico</t>
        </is>
      </c>
    </row>
    <row r="2001">
      <c r="A2001" t="inlineStr">
        <is>
          <t>RIOMICA24TS</t>
        </is>
      </c>
      <c r="B2001" t="inlineStr">
        <is>
          <t>RIO ORIGINAL CAB</t>
        </is>
      </c>
      <c r="C2001" t="inlineStr">
        <is>
          <t>Manufactura / Caballero / P. Superiores</t>
        </is>
      </c>
      <c r="D2001" t="n">
        <v>201.36813386</v>
      </c>
      <c r="E2001" t="n">
        <v>4.930147792659275e-05</v>
      </c>
      <c r="F2001" t="n">
        <v>0.9764025177637864</v>
      </c>
      <c r="G2001" t="inlineStr">
        <is>
          <t>C</t>
        </is>
      </c>
      <c r="H2001" t="n">
        <v>0</v>
      </c>
      <c r="I2001" t="n">
        <v>5.939350288</v>
      </c>
      <c r="J2001" t="n">
        <v>0</v>
      </c>
      <c r="K2001" t="n">
        <v>0.4</v>
      </c>
      <c r="L2001" t="n">
        <v>0</v>
      </c>
      <c r="M2001" t="n">
        <v>4</v>
      </c>
      <c r="N2001" t="n">
        <v>1.6</v>
      </c>
      <c r="O2001" t="n">
        <v>0</v>
      </c>
      <c r="P2001" t="n">
        <v>0</v>
      </c>
      <c r="Q2001" t="n">
        <v>0</v>
      </c>
      <c r="R2001" t="inlineStr">
        <is>
          <t>Sin rotación</t>
        </is>
      </c>
    </row>
    <row r="2002">
      <c r="A2002" t="inlineStr">
        <is>
          <t>RIOMICA11T3XL</t>
        </is>
      </c>
      <c r="B2002" t="inlineStr">
        <is>
          <t>RIO ORIGINAL CAB</t>
        </is>
      </c>
      <c r="C2002" t="inlineStr">
        <is>
          <t>Manufactura / Caballero / P. Superiores</t>
        </is>
      </c>
      <c r="D2002" t="n">
        <v>201.19263625</v>
      </c>
      <c r="E2002" t="n">
        <v>4.925851039553542e-05</v>
      </c>
      <c r="F2002" t="n">
        <v>0.9764517762741819</v>
      </c>
      <c r="G2002" t="inlineStr">
        <is>
          <t>C</t>
        </is>
      </c>
      <c r="H2002" t="n">
        <v>10</v>
      </c>
      <c r="I2002" t="n">
        <v>5.939350288</v>
      </c>
      <c r="J2002" t="n">
        <v>59.39350288</v>
      </c>
      <c r="K2002" t="n">
        <v>0.3</v>
      </c>
      <c r="L2002" t="n">
        <v>33.33333333333334</v>
      </c>
      <c r="M2002" t="n">
        <v>4</v>
      </c>
      <c r="N2002" t="n">
        <v>1.2</v>
      </c>
      <c r="O2002" t="n">
        <v>8.800000000000001</v>
      </c>
      <c r="P2002" t="n">
        <v>52.26628253440001</v>
      </c>
      <c r="Q2002" t="n">
        <v>0.8800000000000001</v>
      </c>
      <c r="R2002" t="inlineStr">
        <is>
          <t>Sobrestock crítico</t>
        </is>
      </c>
    </row>
    <row r="2003">
      <c r="A2003" t="inlineStr">
        <is>
          <t>PANNTCA33T2XL</t>
        </is>
      </c>
      <c r="B2003" t="inlineStr">
        <is>
          <t>EXPLORE PANTS CAB</t>
        </is>
      </c>
      <c r="C2003" t="inlineStr">
        <is>
          <t>Manufactura / Caballero / P. Inferiores</t>
        </is>
      </c>
      <c r="D2003" t="n">
        <v>201</v>
      </c>
      <c r="E2003" t="n">
        <v>4.921134676718378e-05</v>
      </c>
      <c r="F2003" t="n">
        <v>0.9765009876209492</v>
      </c>
      <c r="G2003" t="inlineStr">
        <is>
          <t>C</t>
        </is>
      </c>
      <c r="H2003" t="n">
        <v>20</v>
      </c>
      <c r="I2003" t="n">
        <v>15.68994502</v>
      </c>
      <c r="J2003" t="n">
        <v>313.7989004</v>
      </c>
      <c r="K2003" t="n">
        <v>0.3</v>
      </c>
      <c r="L2003" t="n">
        <v>66.66666666666667</v>
      </c>
      <c r="M2003" t="n">
        <v>4</v>
      </c>
      <c r="N2003" t="n">
        <v>1.2</v>
      </c>
      <c r="O2003" t="n">
        <v>18.8</v>
      </c>
      <c r="P2003" t="n">
        <v>294.970966376</v>
      </c>
      <c r="Q2003" t="n">
        <v>0.9400000000000001</v>
      </c>
      <c r="R2003" t="inlineStr">
        <is>
          <t>Sobrestock crítico</t>
        </is>
      </c>
    </row>
    <row r="2004">
      <c r="A2004" t="inlineStr">
        <is>
          <t>HELBFDA205TXL</t>
        </is>
      </c>
      <c r="B2004" t="inlineStr">
        <is>
          <t>HELEN BIO MOVE DAMA</t>
        </is>
      </c>
      <c r="C2004" t="inlineStr">
        <is>
          <t>Manufactura / Dama / P. Superiores</t>
        </is>
      </c>
      <c r="D2004" t="n">
        <v>200.95208829</v>
      </c>
      <c r="E2004" t="n">
        <v>4.919961642004438e-05</v>
      </c>
      <c r="F2004" t="n">
        <v>0.9765501872373691</v>
      </c>
      <c r="G2004" t="inlineStr">
        <is>
          <t>C</t>
        </is>
      </c>
      <c r="H2004" t="n">
        <v>10</v>
      </c>
      <c r="I2004" t="n">
        <v>7.34081746</v>
      </c>
      <c r="J2004" t="n">
        <v>73.4081746</v>
      </c>
      <c r="K2004" t="n">
        <v>0.3</v>
      </c>
      <c r="L2004" t="n">
        <v>33.33333333333334</v>
      </c>
      <c r="M2004" t="n">
        <v>4</v>
      </c>
      <c r="N2004" t="n">
        <v>1.2</v>
      </c>
      <c r="O2004" t="n">
        <v>8.800000000000001</v>
      </c>
      <c r="P2004" t="n">
        <v>64.59919364800001</v>
      </c>
      <c r="Q2004" t="n">
        <v>0.8800000000000002</v>
      </c>
      <c r="R2004" t="inlineStr">
        <is>
          <t>Sobrestock crítico</t>
        </is>
      </c>
    </row>
    <row r="2005">
      <c r="A2005" t="inlineStr">
        <is>
          <t>CLAMIKI13T4</t>
        </is>
      </c>
      <c r="B2005" t="inlineStr">
        <is>
          <t>CLASICA ORIGINAL KIDS</t>
        </is>
      </c>
      <c r="C2005" t="inlineStr">
        <is>
          <t>Manufactura / Kids / P. Superiores</t>
        </is>
      </c>
      <c r="D2005" t="n">
        <v>200.22277471</v>
      </c>
      <c r="E2005" t="n">
        <v>4.902105670120162e-05</v>
      </c>
      <c r="F2005" t="n">
        <v>0.9765992082940703</v>
      </c>
      <c r="G2005" t="inlineStr">
        <is>
          <t>C</t>
        </is>
      </c>
      <c r="H2005" t="n">
        <v>4</v>
      </c>
      <c r="I2005" t="n">
        <v>2.053774806</v>
      </c>
      <c r="J2005" t="n">
        <v>8.215099223999999</v>
      </c>
      <c r="K2005" t="n">
        <v>0.6</v>
      </c>
      <c r="L2005" t="n">
        <v>6.666666666666667</v>
      </c>
      <c r="M2005" t="n">
        <v>4</v>
      </c>
      <c r="N2005" t="n">
        <v>2.4</v>
      </c>
      <c r="O2005" t="n">
        <v>1.6</v>
      </c>
      <c r="P2005" t="n">
        <v>3.2860396896</v>
      </c>
      <c r="Q2005" t="n">
        <v>0.4</v>
      </c>
      <c r="R2005" t="inlineStr">
        <is>
          <t>Sobrestock crítico</t>
        </is>
      </c>
    </row>
    <row r="2006">
      <c r="A2006" t="inlineStr">
        <is>
          <t>TRA1318L</t>
        </is>
      </c>
      <c r="B2006" t="inlineStr">
        <is>
          <t>TRAVEL BAG 18L</t>
        </is>
      </c>
      <c r="C2006" t="inlineStr">
        <is>
          <t>Equipamiento / Bolsos</t>
        </is>
      </c>
      <c r="D2006" t="n">
        <v>200.13869163</v>
      </c>
      <c r="E2006" t="n">
        <v>4.900047042454921e-05</v>
      </c>
      <c r="F2006" t="n">
        <v>0.976648208764495</v>
      </c>
      <c r="G2006" t="inlineStr">
        <is>
          <t>C</t>
        </is>
      </c>
      <c r="H2006" t="n">
        <v>0</v>
      </c>
      <c r="I2006" t="n">
        <v>14.07</v>
      </c>
      <c r="J2006" t="n">
        <v>0</v>
      </c>
      <c r="K2006" t="n">
        <v>0.4</v>
      </c>
      <c r="L2006" t="n">
        <v>0</v>
      </c>
      <c r="M2006" t="n">
        <v>4</v>
      </c>
      <c r="N2006" t="n">
        <v>1.6</v>
      </c>
      <c r="O2006" t="n">
        <v>0</v>
      </c>
      <c r="P2006" t="n">
        <v>0</v>
      </c>
      <c r="Q2006" t="n">
        <v>0</v>
      </c>
      <c r="R2006" t="inlineStr">
        <is>
          <t>Riesgo bajo stock</t>
        </is>
      </c>
    </row>
    <row r="2007">
      <c r="A2007" t="inlineStr">
        <is>
          <t>MAYFNDA13TL</t>
        </is>
      </c>
      <c r="B2007" t="inlineStr">
        <is>
          <t>MAYA SPORT LITE DAMA</t>
        </is>
      </c>
      <c r="C2007" t="inlineStr">
        <is>
          <t>Manufactura / Dama / P. Superiores</t>
        </is>
      </c>
      <c r="D2007" t="n">
        <v>199.7391581</v>
      </c>
      <c r="E2007" t="n">
        <v>4.890265160320619e-05</v>
      </c>
      <c r="F2007" t="n">
        <v>0.9766971114160981</v>
      </c>
      <c r="G2007" t="inlineStr">
        <is>
          <t>C</t>
        </is>
      </c>
      <c r="H2007" t="n">
        <v>1</v>
      </c>
      <c r="I2007" t="n">
        <v>3.87</v>
      </c>
      <c r="J2007" t="n">
        <v>3.87</v>
      </c>
      <c r="K2007" t="n">
        <v>0.6</v>
      </c>
      <c r="L2007" t="n">
        <v>1.666666666666667</v>
      </c>
      <c r="M2007" t="n">
        <v>4</v>
      </c>
      <c r="N2007" t="n">
        <v>2.4</v>
      </c>
      <c r="O2007" t="n">
        <v>0</v>
      </c>
      <c r="P2007" t="n">
        <v>0</v>
      </c>
      <c r="Q2007" t="n">
        <v>0</v>
      </c>
      <c r="R2007" t="inlineStr">
        <is>
          <t>OK</t>
        </is>
      </c>
    </row>
    <row r="2008">
      <c r="A2008" t="inlineStr">
        <is>
          <t>SHOUNKI50T6</t>
        </is>
      </c>
      <c r="B2008" t="inlineStr">
        <is>
          <t>SHORT PLAYA KIDS</t>
        </is>
      </c>
      <c r="C2008" t="inlineStr">
        <is>
          <t>Manufactura / Kids / P. Inferiores</t>
        </is>
      </c>
      <c r="D2008" t="n">
        <v>199.59833852</v>
      </c>
      <c r="E2008" t="n">
        <v>4.886817438339033e-05</v>
      </c>
      <c r="F2008" t="n">
        <v>0.9767459795904815</v>
      </c>
      <c r="G2008" t="inlineStr">
        <is>
          <t>C</t>
        </is>
      </c>
      <c r="H2008" t="n">
        <v>19</v>
      </c>
      <c r="I2008" t="n">
        <v>6.09</v>
      </c>
      <c r="J2008" t="n">
        <v>115.71</v>
      </c>
      <c r="K2008" t="n">
        <v>0.6</v>
      </c>
      <c r="L2008" t="n">
        <v>31.66666666666667</v>
      </c>
      <c r="M2008" t="n">
        <v>4</v>
      </c>
      <c r="N2008" t="n">
        <v>2.4</v>
      </c>
      <c r="O2008" t="n">
        <v>16.6</v>
      </c>
      <c r="P2008" t="n">
        <v>101.094</v>
      </c>
      <c r="Q2008" t="n">
        <v>0.873684210526316</v>
      </c>
      <c r="R2008" t="inlineStr">
        <is>
          <t>Sobrestock crítico</t>
        </is>
      </c>
    </row>
    <row r="2009">
      <c r="A2009" t="inlineStr">
        <is>
          <t>RIOMICA14TS</t>
        </is>
      </c>
      <c r="B2009" t="inlineStr">
        <is>
          <t>RIO ORIGINAL CAB</t>
        </is>
      </c>
      <c r="C2009" t="inlineStr">
        <is>
          <t>Manufactura / Caballero / P. Superiores</t>
        </is>
      </c>
      <c r="D2009" t="n">
        <v>198.61635306</v>
      </c>
      <c r="E2009" t="n">
        <v>4.862775235855255e-05</v>
      </c>
      <c r="F2009" t="n">
        <v>0.9767946073428401</v>
      </c>
      <c r="G2009" t="inlineStr">
        <is>
          <t>C</t>
        </is>
      </c>
      <c r="H2009" t="n">
        <v>0</v>
      </c>
      <c r="I2009" t="n">
        <v>5.939350288</v>
      </c>
      <c r="J2009" t="n">
        <v>0</v>
      </c>
      <c r="K2009" t="n">
        <v>0.4</v>
      </c>
      <c r="L2009" t="n">
        <v>0</v>
      </c>
      <c r="M2009" t="n">
        <v>4</v>
      </c>
      <c r="N2009" t="n">
        <v>1.6</v>
      </c>
      <c r="O2009" t="n">
        <v>0</v>
      </c>
      <c r="P2009" t="n">
        <v>0</v>
      </c>
      <c r="Q2009" t="n">
        <v>0</v>
      </c>
      <c r="R2009" t="inlineStr">
        <is>
          <t>Sin rotación</t>
        </is>
      </c>
    </row>
    <row r="2010">
      <c r="A2010" t="inlineStr">
        <is>
          <t>ETN91E500ML</t>
        </is>
      </c>
      <c r="B2010" t="inlineStr">
        <is>
          <t>KAMBUKKA ETNA 500 ML</t>
        </is>
      </c>
      <c r="C2010" t="inlineStr">
        <is>
          <t>Equipamiento / Cava</t>
        </is>
      </c>
      <c r="D2010" t="n">
        <v>198.19900618</v>
      </c>
      <c r="E2010" t="n">
        <v>4.852557224893125e-05</v>
      </c>
      <c r="F2010" t="n">
        <v>0.976843132915089</v>
      </c>
      <c r="G2010" t="inlineStr">
        <is>
          <t>C</t>
        </is>
      </c>
      <c r="H2010" t="n">
        <v>30</v>
      </c>
      <c r="I2010" t="n">
        <v>24.5</v>
      </c>
      <c r="J2010" t="n">
        <v>735</v>
      </c>
      <c r="K2010" t="n">
        <v>0.6</v>
      </c>
      <c r="L2010" t="n">
        <v>50</v>
      </c>
      <c r="M2010" t="n">
        <v>4</v>
      </c>
      <c r="N2010" t="n">
        <v>2.4</v>
      </c>
      <c r="O2010" t="n">
        <v>27.6</v>
      </c>
      <c r="P2010" t="n">
        <v>676.2</v>
      </c>
      <c r="Q2010" t="n">
        <v>0.92</v>
      </c>
      <c r="R2010" t="inlineStr">
        <is>
          <t>Sobrestock crítico</t>
        </is>
      </c>
    </row>
    <row r="2011">
      <c r="A2011" t="inlineStr">
        <is>
          <t>RIOMIKI09T8</t>
        </is>
      </c>
      <c r="B2011" t="inlineStr">
        <is>
          <t>RIO ORIGINAL KIDS</t>
        </is>
      </c>
      <c r="C2011" t="inlineStr">
        <is>
          <t>Manufactura / Kids / P. Superiores</t>
        </is>
      </c>
      <c r="D2011" t="n">
        <v>198.07477106</v>
      </c>
      <c r="E2011" t="n">
        <v>4.849515544509551e-05</v>
      </c>
      <c r="F2011" t="n">
        <v>0.9768916280705341</v>
      </c>
      <c r="G2011" t="inlineStr">
        <is>
          <t>C</t>
        </is>
      </c>
      <c r="H2011" t="n">
        <v>0</v>
      </c>
      <c r="I2011" t="n">
        <v>3.617969464</v>
      </c>
      <c r="J2011" t="n">
        <v>0</v>
      </c>
      <c r="K2011" t="n">
        <v>0.5</v>
      </c>
      <c r="L2011" t="n">
        <v>0</v>
      </c>
      <c r="M2011" t="n">
        <v>4</v>
      </c>
      <c r="N2011" t="n">
        <v>2</v>
      </c>
      <c r="O2011" t="n">
        <v>0</v>
      </c>
      <c r="P2011" t="n">
        <v>0</v>
      </c>
      <c r="Q2011" t="n">
        <v>0</v>
      </c>
      <c r="R2011" t="inlineStr">
        <is>
          <t>Sin rotación</t>
        </is>
      </c>
    </row>
    <row r="2012">
      <c r="A2012" t="inlineStr">
        <is>
          <t>SABMEDA12TXS</t>
        </is>
      </c>
      <c r="B2012" t="inlineStr">
        <is>
          <t>SABRI SPORT DAMA</t>
        </is>
      </c>
      <c r="C2012" t="inlineStr">
        <is>
          <t>Manufactura / Dama / P. Superiores</t>
        </is>
      </c>
      <c r="D2012" t="n">
        <v>197.88668286</v>
      </c>
      <c r="E2012" t="n">
        <v>4.844910532751832e-05</v>
      </c>
      <c r="F2012" t="n">
        <v>0.9769400771758616</v>
      </c>
      <c r="G2012" t="inlineStr">
        <is>
          <t>C</t>
        </is>
      </c>
      <c r="H2012" t="n">
        <v>36</v>
      </c>
      <c r="I2012" t="n">
        <v>4.51</v>
      </c>
      <c r="J2012" t="n">
        <v>162.36</v>
      </c>
      <c r="K2012" t="n">
        <v>0.5</v>
      </c>
      <c r="L2012" t="n">
        <v>72</v>
      </c>
      <c r="M2012" t="n">
        <v>4</v>
      </c>
      <c r="N2012" t="n">
        <v>2</v>
      </c>
      <c r="O2012" t="n">
        <v>34</v>
      </c>
      <c r="P2012" t="n">
        <v>153.34</v>
      </c>
      <c r="Q2012" t="n">
        <v>0.9444444444444445</v>
      </c>
      <c r="R2012" t="inlineStr">
        <is>
          <t>Sobrestock crítico</t>
        </is>
      </c>
    </row>
    <row r="2013">
      <c r="A2013" t="inlineStr">
        <is>
          <t>CCBHMDA03TM</t>
        </is>
      </c>
      <c r="B2013" t="inlineStr">
        <is>
          <t>CLUB CLASICA DAMA</t>
        </is>
      </c>
      <c r="C2013" t="inlineStr">
        <is>
          <t>Manufactura / Dama / P. Superiores</t>
        </is>
      </c>
      <c r="D2013" t="n">
        <v>197.5</v>
      </c>
      <c r="E2013" t="n">
        <v>4.835443276875023e-05</v>
      </c>
      <c r="F2013" t="n">
        <v>0.9769884316086304</v>
      </c>
      <c r="G2013" t="inlineStr">
        <is>
          <t>C</t>
        </is>
      </c>
      <c r="H2013" t="n">
        <v>7</v>
      </c>
      <c r="I2013" t="n">
        <v>1</v>
      </c>
      <c r="J2013" t="n">
        <v>7</v>
      </c>
      <c r="K2013" t="n">
        <v>0.9</v>
      </c>
      <c r="L2013" t="n">
        <v>7.777777777777778</v>
      </c>
      <c r="M2013" t="n">
        <v>4</v>
      </c>
      <c r="N2013" t="n">
        <v>3.6</v>
      </c>
      <c r="O2013" t="n">
        <v>3.4</v>
      </c>
      <c r="P2013" t="n">
        <v>3.4</v>
      </c>
      <c r="Q2013" t="n">
        <v>0.4857142857142857</v>
      </c>
      <c r="R2013" t="inlineStr">
        <is>
          <t>Sobrestock crítico</t>
        </is>
      </c>
    </row>
    <row r="2014">
      <c r="A2014" t="inlineStr">
        <is>
          <t>CLAMICA05TM</t>
        </is>
      </c>
      <c r="B2014" t="inlineStr">
        <is>
          <t>CLASICA ORIGINAL CAB</t>
        </is>
      </c>
      <c r="C2014" t="inlineStr">
        <is>
          <t>Manufactura / Caballero / P. Superiores</t>
        </is>
      </c>
      <c r="D2014" t="n">
        <v>197.17622972</v>
      </c>
      <c r="E2014" t="n">
        <v>4.827516325869059e-05</v>
      </c>
      <c r="F2014" t="n">
        <v>0.977036706771889</v>
      </c>
      <c r="G2014" t="inlineStr">
        <is>
          <t>C</t>
        </is>
      </c>
      <c r="H2014" t="n">
        <v>0</v>
      </c>
      <c r="I2014" t="n">
        <v>4.598442536</v>
      </c>
      <c r="J2014" t="n">
        <v>0</v>
      </c>
      <c r="K2014" t="n">
        <v>0.4</v>
      </c>
      <c r="L2014" t="n">
        <v>0</v>
      </c>
      <c r="M2014" t="n">
        <v>4</v>
      </c>
      <c r="N2014" t="n">
        <v>1.6</v>
      </c>
      <c r="O2014" t="n">
        <v>0</v>
      </c>
      <c r="P2014" t="n">
        <v>0</v>
      </c>
      <c r="Q2014" t="n">
        <v>0</v>
      </c>
      <c r="R2014" t="inlineStr">
        <is>
          <t>Riesgo bajo stock</t>
        </is>
      </c>
    </row>
    <row r="2015">
      <c r="A2015" t="inlineStr">
        <is>
          <t>CLAMICA09TM</t>
        </is>
      </c>
      <c r="B2015" t="inlineStr">
        <is>
          <t>CLASICA ORIGINAL CAB</t>
        </is>
      </c>
      <c r="C2015" t="inlineStr">
        <is>
          <t>Manufactura / Caballero / P. Superiores</t>
        </is>
      </c>
      <c r="D2015" t="n">
        <v>196.96606902</v>
      </c>
      <c r="E2015" t="n">
        <v>4.822370907419042e-05</v>
      </c>
      <c r="F2015" t="n">
        <v>0.9770849304809632</v>
      </c>
      <c r="G2015" t="inlineStr">
        <is>
          <t>C</t>
        </is>
      </c>
      <c r="H2015" t="n">
        <v>0</v>
      </c>
      <c r="I2015" t="n">
        <v>4.598442536</v>
      </c>
      <c r="J2015" t="n">
        <v>0</v>
      </c>
      <c r="K2015" t="n">
        <v>2</v>
      </c>
      <c r="L2015" t="n">
        <v>0</v>
      </c>
      <c r="M2015" t="n">
        <v>4</v>
      </c>
      <c r="N2015" t="n">
        <v>8</v>
      </c>
      <c r="O2015" t="n">
        <v>0</v>
      </c>
      <c r="P2015" t="n">
        <v>0</v>
      </c>
      <c r="Q2015" t="n">
        <v>0</v>
      </c>
      <c r="R2015" t="inlineStr">
        <is>
          <t>Riesgo bajo stock</t>
        </is>
      </c>
    </row>
    <row r="2016">
      <c r="A2016" t="inlineStr">
        <is>
          <t>ETN93E500ML</t>
        </is>
      </c>
      <c r="B2016" t="inlineStr">
        <is>
          <t>KAMBUKKA ETNA 500 ML</t>
        </is>
      </c>
      <c r="C2016" t="inlineStr">
        <is>
          <t>Equipamiento / Cava</t>
        </is>
      </c>
      <c r="D2016" t="n">
        <v>196.3214536</v>
      </c>
      <c r="E2016" t="n">
        <v>4.806588622361781e-05</v>
      </c>
      <c r="F2016" t="n">
        <v>0.9771329963671869</v>
      </c>
      <c r="G2016" t="inlineStr">
        <is>
          <t>C</t>
        </is>
      </c>
      <c r="H2016" t="n">
        <v>40</v>
      </c>
      <c r="I2016" t="n">
        <v>24.5</v>
      </c>
      <c r="J2016" t="n">
        <v>980</v>
      </c>
      <c r="K2016" t="n">
        <v>0.5</v>
      </c>
      <c r="L2016" t="n">
        <v>80</v>
      </c>
      <c r="M2016" t="n">
        <v>4</v>
      </c>
      <c r="N2016" t="n">
        <v>2</v>
      </c>
      <c r="O2016" t="n">
        <v>38</v>
      </c>
      <c r="P2016" t="n">
        <v>931</v>
      </c>
      <c r="Q2016" t="n">
        <v>0.95</v>
      </c>
      <c r="R2016" t="inlineStr">
        <is>
          <t>Sobrestock crítico</t>
        </is>
      </c>
    </row>
    <row r="2017">
      <c r="A2017" t="inlineStr">
        <is>
          <t>MARMIDA28TS</t>
        </is>
      </c>
      <c r="B2017" t="inlineStr">
        <is>
          <t>MAR ORIGINAL DAMA</t>
        </is>
      </c>
      <c r="C2017" t="inlineStr">
        <is>
          <t>Manufactura / Dama / P. Superiores</t>
        </is>
      </c>
      <c r="D2017" t="n">
        <v>196.2919709171607</v>
      </c>
      <c r="E2017" t="n">
        <v>4.805866790257884e-05</v>
      </c>
      <c r="F2017" t="n">
        <v>0.9771810550350895</v>
      </c>
      <c r="G2017" t="inlineStr">
        <is>
          <t>C</t>
        </is>
      </c>
      <c r="H2017" t="n">
        <v>0</v>
      </c>
      <c r="I2017" t="n">
        <v>4.278324149</v>
      </c>
      <c r="J2017" t="n">
        <v>0</v>
      </c>
      <c r="K2017" t="n">
        <v>1.4</v>
      </c>
      <c r="L2017" t="n">
        <v>0</v>
      </c>
      <c r="M2017" t="n">
        <v>4</v>
      </c>
      <c r="N2017" t="n">
        <v>5.6</v>
      </c>
      <c r="O2017" t="n">
        <v>0</v>
      </c>
      <c r="P2017" t="n">
        <v>0</v>
      </c>
      <c r="Q2017" t="n">
        <v>0</v>
      </c>
      <c r="R2017" t="inlineStr">
        <is>
          <t>Riesgo bajo stock</t>
        </is>
      </c>
    </row>
    <row r="2018">
      <c r="A2018" t="inlineStr">
        <is>
          <t>RIOMIKI13T1</t>
        </is>
      </c>
      <c r="B2018" t="inlineStr">
        <is>
          <t>RIO ORIGINAL KIDS</t>
        </is>
      </c>
      <c r="C2018" t="inlineStr">
        <is>
          <t>Manufactura / Kids / P. Superiores</t>
        </is>
      </c>
      <c r="D2018" t="n">
        <v>195.64112625</v>
      </c>
      <c r="E2018" t="n">
        <v>4.789931992940861e-05</v>
      </c>
      <c r="F2018" t="n">
        <v>0.9772289543550188</v>
      </c>
      <c r="G2018" t="inlineStr">
        <is>
          <t>C</t>
        </is>
      </c>
      <c r="H2018" t="n">
        <v>0</v>
      </c>
      <c r="I2018" t="n">
        <v>3.617969464</v>
      </c>
      <c r="J2018" t="n">
        <v>0</v>
      </c>
      <c r="K2018" t="n">
        <v>0.5</v>
      </c>
      <c r="L2018" t="n">
        <v>0</v>
      </c>
      <c r="M2018" t="n">
        <v>4</v>
      </c>
      <c r="N2018" t="n">
        <v>2</v>
      </c>
      <c r="O2018" t="n">
        <v>0</v>
      </c>
      <c r="P2018" t="n">
        <v>0</v>
      </c>
      <c r="Q2018" t="n">
        <v>0</v>
      </c>
      <c r="R2018" t="inlineStr">
        <is>
          <t>Sin rotación</t>
        </is>
      </c>
    </row>
    <row r="2019">
      <c r="A2019" t="inlineStr">
        <is>
          <t>TMOFIDA10TL</t>
        </is>
      </c>
      <c r="B2019" t="inlineStr">
        <is>
          <t>TOP MOVA</t>
        </is>
      </c>
      <c r="C2019" t="inlineStr">
        <is>
          <t>Manufactura / Dama / P. Superiores</t>
        </is>
      </c>
      <c r="D2019" t="n">
        <v>195.33908702</v>
      </c>
      <c r="E2019" t="n">
        <v>4.782537088819059e-05</v>
      </c>
      <c r="F2019" t="n">
        <v>0.9772767797259069</v>
      </c>
      <c r="G2019" t="inlineStr">
        <is>
          <t>C</t>
        </is>
      </c>
      <c r="H2019" t="n">
        <v>11</v>
      </c>
      <c r="I2019" t="n">
        <v>9.942967033</v>
      </c>
      <c r="J2019" t="n">
        <v>109.372637363</v>
      </c>
      <c r="K2019" t="n">
        <v>0.5</v>
      </c>
      <c r="L2019" t="n">
        <v>22</v>
      </c>
      <c r="M2019" t="n">
        <v>4</v>
      </c>
      <c r="N2019" t="n">
        <v>2</v>
      </c>
      <c r="O2019" t="n">
        <v>9</v>
      </c>
      <c r="P2019" t="n">
        <v>89.48670329700001</v>
      </c>
      <c r="Q2019" t="n">
        <v>0.8181818181818181</v>
      </c>
      <c r="R2019" t="inlineStr">
        <is>
          <t>Sobrestock crítico</t>
        </is>
      </c>
    </row>
    <row r="2020">
      <c r="A2020" t="inlineStr">
        <is>
          <t>ANDMIDA39TM</t>
        </is>
      </c>
      <c r="B2020" t="inlineStr">
        <is>
          <t>ANDRE ORIGINAL DAMA</t>
        </is>
      </c>
      <c r="C2020" t="inlineStr">
        <is>
          <t>Manufactura / Dama / P. Superiores</t>
        </is>
      </c>
      <c r="D2020" t="n">
        <v>195.20871995</v>
      </c>
      <c r="E2020" t="n">
        <v>4.779345278327123e-05</v>
      </c>
      <c r="F2020" t="n">
        <v>0.9773245731786901</v>
      </c>
      <c r="G2020" t="inlineStr">
        <is>
          <t>C</t>
        </is>
      </c>
      <c r="H2020" t="n">
        <v>0</v>
      </c>
      <c r="I2020" t="n">
        <v>3.274295302</v>
      </c>
      <c r="J2020" t="n">
        <v>0</v>
      </c>
      <c r="K2020" t="n">
        <v>0.6</v>
      </c>
      <c r="L2020" t="n">
        <v>0</v>
      </c>
      <c r="M2020" t="n">
        <v>4</v>
      </c>
      <c r="N2020" t="n">
        <v>2.4</v>
      </c>
      <c r="O2020" t="n">
        <v>0</v>
      </c>
      <c r="P2020" t="n">
        <v>0</v>
      </c>
      <c r="Q2020" t="n">
        <v>0</v>
      </c>
      <c r="R2020" t="inlineStr">
        <is>
          <t>Sin rotación</t>
        </is>
      </c>
    </row>
    <row r="2021">
      <c r="A2021" t="inlineStr">
        <is>
          <t>CLAMEKI12T8</t>
        </is>
      </c>
      <c r="B2021" t="inlineStr">
        <is>
          <t>CLASICA SPORT KIDS</t>
        </is>
      </c>
      <c r="C2021" t="inlineStr">
        <is>
          <t>Manufactura / Kids / P. Superiores</t>
        </is>
      </c>
      <c r="D2021" t="n">
        <v>195.01954905</v>
      </c>
      <c r="E2021" t="n">
        <v>4.774713758546943e-05</v>
      </c>
      <c r="F2021" t="n">
        <v>0.9773723203162755</v>
      </c>
      <c r="G2021" t="inlineStr">
        <is>
          <t>C</t>
        </is>
      </c>
      <c r="H2021" t="n">
        <v>20</v>
      </c>
      <c r="I2021" t="n">
        <v>3.97</v>
      </c>
      <c r="J2021" t="n">
        <v>79.40000000000001</v>
      </c>
      <c r="K2021" t="n">
        <v>0.6</v>
      </c>
      <c r="L2021" t="n">
        <v>33.33333333333334</v>
      </c>
      <c r="M2021" t="n">
        <v>4</v>
      </c>
      <c r="N2021" t="n">
        <v>2.4</v>
      </c>
      <c r="O2021" t="n">
        <v>17.6</v>
      </c>
      <c r="P2021" t="n">
        <v>69.87200000000001</v>
      </c>
      <c r="Q2021" t="n">
        <v>0.8800000000000001</v>
      </c>
      <c r="R2021" t="inlineStr">
        <is>
          <t>Sobrestock crítico</t>
        </is>
      </c>
    </row>
    <row r="2022">
      <c r="A2022" t="inlineStr">
        <is>
          <t>CLAMIDA04TS</t>
        </is>
      </c>
      <c r="B2022" t="inlineStr">
        <is>
          <t>CLASICA ORIGINAL DAMA</t>
        </is>
      </c>
      <c r="C2022" t="inlineStr">
        <is>
          <t>Manufactura / Dama / P. Superiores</t>
        </is>
      </c>
      <c r="D2022" t="n">
        <v>194.71187685</v>
      </c>
      <c r="E2022" t="n">
        <v>4.767180940972405e-05</v>
      </c>
      <c r="F2022" t="n">
        <v>0.9774199921256853</v>
      </c>
      <c r="G2022" t="inlineStr">
        <is>
          <t>C</t>
        </is>
      </c>
      <c r="H2022" t="n">
        <v>0</v>
      </c>
      <c r="I2022" t="n">
        <v>3.923227589000001</v>
      </c>
      <c r="J2022" t="n">
        <v>0</v>
      </c>
      <c r="K2022" t="n">
        <v>0.5</v>
      </c>
      <c r="L2022" t="n">
        <v>0</v>
      </c>
      <c r="M2022" t="n">
        <v>4</v>
      </c>
      <c r="N2022" t="n">
        <v>2</v>
      </c>
      <c r="O2022" t="n">
        <v>0</v>
      </c>
      <c r="P2022" t="n">
        <v>0</v>
      </c>
      <c r="Q2022" t="n">
        <v>0</v>
      </c>
      <c r="R2022" t="inlineStr">
        <is>
          <t>Riesgo bajo stock</t>
        </is>
      </c>
    </row>
    <row r="2023">
      <c r="A2023" t="inlineStr">
        <is>
          <t>ACDMIDA121TM</t>
        </is>
      </c>
      <c r="B2023" t="inlineStr">
        <is>
          <t>DANI ACTIVE DAMA</t>
        </is>
      </c>
      <c r="C2023" t="inlineStr">
        <is>
          <t>Manufactura / Dama / P. Superiores</t>
        </is>
      </c>
      <c r="D2023" t="n">
        <v>194.12151888</v>
      </c>
      <c r="E2023" t="n">
        <v>4.752727055012982e-05</v>
      </c>
      <c r="F2023" t="n">
        <v>0.9774675193962354</v>
      </c>
      <c r="G2023" t="inlineStr">
        <is>
          <t>C</t>
        </is>
      </c>
      <c r="H2023" t="n">
        <v>3</v>
      </c>
      <c r="I2023" t="n">
        <v>9.82</v>
      </c>
      <c r="J2023" t="n">
        <v>29.46</v>
      </c>
      <c r="K2023" t="n">
        <v>0.4</v>
      </c>
      <c r="L2023" t="n">
        <v>7.5</v>
      </c>
      <c r="M2023" t="n">
        <v>4</v>
      </c>
      <c r="N2023" t="n">
        <v>1.6</v>
      </c>
      <c r="O2023" t="n">
        <v>1.4</v>
      </c>
      <c r="P2023" t="n">
        <v>13.748</v>
      </c>
      <c r="Q2023" t="n">
        <v>0.4666666666666666</v>
      </c>
      <c r="R2023" t="inlineStr">
        <is>
          <t>Sobrestock crítico</t>
        </is>
      </c>
    </row>
    <row r="2024">
      <c r="A2024" t="inlineStr">
        <is>
          <t>CLAMIKI30T12</t>
        </is>
      </c>
      <c r="B2024" t="inlineStr">
        <is>
          <t>CLASICA ORIGINAL KIDS</t>
        </is>
      </c>
      <c r="C2024" t="inlineStr">
        <is>
          <t>Manufactura / Kids / P. Superiores</t>
        </is>
      </c>
      <c r="D2024" t="n">
        <v>194.03099551</v>
      </c>
      <c r="E2024" t="n">
        <v>4.750510748071885e-05</v>
      </c>
      <c r="F2024" t="n">
        <v>0.9775150245037162</v>
      </c>
      <c r="G2024" t="inlineStr">
        <is>
          <t>C</t>
        </is>
      </c>
      <c r="H2024" t="n">
        <v>32</v>
      </c>
      <c r="I2024" t="n">
        <v>2.053774806</v>
      </c>
      <c r="J2024" t="n">
        <v>65.72079379199999</v>
      </c>
      <c r="K2024" t="n">
        <v>0.7</v>
      </c>
      <c r="L2024" t="n">
        <v>45.71428571428572</v>
      </c>
      <c r="M2024" t="n">
        <v>4</v>
      </c>
      <c r="N2024" t="n">
        <v>2.8</v>
      </c>
      <c r="O2024" t="n">
        <v>29.2</v>
      </c>
      <c r="P2024" t="n">
        <v>59.97022433519999</v>
      </c>
      <c r="Q2024" t="n">
        <v>0.9125</v>
      </c>
      <c r="R2024" t="inlineStr">
        <is>
          <t>Sobrestock crítico</t>
        </is>
      </c>
    </row>
    <row r="2025">
      <c r="A2025" t="inlineStr">
        <is>
          <t>CLASTDA16TS</t>
        </is>
      </c>
      <c r="B2025" t="inlineStr">
        <is>
          <t>CLASICA ALGODON STRETCH DAMA</t>
        </is>
      </c>
      <c r="C2025" t="inlineStr">
        <is>
          <t>Manufactura / Dama / P. Superiores</t>
        </is>
      </c>
      <c r="D2025" t="n">
        <v>193.63168684</v>
      </c>
      <c r="E2025" t="n">
        <v>4.740734371242774e-05</v>
      </c>
      <c r="F2025" t="n">
        <v>0.9775624318474285</v>
      </c>
      <c r="G2025" t="inlineStr">
        <is>
          <t>C</t>
        </is>
      </c>
      <c r="H2025" t="n">
        <v>0</v>
      </c>
      <c r="I2025" t="n">
        <v>9.27</v>
      </c>
      <c r="J2025" t="n">
        <v>0</v>
      </c>
      <c r="K2025" t="n">
        <v>1.2</v>
      </c>
      <c r="L2025" t="n">
        <v>0</v>
      </c>
      <c r="M2025" t="n">
        <v>4</v>
      </c>
      <c r="N2025" t="n">
        <v>4.8</v>
      </c>
      <c r="O2025" t="n">
        <v>0</v>
      </c>
      <c r="P2025" t="n">
        <v>0</v>
      </c>
      <c r="Q2025" t="n">
        <v>0</v>
      </c>
      <c r="R2025" t="inlineStr">
        <is>
          <t>Riesgo bajo stock</t>
        </is>
      </c>
    </row>
    <row r="2026">
      <c r="A2026" t="inlineStr">
        <is>
          <t>SHOUNCA68TS</t>
        </is>
      </c>
      <c r="B2026" t="inlineStr">
        <is>
          <t>SHORT PLAYA CAB</t>
        </is>
      </c>
      <c r="C2026" t="inlineStr">
        <is>
          <t>Manufactura / Caballero / P. Inferiores</t>
        </is>
      </c>
      <c r="D2026" t="n">
        <v>193.4564162</v>
      </c>
      <c r="E2026" t="n">
        <v>4.736443175101905e-05</v>
      </c>
      <c r="F2026" t="n">
        <v>0.9776097962791797</v>
      </c>
      <c r="G2026" t="inlineStr">
        <is>
          <t>C</t>
        </is>
      </c>
      <c r="H2026" t="n">
        <v>0</v>
      </c>
      <c r="I2026" t="n">
        <v>9.99</v>
      </c>
      <c r="J2026" t="n">
        <v>0</v>
      </c>
      <c r="K2026" t="n">
        <v>0.5</v>
      </c>
      <c r="L2026" t="n">
        <v>0</v>
      </c>
      <c r="M2026" t="n">
        <v>4</v>
      </c>
      <c r="N2026" t="n">
        <v>2</v>
      </c>
      <c r="O2026" t="n">
        <v>0</v>
      </c>
      <c r="P2026" t="n">
        <v>0</v>
      </c>
      <c r="Q2026" t="n">
        <v>0</v>
      </c>
      <c r="R2026" t="inlineStr">
        <is>
          <t>Sin rotación</t>
        </is>
      </c>
    </row>
    <row r="2027">
      <c r="A2027" t="inlineStr">
        <is>
          <t>VIVMIDA43TS</t>
        </is>
      </c>
      <c r="B2027" t="inlineStr">
        <is>
          <t>VIVI ORIGINAL DAMA</t>
        </is>
      </c>
      <c r="C2027" t="inlineStr">
        <is>
          <t>Manufactura / Dama / P. Superiores</t>
        </is>
      </c>
      <c r="D2027" t="n">
        <v>193.41407244</v>
      </c>
      <c r="E2027" t="n">
        <v>4.735406461939325e-05</v>
      </c>
      <c r="F2027" t="n">
        <v>0.9776571503437991</v>
      </c>
      <c r="G2027" t="inlineStr">
        <is>
          <t>C</t>
        </is>
      </c>
      <c r="H2027" t="n">
        <v>82</v>
      </c>
      <c r="I2027" t="n">
        <v>4.303181706</v>
      </c>
      <c r="J2027" t="n">
        <v>352.860899892</v>
      </c>
      <c r="K2027" t="n">
        <v>0.9</v>
      </c>
      <c r="L2027" t="n">
        <v>91.11111111111111</v>
      </c>
      <c r="M2027" t="n">
        <v>4</v>
      </c>
      <c r="N2027" t="n">
        <v>3.6</v>
      </c>
      <c r="O2027" t="n">
        <v>78.40000000000001</v>
      </c>
      <c r="P2027" t="n">
        <v>337.3694457504</v>
      </c>
      <c r="Q2027" t="n">
        <v>0.9560975609756097</v>
      </c>
      <c r="R2027" t="inlineStr">
        <is>
          <t>Sobrestock crítico</t>
        </is>
      </c>
    </row>
    <row r="2028">
      <c r="A2028" t="inlineStr">
        <is>
          <t>VIVMIDA48TXS</t>
        </is>
      </c>
      <c r="B2028" t="inlineStr">
        <is>
          <t>VIVI ORIGINAL DAMA</t>
        </is>
      </c>
      <c r="C2028" t="inlineStr">
        <is>
          <t>Manufactura / Dama / P. Superiores</t>
        </is>
      </c>
      <c r="D2028" t="n">
        <v>192.65283232</v>
      </c>
      <c r="E2028" t="n">
        <v>4.716768824367976e-05</v>
      </c>
      <c r="F2028" t="n">
        <v>0.9777043180320427</v>
      </c>
      <c r="G2028" t="inlineStr">
        <is>
          <t>C</t>
        </is>
      </c>
      <c r="H2028" t="n">
        <v>15</v>
      </c>
      <c r="I2028" t="n">
        <v>4.303181706</v>
      </c>
      <c r="J2028" t="n">
        <v>64.54772559</v>
      </c>
      <c r="K2028" t="n">
        <v>0.6</v>
      </c>
      <c r="L2028" t="n">
        <v>25</v>
      </c>
      <c r="M2028" t="n">
        <v>4</v>
      </c>
      <c r="N2028" t="n">
        <v>2.4</v>
      </c>
      <c r="O2028" t="n">
        <v>12.6</v>
      </c>
      <c r="P2028" t="n">
        <v>54.2200894956</v>
      </c>
      <c r="Q2028" t="n">
        <v>0.84</v>
      </c>
      <c r="R2028" t="inlineStr">
        <is>
          <t>Sobrestock crítico</t>
        </is>
      </c>
    </row>
    <row r="2029">
      <c r="A2029" t="inlineStr">
        <is>
          <t>DALSSTDA30TM</t>
        </is>
      </c>
      <c r="B2029" t="inlineStr">
        <is>
          <t>MANGA LARGA DAILY 2.0 DAMA</t>
        </is>
      </c>
      <c r="C2029" t="inlineStr">
        <is>
          <t>Manufactura / Dama / P. Superiores</t>
        </is>
      </c>
      <c r="D2029" t="n">
        <v>192.06685965</v>
      </c>
      <c r="E2029" t="n">
        <v>4.702422304835905e-05</v>
      </c>
      <c r="F2029" t="n">
        <v>0.9777513422550911</v>
      </c>
      <c r="G2029" t="inlineStr">
        <is>
          <t>C</t>
        </is>
      </c>
      <c r="H2029" t="n">
        <v>1</v>
      </c>
      <c r="I2029" t="n">
        <v>12.3</v>
      </c>
      <c r="J2029" t="n">
        <v>12.3</v>
      </c>
      <c r="K2029" t="n">
        <v>0.3</v>
      </c>
      <c r="L2029" t="n">
        <v>3.333333333333333</v>
      </c>
      <c r="M2029" t="n">
        <v>4</v>
      </c>
      <c r="N2029" t="n">
        <v>1.2</v>
      </c>
      <c r="O2029" t="n">
        <v>0</v>
      </c>
      <c r="P2029" t="n">
        <v>0</v>
      </c>
      <c r="Q2029" t="n">
        <v>0</v>
      </c>
      <c r="R2029" t="inlineStr">
        <is>
          <t>OK</t>
        </is>
      </c>
    </row>
    <row r="2030">
      <c r="A2030" t="inlineStr">
        <is>
          <t>ZOEMIKI16T10</t>
        </is>
      </c>
      <c r="B2030" t="inlineStr">
        <is>
          <t>ZOE ORIGINAL KIDS</t>
        </is>
      </c>
      <c r="C2030" t="inlineStr">
        <is>
          <t>Manufactura / Kids / P. Superiores</t>
        </is>
      </c>
      <c r="D2030" t="n">
        <v>191.88283262</v>
      </c>
      <c r="E2030" t="n">
        <v>4.697916723747415e-05</v>
      </c>
      <c r="F2030" t="n">
        <v>0.9777983214223285</v>
      </c>
      <c r="G2030" t="inlineStr">
        <is>
          <t>C</t>
        </is>
      </c>
      <c r="H2030" t="n">
        <v>21</v>
      </c>
      <c r="I2030" t="n">
        <v>4.12</v>
      </c>
      <c r="J2030" t="n">
        <v>86.52</v>
      </c>
      <c r="K2030" t="n">
        <v>0.5</v>
      </c>
      <c r="L2030" t="n">
        <v>42</v>
      </c>
      <c r="M2030" t="n">
        <v>4</v>
      </c>
      <c r="N2030" t="n">
        <v>2</v>
      </c>
      <c r="O2030" t="n">
        <v>19</v>
      </c>
      <c r="P2030" t="n">
        <v>78.28</v>
      </c>
      <c r="Q2030" t="n">
        <v>0.9047619047619048</v>
      </c>
      <c r="R2030" t="inlineStr">
        <is>
          <t>Sobrestock crítico</t>
        </is>
      </c>
    </row>
    <row r="2031">
      <c r="A2031" t="inlineStr">
        <is>
          <t>MARMIKI30T10</t>
        </is>
      </c>
      <c r="B2031" t="inlineStr">
        <is>
          <t>MAR ORIGINAL KIDS</t>
        </is>
      </c>
      <c r="C2031" t="inlineStr">
        <is>
          <t>Manufactura / Kids / P. Superiores</t>
        </is>
      </c>
      <c r="D2031" t="n">
        <v>191.19461494</v>
      </c>
      <c r="E2031" t="n">
        <v>4.681066913348516e-05</v>
      </c>
      <c r="F2031" t="n">
        <v>0.977845132091462</v>
      </c>
      <c r="G2031" t="inlineStr">
        <is>
          <t>C</t>
        </is>
      </c>
      <c r="H2031" t="n">
        <v>0</v>
      </c>
      <c r="I2031" t="n">
        <v>3.168013332</v>
      </c>
      <c r="J2031" t="n">
        <v>0</v>
      </c>
      <c r="K2031" t="n">
        <v>0.5</v>
      </c>
      <c r="L2031" t="n">
        <v>0</v>
      </c>
      <c r="M2031" t="n">
        <v>4</v>
      </c>
      <c r="N2031" t="n">
        <v>2</v>
      </c>
      <c r="O2031" t="n">
        <v>0</v>
      </c>
      <c r="P2031" t="n">
        <v>0</v>
      </c>
      <c r="Q2031" t="n">
        <v>0</v>
      </c>
      <c r="R2031" t="inlineStr">
        <is>
          <t>Riesgo bajo stock</t>
        </is>
      </c>
    </row>
    <row r="2032">
      <c r="A2032" t="inlineStr">
        <is>
          <t>RIOMIKI66T4</t>
        </is>
      </c>
      <c r="B2032" t="inlineStr">
        <is>
          <t>RIO ORIGINAL KIDS</t>
        </is>
      </c>
      <c r="C2032" t="inlineStr">
        <is>
          <t>Manufactura / Kids / P. Superiores</t>
        </is>
      </c>
      <c r="D2032" t="n">
        <v>190.5368356</v>
      </c>
      <c r="E2032" t="n">
        <v>4.664962332653476e-05</v>
      </c>
      <c r="F2032" t="n">
        <v>0.9778917817147885</v>
      </c>
      <c r="G2032" t="inlineStr">
        <is>
          <t>C</t>
        </is>
      </c>
      <c r="H2032" t="n">
        <v>13</v>
      </c>
      <c r="I2032" t="n">
        <v>3.617969464</v>
      </c>
      <c r="J2032" t="n">
        <v>47.033603032</v>
      </c>
      <c r="K2032" t="n">
        <v>0.6</v>
      </c>
      <c r="L2032" t="n">
        <v>21.66666666666667</v>
      </c>
      <c r="M2032" t="n">
        <v>4</v>
      </c>
      <c r="N2032" t="n">
        <v>2.4</v>
      </c>
      <c r="O2032" t="n">
        <v>10.6</v>
      </c>
      <c r="P2032" t="n">
        <v>38.3504763184</v>
      </c>
      <c r="Q2032" t="n">
        <v>0.8153846153846153</v>
      </c>
      <c r="R2032" t="inlineStr">
        <is>
          <t>Sobrestock crítico</t>
        </is>
      </c>
    </row>
    <row r="2033">
      <c r="A2033" t="inlineStr">
        <is>
          <t>MAYFNDA24TS</t>
        </is>
      </c>
      <c r="B2033" t="inlineStr">
        <is>
          <t>MAYA SPORT LITE DAMA</t>
        </is>
      </c>
      <c r="C2033" t="inlineStr">
        <is>
          <t>Manufactura / Dama / P. Superiores</t>
        </is>
      </c>
      <c r="D2033" t="n">
        <v>190.22484939</v>
      </c>
      <c r="E2033" t="n">
        <v>4.657323894062984e-05</v>
      </c>
      <c r="F2033" t="n">
        <v>0.9779383549537292</v>
      </c>
      <c r="G2033" t="inlineStr">
        <is>
          <t>C</t>
        </is>
      </c>
      <c r="H2033" t="n">
        <v>25</v>
      </c>
      <c r="I2033" t="n">
        <v>3.87</v>
      </c>
      <c r="J2033" t="n">
        <v>96.74999999999999</v>
      </c>
      <c r="K2033" t="n">
        <v>2.5</v>
      </c>
      <c r="L2033" t="n">
        <v>10</v>
      </c>
      <c r="M2033" t="n">
        <v>4</v>
      </c>
      <c r="N2033" t="n">
        <v>10</v>
      </c>
      <c r="O2033" t="n">
        <v>15</v>
      </c>
      <c r="P2033" t="n">
        <v>58.05</v>
      </c>
      <c r="Q2033" t="n">
        <v>0.6000000000000001</v>
      </c>
      <c r="R2033" t="inlineStr">
        <is>
          <t>Sobrestock crítico</t>
        </is>
      </c>
    </row>
    <row r="2034">
      <c r="A2034" t="inlineStr">
        <is>
          <t>CLAMICA04TS</t>
        </is>
      </c>
      <c r="B2034" t="inlineStr">
        <is>
          <t>CLASICA ORIGINAL CAB</t>
        </is>
      </c>
      <c r="C2034" t="inlineStr">
        <is>
          <t>Manufactura / Caballero / P. Superiores</t>
        </is>
      </c>
      <c r="D2034" t="n">
        <v>190.21431351</v>
      </c>
      <c r="E2034" t="n">
        <v>4.657065941404189e-05</v>
      </c>
      <c r="F2034" t="n">
        <v>0.9779849256131431</v>
      </c>
      <c r="G2034" t="inlineStr">
        <is>
          <t>C</t>
        </is>
      </c>
      <c r="H2034" t="n">
        <v>27</v>
      </c>
      <c r="I2034" t="n">
        <v>4.598442536</v>
      </c>
      <c r="J2034" t="n">
        <v>124.157948472</v>
      </c>
      <c r="K2034" t="n">
        <v>0.6</v>
      </c>
      <c r="L2034" t="n">
        <v>45</v>
      </c>
      <c r="M2034" t="n">
        <v>4</v>
      </c>
      <c r="N2034" t="n">
        <v>2.4</v>
      </c>
      <c r="O2034" t="n">
        <v>24.6</v>
      </c>
      <c r="P2034" t="n">
        <v>113.1216863856</v>
      </c>
      <c r="Q2034" t="n">
        <v>0.9111111111111111</v>
      </c>
      <c r="R2034" t="inlineStr">
        <is>
          <t>Sobrestock crítico</t>
        </is>
      </c>
    </row>
    <row r="2035">
      <c r="A2035" t="inlineStr">
        <is>
          <t>SHONTCA66TXL</t>
        </is>
      </c>
      <c r="B2035" t="inlineStr">
        <is>
          <t>EXPLORE SHORT CAB</t>
        </is>
      </c>
      <c r="C2035" t="inlineStr">
        <is>
          <t>Manufactura / Caballero / P. Inferiores</t>
        </is>
      </c>
      <c r="D2035" t="n">
        <v>189.92987393</v>
      </c>
      <c r="E2035" t="n">
        <v>4.650101934038173e-05</v>
      </c>
      <c r="F2035" t="n">
        <v>0.9780314266324835</v>
      </c>
      <c r="G2035" t="inlineStr">
        <is>
          <t>C</t>
        </is>
      </c>
      <c r="H2035" t="n">
        <v>0</v>
      </c>
      <c r="I2035" t="n">
        <v>11.17</v>
      </c>
      <c r="J2035" t="n">
        <v>0</v>
      </c>
      <c r="K2035" t="n">
        <v>0.3</v>
      </c>
      <c r="L2035" t="n">
        <v>0</v>
      </c>
      <c r="M2035" t="n">
        <v>4</v>
      </c>
      <c r="N2035" t="n">
        <v>1.2</v>
      </c>
      <c r="O2035" t="n">
        <v>0</v>
      </c>
      <c r="P2035" t="n">
        <v>0</v>
      </c>
      <c r="Q2035" t="n">
        <v>0</v>
      </c>
      <c r="R2035" t="inlineStr">
        <is>
          <t>Riesgo bajo stock</t>
        </is>
      </c>
    </row>
    <row r="2036">
      <c r="A2036" t="inlineStr">
        <is>
          <t>SABMEDA12TS</t>
        </is>
      </c>
      <c r="B2036" t="inlineStr">
        <is>
          <t>SABRI SPORT DAMA</t>
        </is>
      </c>
      <c r="C2036" t="inlineStr">
        <is>
          <t>Manufactura / Dama / P. Superiores</t>
        </is>
      </c>
      <c r="D2036" t="n">
        <v>189.79685889</v>
      </c>
      <c r="E2036" t="n">
        <v>4.64684529261594e-05</v>
      </c>
      <c r="F2036" t="n">
        <v>0.9780778950854098</v>
      </c>
      <c r="G2036" t="inlineStr">
        <is>
          <t>C</t>
        </is>
      </c>
      <c r="H2036" t="n">
        <v>22</v>
      </c>
      <c r="I2036" t="n">
        <v>4.51</v>
      </c>
      <c r="J2036" t="n">
        <v>99.22</v>
      </c>
      <c r="K2036" t="n">
        <v>0.6</v>
      </c>
      <c r="L2036" t="n">
        <v>36.66666666666667</v>
      </c>
      <c r="M2036" t="n">
        <v>4</v>
      </c>
      <c r="N2036" t="n">
        <v>2.4</v>
      </c>
      <c r="O2036" t="n">
        <v>19.6</v>
      </c>
      <c r="P2036" t="n">
        <v>88.396</v>
      </c>
      <c r="Q2036" t="n">
        <v>0.8909090909090909</v>
      </c>
      <c r="R2036" t="inlineStr">
        <is>
          <t>Sobrestock crítico</t>
        </is>
      </c>
    </row>
    <row r="2037">
      <c r="A2037" t="inlineStr">
        <is>
          <t>SMLBLIDA16TM</t>
        </is>
      </c>
      <c r="B2037" t="inlineStr">
        <is>
          <t>SPOTS MANGA LARGA DAMA</t>
        </is>
      </c>
      <c r="C2037" t="inlineStr">
        <is>
          <t>Manufactura / Dama / P. Superiores</t>
        </is>
      </c>
      <c r="D2037" t="n">
        <v>189.64</v>
      </c>
      <c r="E2037" t="n">
        <v>4.643004876083946e-05</v>
      </c>
      <c r="F2037" t="n">
        <v>0.9781707551829315</v>
      </c>
      <c r="G2037" t="inlineStr">
        <is>
          <t>C</t>
        </is>
      </c>
      <c r="H2037" t="n">
        <v>13</v>
      </c>
      <c r="I2037" t="n">
        <v>12.89</v>
      </c>
      <c r="J2037" t="n">
        <v>167.57</v>
      </c>
      <c r="K2037" t="n">
        <v>0.5</v>
      </c>
      <c r="L2037" t="n">
        <v>26</v>
      </c>
      <c r="M2037" t="n">
        <v>4</v>
      </c>
      <c r="N2037" t="n">
        <v>2</v>
      </c>
      <c r="O2037" t="n">
        <v>11</v>
      </c>
      <c r="P2037" t="n">
        <v>141.79</v>
      </c>
      <c r="Q2037" t="n">
        <v>0.8461538461538463</v>
      </c>
      <c r="R2037" t="inlineStr">
        <is>
          <t>Sobrestock crítico</t>
        </is>
      </c>
    </row>
    <row r="2038">
      <c r="A2038" t="inlineStr">
        <is>
          <t>SMLBLICA16TS</t>
        </is>
      </c>
      <c r="B2038" t="inlineStr">
        <is>
          <t>SPOTS MANGA LARGA CAB</t>
        </is>
      </c>
      <c r="C2038" t="inlineStr">
        <is>
          <t>Manufactura / Caballero / P. Superiores</t>
        </is>
      </c>
      <c r="D2038" t="n">
        <v>189.64</v>
      </c>
      <c r="E2038" t="n">
        <v>4.643004876083946e-05</v>
      </c>
      <c r="F2038" t="n">
        <v>0.9781707551829315</v>
      </c>
      <c r="G2038" t="inlineStr">
        <is>
          <t>C</t>
        </is>
      </c>
      <c r="H2038" t="n">
        <v>15</v>
      </c>
      <c r="I2038" t="n">
        <v>12.89</v>
      </c>
      <c r="J2038" t="n">
        <v>193.35</v>
      </c>
      <c r="K2038" t="n">
        <v>0.5</v>
      </c>
      <c r="L2038" t="n">
        <v>30</v>
      </c>
      <c r="M2038" t="n">
        <v>4</v>
      </c>
      <c r="N2038" t="n">
        <v>2</v>
      </c>
      <c r="O2038" t="n">
        <v>13</v>
      </c>
      <c r="P2038" t="n">
        <v>167.57</v>
      </c>
      <c r="Q2038" t="n">
        <v>0.8666666666666665</v>
      </c>
      <c r="R2038" t="inlineStr">
        <is>
          <t>Sobrestock crítico</t>
        </is>
      </c>
    </row>
    <row r="2039">
      <c r="A2039" t="inlineStr">
        <is>
          <t>RUNTBMBFCA205TS</t>
        </is>
      </c>
      <c r="B2039" t="inlineStr">
        <is>
          <t>RUNNING TANK BIOMOVE CAB</t>
        </is>
      </c>
      <c r="C2039" t="inlineStr">
        <is>
          <t>Manufactura / Caballero / P. Superiores</t>
        </is>
      </c>
      <c r="D2039" t="n">
        <v>189.42</v>
      </c>
      <c r="E2039" t="n">
        <v>4.637618559522364e-05</v>
      </c>
      <c r="F2039" t="n">
        <v>0.9782171313685267</v>
      </c>
      <c r="G2039" t="inlineStr">
        <is>
          <t>C</t>
        </is>
      </c>
      <c r="H2039" t="n">
        <v>26</v>
      </c>
      <c r="I2039" t="n">
        <v>0.4823510284</v>
      </c>
      <c r="J2039" t="n">
        <v>12.5411267384</v>
      </c>
      <c r="K2039" t="n">
        <v>0.4</v>
      </c>
      <c r="L2039" t="n">
        <v>65</v>
      </c>
      <c r="M2039" t="n">
        <v>4</v>
      </c>
      <c r="N2039" t="n">
        <v>1.6</v>
      </c>
      <c r="O2039" t="n">
        <v>24.4</v>
      </c>
      <c r="P2039" t="n">
        <v>11.76936509296</v>
      </c>
      <c r="Q2039" t="n">
        <v>0.9384615384615385</v>
      </c>
      <c r="R2039" t="inlineStr">
        <is>
          <t>Sobrestock crítico</t>
        </is>
      </c>
    </row>
    <row r="2040">
      <c r="A2040" t="inlineStr">
        <is>
          <t>MARMIKI48T4</t>
        </is>
      </c>
      <c r="B2040" t="inlineStr">
        <is>
          <t>MAR ORIGINAL KIDS</t>
        </is>
      </c>
      <c r="C2040" t="inlineStr">
        <is>
          <t>Manufactura / Kids / P. Superiores</t>
        </is>
      </c>
      <c r="D2040" t="n">
        <v>189.08120934</v>
      </c>
      <c r="E2040" t="n">
        <v>4.629323860691148e-05</v>
      </c>
      <c r="F2040" t="n">
        <v>0.9782634246071337</v>
      </c>
      <c r="G2040" t="inlineStr">
        <is>
          <t>C</t>
        </is>
      </c>
      <c r="H2040" t="n">
        <v>13</v>
      </c>
      <c r="I2040" t="n">
        <v>3.168013332</v>
      </c>
      <c r="J2040" t="n">
        <v>41.184173316</v>
      </c>
      <c r="K2040" t="n">
        <v>0.5</v>
      </c>
      <c r="L2040" t="n">
        <v>26</v>
      </c>
      <c r="M2040" t="n">
        <v>4</v>
      </c>
      <c r="N2040" t="n">
        <v>2</v>
      </c>
      <c r="O2040" t="n">
        <v>11</v>
      </c>
      <c r="P2040" t="n">
        <v>34.848146652</v>
      </c>
      <c r="Q2040" t="n">
        <v>0.8461538461538463</v>
      </c>
      <c r="R2040" t="inlineStr">
        <is>
          <t>Sobrestock crítico</t>
        </is>
      </c>
    </row>
    <row r="2041">
      <c r="A2041" t="inlineStr">
        <is>
          <t>DALSTKI30T14</t>
        </is>
      </c>
      <c r="B2041" t="inlineStr">
        <is>
          <t>CLASICA DAILY 2.0 KIDS</t>
        </is>
      </c>
      <c r="C2041" t="inlineStr">
        <is>
          <t>Manufactura / Kids / P. Superiores</t>
        </is>
      </c>
      <c r="D2041" t="n">
        <v>188.6751241</v>
      </c>
      <c r="E2041" t="n">
        <v>4.619381571356485e-05</v>
      </c>
      <c r="F2041" t="n">
        <v>0.9783096184228472</v>
      </c>
      <c r="G2041" t="inlineStr">
        <is>
          <t>C</t>
        </is>
      </c>
      <c r="H2041" t="n">
        <v>5</v>
      </c>
      <c r="I2041" t="n">
        <v>8.699999999999999</v>
      </c>
      <c r="J2041" t="n">
        <v>43.5</v>
      </c>
      <c r="K2041" t="n">
        <v>0.6</v>
      </c>
      <c r="L2041" t="n">
        <v>8.333333333333334</v>
      </c>
      <c r="M2041" t="n">
        <v>4</v>
      </c>
      <c r="N2041" t="n">
        <v>2.4</v>
      </c>
      <c r="O2041" t="n">
        <v>2.6</v>
      </c>
      <c r="P2041" t="n">
        <v>22.62</v>
      </c>
      <c r="Q2041" t="n">
        <v>0.5199999999999999</v>
      </c>
      <c r="R2041" t="inlineStr">
        <is>
          <t>Sobrestock crítico</t>
        </is>
      </c>
    </row>
    <row r="2042">
      <c r="A2042" t="inlineStr">
        <is>
          <t>SHOUNCA50T2XL</t>
        </is>
      </c>
      <c r="B2042" t="inlineStr">
        <is>
          <t>SHORT PLAYA CAB</t>
        </is>
      </c>
      <c r="C2042" t="inlineStr">
        <is>
          <t>Manufactura / Caballero / P. Inferiores</t>
        </is>
      </c>
      <c r="D2042" t="n">
        <v>188.41180387</v>
      </c>
      <c r="E2042" t="n">
        <v>4.612934634466263e-05</v>
      </c>
      <c r="F2042" t="n">
        <v>0.9783557477691919</v>
      </c>
      <c r="G2042" t="inlineStr">
        <is>
          <t>C</t>
        </is>
      </c>
      <c r="H2042" t="n">
        <v>0</v>
      </c>
      <c r="I2042" t="n">
        <v>9.99</v>
      </c>
      <c r="J2042" t="n">
        <v>0</v>
      </c>
      <c r="K2042" t="n">
        <v>0.4</v>
      </c>
      <c r="L2042" t="n">
        <v>0</v>
      </c>
      <c r="M2042" t="n">
        <v>4</v>
      </c>
      <c r="N2042" t="n">
        <v>1.6</v>
      </c>
      <c r="O2042" t="n">
        <v>0</v>
      </c>
      <c r="P2042" t="n">
        <v>0</v>
      </c>
      <c r="Q2042" t="n">
        <v>0</v>
      </c>
      <c r="R2042" t="inlineStr">
        <is>
          <t>Sin rotación</t>
        </is>
      </c>
    </row>
    <row r="2043">
      <c r="A2043" t="inlineStr">
        <is>
          <t>MAADFDA151TL</t>
        </is>
      </c>
      <c r="B2043" t="inlineStr">
        <is>
          <t>MAFE ADVANCE DAMA</t>
        </is>
      </c>
      <c r="C2043" t="inlineStr">
        <is>
          <t>Manufactura / Dama / P. Superiores</t>
        </is>
      </c>
      <c r="D2043" t="n">
        <v>188.31315625</v>
      </c>
      <c r="E2043" t="n">
        <v>4.610519419423687e-05</v>
      </c>
      <c r="F2043" t="n">
        <v>0.9784018529633861</v>
      </c>
      <c r="G2043" t="inlineStr">
        <is>
          <t>C</t>
        </is>
      </c>
      <c r="H2043" t="n">
        <v>4</v>
      </c>
      <c r="I2043" t="n">
        <v>4.98</v>
      </c>
      <c r="J2043" t="n">
        <v>19.92</v>
      </c>
      <c r="K2043" t="n">
        <v>0.4</v>
      </c>
      <c r="L2043" t="n">
        <v>10</v>
      </c>
      <c r="M2043" t="n">
        <v>4</v>
      </c>
      <c r="N2043" t="n">
        <v>1.6</v>
      </c>
      <c r="O2043" t="n">
        <v>2.4</v>
      </c>
      <c r="P2043" t="n">
        <v>11.952</v>
      </c>
      <c r="Q2043" t="n">
        <v>0.6</v>
      </c>
      <c r="R2043" t="inlineStr">
        <is>
          <t>Sobrestock crítico</t>
        </is>
      </c>
    </row>
    <row r="2044">
      <c r="A2044" t="inlineStr">
        <is>
          <t>DANMIKI16T8</t>
        </is>
      </c>
      <c r="B2044" t="inlineStr">
        <is>
          <t>DANI ORIGINAL KIDS</t>
        </is>
      </c>
      <c r="C2044" t="inlineStr">
        <is>
          <t>Manufactura / Kids / P. Superiores</t>
        </is>
      </c>
      <c r="D2044" t="n">
        <v>187.89602195</v>
      </c>
      <c r="E2044" t="n">
        <v>4.600306613112351e-05</v>
      </c>
      <c r="F2044" t="n">
        <v>0.9784478560295172</v>
      </c>
      <c r="G2044" t="inlineStr">
        <is>
          <t>C</t>
        </is>
      </c>
      <c r="H2044" t="n">
        <v>9</v>
      </c>
      <c r="I2044" t="n">
        <v>3.55</v>
      </c>
      <c r="J2044" t="n">
        <v>31.95</v>
      </c>
      <c r="K2044" t="n">
        <v>0.8</v>
      </c>
      <c r="L2044" t="n">
        <v>11.25</v>
      </c>
      <c r="M2044" t="n">
        <v>4</v>
      </c>
      <c r="N2044" t="n">
        <v>3.2</v>
      </c>
      <c r="O2044" t="n">
        <v>5.8</v>
      </c>
      <c r="P2044" t="n">
        <v>20.59</v>
      </c>
      <c r="Q2044" t="n">
        <v>0.6444444444444445</v>
      </c>
      <c r="R2044" t="inlineStr">
        <is>
          <t>Sobrestock crítico</t>
        </is>
      </c>
    </row>
    <row r="2045">
      <c r="A2045" t="inlineStr">
        <is>
          <t>AQUSTKI43T8</t>
        </is>
      </c>
      <c r="B2045" t="inlineStr">
        <is>
          <t>RETRO VZLA KIDS</t>
        </is>
      </c>
      <c r="C2045" t="inlineStr">
        <is>
          <t>Manufactura / Dama / P. Superiores</t>
        </is>
      </c>
      <c r="D2045" t="n">
        <v>187.60773832</v>
      </c>
      <c r="E2045" t="n">
        <v>4.593248490881888e-05</v>
      </c>
      <c r="F2045" t="n">
        <v>0.978493788514426</v>
      </c>
      <c r="G2045" t="inlineStr">
        <is>
          <t>C</t>
        </is>
      </c>
      <c r="H2045" t="n">
        <v>4</v>
      </c>
      <c r="I2045" t="n">
        <v>10.18</v>
      </c>
      <c r="J2045" t="n">
        <v>40.72</v>
      </c>
      <c r="K2045" t="n">
        <v>0.5</v>
      </c>
      <c r="L2045" t="n">
        <v>8</v>
      </c>
      <c r="M2045" t="n">
        <v>4</v>
      </c>
      <c r="N2045" t="n">
        <v>2</v>
      </c>
      <c r="O2045" t="n">
        <v>2</v>
      </c>
      <c r="P2045" t="n">
        <v>20.36</v>
      </c>
      <c r="Q2045" t="n">
        <v>0.5</v>
      </c>
      <c r="R2045" t="inlineStr">
        <is>
          <t>Sin rotación</t>
        </is>
      </c>
    </row>
    <row r="2046">
      <c r="A2046" t="inlineStr">
        <is>
          <t>CLAMEKI43T6</t>
        </is>
      </c>
      <c r="B2046" t="inlineStr">
        <is>
          <t>CLASICA SPORT KIDS</t>
        </is>
      </c>
      <c r="C2046" t="inlineStr">
        <is>
          <t>Manufactura / Kids / P. Superiores</t>
        </is>
      </c>
      <c r="D2046" t="n">
        <v>186.71865339</v>
      </c>
      <c r="E2046" t="n">
        <v>4.57148079595865e-05</v>
      </c>
      <c r="F2046" t="n">
        <v>0.9785395033223856</v>
      </c>
      <c r="G2046" t="inlineStr">
        <is>
          <t>C</t>
        </is>
      </c>
      <c r="H2046" t="n">
        <v>26</v>
      </c>
      <c r="I2046" t="n">
        <v>3.97</v>
      </c>
      <c r="J2046" t="n">
        <v>103.22</v>
      </c>
      <c r="K2046" t="n">
        <v>0.5</v>
      </c>
      <c r="L2046" t="n">
        <v>52</v>
      </c>
      <c r="M2046" t="n">
        <v>4</v>
      </c>
      <c r="N2046" t="n">
        <v>2</v>
      </c>
      <c r="O2046" t="n">
        <v>24</v>
      </c>
      <c r="P2046" t="n">
        <v>95.28</v>
      </c>
      <c r="Q2046" t="n">
        <v>0.9230769230769231</v>
      </c>
      <c r="R2046" t="inlineStr">
        <is>
          <t>Sobrestock crítico</t>
        </is>
      </c>
    </row>
    <row r="2047">
      <c r="A2047" t="inlineStr">
        <is>
          <t>MARMICA14TM</t>
        </is>
      </c>
      <c r="B2047" t="inlineStr">
        <is>
          <t>MAR ORIGINAL CAB</t>
        </is>
      </c>
      <c r="C2047" t="inlineStr">
        <is>
          <t>Manufactura / Caballero / P. Superiores</t>
        </is>
      </c>
      <c r="D2047" t="n">
        <v>186.15194677</v>
      </c>
      <c r="E2047" t="n">
        <v>4.557605972081994e-05</v>
      </c>
      <c r="F2047" t="n">
        <v>0.9785850793821065</v>
      </c>
      <c r="G2047" t="inlineStr">
        <is>
          <t>C</t>
        </is>
      </c>
      <c r="H2047" t="n">
        <v>0</v>
      </c>
      <c r="I2047" t="n">
        <v>4.946357428</v>
      </c>
      <c r="J2047" t="n">
        <v>0</v>
      </c>
      <c r="K2047" t="n">
        <v>0.4</v>
      </c>
      <c r="L2047" t="n">
        <v>0</v>
      </c>
      <c r="M2047" t="n">
        <v>4</v>
      </c>
      <c r="N2047" t="n">
        <v>1.6</v>
      </c>
      <c r="O2047" t="n">
        <v>0</v>
      </c>
      <c r="P2047" t="n">
        <v>0</v>
      </c>
      <c r="Q2047" t="n">
        <v>0</v>
      </c>
      <c r="R2047" t="inlineStr">
        <is>
          <t>Sin rotación</t>
        </is>
      </c>
    </row>
    <row r="2048">
      <c r="A2048" t="inlineStr">
        <is>
          <t>AQUSTKI43T12</t>
        </is>
      </c>
      <c r="B2048" t="inlineStr">
        <is>
          <t>RETRO VZLA KIDS</t>
        </is>
      </c>
      <c r="C2048" t="inlineStr">
        <is>
          <t>Manufactura / Dama / P. Superiores</t>
        </is>
      </c>
      <c r="D2048" t="n">
        <v>184.77866202</v>
      </c>
      <c r="E2048" t="n">
        <v>4.523983488478842e-05</v>
      </c>
      <c r="F2048" t="n">
        <v>0.9786303192169912</v>
      </c>
      <c r="G2048" t="inlineStr">
        <is>
          <t>C</t>
        </is>
      </c>
      <c r="H2048" t="n">
        <v>0</v>
      </c>
      <c r="I2048" t="n">
        <v>10.18</v>
      </c>
      <c r="J2048" t="n">
        <v>0</v>
      </c>
      <c r="K2048" t="n">
        <v>0.5</v>
      </c>
      <c r="L2048" t="n">
        <v>0</v>
      </c>
      <c r="M2048" t="n">
        <v>4</v>
      </c>
      <c r="N2048" t="n">
        <v>2</v>
      </c>
      <c r="O2048" t="n">
        <v>0</v>
      </c>
      <c r="P2048" t="n">
        <v>0</v>
      </c>
      <c r="Q2048" t="n">
        <v>0</v>
      </c>
      <c r="R2048" t="inlineStr">
        <is>
          <t>Riesgo bajo stock</t>
        </is>
      </c>
    </row>
    <row r="2049">
      <c r="A2049" t="inlineStr">
        <is>
          <t>SHONTDA43TL</t>
        </is>
      </c>
      <c r="B2049" t="inlineStr">
        <is>
          <t>EXPLORE SHORT DAMA</t>
        </is>
      </c>
      <c r="C2049" t="inlineStr">
        <is>
          <t>Manufactura / Dama / P. Inferiores</t>
        </is>
      </c>
      <c r="D2049" t="n">
        <v>184.72980007</v>
      </c>
      <c r="E2049" t="n">
        <v>4.522787188794677e-05</v>
      </c>
      <c r="F2049" t="n">
        <v>0.9786755470888792</v>
      </c>
      <c r="G2049" t="inlineStr">
        <is>
          <t>C</t>
        </is>
      </c>
      <c r="H2049" t="n">
        <v>18</v>
      </c>
      <c r="I2049" t="n">
        <v>10.22113744</v>
      </c>
      <c r="J2049" t="n">
        <v>183.98047392</v>
      </c>
      <c r="K2049" t="n">
        <v>0.4</v>
      </c>
      <c r="L2049" t="n">
        <v>45</v>
      </c>
      <c r="M2049" t="n">
        <v>4</v>
      </c>
      <c r="N2049" t="n">
        <v>1.6</v>
      </c>
      <c r="O2049" t="n">
        <v>16.4</v>
      </c>
      <c r="P2049" t="n">
        <v>167.626654016</v>
      </c>
      <c r="Q2049" t="n">
        <v>0.911111111111111</v>
      </c>
      <c r="R2049" t="inlineStr">
        <is>
          <t>Sin rotación</t>
        </is>
      </c>
    </row>
    <row r="2050">
      <c r="A2050" t="inlineStr">
        <is>
          <t>CLAMIDA13TS</t>
        </is>
      </c>
      <c r="B2050" t="inlineStr">
        <is>
          <t>CLASICA ORIGINAL DAMA</t>
        </is>
      </c>
      <c r="C2050" t="inlineStr">
        <is>
          <t>Manufactura / Dama / P. Superiores</t>
        </is>
      </c>
      <c r="D2050" t="n">
        <v>184.21770212</v>
      </c>
      <c r="E2050" t="n">
        <v>4.510249363025417e-05</v>
      </c>
      <c r="F2050" t="n">
        <v>0.9787206495825094</v>
      </c>
      <c r="G2050" t="inlineStr">
        <is>
          <t>C</t>
        </is>
      </c>
      <c r="H2050" t="n">
        <v>9</v>
      </c>
      <c r="I2050" t="n">
        <v>3.923227589000001</v>
      </c>
      <c r="J2050" t="n">
        <v>35.309048301</v>
      </c>
      <c r="K2050" t="n">
        <v>0.4</v>
      </c>
      <c r="L2050" t="n">
        <v>22.5</v>
      </c>
      <c r="M2050" t="n">
        <v>4</v>
      </c>
      <c r="N2050" t="n">
        <v>1.6</v>
      </c>
      <c r="O2050" t="n">
        <v>7.4</v>
      </c>
      <c r="P2050" t="n">
        <v>29.0318841586</v>
      </c>
      <c r="Q2050" t="n">
        <v>0.8222222222222222</v>
      </c>
      <c r="R2050" t="inlineStr">
        <is>
          <t>Sobrestock crítico</t>
        </is>
      </c>
    </row>
    <row r="2051">
      <c r="A2051" t="inlineStr">
        <is>
          <t>SHOUNKI23T12</t>
        </is>
      </c>
      <c r="B2051" t="inlineStr">
        <is>
          <t>SHORT PLAYA KIDS</t>
        </is>
      </c>
      <c r="C2051" t="inlineStr">
        <is>
          <t>Manufactura / Kids / P. Inferiores</t>
        </is>
      </c>
      <c r="D2051" t="n">
        <v>184.11489025</v>
      </c>
      <c r="E2051" t="n">
        <v>4.50773219357947e-05</v>
      </c>
      <c r="F2051" t="n">
        <v>0.9787657269044452</v>
      </c>
      <c r="G2051" t="inlineStr">
        <is>
          <t>C</t>
        </is>
      </c>
      <c r="H2051" t="n">
        <v>7</v>
      </c>
      <c r="I2051" t="n">
        <v>6.09</v>
      </c>
      <c r="J2051" t="n">
        <v>42.63</v>
      </c>
      <c r="K2051" t="n">
        <v>0.5</v>
      </c>
      <c r="L2051" t="n">
        <v>14</v>
      </c>
      <c r="M2051" t="n">
        <v>4</v>
      </c>
      <c r="N2051" t="n">
        <v>2</v>
      </c>
      <c r="O2051" t="n">
        <v>5</v>
      </c>
      <c r="P2051" t="n">
        <v>30.45</v>
      </c>
      <c r="Q2051" t="n">
        <v>0.7142857142857143</v>
      </c>
      <c r="R2051" t="inlineStr">
        <is>
          <t>Sobrestock crítico</t>
        </is>
      </c>
    </row>
    <row r="2052">
      <c r="A2052" t="inlineStr">
        <is>
          <t>ZOEMIDA13TS</t>
        </is>
      </c>
      <c r="B2052" t="inlineStr">
        <is>
          <t>ZOE ORIGINAL DAMA</t>
        </is>
      </c>
      <c r="C2052" t="inlineStr">
        <is>
          <t>Manufactura / Dama / P. Superiores</t>
        </is>
      </c>
      <c r="D2052" t="n">
        <v>182.44940697</v>
      </c>
      <c r="E2052" t="n">
        <v>4.46695573824264e-05</v>
      </c>
      <c r="F2052" t="n">
        <v>0.9788103964618278</v>
      </c>
      <c r="G2052" t="inlineStr">
        <is>
          <t>C</t>
        </is>
      </c>
      <c r="H2052" t="n">
        <v>0</v>
      </c>
      <c r="I2052" t="n">
        <v>4.116585696</v>
      </c>
      <c r="J2052" t="n">
        <v>0</v>
      </c>
      <c r="K2052" t="n">
        <v>0.5</v>
      </c>
      <c r="L2052" t="n">
        <v>0</v>
      </c>
      <c r="M2052" t="n">
        <v>4</v>
      </c>
      <c r="N2052" t="n">
        <v>2</v>
      </c>
      <c r="O2052" t="n">
        <v>0</v>
      </c>
      <c r="P2052" t="n">
        <v>0</v>
      </c>
      <c r="Q2052" t="n">
        <v>0</v>
      </c>
      <c r="R2052" t="inlineStr">
        <is>
          <t>Riesgo bajo stock</t>
        </is>
      </c>
    </row>
    <row r="2053">
      <c r="A2053" t="inlineStr">
        <is>
          <t>SMCBNEDA16TL</t>
        </is>
      </c>
      <c r="B2053" t="inlineStr">
        <is>
          <t>SPOTS MANGA CORTA DAMA</t>
        </is>
      </c>
      <c r="C2053" t="inlineStr">
        <is>
          <t>Manufactura / Dama / P. Superiores</t>
        </is>
      </c>
      <c r="D2053" t="n">
        <v>182.3151754844417</v>
      </c>
      <c r="E2053" t="n">
        <v>4.463669314271057e-05</v>
      </c>
      <c r="F2053" t="n">
        <v>0.9788550331549704</v>
      </c>
      <c r="G2053" t="inlineStr">
        <is>
          <t>C</t>
        </is>
      </c>
      <c r="H2053" t="n">
        <v>7</v>
      </c>
      <c r="I2053" t="n">
        <v>8.5</v>
      </c>
      <c r="J2053" t="n">
        <v>59.5</v>
      </c>
      <c r="K2053" t="n">
        <v>0.5</v>
      </c>
      <c r="L2053" t="n">
        <v>14</v>
      </c>
      <c r="M2053" t="n">
        <v>4</v>
      </c>
      <c r="N2053" t="n">
        <v>2</v>
      </c>
      <c r="O2053" t="n">
        <v>5</v>
      </c>
      <c r="P2053" t="n">
        <v>42.5</v>
      </c>
      <c r="Q2053" t="n">
        <v>0.7142857142857143</v>
      </c>
      <c r="R2053" t="inlineStr">
        <is>
          <t>Sobrestock crítico</t>
        </is>
      </c>
    </row>
    <row r="2054">
      <c r="A2054" t="inlineStr">
        <is>
          <t>RIOMIKI53T8</t>
        </is>
      </c>
      <c r="B2054" t="inlineStr">
        <is>
          <t>RIO ORIGINAL KIDS</t>
        </is>
      </c>
      <c r="C2054" t="inlineStr">
        <is>
          <t>Manufactura / Kids / P. Superiores</t>
        </is>
      </c>
      <c r="D2054" t="n">
        <v>181.86656134</v>
      </c>
      <c r="E2054" t="n">
        <v>4.452685778834846e-05</v>
      </c>
      <c r="F2054" t="n">
        <v>0.9788995600127587</v>
      </c>
      <c r="G2054" t="inlineStr">
        <is>
          <t>C</t>
        </is>
      </c>
      <c r="H2054" t="n">
        <v>3</v>
      </c>
      <c r="I2054" t="n">
        <v>3.617969464</v>
      </c>
      <c r="J2054" t="n">
        <v>10.853908392</v>
      </c>
      <c r="K2054" t="n">
        <v>0.4</v>
      </c>
      <c r="L2054" t="n">
        <v>7.5</v>
      </c>
      <c r="M2054" t="n">
        <v>4</v>
      </c>
      <c r="N2054" t="n">
        <v>1.6</v>
      </c>
      <c r="O2054" t="n">
        <v>1.4</v>
      </c>
      <c r="P2054" t="n">
        <v>5.0651572496</v>
      </c>
      <c r="Q2054" t="n">
        <v>0.4666666666666667</v>
      </c>
      <c r="R2054" t="inlineStr">
        <is>
          <t>Sobrestock crítico</t>
        </is>
      </c>
    </row>
    <row r="2055">
      <c r="A2055" t="inlineStr">
        <is>
          <t>MARMIKI50T1</t>
        </is>
      </c>
      <c r="B2055" t="inlineStr">
        <is>
          <t>MAR ORIGINAL KIDS</t>
        </is>
      </c>
      <c r="C2055" t="inlineStr">
        <is>
          <t>Manufactura / Kids / P. Superiores</t>
        </is>
      </c>
      <c r="D2055" t="n">
        <v>181.48674433</v>
      </c>
      <c r="E2055" t="n">
        <v>4.443386621328783e-05</v>
      </c>
      <c r="F2055" t="n">
        <v>0.978943993878972</v>
      </c>
      <c r="G2055" t="inlineStr">
        <is>
          <t>C</t>
        </is>
      </c>
      <c r="H2055" t="n">
        <v>0</v>
      </c>
      <c r="I2055" t="n">
        <v>3.168013332</v>
      </c>
      <c r="J2055" t="n">
        <v>0</v>
      </c>
      <c r="K2055" t="n">
        <v>0.5</v>
      </c>
      <c r="L2055" t="n">
        <v>0</v>
      </c>
      <c r="M2055" t="n">
        <v>4</v>
      </c>
      <c r="N2055" t="n">
        <v>2</v>
      </c>
      <c r="O2055" t="n">
        <v>0</v>
      </c>
      <c r="P2055" t="n">
        <v>0</v>
      </c>
      <c r="Q2055" t="n">
        <v>0</v>
      </c>
      <c r="R2055" t="inlineStr">
        <is>
          <t>Riesgo bajo stock</t>
        </is>
      </c>
    </row>
    <row r="2056">
      <c r="A2056" t="inlineStr">
        <is>
          <t>SHONRKI66T4</t>
        </is>
      </c>
      <c r="B2056" t="inlineStr">
        <is>
          <t>SHORT SPORT KIDS</t>
        </is>
      </c>
      <c r="C2056" t="inlineStr">
        <is>
          <t>Manufactura / Kids / P. Inferiores</t>
        </is>
      </c>
      <c r="D2056" t="n">
        <v>181.26555405</v>
      </c>
      <c r="E2056" t="n">
        <v>4.437971162835943e-05</v>
      </c>
      <c r="F2056" t="n">
        <v>0.9789883735906004</v>
      </c>
      <c r="G2056" t="inlineStr">
        <is>
          <t>C</t>
        </is>
      </c>
      <c r="H2056" t="n">
        <v>22</v>
      </c>
      <c r="I2056" t="n">
        <v>6.465724382</v>
      </c>
      <c r="J2056" t="n">
        <v>142.245936404</v>
      </c>
      <c r="K2056" t="n">
        <v>0.5</v>
      </c>
      <c r="L2056" t="n">
        <v>44</v>
      </c>
      <c r="M2056" t="n">
        <v>4</v>
      </c>
      <c r="N2056" t="n">
        <v>2</v>
      </c>
      <c r="O2056" t="n">
        <v>20</v>
      </c>
      <c r="P2056" t="n">
        <v>129.31448764</v>
      </c>
      <c r="Q2056" t="n">
        <v>0.9090909090909091</v>
      </c>
      <c r="R2056" t="inlineStr">
        <is>
          <t>Sobrestock crítico</t>
        </is>
      </c>
    </row>
    <row r="2057">
      <c r="A2057" t="inlineStr">
        <is>
          <t>DANMIKI11T8</t>
        </is>
      </c>
      <c r="B2057" t="inlineStr">
        <is>
          <t>DANI ORIGINAL KIDS</t>
        </is>
      </c>
      <c r="C2057" t="inlineStr">
        <is>
          <t>Manufactura / Kids / P. Superiores</t>
        </is>
      </c>
      <c r="D2057" t="n">
        <v>181.13766154</v>
      </c>
      <c r="E2057" t="n">
        <v>4.434839937632691e-05</v>
      </c>
      <c r="F2057" t="n">
        <v>0.9790327219899767</v>
      </c>
      <c r="G2057" t="inlineStr">
        <is>
          <t>C</t>
        </is>
      </c>
      <c r="H2057" t="n">
        <v>0</v>
      </c>
      <c r="I2057" t="n">
        <v>3.55</v>
      </c>
      <c r="J2057" t="n">
        <v>0</v>
      </c>
      <c r="K2057" t="n">
        <v>0.7</v>
      </c>
      <c r="L2057" t="n">
        <v>0</v>
      </c>
      <c r="M2057" t="n">
        <v>4</v>
      </c>
      <c r="N2057" t="n">
        <v>2.8</v>
      </c>
      <c r="O2057" t="n">
        <v>0</v>
      </c>
      <c r="P2057" t="n">
        <v>0</v>
      </c>
      <c r="Q2057" t="n">
        <v>0</v>
      </c>
      <c r="R2057" t="inlineStr">
        <is>
          <t>Riesgo bajo stock</t>
        </is>
      </c>
    </row>
    <row r="2058">
      <c r="A2058" t="inlineStr">
        <is>
          <t>DANMIKI48T8</t>
        </is>
      </c>
      <c r="B2058" t="inlineStr">
        <is>
          <t>DANI ORIGINAL KIDS</t>
        </is>
      </c>
      <c r="C2058" t="inlineStr">
        <is>
          <t>Manufactura / Kids / P. Superiores</t>
        </is>
      </c>
      <c r="D2058" t="n">
        <v>180.43263559</v>
      </c>
      <c r="E2058" t="n">
        <v>4.417578606038009e-05</v>
      </c>
      <c r="F2058" t="n">
        <v>0.9790768977760371</v>
      </c>
      <c r="G2058" t="inlineStr">
        <is>
          <t>C</t>
        </is>
      </c>
      <c r="H2058" t="n">
        <v>0</v>
      </c>
      <c r="I2058" t="n">
        <v>3.55</v>
      </c>
      <c r="J2058" t="n">
        <v>0</v>
      </c>
      <c r="K2058" t="n">
        <v>0.8</v>
      </c>
      <c r="L2058" t="n">
        <v>0</v>
      </c>
      <c r="M2058" t="n">
        <v>4</v>
      </c>
      <c r="N2058" t="n">
        <v>3.2</v>
      </c>
      <c r="O2058" t="n">
        <v>0</v>
      </c>
      <c r="P2058" t="n">
        <v>0</v>
      </c>
      <c r="Q2058" t="n">
        <v>0</v>
      </c>
      <c r="R2058" t="inlineStr">
        <is>
          <t>Riesgo bajo stock</t>
        </is>
      </c>
    </row>
    <row r="2059">
      <c r="A2059" t="inlineStr">
        <is>
          <t>TMOFIDA31TS</t>
        </is>
      </c>
      <c r="B2059" t="inlineStr">
        <is>
          <t>TOP MOVA</t>
        </is>
      </c>
      <c r="C2059" t="inlineStr">
        <is>
          <t>Manufactura / Dama / P. Superiores</t>
        </is>
      </c>
      <c r="D2059" t="n">
        <v>179.79520744</v>
      </c>
      <c r="E2059" t="n">
        <v>4.401972288759991e-05</v>
      </c>
      <c r="F2059" t="n">
        <v>0.9791209174989247</v>
      </c>
      <c r="G2059" t="inlineStr">
        <is>
          <t>C</t>
        </is>
      </c>
      <c r="H2059" t="n">
        <v>19</v>
      </c>
      <c r="I2059" t="n">
        <v>9.942967033</v>
      </c>
      <c r="J2059" t="n">
        <v>188.916373627</v>
      </c>
      <c r="K2059" t="n">
        <v>0.4</v>
      </c>
      <c r="L2059" t="n">
        <v>47.5</v>
      </c>
      <c r="M2059" t="n">
        <v>4</v>
      </c>
      <c r="N2059" t="n">
        <v>1.6</v>
      </c>
      <c r="O2059" t="n">
        <v>17.4</v>
      </c>
      <c r="P2059" t="n">
        <v>173.0076263742</v>
      </c>
      <c r="Q2059" t="n">
        <v>0.9157894736842104</v>
      </c>
      <c r="R2059" t="inlineStr">
        <is>
          <t>Sobrestock crítico</t>
        </is>
      </c>
    </row>
    <row r="2060">
      <c r="A2060" t="inlineStr">
        <is>
          <t>SHONTDA30TS</t>
        </is>
      </c>
      <c r="B2060" t="inlineStr">
        <is>
          <t>EXPLORE SHORT DAMA</t>
        </is>
      </c>
      <c r="C2060" t="inlineStr">
        <is>
          <t>Manufactura / Dama / P. Inferiores</t>
        </is>
      </c>
      <c r="D2060" t="n">
        <v>179.3948512</v>
      </c>
      <c r="E2060" t="n">
        <v>4.392170264005242e-05</v>
      </c>
      <c r="F2060" t="n">
        <v>0.9791648392015647</v>
      </c>
      <c r="G2060" t="inlineStr">
        <is>
          <t>C</t>
        </is>
      </c>
      <c r="H2060" t="n">
        <v>98</v>
      </c>
      <c r="I2060" t="n">
        <v>10.22113744</v>
      </c>
      <c r="J2060" t="n">
        <v>1001.67146912</v>
      </c>
      <c r="K2060" t="n">
        <v>0.5</v>
      </c>
      <c r="L2060" t="n">
        <v>196</v>
      </c>
      <c r="M2060" t="n">
        <v>4</v>
      </c>
      <c r="N2060" t="n">
        <v>2</v>
      </c>
      <c r="O2060" t="n">
        <v>96</v>
      </c>
      <c r="P2060" t="n">
        <v>981.22919424</v>
      </c>
      <c r="Q2060" t="n">
        <v>0.9795918367346939</v>
      </c>
      <c r="R2060" t="inlineStr">
        <is>
          <t>Sobrestock crítico</t>
        </is>
      </c>
    </row>
    <row r="2061">
      <c r="A2061" t="inlineStr">
        <is>
          <t>CAP71SC</t>
        </is>
      </c>
      <c r="B2061" t="inlineStr">
        <is>
          <t>CAP SOLID</t>
        </is>
      </c>
      <c r="C2061" t="inlineStr">
        <is>
          <t>Equipamiento / Gorras</t>
        </is>
      </c>
      <c r="D2061" t="n">
        <v>178.46147428</v>
      </c>
      <c r="E2061" t="n">
        <v>4.369318156903448e-05</v>
      </c>
      <c r="F2061" t="n">
        <v>0.9792085323831338</v>
      </c>
      <c r="G2061" t="inlineStr">
        <is>
          <t>C</t>
        </is>
      </c>
      <c r="H2061" t="n">
        <v>0</v>
      </c>
      <c r="I2061" t="n">
        <v>0</v>
      </c>
      <c r="J2061" t="n">
        <v>0</v>
      </c>
      <c r="K2061" t="n">
        <v>0.6</v>
      </c>
      <c r="L2061" t="n">
        <v>0</v>
      </c>
      <c r="M2061" t="n">
        <v>4</v>
      </c>
      <c r="N2061" t="n">
        <v>2.4</v>
      </c>
      <c r="O2061" t="n">
        <v>0</v>
      </c>
      <c r="P2061" t="n">
        <v>0</v>
      </c>
      <c r="Q2061" t="n">
        <v>0</v>
      </c>
      <c r="R2061" t="inlineStr">
        <is>
          <t>Riesgo bajo stock</t>
        </is>
      </c>
    </row>
    <row r="2062">
      <c r="A2062" t="inlineStr">
        <is>
          <t>LMOFIDA12TXS</t>
        </is>
      </c>
      <c r="B2062" t="inlineStr">
        <is>
          <t>LEGGING MOVA</t>
        </is>
      </c>
      <c r="C2062" t="inlineStr">
        <is>
          <t>Manufactura / Dama / P. Inferiores</t>
        </is>
      </c>
      <c r="D2062" t="n">
        <v>178.1918238</v>
      </c>
      <c r="E2062" t="n">
        <v>4.362716234874981e-05</v>
      </c>
      <c r="F2062" t="n">
        <v>0.9792521595454825</v>
      </c>
      <c r="G2062" t="inlineStr">
        <is>
          <t>C</t>
        </is>
      </c>
      <c r="H2062" t="n">
        <v>24</v>
      </c>
      <c r="I2062" t="n">
        <v>17.7</v>
      </c>
      <c r="J2062" t="n">
        <v>424.8</v>
      </c>
      <c r="K2062" t="n">
        <v>0.5</v>
      </c>
      <c r="L2062" t="n">
        <v>48</v>
      </c>
      <c r="M2062" t="n">
        <v>4</v>
      </c>
      <c r="N2062" t="n">
        <v>2</v>
      </c>
      <c r="O2062" t="n">
        <v>22</v>
      </c>
      <c r="P2062" t="n">
        <v>389.4</v>
      </c>
      <c r="Q2062" t="n">
        <v>0.9166666666666667</v>
      </c>
      <c r="R2062" t="inlineStr">
        <is>
          <t>Sobrestock crítico</t>
        </is>
      </c>
    </row>
    <row r="2063">
      <c r="A2063" t="inlineStr">
        <is>
          <t>LMOFIDA66TXL</t>
        </is>
      </c>
      <c r="B2063" t="inlineStr">
        <is>
          <t>LEGGING MOVA</t>
        </is>
      </c>
      <c r="C2063" t="inlineStr">
        <is>
          <t>Manufactura / Dama / P. Inferiores</t>
        </is>
      </c>
      <c r="D2063" t="n">
        <v>177.83116716</v>
      </c>
      <c r="E2063" t="n">
        <v>4.353886185633724e-05</v>
      </c>
      <c r="F2063" t="n">
        <v>0.9792956984073389</v>
      </c>
      <c r="G2063" t="inlineStr">
        <is>
          <t>C</t>
        </is>
      </c>
      <c r="H2063" t="n">
        <v>8</v>
      </c>
      <c r="I2063" t="n">
        <v>17.7</v>
      </c>
      <c r="J2063" t="n">
        <v>141.6</v>
      </c>
      <c r="K2063" t="n">
        <v>0.2</v>
      </c>
      <c r="L2063" t="n">
        <v>40</v>
      </c>
      <c r="M2063" t="n">
        <v>4</v>
      </c>
      <c r="N2063" t="n">
        <v>0.8</v>
      </c>
      <c r="O2063" t="n">
        <v>7.2</v>
      </c>
      <c r="P2063" t="n">
        <v>127.44</v>
      </c>
      <c r="Q2063" t="n">
        <v>0.9</v>
      </c>
      <c r="R2063" t="inlineStr">
        <is>
          <t>Sobrestock crítico</t>
        </is>
      </c>
    </row>
    <row r="2064">
      <c r="A2064" t="inlineStr">
        <is>
          <t>SHONRKI66T14</t>
        </is>
      </c>
      <c r="B2064" t="inlineStr">
        <is>
          <t>SHORT SPORT KIDS</t>
        </is>
      </c>
      <c r="C2064" t="inlineStr">
        <is>
          <t>Manufactura / Kids / P. Inferiores</t>
        </is>
      </c>
      <c r="D2064" t="n">
        <v>177.26461837</v>
      </c>
      <c r="E2064" t="n">
        <v>4.340015225949535e-05</v>
      </c>
      <c r="F2064" t="n">
        <v>0.9793390985595983</v>
      </c>
      <c r="G2064" t="inlineStr">
        <is>
          <t>C</t>
        </is>
      </c>
      <c r="H2064" t="n">
        <v>3</v>
      </c>
      <c r="I2064" t="n">
        <v>6.465724382</v>
      </c>
      <c r="J2064" t="n">
        <v>19.397173146</v>
      </c>
      <c r="K2064" t="n">
        <v>0.6</v>
      </c>
      <c r="L2064" t="n">
        <v>5</v>
      </c>
      <c r="M2064" t="n">
        <v>4</v>
      </c>
      <c r="N2064" t="n">
        <v>2.4</v>
      </c>
      <c r="O2064" t="n">
        <v>0.6000000000000001</v>
      </c>
      <c r="P2064" t="n">
        <v>3.879434629200001</v>
      </c>
      <c r="Q2064" t="n">
        <v>0.2</v>
      </c>
      <c r="R2064" t="inlineStr">
        <is>
          <t>Sobrestock</t>
        </is>
      </c>
    </row>
    <row r="2065">
      <c r="A2065" t="inlineStr">
        <is>
          <t>JACDA34TXS</t>
        </is>
      </c>
      <c r="B2065" t="inlineStr">
        <is>
          <t>JACKET DAMA</t>
        </is>
      </c>
      <c r="C2065" t="inlineStr">
        <is>
          <t>Equipamiento / Ropa</t>
        </is>
      </c>
      <c r="D2065" t="n">
        <v>177.1947388</v>
      </c>
      <c r="E2065" t="n">
        <v>4.33830434647132e-05</v>
      </c>
      <c r="F2065" t="n">
        <v>0.979382481603063</v>
      </c>
      <c r="G2065" t="inlineStr">
        <is>
          <t>C</t>
        </is>
      </c>
      <c r="H2065" t="n">
        <v>0</v>
      </c>
      <c r="I2065" t="n">
        <v>20.25</v>
      </c>
      <c r="J2065" t="n">
        <v>0</v>
      </c>
      <c r="K2065" t="n">
        <v>0.3</v>
      </c>
      <c r="L2065" t="n">
        <v>0</v>
      </c>
      <c r="M2065" t="n">
        <v>4</v>
      </c>
      <c r="N2065" t="n">
        <v>1.2</v>
      </c>
      <c r="O2065" t="n">
        <v>0</v>
      </c>
      <c r="P2065" t="n">
        <v>0</v>
      </c>
      <c r="Q2065" t="n">
        <v>0</v>
      </c>
      <c r="R2065" t="inlineStr">
        <is>
          <t>Sin rotación</t>
        </is>
      </c>
    </row>
    <row r="2066">
      <c r="A2066" t="inlineStr">
        <is>
          <t>RUNTBMBFCA205TM</t>
        </is>
      </c>
      <c r="B2066" t="inlineStr">
        <is>
          <t>RUNNING TANK BIOMOVE CAB</t>
        </is>
      </c>
      <c r="C2066" t="inlineStr">
        <is>
          <t>Manufactura / Caballero / P. Superiores</t>
        </is>
      </c>
      <c r="D2066" t="n">
        <v>177.14</v>
      </c>
      <c r="E2066" t="n">
        <v>4.33696416235768e-05</v>
      </c>
      <c r="F2066" t="n">
        <v>0.9794258512446866</v>
      </c>
      <c r="G2066" t="inlineStr">
        <is>
          <t>C</t>
        </is>
      </c>
      <c r="H2066" t="n">
        <v>32</v>
      </c>
      <c r="I2066" t="n">
        <v>0.4823510283999999</v>
      </c>
      <c r="J2066" t="n">
        <v>15.4352329088</v>
      </c>
      <c r="K2066" t="n">
        <v>0.3</v>
      </c>
      <c r="L2066" t="n">
        <v>106.6666666666667</v>
      </c>
      <c r="M2066" t="n">
        <v>4</v>
      </c>
      <c r="N2066" t="n">
        <v>1.2</v>
      </c>
      <c r="O2066" t="n">
        <v>30.8</v>
      </c>
      <c r="P2066" t="n">
        <v>14.85641167472</v>
      </c>
      <c r="Q2066" t="n">
        <v>0.9625</v>
      </c>
      <c r="R2066" t="inlineStr">
        <is>
          <t>Sobrestock crítico</t>
        </is>
      </c>
    </row>
    <row r="2067">
      <c r="A2067" t="inlineStr">
        <is>
          <t>HELBFDA16TXL</t>
        </is>
      </c>
      <c r="B2067" t="inlineStr">
        <is>
          <t>HELEN BIO MOVE DAMA</t>
        </is>
      </c>
      <c r="C2067" t="inlineStr">
        <is>
          <t>Manufactura / Dama / P. Superiores</t>
        </is>
      </c>
      <c r="D2067" t="n">
        <v>177.04116249</v>
      </c>
      <c r="E2067" t="n">
        <v>4.334544298189413e-05</v>
      </c>
      <c r="F2067" t="n">
        <v>0.9794691966876686</v>
      </c>
      <c r="G2067" t="inlineStr">
        <is>
          <t>C</t>
        </is>
      </c>
      <c r="H2067" t="n">
        <v>13</v>
      </c>
      <c r="I2067" t="n">
        <v>7.34081746</v>
      </c>
      <c r="J2067" t="n">
        <v>95.43062698</v>
      </c>
      <c r="K2067" t="n">
        <v>0.3</v>
      </c>
      <c r="L2067" t="n">
        <v>43.33333333333334</v>
      </c>
      <c r="M2067" t="n">
        <v>4</v>
      </c>
      <c r="N2067" t="n">
        <v>1.2</v>
      </c>
      <c r="O2067" t="n">
        <v>11.8</v>
      </c>
      <c r="P2067" t="n">
        <v>86.62164602800001</v>
      </c>
      <c r="Q2067" t="n">
        <v>0.9076923076923078</v>
      </c>
      <c r="R2067" t="inlineStr">
        <is>
          <t>Sobrestock crítico</t>
        </is>
      </c>
    </row>
    <row r="2068">
      <c r="A2068" t="inlineStr">
        <is>
          <t>ANDMIDA04TL</t>
        </is>
      </c>
      <c r="B2068" t="inlineStr">
        <is>
          <t>ANDRE ORIGINAL DAMA</t>
        </is>
      </c>
      <c r="C2068" t="inlineStr">
        <is>
          <t>Manufactura / Dama / P. Superiores</t>
        </is>
      </c>
      <c r="D2068" t="n">
        <v>176.06489256</v>
      </c>
      <c r="E2068" t="n">
        <v>4.310642030496077e-05</v>
      </c>
      <c r="F2068" t="n">
        <v>0.9795123031079735</v>
      </c>
      <c r="G2068" t="inlineStr">
        <is>
          <t>C</t>
        </is>
      </c>
      <c r="H2068" t="n">
        <v>11</v>
      </c>
      <c r="I2068" t="n">
        <v>3.274295302</v>
      </c>
      <c r="J2068" t="n">
        <v>36.017248322</v>
      </c>
      <c r="K2068" t="n">
        <v>1</v>
      </c>
      <c r="L2068" t="n">
        <v>11</v>
      </c>
      <c r="M2068" t="n">
        <v>4</v>
      </c>
      <c r="N2068" t="n">
        <v>4</v>
      </c>
      <c r="O2068" t="n">
        <v>7</v>
      </c>
      <c r="P2068" t="n">
        <v>22.920067114</v>
      </c>
      <c r="Q2068" t="n">
        <v>0.6363636363636364</v>
      </c>
      <c r="R2068" t="inlineStr">
        <is>
          <t>Sobrestock crítico</t>
        </is>
      </c>
    </row>
    <row r="2069">
      <c r="A2069" t="inlineStr">
        <is>
          <t>ANDMIDA43TXL</t>
        </is>
      </c>
      <c r="B2069" t="inlineStr">
        <is>
          <t>ANDRE ORIGINAL DAMA</t>
        </is>
      </c>
      <c r="C2069" t="inlineStr">
        <is>
          <t>Manufactura / Dama / P. Superiores</t>
        </is>
      </c>
      <c r="D2069" t="n">
        <v>175.81018886</v>
      </c>
      <c r="E2069" t="n">
        <v>4.30440605432514e-05</v>
      </c>
      <c r="F2069" t="n">
        <v>0.9795553471685168</v>
      </c>
      <c r="G2069" t="inlineStr">
        <is>
          <t>C</t>
        </is>
      </c>
      <c r="H2069" t="n">
        <v>23</v>
      </c>
      <c r="I2069" t="n">
        <v>3.274295302</v>
      </c>
      <c r="J2069" t="n">
        <v>75.308791946</v>
      </c>
      <c r="K2069" t="n">
        <v>0.4</v>
      </c>
      <c r="L2069" t="n">
        <v>57.5</v>
      </c>
      <c r="M2069" t="n">
        <v>4</v>
      </c>
      <c r="N2069" t="n">
        <v>1.6</v>
      </c>
      <c r="O2069" t="n">
        <v>21.4</v>
      </c>
      <c r="P2069" t="n">
        <v>70.0699194628</v>
      </c>
      <c r="Q2069" t="n">
        <v>0.9304347826086957</v>
      </c>
      <c r="R2069" t="inlineStr">
        <is>
          <t>Sobrestock crítico</t>
        </is>
      </c>
    </row>
    <row r="2070">
      <c r="A2070" t="inlineStr">
        <is>
          <t>ACDMIDA121TXS</t>
        </is>
      </c>
      <c r="B2070" t="inlineStr">
        <is>
          <t>DANI ACTIVE DAMA</t>
        </is>
      </c>
      <c r="C2070" t="inlineStr">
        <is>
          <t>Manufactura / Dama / P. Superiores</t>
        </is>
      </c>
      <c r="D2070" t="n">
        <v>175.60331057</v>
      </c>
      <c r="E2070" t="n">
        <v>4.299340999963054e-05</v>
      </c>
      <c r="F2070" t="n">
        <v>0.9795983405785165</v>
      </c>
      <c r="G2070" t="inlineStr">
        <is>
          <t>C</t>
        </is>
      </c>
      <c r="H2070" t="n">
        <v>27</v>
      </c>
      <c r="I2070" t="n">
        <v>9.82</v>
      </c>
      <c r="J2070" t="n">
        <v>265.14</v>
      </c>
      <c r="K2070" t="n">
        <v>0.6</v>
      </c>
      <c r="L2070" t="n">
        <v>45</v>
      </c>
      <c r="M2070" t="n">
        <v>4</v>
      </c>
      <c r="N2070" t="n">
        <v>2.4</v>
      </c>
      <c r="O2070" t="n">
        <v>24.6</v>
      </c>
      <c r="P2070" t="n">
        <v>241.572</v>
      </c>
      <c r="Q2070" t="n">
        <v>0.9111111111111113</v>
      </c>
      <c r="R2070" t="inlineStr">
        <is>
          <t>Sobrestock crítico</t>
        </is>
      </c>
    </row>
    <row r="2071">
      <c r="A2071" t="inlineStr">
        <is>
          <t>GEMBADA43TL</t>
        </is>
      </c>
      <c r="B2071" t="inlineStr">
        <is>
          <t>VESTIDO GEMMA DAMA</t>
        </is>
      </c>
      <c r="C2071" t="inlineStr">
        <is>
          <t>Manufactura / Dama / Conjuntos</t>
        </is>
      </c>
      <c r="D2071" t="n">
        <v>175.59799129</v>
      </c>
      <c r="E2071" t="n">
        <v>4.299210766663237e-05</v>
      </c>
      <c r="F2071" t="n">
        <v>0.979641332686183</v>
      </c>
      <c r="G2071" t="inlineStr">
        <is>
          <t>C</t>
        </is>
      </c>
      <c r="H2071" t="n">
        <v>11</v>
      </c>
      <c r="I2071" t="n">
        <v>23.99</v>
      </c>
      <c r="J2071" t="n">
        <v>263.89</v>
      </c>
      <c r="K2071" t="n">
        <v>0.4</v>
      </c>
      <c r="L2071" t="n">
        <v>27.5</v>
      </c>
      <c r="M2071" t="n">
        <v>4</v>
      </c>
      <c r="N2071" t="n">
        <v>1.6</v>
      </c>
      <c r="O2071" t="n">
        <v>9.4</v>
      </c>
      <c r="P2071" t="n">
        <v>225.506</v>
      </c>
      <c r="Q2071" t="n">
        <v>0.8545454545454546</v>
      </c>
      <c r="R2071" t="inlineStr">
        <is>
          <t>Sin rotación</t>
        </is>
      </c>
    </row>
    <row r="2072">
      <c r="A2072" t="inlineStr">
        <is>
          <t>SHOUNCA29TL</t>
        </is>
      </c>
      <c r="B2072" t="inlineStr">
        <is>
          <t>SHORT PLAYA CAB</t>
        </is>
      </c>
      <c r="C2072" t="inlineStr">
        <is>
          <t>Manufactura / Caballero / P. Inferiores</t>
        </is>
      </c>
      <c r="D2072" t="n">
        <v>175.27047765</v>
      </c>
      <c r="E2072" t="n">
        <v>4.291192166011982e-05</v>
      </c>
      <c r="F2072" t="n">
        <v>0.9796842446078432</v>
      </c>
      <c r="G2072" t="inlineStr">
        <is>
          <t>C</t>
        </is>
      </c>
      <c r="H2072" t="n">
        <v>0</v>
      </c>
      <c r="I2072" t="n">
        <v>9.99</v>
      </c>
      <c r="J2072" t="n">
        <v>0</v>
      </c>
      <c r="K2072" t="n">
        <v>0.4</v>
      </c>
      <c r="L2072" t="n">
        <v>0</v>
      </c>
      <c r="M2072" t="n">
        <v>4</v>
      </c>
      <c r="N2072" t="n">
        <v>1.6</v>
      </c>
      <c r="O2072" t="n">
        <v>0</v>
      </c>
      <c r="P2072" t="n">
        <v>0</v>
      </c>
      <c r="Q2072" t="n">
        <v>0</v>
      </c>
      <c r="R2072" t="inlineStr">
        <is>
          <t>Riesgo bajo stock</t>
        </is>
      </c>
    </row>
    <row r="2073">
      <c r="A2073" t="inlineStr">
        <is>
          <t>TALGTADA166TXS</t>
        </is>
      </c>
      <c r="B2073" t="inlineStr">
        <is>
          <t>URBAN COTTON TOP SAY YES DAMA</t>
        </is>
      </c>
      <c r="C2073" t="inlineStr">
        <is>
          <t>Manufactura / Dama / P. Superiores</t>
        </is>
      </c>
      <c r="D2073" t="n">
        <v>175.191888</v>
      </c>
      <c r="E2073" t="n">
        <v>4.289268035405783e-05</v>
      </c>
      <c r="F2073" t="n">
        <v>0.9797271372881972</v>
      </c>
      <c r="G2073" t="inlineStr">
        <is>
          <t>C</t>
        </is>
      </c>
      <c r="H2073" t="n">
        <v>49</v>
      </c>
      <c r="I2073" t="n">
        <v>6.639983317</v>
      </c>
      <c r="J2073" t="n">
        <v>325.359182533</v>
      </c>
      <c r="K2073" t="n">
        <v>0.3</v>
      </c>
      <c r="L2073" t="n">
        <v>163.3333333333333</v>
      </c>
      <c r="M2073" t="n">
        <v>4</v>
      </c>
      <c r="N2073" t="n">
        <v>1.2</v>
      </c>
      <c r="O2073" t="n">
        <v>47.8</v>
      </c>
      <c r="P2073" t="n">
        <v>317.3912025526</v>
      </c>
      <c r="Q2073" t="n">
        <v>0.9755102040816327</v>
      </c>
      <c r="R2073" t="inlineStr">
        <is>
          <t>Sobrestock crítico</t>
        </is>
      </c>
    </row>
    <row r="2074">
      <c r="A2074" t="inlineStr">
        <is>
          <t>TALGTADA12TL</t>
        </is>
      </c>
      <c r="B2074" t="inlineStr">
        <is>
          <t>URBAN COTTON TOP SAY YES DAMA</t>
        </is>
      </c>
      <c r="C2074" t="inlineStr">
        <is>
          <t>Manufactura / Dama / P. Superiores</t>
        </is>
      </c>
      <c r="D2074" t="n">
        <v>175.18371461</v>
      </c>
      <c r="E2074" t="n">
        <v>4.289067924197049e-05</v>
      </c>
      <c r="F2074" t="n">
        <v>0.9797700279674392</v>
      </c>
      <c r="G2074" t="inlineStr">
        <is>
          <t>C</t>
        </is>
      </c>
      <c r="H2074" t="n">
        <v>1</v>
      </c>
      <c r="I2074" t="n">
        <v>6.639983317</v>
      </c>
      <c r="J2074" t="n">
        <v>6.639983317</v>
      </c>
      <c r="K2074" t="n">
        <v>0.5</v>
      </c>
      <c r="L2074" t="n">
        <v>2</v>
      </c>
      <c r="M2074" t="n">
        <v>4</v>
      </c>
      <c r="N2074" t="n">
        <v>2</v>
      </c>
      <c r="O2074" t="n">
        <v>0</v>
      </c>
      <c r="P2074" t="n">
        <v>0</v>
      </c>
      <c r="Q2074" t="n">
        <v>0</v>
      </c>
      <c r="R2074" t="inlineStr">
        <is>
          <t>OK</t>
        </is>
      </c>
    </row>
    <row r="2075">
      <c r="A2075" t="inlineStr">
        <is>
          <t>VIVMIDA16TL</t>
        </is>
      </c>
      <c r="B2075" t="inlineStr">
        <is>
          <t>VIVI ORIGINAL DAMA</t>
        </is>
      </c>
      <c r="C2075" t="inlineStr">
        <is>
          <t>Manufactura / Dama / P. Superiores</t>
        </is>
      </c>
      <c r="D2075" t="n">
        <v>174.69112561</v>
      </c>
      <c r="E2075" t="n">
        <v>4.277007741066353e-05</v>
      </c>
      <c r="F2075" t="n">
        <v>0.9798127980448498</v>
      </c>
      <c r="G2075" t="inlineStr">
        <is>
          <t>C</t>
        </is>
      </c>
      <c r="H2075" t="n">
        <v>17</v>
      </c>
      <c r="I2075" t="n">
        <v>4.303181706</v>
      </c>
      <c r="J2075" t="n">
        <v>73.15408900200001</v>
      </c>
      <c r="K2075" t="n">
        <v>0.4</v>
      </c>
      <c r="L2075" t="n">
        <v>42.5</v>
      </c>
      <c r="M2075" t="n">
        <v>4</v>
      </c>
      <c r="N2075" t="n">
        <v>1.6</v>
      </c>
      <c r="O2075" t="n">
        <v>15.4</v>
      </c>
      <c r="P2075" t="n">
        <v>66.2689982724</v>
      </c>
      <c r="Q2075" t="n">
        <v>0.9058823529411764</v>
      </c>
      <c r="R2075" t="inlineStr">
        <is>
          <t>Sobrestock crítico</t>
        </is>
      </c>
    </row>
    <row r="2076">
      <c r="A2076" t="inlineStr">
        <is>
          <t>MAFMEDA43TM</t>
        </is>
      </c>
      <c r="B2076" t="inlineStr">
        <is>
          <t>MAFE SPORT DAMA</t>
        </is>
      </c>
      <c r="C2076" t="inlineStr">
        <is>
          <t>Manufactura / Dama / P. Superiores</t>
        </is>
      </c>
      <c r="D2076" t="n">
        <v>174.6072654</v>
      </c>
      <c r="E2076" t="n">
        <v>4.274954569984622e-05</v>
      </c>
      <c r="F2076" t="n">
        <v>0.9798555475905497</v>
      </c>
      <c r="G2076" t="inlineStr">
        <is>
          <t>C</t>
        </is>
      </c>
      <c r="H2076" t="n">
        <v>1</v>
      </c>
      <c r="I2076" t="n">
        <v>5.35</v>
      </c>
      <c r="J2076" t="n">
        <v>5.35</v>
      </c>
      <c r="K2076" t="n">
        <v>0.4</v>
      </c>
      <c r="L2076" t="n">
        <v>2.5</v>
      </c>
      <c r="M2076" t="n">
        <v>4</v>
      </c>
      <c r="N2076" t="n">
        <v>1.6</v>
      </c>
      <c r="O2076" t="n">
        <v>0</v>
      </c>
      <c r="P2076" t="n">
        <v>0</v>
      </c>
      <c r="Q2076" t="n">
        <v>0</v>
      </c>
      <c r="R2076" t="inlineStr">
        <is>
          <t>Sin rotación</t>
        </is>
      </c>
    </row>
    <row r="2077">
      <c r="A2077" t="inlineStr">
        <is>
          <t>CLAMIKI12T8</t>
        </is>
      </c>
      <c r="B2077" t="inlineStr">
        <is>
          <t>CLASICA ORIGINAL KIDS</t>
        </is>
      </c>
      <c r="C2077" t="inlineStr">
        <is>
          <t>Manufactura / Kids / P. Superiores</t>
        </is>
      </c>
      <c r="D2077" t="n">
        <v>174.55699361</v>
      </c>
      <c r="E2077" t="n">
        <v>4.27372375282527e-05</v>
      </c>
      <c r="F2077" t="n">
        <v>0.9798982848280779</v>
      </c>
      <c r="G2077" t="inlineStr">
        <is>
          <t>C</t>
        </is>
      </c>
      <c r="H2077" t="n">
        <v>26</v>
      </c>
      <c r="I2077" t="n">
        <v>2.053774806</v>
      </c>
      <c r="J2077" t="n">
        <v>53.398144956</v>
      </c>
      <c r="K2077" t="n">
        <v>0.5</v>
      </c>
      <c r="L2077" t="n">
        <v>52</v>
      </c>
      <c r="M2077" t="n">
        <v>4</v>
      </c>
      <c r="N2077" t="n">
        <v>2</v>
      </c>
      <c r="O2077" t="n">
        <v>24</v>
      </c>
      <c r="P2077" t="n">
        <v>49.290595344</v>
      </c>
      <c r="Q2077" t="n">
        <v>0.9230769230769231</v>
      </c>
      <c r="R2077" t="inlineStr">
        <is>
          <t>Sobrestock crítico</t>
        </is>
      </c>
    </row>
    <row r="2078">
      <c r="A2078" t="inlineStr">
        <is>
          <t>MARMICA09TXL</t>
        </is>
      </c>
      <c r="B2078" t="inlineStr">
        <is>
          <t>MAR ORIGINAL CAB</t>
        </is>
      </c>
      <c r="C2078" t="inlineStr">
        <is>
          <t>Manufactura / Caballero / P. Superiores</t>
        </is>
      </c>
      <c r="D2078" t="n">
        <v>174.42987396</v>
      </c>
      <c r="E2078" t="n">
        <v>4.2706114497521e-05</v>
      </c>
      <c r="F2078" t="n">
        <v>0.9799409909425755</v>
      </c>
      <c r="G2078" t="inlineStr">
        <is>
          <t>C</t>
        </is>
      </c>
      <c r="H2078" t="n">
        <v>0</v>
      </c>
      <c r="I2078" t="n">
        <v>4.946357428</v>
      </c>
      <c r="J2078" t="n">
        <v>0</v>
      </c>
      <c r="K2078" t="n">
        <v>0.4</v>
      </c>
      <c r="L2078" t="n">
        <v>0</v>
      </c>
      <c r="M2078" t="n">
        <v>4</v>
      </c>
      <c r="N2078" t="n">
        <v>1.6</v>
      </c>
      <c r="O2078" t="n">
        <v>0</v>
      </c>
      <c r="P2078" t="n">
        <v>0</v>
      </c>
      <c r="Q2078" t="n">
        <v>0</v>
      </c>
      <c r="R2078" t="inlineStr">
        <is>
          <t>Sin rotación</t>
        </is>
      </c>
    </row>
    <row r="2079">
      <c r="A2079" t="inlineStr">
        <is>
          <t>BAN123EQ</t>
        </is>
      </c>
      <c r="B2079" t="inlineStr">
        <is>
          <t>CUADRO BAND</t>
        </is>
      </c>
      <c r="C2079" t="inlineStr">
        <is>
          <t>Equipamiento / Accesorios</t>
        </is>
      </c>
      <c r="D2079" t="n">
        <v>174.218255297</v>
      </c>
      <c r="E2079" t="n">
        <v>4.265430335619115e-05</v>
      </c>
      <c r="F2079" t="n">
        <v>0.9799836452459317</v>
      </c>
      <c r="G2079" t="inlineStr">
        <is>
          <t>C</t>
        </is>
      </c>
      <c r="H2079" t="n">
        <v>6321</v>
      </c>
      <c r="I2079" t="n">
        <v>0.3159183673</v>
      </c>
      <c r="J2079" t="n">
        <v>1996.9199997033</v>
      </c>
      <c r="K2079" t="n">
        <v>39.5</v>
      </c>
      <c r="L2079" t="n">
        <v>160.0253164556962</v>
      </c>
      <c r="M2079" t="n">
        <v>4</v>
      </c>
      <c r="N2079" t="n">
        <v>158</v>
      </c>
      <c r="O2079" t="n">
        <v>6163</v>
      </c>
      <c r="P2079" t="n">
        <v>1947.0048976699</v>
      </c>
      <c r="Q2079" t="n">
        <v>0.9750039550704003</v>
      </c>
      <c r="R2079" t="inlineStr">
        <is>
          <t>Sobrestock crítico</t>
        </is>
      </c>
    </row>
    <row r="2080">
      <c r="A2080" t="inlineStr">
        <is>
          <t>HELBFDA30TL</t>
        </is>
      </c>
      <c r="B2080" t="inlineStr">
        <is>
          <t>HELEN BIO MOVE DAMA</t>
        </is>
      </c>
      <c r="C2080" t="inlineStr">
        <is>
          <t>Manufactura / Dama / P. Superiores</t>
        </is>
      </c>
      <c r="D2080" t="n">
        <v>173.98588381</v>
      </c>
      <c r="E2080" t="n">
        <v>4.259741124760625e-05</v>
      </c>
      <c r="F2080" t="n">
        <v>0.9800262426571792</v>
      </c>
      <c r="G2080" t="inlineStr">
        <is>
          <t>C</t>
        </is>
      </c>
      <c r="H2080" t="n">
        <v>45</v>
      </c>
      <c r="I2080" t="n">
        <v>7.34081746</v>
      </c>
      <c r="J2080" t="n">
        <v>330.3367857</v>
      </c>
      <c r="K2080" t="n">
        <v>0.3</v>
      </c>
      <c r="L2080" t="n">
        <v>150</v>
      </c>
      <c r="M2080" t="n">
        <v>4</v>
      </c>
      <c r="N2080" t="n">
        <v>1.2</v>
      </c>
      <c r="O2080" t="n">
        <v>43.8</v>
      </c>
      <c r="P2080" t="n">
        <v>321.527804748</v>
      </c>
      <c r="Q2080" t="n">
        <v>0.9733333333333333</v>
      </c>
      <c r="R2080" t="inlineStr">
        <is>
          <t>Sobrestock crítico</t>
        </is>
      </c>
    </row>
    <row r="2081">
      <c r="A2081" t="inlineStr">
        <is>
          <t>SHOUNKI13T2</t>
        </is>
      </c>
      <c r="B2081" t="inlineStr">
        <is>
          <t>SHORT PLAYA KIDS</t>
        </is>
      </c>
      <c r="C2081" t="inlineStr">
        <is>
          <t>Manufactura / Kids / P. Inferiores</t>
        </is>
      </c>
      <c r="D2081" t="n">
        <v>173.9669828</v>
      </c>
      <c r="E2081" t="n">
        <v>4.259278366473382e-05</v>
      </c>
      <c r="F2081" t="n">
        <v>0.980068835440844</v>
      </c>
      <c r="G2081" t="inlineStr">
        <is>
          <t>C</t>
        </is>
      </c>
      <c r="H2081" t="n">
        <v>1</v>
      </c>
      <c r="I2081" t="n">
        <v>6.09</v>
      </c>
      <c r="J2081" t="n">
        <v>6.09</v>
      </c>
      <c r="K2081" t="n">
        <v>0.5</v>
      </c>
      <c r="L2081" t="n">
        <v>2</v>
      </c>
      <c r="M2081" t="n">
        <v>4</v>
      </c>
      <c r="N2081" t="n">
        <v>2</v>
      </c>
      <c r="O2081" t="n">
        <v>0</v>
      </c>
      <c r="P2081" t="n">
        <v>0</v>
      </c>
      <c r="Q2081" t="n">
        <v>0</v>
      </c>
      <c r="R2081" t="inlineStr">
        <is>
          <t>OK</t>
        </is>
      </c>
    </row>
    <row r="2082">
      <c r="A2082" t="inlineStr">
        <is>
          <t>VIVMIDA53TS</t>
        </is>
      </c>
      <c r="B2082" t="inlineStr">
        <is>
          <t>VIVI ORIGINAL DAMA</t>
        </is>
      </c>
      <c r="C2082" t="inlineStr">
        <is>
          <t>Manufactura / Dama / P. Superiores</t>
        </is>
      </c>
      <c r="D2082" t="n">
        <v>173.90207002</v>
      </c>
      <c r="E2082" t="n">
        <v>4.257689090191689e-05</v>
      </c>
      <c r="F2082" t="n">
        <v>0.9801114123317459</v>
      </c>
      <c r="G2082" t="inlineStr">
        <is>
          <t>C</t>
        </is>
      </c>
      <c r="H2082" t="n">
        <v>35</v>
      </c>
      <c r="I2082" t="n">
        <v>4.303181706</v>
      </c>
      <c r="J2082" t="n">
        <v>150.61135971</v>
      </c>
      <c r="K2082" t="n">
        <v>0.5</v>
      </c>
      <c r="L2082" t="n">
        <v>70</v>
      </c>
      <c r="M2082" t="n">
        <v>4</v>
      </c>
      <c r="N2082" t="n">
        <v>2</v>
      </c>
      <c r="O2082" t="n">
        <v>33</v>
      </c>
      <c r="P2082" t="n">
        <v>142.004996298</v>
      </c>
      <c r="Q2082" t="n">
        <v>0.9428571428571428</v>
      </c>
      <c r="R2082" t="inlineStr">
        <is>
          <t>Sobrestock crítico</t>
        </is>
      </c>
    </row>
    <row r="2083">
      <c r="A2083" t="inlineStr">
        <is>
          <t>ZOEMIDA05TL</t>
        </is>
      </c>
      <c r="B2083" t="inlineStr">
        <is>
          <t>ZOE ORIGINAL DAMA</t>
        </is>
      </c>
      <c r="C2083" t="inlineStr">
        <is>
          <t>Manufactura / Dama / P. Superiores</t>
        </is>
      </c>
      <c r="D2083" t="n">
        <v>173.82465656</v>
      </c>
      <c r="E2083" t="n">
        <v>4.255793756547655e-05</v>
      </c>
      <c r="F2083" t="n">
        <v>0.9801539702693116</v>
      </c>
      <c r="G2083" t="inlineStr">
        <is>
          <t>C</t>
        </is>
      </c>
      <c r="H2083" t="n">
        <v>0</v>
      </c>
      <c r="I2083" t="n">
        <v>4.116585696</v>
      </c>
      <c r="J2083" t="n">
        <v>0</v>
      </c>
      <c r="K2083" t="n">
        <v>0.3</v>
      </c>
      <c r="L2083" t="n">
        <v>0</v>
      </c>
      <c r="M2083" t="n">
        <v>4</v>
      </c>
      <c r="N2083" t="n">
        <v>1.2</v>
      </c>
      <c r="O2083" t="n">
        <v>0</v>
      </c>
      <c r="P2083" t="n">
        <v>0</v>
      </c>
      <c r="Q2083" t="n">
        <v>0</v>
      </c>
      <c r="R2083" t="inlineStr">
        <is>
          <t>Riesgo bajo stock</t>
        </is>
      </c>
    </row>
    <row r="2084">
      <c r="A2084" t="inlineStr">
        <is>
          <t>CLAMEKI30T12</t>
        </is>
      </c>
      <c r="B2084" t="inlineStr">
        <is>
          <t>CLASICA SPORT KIDS</t>
        </is>
      </c>
      <c r="C2084" t="inlineStr">
        <is>
          <t>Manufactura / Kids / P. Superiores</t>
        </is>
      </c>
      <c r="D2084" t="n">
        <v>172.77511673</v>
      </c>
      <c r="E2084" t="n">
        <v>4.230097603055068e-05</v>
      </c>
      <c r="F2084" t="n">
        <v>0.980196271245342</v>
      </c>
      <c r="G2084" t="inlineStr">
        <is>
          <t>C</t>
        </is>
      </c>
      <c r="H2084" t="n">
        <v>2</v>
      </c>
      <c r="I2084" t="n">
        <v>3.97</v>
      </c>
      <c r="J2084" t="n">
        <v>7.94</v>
      </c>
      <c r="K2084" t="n">
        <v>0.5</v>
      </c>
      <c r="L2084" t="n">
        <v>4</v>
      </c>
      <c r="M2084" t="n">
        <v>4</v>
      </c>
      <c r="N2084" t="n">
        <v>2</v>
      </c>
      <c r="O2084" t="n">
        <v>0</v>
      </c>
      <c r="P2084" t="n">
        <v>0</v>
      </c>
      <c r="Q2084" t="n">
        <v>0</v>
      </c>
      <c r="R2084" t="inlineStr">
        <is>
          <t>OK</t>
        </is>
      </c>
    </row>
    <row r="2085">
      <c r="A2085" t="inlineStr">
        <is>
          <t>201STDA30TS</t>
        </is>
      </c>
      <c r="B2085" t="inlineStr">
        <is>
          <t>RETRO VZLA DAMA</t>
        </is>
      </c>
      <c r="C2085" t="inlineStr">
        <is>
          <t>Manufactura / Dama / P. Superiores</t>
        </is>
      </c>
      <c r="D2085" t="n">
        <v>172.14237002</v>
      </c>
      <c r="E2085" t="n">
        <v>4.214605902676159e-05</v>
      </c>
      <c r="F2085" t="n">
        <v>0.9802384173043688</v>
      </c>
      <c r="G2085" t="inlineStr">
        <is>
          <t>C</t>
        </is>
      </c>
      <c r="H2085" t="n">
        <v>0</v>
      </c>
      <c r="I2085" t="n">
        <v>11.23</v>
      </c>
      <c r="J2085" t="n">
        <v>0</v>
      </c>
      <c r="K2085" t="n">
        <v>0.4</v>
      </c>
      <c r="L2085" t="n">
        <v>0</v>
      </c>
      <c r="M2085" t="n">
        <v>4</v>
      </c>
      <c r="N2085" t="n">
        <v>1.6</v>
      </c>
      <c r="O2085" t="n">
        <v>0</v>
      </c>
      <c r="P2085" t="n">
        <v>0</v>
      </c>
      <c r="Q2085" t="n">
        <v>0</v>
      </c>
      <c r="R2085" t="inlineStr">
        <is>
          <t>Riesgo bajo stock</t>
        </is>
      </c>
    </row>
    <row r="2086">
      <c r="A2086" t="inlineStr">
        <is>
          <t>MARMIKI14T8</t>
        </is>
      </c>
      <c r="B2086" t="inlineStr">
        <is>
          <t>MAR ORIGINAL KIDS</t>
        </is>
      </c>
      <c r="C2086" t="inlineStr">
        <is>
          <t>Manufactura / Kids / P. Superiores</t>
        </is>
      </c>
      <c r="D2086" t="n">
        <v>171.96234328</v>
      </c>
      <c r="E2086" t="n">
        <v>4.210198261716206e-05</v>
      </c>
      <c r="F2086" t="n">
        <v>0.980280519286986</v>
      </c>
      <c r="G2086" t="inlineStr">
        <is>
          <t>C</t>
        </is>
      </c>
      <c r="H2086" t="n">
        <v>0</v>
      </c>
      <c r="I2086" t="n">
        <v>3.168013332</v>
      </c>
      <c r="J2086" t="n">
        <v>0</v>
      </c>
      <c r="K2086" t="n">
        <v>0.5</v>
      </c>
      <c r="L2086" t="n">
        <v>0</v>
      </c>
      <c r="M2086" t="n">
        <v>4</v>
      </c>
      <c r="N2086" t="n">
        <v>2</v>
      </c>
      <c r="O2086" t="n">
        <v>0</v>
      </c>
      <c r="P2086" t="n">
        <v>0</v>
      </c>
      <c r="Q2086" t="n">
        <v>0</v>
      </c>
      <c r="R2086" t="inlineStr">
        <is>
          <t>Sin rotación</t>
        </is>
      </c>
    </row>
    <row r="2087">
      <c r="A2087" t="inlineStr">
        <is>
          <t>ZOEMIKI11T12</t>
        </is>
      </c>
      <c r="B2087" t="inlineStr">
        <is>
          <t>ZOE ORIGINAL KIDS</t>
        </is>
      </c>
      <c r="C2087" t="inlineStr">
        <is>
          <t>Manufactura / Kids / P. Superiores</t>
        </is>
      </c>
      <c r="D2087" t="n">
        <v>171.41287156</v>
      </c>
      <c r="E2087" t="n">
        <v>4.196745404327311e-05</v>
      </c>
      <c r="F2087" t="n">
        <v>0.9803224867410293</v>
      </c>
      <c r="G2087" t="inlineStr">
        <is>
          <t>C</t>
        </is>
      </c>
      <c r="H2087" t="n">
        <v>11</v>
      </c>
      <c r="I2087" t="n">
        <v>4.12</v>
      </c>
      <c r="J2087" t="n">
        <v>45.32</v>
      </c>
      <c r="K2087" t="n">
        <v>0.5</v>
      </c>
      <c r="L2087" t="n">
        <v>22</v>
      </c>
      <c r="M2087" t="n">
        <v>4</v>
      </c>
      <c r="N2087" t="n">
        <v>2</v>
      </c>
      <c r="O2087" t="n">
        <v>9</v>
      </c>
      <c r="P2087" t="n">
        <v>37.08</v>
      </c>
      <c r="Q2087" t="n">
        <v>0.8181818181818181</v>
      </c>
      <c r="R2087" t="inlineStr">
        <is>
          <t>Sobrestock crítico</t>
        </is>
      </c>
    </row>
    <row r="2088">
      <c r="A2088" t="inlineStr">
        <is>
          <t>RIOMIKI70T1</t>
        </is>
      </c>
      <c r="B2088" t="inlineStr">
        <is>
          <t>RIO ORIGINAL KIDS</t>
        </is>
      </c>
      <c r="C2088" t="inlineStr">
        <is>
          <t>Manufactura / Kids / P. Superiores</t>
        </is>
      </c>
      <c r="D2088" t="n">
        <v>170.72523278</v>
      </c>
      <c r="E2088" t="n">
        <v>4.179909767285946e-05</v>
      </c>
      <c r="F2088" t="n">
        <v>0.9803642858387022</v>
      </c>
      <c r="G2088" t="inlineStr">
        <is>
          <t>C</t>
        </is>
      </c>
      <c r="H2088" t="n">
        <v>0</v>
      </c>
      <c r="I2088" t="n">
        <v>3.617969464</v>
      </c>
      <c r="J2088" t="n">
        <v>0</v>
      </c>
      <c r="K2088" t="n">
        <v>0.4</v>
      </c>
      <c r="L2088" t="n">
        <v>0</v>
      </c>
      <c r="M2088" t="n">
        <v>4</v>
      </c>
      <c r="N2088" t="n">
        <v>1.6</v>
      </c>
      <c r="O2088" t="n">
        <v>0</v>
      </c>
      <c r="P2088" t="n">
        <v>0</v>
      </c>
      <c r="Q2088" t="n">
        <v>0</v>
      </c>
      <c r="R2088" t="inlineStr">
        <is>
          <t>Riesgo bajo stock</t>
        </is>
      </c>
    </row>
    <row r="2089">
      <c r="A2089" t="inlineStr">
        <is>
          <t>GEMBADA66TL</t>
        </is>
      </c>
      <c r="B2089" t="inlineStr">
        <is>
          <t>VESTIDO GEMMA DAMA</t>
        </is>
      </c>
      <c r="C2089" t="inlineStr">
        <is>
          <t>Manufactura / Dama / Conjuntos</t>
        </is>
      </c>
      <c r="D2089" t="n">
        <v>170.07385688</v>
      </c>
      <c r="E2089" t="n">
        <v>4.163961963658739e-05</v>
      </c>
      <c r="F2089" t="n">
        <v>0.9804059254583387</v>
      </c>
      <c r="G2089" t="inlineStr">
        <is>
          <t>C</t>
        </is>
      </c>
      <c r="H2089" t="n">
        <v>26</v>
      </c>
      <c r="I2089" t="n">
        <v>23.99</v>
      </c>
      <c r="J2089" t="n">
        <v>623.74</v>
      </c>
      <c r="K2089" t="n">
        <v>0.4</v>
      </c>
      <c r="L2089" t="n">
        <v>65</v>
      </c>
      <c r="M2089" t="n">
        <v>4</v>
      </c>
      <c r="N2089" t="n">
        <v>1.6</v>
      </c>
      <c r="O2089" t="n">
        <v>24.4</v>
      </c>
      <c r="P2089" t="n">
        <v>585.3559999999999</v>
      </c>
      <c r="Q2089" t="n">
        <v>0.9384615384615382</v>
      </c>
      <c r="R2089" t="inlineStr">
        <is>
          <t>Sin rotación</t>
        </is>
      </c>
    </row>
    <row r="2090">
      <c r="A2090" t="inlineStr">
        <is>
          <t>SHONRKI16T4</t>
        </is>
      </c>
      <c r="B2090" t="inlineStr">
        <is>
          <t>SHORT SPORT KIDS</t>
        </is>
      </c>
      <c r="C2090" t="inlineStr">
        <is>
          <t>Manufactura / Kids / P. Inferiores</t>
        </is>
      </c>
      <c r="D2090" t="n">
        <v>169.28125996</v>
      </c>
      <c r="E2090" t="n">
        <v>4.144556609491216e-05</v>
      </c>
      <c r="F2090" t="n">
        <v>0.9804473710244337</v>
      </c>
      <c r="G2090" t="inlineStr">
        <is>
          <t>C</t>
        </is>
      </c>
      <c r="H2090" t="n">
        <v>34</v>
      </c>
      <c r="I2090" t="n">
        <v>6.465724382</v>
      </c>
      <c r="J2090" t="n">
        <v>219.834628988</v>
      </c>
      <c r="K2090" t="n">
        <v>0.5</v>
      </c>
      <c r="L2090" t="n">
        <v>68</v>
      </c>
      <c r="M2090" t="n">
        <v>4</v>
      </c>
      <c r="N2090" t="n">
        <v>2</v>
      </c>
      <c r="O2090" t="n">
        <v>32</v>
      </c>
      <c r="P2090" t="n">
        <v>206.903180224</v>
      </c>
      <c r="Q2090" t="n">
        <v>0.9411764705882353</v>
      </c>
      <c r="R2090" t="inlineStr">
        <is>
          <t>Sobrestock crítico</t>
        </is>
      </c>
    </row>
    <row r="2091">
      <c r="A2091" t="inlineStr">
        <is>
          <t>RIOMIKI30T10</t>
        </is>
      </c>
      <c r="B2091" t="inlineStr">
        <is>
          <t>RIO ORIGINAL KIDS</t>
        </is>
      </c>
      <c r="C2091" t="inlineStr">
        <is>
          <t>Manufactura / Kids / P. Superiores</t>
        </is>
      </c>
      <c r="D2091" t="n">
        <v>169.18988179</v>
      </c>
      <c r="E2091" t="n">
        <v>4.142319374261952e-05</v>
      </c>
      <c r="F2091" t="n">
        <v>0.9804887942181763</v>
      </c>
      <c r="G2091" t="inlineStr">
        <is>
          <t>C</t>
        </is>
      </c>
      <c r="H2091" t="n">
        <v>0</v>
      </c>
      <c r="I2091" t="n">
        <v>3.617969464</v>
      </c>
      <c r="J2091" t="n">
        <v>0</v>
      </c>
      <c r="K2091" t="n">
        <v>0.4</v>
      </c>
      <c r="L2091" t="n">
        <v>0</v>
      </c>
      <c r="M2091" t="n">
        <v>4</v>
      </c>
      <c r="N2091" t="n">
        <v>1.6</v>
      </c>
      <c r="O2091" t="n">
        <v>0</v>
      </c>
      <c r="P2091" t="n">
        <v>0</v>
      </c>
      <c r="Q2091" t="n">
        <v>0</v>
      </c>
      <c r="R2091" t="inlineStr">
        <is>
          <t>Riesgo bajo stock</t>
        </is>
      </c>
    </row>
    <row r="2092">
      <c r="A2092" t="inlineStr">
        <is>
          <t>MARMIKI39T14</t>
        </is>
      </c>
      <c r="B2092" t="inlineStr">
        <is>
          <t>MAR ORIGINAL KIDS</t>
        </is>
      </c>
      <c r="C2092" t="inlineStr">
        <is>
          <t>Manufactura / Kids / P. Superiores</t>
        </is>
      </c>
      <c r="D2092" t="n">
        <v>168.7231954</v>
      </c>
      <c r="E2092" t="n">
        <v>4.130893371391397e-05</v>
      </c>
      <c r="F2092" t="n">
        <v>0.9805301031518903</v>
      </c>
      <c r="G2092" t="inlineStr">
        <is>
          <t>C</t>
        </is>
      </c>
      <c r="H2092" t="n">
        <v>0</v>
      </c>
      <c r="I2092" t="n">
        <v>3.168013332</v>
      </c>
      <c r="J2092" t="n">
        <v>0</v>
      </c>
      <c r="K2092" t="n">
        <v>0.5</v>
      </c>
      <c r="L2092" t="n">
        <v>0</v>
      </c>
      <c r="M2092" t="n">
        <v>4</v>
      </c>
      <c r="N2092" t="n">
        <v>2</v>
      </c>
      <c r="O2092" t="n">
        <v>0</v>
      </c>
      <c r="P2092" t="n">
        <v>0</v>
      </c>
      <c r="Q2092" t="n">
        <v>0</v>
      </c>
      <c r="R2092" t="inlineStr">
        <is>
          <t>Sin rotación</t>
        </is>
      </c>
    </row>
    <row r="2093">
      <c r="A2093" t="inlineStr">
        <is>
          <t>ANMSUDA17TM</t>
        </is>
      </c>
      <c r="B2093" t="inlineStr">
        <is>
          <t>ANDRE MOTION DAMA</t>
        </is>
      </c>
      <c r="C2093" t="inlineStr">
        <is>
          <t>Manufactura / Dama / P. Superiores</t>
        </is>
      </c>
      <c r="D2093" t="n">
        <v>168.38680749</v>
      </c>
      <c r="E2093" t="n">
        <v>4.122657499706174e-05</v>
      </c>
      <c r="F2093" t="n">
        <v>0.9805713297268873</v>
      </c>
      <c r="G2093" t="inlineStr">
        <is>
          <t>C</t>
        </is>
      </c>
      <c r="H2093" t="n">
        <v>0</v>
      </c>
      <c r="I2093" t="n">
        <v>10.6</v>
      </c>
      <c r="J2093" t="n">
        <v>0</v>
      </c>
      <c r="K2093" t="n">
        <v>0.4</v>
      </c>
      <c r="L2093" t="n">
        <v>0</v>
      </c>
      <c r="M2093" t="n">
        <v>4</v>
      </c>
      <c r="N2093" t="n">
        <v>1.6</v>
      </c>
      <c r="O2093" t="n">
        <v>0</v>
      </c>
      <c r="P2093" t="n">
        <v>0</v>
      </c>
      <c r="Q2093" t="n">
        <v>0</v>
      </c>
      <c r="R2093" t="inlineStr">
        <is>
          <t>Riesgo bajo stock</t>
        </is>
      </c>
    </row>
    <row r="2094">
      <c r="A2094" t="inlineStr">
        <is>
          <t>SHONRKI16T6</t>
        </is>
      </c>
      <c r="B2094" t="inlineStr">
        <is>
          <t>SHORT SPORT KIDS</t>
        </is>
      </c>
      <c r="C2094" t="inlineStr">
        <is>
          <t>Manufactura / Kids / P. Inferiores</t>
        </is>
      </c>
      <c r="D2094" t="n">
        <v>168.33065214</v>
      </c>
      <c r="E2094" t="n">
        <v>4.12128263383469e-05</v>
      </c>
      <c r="F2094" t="n">
        <v>0.9806125425532256</v>
      </c>
      <c r="G2094" t="inlineStr">
        <is>
          <t>C</t>
        </is>
      </c>
      <c r="H2094" t="n">
        <v>34</v>
      </c>
      <c r="I2094" t="n">
        <v>6.465724382</v>
      </c>
      <c r="J2094" t="n">
        <v>219.834628988</v>
      </c>
      <c r="K2094" t="n">
        <v>0.4</v>
      </c>
      <c r="L2094" t="n">
        <v>85</v>
      </c>
      <c r="M2094" t="n">
        <v>4</v>
      </c>
      <c r="N2094" t="n">
        <v>1.6</v>
      </c>
      <c r="O2094" t="n">
        <v>32.4</v>
      </c>
      <c r="P2094" t="n">
        <v>209.4894699768</v>
      </c>
      <c r="Q2094" t="n">
        <v>0.9529411764705882</v>
      </c>
      <c r="R2094" t="inlineStr">
        <is>
          <t>Sobrestock crítico</t>
        </is>
      </c>
    </row>
    <row r="2095">
      <c r="A2095" t="inlineStr">
        <is>
          <t>MANMIGE16TG</t>
        </is>
      </c>
      <c r="B2095" t="inlineStr">
        <is>
          <t>MANGAS GENERAL</t>
        </is>
      </c>
      <c r="C2095" t="inlineStr">
        <is>
          <t>Manufactura / General</t>
        </is>
      </c>
      <c r="D2095" t="n">
        <v>167.90362423</v>
      </c>
      <c r="E2095" t="n">
        <v>4.110827599726095e-05</v>
      </c>
      <c r="F2095" t="n">
        <v>0.9806536508292228</v>
      </c>
      <c r="G2095" t="inlineStr">
        <is>
          <t>C</t>
        </is>
      </c>
      <c r="H2095" t="n">
        <v>1</v>
      </c>
      <c r="I2095" t="n">
        <v>0.9200000000000002</v>
      </c>
      <c r="J2095" t="n">
        <v>0.9200000000000002</v>
      </c>
      <c r="K2095" t="n">
        <v>1</v>
      </c>
      <c r="L2095" t="n">
        <v>1</v>
      </c>
      <c r="M2095" t="n">
        <v>4</v>
      </c>
      <c r="N2095" t="n">
        <v>4</v>
      </c>
      <c r="O2095" t="n">
        <v>0</v>
      </c>
      <c r="P2095" t="n">
        <v>0</v>
      </c>
      <c r="Q2095" t="n">
        <v>0</v>
      </c>
      <c r="R2095" t="inlineStr">
        <is>
          <t>OK</t>
        </is>
      </c>
    </row>
    <row r="2096">
      <c r="A2096" t="inlineStr">
        <is>
          <t>SHOUNCA12T2XL</t>
        </is>
      </c>
      <c r="B2096" t="inlineStr">
        <is>
          <t>SHORT PLAYA CAB</t>
        </is>
      </c>
      <c r="C2096" t="inlineStr">
        <is>
          <t>Manufactura / Caballero / P. Inferiores</t>
        </is>
      </c>
      <c r="D2096" t="n">
        <v>167.54876815</v>
      </c>
      <c r="E2096" t="n">
        <v>4.10213956708663e-05</v>
      </c>
      <c r="F2096" t="n">
        <v>0.9806946722248937</v>
      </c>
      <c r="G2096" t="inlineStr">
        <is>
          <t>C</t>
        </is>
      </c>
      <c r="H2096" t="n">
        <v>0</v>
      </c>
      <c r="I2096" t="n">
        <v>9.99</v>
      </c>
      <c r="J2096" t="n">
        <v>0</v>
      </c>
      <c r="K2096" t="n">
        <v>0.4</v>
      </c>
      <c r="L2096" t="n">
        <v>0</v>
      </c>
      <c r="M2096" t="n">
        <v>4</v>
      </c>
      <c r="N2096" t="n">
        <v>1.6</v>
      </c>
      <c r="O2096" t="n">
        <v>0</v>
      </c>
      <c r="P2096" t="n">
        <v>0</v>
      </c>
      <c r="Q2096" t="n">
        <v>0</v>
      </c>
      <c r="R2096" t="inlineStr">
        <is>
          <t>Riesgo bajo stock</t>
        </is>
      </c>
    </row>
    <row r="2097">
      <c r="A2097" t="inlineStr">
        <is>
          <t>ANDMIDA66TL</t>
        </is>
      </c>
      <c r="B2097" t="inlineStr">
        <is>
          <t>ANDRE ORIGINAL DAMA</t>
        </is>
      </c>
      <c r="C2097" t="inlineStr">
        <is>
          <t>Manufactura / Dama / P. Superiores</t>
        </is>
      </c>
      <c r="D2097" t="n">
        <v>167.21524149</v>
      </c>
      <c r="E2097" t="n">
        <v>4.09397374812078e-05</v>
      </c>
      <c r="F2097" t="n">
        <v>0.9807356119623749</v>
      </c>
      <c r="G2097" t="inlineStr">
        <is>
          <t>C</t>
        </is>
      </c>
      <c r="H2097" t="n">
        <v>9</v>
      </c>
      <c r="I2097" t="n">
        <v>3.274295302</v>
      </c>
      <c r="J2097" t="n">
        <v>29.468657718</v>
      </c>
      <c r="K2097" t="n">
        <v>0.5</v>
      </c>
      <c r="L2097" t="n">
        <v>18</v>
      </c>
      <c r="M2097" t="n">
        <v>4</v>
      </c>
      <c r="N2097" t="n">
        <v>2</v>
      </c>
      <c r="O2097" t="n">
        <v>7</v>
      </c>
      <c r="P2097" t="n">
        <v>22.920067114</v>
      </c>
      <c r="Q2097" t="n">
        <v>0.7777777777777779</v>
      </c>
      <c r="R2097" t="inlineStr">
        <is>
          <t>Sobrestock crítico</t>
        </is>
      </c>
    </row>
    <row r="2098">
      <c r="A2098" t="inlineStr">
        <is>
          <t>VIVMIDA53TL</t>
        </is>
      </c>
      <c r="B2098" t="inlineStr">
        <is>
          <t>VIVI ORIGINAL DAMA</t>
        </is>
      </c>
      <c r="C2098" t="inlineStr">
        <is>
          <t>Manufactura / Dama / P. Superiores</t>
        </is>
      </c>
      <c r="D2098" t="n">
        <v>166.95804118</v>
      </c>
      <c r="E2098" t="n">
        <v>4.087676646805339e-05</v>
      </c>
      <c r="F2098" t="n">
        <v>0.9807764887288429</v>
      </c>
      <c r="G2098" t="inlineStr">
        <is>
          <t>C</t>
        </is>
      </c>
      <c r="H2098" t="n">
        <v>8</v>
      </c>
      <c r="I2098" t="n">
        <v>4.303181706</v>
      </c>
      <c r="J2098" t="n">
        <v>34.425453648</v>
      </c>
      <c r="K2098" t="n">
        <v>0.5</v>
      </c>
      <c r="L2098" t="n">
        <v>16</v>
      </c>
      <c r="M2098" t="n">
        <v>4</v>
      </c>
      <c r="N2098" t="n">
        <v>2</v>
      </c>
      <c r="O2098" t="n">
        <v>6</v>
      </c>
      <c r="P2098" t="n">
        <v>25.819090236</v>
      </c>
      <c r="Q2098" t="n">
        <v>0.75</v>
      </c>
      <c r="R2098" t="inlineStr">
        <is>
          <t>Sin rotación</t>
        </is>
      </c>
    </row>
    <row r="2099">
      <c r="A2099" t="inlineStr">
        <is>
          <t>ACDMIDA120TS</t>
        </is>
      </c>
      <c r="B2099" t="inlineStr">
        <is>
          <t>DANI ACTIVE DAMA</t>
        </is>
      </c>
      <c r="C2099" t="inlineStr">
        <is>
          <t>Manufactura / Dama / P. Superiores</t>
        </is>
      </c>
      <c r="D2099" t="n">
        <v>166.27590407</v>
      </c>
      <c r="E2099" t="n">
        <v>4.070975708565052e-05</v>
      </c>
      <c r="F2099" t="n">
        <v>0.9808171984859286</v>
      </c>
      <c r="G2099" t="inlineStr">
        <is>
          <t>C</t>
        </is>
      </c>
      <c r="H2099" t="n">
        <v>1</v>
      </c>
      <c r="I2099" t="n">
        <v>9.82</v>
      </c>
      <c r="J2099" t="n">
        <v>9.82</v>
      </c>
      <c r="K2099" t="n">
        <v>0.4</v>
      </c>
      <c r="L2099" t="n">
        <v>2.5</v>
      </c>
      <c r="M2099" t="n">
        <v>4</v>
      </c>
      <c r="N2099" t="n">
        <v>1.6</v>
      </c>
      <c r="O2099" t="n">
        <v>0</v>
      </c>
      <c r="P2099" t="n">
        <v>0</v>
      </c>
      <c r="Q2099" t="n">
        <v>0</v>
      </c>
      <c r="R2099" t="inlineStr">
        <is>
          <t>OK</t>
        </is>
      </c>
    </row>
    <row r="2100">
      <c r="A2100" t="inlineStr">
        <is>
          <t>SHOUNKI57T2</t>
        </is>
      </c>
      <c r="B2100" t="inlineStr">
        <is>
          <t>SHORT PLAYA KIDS</t>
        </is>
      </c>
      <c r="C2100" t="inlineStr">
        <is>
          <t>Manufactura / Kids / P. Inferiores</t>
        </is>
      </c>
      <c r="D2100" t="n">
        <v>166.23036648</v>
      </c>
      <c r="E2100" t="n">
        <v>4.069860800041454e-05</v>
      </c>
      <c r="F2100" t="n">
        <v>0.9808578970939291</v>
      </c>
      <c r="G2100" t="inlineStr">
        <is>
          <t>C</t>
        </is>
      </c>
      <c r="H2100" t="n">
        <v>14</v>
      </c>
      <c r="I2100" t="n">
        <v>6.09</v>
      </c>
      <c r="J2100" t="n">
        <v>85.25999999999999</v>
      </c>
      <c r="K2100" t="n">
        <v>0.4</v>
      </c>
      <c r="L2100" t="n">
        <v>35</v>
      </c>
      <c r="M2100" t="n">
        <v>4</v>
      </c>
      <c r="N2100" t="n">
        <v>1.6</v>
      </c>
      <c r="O2100" t="n">
        <v>12.4</v>
      </c>
      <c r="P2100" t="n">
        <v>75.51600000000001</v>
      </c>
      <c r="Q2100" t="n">
        <v>0.8857142857142859</v>
      </c>
      <c r="R2100" t="inlineStr">
        <is>
          <t>Sobrestock crítico</t>
        </is>
      </c>
    </row>
    <row r="2101">
      <c r="A2101" t="inlineStr">
        <is>
          <t>VIVMIDA11TL</t>
        </is>
      </c>
      <c r="B2101" t="inlineStr">
        <is>
          <t>VIVI ORIGINAL DAMA</t>
        </is>
      </c>
      <c r="C2101" t="inlineStr">
        <is>
          <t>Manufactura / Dama / P. Superiores</t>
        </is>
      </c>
      <c r="D2101" t="n">
        <v>166.05452064</v>
      </c>
      <c r="E2101" t="n">
        <v>4.065555521131102e-05</v>
      </c>
      <c r="F2101" t="n">
        <v>0.9808985526491404</v>
      </c>
      <c r="G2101" t="inlineStr">
        <is>
          <t>C</t>
        </is>
      </c>
      <c r="H2101" t="n">
        <v>6</v>
      </c>
      <c r="I2101" t="n">
        <v>4.303181706</v>
      </c>
      <c r="J2101" t="n">
        <v>25.819090236</v>
      </c>
      <c r="K2101" t="n">
        <v>0.5</v>
      </c>
      <c r="L2101" t="n">
        <v>12</v>
      </c>
      <c r="M2101" t="n">
        <v>4</v>
      </c>
      <c r="N2101" t="n">
        <v>2</v>
      </c>
      <c r="O2101" t="n">
        <v>4</v>
      </c>
      <c r="P2101" t="n">
        <v>17.212726824</v>
      </c>
      <c r="Q2101" t="n">
        <v>0.6666666666666666</v>
      </c>
      <c r="R2101" t="inlineStr">
        <is>
          <t>Sobrestock crítico</t>
        </is>
      </c>
    </row>
    <row r="2102">
      <c r="A2102" t="inlineStr">
        <is>
          <t>DALSSTDA16TM</t>
        </is>
      </c>
      <c r="B2102" t="inlineStr">
        <is>
          <t>MANGA LARGA DAILY 2.0 DAMA</t>
        </is>
      </c>
      <c r="C2102" t="inlineStr">
        <is>
          <t>Manufactura / Dama / P. Superiores</t>
        </is>
      </c>
      <c r="D2102" t="n">
        <v>165.77371488</v>
      </c>
      <c r="E2102" t="n">
        <v>4.058680481514395e-05</v>
      </c>
      <c r="F2102" t="n">
        <v>0.9809391394539555</v>
      </c>
      <c r="G2102" t="inlineStr">
        <is>
          <t>C</t>
        </is>
      </c>
      <c r="H2102" t="n">
        <v>1</v>
      </c>
      <c r="I2102" t="n">
        <v>12.3</v>
      </c>
      <c r="J2102" t="n">
        <v>12.3</v>
      </c>
      <c r="K2102" t="n">
        <v>0.3</v>
      </c>
      <c r="L2102" t="n">
        <v>3.333333333333333</v>
      </c>
      <c r="M2102" t="n">
        <v>4</v>
      </c>
      <c r="N2102" t="n">
        <v>1.2</v>
      </c>
      <c r="O2102" t="n">
        <v>0</v>
      </c>
      <c r="P2102" t="n">
        <v>0</v>
      </c>
      <c r="Q2102" t="n">
        <v>0</v>
      </c>
      <c r="R2102" t="inlineStr">
        <is>
          <t>OK</t>
        </is>
      </c>
    </row>
    <row r="2103">
      <c r="A2103" t="inlineStr">
        <is>
          <t>CLAMIKI43T8</t>
        </is>
      </c>
      <c r="B2103" t="inlineStr">
        <is>
          <t>CLASICA ORIGINAL KIDS</t>
        </is>
      </c>
      <c r="C2103" t="inlineStr">
        <is>
          <t>Manufactura / Kids / P. Superiores</t>
        </is>
      </c>
      <c r="D2103" t="n">
        <v>165.46355773</v>
      </c>
      <c r="E2103" t="n">
        <v>4.05108682427013e-05</v>
      </c>
      <c r="F2103" t="n">
        <v>0.9809796503221982</v>
      </c>
      <c r="G2103" t="inlineStr">
        <is>
          <t>C</t>
        </is>
      </c>
      <c r="H2103" t="n">
        <v>1</v>
      </c>
      <c r="I2103" t="n">
        <v>2.053774806</v>
      </c>
      <c r="J2103" t="n">
        <v>2.053774806</v>
      </c>
      <c r="K2103" t="n">
        <v>0.5</v>
      </c>
      <c r="L2103" t="n">
        <v>2</v>
      </c>
      <c r="M2103" t="n">
        <v>4</v>
      </c>
      <c r="N2103" t="n">
        <v>2</v>
      </c>
      <c r="O2103" t="n">
        <v>0</v>
      </c>
      <c r="P2103" t="n">
        <v>0</v>
      </c>
      <c r="Q2103" t="n">
        <v>0</v>
      </c>
      <c r="R2103" t="inlineStr">
        <is>
          <t>OK</t>
        </is>
      </c>
    </row>
    <row r="2104">
      <c r="A2104" t="inlineStr">
        <is>
          <t>MIAMIDA11TS</t>
        </is>
      </c>
      <c r="B2104" t="inlineStr">
        <is>
          <t>MIA ORIGINAL DAMA</t>
        </is>
      </c>
      <c r="C2104" t="inlineStr">
        <is>
          <t>Manufactura / Dama / P. Superiores</t>
        </is>
      </c>
      <c r="D2104" t="n">
        <v>165.24967654</v>
      </c>
      <c r="E2104" t="n">
        <v>4.045850316106912e-05</v>
      </c>
      <c r="F2104" t="n">
        <v>0.9810201088253593</v>
      </c>
      <c r="G2104" t="inlineStr">
        <is>
          <t>C</t>
        </is>
      </c>
      <c r="H2104" t="n">
        <v>2</v>
      </c>
      <c r="I2104" t="n">
        <v>3.94</v>
      </c>
      <c r="J2104" t="n">
        <v>7.88</v>
      </c>
      <c r="K2104" t="n">
        <v>0.5</v>
      </c>
      <c r="L2104" t="n">
        <v>4</v>
      </c>
      <c r="M2104" t="n">
        <v>4</v>
      </c>
      <c r="N2104" t="n">
        <v>2</v>
      </c>
      <c r="O2104" t="n">
        <v>0</v>
      </c>
      <c r="P2104" t="n">
        <v>0</v>
      </c>
      <c r="Q2104" t="n">
        <v>0</v>
      </c>
      <c r="R2104" t="inlineStr">
        <is>
          <t>OK</t>
        </is>
      </c>
    </row>
    <row r="2105">
      <c r="A2105" t="inlineStr">
        <is>
          <t>RIOMICA12T3XL</t>
        </is>
      </c>
      <c r="B2105" t="inlineStr">
        <is>
          <t>RIO ORIGINAL CAB</t>
        </is>
      </c>
      <c r="C2105" t="inlineStr">
        <is>
          <t>Manufactura / Caballero / P. Superiores</t>
        </is>
      </c>
      <c r="D2105" t="n">
        <v>165.16037892</v>
      </c>
      <c r="E2105" t="n">
        <v>4.043664019518204e-05</v>
      </c>
      <c r="F2105" t="n">
        <v>0.9810605454655544</v>
      </c>
      <c r="G2105" t="inlineStr">
        <is>
          <t>C</t>
        </is>
      </c>
      <c r="H2105" t="n">
        <v>1</v>
      </c>
      <c r="I2105" t="n">
        <v>5.939350288</v>
      </c>
      <c r="J2105" t="n">
        <v>5.939350288</v>
      </c>
      <c r="K2105" t="n">
        <v>0.3</v>
      </c>
      <c r="L2105" t="n">
        <v>3.333333333333333</v>
      </c>
      <c r="M2105" t="n">
        <v>4</v>
      </c>
      <c r="N2105" t="n">
        <v>1.2</v>
      </c>
      <c r="O2105" t="n">
        <v>0</v>
      </c>
      <c r="P2105" t="n">
        <v>0</v>
      </c>
      <c r="Q2105" t="n">
        <v>0</v>
      </c>
      <c r="R2105" t="inlineStr">
        <is>
          <t>OK</t>
        </is>
      </c>
    </row>
    <row r="2106">
      <c r="A2106" t="inlineStr">
        <is>
          <t>TALGTADA166TM</t>
        </is>
      </c>
      <c r="B2106" t="inlineStr">
        <is>
          <t>URBAN COTTON TOP SAY YES DAMA</t>
        </is>
      </c>
      <c r="C2106" t="inlineStr">
        <is>
          <t>Manufactura / Dama / P. Superiores</t>
        </is>
      </c>
      <c r="D2106" t="n">
        <v>164.88725705</v>
      </c>
      <c r="E2106" t="n">
        <v>4.03697710655588e-05</v>
      </c>
      <c r="F2106" t="n">
        <v>0.98110091523662</v>
      </c>
      <c r="G2106" t="inlineStr">
        <is>
          <t>C</t>
        </is>
      </c>
      <c r="H2106" t="n">
        <v>2</v>
      </c>
      <c r="I2106" t="n">
        <v>6.639983317</v>
      </c>
      <c r="J2106" t="n">
        <v>13.279966634</v>
      </c>
      <c r="K2106" t="n">
        <v>0.5</v>
      </c>
      <c r="L2106" t="n">
        <v>4</v>
      </c>
      <c r="M2106" t="n">
        <v>4</v>
      </c>
      <c r="N2106" t="n">
        <v>2</v>
      </c>
      <c r="O2106" t="n">
        <v>0</v>
      </c>
      <c r="P2106" t="n">
        <v>0</v>
      </c>
      <c r="Q2106" t="n">
        <v>0</v>
      </c>
      <c r="R2106" t="inlineStr">
        <is>
          <t>OK</t>
        </is>
      </c>
    </row>
    <row r="2107">
      <c r="A2107" t="inlineStr">
        <is>
          <t>SHOUNKI68T10</t>
        </is>
      </c>
      <c r="B2107" t="inlineStr">
        <is>
          <t>SHORT PLAYA KIDS</t>
        </is>
      </c>
      <c r="C2107" t="inlineStr">
        <is>
          <t>Manufactura / Kids / P. Inferiores</t>
        </is>
      </c>
      <c r="D2107" t="n">
        <v>163.82350978</v>
      </c>
      <c r="E2107" t="n">
        <v>4.010933108657066e-05</v>
      </c>
      <c r="F2107" t="n">
        <v>0.9811410245677066</v>
      </c>
      <c r="G2107" t="inlineStr">
        <is>
          <t>C</t>
        </is>
      </c>
      <c r="H2107" t="n">
        <v>28</v>
      </c>
      <c r="I2107" t="n">
        <v>6.09</v>
      </c>
      <c r="J2107" t="n">
        <v>170.52</v>
      </c>
      <c r="K2107" t="n">
        <v>0.4</v>
      </c>
      <c r="L2107" t="n">
        <v>70</v>
      </c>
      <c r="M2107" t="n">
        <v>4</v>
      </c>
      <c r="N2107" t="n">
        <v>1.6</v>
      </c>
      <c r="O2107" t="n">
        <v>26.4</v>
      </c>
      <c r="P2107" t="n">
        <v>160.776</v>
      </c>
      <c r="Q2107" t="n">
        <v>0.9428571428571428</v>
      </c>
      <c r="R2107" t="inlineStr">
        <is>
          <t>Sobrestock crítico</t>
        </is>
      </c>
    </row>
    <row r="2108">
      <c r="A2108" t="inlineStr">
        <is>
          <t>CLAMEDA66TXL</t>
        </is>
      </c>
      <c r="B2108" t="inlineStr">
        <is>
          <t>CLÁSICA SPORT DAMA</t>
        </is>
      </c>
      <c r="C2108" t="inlineStr">
        <is>
          <t>Manufactura / Dama / P. Superiores</t>
        </is>
      </c>
      <c r="D2108" t="n">
        <v>163.28270572</v>
      </c>
      <c r="E2108" t="n">
        <v>3.997692463816389e-05</v>
      </c>
      <c r="F2108" t="n">
        <v>0.9811810014923448</v>
      </c>
      <c r="G2108" t="inlineStr">
        <is>
          <t>C</t>
        </is>
      </c>
      <c r="H2108" t="n">
        <v>4</v>
      </c>
      <c r="I2108" t="n">
        <v>6.536105769</v>
      </c>
      <c r="J2108" t="n">
        <v>26.144423076</v>
      </c>
      <c r="K2108" t="n">
        <v>0.3</v>
      </c>
      <c r="L2108" t="n">
        <v>13.33333333333333</v>
      </c>
      <c r="M2108" t="n">
        <v>4</v>
      </c>
      <c r="N2108" t="n">
        <v>1.2</v>
      </c>
      <c r="O2108" t="n">
        <v>2.8</v>
      </c>
      <c r="P2108" t="n">
        <v>18.3010961532</v>
      </c>
      <c r="Q2108" t="n">
        <v>0.7000000000000001</v>
      </c>
      <c r="R2108" t="inlineStr">
        <is>
          <t>Sobrestock crítico</t>
        </is>
      </c>
    </row>
    <row r="2109">
      <c r="A2109" t="inlineStr">
        <is>
          <t>CLAMICA01T2XL</t>
        </is>
      </c>
      <c r="B2109" t="inlineStr">
        <is>
          <t>CLASICA ORIGINAL CAB</t>
        </is>
      </c>
      <c r="C2109" t="inlineStr">
        <is>
          <t>Manufactura / Caballero / P. Superiores</t>
        </is>
      </c>
      <c r="D2109" t="n">
        <v>163.24238477</v>
      </c>
      <c r="E2109" t="n">
        <v>3.9967052756311e-05</v>
      </c>
      <c r="F2109" t="n">
        <v>0.9812209685451011</v>
      </c>
      <c r="G2109" t="inlineStr">
        <is>
          <t>C</t>
        </is>
      </c>
      <c r="H2109" t="n">
        <v>4</v>
      </c>
      <c r="I2109" t="n">
        <v>4.598442536</v>
      </c>
      <c r="J2109" t="n">
        <v>18.393770144</v>
      </c>
      <c r="K2109" t="n">
        <v>0.4</v>
      </c>
      <c r="L2109" t="n">
        <v>10</v>
      </c>
      <c r="M2109" t="n">
        <v>4</v>
      </c>
      <c r="N2109" t="n">
        <v>1.6</v>
      </c>
      <c r="O2109" t="n">
        <v>2.4</v>
      </c>
      <c r="P2109" t="n">
        <v>11.0362620864</v>
      </c>
      <c r="Q2109" t="n">
        <v>0.6</v>
      </c>
      <c r="R2109" t="inlineStr">
        <is>
          <t>Sobrestock crítico</t>
        </is>
      </c>
    </row>
    <row r="2110">
      <c r="A2110" t="inlineStr">
        <is>
          <t>CRESTKI16T6</t>
        </is>
      </c>
      <c r="B2110" t="inlineStr">
        <is>
          <t>RETRO VZLA KIDS</t>
        </is>
      </c>
      <c r="C2110" t="inlineStr">
        <is>
          <t>Manufactura / Dama / P. Superiores</t>
        </is>
      </c>
      <c r="D2110" t="n">
        <v>163.22870052</v>
      </c>
      <c r="E2110" t="n">
        <v>3.996370240620155e-05</v>
      </c>
      <c r="F2110" t="n">
        <v>0.9812609322475073</v>
      </c>
      <c r="G2110" t="inlineStr">
        <is>
          <t>C</t>
        </is>
      </c>
      <c r="H2110" t="n">
        <v>3</v>
      </c>
      <c r="I2110" t="n">
        <v>10.18</v>
      </c>
      <c r="J2110" t="n">
        <v>30.53999999999999</v>
      </c>
      <c r="K2110" t="n">
        <v>0.5</v>
      </c>
      <c r="L2110" t="n">
        <v>6</v>
      </c>
      <c r="M2110" t="n">
        <v>4</v>
      </c>
      <c r="N2110" t="n">
        <v>2</v>
      </c>
      <c r="O2110" t="n">
        <v>1</v>
      </c>
      <c r="P2110" t="n">
        <v>10.18</v>
      </c>
      <c r="Q2110" t="n">
        <v>0.3333333333333334</v>
      </c>
      <c r="R2110" t="inlineStr">
        <is>
          <t>Sobrestock crítico</t>
        </is>
      </c>
    </row>
    <row r="2111">
      <c r="A2111" t="inlineStr">
        <is>
          <t>SHOUNKI68T4</t>
        </is>
      </c>
      <c r="B2111" t="inlineStr">
        <is>
          <t>SHORT PLAYA KIDS</t>
        </is>
      </c>
      <c r="C2111" t="inlineStr">
        <is>
          <t>Manufactura / Kids / P. Inferiores</t>
        </is>
      </c>
      <c r="D2111" t="n">
        <v>162.80501765</v>
      </c>
      <c r="E2111" t="n">
        <v>3.985997103985883e-05</v>
      </c>
      <c r="F2111" t="n">
        <v>0.981300792218547</v>
      </c>
      <c r="G2111" t="inlineStr">
        <is>
          <t>C</t>
        </is>
      </c>
      <c r="H2111" t="n">
        <v>40</v>
      </c>
      <c r="I2111" t="n">
        <v>6.09</v>
      </c>
      <c r="J2111" t="n">
        <v>243.6</v>
      </c>
      <c r="K2111" t="n">
        <v>0.4</v>
      </c>
      <c r="L2111" t="n">
        <v>100</v>
      </c>
      <c r="M2111" t="n">
        <v>4</v>
      </c>
      <c r="N2111" t="n">
        <v>1.6</v>
      </c>
      <c r="O2111" t="n">
        <v>38.4</v>
      </c>
      <c r="P2111" t="n">
        <v>233.856</v>
      </c>
      <c r="Q2111" t="n">
        <v>0.96</v>
      </c>
      <c r="R2111" t="inlineStr">
        <is>
          <t>Sobrestock crítico</t>
        </is>
      </c>
    </row>
    <row r="2112">
      <c r="A2112" t="inlineStr">
        <is>
          <t>SHOUNCA68TM</t>
        </is>
      </c>
      <c r="B2112" t="inlineStr">
        <is>
          <t>SHORT PLAYA CAB</t>
        </is>
      </c>
      <c r="C2112" t="inlineStr">
        <is>
          <t>Manufactura / Caballero / P. Inferiores</t>
        </is>
      </c>
      <c r="D2112" t="n">
        <v>161.81064925</v>
      </c>
      <c r="E2112" t="n">
        <v>3.961651726798456e-05</v>
      </c>
      <c r="F2112" t="n">
        <v>0.9813404087358151</v>
      </c>
      <c r="G2112" t="inlineStr">
        <is>
          <t>C</t>
        </is>
      </c>
      <c r="H2112" t="n">
        <v>0</v>
      </c>
      <c r="I2112" t="n">
        <v>9.99</v>
      </c>
      <c r="J2112" t="n">
        <v>0</v>
      </c>
      <c r="K2112" t="n">
        <v>0.4</v>
      </c>
      <c r="L2112" t="n">
        <v>0</v>
      </c>
      <c r="M2112" t="n">
        <v>4</v>
      </c>
      <c r="N2112" t="n">
        <v>1.6</v>
      </c>
      <c r="O2112" t="n">
        <v>0</v>
      </c>
      <c r="P2112" t="n">
        <v>0</v>
      </c>
      <c r="Q2112" t="n">
        <v>0</v>
      </c>
      <c r="R2112" t="inlineStr">
        <is>
          <t>Riesgo bajo stock</t>
        </is>
      </c>
    </row>
    <row r="2113">
      <c r="A2113" t="inlineStr">
        <is>
          <t>CLAMICA48TL</t>
        </is>
      </c>
      <c r="B2113" t="inlineStr">
        <is>
          <t>CLASICA ORIGINAL CAB</t>
        </is>
      </c>
      <c r="C2113" t="inlineStr">
        <is>
          <t>Manufactura / Caballero / P. Superiores</t>
        </is>
      </c>
      <c r="D2113" t="n">
        <v>161.74174602</v>
      </c>
      <c r="E2113" t="n">
        <v>3.959964751303476e-05</v>
      </c>
      <c r="F2113" t="n">
        <v>0.9813800083833282</v>
      </c>
      <c r="G2113" t="inlineStr">
        <is>
          <t>C</t>
        </is>
      </c>
      <c r="H2113" t="n">
        <v>0</v>
      </c>
      <c r="I2113" t="n">
        <v>4.598442536</v>
      </c>
      <c r="J2113" t="n">
        <v>0</v>
      </c>
      <c r="K2113" t="n">
        <v>0.4</v>
      </c>
      <c r="L2113" t="n">
        <v>0</v>
      </c>
      <c r="M2113" t="n">
        <v>4</v>
      </c>
      <c r="N2113" t="n">
        <v>1.6</v>
      </c>
      <c r="O2113" t="n">
        <v>0</v>
      </c>
      <c r="P2113" t="n">
        <v>0</v>
      </c>
      <c r="Q2113" t="n">
        <v>0</v>
      </c>
      <c r="R2113" t="inlineStr">
        <is>
          <t>Sin rotación</t>
        </is>
      </c>
    </row>
    <row r="2114">
      <c r="A2114" t="inlineStr">
        <is>
          <t>CLAMIDA30TL</t>
        </is>
      </c>
      <c r="B2114" t="inlineStr">
        <is>
          <t>CLASICA ORIGINAL DAMA</t>
        </is>
      </c>
      <c r="C2114" t="inlineStr">
        <is>
          <t>Manufactura / Dama / P. Superiores</t>
        </is>
      </c>
      <c r="D2114" t="n">
        <v>161.5</v>
      </c>
      <c r="E2114" t="n">
        <v>3.954046021343373e-05</v>
      </c>
      <c r="F2114" t="n">
        <v>0.9814195488435415</v>
      </c>
      <c r="G2114" t="inlineStr">
        <is>
          <t>C</t>
        </is>
      </c>
      <c r="H2114" t="n">
        <v>21</v>
      </c>
      <c r="I2114" t="n">
        <v>3.923227589</v>
      </c>
      <c r="J2114" t="n">
        <v>82.387779369</v>
      </c>
      <c r="K2114" t="n">
        <v>0.6</v>
      </c>
      <c r="L2114" t="n">
        <v>35</v>
      </c>
      <c r="M2114" t="n">
        <v>4</v>
      </c>
      <c r="N2114" t="n">
        <v>2.4</v>
      </c>
      <c r="O2114" t="n">
        <v>18.6</v>
      </c>
      <c r="P2114" t="n">
        <v>72.97203315540001</v>
      </c>
      <c r="Q2114" t="n">
        <v>0.8857142857142859</v>
      </c>
      <c r="R2114" t="inlineStr">
        <is>
          <t>Sobrestock crítico</t>
        </is>
      </c>
    </row>
    <row r="2115">
      <c r="A2115" t="inlineStr">
        <is>
          <t>EC176UN</t>
        </is>
      </c>
      <c r="B2115" t="inlineStr">
        <is>
          <t>ECO BAG</t>
        </is>
      </c>
      <c r="C2115" t="inlineStr">
        <is>
          <t>Equipamiento / Bolsos</t>
        </is>
      </c>
      <c r="D2115" t="n">
        <v>161.3127725971999</v>
      </c>
      <c r="E2115" t="n">
        <v>3.94946208470481e-05</v>
      </c>
      <c r="F2115" t="n">
        <v>0.9814590434643886</v>
      </c>
      <c r="G2115" t="inlineStr">
        <is>
          <t>C</t>
        </is>
      </c>
      <c r="H2115" t="n">
        <v>79</v>
      </c>
      <c r="I2115" t="n">
        <v>5.5</v>
      </c>
      <c r="J2115" t="n">
        <v>434.5</v>
      </c>
      <c r="K2115" t="n">
        <v>10.6</v>
      </c>
      <c r="L2115" t="n">
        <v>7.452830188679245</v>
      </c>
      <c r="M2115" t="n">
        <v>4</v>
      </c>
      <c r="N2115" t="n">
        <v>42.4</v>
      </c>
      <c r="O2115" t="n">
        <v>36.6</v>
      </c>
      <c r="P2115" t="n">
        <v>201.3</v>
      </c>
      <c r="Q2115" t="n">
        <v>0.4632911392405064</v>
      </c>
      <c r="R2115" t="inlineStr">
        <is>
          <t>Sobrestock crítico</t>
        </is>
      </c>
    </row>
    <row r="2116">
      <c r="A2116" t="inlineStr">
        <is>
          <t>SRR2VIU123TM</t>
        </is>
      </c>
      <c r="B2116" t="inlineStr">
        <is>
          <t>R2 RUNNING 3,5"</t>
        </is>
      </c>
      <c r="C2116" t="inlineStr">
        <is>
          <t>Manufactura / General</t>
        </is>
      </c>
      <c r="D2116" t="n">
        <v>160.35</v>
      </c>
      <c r="E2116" t="n">
        <v>3.925890275680557e-05</v>
      </c>
      <c r="F2116" t="n">
        <v>0.9815375612699021</v>
      </c>
      <c r="G2116" t="inlineStr">
        <is>
          <t>C</t>
        </is>
      </c>
      <c r="H2116" t="n">
        <v>8</v>
      </c>
      <c r="I2116" t="n">
        <v>6.19</v>
      </c>
      <c r="J2116" t="n">
        <v>49.52</v>
      </c>
      <c r="K2116" t="n">
        <v>0.3</v>
      </c>
      <c r="L2116" t="n">
        <v>26.66666666666667</v>
      </c>
      <c r="M2116" t="n">
        <v>4</v>
      </c>
      <c r="N2116" t="n">
        <v>1.2</v>
      </c>
      <c r="O2116" t="n">
        <v>6.8</v>
      </c>
      <c r="P2116" t="n">
        <v>42.092</v>
      </c>
      <c r="Q2116" t="n">
        <v>0.8499999999999999</v>
      </c>
      <c r="R2116" t="inlineStr">
        <is>
          <t>Sobrestock crítico</t>
        </is>
      </c>
    </row>
    <row r="2117">
      <c r="A2117" t="inlineStr">
        <is>
          <t>SSR2VIU43TM</t>
        </is>
      </c>
      <c r="B2117" t="inlineStr">
        <is>
          <t>R2 SPORT  5"</t>
        </is>
      </c>
      <c r="C2117" t="inlineStr">
        <is>
          <t>Manufactura / General</t>
        </is>
      </c>
      <c r="D2117" t="n">
        <v>160.35</v>
      </c>
      <c r="E2117" t="n">
        <v>3.925890275680557e-05</v>
      </c>
      <c r="F2117" t="n">
        <v>0.9815375612699021</v>
      </c>
      <c r="G2117" t="inlineStr">
        <is>
          <t>C</t>
        </is>
      </c>
      <c r="H2117" t="n">
        <v>10</v>
      </c>
      <c r="I2117" t="n">
        <v>5.09</v>
      </c>
      <c r="J2117" t="n">
        <v>50.9</v>
      </c>
      <c r="K2117" t="n">
        <v>0.3</v>
      </c>
      <c r="L2117" t="n">
        <v>33.33333333333334</v>
      </c>
      <c r="M2117" t="n">
        <v>4</v>
      </c>
      <c r="N2117" t="n">
        <v>1.2</v>
      </c>
      <c r="O2117" t="n">
        <v>8.800000000000001</v>
      </c>
      <c r="P2117" t="n">
        <v>44.792</v>
      </c>
      <c r="Q2117" t="n">
        <v>0.88</v>
      </c>
      <c r="R2117" t="inlineStr">
        <is>
          <t>Sobrestock crítico</t>
        </is>
      </c>
    </row>
    <row r="2118">
      <c r="A2118" t="inlineStr">
        <is>
          <t>ANMSUDA151TL</t>
        </is>
      </c>
      <c r="B2118" t="inlineStr">
        <is>
          <t>ANDRE MOTION DAMA</t>
        </is>
      </c>
      <c r="C2118" t="inlineStr">
        <is>
          <t>Manufactura / Dama / P. Superiores</t>
        </is>
      </c>
      <c r="D2118" t="n">
        <v>160.0400335</v>
      </c>
      <c r="E2118" t="n">
        <v>3.918301286169258e-05</v>
      </c>
      <c r="F2118" t="n">
        <v>0.9815767442827639</v>
      </c>
      <c r="G2118" t="inlineStr">
        <is>
          <t>C</t>
        </is>
      </c>
      <c r="H2118" t="n">
        <v>0</v>
      </c>
      <c r="I2118" t="n">
        <v>10.6</v>
      </c>
      <c r="J2118" t="n">
        <v>0</v>
      </c>
      <c r="K2118" t="n">
        <v>0.4</v>
      </c>
      <c r="L2118" t="n">
        <v>0</v>
      </c>
      <c r="M2118" t="n">
        <v>4</v>
      </c>
      <c r="N2118" t="n">
        <v>1.6</v>
      </c>
      <c r="O2118" t="n">
        <v>0</v>
      </c>
      <c r="P2118" t="n">
        <v>0</v>
      </c>
      <c r="Q2118" t="n">
        <v>0</v>
      </c>
      <c r="R2118" t="inlineStr">
        <is>
          <t>Riesgo bajo stock</t>
        </is>
      </c>
    </row>
    <row r="2119">
      <c r="A2119" t="inlineStr">
        <is>
          <t>CLAMIKI13T8</t>
        </is>
      </c>
      <c r="B2119" t="inlineStr">
        <is>
          <t>CLASICA ORIGINAL KIDS</t>
        </is>
      </c>
      <c r="C2119" t="inlineStr">
        <is>
          <t>Manufactura / Kids / P. Superiores</t>
        </is>
      </c>
      <c r="D2119" t="n">
        <v>159.42457023</v>
      </c>
      <c r="E2119" t="n">
        <v>3.90323274069541e-05</v>
      </c>
      <c r="F2119" t="n">
        <v>0.9816157766101709</v>
      </c>
      <c r="G2119" t="inlineStr">
        <is>
          <t>C</t>
        </is>
      </c>
      <c r="H2119" t="n">
        <v>13</v>
      </c>
      <c r="I2119" t="n">
        <v>2.053774806</v>
      </c>
      <c r="J2119" t="n">
        <v>26.699072478</v>
      </c>
      <c r="K2119" t="n">
        <v>0.6</v>
      </c>
      <c r="L2119" t="n">
        <v>21.66666666666667</v>
      </c>
      <c r="M2119" t="n">
        <v>4</v>
      </c>
      <c r="N2119" t="n">
        <v>2.4</v>
      </c>
      <c r="O2119" t="n">
        <v>10.6</v>
      </c>
      <c r="P2119" t="n">
        <v>21.7700129436</v>
      </c>
      <c r="Q2119" t="n">
        <v>0.8153846153846154</v>
      </c>
      <c r="R2119" t="inlineStr">
        <is>
          <t>Sobrestock crítico</t>
        </is>
      </c>
    </row>
    <row r="2120">
      <c r="A2120" t="inlineStr">
        <is>
          <t>MAFMIDA66TXL</t>
        </is>
      </c>
      <c r="B2120" t="inlineStr">
        <is>
          <t>MAFE ORIGINAL DAMA</t>
        </is>
      </c>
      <c r="C2120" t="inlineStr">
        <is>
          <t>Manufactura / Dama / P. Superiores</t>
        </is>
      </c>
      <c r="D2120" t="n">
        <v>159.36012265</v>
      </c>
      <c r="E2120" t="n">
        <v>3.901654854024919e-05</v>
      </c>
      <c r="F2120" t="n">
        <v>0.9816547931587111</v>
      </c>
      <c r="G2120" t="inlineStr">
        <is>
          <t>C</t>
        </is>
      </c>
      <c r="H2120" t="n">
        <v>19</v>
      </c>
      <c r="I2120" t="n">
        <v>4.54817671</v>
      </c>
      <c r="J2120" t="n">
        <v>86.41535748999999</v>
      </c>
      <c r="K2120" t="n">
        <v>0.5</v>
      </c>
      <c r="L2120" t="n">
        <v>38</v>
      </c>
      <c r="M2120" t="n">
        <v>4</v>
      </c>
      <c r="N2120" t="n">
        <v>2</v>
      </c>
      <c r="O2120" t="n">
        <v>17</v>
      </c>
      <c r="P2120" t="n">
        <v>77.31900407000001</v>
      </c>
      <c r="Q2120" t="n">
        <v>0.8947368421052633</v>
      </c>
      <c r="R2120" t="inlineStr">
        <is>
          <t>Sobrestock crítico</t>
        </is>
      </c>
    </row>
    <row r="2121">
      <c r="A2121" t="inlineStr">
        <is>
          <t>CLAMIDA12T2XL</t>
        </is>
      </c>
      <c r="B2121" t="inlineStr">
        <is>
          <t>CLASICA ORIGINAL DAMA</t>
        </is>
      </c>
      <c r="C2121" t="inlineStr">
        <is>
          <t>Manufactura / Dama / P. Superiores</t>
        </is>
      </c>
      <c r="D2121" t="n">
        <v>159.18938058</v>
      </c>
      <c r="E2121" t="n">
        <v>3.897474532027647e-05</v>
      </c>
      <c r="F2121" t="n">
        <v>0.9816937679040313</v>
      </c>
      <c r="G2121" t="inlineStr">
        <is>
          <t>C</t>
        </is>
      </c>
      <c r="H2121" t="n">
        <v>0</v>
      </c>
      <c r="I2121" t="n">
        <v>3.923227589</v>
      </c>
      <c r="J2121" t="n">
        <v>0</v>
      </c>
      <c r="K2121" t="n">
        <v>0.5</v>
      </c>
      <c r="L2121" t="n">
        <v>0</v>
      </c>
      <c r="M2121" t="n">
        <v>4</v>
      </c>
      <c r="N2121" t="n">
        <v>2</v>
      </c>
      <c r="O2121" t="n">
        <v>0</v>
      </c>
      <c r="P2121" t="n">
        <v>0</v>
      </c>
      <c r="Q2121" t="n">
        <v>0</v>
      </c>
      <c r="R2121" t="inlineStr">
        <is>
          <t>Riesgo bajo stock</t>
        </is>
      </c>
    </row>
    <row r="2122">
      <c r="A2122" t="inlineStr">
        <is>
          <t>ZOEMIKI01T12</t>
        </is>
      </c>
      <c r="B2122" t="inlineStr">
        <is>
          <t>ZOE ORIGINAL KIDS</t>
        </is>
      </c>
      <c r="C2122" t="inlineStr">
        <is>
          <t>Manufactura / Kids / P. Superiores</t>
        </is>
      </c>
      <c r="D2122" t="n">
        <v>158.72279992</v>
      </c>
      <c r="E2122" t="n">
        <v>3.886051117771865e-05</v>
      </c>
      <c r="F2122" t="n">
        <v>0.981732628415209</v>
      </c>
      <c r="G2122" t="inlineStr">
        <is>
          <t>C</t>
        </is>
      </c>
      <c r="H2122" t="n">
        <v>18</v>
      </c>
      <c r="I2122" t="n">
        <v>4.12</v>
      </c>
      <c r="J2122" t="n">
        <v>74.16</v>
      </c>
      <c r="K2122" t="n">
        <v>0.4</v>
      </c>
      <c r="L2122" t="n">
        <v>45</v>
      </c>
      <c r="M2122" t="n">
        <v>4</v>
      </c>
      <c r="N2122" t="n">
        <v>1.6</v>
      </c>
      <c r="O2122" t="n">
        <v>16.4</v>
      </c>
      <c r="P2122" t="n">
        <v>67.568</v>
      </c>
      <c r="Q2122" t="n">
        <v>0.9111111111111111</v>
      </c>
      <c r="R2122" t="inlineStr">
        <is>
          <t>Sobrestock crítico</t>
        </is>
      </c>
    </row>
    <row r="2123">
      <c r="A2123" t="inlineStr">
        <is>
          <t>MARMIKI14T10</t>
        </is>
      </c>
      <c r="B2123" t="inlineStr">
        <is>
          <t>MAR ORIGINAL KIDS</t>
        </is>
      </c>
      <c r="C2123" t="inlineStr">
        <is>
          <t>Manufactura / Kids / P. Superiores</t>
        </is>
      </c>
      <c r="D2123" t="n">
        <v>158.48321434</v>
      </c>
      <c r="E2123" t="n">
        <v>3.880185282419728e-05</v>
      </c>
      <c r="F2123" t="n">
        <v>0.9817714302680333</v>
      </c>
      <c r="G2123" t="inlineStr">
        <is>
          <t>C</t>
        </is>
      </c>
      <c r="H2123" t="n">
        <v>0</v>
      </c>
      <c r="I2123" t="n">
        <v>3.168013332</v>
      </c>
      <c r="J2123" t="n">
        <v>0</v>
      </c>
      <c r="K2123" t="n">
        <v>0.5</v>
      </c>
      <c r="L2123" t="n">
        <v>0</v>
      </c>
      <c r="M2123" t="n">
        <v>4</v>
      </c>
      <c r="N2123" t="n">
        <v>2</v>
      </c>
      <c r="O2123" t="n">
        <v>0</v>
      </c>
      <c r="P2123" t="n">
        <v>0</v>
      </c>
      <c r="Q2123" t="n">
        <v>0</v>
      </c>
      <c r="R2123" t="inlineStr">
        <is>
          <t>Sin rotación</t>
        </is>
      </c>
    </row>
    <row r="2124">
      <c r="A2124" t="inlineStr">
        <is>
          <t>DOMBFCA16T2XL</t>
        </is>
      </c>
      <c r="B2124" t="inlineStr">
        <is>
          <t>DOMINIC BIO MOVE CAB</t>
        </is>
      </c>
      <c r="C2124" t="inlineStr">
        <is>
          <t>Manufactura / Caballero / P. Superiores</t>
        </is>
      </c>
      <c r="D2124" t="n">
        <v>158.08672074</v>
      </c>
      <c r="E2124" t="n">
        <v>3.870477827673176e-05</v>
      </c>
      <c r="F2124" t="n">
        <v>0.98181013504631</v>
      </c>
      <c r="G2124" t="inlineStr">
        <is>
          <t>C</t>
        </is>
      </c>
      <c r="H2124" t="n">
        <v>38</v>
      </c>
      <c r="I2124" t="n">
        <v>13.86</v>
      </c>
      <c r="J2124" t="n">
        <v>526.6799999999999</v>
      </c>
      <c r="K2124" t="n">
        <v>0.2</v>
      </c>
      <c r="L2124" t="n">
        <v>190</v>
      </c>
      <c r="M2124" t="n">
        <v>4</v>
      </c>
      <c r="N2124" t="n">
        <v>0.8</v>
      </c>
      <c r="O2124" t="n">
        <v>37.2</v>
      </c>
      <c r="P2124" t="n">
        <v>515.592</v>
      </c>
      <c r="Q2124" t="n">
        <v>0.9789473684210527</v>
      </c>
      <c r="R2124" t="inlineStr">
        <is>
          <t>Sobrestock crítico</t>
        </is>
      </c>
    </row>
    <row r="2125">
      <c r="A2125" t="inlineStr">
        <is>
          <t>BUFMIGE14TUN</t>
        </is>
      </c>
      <c r="B2125" t="inlineStr">
        <is>
          <t>FLEX COVER</t>
        </is>
      </c>
      <c r="C2125" t="inlineStr">
        <is>
          <t>Manufactura / General</t>
        </is>
      </c>
      <c r="D2125" t="n">
        <v>157.357853304</v>
      </c>
      <c r="E2125" t="n">
        <v>3.852632778847154e-05</v>
      </c>
      <c r="F2125" t="n">
        <v>0.9818486613740984</v>
      </c>
      <c r="G2125" t="inlineStr">
        <is>
          <t>C</t>
        </is>
      </c>
      <c r="H2125" t="n">
        <v>2</v>
      </c>
      <c r="I2125" t="n">
        <v>2.21</v>
      </c>
      <c r="J2125" t="n">
        <v>4.42</v>
      </c>
      <c r="K2125" t="n">
        <v>1.1</v>
      </c>
      <c r="L2125" t="n">
        <v>1.818181818181818</v>
      </c>
      <c r="M2125" t="n">
        <v>4</v>
      </c>
      <c r="N2125" t="n">
        <v>4.4</v>
      </c>
      <c r="O2125" t="n">
        <v>0</v>
      </c>
      <c r="P2125" t="n">
        <v>0</v>
      </c>
      <c r="Q2125" t="n">
        <v>0</v>
      </c>
      <c r="R2125" t="inlineStr">
        <is>
          <t>OK</t>
        </is>
      </c>
    </row>
    <row r="2126">
      <c r="A2126" t="inlineStr">
        <is>
          <t>ZOEMIDA70TM</t>
        </is>
      </c>
      <c r="B2126" t="inlineStr">
        <is>
          <t>ZOE ORIGINAL DAMA</t>
        </is>
      </c>
      <c r="C2126" t="inlineStr">
        <is>
          <t>Manufactura / Dama / P. Superiores</t>
        </is>
      </c>
      <c r="D2126" t="n">
        <v>156.60711866</v>
      </c>
      <c r="E2126" t="n">
        <v>3.83425234954565e-05</v>
      </c>
      <c r="F2126" t="n">
        <v>0.9818870038975939</v>
      </c>
      <c r="G2126" t="inlineStr">
        <is>
          <t>C</t>
        </is>
      </c>
      <c r="H2126" t="n">
        <v>1</v>
      </c>
      <c r="I2126" t="n">
        <v>4.116585696</v>
      </c>
      <c r="J2126" t="n">
        <v>4.116585696</v>
      </c>
      <c r="K2126" t="n">
        <v>1.3</v>
      </c>
      <c r="L2126" t="n">
        <v>0.7692307692307692</v>
      </c>
      <c r="M2126" t="n">
        <v>4</v>
      </c>
      <c r="N2126" t="n">
        <v>5.2</v>
      </c>
      <c r="O2126" t="n">
        <v>0</v>
      </c>
      <c r="P2126" t="n">
        <v>0</v>
      </c>
      <c r="Q2126" t="n">
        <v>0</v>
      </c>
      <c r="R2126" t="inlineStr">
        <is>
          <t>Riesgo bajo stock</t>
        </is>
      </c>
    </row>
    <row r="2127">
      <c r="A2127" t="inlineStr">
        <is>
          <t>ZOEMIDA70TS</t>
        </is>
      </c>
      <c r="B2127" t="inlineStr">
        <is>
          <t>ZOE ORIGINAL DAMA</t>
        </is>
      </c>
      <c r="C2127" t="inlineStr">
        <is>
          <t>Manufactura / Dama / P. Superiores</t>
        </is>
      </c>
      <c r="D2127" t="n">
        <v>156.1920552</v>
      </c>
      <c r="E2127" t="n">
        <v>3.824090244142443e-05</v>
      </c>
      <c r="F2127" t="n">
        <v>0.9819252448000354</v>
      </c>
      <c r="G2127" t="inlineStr">
        <is>
          <t>C</t>
        </is>
      </c>
      <c r="H2127" t="n">
        <v>6</v>
      </c>
      <c r="I2127" t="n">
        <v>4.116585696</v>
      </c>
      <c r="J2127" t="n">
        <v>24.699514176</v>
      </c>
      <c r="K2127" t="n">
        <v>1.2</v>
      </c>
      <c r="L2127" t="n">
        <v>5</v>
      </c>
      <c r="M2127" t="n">
        <v>4</v>
      </c>
      <c r="N2127" t="n">
        <v>4.8</v>
      </c>
      <c r="O2127" t="n">
        <v>1.2</v>
      </c>
      <c r="P2127" t="n">
        <v>4.9399028352</v>
      </c>
      <c r="Q2127" t="n">
        <v>0.2</v>
      </c>
      <c r="R2127" t="inlineStr">
        <is>
          <t>Sobrestock</t>
        </is>
      </c>
    </row>
    <row r="2128">
      <c r="A2128" t="inlineStr">
        <is>
          <t>ANDMIDA13TS</t>
        </is>
      </c>
      <c r="B2128" t="inlineStr">
        <is>
          <t>ANDRE ORIGINAL DAMA</t>
        </is>
      </c>
      <c r="C2128" t="inlineStr">
        <is>
          <t>Manufactura / Dama / P. Superiores</t>
        </is>
      </c>
      <c r="D2128" t="n">
        <v>155.81336078</v>
      </c>
      <c r="E2128" t="n">
        <v>3.814818571295966e-05</v>
      </c>
      <c r="F2128" t="n">
        <v>0.9819633929857483</v>
      </c>
      <c r="G2128" t="inlineStr">
        <is>
          <t>C</t>
        </is>
      </c>
      <c r="H2128" t="n">
        <v>0</v>
      </c>
      <c r="I2128" t="n">
        <v>3.274295302</v>
      </c>
      <c r="J2128" t="n">
        <v>0</v>
      </c>
      <c r="K2128" t="n">
        <v>0.5</v>
      </c>
      <c r="L2128" t="n">
        <v>0</v>
      </c>
      <c r="M2128" t="n">
        <v>4</v>
      </c>
      <c r="N2128" t="n">
        <v>2</v>
      </c>
      <c r="O2128" t="n">
        <v>0</v>
      </c>
      <c r="P2128" t="n">
        <v>0</v>
      </c>
      <c r="Q2128" t="n">
        <v>0</v>
      </c>
      <c r="R2128" t="inlineStr">
        <is>
          <t>Riesgo bajo stock</t>
        </is>
      </c>
    </row>
    <row r="2129">
      <c r="A2129" t="inlineStr">
        <is>
          <t>ZOEMIKI43T8</t>
        </is>
      </c>
      <c r="B2129" t="inlineStr">
        <is>
          <t>ZOE ORIGINAL KIDS</t>
        </is>
      </c>
      <c r="C2129" t="inlineStr">
        <is>
          <t>Manufactura / Kids / P. Superiores</t>
        </is>
      </c>
      <c r="D2129" t="n">
        <v>155.47626251</v>
      </c>
      <c r="E2129" t="n">
        <v>3.806565307684232e-05</v>
      </c>
      <c r="F2129" t="n">
        <v>0.9820014586388252</v>
      </c>
      <c r="G2129" t="inlineStr">
        <is>
          <t>C</t>
        </is>
      </c>
      <c r="H2129" t="n">
        <v>21</v>
      </c>
      <c r="I2129" t="n">
        <v>4.12</v>
      </c>
      <c r="J2129" t="n">
        <v>86.52</v>
      </c>
      <c r="K2129" t="n">
        <v>0.4</v>
      </c>
      <c r="L2129" t="n">
        <v>52.5</v>
      </c>
      <c r="M2129" t="n">
        <v>4</v>
      </c>
      <c r="N2129" t="n">
        <v>1.6</v>
      </c>
      <c r="O2129" t="n">
        <v>19.4</v>
      </c>
      <c r="P2129" t="n">
        <v>79.928</v>
      </c>
      <c r="Q2129" t="n">
        <v>0.9238095238095239</v>
      </c>
      <c r="R2129" t="inlineStr">
        <is>
          <t>Sobrestock crítico</t>
        </is>
      </c>
    </row>
    <row r="2130">
      <c r="A2130" t="inlineStr">
        <is>
          <t>COA145C24OZ</t>
        </is>
      </c>
      <c r="B2130" t="inlineStr">
        <is>
          <t>CONTIGO ASHLAND 24OZ</t>
        </is>
      </c>
      <c r="C2130" t="inlineStr">
        <is>
          <t>Equipamiento / Cava</t>
        </is>
      </c>
      <c r="D2130" t="n">
        <v>155.02900958</v>
      </c>
      <c r="E2130" t="n">
        <v>3.795615099211162e-05</v>
      </c>
      <c r="F2130" t="n">
        <v>0.9820394147898173</v>
      </c>
      <c r="G2130" t="inlineStr">
        <is>
          <t>C</t>
        </is>
      </c>
      <c r="H2130" t="n">
        <v>27</v>
      </c>
      <c r="I2130" t="n">
        <v>24.5</v>
      </c>
      <c r="J2130" t="n">
        <v>661.5</v>
      </c>
      <c r="K2130" t="n">
        <v>0.5</v>
      </c>
      <c r="L2130" t="n">
        <v>54</v>
      </c>
      <c r="M2130" t="n">
        <v>4</v>
      </c>
      <c r="N2130" t="n">
        <v>2</v>
      </c>
      <c r="O2130" t="n">
        <v>25</v>
      </c>
      <c r="P2130" t="n">
        <v>612.5</v>
      </c>
      <c r="Q2130" t="n">
        <v>0.9259259259259259</v>
      </c>
      <c r="R2130" t="inlineStr">
        <is>
          <t>Sin rotación</t>
        </is>
      </c>
    </row>
    <row r="2131">
      <c r="A2131" t="inlineStr">
        <is>
          <t>DALSSTDA16TS</t>
        </is>
      </c>
      <c r="B2131" t="inlineStr">
        <is>
          <t>MANGA LARGA DAILY 2.0 DAMA</t>
        </is>
      </c>
      <c r="C2131" t="inlineStr">
        <is>
          <t>Manufactura / Dama / P. Superiores</t>
        </is>
      </c>
      <c r="D2131" t="n">
        <v>154.38292902</v>
      </c>
      <c r="E2131" t="n">
        <v>3.779796942754597e-05</v>
      </c>
      <c r="F2131" t="n">
        <v>0.9820772127592449</v>
      </c>
      <c r="G2131" t="inlineStr">
        <is>
          <t>C</t>
        </is>
      </c>
      <c r="H2131" t="n">
        <v>1</v>
      </c>
      <c r="I2131" t="n">
        <v>12.3</v>
      </c>
      <c r="J2131" t="n">
        <v>12.3</v>
      </c>
      <c r="K2131" t="n">
        <v>0.4</v>
      </c>
      <c r="L2131" t="n">
        <v>2.5</v>
      </c>
      <c r="M2131" t="n">
        <v>4</v>
      </c>
      <c r="N2131" t="n">
        <v>1.6</v>
      </c>
      <c r="O2131" t="n">
        <v>0</v>
      </c>
      <c r="P2131" t="n">
        <v>0</v>
      </c>
      <c r="Q2131" t="n">
        <v>0</v>
      </c>
      <c r="R2131" t="inlineStr">
        <is>
          <t>OK</t>
        </is>
      </c>
    </row>
    <row r="2132">
      <c r="A2132" t="inlineStr">
        <is>
          <t>CLAMIKI48T6</t>
        </is>
      </c>
      <c r="B2132" t="inlineStr">
        <is>
          <t>CLASICA ORIGINAL KIDS</t>
        </is>
      </c>
      <c r="C2132" t="inlineStr">
        <is>
          <t>Manufactura / Kids / P. Superiores</t>
        </is>
      </c>
      <c r="D2132" t="n">
        <v>154.04172516</v>
      </c>
      <c r="E2132" t="n">
        <v>3.771443160927353e-05</v>
      </c>
      <c r="F2132" t="n">
        <v>0.9821149271908541</v>
      </c>
      <c r="G2132" t="inlineStr">
        <is>
          <t>C</t>
        </is>
      </c>
      <c r="H2132" t="n">
        <v>8</v>
      </c>
      <c r="I2132" t="n">
        <v>2.053774806</v>
      </c>
      <c r="J2132" t="n">
        <v>16.430198448</v>
      </c>
      <c r="K2132" t="n">
        <v>0.5</v>
      </c>
      <c r="L2132" t="n">
        <v>16</v>
      </c>
      <c r="M2132" t="n">
        <v>4</v>
      </c>
      <c r="N2132" t="n">
        <v>2</v>
      </c>
      <c r="O2132" t="n">
        <v>6</v>
      </c>
      <c r="P2132" t="n">
        <v>12.322648836</v>
      </c>
      <c r="Q2132" t="n">
        <v>0.75</v>
      </c>
      <c r="R2132" t="inlineStr">
        <is>
          <t>Sobrestock crítico</t>
        </is>
      </c>
    </row>
    <row r="2133">
      <c r="A2133" t="inlineStr">
        <is>
          <t>CLAMIKI16T2</t>
        </is>
      </c>
      <c r="B2133" t="inlineStr">
        <is>
          <t>CLASICA ORIGINAL KIDS</t>
        </is>
      </c>
      <c r="C2133" t="inlineStr">
        <is>
          <t>Manufactura / Kids / P. Superiores</t>
        </is>
      </c>
      <c r="D2133" t="n">
        <v>153.67973099</v>
      </c>
      <c r="E2133" t="n">
        <v>3.762580364595229e-05</v>
      </c>
      <c r="F2133" t="n">
        <v>0.9821525529945001</v>
      </c>
      <c r="G2133" t="inlineStr">
        <is>
          <t>C</t>
        </is>
      </c>
      <c r="H2133" t="n">
        <v>39</v>
      </c>
      <c r="I2133" t="n">
        <v>2.053774806</v>
      </c>
      <c r="J2133" t="n">
        <v>80.09721743399999</v>
      </c>
      <c r="K2133" t="n">
        <v>0.5</v>
      </c>
      <c r="L2133" t="n">
        <v>78</v>
      </c>
      <c r="M2133" t="n">
        <v>4</v>
      </c>
      <c r="N2133" t="n">
        <v>2</v>
      </c>
      <c r="O2133" t="n">
        <v>37</v>
      </c>
      <c r="P2133" t="n">
        <v>75.989667822</v>
      </c>
      <c r="Q2133" t="n">
        <v>0.9487179487179489</v>
      </c>
      <c r="R2133" t="inlineStr">
        <is>
          <t>Sobrestock crítico</t>
        </is>
      </c>
    </row>
    <row r="2134">
      <c r="A2134" t="inlineStr">
        <is>
          <t>VIVMIDA70TXL</t>
        </is>
      </c>
      <c r="B2134" t="inlineStr">
        <is>
          <t>VIVI ORIGINAL DAMA</t>
        </is>
      </c>
      <c r="C2134" t="inlineStr">
        <is>
          <t>Manufactura / Dama / P. Superiores</t>
        </is>
      </c>
      <c r="D2134" t="n">
        <v>153.33511927</v>
      </c>
      <c r="E2134" t="n">
        <v>3.75414314725545e-05</v>
      </c>
      <c r="F2134" t="n">
        <v>0.9821900944259726</v>
      </c>
      <c r="G2134" t="inlineStr">
        <is>
          <t>C</t>
        </is>
      </c>
      <c r="H2134" t="n">
        <v>7</v>
      </c>
      <c r="I2134" t="n">
        <v>4.303181706</v>
      </c>
      <c r="J2134" t="n">
        <v>30.122271942</v>
      </c>
      <c r="K2134" t="n">
        <v>0.4</v>
      </c>
      <c r="L2134" t="n">
        <v>17.5</v>
      </c>
      <c r="M2134" t="n">
        <v>4</v>
      </c>
      <c r="N2134" t="n">
        <v>1.6</v>
      </c>
      <c r="O2134" t="n">
        <v>5.4</v>
      </c>
      <c r="P2134" t="n">
        <v>23.2371812124</v>
      </c>
      <c r="Q2134" t="n">
        <v>0.7714285714285715</v>
      </c>
      <c r="R2134" t="inlineStr">
        <is>
          <t>Sobrestock crítico</t>
        </is>
      </c>
    </row>
    <row r="2135">
      <c r="A2135" t="inlineStr">
        <is>
          <t>RIOMICA50T3XL</t>
        </is>
      </c>
      <c r="B2135" t="inlineStr">
        <is>
          <t>RIO ORIGINAL CAB</t>
        </is>
      </c>
      <c r="C2135" t="inlineStr">
        <is>
          <t>Manufactura / Caballero / P. Superiores</t>
        </is>
      </c>
      <c r="D2135" t="n">
        <v>152.42845771</v>
      </c>
      <c r="E2135" t="n">
        <v>3.731945119181004e-05</v>
      </c>
      <c r="F2135" t="n">
        <v>0.9822274138771645</v>
      </c>
      <c r="G2135" t="inlineStr">
        <is>
          <t>C</t>
        </is>
      </c>
      <c r="H2135" t="n">
        <v>5</v>
      </c>
      <c r="I2135" t="n">
        <v>5.939350288</v>
      </c>
      <c r="J2135" t="n">
        <v>29.69675144</v>
      </c>
      <c r="K2135" t="n">
        <v>0.3</v>
      </c>
      <c r="L2135" t="n">
        <v>16.66666666666667</v>
      </c>
      <c r="M2135" t="n">
        <v>4</v>
      </c>
      <c r="N2135" t="n">
        <v>1.2</v>
      </c>
      <c r="O2135" t="n">
        <v>3.8</v>
      </c>
      <c r="P2135" t="n">
        <v>22.5695310944</v>
      </c>
      <c r="Q2135" t="n">
        <v>0.7599999999999999</v>
      </c>
      <c r="R2135" t="inlineStr">
        <is>
          <t>Sobrestock crítico</t>
        </is>
      </c>
    </row>
    <row r="2136">
      <c r="A2136" t="inlineStr">
        <is>
          <t>GEOMACADA168TL</t>
        </is>
      </c>
      <c r="B2136" t="inlineStr">
        <is>
          <t>ADVANCE GEO MAYA DAMA</t>
        </is>
      </c>
      <c r="C2136" t="inlineStr">
        <is>
          <t>Manufactura / Dama / P. Superiores</t>
        </is>
      </c>
      <c r="D2136" t="n">
        <v>152.34021256</v>
      </c>
      <c r="E2136" t="n">
        <v>3.729784590485893e-05</v>
      </c>
      <c r="F2136" t="n">
        <v>0.9822647117230693</v>
      </c>
      <c r="G2136" t="inlineStr">
        <is>
          <t>C</t>
        </is>
      </c>
      <c r="H2136" t="n">
        <v>16</v>
      </c>
      <c r="I2136" t="n">
        <v>10.33</v>
      </c>
      <c r="J2136" t="n">
        <v>165.28</v>
      </c>
      <c r="K2136" t="n">
        <v>0.3</v>
      </c>
      <c r="L2136" t="n">
        <v>53.33333333333334</v>
      </c>
      <c r="M2136" t="n">
        <v>4</v>
      </c>
      <c r="N2136" t="n">
        <v>1.2</v>
      </c>
      <c r="O2136" t="n">
        <v>14.8</v>
      </c>
      <c r="P2136" t="n">
        <v>152.884</v>
      </c>
      <c r="Q2136" t="n">
        <v>0.925</v>
      </c>
      <c r="R2136" t="inlineStr">
        <is>
          <t>Sobrestock crítico</t>
        </is>
      </c>
    </row>
    <row r="2137">
      <c r="A2137" t="inlineStr">
        <is>
          <t>RIOMIDA05TM</t>
        </is>
      </c>
      <c r="B2137" t="inlineStr">
        <is>
          <t>RIO ORIGINAL DAMA</t>
        </is>
      </c>
      <c r="C2137" t="inlineStr">
        <is>
          <t>Manufactura / Dama / P. Superiores</t>
        </is>
      </c>
      <c r="D2137" t="n">
        <v>152.19378552</v>
      </c>
      <c r="E2137" t="n">
        <v>3.72619957961946e-05</v>
      </c>
      <c r="F2137" t="n">
        <v>0.9823019737188656</v>
      </c>
      <c r="G2137" t="inlineStr">
        <is>
          <t>C</t>
        </is>
      </c>
      <c r="H2137" t="n">
        <v>0</v>
      </c>
      <c r="I2137" t="n">
        <v>5.538832275</v>
      </c>
      <c r="J2137" t="n">
        <v>0</v>
      </c>
      <c r="K2137" t="n">
        <v>0.3</v>
      </c>
      <c r="L2137" t="n">
        <v>0</v>
      </c>
      <c r="M2137" t="n">
        <v>4</v>
      </c>
      <c r="N2137" t="n">
        <v>1.2</v>
      </c>
      <c r="O2137" t="n">
        <v>0</v>
      </c>
      <c r="P2137" t="n">
        <v>0</v>
      </c>
      <c r="Q2137" t="n">
        <v>0</v>
      </c>
      <c r="R2137" t="inlineStr">
        <is>
          <t>Sin rotación</t>
        </is>
      </c>
    </row>
    <row r="2138">
      <c r="A2138" t="inlineStr">
        <is>
          <t>CLAMIDA66TL</t>
        </is>
      </c>
      <c r="B2138" t="inlineStr">
        <is>
          <t>CLASICA ORIGINAL DAMA</t>
        </is>
      </c>
      <c r="C2138" t="inlineStr">
        <is>
          <t>Manufactura / Dama / P. Superiores</t>
        </is>
      </c>
      <c r="D2138" t="n">
        <v>150.69469545</v>
      </c>
      <c r="E2138" t="n">
        <v>3.689496972022438e-05</v>
      </c>
      <c r="F2138" t="n">
        <v>0.9823388686885858</v>
      </c>
      <c r="G2138" t="inlineStr">
        <is>
          <t>C</t>
        </is>
      </c>
      <c r="H2138" t="n">
        <v>37</v>
      </c>
      <c r="I2138" t="n">
        <v>3.923227589000001</v>
      </c>
      <c r="J2138" t="n">
        <v>145.159420793</v>
      </c>
      <c r="K2138" t="n">
        <v>0.4</v>
      </c>
      <c r="L2138" t="n">
        <v>92.5</v>
      </c>
      <c r="M2138" t="n">
        <v>4</v>
      </c>
      <c r="N2138" t="n">
        <v>1.6</v>
      </c>
      <c r="O2138" t="n">
        <v>35.4</v>
      </c>
      <c r="P2138" t="n">
        <v>138.8822566506</v>
      </c>
      <c r="Q2138" t="n">
        <v>0.9567567567567569</v>
      </c>
      <c r="R2138" t="inlineStr">
        <is>
          <t>Sobrestock crítico</t>
        </is>
      </c>
    </row>
    <row r="2139">
      <c r="A2139" t="inlineStr">
        <is>
          <t>RIOMICA24T2XL</t>
        </is>
      </c>
      <c r="B2139" t="inlineStr">
        <is>
          <t>RIO ORIGINAL CAB</t>
        </is>
      </c>
      <c r="C2139" t="inlineStr">
        <is>
          <t>Manufactura / Caballero / P. Superiores</t>
        </is>
      </c>
      <c r="D2139" t="n">
        <v>150.01279283</v>
      </c>
      <c r="E2139" t="n">
        <v>3.67280177486111e-05</v>
      </c>
      <c r="F2139" t="n">
        <v>0.9823755967063343</v>
      </c>
      <c r="G2139" t="inlineStr">
        <is>
          <t>C</t>
        </is>
      </c>
      <c r="H2139" t="n">
        <v>0</v>
      </c>
      <c r="I2139" t="n">
        <v>5.939350288</v>
      </c>
      <c r="J2139" t="n">
        <v>0</v>
      </c>
      <c r="K2139" t="n">
        <v>0.3</v>
      </c>
      <c r="L2139" t="n">
        <v>0</v>
      </c>
      <c r="M2139" t="n">
        <v>4</v>
      </c>
      <c r="N2139" t="n">
        <v>1.2</v>
      </c>
      <c r="O2139" t="n">
        <v>0</v>
      </c>
      <c r="P2139" t="n">
        <v>0</v>
      </c>
      <c r="Q2139" t="n">
        <v>0</v>
      </c>
      <c r="R2139" t="inlineStr">
        <is>
          <t>Sin rotación</t>
        </is>
      </c>
    </row>
    <row r="2140">
      <c r="A2140" t="inlineStr">
        <is>
          <t>TALGOTADA170TXL</t>
        </is>
      </c>
      <c r="B2140" t="inlineStr">
        <is>
          <t>URBAN COTTON TOP VINTAGE GRIS DAMA</t>
        </is>
      </c>
      <c r="C2140" t="inlineStr">
        <is>
          <t>Manufactura / Dama / P. Superiores</t>
        </is>
      </c>
      <c r="D2140" t="n">
        <v>149.8676379</v>
      </c>
      <c r="E2140" t="n">
        <v>3.669247909390863e-05</v>
      </c>
      <c r="F2140" t="n">
        <v>0.9824122891854283</v>
      </c>
      <c r="G2140" t="inlineStr">
        <is>
          <t>C</t>
        </is>
      </c>
      <c r="H2140" t="n">
        <v>0</v>
      </c>
      <c r="I2140" t="n">
        <v>7.819069274</v>
      </c>
      <c r="J2140" t="n">
        <v>0</v>
      </c>
      <c r="K2140" t="n">
        <v>0.3</v>
      </c>
      <c r="L2140" t="n">
        <v>0</v>
      </c>
      <c r="M2140" t="n">
        <v>4</v>
      </c>
      <c r="N2140" t="n">
        <v>1.2</v>
      </c>
      <c r="O2140" t="n">
        <v>0</v>
      </c>
      <c r="P2140" t="n">
        <v>0</v>
      </c>
      <c r="Q2140" t="n">
        <v>0</v>
      </c>
      <c r="R2140" t="inlineStr">
        <is>
          <t>Riesgo bajo stock</t>
        </is>
      </c>
    </row>
    <row r="2141">
      <c r="A2141" t="inlineStr">
        <is>
          <t>ANDMIDA39TS</t>
        </is>
      </c>
      <c r="B2141" t="inlineStr">
        <is>
          <t>ANDRE ORIGINAL DAMA</t>
        </is>
      </c>
      <c r="C2141" t="inlineStr">
        <is>
          <t>Manufactura / Dama / P. Superiores</t>
        </is>
      </c>
      <c r="D2141" t="n">
        <v>149.51721646</v>
      </c>
      <c r="E2141" t="n">
        <v>3.660668451182656e-05</v>
      </c>
      <c r="F2141" t="n">
        <v>0.9824488958699401</v>
      </c>
      <c r="G2141" t="inlineStr">
        <is>
          <t>C</t>
        </is>
      </c>
      <c r="H2141" t="n">
        <v>0</v>
      </c>
      <c r="I2141" t="n">
        <v>3.274295302</v>
      </c>
      <c r="J2141" t="n">
        <v>0</v>
      </c>
      <c r="K2141" t="n">
        <v>0.5</v>
      </c>
      <c r="L2141" t="n">
        <v>0</v>
      </c>
      <c r="M2141" t="n">
        <v>4</v>
      </c>
      <c r="N2141" t="n">
        <v>2</v>
      </c>
      <c r="O2141" t="n">
        <v>0</v>
      </c>
      <c r="P2141" t="n">
        <v>0</v>
      </c>
      <c r="Q2141" t="n">
        <v>0</v>
      </c>
      <c r="R2141" t="inlineStr">
        <is>
          <t>Sin rotación</t>
        </is>
      </c>
    </row>
    <row r="2142">
      <c r="A2142" t="inlineStr">
        <is>
          <t>OVEFTGE43TXL</t>
        </is>
      </c>
      <c r="B2142" t="inlineStr">
        <is>
          <t>UNIHOODIE</t>
        </is>
      </c>
      <c r="C2142" t="inlineStr">
        <is>
          <t>Manufactura / General</t>
        </is>
      </c>
      <c r="D2142" t="n">
        <v>149.37611627</v>
      </c>
      <c r="E2142" t="n">
        <v>3.657213858954295e-05</v>
      </c>
      <c r="F2142" t="n">
        <v>0.9824854680085295</v>
      </c>
      <c r="G2142" t="inlineStr">
        <is>
          <t>C</t>
        </is>
      </c>
      <c r="H2142" t="n">
        <v>0</v>
      </c>
      <c r="I2142" t="n">
        <v>20.27</v>
      </c>
      <c r="J2142" t="n">
        <v>0</v>
      </c>
      <c r="K2142" t="n">
        <v>0.3</v>
      </c>
      <c r="L2142" t="n">
        <v>0</v>
      </c>
      <c r="M2142" t="n">
        <v>4</v>
      </c>
      <c r="N2142" t="n">
        <v>1.2</v>
      </c>
      <c r="O2142" t="n">
        <v>0</v>
      </c>
      <c r="P2142" t="n">
        <v>0</v>
      </c>
      <c r="Q2142" t="n">
        <v>0</v>
      </c>
      <c r="R2142" t="inlineStr">
        <is>
          <t>Sin rotación</t>
        </is>
      </c>
    </row>
    <row r="2143">
      <c r="A2143" t="inlineStr">
        <is>
          <t>CRESTKI16T12</t>
        </is>
      </c>
      <c r="B2143" t="inlineStr">
        <is>
          <t>RETRO VZLA KIDS</t>
        </is>
      </c>
      <c r="C2143" t="inlineStr">
        <is>
          <t>Manufactura / Dama / P. Superiores</t>
        </is>
      </c>
      <c r="D2143" t="n">
        <v>148.9328453</v>
      </c>
      <c r="E2143" t="n">
        <v>3.64636114183166e-05</v>
      </c>
      <c r="F2143" t="n">
        <v>0.9825219316199479</v>
      </c>
      <c r="G2143" t="inlineStr">
        <is>
          <t>C</t>
        </is>
      </c>
      <c r="H2143" t="n">
        <v>0</v>
      </c>
      <c r="I2143" t="n">
        <v>10.18</v>
      </c>
      <c r="J2143" t="n">
        <v>0</v>
      </c>
      <c r="K2143" t="n">
        <v>0.5</v>
      </c>
      <c r="L2143" t="n">
        <v>0</v>
      </c>
      <c r="M2143" t="n">
        <v>4</v>
      </c>
      <c r="N2143" t="n">
        <v>2</v>
      </c>
      <c r="O2143" t="n">
        <v>0</v>
      </c>
      <c r="P2143" t="n">
        <v>0</v>
      </c>
      <c r="Q2143" t="n">
        <v>0</v>
      </c>
      <c r="R2143" t="inlineStr">
        <is>
          <t>Riesgo bajo stock</t>
        </is>
      </c>
    </row>
    <row r="2144">
      <c r="A2144" t="inlineStr">
        <is>
          <t>ZOEMIKI12T4</t>
        </is>
      </c>
      <c r="B2144" t="inlineStr">
        <is>
          <t>ZOE ORIGINAL KIDS</t>
        </is>
      </c>
      <c r="C2144" t="inlineStr">
        <is>
          <t>Manufactura / Kids / P. Superiores</t>
        </is>
      </c>
      <c r="D2144" t="n">
        <v>148.56992368</v>
      </c>
      <c r="E2144" t="n">
        <v>3.637475638502741e-05</v>
      </c>
      <c r="F2144" t="n">
        <v>0.982558306376333</v>
      </c>
      <c r="G2144" t="inlineStr">
        <is>
          <t>C</t>
        </is>
      </c>
      <c r="H2144" t="n">
        <v>22</v>
      </c>
      <c r="I2144" t="n">
        <v>4.12</v>
      </c>
      <c r="J2144" t="n">
        <v>90.64</v>
      </c>
      <c r="K2144" t="n">
        <v>0.4</v>
      </c>
      <c r="L2144" t="n">
        <v>55</v>
      </c>
      <c r="M2144" t="n">
        <v>4</v>
      </c>
      <c r="N2144" t="n">
        <v>1.6</v>
      </c>
      <c r="O2144" t="n">
        <v>20.4</v>
      </c>
      <c r="P2144" t="n">
        <v>84.048</v>
      </c>
      <c r="Q2144" t="n">
        <v>0.9272727272727272</v>
      </c>
      <c r="R2144" t="inlineStr">
        <is>
          <t>Sobrestock crítico</t>
        </is>
      </c>
    </row>
    <row r="2145">
      <c r="A2145" t="inlineStr">
        <is>
          <t>CLAMIKI48T2</t>
        </is>
      </c>
      <c r="B2145" t="inlineStr">
        <is>
          <t>CLASICA ORIGINAL KIDS</t>
        </is>
      </c>
      <c r="C2145" t="inlineStr">
        <is>
          <t>Manufactura / Kids / P. Superiores</t>
        </is>
      </c>
      <c r="D2145" t="n">
        <v>148.40708697</v>
      </c>
      <c r="E2145" t="n">
        <v>3.633488865466802e-05</v>
      </c>
      <c r="F2145" t="n">
        <v>0.9825946412649876</v>
      </c>
      <c r="G2145" t="inlineStr">
        <is>
          <t>C</t>
        </is>
      </c>
      <c r="H2145" t="n">
        <v>5</v>
      </c>
      <c r="I2145" t="n">
        <v>2.053774806</v>
      </c>
      <c r="J2145" t="n">
        <v>10.26887403</v>
      </c>
      <c r="K2145" t="n">
        <v>0.5</v>
      </c>
      <c r="L2145" t="n">
        <v>10</v>
      </c>
      <c r="M2145" t="n">
        <v>4</v>
      </c>
      <c r="N2145" t="n">
        <v>2</v>
      </c>
      <c r="O2145" t="n">
        <v>3</v>
      </c>
      <c r="P2145" t="n">
        <v>6.161324418</v>
      </c>
      <c r="Q2145" t="n">
        <v>0.6</v>
      </c>
      <c r="R2145" t="inlineStr">
        <is>
          <t>Sobrestock crítico</t>
        </is>
      </c>
    </row>
    <row r="2146">
      <c r="A2146" t="inlineStr">
        <is>
          <t>CLAMIDA11TS</t>
        </is>
      </c>
      <c r="B2146" t="inlineStr">
        <is>
          <t>CLASICA ORIGINAL DAMA</t>
        </is>
      </c>
      <c r="C2146" t="inlineStr">
        <is>
          <t>Manufactura / Dama / P. Superiores</t>
        </is>
      </c>
      <c r="D2146" t="n">
        <v>148.2</v>
      </c>
      <c r="E2146" t="n">
        <v>3.628418701938624e-05</v>
      </c>
      <c r="F2146" t="n">
        <v>0.982630925452007</v>
      </c>
      <c r="G2146" t="inlineStr">
        <is>
          <t>C</t>
        </is>
      </c>
      <c r="H2146" t="n">
        <v>0</v>
      </c>
      <c r="I2146" t="n">
        <v>3.923227589</v>
      </c>
      <c r="J2146" t="n">
        <v>0</v>
      </c>
      <c r="K2146" t="n">
        <v>0.4</v>
      </c>
      <c r="L2146" t="n">
        <v>0</v>
      </c>
      <c r="M2146" t="n">
        <v>4</v>
      </c>
      <c r="N2146" t="n">
        <v>1.6</v>
      </c>
      <c r="O2146" t="n">
        <v>0</v>
      </c>
      <c r="P2146" t="n">
        <v>0</v>
      </c>
      <c r="Q2146" t="n">
        <v>0</v>
      </c>
      <c r="R2146" t="inlineStr">
        <is>
          <t>Riesgo bajo stock</t>
        </is>
      </c>
    </row>
    <row r="2147">
      <c r="A2147" t="inlineStr">
        <is>
          <t>SHONTDA33TS</t>
        </is>
      </c>
      <c r="B2147" t="inlineStr">
        <is>
          <t>EXPLORE SHORT DAMA</t>
        </is>
      </c>
      <c r="C2147" t="inlineStr">
        <is>
          <t>Manufactura / Dama / P. Inferiores</t>
        </is>
      </c>
      <c r="D2147" t="n">
        <v>148.10727296</v>
      </c>
      <c r="E2147" t="n">
        <v>3.626148441978359e-05</v>
      </c>
      <c r="F2147" t="n">
        <v>0.9826671869364267</v>
      </c>
      <c r="G2147" t="inlineStr">
        <is>
          <t>C</t>
        </is>
      </c>
      <c r="H2147" t="n">
        <v>22</v>
      </c>
      <c r="I2147" t="n">
        <v>10.22113744</v>
      </c>
      <c r="J2147" t="n">
        <v>224.86502368</v>
      </c>
      <c r="K2147" t="n">
        <v>0.4</v>
      </c>
      <c r="L2147" t="n">
        <v>55</v>
      </c>
      <c r="M2147" t="n">
        <v>4</v>
      </c>
      <c r="N2147" t="n">
        <v>1.6</v>
      </c>
      <c r="O2147" t="n">
        <v>20.4</v>
      </c>
      <c r="P2147" t="n">
        <v>208.511203776</v>
      </c>
      <c r="Q2147" t="n">
        <v>0.9272727272727272</v>
      </c>
      <c r="R2147" t="inlineStr">
        <is>
          <t>Sobrestock crítico</t>
        </is>
      </c>
    </row>
    <row r="2148">
      <c r="A2148" t="inlineStr">
        <is>
          <t>RIOMIDA14TXS</t>
        </is>
      </c>
      <c r="B2148" t="inlineStr">
        <is>
          <t>RIO ORIGINAL DAMA</t>
        </is>
      </c>
      <c r="C2148" t="inlineStr">
        <is>
          <t>Manufactura / Dama / P. Superiores</t>
        </is>
      </c>
      <c r="D2148" t="n">
        <v>148.00825993</v>
      </c>
      <c r="E2148" t="n">
        <v>3.623724280508807e-05</v>
      </c>
      <c r="F2148" t="n">
        <v>0.9827034241792318</v>
      </c>
      <c r="G2148" t="inlineStr">
        <is>
          <t>C</t>
        </is>
      </c>
      <c r="H2148" t="n">
        <v>0</v>
      </c>
      <c r="I2148" t="n">
        <v>5.538832275</v>
      </c>
      <c r="J2148" t="n">
        <v>0</v>
      </c>
      <c r="K2148" t="n">
        <v>0.3</v>
      </c>
      <c r="L2148" t="n">
        <v>0</v>
      </c>
      <c r="M2148" t="n">
        <v>4</v>
      </c>
      <c r="N2148" t="n">
        <v>1.2</v>
      </c>
      <c r="O2148" t="n">
        <v>0</v>
      </c>
      <c r="P2148" t="n">
        <v>0</v>
      </c>
      <c r="Q2148" t="n">
        <v>0</v>
      </c>
      <c r="R2148" t="inlineStr">
        <is>
          <t>Sin rotación</t>
        </is>
      </c>
    </row>
    <row r="2149">
      <c r="A2149" t="inlineStr">
        <is>
          <t>GOOSTKI16T12</t>
        </is>
      </c>
      <c r="B2149" t="inlineStr">
        <is>
          <t>RETRO VZLA KIDS</t>
        </is>
      </c>
      <c r="C2149" t="inlineStr">
        <is>
          <t>Manufactura / Dama / P. Superiores</t>
        </is>
      </c>
      <c r="D2149" t="n">
        <v>147.70663079</v>
      </c>
      <c r="E2149" t="n">
        <v>3.616339416725908e-05</v>
      </c>
      <c r="F2149" t="n">
        <v>0.9827395875733991</v>
      </c>
      <c r="G2149" t="inlineStr">
        <is>
          <t>C</t>
        </is>
      </c>
      <c r="H2149" t="n">
        <v>0</v>
      </c>
      <c r="I2149" t="n">
        <v>10.18</v>
      </c>
      <c r="J2149" t="n">
        <v>0</v>
      </c>
      <c r="K2149" t="n">
        <v>0.4</v>
      </c>
      <c r="L2149" t="n">
        <v>0</v>
      </c>
      <c r="M2149" t="n">
        <v>4</v>
      </c>
      <c r="N2149" t="n">
        <v>1.6</v>
      </c>
      <c r="O2149" t="n">
        <v>0</v>
      </c>
      <c r="P2149" t="n">
        <v>0</v>
      </c>
      <c r="Q2149" t="n">
        <v>0</v>
      </c>
      <c r="R2149" t="inlineStr">
        <is>
          <t>Sin rotación</t>
        </is>
      </c>
    </row>
    <row r="2150">
      <c r="A2150" t="inlineStr">
        <is>
          <t>CLAMEDA16TXL</t>
        </is>
      </c>
      <c r="B2150" t="inlineStr">
        <is>
          <t>CLÁSICA SPORT DAMA</t>
        </is>
      </c>
      <c r="C2150" t="inlineStr">
        <is>
          <t>Manufactura / Dama / P. Superiores</t>
        </is>
      </c>
      <c r="D2150" t="n">
        <v>147.62231964</v>
      </c>
      <c r="E2150" t="n">
        <v>3.614275205164221e-05</v>
      </c>
      <c r="F2150" t="n">
        <v>0.9827757303254507</v>
      </c>
      <c r="G2150" t="inlineStr">
        <is>
          <t>C</t>
        </is>
      </c>
      <c r="H2150" t="n">
        <v>5</v>
      </c>
      <c r="I2150" t="n">
        <v>6.536105769</v>
      </c>
      <c r="J2150" t="n">
        <v>32.680528845</v>
      </c>
      <c r="K2150" t="n">
        <v>0.3</v>
      </c>
      <c r="L2150" t="n">
        <v>16.66666666666667</v>
      </c>
      <c r="M2150" t="n">
        <v>4</v>
      </c>
      <c r="N2150" t="n">
        <v>1.2</v>
      </c>
      <c r="O2150" t="n">
        <v>3.8</v>
      </c>
      <c r="P2150" t="n">
        <v>24.8372019222</v>
      </c>
      <c r="Q2150" t="n">
        <v>0.76</v>
      </c>
      <c r="R2150" t="inlineStr">
        <is>
          <t>Sobrestock crítico</t>
        </is>
      </c>
    </row>
    <row r="2151">
      <c r="A2151" t="inlineStr">
        <is>
          <t>ACDMIDA120TXS</t>
        </is>
      </c>
      <c r="B2151" t="inlineStr">
        <is>
          <t>DANI ACTIVE DAMA</t>
        </is>
      </c>
      <c r="C2151" t="inlineStr">
        <is>
          <t>Manufactura / Dama / P. Superiores</t>
        </is>
      </c>
      <c r="D2151" t="n">
        <v>147.38156821</v>
      </c>
      <c r="E2151" t="n">
        <v>3.608380826006796e-05</v>
      </c>
      <c r="F2151" t="n">
        <v>0.9828118141337108</v>
      </c>
      <c r="G2151" t="inlineStr">
        <is>
          <t>C</t>
        </is>
      </c>
      <c r="H2151" t="n">
        <v>5</v>
      </c>
      <c r="I2151" t="n">
        <v>9.820000000000002</v>
      </c>
      <c r="J2151" t="n">
        <v>49.10000000000001</v>
      </c>
      <c r="K2151" t="n">
        <v>0.5</v>
      </c>
      <c r="L2151" t="n">
        <v>10</v>
      </c>
      <c r="M2151" t="n">
        <v>4</v>
      </c>
      <c r="N2151" t="n">
        <v>2</v>
      </c>
      <c r="O2151" t="n">
        <v>3</v>
      </c>
      <c r="P2151" t="n">
        <v>29.46000000000001</v>
      </c>
      <c r="Q2151" t="n">
        <v>0.6000000000000001</v>
      </c>
      <c r="R2151" t="inlineStr">
        <is>
          <t>Sobrestock crítico</t>
        </is>
      </c>
    </row>
    <row r="2152">
      <c r="A2152" t="inlineStr">
        <is>
          <t>MAADFDA70TL</t>
        </is>
      </c>
      <c r="B2152" t="inlineStr">
        <is>
          <t>MAFE ADVANCE DAMA</t>
        </is>
      </c>
      <c r="C2152" t="inlineStr">
        <is>
          <t>Manufactura / Dama / P. Superiores</t>
        </is>
      </c>
      <c r="D2152" t="n">
        <v>146.92985634</v>
      </c>
      <c r="E2152" t="n">
        <v>3.597321448159322e-05</v>
      </c>
      <c r="F2152" t="n">
        <v>0.9828477873481923</v>
      </c>
      <c r="G2152" t="inlineStr">
        <is>
          <t>C</t>
        </is>
      </c>
      <c r="H2152" t="n">
        <v>4</v>
      </c>
      <c r="I2152" t="n">
        <v>4.98</v>
      </c>
      <c r="J2152" t="n">
        <v>19.92</v>
      </c>
      <c r="K2152" t="n">
        <v>0.3</v>
      </c>
      <c r="L2152" t="n">
        <v>13.33333333333333</v>
      </c>
      <c r="M2152" t="n">
        <v>4</v>
      </c>
      <c r="N2152" t="n">
        <v>1.2</v>
      </c>
      <c r="O2152" t="n">
        <v>2.8</v>
      </c>
      <c r="P2152" t="n">
        <v>13.944</v>
      </c>
      <c r="Q2152" t="n">
        <v>0.7</v>
      </c>
      <c r="R2152" t="inlineStr">
        <is>
          <t>Sobrestock crítico</t>
        </is>
      </c>
    </row>
    <row r="2153">
      <c r="A2153" t="inlineStr">
        <is>
          <t>VIVMIDA16TXL</t>
        </is>
      </c>
      <c r="B2153" t="inlineStr">
        <is>
          <t>VIVI ORIGINAL DAMA</t>
        </is>
      </c>
      <c r="C2153" t="inlineStr">
        <is>
          <t>Manufactura / Dama / P. Superiores</t>
        </is>
      </c>
      <c r="D2153" t="n">
        <v>146.67853755</v>
      </c>
      <c r="E2153" t="n">
        <v>3.591168345610167e-05</v>
      </c>
      <c r="F2153" t="n">
        <v>0.9828836990316484</v>
      </c>
      <c r="G2153" t="inlineStr">
        <is>
          <t>C</t>
        </is>
      </c>
      <c r="H2153" t="n">
        <v>13</v>
      </c>
      <c r="I2153" t="n">
        <v>4.303181706</v>
      </c>
      <c r="J2153" t="n">
        <v>55.94136217800001</v>
      </c>
      <c r="K2153" t="n">
        <v>0.4</v>
      </c>
      <c r="L2153" t="n">
        <v>32.5</v>
      </c>
      <c r="M2153" t="n">
        <v>4</v>
      </c>
      <c r="N2153" t="n">
        <v>1.6</v>
      </c>
      <c r="O2153" t="n">
        <v>11.4</v>
      </c>
      <c r="P2153" t="n">
        <v>49.0562714484</v>
      </c>
      <c r="Q2153" t="n">
        <v>0.8769230769230769</v>
      </c>
      <c r="R2153" t="inlineStr">
        <is>
          <t>Sobrestock crítico</t>
        </is>
      </c>
    </row>
    <row r="2154">
      <c r="A2154" t="inlineStr">
        <is>
          <t>ZOEMIKI01T10</t>
        </is>
      </c>
      <c r="B2154" t="inlineStr">
        <is>
          <t>ZOE ORIGINAL KIDS</t>
        </is>
      </c>
      <c r="C2154" t="inlineStr">
        <is>
          <t>Manufactura / Kids / P. Superiores</t>
        </is>
      </c>
      <c r="D2154" t="n">
        <v>146.62969924</v>
      </c>
      <c r="E2154" t="n">
        <v>3.589972624710201e-05</v>
      </c>
      <c r="F2154" t="n">
        <v>0.9829195987578956</v>
      </c>
      <c r="G2154" t="inlineStr">
        <is>
          <t>C</t>
        </is>
      </c>
      <c r="H2154" t="n">
        <v>16</v>
      </c>
      <c r="I2154" t="n">
        <v>4.12</v>
      </c>
      <c r="J2154" t="n">
        <v>65.92</v>
      </c>
      <c r="K2154" t="n">
        <v>0.6</v>
      </c>
      <c r="L2154" t="n">
        <v>26.66666666666667</v>
      </c>
      <c r="M2154" t="n">
        <v>4</v>
      </c>
      <c r="N2154" t="n">
        <v>2.4</v>
      </c>
      <c r="O2154" t="n">
        <v>13.6</v>
      </c>
      <c r="P2154" t="n">
        <v>56.032</v>
      </c>
      <c r="Q2154" t="n">
        <v>0.85</v>
      </c>
      <c r="R2154" t="inlineStr">
        <is>
          <t>Sobrestock crítico</t>
        </is>
      </c>
    </row>
    <row r="2155">
      <c r="A2155" t="inlineStr">
        <is>
          <t>CLAMIKI12T2</t>
        </is>
      </c>
      <c r="B2155" t="inlineStr">
        <is>
          <t>CLASICA ORIGINAL KIDS</t>
        </is>
      </c>
      <c r="C2155" t="inlineStr">
        <is>
          <t>Manufactura / Kids / P. Superiores</t>
        </is>
      </c>
      <c r="D2155" t="n">
        <v>146.2184012</v>
      </c>
      <c r="E2155" t="n">
        <v>3.579902709052936e-05</v>
      </c>
      <c r="F2155" t="n">
        <v>0.9829553977849861</v>
      </c>
      <c r="G2155" t="inlineStr">
        <is>
          <t>C</t>
        </is>
      </c>
      <c r="H2155" t="n">
        <v>6</v>
      </c>
      <c r="I2155" t="n">
        <v>2.053774806</v>
      </c>
      <c r="J2155" t="n">
        <v>12.322648836</v>
      </c>
      <c r="K2155" t="n">
        <v>0.4</v>
      </c>
      <c r="L2155" t="n">
        <v>15</v>
      </c>
      <c r="M2155" t="n">
        <v>4</v>
      </c>
      <c r="N2155" t="n">
        <v>1.6</v>
      </c>
      <c r="O2155" t="n">
        <v>4.4</v>
      </c>
      <c r="P2155" t="n">
        <v>9.0366091464</v>
      </c>
      <c r="Q2155" t="n">
        <v>0.7333333333333334</v>
      </c>
      <c r="R2155" t="inlineStr">
        <is>
          <t>Sobrestock crítico</t>
        </is>
      </c>
    </row>
    <row r="2156">
      <c r="A2156" t="inlineStr">
        <is>
          <t>ANMSUDA119TM</t>
        </is>
      </c>
      <c r="B2156" t="inlineStr">
        <is>
          <t>ANDRE MOTION DAMA</t>
        </is>
      </c>
      <c r="C2156" t="inlineStr">
        <is>
          <t>Manufactura / Dama / P. Superiores</t>
        </is>
      </c>
      <c r="D2156" t="n">
        <v>145.46357377</v>
      </c>
      <c r="E2156" t="n">
        <v>3.561422075019547e-05</v>
      </c>
      <c r="F2156" t="n">
        <v>0.9829910120057364</v>
      </c>
      <c r="G2156" t="inlineStr">
        <is>
          <t>C</t>
        </is>
      </c>
      <c r="H2156" t="n">
        <v>1</v>
      </c>
      <c r="I2156" t="n">
        <v>10.6</v>
      </c>
      <c r="J2156" t="n">
        <v>10.6</v>
      </c>
      <c r="K2156" t="n">
        <v>0.4</v>
      </c>
      <c r="L2156" t="n">
        <v>2.5</v>
      </c>
      <c r="M2156" t="n">
        <v>4</v>
      </c>
      <c r="N2156" t="n">
        <v>1.6</v>
      </c>
      <c r="O2156" t="n">
        <v>0</v>
      </c>
      <c r="P2156" t="n">
        <v>0</v>
      </c>
      <c r="Q2156" t="n">
        <v>0</v>
      </c>
      <c r="R2156" t="inlineStr">
        <is>
          <t>OK</t>
        </is>
      </c>
    </row>
    <row r="2157">
      <c r="A2157" t="inlineStr">
        <is>
          <t>ANKDA16TU</t>
        </is>
      </c>
      <c r="B2157" t="inlineStr">
        <is>
          <t>ANKLE SOCKS DAMA</t>
        </is>
      </c>
      <c r="C2157" t="inlineStr">
        <is>
          <t>Equipamiento / Accesorios</t>
        </is>
      </c>
      <c r="D2157" t="n">
        <v>145.27531369</v>
      </c>
      <c r="E2157" t="n">
        <v>3.556812855079597e-05</v>
      </c>
      <c r="F2157" t="n">
        <v>0.9830265801342871</v>
      </c>
      <c r="G2157" t="inlineStr">
        <is>
          <t>C</t>
        </is>
      </c>
      <c r="H2157" t="n">
        <v>5</v>
      </c>
      <c r="I2157" t="n">
        <v>2.67</v>
      </c>
      <c r="J2157" t="n">
        <v>13.35</v>
      </c>
      <c r="K2157" t="n">
        <v>1.1</v>
      </c>
      <c r="L2157" t="n">
        <v>4.545454545454545</v>
      </c>
      <c r="M2157" t="n">
        <v>4</v>
      </c>
      <c r="N2157" t="n">
        <v>4.4</v>
      </c>
      <c r="O2157" t="n">
        <v>0.5999999999999996</v>
      </c>
      <c r="P2157" t="n">
        <v>1.601999999999999</v>
      </c>
      <c r="Q2157" t="n">
        <v>0.1199999999999999</v>
      </c>
      <c r="R2157" t="inlineStr">
        <is>
          <t>Sobrestock</t>
        </is>
      </c>
    </row>
    <row r="2158">
      <c r="A2158" t="inlineStr">
        <is>
          <t>ACDMIDA121TXL</t>
        </is>
      </c>
      <c r="B2158" t="inlineStr">
        <is>
          <t>DANI ACTIVE DAMA</t>
        </is>
      </c>
      <c r="C2158" t="inlineStr">
        <is>
          <t>Manufactura / Dama / P. Superiores</t>
        </is>
      </c>
      <c r="D2158" t="n">
        <v>145.22388115</v>
      </c>
      <c r="E2158" t="n">
        <v>3.55555361897957e-05</v>
      </c>
      <c r="F2158" t="n">
        <v>0.983062135670477</v>
      </c>
      <c r="G2158" t="inlineStr">
        <is>
          <t>C</t>
        </is>
      </c>
      <c r="H2158" t="n">
        <v>5</v>
      </c>
      <c r="I2158" t="n">
        <v>9.82</v>
      </c>
      <c r="J2158" t="n">
        <v>49.1</v>
      </c>
      <c r="K2158" t="n">
        <v>0.3</v>
      </c>
      <c r="L2158" t="n">
        <v>16.66666666666667</v>
      </c>
      <c r="M2158" t="n">
        <v>4</v>
      </c>
      <c r="N2158" t="n">
        <v>1.2</v>
      </c>
      <c r="O2158" t="n">
        <v>3.8</v>
      </c>
      <c r="P2158" t="n">
        <v>37.316</v>
      </c>
      <c r="Q2158" t="n">
        <v>0.76</v>
      </c>
      <c r="R2158" t="inlineStr">
        <is>
          <t>Sobrestock crítico</t>
        </is>
      </c>
    </row>
    <row r="2159">
      <c r="A2159" t="inlineStr">
        <is>
          <t>ZOEMIKI16T4</t>
        </is>
      </c>
      <c r="B2159" t="inlineStr">
        <is>
          <t>ZOE ORIGINAL KIDS</t>
        </is>
      </c>
      <c r="C2159" t="inlineStr">
        <is>
          <t>Manufactura / Kids / P. Superiores</t>
        </is>
      </c>
      <c r="D2159" t="n">
        <v>144.83327522</v>
      </c>
      <c r="E2159" t="n">
        <v>3.545990313571336e-05</v>
      </c>
      <c r="F2159" t="n">
        <v>0.9830975955736126</v>
      </c>
      <c r="G2159" t="inlineStr">
        <is>
          <t>C</t>
        </is>
      </c>
      <c r="H2159" t="n">
        <v>15</v>
      </c>
      <c r="I2159" t="n">
        <v>4.12</v>
      </c>
      <c r="J2159" t="n">
        <v>61.8</v>
      </c>
      <c r="K2159" t="n">
        <v>0.4</v>
      </c>
      <c r="L2159" t="n">
        <v>37.5</v>
      </c>
      <c r="M2159" t="n">
        <v>4</v>
      </c>
      <c r="N2159" t="n">
        <v>1.6</v>
      </c>
      <c r="O2159" t="n">
        <v>13.4</v>
      </c>
      <c r="P2159" t="n">
        <v>55.20800000000001</v>
      </c>
      <c r="Q2159" t="n">
        <v>0.8933333333333333</v>
      </c>
      <c r="R2159" t="inlineStr">
        <is>
          <t>Sobrestock crítico</t>
        </is>
      </c>
    </row>
    <row r="2160">
      <c r="A2160" t="inlineStr">
        <is>
          <t>RIOMIDA53TXS</t>
        </is>
      </c>
      <c r="B2160" t="inlineStr">
        <is>
          <t>RIO ORIGINAL DAMA</t>
        </is>
      </c>
      <c r="C2160" t="inlineStr">
        <is>
          <t>Manufactura / Dama / P. Superiores</t>
        </is>
      </c>
      <c r="D2160" t="n">
        <v>144.58012877</v>
      </c>
      <c r="E2160" t="n">
        <v>3.539792463952514e-05</v>
      </c>
      <c r="F2160" t="n">
        <v>0.9831329934982522</v>
      </c>
      <c r="G2160" t="inlineStr">
        <is>
          <t>C</t>
        </is>
      </c>
      <c r="H2160" t="n">
        <v>8</v>
      </c>
      <c r="I2160" t="n">
        <v>5.538832275</v>
      </c>
      <c r="J2160" t="n">
        <v>44.3106582</v>
      </c>
      <c r="K2160" t="n">
        <v>0.3</v>
      </c>
      <c r="L2160" t="n">
        <v>26.66666666666667</v>
      </c>
      <c r="M2160" t="n">
        <v>4</v>
      </c>
      <c r="N2160" t="n">
        <v>1.2</v>
      </c>
      <c r="O2160" t="n">
        <v>6.8</v>
      </c>
      <c r="P2160" t="n">
        <v>37.66405947</v>
      </c>
      <c r="Q2160" t="n">
        <v>0.85</v>
      </c>
      <c r="R2160" t="inlineStr">
        <is>
          <t>Sin rotación</t>
        </is>
      </c>
    </row>
    <row r="2161">
      <c r="A2161" t="inlineStr">
        <is>
          <t>MAFMIDA48TL</t>
        </is>
      </c>
      <c r="B2161" t="inlineStr">
        <is>
          <t>MAFE ORIGINAL DAMA</t>
        </is>
      </c>
      <c r="C2161" t="inlineStr">
        <is>
          <t>Manufactura / Dama / P. Superiores</t>
        </is>
      </c>
      <c r="D2161" t="n">
        <v>143.09026241</v>
      </c>
      <c r="E2161" t="n">
        <v>3.503315682818821e-05</v>
      </c>
      <c r="F2161" t="n">
        <v>0.9831680266550803</v>
      </c>
      <c r="G2161" t="inlineStr">
        <is>
          <t>C</t>
        </is>
      </c>
      <c r="H2161" t="n">
        <v>2</v>
      </c>
      <c r="I2161" t="n">
        <v>4.54817671</v>
      </c>
      <c r="J2161" t="n">
        <v>9.09635342</v>
      </c>
      <c r="K2161" t="n">
        <v>0.5</v>
      </c>
      <c r="L2161" t="n">
        <v>4</v>
      </c>
      <c r="M2161" t="n">
        <v>4</v>
      </c>
      <c r="N2161" t="n">
        <v>2</v>
      </c>
      <c r="O2161" t="n">
        <v>0</v>
      </c>
      <c r="P2161" t="n">
        <v>0</v>
      </c>
      <c r="Q2161" t="n">
        <v>0</v>
      </c>
      <c r="R2161" t="inlineStr">
        <is>
          <t>Sin rotación</t>
        </is>
      </c>
    </row>
    <row r="2162">
      <c r="A2162" t="inlineStr">
        <is>
          <t>CLASTCA16TXL</t>
        </is>
      </c>
      <c r="B2162" t="inlineStr">
        <is>
          <t>CLASICA ALGODON STRETCH CAB</t>
        </is>
      </c>
      <c r="C2162" t="inlineStr">
        <is>
          <t>Manufactura / Caballero / P. Superiores</t>
        </is>
      </c>
      <c r="D2162" t="n">
        <v>143.035252</v>
      </c>
      <c r="E2162" t="n">
        <v>3.50196884880772e-05</v>
      </c>
      <c r="F2162" t="n">
        <v>0.9833081054090327</v>
      </c>
      <c r="G2162" t="inlineStr">
        <is>
          <t>C</t>
        </is>
      </c>
      <c r="H2162" t="n">
        <v>0</v>
      </c>
      <c r="I2162" t="n">
        <v>9.27</v>
      </c>
      <c r="J2162" t="n">
        <v>0</v>
      </c>
      <c r="K2162" t="n">
        <v>0.4</v>
      </c>
      <c r="L2162" t="n">
        <v>0</v>
      </c>
      <c r="M2162" t="n">
        <v>4</v>
      </c>
      <c r="N2162" t="n">
        <v>1.6</v>
      </c>
      <c r="O2162" t="n">
        <v>0</v>
      </c>
      <c r="P2162" t="n">
        <v>0</v>
      </c>
      <c r="Q2162" t="n">
        <v>0</v>
      </c>
      <c r="R2162" t="inlineStr">
        <is>
          <t>Sin rotación</t>
        </is>
      </c>
    </row>
    <row r="2163">
      <c r="A2163" t="inlineStr">
        <is>
          <t>CLASTDA16TL</t>
        </is>
      </c>
      <c r="B2163" t="inlineStr">
        <is>
          <t>CLASICA ALGODON STRETCH DAMA</t>
        </is>
      </c>
      <c r="C2163" t="inlineStr">
        <is>
          <t>Manufactura / Dama / P. Superiores</t>
        </is>
      </c>
      <c r="D2163" t="n">
        <v>143.035252</v>
      </c>
      <c r="E2163" t="n">
        <v>3.50196884880772e-05</v>
      </c>
      <c r="F2163" t="n">
        <v>0.9833081054090327</v>
      </c>
      <c r="G2163" t="inlineStr">
        <is>
          <t>C</t>
        </is>
      </c>
      <c r="H2163" t="n">
        <v>0</v>
      </c>
      <c r="I2163" t="n">
        <v>9.27</v>
      </c>
      <c r="J2163" t="n">
        <v>0</v>
      </c>
      <c r="K2163" t="n">
        <v>0.4</v>
      </c>
      <c r="L2163" t="n">
        <v>0</v>
      </c>
      <c r="M2163" t="n">
        <v>4</v>
      </c>
      <c r="N2163" t="n">
        <v>1.6</v>
      </c>
      <c r="O2163" t="n">
        <v>0</v>
      </c>
      <c r="P2163" t="n">
        <v>0</v>
      </c>
      <c r="Q2163" t="n">
        <v>0</v>
      </c>
      <c r="R2163" t="inlineStr">
        <is>
          <t>Sin rotación</t>
        </is>
      </c>
    </row>
    <row r="2164">
      <c r="A2164" t="inlineStr">
        <is>
          <t>CLASTCA16TS</t>
        </is>
      </c>
      <c r="B2164" t="inlineStr">
        <is>
          <t>CLASICA ALGODON STRETCH CAB</t>
        </is>
      </c>
      <c r="C2164" t="inlineStr">
        <is>
          <t>Manufactura / Caballero / P. Superiores</t>
        </is>
      </c>
      <c r="D2164" t="n">
        <v>143.035252</v>
      </c>
      <c r="E2164" t="n">
        <v>3.50196884880772e-05</v>
      </c>
      <c r="F2164" t="n">
        <v>0.9833081054090327</v>
      </c>
      <c r="G2164" t="inlineStr">
        <is>
          <t>C</t>
        </is>
      </c>
      <c r="H2164" t="n">
        <v>0</v>
      </c>
      <c r="I2164" t="n">
        <v>9.27</v>
      </c>
      <c r="J2164" t="n">
        <v>0</v>
      </c>
      <c r="K2164" t="n">
        <v>0.6</v>
      </c>
      <c r="L2164" t="n">
        <v>0</v>
      </c>
      <c r="M2164" t="n">
        <v>4</v>
      </c>
      <c r="N2164" t="n">
        <v>2.4</v>
      </c>
      <c r="O2164" t="n">
        <v>0</v>
      </c>
      <c r="P2164" t="n">
        <v>0</v>
      </c>
      <c r="Q2164" t="n">
        <v>0</v>
      </c>
      <c r="R2164" t="inlineStr">
        <is>
          <t>Sin rotación</t>
        </is>
      </c>
    </row>
    <row r="2165">
      <c r="A2165" t="inlineStr">
        <is>
          <t>CLASTCA16TM</t>
        </is>
      </c>
      <c r="B2165" t="inlineStr">
        <is>
          <t>CLASICA ALGODON STRETCH CAB</t>
        </is>
      </c>
      <c r="C2165" t="inlineStr">
        <is>
          <t>Manufactura / Caballero / P. Superiores</t>
        </is>
      </c>
      <c r="D2165" t="n">
        <v>143.035252</v>
      </c>
      <c r="E2165" t="n">
        <v>3.50196884880772e-05</v>
      </c>
      <c r="F2165" t="n">
        <v>0.9833081054090327</v>
      </c>
      <c r="G2165" t="inlineStr">
        <is>
          <t>C</t>
        </is>
      </c>
      <c r="H2165" t="n">
        <v>0</v>
      </c>
      <c r="I2165" t="n">
        <v>9.27</v>
      </c>
      <c r="J2165" t="n">
        <v>0</v>
      </c>
      <c r="K2165" t="n">
        <v>0.4</v>
      </c>
      <c r="L2165" t="n">
        <v>0</v>
      </c>
      <c r="M2165" t="n">
        <v>4</v>
      </c>
      <c r="N2165" t="n">
        <v>1.6</v>
      </c>
      <c r="O2165" t="n">
        <v>0</v>
      </c>
      <c r="P2165" t="n">
        <v>0</v>
      </c>
      <c r="Q2165" t="n">
        <v>0</v>
      </c>
      <c r="R2165" t="inlineStr">
        <is>
          <t>Sin rotación</t>
        </is>
      </c>
    </row>
    <row r="2166">
      <c r="A2166" t="inlineStr">
        <is>
          <t>SHOUNKI23T14</t>
        </is>
      </c>
      <c r="B2166" t="inlineStr">
        <is>
          <t>SHORT PLAYA KIDS</t>
        </is>
      </c>
      <c r="C2166" t="inlineStr">
        <is>
          <t>Manufactura / Kids / P. Inferiores</t>
        </is>
      </c>
      <c r="D2166" t="n">
        <v>142.58515185</v>
      </c>
      <c r="E2166" t="n">
        <v>3.490948931115376e-05</v>
      </c>
      <c r="F2166" t="n">
        <v>0.9833430148983439</v>
      </c>
      <c r="G2166" t="inlineStr">
        <is>
          <t>C</t>
        </is>
      </c>
      <c r="H2166" t="n">
        <v>0</v>
      </c>
      <c r="I2166" t="n">
        <v>6.09</v>
      </c>
      <c r="J2166" t="n">
        <v>0</v>
      </c>
      <c r="K2166" t="n">
        <v>0.4</v>
      </c>
      <c r="L2166" t="n">
        <v>0</v>
      </c>
      <c r="M2166" t="n">
        <v>4</v>
      </c>
      <c r="N2166" t="n">
        <v>1.6</v>
      </c>
      <c r="O2166" t="n">
        <v>0</v>
      </c>
      <c r="P2166" t="n">
        <v>0</v>
      </c>
      <c r="Q2166" t="n">
        <v>0</v>
      </c>
      <c r="R2166" t="inlineStr">
        <is>
          <t>Riesgo bajo stock</t>
        </is>
      </c>
    </row>
    <row r="2167">
      <c r="A2167" t="inlineStr">
        <is>
          <t>RIOMIDA52TXS</t>
        </is>
      </c>
      <c r="B2167" t="inlineStr">
        <is>
          <t>RIO ORIGINAL DAMA</t>
        </is>
      </c>
      <c r="C2167" t="inlineStr">
        <is>
          <t>Manufactura / Dama / P. Superiores</t>
        </is>
      </c>
      <c r="D2167" t="n">
        <v>142.44141788</v>
      </c>
      <c r="E2167" t="n">
        <v>3.487429855374135e-05</v>
      </c>
      <c r="F2167" t="n">
        <v>0.9833778891968975</v>
      </c>
      <c r="G2167" t="inlineStr">
        <is>
          <t>C</t>
        </is>
      </c>
      <c r="H2167" t="n">
        <v>0</v>
      </c>
      <c r="I2167" t="n">
        <v>5.538832275</v>
      </c>
      <c r="J2167" t="n">
        <v>0</v>
      </c>
      <c r="K2167" t="n">
        <v>0.3</v>
      </c>
      <c r="L2167" t="n">
        <v>0</v>
      </c>
      <c r="M2167" t="n">
        <v>4</v>
      </c>
      <c r="N2167" t="n">
        <v>1.2</v>
      </c>
      <c r="O2167" t="n">
        <v>0</v>
      </c>
      <c r="P2167" t="n">
        <v>0</v>
      </c>
      <c r="Q2167" t="n">
        <v>0</v>
      </c>
      <c r="R2167" t="inlineStr">
        <is>
          <t>Sin rotación</t>
        </is>
      </c>
    </row>
    <row r="2168">
      <c r="A2168" t="inlineStr">
        <is>
          <t>RIOMIDA05TXS</t>
        </is>
      </c>
      <c r="B2168" t="inlineStr">
        <is>
          <t>RIO ORIGINAL DAMA</t>
        </is>
      </c>
      <c r="C2168" t="inlineStr">
        <is>
          <t>Manufactura / Dama / P. Superiores</t>
        </is>
      </c>
      <c r="D2168" t="n">
        <v>142.42644539</v>
      </c>
      <c r="E2168" t="n">
        <v>3.487063280052067e-05</v>
      </c>
      <c r="F2168" t="n">
        <v>0.9834127598296981</v>
      </c>
      <c r="G2168" t="inlineStr">
        <is>
          <t>C</t>
        </is>
      </c>
      <c r="H2168" t="n">
        <v>0</v>
      </c>
      <c r="I2168" t="n">
        <v>5.538832275</v>
      </c>
      <c r="J2168" t="n">
        <v>0</v>
      </c>
      <c r="K2168" t="n">
        <v>0.3</v>
      </c>
      <c r="L2168" t="n">
        <v>0</v>
      </c>
      <c r="M2168" t="n">
        <v>4</v>
      </c>
      <c r="N2168" t="n">
        <v>1.2</v>
      </c>
      <c r="O2168" t="n">
        <v>0</v>
      </c>
      <c r="P2168" t="n">
        <v>0</v>
      </c>
      <c r="Q2168" t="n">
        <v>0</v>
      </c>
      <c r="R2168" t="inlineStr">
        <is>
          <t>Sin rotación</t>
        </is>
      </c>
    </row>
    <row r="2169">
      <c r="A2169" t="inlineStr">
        <is>
          <t>CLAMICA01TS</t>
        </is>
      </c>
      <c r="B2169" t="inlineStr">
        <is>
          <t>CLASICA ORIGINAL CAB</t>
        </is>
      </c>
      <c r="C2169" t="inlineStr">
        <is>
          <t>Manufactura / Caballero / P. Superiores</t>
        </is>
      </c>
      <c r="D2169" t="n">
        <v>142.38305459</v>
      </c>
      <c r="E2169" t="n">
        <v>3.486000931939975e-05</v>
      </c>
      <c r="F2169" t="n">
        <v>0.9834476198390174</v>
      </c>
      <c r="G2169" t="inlineStr">
        <is>
          <t>C</t>
        </is>
      </c>
      <c r="H2169" t="n">
        <v>9</v>
      </c>
      <c r="I2169" t="n">
        <v>4.598442536</v>
      </c>
      <c r="J2169" t="n">
        <v>41.385982824</v>
      </c>
      <c r="K2169" t="n">
        <v>1.6</v>
      </c>
      <c r="L2169" t="n">
        <v>5.625</v>
      </c>
      <c r="M2169" t="n">
        <v>4</v>
      </c>
      <c r="N2169" t="n">
        <v>6.4</v>
      </c>
      <c r="O2169" t="n">
        <v>2.6</v>
      </c>
      <c r="P2169" t="n">
        <v>11.9559505936</v>
      </c>
      <c r="Q2169" t="n">
        <v>0.2888888888888889</v>
      </c>
      <c r="R2169" t="inlineStr">
        <is>
          <t>Sobrestock</t>
        </is>
      </c>
    </row>
    <row r="2170">
      <c r="A2170" t="inlineStr">
        <is>
          <t>SABMEDA13TS</t>
        </is>
      </c>
      <c r="B2170" t="inlineStr">
        <is>
          <t>SABRI SPORT DAMA</t>
        </is>
      </c>
      <c r="C2170" t="inlineStr">
        <is>
          <t>Manufactura / Dama / P. Superiores</t>
        </is>
      </c>
      <c r="D2170" t="n">
        <v>142.38181634</v>
      </c>
      <c r="E2170" t="n">
        <v>3.485970615546873e-05</v>
      </c>
      <c r="F2170" t="n">
        <v>0.983482479545173</v>
      </c>
      <c r="G2170" t="inlineStr">
        <is>
          <t>C</t>
        </is>
      </c>
      <c r="H2170" t="n">
        <v>8</v>
      </c>
      <c r="I2170" t="n">
        <v>4.51</v>
      </c>
      <c r="J2170" t="n">
        <v>36.08</v>
      </c>
      <c r="K2170" t="n">
        <v>0.7</v>
      </c>
      <c r="L2170" t="n">
        <v>11.42857142857143</v>
      </c>
      <c r="M2170" t="n">
        <v>4</v>
      </c>
      <c r="N2170" t="n">
        <v>2.8</v>
      </c>
      <c r="O2170" t="n">
        <v>5.2</v>
      </c>
      <c r="P2170" t="n">
        <v>23.452</v>
      </c>
      <c r="Q2170" t="n">
        <v>0.65</v>
      </c>
      <c r="R2170" t="inlineStr">
        <is>
          <t>Sin rotación</t>
        </is>
      </c>
    </row>
    <row r="2171">
      <c r="A2171" t="inlineStr">
        <is>
          <t>SMLBLICA16TM</t>
        </is>
      </c>
      <c r="B2171" t="inlineStr">
        <is>
          <t>SPOTS MANGA LARGA CAB</t>
        </is>
      </c>
      <c r="C2171" t="inlineStr">
        <is>
          <t>Manufactura / Caballero / P. Superiores</t>
        </is>
      </c>
      <c r="D2171" t="n">
        <v>142.23</v>
      </c>
      <c r="E2171" t="n">
        <v>3.48225365706296e-05</v>
      </c>
      <c r="F2171" t="n">
        <v>0.9835173020817436</v>
      </c>
      <c r="G2171" t="inlineStr">
        <is>
          <t>C</t>
        </is>
      </c>
      <c r="H2171" t="n">
        <v>16</v>
      </c>
      <c r="I2171" t="n">
        <v>12.89</v>
      </c>
      <c r="J2171" t="n">
        <v>206.24</v>
      </c>
      <c r="K2171" t="n">
        <v>0.3</v>
      </c>
      <c r="L2171" t="n">
        <v>53.33333333333334</v>
      </c>
      <c r="M2171" t="n">
        <v>4</v>
      </c>
      <c r="N2171" t="n">
        <v>1.2</v>
      </c>
      <c r="O2171" t="n">
        <v>14.8</v>
      </c>
      <c r="P2171" t="n">
        <v>190.772</v>
      </c>
      <c r="Q2171" t="n">
        <v>0.925</v>
      </c>
      <c r="R2171" t="inlineStr">
        <is>
          <t>Sobrestock crítico</t>
        </is>
      </c>
    </row>
    <row r="2172">
      <c r="A2172" t="inlineStr">
        <is>
          <t>RIOMICA24TXL</t>
        </is>
      </c>
      <c r="B2172" t="inlineStr">
        <is>
          <t>RIO ORIGINAL CAB</t>
        </is>
      </c>
      <c r="C2172" t="inlineStr">
        <is>
          <t>Manufactura / Caballero / P. Superiores</t>
        </is>
      </c>
      <c r="D2172" t="n">
        <v>141.76080094</v>
      </c>
      <c r="E2172" t="n">
        <v>3.470766135846792e-05</v>
      </c>
      <c r="F2172" t="n">
        <v>0.9835520097431021</v>
      </c>
      <c r="G2172" t="inlineStr">
        <is>
          <t>C</t>
        </is>
      </c>
      <c r="H2172" t="n">
        <v>0</v>
      </c>
      <c r="I2172" t="n">
        <v>5.939350288</v>
      </c>
      <c r="J2172" t="n">
        <v>0</v>
      </c>
      <c r="K2172" t="n">
        <v>0.3</v>
      </c>
      <c r="L2172" t="n">
        <v>0</v>
      </c>
      <c r="M2172" t="n">
        <v>4</v>
      </c>
      <c r="N2172" t="n">
        <v>1.2</v>
      </c>
      <c r="O2172" t="n">
        <v>0</v>
      </c>
      <c r="P2172" t="n">
        <v>0</v>
      </c>
      <c r="Q2172" t="n">
        <v>0</v>
      </c>
      <c r="R2172" t="inlineStr">
        <is>
          <t>Sin rotación</t>
        </is>
      </c>
    </row>
    <row r="2173">
      <c r="A2173" t="inlineStr">
        <is>
          <t>CGCSKI16T2</t>
        </is>
      </c>
      <c r="B2173" t="inlineStr">
        <is>
          <t>CLASICA GC SUBLIMADO KIDS</t>
        </is>
      </c>
      <c r="C2173" t="inlineStr">
        <is>
          <t>Manufactura / Kids / P. Superiores</t>
        </is>
      </c>
      <c r="D2173" t="n">
        <v>141.3392674</v>
      </c>
      <c r="E2173" t="n">
        <v>3.4604456218115e-05</v>
      </c>
      <c r="F2173" t="n">
        <v>0.9835866141993201</v>
      </c>
      <c r="G2173" t="inlineStr">
        <is>
          <t>C</t>
        </is>
      </c>
      <c r="H2173" t="n">
        <v>0</v>
      </c>
      <c r="I2173" t="n">
        <v>0</v>
      </c>
      <c r="J2173" t="n">
        <v>0</v>
      </c>
      <c r="K2173" t="n">
        <v>0.3</v>
      </c>
      <c r="L2173" t="n">
        <v>0</v>
      </c>
      <c r="M2173" t="n">
        <v>4</v>
      </c>
      <c r="N2173" t="n">
        <v>1.2</v>
      </c>
      <c r="O2173" t="n">
        <v>0</v>
      </c>
      <c r="P2173" t="n">
        <v>0</v>
      </c>
      <c r="Q2173" t="n">
        <v>0</v>
      </c>
      <c r="R2173" t="inlineStr">
        <is>
          <t>Riesgo bajo stock</t>
        </is>
      </c>
    </row>
    <row r="2174">
      <c r="A2174" t="inlineStr">
        <is>
          <t>CLAMEKI43T10</t>
        </is>
      </c>
      <c r="B2174" t="inlineStr">
        <is>
          <t>CLASICA SPORT KIDS</t>
        </is>
      </c>
      <c r="C2174" t="inlineStr">
        <is>
          <t>Manufactura / Kids / P. Superiores</t>
        </is>
      </c>
      <c r="D2174" t="n">
        <v>141.18912757</v>
      </c>
      <c r="E2174" t="n">
        <v>3.456769709752944e-05</v>
      </c>
      <c r="F2174" t="n">
        <v>0.9836211818964177</v>
      </c>
      <c r="G2174" t="inlineStr">
        <is>
          <t>C</t>
        </is>
      </c>
      <c r="H2174" t="n">
        <v>6</v>
      </c>
      <c r="I2174" t="n">
        <v>3.97</v>
      </c>
      <c r="J2174" t="n">
        <v>23.82</v>
      </c>
      <c r="K2174" t="n">
        <v>0.5</v>
      </c>
      <c r="L2174" t="n">
        <v>12</v>
      </c>
      <c r="M2174" t="n">
        <v>4</v>
      </c>
      <c r="N2174" t="n">
        <v>2</v>
      </c>
      <c r="O2174" t="n">
        <v>4</v>
      </c>
      <c r="P2174" t="n">
        <v>15.88</v>
      </c>
      <c r="Q2174" t="n">
        <v>0.6666666666666667</v>
      </c>
      <c r="R2174" t="inlineStr">
        <is>
          <t>Sobrestock crítico</t>
        </is>
      </c>
    </row>
    <row r="2175">
      <c r="A2175" t="inlineStr">
        <is>
          <t>DANMIKI48T10</t>
        </is>
      </c>
      <c r="B2175" t="inlineStr">
        <is>
          <t>DANI ORIGINAL KIDS</t>
        </is>
      </c>
      <c r="C2175" t="inlineStr">
        <is>
          <t>Manufactura / Kids / P. Superiores</t>
        </is>
      </c>
      <c r="D2175" t="n">
        <v>141.03693685</v>
      </c>
      <c r="E2175" t="n">
        <v>3.453043585227239e-05</v>
      </c>
      <c r="F2175" t="n">
        <v>0.9836557123322699</v>
      </c>
      <c r="G2175" t="inlineStr">
        <is>
          <t>C</t>
        </is>
      </c>
      <c r="H2175" t="n">
        <v>0</v>
      </c>
      <c r="I2175" t="n">
        <v>3.549999999999999</v>
      </c>
      <c r="J2175" t="n">
        <v>0</v>
      </c>
      <c r="K2175" t="n">
        <v>0.6</v>
      </c>
      <c r="L2175" t="n">
        <v>0</v>
      </c>
      <c r="M2175" t="n">
        <v>4</v>
      </c>
      <c r="N2175" t="n">
        <v>2.4</v>
      </c>
      <c r="O2175" t="n">
        <v>0</v>
      </c>
      <c r="P2175" t="n">
        <v>0</v>
      </c>
      <c r="Q2175" t="n">
        <v>0</v>
      </c>
      <c r="R2175" t="inlineStr">
        <is>
          <t>Riesgo bajo stock</t>
        </is>
      </c>
    </row>
    <row r="2176">
      <c r="A2176" t="inlineStr">
        <is>
          <t>CLAMIKI66T10</t>
        </is>
      </c>
      <c r="B2176" t="inlineStr">
        <is>
          <t>CLASICA ORIGINAL KIDS</t>
        </is>
      </c>
      <c r="C2176" t="inlineStr">
        <is>
          <t>Manufactura / Kids / P. Superiores</t>
        </is>
      </c>
      <c r="D2176" t="n">
        <v>140.97044157</v>
      </c>
      <c r="E2176" t="n">
        <v>3.451415564191188e-05</v>
      </c>
      <c r="F2176" t="n">
        <v>0.9836902264879118</v>
      </c>
      <c r="G2176" t="inlineStr">
        <is>
          <t>C</t>
        </is>
      </c>
      <c r="H2176" t="n">
        <v>31</v>
      </c>
      <c r="I2176" t="n">
        <v>2.053774806</v>
      </c>
      <c r="J2176" t="n">
        <v>63.667018986</v>
      </c>
      <c r="K2176" t="n">
        <v>0.5</v>
      </c>
      <c r="L2176" t="n">
        <v>62</v>
      </c>
      <c r="M2176" t="n">
        <v>4</v>
      </c>
      <c r="N2176" t="n">
        <v>2</v>
      </c>
      <c r="O2176" t="n">
        <v>29</v>
      </c>
      <c r="P2176" t="n">
        <v>59.559469374</v>
      </c>
      <c r="Q2176" t="n">
        <v>0.9354838709677419</v>
      </c>
      <c r="R2176" t="inlineStr">
        <is>
          <t>Sobrestock crítico</t>
        </is>
      </c>
    </row>
    <row r="2177">
      <c r="A2177" t="inlineStr">
        <is>
          <t>OVEFTGE31TL</t>
        </is>
      </c>
      <c r="B2177" t="inlineStr">
        <is>
          <t>UNIHOODIE</t>
        </is>
      </c>
      <c r="C2177" t="inlineStr">
        <is>
          <t>Manufactura / General</t>
        </is>
      </c>
      <c r="D2177" t="n">
        <v>140.82594069</v>
      </c>
      <c r="E2177" t="n">
        <v>3.447877711995247e-05</v>
      </c>
      <c r="F2177" t="n">
        <v>0.9837247052650319</v>
      </c>
      <c r="G2177" t="inlineStr">
        <is>
          <t>C</t>
        </is>
      </c>
      <c r="H2177" t="n">
        <v>2</v>
      </c>
      <c r="I2177" t="n">
        <v>20.27</v>
      </c>
      <c r="J2177" t="n">
        <v>40.54</v>
      </c>
      <c r="K2177" t="n">
        <v>0.4</v>
      </c>
      <c r="L2177" t="n">
        <v>5</v>
      </c>
      <c r="M2177" t="n">
        <v>4</v>
      </c>
      <c r="N2177" t="n">
        <v>1.6</v>
      </c>
      <c r="O2177" t="n">
        <v>0.3999999999999999</v>
      </c>
      <c r="P2177" t="n">
        <v>8.107999999999999</v>
      </c>
      <c r="Q2177" t="n">
        <v>0.2</v>
      </c>
      <c r="R2177" t="inlineStr">
        <is>
          <t>Sin rotación</t>
        </is>
      </c>
    </row>
    <row r="2178">
      <c r="A2178" t="inlineStr">
        <is>
          <t>CLAMIKI48T4</t>
        </is>
      </c>
      <c r="B2178" t="inlineStr">
        <is>
          <t>CLASICA ORIGINAL KIDS</t>
        </is>
      </c>
      <c r="C2178" t="inlineStr">
        <is>
          <t>Manufactura / Kids / P. Superiores</t>
        </is>
      </c>
      <c r="D2178" t="n">
        <v>140.67443739</v>
      </c>
      <c r="E2178" t="n">
        <v>3.444168417750136e-05</v>
      </c>
      <c r="F2178" t="n">
        <v>0.9837591469492094</v>
      </c>
      <c r="G2178" t="inlineStr">
        <is>
          <t>C</t>
        </is>
      </c>
      <c r="H2178" t="n">
        <v>7</v>
      </c>
      <c r="I2178" t="n">
        <v>2.053774806</v>
      </c>
      <c r="J2178" t="n">
        <v>14.376423642</v>
      </c>
      <c r="K2178" t="n">
        <v>0.5</v>
      </c>
      <c r="L2178" t="n">
        <v>14</v>
      </c>
      <c r="M2178" t="n">
        <v>4</v>
      </c>
      <c r="N2178" t="n">
        <v>2</v>
      </c>
      <c r="O2178" t="n">
        <v>5</v>
      </c>
      <c r="P2178" t="n">
        <v>10.26887403</v>
      </c>
      <c r="Q2178" t="n">
        <v>0.7142857142857143</v>
      </c>
      <c r="R2178" t="inlineStr">
        <is>
          <t>Sobrestock crítico</t>
        </is>
      </c>
    </row>
    <row r="2179">
      <c r="A2179" t="inlineStr">
        <is>
          <t>CLAMIKI11T12</t>
        </is>
      </c>
      <c r="B2179" t="inlineStr">
        <is>
          <t>CLASICA ORIGINAL KIDS</t>
        </is>
      </c>
      <c r="C2179" t="inlineStr">
        <is>
          <t>Manufactura / Kids / P. Superiores</t>
        </is>
      </c>
      <c r="D2179" t="n">
        <v>140.6</v>
      </c>
      <c r="E2179" t="n">
        <v>3.442345947993054e-05</v>
      </c>
      <c r="F2179" t="n">
        <v>0.9837935704086892</v>
      </c>
      <c r="G2179" t="inlineStr">
        <is>
          <t>C</t>
        </is>
      </c>
      <c r="H2179" t="n">
        <v>0</v>
      </c>
      <c r="I2179" t="n">
        <v>2.053774806</v>
      </c>
      <c r="J2179" t="n">
        <v>0</v>
      </c>
      <c r="K2179" t="n">
        <v>0.4</v>
      </c>
      <c r="L2179" t="n">
        <v>0</v>
      </c>
      <c r="M2179" t="n">
        <v>4</v>
      </c>
      <c r="N2179" t="n">
        <v>1.6</v>
      </c>
      <c r="O2179" t="n">
        <v>0</v>
      </c>
      <c r="P2179" t="n">
        <v>0</v>
      </c>
      <c r="Q2179" t="n">
        <v>0</v>
      </c>
      <c r="R2179" t="inlineStr">
        <is>
          <t>Riesgo bajo stock</t>
        </is>
      </c>
    </row>
    <row r="2180">
      <c r="A2180" t="inlineStr">
        <is>
          <t>CLAMIKI70T4</t>
        </is>
      </c>
      <c r="B2180" t="inlineStr">
        <is>
          <t>CLASICA ORIGINAL KIDS</t>
        </is>
      </c>
      <c r="C2180" t="inlineStr">
        <is>
          <t>Manufactura / Kids / P. Superiores</t>
        </is>
      </c>
      <c r="D2180" t="n">
        <v>140.55589475</v>
      </c>
      <c r="E2180" t="n">
        <v>3.441266107817928e-05</v>
      </c>
      <c r="F2180" t="n">
        <v>0.9838279830697674</v>
      </c>
      <c r="G2180" t="inlineStr">
        <is>
          <t>C</t>
        </is>
      </c>
      <c r="H2180" t="n">
        <v>7</v>
      </c>
      <c r="I2180" t="n">
        <v>2.053774806</v>
      </c>
      <c r="J2180" t="n">
        <v>14.376423642</v>
      </c>
      <c r="K2180" t="n">
        <v>0.4</v>
      </c>
      <c r="L2180" t="n">
        <v>17.5</v>
      </c>
      <c r="M2180" t="n">
        <v>4</v>
      </c>
      <c r="N2180" t="n">
        <v>1.6</v>
      </c>
      <c r="O2180" t="n">
        <v>5.4</v>
      </c>
      <c r="P2180" t="n">
        <v>11.0903839524</v>
      </c>
      <c r="Q2180" t="n">
        <v>0.7714285714285715</v>
      </c>
      <c r="R2180" t="inlineStr">
        <is>
          <t>Sobrestock crítico</t>
        </is>
      </c>
    </row>
    <row r="2181">
      <c r="A2181" t="inlineStr">
        <is>
          <t>SHONTCA33TS</t>
        </is>
      </c>
      <c r="B2181" t="inlineStr">
        <is>
          <t>EXPLORE SHORT CAB</t>
        </is>
      </c>
      <c r="C2181" t="inlineStr">
        <is>
          <t>Manufactura / Caballero / P. Inferiores</t>
        </is>
      </c>
      <c r="D2181" t="n">
        <v>140.17700207</v>
      </c>
      <c r="E2181" t="n">
        <v>3.4319895809209e-05</v>
      </c>
      <c r="F2181" t="n">
        <v>0.9838623029655766</v>
      </c>
      <c r="G2181" t="inlineStr">
        <is>
          <t>C</t>
        </is>
      </c>
      <c r="H2181" t="n">
        <v>0</v>
      </c>
      <c r="I2181" t="n">
        <v>11.17</v>
      </c>
      <c r="J2181" t="n">
        <v>0</v>
      </c>
      <c r="K2181" t="n">
        <v>0.3</v>
      </c>
      <c r="L2181" t="n">
        <v>0</v>
      </c>
      <c r="M2181" t="n">
        <v>4</v>
      </c>
      <c r="N2181" t="n">
        <v>1.2</v>
      </c>
      <c r="O2181" t="n">
        <v>0</v>
      </c>
      <c r="P2181" t="n">
        <v>0</v>
      </c>
      <c r="Q2181" t="n">
        <v>0</v>
      </c>
      <c r="R2181" t="inlineStr">
        <is>
          <t>Sin rotación</t>
        </is>
      </c>
    </row>
    <row r="2182">
      <c r="A2182" t="inlineStr">
        <is>
          <t>RUNTBMBFCA206TXL</t>
        </is>
      </c>
      <c r="B2182" t="inlineStr">
        <is>
          <t>RUNNING TANK BIOMOVE CAB</t>
        </is>
      </c>
      <c r="C2182" t="inlineStr">
        <is>
          <t>Manufactura / Caballero / P. Superiores</t>
        </is>
      </c>
      <c r="D2182" t="n">
        <v>140</v>
      </c>
      <c r="E2182" t="n">
        <v>3.427655993734194e-05</v>
      </c>
      <c r="F2182" t="n">
        <v>0.983896579525514</v>
      </c>
      <c r="G2182" t="inlineStr">
        <is>
          <t>C</t>
        </is>
      </c>
      <c r="H2182" t="n">
        <v>13</v>
      </c>
      <c r="I2182" t="n">
        <v>0.4823510284</v>
      </c>
      <c r="J2182" t="n">
        <v>6.2705633692</v>
      </c>
      <c r="K2182" t="n">
        <v>0.2</v>
      </c>
      <c r="L2182" t="n">
        <v>65</v>
      </c>
      <c r="M2182" t="n">
        <v>4</v>
      </c>
      <c r="N2182" t="n">
        <v>0.8</v>
      </c>
      <c r="O2182" t="n">
        <v>12.2</v>
      </c>
      <c r="P2182" t="n">
        <v>5.88468254648</v>
      </c>
      <c r="Q2182" t="n">
        <v>0.9384615384615385</v>
      </c>
      <c r="R2182" t="inlineStr">
        <is>
          <t>Sobrestock crítico</t>
        </is>
      </c>
    </row>
    <row r="2183">
      <c r="A2183" t="inlineStr">
        <is>
          <t>CLAMICA16T3XL</t>
        </is>
      </c>
      <c r="B2183" t="inlineStr">
        <is>
          <t>CLASICA ORIGINAL CAB</t>
        </is>
      </c>
      <c r="C2183" t="inlineStr">
        <is>
          <t>Manufactura / Caballero / P. Superiores</t>
        </is>
      </c>
      <c r="D2183" t="n">
        <v>139.71563931</v>
      </c>
      <c r="E2183" t="n">
        <v>3.42069391785233e-05</v>
      </c>
      <c r="F2183" t="n">
        <v>0.9839307864646925</v>
      </c>
      <c r="G2183" t="inlineStr">
        <is>
          <t>C</t>
        </is>
      </c>
      <c r="H2183" t="n">
        <v>1</v>
      </c>
      <c r="I2183" t="n">
        <v>4.598442536</v>
      </c>
      <c r="J2183" t="n">
        <v>4.598442536</v>
      </c>
      <c r="K2183" t="n">
        <v>0.4</v>
      </c>
      <c r="L2183" t="n">
        <v>2.5</v>
      </c>
      <c r="M2183" t="n">
        <v>4</v>
      </c>
      <c r="N2183" t="n">
        <v>1.6</v>
      </c>
      <c r="O2183" t="n">
        <v>0</v>
      </c>
      <c r="P2183" t="n">
        <v>0</v>
      </c>
      <c r="Q2183" t="n">
        <v>0</v>
      </c>
      <c r="R2183" t="inlineStr">
        <is>
          <t>OK</t>
        </is>
      </c>
    </row>
    <row r="2184">
      <c r="A2184" t="inlineStr">
        <is>
          <t>AQUSTKI43T10</t>
        </is>
      </c>
      <c r="B2184" t="inlineStr">
        <is>
          <t>RETRO VZLA KIDS</t>
        </is>
      </c>
      <c r="C2184" t="inlineStr">
        <is>
          <t>Manufactura / Dama / P. Superiores</t>
        </is>
      </c>
      <c r="D2184" t="n">
        <v>139.70857725</v>
      </c>
      <c r="E2184" t="n">
        <v>3.420521015621708e-05</v>
      </c>
      <c r="F2184" t="n">
        <v>0.9839649916748487</v>
      </c>
      <c r="G2184" t="inlineStr">
        <is>
          <t>C</t>
        </is>
      </c>
      <c r="H2184" t="n">
        <v>0</v>
      </c>
      <c r="I2184" t="n">
        <v>10.18</v>
      </c>
      <c r="J2184" t="n">
        <v>0</v>
      </c>
      <c r="K2184" t="n">
        <v>0.4</v>
      </c>
      <c r="L2184" t="n">
        <v>0</v>
      </c>
      <c r="M2184" t="n">
        <v>4</v>
      </c>
      <c r="N2184" t="n">
        <v>1.6</v>
      </c>
      <c r="O2184" t="n">
        <v>0</v>
      </c>
      <c r="P2184" t="n">
        <v>0</v>
      </c>
      <c r="Q2184" t="n">
        <v>0</v>
      </c>
      <c r="R2184" t="inlineStr">
        <is>
          <t>Riesgo bajo stock</t>
        </is>
      </c>
    </row>
    <row r="2185">
      <c r="A2185" t="inlineStr">
        <is>
          <t>ZOEMIDA28TM</t>
        </is>
      </c>
      <c r="B2185" t="inlineStr">
        <is>
          <t>ZOE ORIGINAL DAMA</t>
        </is>
      </c>
      <c r="C2185" t="inlineStr">
        <is>
          <t>Manufactura / Dama / P. Superiores</t>
        </is>
      </c>
      <c r="D2185" t="n">
        <v>139.64750039</v>
      </c>
      <c r="E2185" t="n">
        <v>3.419025655155583e-05</v>
      </c>
      <c r="F2185" t="n">
        <v>0.9839991819314002</v>
      </c>
      <c r="G2185" t="inlineStr">
        <is>
          <t>C</t>
        </is>
      </c>
      <c r="H2185" t="n">
        <v>0</v>
      </c>
      <c r="I2185" t="n">
        <v>4.116585696</v>
      </c>
      <c r="J2185" t="n">
        <v>0</v>
      </c>
      <c r="K2185" t="n">
        <v>0.5</v>
      </c>
      <c r="L2185" t="n">
        <v>0</v>
      </c>
      <c r="M2185" t="n">
        <v>4</v>
      </c>
      <c r="N2185" t="n">
        <v>2</v>
      </c>
      <c r="O2185" t="n">
        <v>0</v>
      </c>
      <c r="P2185" t="n">
        <v>0</v>
      </c>
      <c r="Q2185" t="n">
        <v>0</v>
      </c>
      <c r="R2185" t="inlineStr">
        <is>
          <t>Riesgo bajo stock</t>
        </is>
      </c>
    </row>
    <row r="2186">
      <c r="A2186" t="inlineStr">
        <is>
          <t>MARMIDA04TXL</t>
        </is>
      </c>
      <c r="B2186" t="inlineStr">
        <is>
          <t>MAR ORIGINAL DAMA</t>
        </is>
      </c>
      <c r="C2186" t="inlineStr">
        <is>
          <t>Manufactura / Dama / P. Superiores</t>
        </is>
      </c>
      <c r="D2186" t="n">
        <v>139.34336683</v>
      </c>
      <c r="E2186" t="n">
        <v>3.411579475013943e-05</v>
      </c>
      <c r="F2186" t="n">
        <v>0.9840332977261504</v>
      </c>
      <c r="G2186" t="inlineStr">
        <is>
          <t>C</t>
        </is>
      </c>
      <c r="H2186" t="n">
        <v>41</v>
      </c>
      <c r="I2186" t="n">
        <v>4.278324149</v>
      </c>
      <c r="J2186" t="n">
        <v>175.411290109</v>
      </c>
      <c r="K2186" t="n">
        <v>0.3</v>
      </c>
      <c r="L2186" t="n">
        <v>136.6666666666667</v>
      </c>
      <c r="M2186" t="n">
        <v>4</v>
      </c>
      <c r="N2186" t="n">
        <v>1.2</v>
      </c>
      <c r="O2186" t="n">
        <v>39.8</v>
      </c>
      <c r="P2186" t="n">
        <v>170.2773011302</v>
      </c>
      <c r="Q2186" t="n">
        <v>0.9707317073170731</v>
      </c>
      <c r="R2186" t="inlineStr">
        <is>
          <t>Sobrestock crítico</t>
        </is>
      </c>
    </row>
    <row r="2187">
      <c r="A2187" t="inlineStr">
        <is>
          <t>GEOMACADA43TL</t>
        </is>
      </c>
      <c r="B2187" t="inlineStr">
        <is>
          <t>ADVANCE GEO MAYA DAMA</t>
        </is>
      </c>
      <c r="C2187" t="inlineStr">
        <is>
          <t>Manufactura / Dama / P. Superiores</t>
        </is>
      </c>
      <c r="D2187" t="n">
        <v>139.22450084</v>
      </c>
      <c r="E2187" t="n">
        <v>3.408669248420552e-05</v>
      </c>
      <c r="F2187" t="n">
        <v>0.9840673844186346</v>
      </c>
      <c r="G2187" t="inlineStr">
        <is>
          <t>C</t>
        </is>
      </c>
      <c r="H2187" t="n">
        <v>14</v>
      </c>
      <c r="I2187" t="n">
        <v>10.33</v>
      </c>
      <c r="J2187" t="n">
        <v>144.62</v>
      </c>
      <c r="K2187" t="n">
        <v>0.2</v>
      </c>
      <c r="L2187" t="n">
        <v>70</v>
      </c>
      <c r="M2187" t="n">
        <v>4</v>
      </c>
      <c r="N2187" t="n">
        <v>0.8</v>
      </c>
      <c r="O2187" t="n">
        <v>13.2</v>
      </c>
      <c r="P2187" t="n">
        <v>136.356</v>
      </c>
      <c r="Q2187" t="n">
        <v>0.9428571428571428</v>
      </c>
      <c r="R2187" t="inlineStr">
        <is>
          <t>Sobrestock crítico</t>
        </is>
      </c>
    </row>
    <row r="2188">
      <c r="A2188" t="inlineStr">
        <is>
          <t>MARMIKI70T1</t>
        </is>
      </c>
      <c r="B2188" t="inlineStr">
        <is>
          <t>MAR ORIGINAL KIDS</t>
        </is>
      </c>
      <c r="C2188" t="inlineStr">
        <is>
          <t>Manufactura / Kids / P. Superiores</t>
        </is>
      </c>
      <c r="D2188" t="n">
        <v>138.9855806</v>
      </c>
      <c r="E2188" t="n">
        <v>3.402819702758692e-05</v>
      </c>
      <c r="F2188" t="n">
        <v>0.9841014126156622</v>
      </c>
      <c r="G2188" t="inlineStr">
        <is>
          <t>C</t>
        </is>
      </c>
      <c r="H2188" t="n">
        <v>0</v>
      </c>
      <c r="I2188" t="n">
        <v>3.168013332</v>
      </c>
      <c r="J2188" t="n">
        <v>0</v>
      </c>
      <c r="K2188" t="n">
        <v>0.4</v>
      </c>
      <c r="L2188" t="n">
        <v>0</v>
      </c>
      <c r="M2188" t="n">
        <v>4</v>
      </c>
      <c r="N2188" t="n">
        <v>1.6</v>
      </c>
      <c r="O2188" t="n">
        <v>0</v>
      </c>
      <c r="P2188" t="n">
        <v>0</v>
      </c>
      <c r="Q2188" t="n">
        <v>0</v>
      </c>
      <c r="R2188" t="inlineStr">
        <is>
          <t>Riesgo bajo stock</t>
        </is>
      </c>
    </row>
    <row r="2189">
      <c r="A2189" t="inlineStr">
        <is>
          <t>SHOUNCA23T2XL</t>
        </is>
      </c>
      <c r="B2189" t="inlineStr">
        <is>
          <t>SHORT PLAYA CAB</t>
        </is>
      </c>
      <c r="C2189" t="inlineStr">
        <is>
          <t>Manufactura / Caballero / P. Inferiores</t>
        </is>
      </c>
      <c r="D2189" t="n">
        <v>138.7449566</v>
      </c>
      <c r="E2189" t="n">
        <v>3.396928443502718e-05</v>
      </c>
      <c r="F2189" t="n">
        <v>0.9841353819000972</v>
      </c>
      <c r="G2189" t="inlineStr">
        <is>
          <t>C</t>
        </is>
      </c>
      <c r="H2189" t="n">
        <v>0</v>
      </c>
      <c r="I2189" t="n">
        <v>9.99</v>
      </c>
      <c r="J2189" t="n">
        <v>0</v>
      </c>
      <c r="K2189" t="n">
        <v>0.3</v>
      </c>
      <c r="L2189" t="n">
        <v>0</v>
      </c>
      <c r="M2189" t="n">
        <v>4</v>
      </c>
      <c r="N2189" t="n">
        <v>1.2</v>
      </c>
      <c r="O2189" t="n">
        <v>0</v>
      </c>
      <c r="P2189" t="n">
        <v>0</v>
      </c>
      <c r="Q2189" t="n">
        <v>0</v>
      </c>
      <c r="R2189" t="inlineStr">
        <is>
          <t>Riesgo bajo stock</t>
        </is>
      </c>
    </row>
    <row r="2190">
      <c r="A2190" t="inlineStr">
        <is>
          <t>RUNTBMBFCA209TL</t>
        </is>
      </c>
      <c r="B2190" t="inlineStr">
        <is>
          <t>RUNNING TANK BIOMOVE CAB</t>
        </is>
      </c>
      <c r="C2190" t="inlineStr">
        <is>
          <t>Manufactura / Caballero / P. Superiores</t>
        </is>
      </c>
      <c r="D2190" t="n">
        <v>138.7</v>
      </c>
      <c r="E2190" t="n">
        <v>3.395827759506662e-05</v>
      </c>
      <c r="F2190" t="n">
        <v>0.9841693401776923</v>
      </c>
      <c r="G2190" t="inlineStr">
        <is>
          <t>C</t>
        </is>
      </c>
      <c r="H2190" t="n">
        <v>26</v>
      </c>
      <c r="I2190" t="n">
        <v>0.4823510283999999</v>
      </c>
      <c r="J2190" t="n">
        <v>12.5411267384</v>
      </c>
      <c r="K2190" t="n">
        <v>0.3</v>
      </c>
      <c r="L2190" t="n">
        <v>86.66666666666667</v>
      </c>
      <c r="M2190" t="n">
        <v>4</v>
      </c>
      <c r="N2190" t="n">
        <v>1.2</v>
      </c>
      <c r="O2190" t="n">
        <v>24.8</v>
      </c>
      <c r="P2190" t="n">
        <v>11.96230550432</v>
      </c>
      <c r="Q2190" t="n">
        <v>0.9538461538461538</v>
      </c>
      <c r="R2190" t="inlineStr">
        <is>
          <t>Sobrestock crítico</t>
        </is>
      </c>
    </row>
    <row r="2191">
      <c r="A2191" t="inlineStr">
        <is>
          <t>GEMBADA39TL</t>
        </is>
      </c>
      <c r="B2191" t="inlineStr">
        <is>
          <t>VESTIDO GEMMA DAMA</t>
        </is>
      </c>
      <c r="C2191" t="inlineStr">
        <is>
          <t>Manufactura / Dama / Conjuntos</t>
        </is>
      </c>
      <c r="D2191" t="n">
        <v>138.56997463</v>
      </c>
      <c r="E2191" t="n">
        <v>3.392644314943676e-05</v>
      </c>
      <c r="F2191" t="n">
        <v>0.9842032666208418</v>
      </c>
      <c r="G2191" t="inlineStr">
        <is>
          <t>C</t>
        </is>
      </c>
      <c r="H2191" t="n">
        <v>0</v>
      </c>
      <c r="I2191" t="n">
        <v>23.99</v>
      </c>
      <c r="J2191" t="n">
        <v>0</v>
      </c>
      <c r="K2191" t="n">
        <v>0.3</v>
      </c>
      <c r="L2191" t="n">
        <v>0</v>
      </c>
      <c r="M2191" t="n">
        <v>4</v>
      </c>
      <c r="N2191" t="n">
        <v>1.2</v>
      </c>
      <c r="O2191" t="n">
        <v>0</v>
      </c>
      <c r="P2191" t="n">
        <v>0</v>
      </c>
      <c r="Q2191" t="n">
        <v>0</v>
      </c>
      <c r="R2191" t="inlineStr">
        <is>
          <t>Sin rotación</t>
        </is>
      </c>
    </row>
    <row r="2192">
      <c r="A2192" t="inlineStr">
        <is>
          <t>NAHFNCA24TS</t>
        </is>
      </c>
      <c r="B2192" t="inlineStr">
        <is>
          <t>NOAH SPORT LITE CAB</t>
        </is>
      </c>
      <c r="C2192" t="inlineStr">
        <is>
          <t>Manufactura / Caballero / P. Superiores</t>
        </is>
      </c>
      <c r="D2192" t="n">
        <v>137.94002601</v>
      </c>
      <c r="E2192" t="n">
        <v>3.377221120921622e-05</v>
      </c>
      <c r="F2192" t="n">
        <v>0.9842370388320509</v>
      </c>
      <c r="G2192" t="inlineStr">
        <is>
          <t>C</t>
        </is>
      </c>
      <c r="H2192" t="n">
        <v>29</v>
      </c>
      <c r="I2192" t="n">
        <v>17.61141534</v>
      </c>
      <c r="J2192" t="n">
        <v>510.73104486</v>
      </c>
      <c r="K2192" t="n">
        <v>1.3</v>
      </c>
      <c r="L2192" t="n">
        <v>22.30769230769231</v>
      </c>
      <c r="M2192" t="n">
        <v>4</v>
      </c>
      <c r="N2192" t="n">
        <v>5.2</v>
      </c>
      <c r="O2192" t="n">
        <v>23.8</v>
      </c>
      <c r="P2192" t="n">
        <v>419.151685092</v>
      </c>
      <c r="Q2192" t="n">
        <v>0.8206896551724139</v>
      </c>
      <c r="R2192" t="inlineStr">
        <is>
          <t>Sobrestock crítico</t>
        </is>
      </c>
    </row>
    <row r="2193">
      <c r="A2193" t="inlineStr">
        <is>
          <t>VIVMIDA48TM</t>
        </is>
      </c>
      <c r="B2193" t="inlineStr">
        <is>
          <t>VIVI ORIGINAL DAMA</t>
        </is>
      </c>
      <c r="C2193" t="inlineStr">
        <is>
          <t>Manufactura / Dama / P. Superiores</t>
        </is>
      </c>
      <c r="D2193" t="n">
        <v>137.92835777</v>
      </c>
      <c r="E2193" t="n">
        <v>3.376935444401819e-05</v>
      </c>
      <c r="F2193" t="n">
        <v>0.9842708081864949</v>
      </c>
      <c r="G2193" t="inlineStr">
        <is>
          <t>C</t>
        </is>
      </c>
      <c r="H2193" t="n">
        <v>33</v>
      </c>
      <c r="I2193" t="n">
        <v>4.303181706</v>
      </c>
      <c r="J2193" t="n">
        <v>142.004996298</v>
      </c>
      <c r="K2193" t="n">
        <v>0.4</v>
      </c>
      <c r="L2193" t="n">
        <v>82.5</v>
      </c>
      <c r="M2193" t="n">
        <v>4</v>
      </c>
      <c r="N2193" t="n">
        <v>1.6</v>
      </c>
      <c r="O2193" t="n">
        <v>31.4</v>
      </c>
      <c r="P2193" t="n">
        <v>135.1199055684</v>
      </c>
      <c r="Q2193" t="n">
        <v>0.9515151515151513</v>
      </c>
      <c r="R2193" t="inlineStr">
        <is>
          <t>Sobrestock crítico</t>
        </is>
      </c>
    </row>
    <row r="2194">
      <c r="A2194" t="inlineStr">
        <is>
          <t>SHOUNCA12TL</t>
        </is>
      </c>
      <c r="B2194" t="inlineStr">
        <is>
          <t>SHORT PLAYA CAB</t>
        </is>
      </c>
      <c r="C2194" t="inlineStr">
        <is>
          <t>Manufactura / Caballero / P. Inferiores</t>
        </is>
      </c>
      <c r="D2194" t="n">
        <v>137.89942093</v>
      </c>
      <c r="E2194" t="n">
        <v>3.376226976308494e-05</v>
      </c>
      <c r="F2194" t="n">
        <v>0.9843045704562581</v>
      </c>
      <c r="G2194" t="inlineStr">
        <is>
          <t>C</t>
        </is>
      </c>
      <c r="H2194" t="n">
        <v>0</v>
      </c>
      <c r="I2194" t="n">
        <v>9.99</v>
      </c>
      <c r="J2194" t="n">
        <v>0</v>
      </c>
      <c r="K2194" t="n">
        <v>0.3</v>
      </c>
      <c r="L2194" t="n">
        <v>0</v>
      </c>
      <c r="M2194" t="n">
        <v>4</v>
      </c>
      <c r="N2194" t="n">
        <v>1.2</v>
      </c>
      <c r="O2194" t="n">
        <v>0</v>
      </c>
      <c r="P2194" t="n">
        <v>0</v>
      </c>
      <c r="Q2194" t="n">
        <v>0</v>
      </c>
      <c r="R2194" t="inlineStr">
        <is>
          <t>Riesgo bajo stock</t>
        </is>
      </c>
    </row>
    <row r="2195">
      <c r="A2195" t="inlineStr">
        <is>
          <t>MARMICA09TS</t>
        </is>
      </c>
      <c r="B2195" t="inlineStr">
        <is>
          <t>MAR ORIGINAL CAB</t>
        </is>
      </c>
      <c r="C2195" t="inlineStr">
        <is>
          <t>Manufactura / Caballero / P. Superiores</t>
        </is>
      </c>
      <c r="D2195" t="n">
        <v>137.85505547</v>
      </c>
      <c r="E2195" t="n">
        <v>3.375140765345037e-05</v>
      </c>
      <c r="F2195" t="n">
        <v>0.9843383218639115</v>
      </c>
      <c r="G2195" t="inlineStr">
        <is>
          <t>C</t>
        </is>
      </c>
      <c r="H2195" t="n">
        <v>0</v>
      </c>
      <c r="I2195" t="n">
        <v>4.946357428</v>
      </c>
      <c r="J2195" t="n">
        <v>0</v>
      </c>
      <c r="K2195" t="n">
        <v>0.5</v>
      </c>
      <c r="L2195" t="n">
        <v>0</v>
      </c>
      <c r="M2195" t="n">
        <v>4</v>
      </c>
      <c r="N2195" t="n">
        <v>2</v>
      </c>
      <c r="O2195" t="n">
        <v>0</v>
      </c>
      <c r="P2195" t="n">
        <v>0</v>
      </c>
      <c r="Q2195" t="n">
        <v>0</v>
      </c>
      <c r="R2195" t="inlineStr">
        <is>
          <t>Riesgo bajo stock</t>
        </is>
      </c>
    </row>
    <row r="2196">
      <c r="A2196" t="inlineStr">
        <is>
          <t>CLAMIDA48TS</t>
        </is>
      </c>
      <c r="B2196" t="inlineStr">
        <is>
          <t>CLASICA ORIGINAL DAMA</t>
        </is>
      </c>
      <c r="C2196" t="inlineStr">
        <is>
          <t>Manufactura / Dama / P. Superiores</t>
        </is>
      </c>
      <c r="D2196" t="n">
        <v>137.72856361</v>
      </c>
      <c r="E2196" t="n">
        <v>3.372043832615841e-05</v>
      </c>
      <c r="F2196" t="n">
        <v>0.9843720423022376</v>
      </c>
      <c r="G2196" t="inlineStr">
        <is>
          <t>C</t>
        </is>
      </c>
      <c r="H2196" t="n">
        <v>0</v>
      </c>
      <c r="I2196" t="n">
        <v>3.923227589000001</v>
      </c>
      <c r="J2196" t="n">
        <v>0</v>
      </c>
      <c r="K2196" t="n">
        <v>0.5</v>
      </c>
      <c r="L2196" t="n">
        <v>0</v>
      </c>
      <c r="M2196" t="n">
        <v>4</v>
      </c>
      <c r="N2196" t="n">
        <v>2</v>
      </c>
      <c r="O2196" t="n">
        <v>0</v>
      </c>
      <c r="P2196" t="n">
        <v>0</v>
      </c>
      <c r="Q2196" t="n">
        <v>0</v>
      </c>
      <c r="R2196" t="inlineStr">
        <is>
          <t>Riesgo bajo stock</t>
        </is>
      </c>
    </row>
    <row r="2197">
      <c r="A2197" t="inlineStr">
        <is>
          <t>ZOEMIDA66TXS</t>
        </is>
      </c>
      <c r="B2197" t="inlineStr">
        <is>
          <t>ZOE ORIGINAL DAMA</t>
        </is>
      </c>
      <c r="C2197" t="inlineStr">
        <is>
          <t>Manufactura / Dama / P. Superiores</t>
        </is>
      </c>
      <c r="D2197" t="n">
        <v>137.70163952</v>
      </c>
      <c r="E2197" t="n">
        <v>3.371384643198239e-05</v>
      </c>
      <c r="F2197" t="n">
        <v>0.9844057561486697</v>
      </c>
      <c r="G2197" t="inlineStr">
        <is>
          <t>C</t>
        </is>
      </c>
      <c r="H2197" t="n">
        <v>1</v>
      </c>
      <c r="I2197" t="n">
        <v>4.116585696</v>
      </c>
      <c r="J2197" t="n">
        <v>4.116585696</v>
      </c>
      <c r="K2197" t="n">
        <v>0.3</v>
      </c>
      <c r="L2197" t="n">
        <v>3.333333333333333</v>
      </c>
      <c r="M2197" t="n">
        <v>4</v>
      </c>
      <c r="N2197" t="n">
        <v>1.2</v>
      </c>
      <c r="O2197" t="n">
        <v>0</v>
      </c>
      <c r="P2197" t="n">
        <v>0</v>
      </c>
      <c r="Q2197" t="n">
        <v>0</v>
      </c>
      <c r="R2197" t="inlineStr">
        <is>
          <t>OK</t>
        </is>
      </c>
    </row>
    <row r="2198">
      <c r="A2198" t="inlineStr">
        <is>
          <t>VIVMIDA43TL</t>
        </is>
      </c>
      <c r="B2198" t="inlineStr">
        <is>
          <t>VIVI ORIGINAL DAMA</t>
        </is>
      </c>
      <c r="C2198" t="inlineStr">
        <is>
          <t>Manufactura / Dama / P. Superiores</t>
        </is>
      </c>
      <c r="D2198" t="n">
        <v>137.29567371</v>
      </c>
      <c r="E2198" t="n">
        <v>3.36144527789897e-05</v>
      </c>
      <c r="F2198" t="n">
        <v>0.9844393706014486</v>
      </c>
      <c r="G2198" t="inlineStr">
        <is>
          <t>C</t>
        </is>
      </c>
      <c r="H2198" t="n">
        <v>26</v>
      </c>
      <c r="I2198" t="n">
        <v>4.303181706</v>
      </c>
      <c r="J2198" t="n">
        <v>111.882724356</v>
      </c>
      <c r="K2198" t="n">
        <v>0.4</v>
      </c>
      <c r="L2198" t="n">
        <v>65</v>
      </c>
      <c r="M2198" t="n">
        <v>4</v>
      </c>
      <c r="N2198" t="n">
        <v>1.6</v>
      </c>
      <c r="O2198" t="n">
        <v>24.4</v>
      </c>
      <c r="P2198" t="n">
        <v>104.9976336264</v>
      </c>
      <c r="Q2198" t="n">
        <v>0.9384615384615383</v>
      </c>
      <c r="R2198" t="inlineStr">
        <is>
          <t>Sin rotación</t>
        </is>
      </c>
    </row>
    <row r="2199">
      <c r="A2199" t="inlineStr">
        <is>
          <t>MIKFNDA70T2XL</t>
        </is>
      </c>
      <c r="B2199" t="inlineStr">
        <is>
          <t>MIKA SPORT LITE DAMA</t>
        </is>
      </c>
      <c r="C2199" t="inlineStr">
        <is>
          <t>Manufactura / Dama / P. Superiores</t>
        </is>
      </c>
      <c r="D2199" t="n">
        <v>136.79661585</v>
      </c>
      <c r="E2199" t="n">
        <v>3.34922671600576e-05</v>
      </c>
      <c r="F2199" t="n">
        <v>0.9844728628686087</v>
      </c>
      <c r="G2199" t="inlineStr">
        <is>
          <t>C</t>
        </is>
      </c>
      <c r="H2199" t="n">
        <v>16</v>
      </c>
      <c r="I2199" t="n">
        <v>5.484675344</v>
      </c>
      <c r="J2199" t="n">
        <v>87.754805504</v>
      </c>
      <c r="K2199" t="n">
        <v>0.3</v>
      </c>
      <c r="L2199" t="n">
        <v>53.33333333333334</v>
      </c>
      <c r="M2199" t="n">
        <v>4</v>
      </c>
      <c r="N2199" t="n">
        <v>1.2</v>
      </c>
      <c r="O2199" t="n">
        <v>14.8</v>
      </c>
      <c r="P2199" t="n">
        <v>81.1731950912</v>
      </c>
      <c r="Q2199" t="n">
        <v>0.9249999999999999</v>
      </c>
      <c r="R2199" t="inlineStr">
        <is>
          <t>Sobrestock crítico</t>
        </is>
      </c>
    </row>
    <row r="2200">
      <c r="A2200" t="inlineStr">
        <is>
          <t>SHOUNCA12TM</t>
        </is>
      </c>
      <c r="B2200" t="inlineStr">
        <is>
          <t>SHORT PLAYA CAB</t>
        </is>
      </c>
      <c r="C2200" t="inlineStr">
        <is>
          <t>Manufactura / Caballero / P. Inferiores</t>
        </is>
      </c>
      <c r="D2200" t="n">
        <v>135.13430175</v>
      </c>
      <c r="E2200" t="n">
        <v>3.308527852517662e-05</v>
      </c>
      <c r="F2200" t="n">
        <v>0.9845059481471339</v>
      </c>
      <c r="G2200" t="inlineStr">
        <is>
          <t>C</t>
        </is>
      </c>
      <c r="H2200" t="n">
        <v>0</v>
      </c>
      <c r="I2200" t="n">
        <v>9.99</v>
      </c>
      <c r="J2200" t="n">
        <v>0</v>
      </c>
      <c r="K2200" t="n">
        <v>0.3</v>
      </c>
      <c r="L2200" t="n">
        <v>0</v>
      </c>
      <c r="M2200" t="n">
        <v>4</v>
      </c>
      <c r="N2200" t="n">
        <v>1.2</v>
      </c>
      <c r="O2200" t="n">
        <v>0</v>
      </c>
      <c r="P2200" t="n">
        <v>0</v>
      </c>
      <c r="Q2200" t="n">
        <v>0</v>
      </c>
      <c r="R2200" t="inlineStr">
        <is>
          <t>Riesgo bajo stock</t>
        </is>
      </c>
    </row>
    <row r="2201">
      <c r="A2201" t="inlineStr">
        <is>
          <t>GEOMACADA168TM</t>
        </is>
      </c>
      <c r="B2201" t="inlineStr">
        <is>
          <t>ADVANCE GEO MAYA DAMA</t>
        </is>
      </c>
      <c r="C2201" t="inlineStr">
        <is>
          <t>Manufactura / Dama / P. Superiores</t>
        </is>
      </c>
      <c r="D2201" t="n">
        <v>134.93143591</v>
      </c>
      <c r="E2201" t="n">
        <v>3.30356103600052e-05</v>
      </c>
      <c r="F2201" t="n">
        <v>0.9845389837574938</v>
      </c>
      <c r="G2201" t="inlineStr">
        <is>
          <t>C</t>
        </is>
      </c>
      <c r="H2201" t="n">
        <v>44</v>
      </c>
      <c r="I2201" t="n">
        <v>10.33</v>
      </c>
      <c r="J2201" t="n">
        <v>454.52</v>
      </c>
      <c r="K2201" t="n">
        <v>0.3</v>
      </c>
      <c r="L2201" t="n">
        <v>146.6666666666667</v>
      </c>
      <c r="M2201" t="n">
        <v>4</v>
      </c>
      <c r="N2201" t="n">
        <v>1.2</v>
      </c>
      <c r="O2201" t="n">
        <v>42.8</v>
      </c>
      <c r="P2201" t="n">
        <v>442.124</v>
      </c>
      <c r="Q2201" t="n">
        <v>0.9727272727272727</v>
      </c>
      <c r="R2201" t="inlineStr">
        <is>
          <t>Sobrestock crítico</t>
        </is>
      </c>
    </row>
    <row r="2202">
      <c r="A2202" t="inlineStr">
        <is>
          <t>GEMBADA16TXS</t>
        </is>
      </c>
      <c r="B2202" t="inlineStr">
        <is>
          <t>VESTIDO GEMMA DAMA</t>
        </is>
      </c>
      <c r="C2202" t="inlineStr">
        <is>
          <t>Manufactura / Dama / Conjuntos</t>
        </is>
      </c>
      <c r="D2202" t="n">
        <v>134.87441517</v>
      </c>
      <c r="E2202" t="n">
        <v>3.302164982563176e-05</v>
      </c>
      <c r="F2202" t="n">
        <v>0.9845720054073195</v>
      </c>
      <c r="G2202" t="inlineStr">
        <is>
          <t>C</t>
        </is>
      </c>
      <c r="H2202" t="n">
        <v>1</v>
      </c>
      <c r="I2202" t="n">
        <v>23.99</v>
      </c>
      <c r="J2202" t="n">
        <v>23.99</v>
      </c>
      <c r="K2202" t="n">
        <v>0.3</v>
      </c>
      <c r="L2202" t="n">
        <v>3.333333333333333</v>
      </c>
      <c r="M2202" t="n">
        <v>4</v>
      </c>
      <c r="N2202" t="n">
        <v>1.2</v>
      </c>
      <c r="O2202" t="n">
        <v>0</v>
      </c>
      <c r="P2202" t="n">
        <v>0</v>
      </c>
      <c r="Q2202" t="n">
        <v>0</v>
      </c>
      <c r="R2202" t="inlineStr">
        <is>
          <t>Sin rotación</t>
        </is>
      </c>
    </row>
    <row r="2203">
      <c r="A2203" t="inlineStr">
        <is>
          <t>CLMSUCA43TXL</t>
        </is>
      </c>
      <c r="B2203" t="inlineStr">
        <is>
          <t>CLASICA MOTION CAB</t>
        </is>
      </c>
      <c r="C2203" t="inlineStr">
        <is>
          <t>Manufactura / Caballero / P. Superiores</t>
        </is>
      </c>
      <c r="D2203" t="n">
        <v>134.46322319</v>
      </c>
      <c r="E2203" t="n">
        <v>3.292097663600158e-05</v>
      </c>
      <c r="F2203" t="n">
        <v>0.9846049263839555</v>
      </c>
      <c r="G2203" t="inlineStr">
        <is>
          <t>C</t>
        </is>
      </c>
      <c r="H2203" t="n">
        <v>1</v>
      </c>
      <c r="I2203" t="n">
        <v>12.26</v>
      </c>
      <c r="J2203" t="n">
        <v>12.26</v>
      </c>
      <c r="K2203" t="n">
        <v>0.3</v>
      </c>
      <c r="L2203" t="n">
        <v>3.333333333333333</v>
      </c>
      <c r="M2203" t="n">
        <v>4</v>
      </c>
      <c r="N2203" t="n">
        <v>1.2</v>
      </c>
      <c r="O2203" t="n">
        <v>0</v>
      </c>
      <c r="P2203" t="n">
        <v>0</v>
      </c>
      <c r="Q2203" t="n">
        <v>0</v>
      </c>
      <c r="R2203" t="inlineStr">
        <is>
          <t>Sin rotación</t>
        </is>
      </c>
    </row>
    <row r="2204">
      <c r="A2204" t="inlineStr">
        <is>
          <t>RUNTBMBFCA209TXL</t>
        </is>
      </c>
      <c r="B2204" t="inlineStr">
        <is>
          <t>RUNNING TANK BIOMOVE CAB</t>
        </is>
      </c>
      <c r="C2204" t="inlineStr">
        <is>
          <t>Manufactura / Caballero / P. Superiores</t>
        </is>
      </c>
      <c r="D2204" t="n">
        <v>134.45630828</v>
      </c>
      <c r="E2204" t="n">
        <v>3.291928364080818e-05</v>
      </c>
      <c r="F2204" t="n">
        <v>0.9846378456675963</v>
      </c>
      <c r="G2204" t="inlineStr">
        <is>
          <t>C</t>
        </is>
      </c>
      <c r="H2204" t="n">
        <v>13</v>
      </c>
      <c r="I2204" t="n">
        <v>0.4823510283999999</v>
      </c>
      <c r="J2204" t="n">
        <v>6.2705633692</v>
      </c>
      <c r="K2204" t="n">
        <v>0.3</v>
      </c>
      <c r="L2204" t="n">
        <v>43.33333333333334</v>
      </c>
      <c r="M2204" t="n">
        <v>4</v>
      </c>
      <c r="N2204" t="n">
        <v>1.2</v>
      </c>
      <c r="O2204" t="n">
        <v>11.8</v>
      </c>
      <c r="P2204" t="n">
        <v>5.691742135119999</v>
      </c>
      <c r="Q2204" t="n">
        <v>0.9076923076923077</v>
      </c>
      <c r="R2204" t="inlineStr">
        <is>
          <t>Sobrestock crítico</t>
        </is>
      </c>
    </row>
    <row r="2205">
      <c r="A2205" t="inlineStr">
        <is>
          <t>MARMICA09TM</t>
        </is>
      </c>
      <c r="B2205" t="inlineStr">
        <is>
          <t>MAR ORIGINAL CAB</t>
        </is>
      </c>
      <c r="C2205" t="inlineStr">
        <is>
          <t>Manufactura / Caballero / P. Superiores</t>
        </is>
      </c>
      <c r="D2205" t="n">
        <v>134.26535582</v>
      </c>
      <c r="E2205" t="n">
        <v>3.287253225909123e-05</v>
      </c>
      <c r="F2205" t="n">
        <v>0.9846707181998554</v>
      </c>
      <c r="G2205" t="inlineStr">
        <is>
          <t>C</t>
        </is>
      </c>
      <c r="H2205" t="n">
        <v>3</v>
      </c>
      <c r="I2205" t="n">
        <v>4.946357428</v>
      </c>
      <c r="J2205" t="n">
        <v>14.839072284</v>
      </c>
      <c r="K2205" t="n">
        <v>0.3</v>
      </c>
      <c r="L2205" t="n">
        <v>10</v>
      </c>
      <c r="M2205" t="n">
        <v>4</v>
      </c>
      <c r="N2205" t="n">
        <v>1.2</v>
      </c>
      <c r="O2205" t="n">
        <v>1.8</v>
      </c>
      <c r="P2205" t="n">
        <v>8.9034433704</v>
      </c>
      <c r="Q2205" t="n">
        <v>0.6</v>
      </c>
      <c r="R2205" t="inlineStr">
        <is>
          <t>Sin rotación</t>
        </is>
      </c>
    </row>
    <row r="2206">
      <c r="A2206" t="inlineStr">
        <is>
          <t>VIVMIDA66TXL</t>
        </is>
      </c>
      <c r="B2206" t="inlineStr">
        <is>
          <t>VIVI ORIGINAL DAMA</t>
        </is>
      </c>
      <c r="C2206" t="inlineStr">
        <is>
          <t>Manufactura / Dama / P. Superiores</t>
        </is>
      </c>
      <c r="D2206" t="n">
        <v>134.03200132</v>
      </c>
      <c r="E2206" t="n">
        <v>3.281539947690624e-05</v>
      </c>
      <c r="F2206" t="n">
        <v>0.9847035335993323</v>
      </c>
      <c r="G2206" t="inlineStr">
        <is>
          <t>C</t>
        </is>
      </c>
      <c r="H2206" t="n">
        <v>12</v>
      </c>
      <c r="I2206" t="n">
        <v>4.303181706</v>
      </c>
      <c r="J2206" t="n">
        <v>51.638180472</v>
      </c>
      <c r="K2206" t="n">
        <v>0.3</v>
      </c>
      <c r="L2206" t="n">
        <v>40</v>
      </c>
      <c r="M2206" t="n">
        <v>4</v>
      </c>
      <c r="N2206" t="n">
        <v>1.2</v>
      </c>
      <c r="O2206" t="n">
        <v>10.8</v>
      </c>
      <c r="P2206" t="n">
        <v>46.47436242480001</v>
      </c>
      <c r="Q2206" t="n">
        <v>0.9000000000000001</v>
      </c>
      <c r="R2206" t="inlineStr">
        <is>
          <t>Sobrestock crítico</t>
        </is>
      </c>
    </row>
    <row r="2207">
      <c r="A2207" t="inlineStr">
        <is>
          <t>VIVMIDA70TS</t>
        </is>
      </c>
      <c r="B2207" t="inlineStr">
        <is>
          <t>VIVI ORIGINAL DAMA</t>
        </is>
      </c>
      <c r="C2207" t="inlineStr">
        <is>
          <t>Manufactura / Dama / P. Superiores</t>
        </is>
      </c>
      <c r="D2207" t="n">
        <v>134.02828996</v>
      </c>
      <c r="E2207" t="n">
        <v>3.281449081509561e-05</v>
      </c>
      <c r="F2207" t="n">
        <v>0.9847363480901474</v>
      </c>
      <c r="G2207" t="inlineStr">
        <is>
          <t>C</t>
        </is>
      </c>
      <c r="H2207" t="n">
        <v>23</v>
      </c>
      <c r="I2207" t="n">
        <v>4.303181706</v>
      </c>
      <c r="J2207" t="n">
        <v>98.973179238</v>
      </c>
      <c r="K2207" t="n">
        <v>0.4</v>
      </c>
      <c r="L2207" t="n">
        <v>57.5</v>
      </c>
      <c r="M2207" t="n">
        <v>4</v>
      </c>
      <c r="N2207" t="n">
        <v>1.6</v>
      </c>
      <c r="O2207" t="n">
        <v>21.4</v>
      </c>
      <c r="P2207" t="n">
        <v>92.08808850839999</v>
      </c>
      <c r="Q2207" t="n">
        <v>0.9304347826086956</v>
      </c>
      <c r="R2207" t="inlineStr">
        <is>
          <t>Sobrestock crítico</t>
        </is>
      </c>
    </row>
    <row r="2208">
      <c r="A2208" t="inlineStr">
        <is>
          <t>CLAMEDA13TL</t>
        </is>
      </c>
      <c r="B2208" t="inlineStr">
        <is>
          <t>CLÁSICA SPORT DAMA</t>
        </is>
      </c>
      <c r="C2208" t="inlineStr">
        <is>
          <t>Manufactura / Dama / P. Superiores</t>
        </is>
      </c>
      <c r="D2208" t="n">
        <v>133.7228087</v>
      </c>
      <c r="E2208" t="n">
        <v>3.273969905282328e-05</v>
      </c>
      <c r="F2208" t="n">
        <v>0.9847690877892002</v>
      </c>
      <c r="G2208" t="inlineStr">
        <is>
          <t>C</t>
        </is>
      </c>
      <c r="H2208" t="n">
        <v>1</v>
      </c>
      <c r="I2208" t="n">
        <v>6.536105769</v>
      </c>
      <c r="J2208" t="n">
        <v>6.536105769</v>
      </c>
      <c r="K2208" t="n">
        <v>0.4</v>
      </c>
      <c r="L2208" t="n">
        <v>2.5</v>
      </c>
      <c r="M2208" t="n">
        <v>4</v>
      </c>
      <c r="N2208" t="n">
        <v>1.6</v>
      </c>
      <c r="O2208" t="n">
        <v>0</v>
      </c>
      <c r="P2208" t="n">
        <v>0</v>
      </c>
      <c r="Q2208" t="n">
        <v>0</v>
      </c>
      <c r="R2208" t="inlineStr">
        <is>
          <t>Sin rotación</t>
        </is>
      </c>
    </row>
    <row r="2209">
      <c r="A2209" t="inlineStr">
        <is>
          <t>GEOMACADA168TXL</t>
        </is>
      </c>
      <c r="B2209" t="inlineStr">
        <is>
          <t>ADVANCE GEO MAYA DAMA</t>
        </is>
      </c>
      <c r="C2209" t="inlineStr">
        <is>
          <t>Manufactura / Dama / P. Superiores</t>
        </is>
      </c>
      <c r="D2209" t="n">
        <v>133.70281301</v>
      </c>
      <c r="E2209" t="n">
        <v>3.273480345663205e-05</v>
      </c>
      <c r="F2209" t="n">
        <v>0.9848018225926568</v>
      </c>
      <c r="G2209" t="inlineStr">
        <is>
          <t>C</t>
        </is>
      </c>
      <c r="H2209" t="n">
        <v>13</v>
      </c>
      <c r="I2209" t="n">
        <v>10.33</v>
      </c>
      <c r="J2209" t="n">
        <v>134.29</v>
      </c>
      <c r="K2209" t="n">
        <v>0.2</v>
      </c>
      <c r="L2209" t="n">
        <v>65</v>
      </c>
      <c r="M2209" t="n">
        <v>4</v>
      </c>
      <c r="N2209" t="n">
        <v>0.8</v>
      </c>
      <c r="O2209" t="n">
        <v>12.2</v>
      </c>
      <c r="P2209" t="n">
        <v>126.026</v>
      </c>
      <c r="Q2209" t="n">
        <v>0.9384615384615385</v>
      </c>
      <c r="R2209" t="inlineStr">
        <is>
          <t>Sobrestock crítico</t>
        </is>
      </c>
    </row>
    <row r="2210">
      <c r="A2210" t="inlineStr">
        <is>
          <t>LMOFIDA66TS</t>
        </is>
      </c>
      <c r="B2210" t="inlineStr">
        <is>
          <t>LEGGING MOVA</t>
        </is>
      </c>
      <c r="C2210" t="inlineStr">
        <is>
          <t>Manufactura / Dama / P. Inferiores</t>
        </is>
      </c>
      <c r="D2210" t="n">
        <v>133.58107301</v>
      </c>
      <c r="E2210" t="n">
        <v>3.270499753944082e-05</v>
      </c>
      <c r="F2210" t="n">
        <v>0.9848345275901962</v>
      </c>
      <c r="G2210" t="inlineStr">
        <is>
          <t>C</t>
        </is>
      </c>
      <c r="H2210" t="n">
        <v>19</v>
      </c>
      <c r="I2210" t="n">
        <v>17.7</v>
      </c>
      <c r="J2210" t="n">
        <v>336.3</v>
      </c>
      <c r="K2210" t="n">
        <v>0.8</v>
      </c>
      <c r="L2210" t="n">
        <v>23.75</v>
      </c>
      <c r="M2210" t="n">
        <v>4</v>
      </c>
      <c r="N2210" t="n">
        <v>3.2</v>
      </c>
      <c r="O2210" t="n">
        <v>15.8</v>
      </c>
      <c r="P2210" t="n">
        <v>279.66</v>
      </c>
      <c r="Q2210" t="n">
        <v>0.8315789473684211</v>
      </c>
      <c r="R2210" t="inlineStr">
        <is>
          <t>Sobrestock crítico</t>
        </is>
      </c>
    </row>
    <row r="2211">
      <c r="A2211" t="inlineStr">
        <is>
          <t>GEOMACADA03TXS</t>
        </is>
      </c>
      <c r="B2211" t="inlineStr">
        <is>
          <t>ADVANCE GEO MAYA DAMA</t>
        </is>
      </c>
      <c r="C2211" t="inlineStr">
        <is>
          <t>Manufactura / Dama / P. Superiores</t>
        </is>
      </c>
      <c r="D2211" t="n">
        <v>132.90895385</v>
      </c>
      <c r="E2211" t="n">
        <v>3.254044087749242e-05</v>
      </c>
      <c r="F2211" t="n">
        <v>0.9848670680310738</v>
      </c>
      <c r="G2211" t="inlineStr">
        <is>
          <t>C</t>
        </is>
      </c>
      <c r="H2211" t="n">
        <v>13</v>
      </c>
      <c r="I2211" t="n">
        <v>10.33</v>
      </c>
      <c r="J2211" t="n">
        <v>134.29</v>
      </c>
      <c r="K2211" t="n">
        <v>0.7</v>
      </c>
      <c r="L2211" t="n">
        <v>18.57142857142857</v>
      </c>
      <c r="M2211" t="n">
        <v>4</v>
      </c>
      <c r="N2211" t="n">
        <v>2.8</v>
      </c>
      <c r="O2211" t="n">
        <v>10.2</v>
      </c>
      <c r="P2211" t="n">
        <v>105.366</v>
      </c>
      <c r="Q2211" t="n">
        <v>0.7846153846153847</v>
      </c>
      <c r="R2211" t="inlineStr">
        <is>
          <t>Sobrestock crítico</t>
        </is>
      </c>
    </row>
    <row r="2212">
      <c r="A2212" t="inlineStr">
        <is>
          <t>MARMIDA39TXS</t>
        </is>
      </c>
      <c r="B2212" t="inlineStr">
        <is>
          <t>MAR ORIGINAL DAMA</t>
        </is>
      </c>
      <c r="C2212" t="inlineStr">
        <is>
          <t>Manufactura / Dama / P. Superiores</t>
        </is>
      </c>
      <c r="D2212" t="n">
        <v>132.87453775</v>
      </c>
      <c r="E2212" t="n">
        <v>3.253201469524628e-05</v>
      </c>
      <c r="F2212" t="n">
        <v>0.9848996000457692</v>
      </c>
      <c r="G2212" t="inlineStr">
        <is>
          <t>C</t>
        </is>
      </c>
      <c r="H2212" t="n">
        <v>0</v>
      </c>
      <c r="I2212" t="n">
        <v>4.278324149</v>
      </c>
      <c r="J2212" t="n">
        <v>0</v>
      </c>
      <c r="K2212" t="n">
        <v>0.4</v>
      </c>
      <c r="L2212" t="n">
        <v>0</v>
      </c>
      <c r="M2212" t="n">
        <v>4</v>
      </c>
      <c r="N2212" t="n">
        <v>1.6</v>
      </c>
      <c r="O2212" t="n">
        <v>0</v>
      </c>
      <c r="P2212" t="n">
        <v>0</v>
      </c>
      <c r="Q2212" t="n">
        <v>0</v>
      </c>
      <c r="R2212" t="inlineStr">
        <is>
          <t>Riesgo bajo stock</t>
        </is>
      </c>
    </row>
    <row r="2213">
      <c r="A2213" t="inlineStr">
        <is>
          <t>ETN97E500ML</t>
        </is>
      </c>
      <c r="B2213" t="inlineStr">
        <is>
          <t>KAMBUKKA ETNA 500 ML</t>
        </is>
      </c>
      <c r="C2213" t="inlineStr">
        <is>
          <t>Equipamiento / Cava</t>
        </is>
      </c>
      <c r="D2213" t="n">
        <v>132.86562527</v>
      </c>
      <c r="E2213" t="n">
        <v>3.252983262985406e-05</v>
      </c>
      <c r="F2213" t="n">
        <v>0.984932129878399</v>
      </c>
      <c r="G2213" t="inlineStr">
        <is>
          <t>C</t>
        </is>
      </c>
      <c r="H2213" t="n">
        <v>15</v>
      </c>
      <c r="I2213" t="n">
        <v>24.5</v>
      </c>
      <c r="J2213" t="n">
        <v>367.5</v>
      </c>
      <c r="K2213" t="n">
        <v>0.4</v>
      </c>
      <c r="L2213" t="n">
        <v>37.5</v>
      </c>
      <c r="M2213" t="n">
        <v>4</v>
      </c>
      <c r="N2213" t="n">
        <v>1.6</v>
      </c>
      <c r="O2213" t="n">
        <v>13.4</v>
      </c>
      <c r="P2213" t="n">
        <v>328.3</v>
      </c>
      <c r="Q2213" t="n">
        <v>0.8933333333333333</v>
      </c>
      <c r="R2213" t="inlineStr">
        <is>
          <t>Sobrestock crítico</t>
        </is>
      </c>
    </row>
    <row r="2214">
      <c r="A2214" t="inlineStr">
        <is>
          <t>CAP21MC</t>
        </is>
      </c>
      <c r="B2214" t="inlineStr">
        <is>
          <t>MESH CAP</t>
        </is>
      </c>
      <c r="C2214" t="inlineStr">
        <is>
          <t>Equipamiento / Gorras</t>
        </is>
      </c>
      <c r="D2214" t="n">
        <v>132.8514542</v>
      </c>
      <c r="E2214" t="n">
        <v>3.252636309035241e-05</v>
      </c>
      <c r="F2214" t="n">
        <v>0.9849646562414893</v>
      </c>
      <c r="G2214" t="inlineStr">
        <is>
          <t>C</t>
        </is>
      </c>
      <c r="H2214" t="n">
        <v>0</v>
      </c>
      <c r="I2214" t="n">
        <v>3.36</v>
      </c>
      <c r="J2214" t="n">
        <v>0</v>
      </c>
      <c r="K2214" t="n">
        <v>0.5</v>
      </c>
      <c r="L2214" t="n">
        <v>0</v>
      </c>
      <c r="M2214" t="n">
        <v>4</v>
      </c>
      <c r="N2214" t="n">
        <v>2</v>
      </c>
      <c r="O2214" t="n">
        <v>0</v>
      </c>
      <c r="P2214" t="n">
        <v>0</v>
      </c>
      <c r="Q2214" t="n">
        <v>0</v>
      </c>
      <c r="R2214" t="inlineStr">
        <is>
          <t>Riesgo bajo stock</t>
        </is>
      </c>
    </row>
    <row r="2215">
      <c r="A2215" t="inlineStr">
        <is>
          <t>SABMEDA63TXS</t>
        </is>
      </c>
      <c r="B2215" t="inlineStr">
        <is>
          <t>SABRI SPORT DAMA</t>
        </is>
      </c>
      <c r="C2215" t="inlineStr">
        <is>
          <t>Manufactura / Dama / P. Superiores</t>
        </is>
      </c>
      <c r="D2215" t="n">
        <v>132.64469667</v>
      </c>
      <c r="E2215" t="n">
        <v>3.247574211271282e-05</v>
      </c>
      <c r="F2215" t="n">
        <v>0.9849971319836021</v>
      </c>
      <c r="G2215" t="inlineStr">
        <is>
          <t>C</t>
        </is>
      </c>
      <c r="H2215" t="n">
        <v>5</v>
      </c>
      <c r="I2215" t="n">
        <v>4.51</v>
      </c>
      <c r="J2215" t="n">
        <v>22.55</v>
      </c>
      <c r="K2215" t="n">
        <v>0.5</v>
      </c>
      <c r="L2215" t="n">
        <v>10</v>
      </c>
      <c r="M2215" t="n">
        <v>4</v>
      </c>
      <c r="N2215" t="n">
        <v>2</v>
      </c>
      <c r="O2215" t="n">
        <v>3</v>
      </c>
      <c r="P2215" t="n">
        <v>13.53</v>
      </c>
      <c r="Q2215" t="n">
        <v>0.6000000000000001</v>
      </c>
      <c r="R2215" t="inlineStr">
        <is>
          <t>Sin rotación</t>
        </is>
      </c>
    </row>
    <row r="2216">
      <c r="A2216" t="inlineStr">
        <is>
          <t>SHOUNKI33T1</t>
        </is>
      </c>
      <c r="B2216" t="inlineStr">
        <is>
          <t>SHORT PLAYA KIDS</t>
        </is>
      </c>
      <c r="C2216" t="inlineStr">
        <is>
          <t>Manufactura / Kids / P. Inferiores</t>
        </is>
      </c>
      <c r="D2216" t="n">
        <v>132.56038383</v>
      </c>
      <c r="E2216" t="n">
        <v>3.245509958332891e-05</v>
      </c>
      <c r="F2216" t="n">
        <v>0.9850295870831853</v>
      </c>
      <c r="G2216" t="inlineStr">
        <is>
          <t>C</t>
        </is>
      </c>
      <c r="H2216" t="n">
        <v>21</v>
      </c>
      <c r="I2216" t="n">
        <v>6.09</v>
      </c>
      <c r="J2216" t="n">
        <v>127.89</v>
      </c>
      <c r="K2216" t="n">
        <v>0.4</v>
      </c>
      <c r="L2216" t="n">
        <v>52.5</v>
      </c>
      <c r="M2216" t="n">
        <v>4</v>
      </c>
      <c r="N2216" t="n">
        <v>1.6</v>
      </c>
      <c r="O2216" t="n">
        <v>19.4</v>
      </c>
      <c r="P2216" t="n">
        <v>118.146</v>
      </c>
      <c r="Q2216" t="n">
        <v>0.9238095238095237</v>
      </c>
      <c r="R2216" t="inlineStr">
        <is>
          <t>Sin rotación</t>
        </is>
      </c>
    </row>
    <row r="2217">
      <c r="A2217" t="inlineStr">
        <is>
          <t>GOOSTKI16T10</t>
        </is>
      </c>
      <c r="B2217" t="inlineStr">
        <is>
          <t>RETRO VZLA KIDS</t>
        </is>
      </c>
      <c r="C2217" t="inlineStr">
        <is>
          <t>Manufactura / Dama / P. Superiores</t>
        </is>
      </c>
      <c r="D2217" t="n">
        <v>131.939238</v>
      </c>
      <c r="E2217" t="n">
        <v>3.230302285281588e-05</v>
      </c>
      <c r="F2217" t="n">
        <v>0.9850618901060382</v>
      </c>
      <c r="G2217" t="inlineStr">
        <is>
          <t>C</t>
        </is>
      </c>
      <c r="H2217" t="n">
        <v>1</v>
      </c>
      <c r="I2217" t="n">
        <v>10.18</v>
      </c>
      <c r="J2217" t="n">
        <v>10.18</v>
      </c>
      <c r="K2217" t="n">
        <v>0.4</v>
      </c>
      <c r="L2217" t="n">
        <v>2.5</v>
      </c>
      <c r="M2217" t="n">
        <v>4</v>
      </c>
      <c r="N2217" t="n">
        <v>1.6</v>
      </c>
      <c r="O2217" t="n">
        <v>0</v>
      </c>
      <c r="P2217" t="n">
        <v>0</v>
      </c>
      <c r="Q2217" t="n">
        <v>0</v>
      </c>
      <c r="R2217" t="inlineStr">
        <is>
          <t>OK</t>
        </is>
      </c>
    </row>
    <row r="2218">
      <c r="A2218" t="inlineStr">
        <is>
          <t>CLAMICA50T2XL</t>
        </is>
      </c>
      <c r="B2218" t="inlineStr">
        <is>
          <t>CLASICA ORIGINAL CAB</t>
        </is>
      </c>
      <c r="C2218" t="inlineStr">
        <is>
          <t>Manufactura / Caballero / P. Superiores</t>
        </is>
      </c>
      <c r="D2218" t="n">
        <v>130.62507281</v>
      </c>
      <c r="E2218" t="n">
        <v>3.198127241065443e-05</v>
      </c>
      <c r="F2218" t="n">
        <v>0.9850938713784488</v>
      </c>
      <c r="G2218" t="inlineStr">
        <is>
          <t>C</t>
        </is>
      </c>
      <c r="H2218" t="n">
        <v>7</v>
      </c>
      <c r="I2218" t="n">
        <v>4.598442536</v>
      </c>
      <c r="J2218" t="n">
        <v>32.189097752</v>
      </c>
      <c r="K2218" t="n">
        <v>0.3</v>
      </c>
      <c r="L2218" t="n">
        <v>23.33333333333334</v>
      </c>
      <c r="M2218" t="n">
        <v>4</v>
      </c>
      <c r="N2218" t="n">
        <v>1.2</v>
      </c>
      <c r="O2218" t="n">
        <v>5.8</v>
      </c>
      <c r="P2218" t="n">
        <v>26.6709667088</v>
      </c>
      <c r="Q2218" t="n">
        <v>0.8285714285714286</v>
      </c>
      <c r="R2218" t="inlineStr">
        <is>
          <t>Sobrestock crítico</t>
        </is>
      </c>
    </row>
    <row r="2219">
      <c r="A2219" t="inlineStr">
        <is>
          <t>SHOUNKI29T2</t>
        </is>
      </c>
      <c r="B2219" t="inlineStr">
        <is>
          <t>SHORT PLAYA KIDS</t>
        </is>
      </c>
      <c r="C2219" t="inlineStr">
        <is>
          <t>Manufactura / Kids / P. Inferiores</t>
        </is>
      </c>
      <c r="D2219" t="n">
        <v>130.4542721</v>
      </c>
      <c r="E2219" t="n">
        <v>3.193945483369974e-05</v>
      </c>
      <c r="F2219" t="n">
        <v>0.9851258108332825</v>
      </c>
      <c r="G2219" t="inlineStr">
        <is>
          <t>C</t>
        </is>
      </c>
      <c r="H2219" t="n">
        <v>0</v>
      </c>
      <c r="I2219" t="n">
        <v>6.09</v>
      </c>
      <c r="J2219" t="n">
        <v>0</v>
      </c>
      <c r="K2219" t="n">
        <v>0.4</v>
      </c>
      <c r="L2219" t="n">
        <v>0</v>
      </c>
      <c r="M2219" t="n">
        <v>4</v>
      </c>
      <c r="N2219" t="n">
        <v>1.6</v>
      </c>
      <c r="O2219" t="n">
        <v>0</v>
      </c>
      <c r="P2219" t="n">
        <v>0</v>
      </c>
      <c r="Q2219" t="n">
        <v>0</v>
      </c>
      <c r="R2219" t="inlineStr">
        <is>
          <t>Riesgo bajo stock</t>
        </is>
      </c>
    </row>
    <row r="2220">
      <c r="A2220" t="inlineStr">
        <is>
          <t>CLAMEDA12TL</t>
        </is>
      </c>
      <c r="B2220" t="inlineStr">
        <is>
          <t>CLÁSICA SPORT DAMA</t>
        </is>
      </c>
      <c r="C2220" t="inlineStr">
        <is>
          <t>Manufactura / Dama / P. Superiores</t>
        </is>
      </c>
      <c r="D2220" t="n">
        <v>130.41626572</v>
      </c>
      <c r="E2220" t="n">
        <v>3.193014963397067e-05</v>
      </c>
      <c r="F2220" t="n">
        <v>0.9851577409829164</v>
      </c>
      <c r="G2220" t="inlineStr">
        <is>
          <t>C</t>
        </is>
      </c>
      <c r="H2220" t="n">
        <v>0</v>
      </c>
      <c r="I2220" t="n">
        <v>6.536105769</v>
      </c>
      <c r="J2220" t="n">
        <v>0</v>
      </c>
      <c r="K2220" t="n">
        <v>0.3</v>
      </c>
      <c r="L2220" t="n">
        <v>0</v>
      </c>
      <c r="M2220" t="n">
        <v>4</v>
      </c>
      <c r="N2220" t="n">
        <v>1.2</v>
      </c>
      <c r="O2220" t="n">
        <v>0</v>
      </c>
      <c r="P2220" t="n">
        <v>0</v>
      </c>
      <c r="Q2220" t="n">
        <v>0</v>
      </c>
      <c r="R2220" t="inlineStr">
        <is>
          <t>Riesgo bajo stock</t>
        </is>
      </c>
    </row>
    <row r="2221">
      <c r="A2221" t="inlineStr">
        <is>
          <t>LAN03EQ</t>
        </is>
      </c>
      <c r="B2221" t="inlineStr">
        <is>
          <t>LANYARD</t>
        </is>
      </c>
      <c r="C2221" t="inlineStr">
        <is>
          <t>Equipamiento / Accesorios</t>
        </is>
      </c>
      <c r="D2221" t="n">
        <v>130.073356121</v>
      </c>
      <c r="E2221" t="n">
        <v>3.184619419523342e-05</v>
      </c>
      <c r="F2221" t="n">
        <v>0.9851895871771118</v>
      </c>
      <c r="G2221" t="inlineStr">
        <is>
          <t>C</t>
        </is>
      </c>
      <c r="H2221" t="n">
        <v>278</v>
      </c>
      <c r="I2221" t="n">
        <v>0.51</v>
      </c>
      <c r="J2221" t="n">
        <v>141.78</v>
      </c>
      <c r="K2221" t="n">
        <v>23.8</v>
      </c>
      <c r="L2221" t="n">
        <v>11.68067226890756</v>
      </c>
      <c r="M2221" t="n">
        <v>4</v>
      </c>
      <c r="N2221" t="n">
        <v>95.2</v>
      </c>
      <c r="O2221" t="n">
        <v>182.8</v>
      </c>
      <c r="P2221" t="n">
        <v>93.22800000000001</v>
      </c>
      <c r="Q2221" t="n">
        <v>0.6575539568345324</v>
      </c>
      <c r="R2221" t="inlineStr">
        <is>
          <t>Sobrestock crítico</t>
        </is>
      </c>
    </row>
    <row r="2222">
      <c r="A2222" t="inlineStr">
        <is>
          <t>SHOUNCA29TXL</t>
        </is>
      </c>
      <c r="B2222" t="inlineStr">
        <is>
          <t>SHORT PLAYA CAB</t>
        </is>
      </c>
      <c r="C2222" t="inlineStr">
        <is>
          <t>Manufactura / Caballero / P. Inferiores</t>
        </is>
      </c>
      <c r="D2222" t="n">
        <v>130.00558607</v>
      </c>
      <c r="E2222" t="n">
        <v>3.182960187941157e-05</v>
      </c>
      <c r="F2222" t="n">
        <v>0.9852214167789912</v>
      </c>
      <c r="G2222" t="inlineStr">
        <is>
          <t>C</t>
        </is>
      </c>
      <c r="H2222" t="n">
        <v>0</v>
      </c>
      <c r="I2222" t="n">
        <v>9.99</v>
      </c>
      <c r="J2222" t="n">
        <v>0</v>
      </c>
      <c r="K2222" t="n">
        <v>0.3</v>
      </c>
      <c r="L2222" t="n">
        <v>0</v>
      </c>
      <c r="M2222" t="n">
        <v>4</v>
      </c>
      <c r="N2222" t="n">
        <v>1.2</v>
      </c>
      <c r="O2222" t="n">
        <v>0</v>
      </c>
      <c r="P2222" t="n">
        <v>0</v>
      </c>
      <c r="Q2222" t="n">
        <v>0</v>
      </c>
      <c r="R2222" t="inlineStr">
        <is>
          <t>Sin rotación</t>
        </is>
      </c>
    </row>
    <row r="2223">
      <c r="A2223" t="inlineStr">
        <is>
          <t>SHOUNKI33T2</t>
        </is>
      </c>
      <c r="B2223" t="inlineStr">
        <is>
          <t>SHORT PLAYA KIDS</t>
        </is>
      </c>
      <c r="C2223" t="inlineStr">
        <is>
          <t>Manufactura / Kids / P. Inferiores</t>
        </is>
      </c>
      <c r="D2223" t="n">
        <v>129.91935866</v>
      </c>
      <c r="E2223" t="n">
        <v>3.180849060093225e-05</v>
      </c>
      <c r="F2223" t="n">
        <v>0.9852532252695921</v>
      </c>
      <c r="G2223" t="inlineStr">
        <is>
          <t>C</t>
        </is>
      </c>
      <c r="H2223" t="n">
        <v>0</v>
      </c>
      <c r="I2223" t="n">
        <v>6.09</v>
      </c>
      <c r="J2223" t="n">
        <v>0</v>
      </c>
      <c r="K2223" t="n">
        <v>0.4</v>
      </c>
      <c r="L2223" t="n">
        <v>0</v>
      </c>
      <c r="M2223" t="n">
        <v>4</v>
      </c>
      <c r="N2223" t="n">
        <v>1.6</v>
      </c>
      <c r="O2223" t="n">
        <v>0</v>
      </c>
      <c r="P2223" t="n">
        <v>0</v>
      </c>
      <c r="Q2223" t="n">
        <v>0</v>
      </c>
      <c r="R2223" t="inlineStr">
        <is>
          <t>Sin rotación</t>
        </is>
      </c>
    </row>
    <row r="2224">
      <c r="A2224" t="inlineStr">
        <is>
          <t>ADUMMDA30TXS</t>
        </is>
      </c>
      <c r="B2224" t="inlineStr">
        <is>
          <t>ACTIVE DUO DAMA</t>
        </is>
      </c>
      <c r="C2224" t="inlineStr">
        <is>
          <t>Manufactura / Caballero / P. Superiores</t>
        </is>
      </c>
      <c r="D2224" t="n">
        <v>129.74649935</v>
      </c>
      <c r="E2224" t="n">
        <v>3.176616901164694e-05</v>
      </c>
      <c r="F2224" t="n">
        <v>0.9852849914386037</v>
      </c>
      <c r="G2224" t="inlineStr">
        <is>
          <t>C</t>
        </is>
      </c>
      <c r="H2224" t="n">
        <v>26</v>
      </c>
      <c r="I2224" t="n">
        <v>3.19128</v>
      </c>
      <c r="J2224" t="n">
        <v>82.97328</v>
      </c>
      <c r="K2224" t="n">
        <v>0.5</v>
      </c>
      <c r="L2224" t="n">
        <v>52</v>
      </c>
      <c r="M2224" t="n">
        <v>4</v>
      </c>
      <c r="N2224" t="n">
        <v>2</v>
      </c>
      <c r="O2224" t="n">
        <v>24</v>
      </c>
      <c r="P2224" t="n">
        <v>76.59072</v>
      </c>
      <c r="Q2224" t="n">
        <v>0.9230769230769231</v>
      </c>
      <c r="R2224" t="inlineStr">
        <is>
          <t>Sin rotación</t>
        </is>
      </c>
    </row>
    <row r="2225">
      <c r="A2225" t="inlineStr">
        <is>
          <t>SHOUNCA33TS</t>
        </is>
      </c>
      <c r="B2225" t="inlineStr">
        <is>
          <t>SHORT PLAYA CAB</t>
        </is>
      </c>
      <c r="C2225" t="inlineStr">
        <is>
          <t>Manufactura / Caballero / P. Inferiores</t>
        </is>
      </c>
      <c r="D2225" t="n">
        <v>129.63186154</v>
      </c>
      <c r="E2225" t="n">
        <v>3.1738101941893e-05</v>
      </c>
      <c r="F2225" t="n">
        <v>0.9853167295405456</v>
      </c>
      <c r="G2225" t="inlineStr">
        <is>
          <t>C</t>
        </is>
      </c>
      <c r="H2225" t="n">
        <v>0</v>
      </c>
      <c r="I2225" t="n">
        <v>9.99</v>
      </c>
      <c r="J2225" t="n">
        <v>0</v>
      </c>
      <c r="K2225" t="n">
        <v>0.4</v>
      </c>
      <c r="L2225" t="n">
        <v>0</v>
      </c>
      <c r="M2225" t="n">
        <v>4</v>
      </c>
      <c r="N2225" t="n">
        <v>1.6</v>
      </c>
      <c r="O2225" t="n">
        <v>0</v>
      </c>
      <c r="P2225" t="n">
        <v>0</v>
      </c>
      <c r="Q2225" t="n">
        <v>0</v>
      </c>
      <c r="R2225" t="inlineStr">
        <is>
          <t>Sin rotación</t>
        </is>
      </c>
    </row>
    <row r="2226">
      <c r="A2226" t="inlineStr">
        <is>
          <t>ADUMMCA30T2XL</t>
        </is>
      </c>
      <c r="B2226" t="inlineStr">
        <is>
          <t>ACTIVE DUO CAB</t>
        </is>
      </c>
      <c r="C2226" t="inlineStr">
        <is>
          <t>Manufactura / Caballero / P. Superiores</t>
        </is>
      </c>
      <c r="D2226" t="n">
        <v>129.52652209</v>
      </c>
      <c r="E2226" t="n">
        <v>3.171231141352378e-05</v>
      </c>
      <c r="F2226" t="n">
        <v>0.9853484418519591</v>
      </c>
      <c r="G2226" t="inlineStr">
        <is>
          <t>C</t>
        </is>
      </c>
      <c r="H2226" t="n">
        <v>18</v>
      </c>
      <c r="I2226" t="n">
        <v>5.09</v>
      </c>
      <c r="J2226" t="n">
        <v>91.62</v>
      </c>
      <c r="K2226" t="n">
        <v>0.4</v>
      </c>
      <c r="L2226" t="n">
        <v>45</v>
      </c>
      <c r="M2226" t="n">
        <v>4</v>
      </c>
      <c r="N2226" t="n">
        <v>1.6</v>
      </c>
      <c r="O2226" t="n">
        <v>16.4</v>
      </c>
      <c r="P2226" t="n">
        <v>83.47599999999998</v>
      </c>
      <c r="Q2226" t="n">
        <v>0.9111111111111109</v>
      </c>
      <c r="R2226" t="inlineStr">
        <is>
          <t>Sobrestock crítico</t>
        </is>
      </c>
    </row>
    <row r="2227">
      <c r="A2227" t="inlineStr">
        <is>
          <t>ZOEMIKI01T14</t>
        </is>
      </c>
      <c r="B2227" t="inlineStr">
        <is>
          <t>ZOE ORIGINAL KIDS</t>
        </is>
      </c>
      <c r="C2227" t="inlineStr">
        <is>
          <t>Manufactura / Kids / P. Superiores</t>
        </is>
      </c>
      <c r="D2227" t="n">
        <v>129.3098105</v>
      </c>
      <c r="E2227" t="n">
        <v>3.16592533577827e-05</v>
      </c>
      <c r="F2227" t="n">
        <v>0.9853801011053168</v>
      </c>
      <c r="G2227" t="inlineStr">
        <is>
          <t>C</t>
        </is>
      </c>
      <c r="H2227" t="n">
        <v>18</v>
      </c>
      <c r="I2227" t="n">
        <v>4.12</v>
      </c>
      <c r="J2227" t="n">
        <v>74.16</v>
      </c>
      <c r="K2227" t="n">
        <v>0.4</v>
      </c>
      <c r="L2227" t="n">
        <v>45</v>
      </c>
      <c r="M2227" t="n">
        <v>4</v>
      </c>
      <c r="N2227" t="n">
        <v>1.6</v>
      </c>
      <c r="O2227" t="n">
        <v>16.4</v>
      </c>
      <c r="P2227" t="n">
        <v>67.568</v>
      </c>
      <c r="Q2227" t="n">
        <v>0.9111111111111111</v>
      </c>
      <c r="R2227" t="inlineStr">
        <is>
          <t>Sobrestock crítico</t>
        </is>
      </c>
    </row>
    <row r="2228">
      <c r="A2228" t="inlineStr">
        <is>
          <t>OVEFTGE30TXL</t>
        </is>
      </c>
      <c r="B2228" t="inlineStr">
        <is>
          <t>UNIHOODIE</t>
        </is>
      </c>
      <c r="C2228" t="inlineStr">
        <is>
          <t>Manufactura / General</t>
        </is>
      </c>
      <c r="D2228" t="n">
        <v>129.06869534</v>
      </c>
      <c r="E2228" t="n">
        <v>3.16002205132574e-05</v>
      </c>
      <c r="F2228" t="n">
        <v>0.9854117013258301</v>
      </c>
      <c r="G2228" t="inlineStr">
        <is>
          <t>C</t>
        </is>
      </c>
      <c r="H2228" t="n">
        <v>2</v>
      </c>
      <c r="I2228" t="n">
        <v>20.27</v>
      </c>
      <c r="J2228" t="n">
        <v>40.54</v>
      </c>
      <c r="K2228" t="n">
        <v>0.4</v>
      </c>
      <c r="L2228" t="n">
        <v>5</v>
      </c>
      <c r="M2228" t="n">
        <v>4</v>
      </c>
      <c r="N2228" t="n">
        <v>1.6</v>
      </c>
      <c r="O2228" t="n">
        <v>0.3999999999999999</v>
      </c>
      <c r="P2228" t="n">
        <v>8.107999999999999</v>
      </c>
      <c r="Q2228" t="n">
        <v>0.2</v>
      </c>
      <c r="R2228" t="inlineStr">
        <is>
          <t>Sobrestock</t>
        </is>
      </c>
    </row>
    <row r="2229">
      <c r="A2229" t="inlineStr">
        <is>
          <t>CAP41MC</t>
        </is>
      </c>
      <c r="B2229" t="inlineStr">
        <is>
          <t>MESH CAP</t>
        </is>
      </c>
      <c r="C2229" t="inlineStr">
        <is>
          <t>Equipamiento / Gorras</t>
        </is>
      </c>
      <c r="D2229" t="n">
        <v>129.05504947</v>
      </c>
      <c r="E2229" t="n">
        <v>3.159687955982203e-05</v>
      </c>
      <c r="F2229" t="n">
        <v>0.9854432982053899</v>
      </c>
      <c r="G2229" t="inlineStr">
        <is>
          <t>C</t>
        </is>
      </c>
      <c r="H2229" t="n">
        <v>0</v>
      </c>
      <c r="I2229" t="n">
        <v>3.36</v>
      </c>
      <c r="J2229" t="n">
        <v>0</v>
      </c>
      <c r="K2229" t="n">
        <v>0.5</v>
      </c>
      <c r="L2229" t="n">
        <v>0</v>
      </c>
      <c r="M2229" t="n">
        <v>4</v>
      </c>
      <c r="N2229" t="n">
        <v>2</v>
      </c>
      <c r="O2229" t="n">
        <v>0</v>
      </c>
      <c r="P2229" t="n">
        <v>0</v>
      </c>
      <c r="Q2229" t="n">
        <v>0</v>
      </c>
      <c r="R2229" t="inlineStr">
        <is>
          <t>Sin rotación</t>
        </is>
      </c>
    </row>
    <row r="2230">
      <c r="A2230" t="inlineStr">
        <is>
          <t>LARIMJDA16TS</t>
        </is>
      </c>
      <c r="B2230" t="inlineStr">
        <is>
          <t>LARISA ORIGINAL DAMA</t>
        </is>
      </c>
      <c r="C2230" t="inlineStr">
        <is>
          <t>Manufactura / Dama / P. Superiores</t>
        </is>
      </c>
      <c r="D2230" t="n">
        <v>129</v>
      </c>
      <c r="E2230" t="n">
        <v>3.158340165655078e-05</v>
      </c>
      <c r="F2230" t="n">
        <v>0.985506465008703</v>
      </c>
      <c r="G2230" t="inlineStr">
        <is>
          <t>C</t>
        </is>
      </c>
      <c r="H2230" t="n">
        <v>21</v>
      </c>
      <c r="I2230" t="n">
        <v>1.765998491</v>
      </c>
      <c r="J2230" t="n">
        <v>37.085968311</v>
      </c>
      <c r="K2230" t="n">
        <v>0.5</v>
      </c>
      <c r="L2230" t="n">
        <v>42</v>
      </c>
      <c r="M2230" t="n">
        <v>4</v>
      </c>
      <c r="N2230" t="n">
        <v>2</v>
      </c>
      <c r="O2230" t="n">
        <v>19</v>
      </c>
      <c r="P2230" t="n">
        <v>33.553971329</v>
      </c>
      <c r="Q2230" t="n">
        <v>0.9047619047619047</v>
      </c>
      <c r="R2230" t="inlineStr">
        <is>
          <t>Sobrestock crítico</t>
        </is>
      </c>
    </row>
    <row r="2231">
      <c r="A2231" t="inlineStr">
        <is>
          <t>LARIMJDA43TS</t>
        </is>
      </c>
      <c r="B2231" t="inlineStr">
        <is>
          <t>LARISA ORIGINAL DAMA</t>
        </is>
      </c>
      <c r="C2231" t="inlineStr">
        <is>
          <t>Manufactura / Dama / P. Superiores</t>
        </is>
      </c>
      <c r="D2231" t="n">
        <v>129</v>
      </c>
      <c r="E2231" t="n">
        <v>3.158340165655078e-05</v>
      </c>
      <c r="F2231" t="n">
        <v>0.985506465008703</v>
      </c>
      <c r="G2231" t="inlineStr">
        <is>
          <t>C</t>
        </is>
      </c>
      <c r="H2231" t="n">
        <v>28</v>
      </c>
      <c r="I2231" t="n">
        <v>1.765998491</v>
      </c>
      <c r="J2231" t="n">
        <v>49.447957748</v>
      </c>
      <c r="K2231" t="n">
        <v>0.5</v>
      </c>
      <c r="L2231" t="n">
        <v>56</v>
      </c>
      <c r="M2231" t="n">
        <v>4</v>
      </c>
      <c r="N2231" t="n">
        <v>2</v>
      </c>
      <c r="O2231" t="n">
        <v>26</v>
      </c>
      <c r="P2231" t="n">
        <v>45.915960766</v>
      </c>
      <c r="Q2231" t="n">
        <v>0.9285714285714285</v>
      </c>
      <c r="R2231" t="inlineStr">
        <is>
          <t>Sobrestock crítico</t>
        </is>
      </c>
    </row>
    <row r="2232">
      <c r="A2232" t="inlineStr">
        <is>
          <t>LARIMJDA43TXS</t>
        </is>
      </c>
      <c r="B2232" t="inlineStr">
        <is>
          <t>LARISA ORIGINAL DAMA</t>
        </is>
      </c>
      <c r="C2232" t="inlineStr">
        <is>
          <t>Manufactura / Dama / P. Superiores</t>
        </is>
      </c>
      <c r="D2232" t="n">
        <v>128.60768717</v>
      </c>
      <c r="E2232" t="n">
        <v>3.148735069775304e-05</v>
      </c>
      <c r="F2232" t="n">
        <v>0.9855379523594008</v>
      </c>
      <c r="G2232" t="inlineStr">
        <is>
          <t>C</t>
        </is>
      </c>
      <c r="H2232" t="n">
        <v>12</v>
      </c>
      <c r="I2232" t="n">
        <v>1.765998491</v>
      </c>
      <c r="J2232" t="n">
        <v>21.191981892</v>
      </c>
      <c r="K2232" t="n">
        <v>0.6</v>
      </c>
      <c r="L2232" t="n">
        <v>20</v>
      </c>
      <c r="M2232" t="n">
        <v>4</v>
      </c>
      <c r="N2232" t="n">
        <v>2.4</v>
      </c>
      <c r="O2232" t="n">
        <v>9.6</v>
      </c>
      <c r="P2232" t="n">
        <v>16.9535855136</v>
      </c>
      <c r="Q2232" t="n">
        <v>0.7999999999999999</v>
      </c>
      <c r="R2232" t="inlineStr">
        <is>
          <t>Sobrestock crítico</t>
        </is>
      </c>
    </row>
    <row r="2233">
      <c r="A2233" t="inlineStr">
        <is>
          <t>DOMBFCA30TXL</t>
        </is>
      </c>
      <c r="B2233" t="inlineStr">
        <is>
          <t>DOMINIC BIO MOVE CAB</t>
        </is>
      </c>
      <c r="C2233" t="inlineStr">
        <is>
          <t>Manufactura / Caballero / P. Superiores</t>
        </is>
      </c>
      <c r="D2233" t="n">
        <v>128.09177589</v>
      </c>
      <c r="E2233" t="n">
        <v>3.136103881267254e-05</v>
      </c>
      <c r="F2233" t="n">
        <v>0.9855693133982134</v>
      </c>
      <c r="G2233" t="inlineStr">
        <is>
          <t>C</t>
        </is>
      </c>
      <c r="H2233" t="n">
        <v>43</v>
      </c>
      <c r="I2233" t="n">
        <v>13.86</v>
      </c>
      <c r="J2233" t="n">
        <v>595.98</v>
      </c>
      <c r="K2233" t="n">
        <v>0.2</v>
      </c>
      <c r="L2233" t="n">
        <v>215</v>
      </c>
      <c r="M2233" t="n">
        <v>4</v>
      </c>
      <c r="N2233" t="n">
        <v>0.8</v>
      </c>
      <c r="O2233" t="n">
        <v>42.2</v>
      </c>
      <c r="P2233" t="n">
        <v>584.8920000000001</v>
      </c>
      <c r="Q2233" t="n">
        <v>0.9813953488372094</v>
      </c>
      <c r="R2233" t="inlineStr">
        <is>
          <t>Sobrestock crítico</t>
        </is>
      </c>
    </row>
    <row r="2234">
      <c r="A2234" t="inlineStr">
        <is>
          <t>ZOEMIKI70T14</t>
        </is>
      </c>
      <c r="B2234" t="inlineStr">
        <is>
          <t>ZOE ORIGINAL KIDS</t>
        </is>
      </c>
      <c r="C2234" t="inlineStr">
        <is>
          <t>Manufactura / Kids / P. Superiores</t>
        </is>
      </c>
      <c r="D2234" t="n">
        <v>127.85186296</v>
      </c>
      <c r="E2234" t="n">
        <v>3.130230031320905e-05</v>
      </c>
      <c r="F2234" t="n">
        <v>0.9856006156985266</v>
      </c>
      <c r="G2234" t="inlineStr">
        <is>
          <t>C</t>
        </is>
      </c>
      <c r="H2234" t="n">
        <v>2</v>
      </c>
      <c r="I2234" t="n">
        <v>4.12</v>
      </c>
      <c r="J2234" t="n">
        <v>8.24</v>
      </c>
      <c r="K2234" t="n">
        <v>0.3</v>
      </c>
      <c r="L2234" t="n">
        <v>6.666666666666667</v>
      </c>
      <c r="M2234" t="n">
        <v>4</v>
      </c>
      <c r="N2234" t="n">
        <v>1.2</v>
      </c>
      <c r="O2234" t="n">
        <v>0.8</v>
      </c>
      <c r="P2234" t="n">
        <v>3.296</v>
      </c>
      <c r="Q2234" t="n">
        <v>0.4</v>
      </c>
      <c r="R2234" t="inlineStr">
        <is>
          <t>Sobrestock crítico</t>
        </is>
      </c>
    </row>
    <row r="2235">
      <c r="A2235" t="inlineStr">
        <is>
          <t>SHR2VICA66TS</t>
        </is>
      </c>
      <c r="B2235" t="inlineStr">
        <is>
          <t>SHORT R2 CAB</t>
        </is>
      </c>
      <c r="C2235" t="inlineStr">
        <is>
          <t>Manufactura / Dama / P. Inferiores</t>
        </is>
      </c>
      <c r="D2235" t="n">
        <v>127.61551486</v>
      </c>
      <c r="E2235" t="n">
        <v>3.124443460023958e-05</v>
      </c>
      <c r="F2235" t="n">
        <v>0.9856318601331269</v>
      </c>
      <c r="G2235" t="inlineStr">
        <is>
          <t>C</t>
        </is>
      </c>
      <c r="H2235" t="n">
        <v>0</v>
      </c>
      <c r="I2235" t="n">
        <v>9.119999999999999</v>
      </c>
      <c r="J2235" t="n">
        <v>0</v>
      </c>
      <c r="K2235" t="n">
        <v>0.2</v>
      </c>
      <c r="L2235" t="n">
        <v>0</v>
      </c>
      <c r="M2235" t="n">
        <v>4</v>
      </c>
      <c r="N2235" t="n">
        <v>0.8</v>
      </c>
      <c r="O2235" t="n">
        <v>0</v>
      </c>
      <c r="P2235" t="n">
        <v>0</v>
      </c>
      <c r="Q2235" t="n">
        <v>0</v>
      </c>
      <c r="R2235" t="inlineStr">
        <is>
          <t>Riesgo bajo stock</t>
        </is>
      </c>
    </row>
    <row r="2236">
      <c r="A2236" t="inlineStr">
        <is>
          <t>201STDA43TXL</t>
        </is>
      </c>
      <c r="B2236" t="inlineStr">
        <is>
          <t>RETRO VZLA DAMA</t>
        </is>
      </c>
      <c r="C2236" t="inlineStr">
        <is>
          <t>Manufactura / Dama / P. Superiores</t>
        </is>
      </c>
      <c r="D2236" t="n">
        <v>127.4195949</v>
      </c>
      <c r="E2236" t="n">
        <v>3.119646701272628e-05</v>
      </c>
      <c r="F2236" t="n">
        <v>0.9856630566001396</v>
      </c>
      <c r="G2236" t="inlineStr">
        <is>
          <t>C</t>
        </is>
      </c>
      <c r="H2236" t="n">
        <v>0</v>
      </c>
      <c r="I2236" t="n">
        <v>11.23</v>
      </c>
      <c r="J2236" t="n">
        <v>0</v>
      </c>
      <c r="K2236" t="n">
        <v>0.3</v>
      </c>
      <c r="L2236" t="n">
        <v>0</v>
      </c>
      <c r="M2236" t="n">
        <v>4</v>
      </c>
      <c r="N2236" t="n">
        <v>1.2</v>
      </c>
      <c r="O2236" t="n">
        <v>0</v>
      </c>
      <c r="P2236" t="n">
        <v>0</v>
      </c>
      <c r="Q2236" t="n">
        <v>0</v>
      </c>
      <c r="R2236" t="inlineStr">
        <is>
          <t>Riesgo bajo stock</t>
        </is>
      </c>
    </row>
    <row r="2237">
      <c r="A2237" t="inlineStr">
        <is>
          <t>COS142C24OZ</t>
        </is>
      </c>
      <c r="B2237" t="inlineStr">
        <is>
          <t>CONTIGO STAINLESS 24OZ</t>
        </is>
      </c>
      <c r="C2237" t="inlineStr">
        <is>
          <t>Equipamiento / Cava</t>
        </is>
      </c>
      <c r="D2237" t="n">
        <v>127.35428974</v>
      </c>
      <c r="E2237" t="n">
        <v>3.118047818250515e-05</v>
      </c>
      <c r="F2237" t="n">
        <v>0.9856942370783222</v>
      </c>
      <c r="G2237" t="inlineStr">
        <is>
          <t>C</t>
        </is>
      </c>
      <c r="H2237" t="n">
        <v>3</v>
      </c>
      <c r="I2237" t="n">
        <v>24.5</v>
      </c>
      <c r="J2237" t="n">
        <v>73.5</v>
      </c>
      <c r="K2237" t="n">
        <v>0.4</v>
      </c>
      <c r="L2237" t="n">
        <v>7.5</v>
      </c>
      <c r="M2237" t="n">
        <v>4</v>
      </c>
      <c r="N2237" t="n">
        <v>1.6</v>
      </c>
      <c r="O2237" t="n">
        <v>1.4</v>
      </c>
      <c r="P2237" t="n">
        <v>34.3</v>
      </c>
      <c r="Q2237" t="n">
        <v>0.4666666666666666</v>
      </c>
      <c r="R2237" t="inlineStr">
        <is>
          <t>Sin rotación</t>
        </is>
      </c>
    </row>
    <row r="2238">
      <c r="A2238" t="inlineStr">
        <is>
          <t>SHONTCA33TL</t>
        </is>
      </c>
      <c r="B2238" t="inlineStr">
        <is>
          <t>EXPLORE SHORT CAB</t>
        </is>
      </c>
      <c r="C2238" t="inlineStr">
        <is>
          <t>Manufactura / Caballero / P. Inferiores</t>
        </is>
      </c>
      <c r="D2238" t="n">
        <v>127.14928195</v>
      </c>
      <c r="E2238" t="n">
        <v>3.113028559820832e-05</v>
      </c>
      <c r="F2238" t="n">
        <v>0.9857253673639202</v>
      </c>
      <c r="G2238" t="inlineStr">
        <is>
          <t>C</t>
        </is>
      </c>
      <c r="H2238" t="n">
        <v>4</v>
      </c>
      <c r="I2238" t="n">
        <v>11.17</v>
      </c>
      <c r="J2238" t="n">
        <v>44.68</v>
      </c>
      <c r="K2238" t="n">
        <v>0.3</v>
      </c>
      <c r="L2238" t="n">
        <v>13.33333333333333</v>
      </c>
      <c r="M2238" t="n">
        <v>4</v>
      </c>
      <c r="N2238" t="n">
        <v>1.2</v>
      </c>
      <c r="O2238" t="n">
        <v>2.8</v>
      </c>
      <c r="P2238" t="n">
        <v>31.276</v>
      </c>
      <c r="Q2238" t="n">
        <v>0.7</v>
      </c>
      <c r="R2238" t="inlineStr">
        <is>
          <t>Sin rotación</t>
        </is>
      </c>
    </row>
    <row r="2239">
      <c r="A2239" t="inlineStr">
        <is>
          <t>VIVMIDA48TXL</t>
        </is>
      </c>
      <c r="B2239" t="inlineStr">
        <is>
          <t>VIVI ORIGINAL DAMA</t>
        </is>
      </c>
      <c r="C2239" t="inlineStr">
        <is>
          <t>Manufactura / Dama / P. Superiores</t>
        </is>
      </c>
      <c r="D2239" t="n">
        <v>126.9168156</v>
      </c>
      <c r="E2239" t="n">
        <v>3.107337026407125e-05</v>
      </c>
      <c r="F2239" t="n">
        <v>0.9857564407341844</v>
      </c>
      <c r="G2239" t="inlineStr">
        <is>
          <t>C</t>
        </is>
      </c>
      <c r="H2239" t="n">
        <v>12</v>
      </c>
      <c r="I2239" t="n">
        <v>4.303181706</v>
      </c>
      <c r="J2239" t="n">
        <v>51.638180472</v>
      </c>
      <c r="K2239" t="n">
        <v>0.3</v>
      </c>
      <c r="L2239" t="n">
        <v>40</v>
      </c>
      <c r="M2239" t="n">
        <v>4</v>
      </c>
      <c r="N2239" t="n">
        <v>1.2</v>
      </c>
      <c r="O2239" t="n">
        <v>10.8</v>
      </c>
      <c r="P2239" t="n">
        <v>46.47436242480001</v>
      </c>
      <c r="Q2239" t="n">
        <v>0.9000000000000001</v>
      </c>
      <c r="R2239" t="inlineStr">
        <is>
          <t>Sobrestock crítico</t>
        </is>
      </c>
    </row>
    <row r="2240">
      <c r="A2240" t="inlineStr">
        <is>
          <t>SHOUNCA29T4XL</t>
        </is>
      </c>
      <c r="B2240" t="inlineStr">
        <is>
          <t>SHORT PLAYA CAB</t>
        </is>
      </c>
      <c r="C2240" t="inlineStr">
        <is>
          <t>Manufactura / Caballero / P. Inferiores</t>
        </is>
      </c>
      <c r="D2240" t="n">
        <v>126.79764679</v>
      </c>
      <c r="E2240" t="n">
        <v>3.10441938579382e-05</v>
      </c>
      <c r="F2240" t="n">
        <v>0.9857874849280424</v>
      </c>
      <c r="G2240" t="inlineStr">
        <is>
          <t>C</t>
        </is>
      </c>
      <c r="H2240" t="n">
        <v>0</v>
      </c>
      <c r="I2240" t="n">
        <v>9.99</v>
      </c>
      <c r="J2240" t="n">
        <v>0</v>
      </c>
      <c r="K2240" t="n">
        <v>0.2</v>
      </c>
      <c r="L2240" t="n">
        <v>0</v>
      </c>
      <c r="M2240" t="n">
        <v>4</v>
      </c>
      <c r="N2240" t="n">
        <v>0.8</v>
      </c>
      <c r="O2240" t="n">
        <v>0</v>
      </c>
      <c r="P2240" t="n">
        <v>0</v>
      </c>
      <c r="Q2240" t="n">
        <v>0</v>
      </c>
      <c r="R2240" t="inlineStr">
        <is>
          <t>Riesgo bajo stock</t>
        </is>
      </c>
    </row>
    <row r="2241">
      <c r="A2241" t="inlineStr">
        <is>
          <t>TMOFIDA31TXS</t>
        </is>
      </c>
      <c r="B2241" t="inlineStr">
        <is>
          <t>TOP MOVA</t>
        </is>
      </c>
      <c r="C2241" t="inlineStr">
        <is>
          <t>Manufactura / Dama / P. Superiores</t>
        </is>
      </c>
      <c r="D2241" t="n">
        <v>126.07253687</v>
      </c>
      <c r="E2241" t="n">
        <v>3.086666333198076e-05</v>
      </c>
      <c r="F2241" t="n">
        <v>0.9858183515913743</v>
      </c>
      <c r="G2241" t="inlineStr">
        <is>
          <t>C</t>
        </is>
      </c>
      <c r="H2241" t="n">
        <v>19</v>
      </c>
      <c r="I2241" t="n">
        <v>9.942967033</v>
      </c>
      <c r="J2241" t="n">
        <v>188.916373627</v>
      </c>
      <c r="K2241" t="n">
        <v>0.5</v>
      </c>
      <c r="L2241" t="n">
        <v>38</v>
      </c>
      <c r="M2241" t="n">
        <v>4</v>
      </c>
      <c r="N2241" t="n">
        <v>2</v>
      </c>
      <c r="O2241" t="n">
        <v>17</v>
      </c>
      <c r="P2241" t="n">
        <v>169.030439561</v>
      </c>
      <c r="Q2241" t="n">
        <v>0.8947368421052632</v>
      </c>
      <c r="R2241" t="inlineStr">
        <is>
          <t>Sobrestock crítico</t>
        </is>
      </c>
    </row>
    <row r="2242">
      <c r="A2242" t="inlineStr">
        <is>
          <t>OVEFTGE30TL</t>
        </is>
      </c>
      <c r="B2242" t="inlineStr">
        <is>
          <t>UNIHOODIE</t>
        </is>
      </c>
      <c r="C2242" t="inlineStr">
        <is>
          <t>Manufactura / General</t>
        </is>
      </c>
      <c r="D2242" t="n">
        <v>126.03406417</v>
      </c>
      <c r="E2242" t="n">
        <v>3.085724396192718e-05</v>
      </c>
      <c r="F2242" t="n">
        <v>0.9858492088353362</v>
      </c>
      <c r="G2242" t="inlineStr">
        <is>
          <t>C</t>
        </is>
      </c>
      <c r="H2242" t="n">
        <v>0</v>
      </c>
      <c r="I2242" t="n">
        <v>20.27</v>
      </c>
      <c r="J2242" t="n">
        <v>0</v>
      </c>
      <c r="K2242" t="n">
        <v>0.2</v>
      </c>
      <c r="L2242" t="n">
        <v>0</v>
      </c>
      <c r="M2242" t="n">
        <v>4</v>
      </c>
      <c r="N2242" t="n">
        <v>0.8</v>
      </c>
      <c r="O2242" t="n">
        <v>0</v>
      </c>
      <c r="P2242" t="n">
        <v>0</v>
      </c>
      <c r="Q2242" t="n">
        <v>0</v>
      </c>
      <c r="R2242" t="inlineStr">
        <is>
          <t>Sin rotación</t>
        </is>
      </c>
    </row>
    <row r="2243">
      <c r="A2243" t="inlineStr">
        <is>
          <t>CLAMIKI11T14</t>
        </is>
      </c>
      <c r="B2243" t="inlineStr">
        <is>
          <t>CLASICA ORIGINAL KIDS</t>
        </is>
      </c>
      <c r="C2243" t="inlineStr">
        <is>
          <t>Manufactura / Kids / P. Superiores</t>
        </is>
      </c>
      <c r="D2243" t="n">
        <v>125.80208823</v>
      </c>
      <c r="E2243" t="n">
        <v>3.080044869613124e-05</v>
      </c>
      <c r="F2243" t="n">
        <v>0.9858800092840323</v>
      </c>
      <c r="G2243" t="inlineStr">
        <is>
          <t>C</t>
        </is>
      </c>
      <c r="H2243" t="n">
        <v>0</v>
      </c>
      <c r="I2243" t="n">
        <v>2.053774806</v>
      </c>
      <c r="J2243" t="n">
        <v>0</v>
      </c>
      <c r="K2243" t="n">
        <v>0.4</v>
      </c>
      <c r="L2243" t="n">
        <v>0</v>
      </c>
      <c r="M2243" t="n">
        <v>4</v>
      </c>
      <c r="N2243" t="n">
        <v>1.6</v>
      </c>
      <c r="O2243" t="n">
        <v>0</v>
      </c>
      <c r="P2243" t="n">
        <v>0</v>
      </c>
      <c r="Q2243" t="n">
        <v>0</v>
      </c>
      <c r="R2243" t="inlineStr">
        <is>
          <t>Riesgo bajo stock</t>
        </is>
      </c>
    </row>
    <row r="2244">
      <c r="A2244" t="inlineStr">
        <is>
          <t>ZOEMIKI16T12</t>
        </is>
      </c>
      <c r="B2244" t="inlineStr">
        <is>
          <t>ZOE ORIGINAL KIDS</t>
        </is>
      </c>
      <c r="C2244" t="inlineStr">
        <is>
          <t>Manufactura / Kids / P. Superiores</t>
        </is>
      </c>
      <c r="D2244" t="n">
        <v>125.77255826</v>
      </c>
      <c r="E2244" t="n">
        <v>3.079321879765515e-05</v>
      </c>
      <c r="F2244" t="n">
        <v>0.98591080250283</v>
      </c>
      <c r="G2244" t="inlineStr">
        <is>
          <t>C</t>
        </is>
      </c>
      <c r="H2244" t="n">
        <v>26</v>
      </c>
      <c r="I2244" t="n">
        <v>4.12</v>
      </c>
      <c r="J2244" t="n">
        <v>107.12</v>
      </c>
      <c r="K2244" t="n">
        <v>0.4</v>
      </c>
      <c r="L2244" t="n">
        <v>65</v>
      </c>
      <c r="M2244" t="n">
        <v>4</v>
      </c>
      <c r="N2244" t="n">
        <v>1.6</v>
      </c>
      <c r="O2244" t="n">
        <v>24.4</v>
      </c>
      <c r="P2244" t="n">
        <v>100.528</v>
      </c>
      <c r="Q2244" t="n">
        <v>0.9384615384615383</v>
      </c>
      <c r="R2244" t="inlineStr">
        <is>
          <t>Sobrestock crítico</t>
        </is>
      </c>
    </row>
    <row r="2245">
      <c r="A2245" t="inlineStr">
        <is>
          <t>GOOSTDA43TL</t>
        </is>
      </c>
      <c r="B2245" t="inlineStr">
        <is>
          <t>RETRO VZLA DAMA</t>
        </is>
      </c>
      <c r="C2245" t="inlineStr">
        <is>
          <t>Manufactura / Dama / P. Superiores</t>
        </is>
      </c>
      <c r="D2245" t="n">
        <v>125.60141618</v>
      </c>
      <c r="E2245" t="n">
        <v>3.075131764220571e-05</v>
      </c>
      <c r="F2245" t="n">
        <v>0.9859415538204722</v>
      </c>
      <c r="G2245" t="inlineStr">
        <is>
          <t>C</t>
        </is>
      </c>
      <c r="H2245" t="n">
        <v>0</v>
      </c>
      <c r="I2245" t="n">
        <v>11.23</v>
      </c>
      <c r="J2245" t="n">
        <v>0</v>
      </c>
      <c r="K2245" t="n">
        <v>0.3</v>
      </c>
      <c r="L2245" t="n">
        <v>0</v>
      </c>
      <c r="M2245" t="n">
        <v>4</v>
      </c>
      <c r="N2245" t="n">
        <v>1.2</v>
      </c>
      <c r="O2245" t="n">
        <v>0</v>
      </c>
      <c r="P2245" t="n">
        <v>0</v>
      </c>
      <c r="Q2245" t="n">
        <v>0</v>
      </c>
      <c r="R2245" t="inlineStr">
        <is>
          <t>Riesgo bajo stock</t>
        </is>
      </c>
    </row>
    <row r="2246">
      <c r="A2246" t="inlineStr">
        <is>
          <t>ACCMICA120T4XL</t>
        </is>
      </c>
      <c r="B2246" t="inlineStr">
        <is>
          <t>CLASICA ACTIVE CAB</t>
        </is>
      </c>
      <c r="C2246" t="inlineStr">
        <is>
          <t>Manufactura / Caballero / P. Superiores</t>
        </is>
      </c>
      <c r="D2246" t="n">
        <v>124.93091505</v>
      </c>
      <c r="E2246" t="n">
        <v>3.058715712670214e-05</v>
      </c>
      <c r="F2246" t="n">
        <v>0.9859721409775989</v>
      </c>
      <c r="G2246" t="inlineStr">
        <is>
          <t>C</t>
        </is>
      </c>
      <c r="H2246" t="n">
        <v>0</v>
      </c>
      <c r="I2246" t="n">
        <v>12.74</v>
      </c>
      <c r="J2246" t="n">
        <v>0</v>
      </c>
      <c r="K2246" t="n">
        <v>0.2</v>
      </c>
      <c r="L2246" t="n">
        <v>0</v>
      </c>
      <c r="M2246" t="n">
        <v>4</v>
      </c>
      <c r="N2246" t="n">
        <v>0.8</v>
      </c>
      <c r="O2246" t="n">
        <v>0</v>
      </c>
      <c r="P2246" t="n">
        <v>0</v>
      </c>
      <c r="Q2246" t="n">
        <v>0</v>
      </c>
      <c r="R2246" t="inlineStr">
        <is>
          <t>Sin rotación</t>
        </is>
      </c>
    </row>
    <row r="2247">
      <c r="A2247" t="inlineStr">
        <is>
          <t>ZOEMIKI43T10</t>
        </is>
      </c>
      <c r="B2247" t="inlineStr">
        <is>
          <t>ZOE ORIGINAL KIDS</t>
        </is>
      </c>
      <c r="C2247" t="inlineStr">
        <is>
          <t>Manufactura / Kids / P. Superiores</t>
        </is>
      </c>
      <c r="D2247" t="n">
        <v>124.83897548</v>
      </c>
      <c r="E2247" t="n">
        <v>3.056464732540414e-05</v>
      </c>
      <c r="F2247" t="n">
        <v>0.9860027056249243</v>
      </c>
      <c r="G2247" t="inlineStr">
        <is>
          <t>C</t>
        </is>
      </c>
      <c r="H2247" t="n">
        <v>23</v>
      </c>
      <c r="I2247" t="n">
        <v>4.12</v>
      </c>
      <c r="J2247" t="n">
        <v>94.76000000000001</v>
      </c>
      <c r="K2247" t="n">
        <v>0.3</v>
      </c>
      <c r="L2247" t="n">
        <v>76.66666666666667</v>
      </c>
      <c r="M2247" t="n">
        <v>4</v>
      </c>
      <c r="N2247" t="n">
        <v>1.2</v>
      </c>
      <c r="O2247" t="n">
        <v>21.8</v>
      </c>
      <c r="P2247" t="n">
        <v>89.816</v>
      </c>
      <c r="Q2247" t="n">
        <v>0.9478260869565217</v>
      </c>
      <c r="R2247" t="inlineStr">
        <is>
          <t>Sin rotación</t>
        </is>
      </c>
    </row>
    <row r="2248">
      <c r="A2248" t="inlineStr">
        <is>
          <t>DANMIKI66T14</t>
        </is>
      </c>
      <c r="B2248" t="inlineStr">
        <is>
          <t>DANI ORIGINAL KIDS</t>
        </is>
      </c>
      <c r="C2248" t="inlineStr">
        <is>
          <t>Manufactura / Kids / P. Superiores</t>
        </is>
      </c>
      <c r="D2248" t="n">
        <v>124.41850224</v>
      </c>
      <c r="E2248" t="n">
        <v>3.046170178102623e-05</v>
      </c>
      <c r="F2248" t="n">
        <v>0.9860331673267053</v>
      </c>
      <c r="G2248" t="inlineStr">
        <is>
          <t>C</t>
        </is>
      </c>
      <c r="H2248" t="n">
        <v>2</v>
      </c>
      <c r="I2248" t="n">
        <v>3.55</v>
      </c>
      <c r="J2248" t="n">
        <v>7.1</v>
      </c>
      <c r="K2248" t="n">
        <v>0.5</v>
      </c>
      <c r="L2248" t="n">
        <v>4</v>
      </c>
      <c r="M2248" t="n">
        <v>4</v>
      </c>
      <c r="N2248" t="n">
        <v>2</v>
      </c>
      <c r="O2248" t="n">
        <v>0</v>
      </c>
      <c r="P2248" t="n">
        <v>0</v>
      </c>
      <c r="Q2248" t="n">
        <v>0</v>
      </c>
      <c r="R2248" t="inlineStr">
        <is>
          <t>OK</t>
        </is>
      </c>
    </row>
    <row r="2249">
      <c r="A2249" t="inlineStr">
        <is>
          <t>RIOMIKI14T8</t>
        </is>
      </c>
      <c r="B2249" t="inlineStr">
        <is>
          <t>RIO ORIGINAL KIDS</t>
        </is>
      </c>
      <c r="C2249" t="inlineStr">
        <is>
          <t>Manufactura / Kids / P. Superiores</t>
        </is>
      </c>
      <c r="D2249" t="n">
        <v>124.3944813</v>
      </c>
      <c r="E2249" t="n">
        <v>3.045582067252865e-05</v>
      </c>
      <c r="F2249" t="n">
        <v>0.9860636231473778</v>
      </c>
      <c r="G2249" t="inlineStr">
        <is>
          <t>C</t>
        </is>
      </c>
      <c r="H2249" t="n">
        <v>0</v>
      </c>
      <c r="I2249" t="n">
        <v>3.617969464</v>
      </c>
      <c r="J2249" t="n">
        <v>0</v>
      </c>
      <c r="K2249" t="n">
        <v>0.3</v>
      </c>
      <c r="L2249" t="n">
        <v>0</v>
      </c>
      <c r="M2249" t="n">
        <v>4</v>
      </c>
      <c r="N2249" t="n">
        <v>1.2</v>
      </c>
      <c r="O2249" t="n">
        <v>0</v>
      </c>
      <c r="P2249" t="n">
        <v>0</v>
      </c>
      <c r="Q2249" t="n">
        <v>0</v>
      </c>
      <c r="R2249" t="inlineStr">
        <is>
          <t>Sin rotación</t>
        </is>
      </c>
    </row>
    <row r="2250">
      <c r="A2250" t="inlineStr">
        <is>
          <t>DANMIKI12T8</t>
        </is>
      </c>
      <c r="B2250" t="inlineStr">
        <is>
          <t>DANI ORIGINAL KIDS</t>
        </is>
      </c>
      <c r="C2250" t="inlineStr">
        <is>
          <t>Manufactura / Kids / P. Superiores</t>
        </is>
      </c>
      <c r="D2250" t="n">
        <v>124.07814358</v>
      </c>
      <c r="E2250" t="n">
        <v>3.037837089524277e-05</v>
      </c>
      <c r="F2250" t="n">
        <v>0.9860940015182731</v>
      </c>
      <c r="G2250" t="inlineStr">
        <is>
          <t>C</t>
        </is>
      </c>
      <c r="H2250" t="n">
        <v>2</v>
      </c>
      <c r="I2250" t="n">
        <v>3.55</v>
      </c>
      <c r="J2250" t="n">
        <v>7.1</v>
      </c>
      <c r="K2250" t="n">
        <v>0.5</v>
      </c>
      <c r="L2250" t="n">
        <v>4</v>
      </c>
      <c r="M2250" t="n">
        <v>4</v>
      </c>
      <c r="N2250" t="n">
        <v>2</v>
      </c>
      <c r="O2250" t="n">
        <v>0</v>
      </c>
      <c r="P2250" t="n">
        <v>0</v>
      </c>
      <c r="Q2250" t="n">
        <v>0</v>
      </c>
      <c r="R2250" t="inlineStr">
        <is>
          <t>OK</t>
        </is>
      </c>
    </row>
    <row r="2251">
      <c r="A2251" t="inlineStr">
        <is>
          <t>DALSTDA30TXS</t>
        </is>
      </c>
      <c r="B2251" t="inlineStr">
        <is>
          <t>CLASICA DAILY 2.0 DAMA</t>
        </is>
      </c>
      <c r="C2251" t="inlineStr">
        <is>
          <t>Manufactura / Dama / P. Superiores</t>
        </is>
      </c>
      <c r="D2251" t="n">
        <v>124.05420748</v>
      </c>
      <c r="E2251" t="n">
        <v>3.037251055834052e-05</v>
      </c>
      <c r="F2251" t="n">
        <v>0.9861243740288315</v>
      </c>
      <c r="G2251" t="inlineStr">
        <is>
          <t>C</t>
        </is>
      </c>
      <c r="H2251" t="n">
        <v>3</v>
      </c>
      <c r="I2251" t="n">
        <v>10.02</v>
      </c>
      <c r="J2251" t="n">
        <v>30.06</v>
      </c>
      <c r="K2251" t="n">
        <v>0.4</v>
      </c>
      <c r="L2251" t="n">
        <v>7.5</v>
      </c>
      <c r="M2251" t="n">
        <v>4</v>
      </c>
      <c r="N2251" t="n">
        <v>1.6</v>
      </c>
      <c r="O2251" t="n">
        <v>1.4</v>
      </c>
      <c r="P2251" t="n">
        <v>14.028</v>
      </c>
      <c r="Q2251" t="n">
        <v>0.4666666666666666</v>
      </c>
      <c r="R2251" t="inlineStr">
        <is>
          <t>Sin rotación</t>
        </is>
      </c>
    </row>
    <row r="2252">
      <c r="A2252" t="inlineStr">
        <is>
          <t>SHR2VIDA123TL</t>
        </is>
      </c>
      <c r="B2252" t="inlineStr">
        <is>
          <t>SHORT R2 DAMA</t>
        </is>
      </c>
      <c r="C2252" t="inlineStr">
        <is>
          <t>Manufactura / Dama / P. Inferiores</t>
        </is>
      </c>
      <c r="D2252" t="n">
        <v>124</v>
      </c>
      <c r="E2252" t="n">
        <v>3.035923880164572e-05</v>
      </c>
      <c r="F2252" t="n">
        <v>0.9861850925064347</v>
      </c>
      <c r="G2252" t="inlineStr">
        <is>
          <t>C</t>
        </is>
      </c>
      <c r="H2252" t="n">
        <v>0</v>
      </c>
      <c r="I2252" t="n">
        <v>13.86928571</v>
      </c>
      <c r="J2252" t="n">
        <v>0</v>
      </c>
      <c r="K2252" t="n">
        <v>0.3</v>
      </c>
      <c r="L2252" t="n">
        <v>0</v>
      </c>
      <c r="M2252" t="n">
        <v>4</v>
      </c>
      <c r="N2252" t="n">
        <v>1.2</v>
      </c>
      <c r="O2252" t="n">
        <v>0</v>
      </c>
      <c r="P2252" t="n">
        <v>0</v>
      </c>
      <c r="Q2252" t="n">
        <v>0</v>
      </c>
      <c r="R2252" t="inlineStr">
        <is>
          <t>Riesgo bajo stock</t>
        </is>
      </c>
    </row>
    <row r="2253">
      <c r="A2253" t="inlineStr">
        <is>
          <t>SRR2VIU43TM</t>
        </is>
      </c>
      <c r="B2253" t="inlineStr">
        <is>
          <t>R2 RUNNING 3,5"</t>
        </is>
      </c>
      <c r="C2253" t="inlineStr">
        <is>
          <t>Manufactura / General</t>
        </is>
      </c>
      <c r="D2253" t="n">
        <v>124</v>
      </c>
      <c r="E2253" t="n">
        <v>3.035923880164572e-05</v>
      </c>
      <c r="F2253" t="n">
        <v>0.9861850925064347</v>
      </c>
      <c r="G2253" t="inlineStr">
        <is>
          <t>C</t>
        </is>
      </c>
      <c r="H2253" t="n">
        <v>13</v>
      </c>
      <c r="I2253" t="n">
        <v>6.19</v>
      </c>
      <c r="J2253" t="n">
        <v>80.47</v>
      </c>
      <c r="K2253" t="n">
        <v>0.2</v>
      </c>
      <c r="L2253" t="n">
        <v>65</v>
      </c>
      <c r="M2253" t="n">
        <v>4</v>
      </c>
      <c r="N2253" t="n">
        <v>0.8</v>
      </c>
      <c r="O2253" t="n">
        <v>12.2</v>
      </c>
      <c r="P2253" t="n">
        <v>75.518</v>
      </c>
      <c r="Q2253" t="n">
        <v>0.9384615384615385</v>
      </c>
      <c r="R2253" t="inlineStr">
        <is>
          <t>Sobrestock crítico</t>
        </is>
      </c>
    </row>
    <row r="2254">
      <c r="A2254" t="inlineStr">
        <is>
          <t>PETMIPE66TS</t>
        </is>
      </c>
      <c r="B2254" t="inlineStr">
        <is>
          <t>BANDANA PET</t>
        </is>
      </c>
      <c r="C2254" t="inlineStr">
        <is>
          <t>Manufactura / General</t>
        </is>
      </c>
      <c r="D2254" t="n">
        <v>123.726045433</v>
      </c>
      <c r="E2254" t="n">
        <v>3.029216580067511e-05</v>
      </c>
      <c r="F2254" t="n">
        <v>0.9862153846722354</v>
      </c>
      <c r="G2254" t="inlineStr">
        <is>
          <t>C</t>
        </is>
      </c>
      <c r="H2254" t="n">
        <v>33</v>
      </c>
      <c r="I2254" t="n">
        <v>0.3252662283</v>
      </c>
      <c r="J2254" t="n">
        <v>10.7337855339</v>
      </c>
      <c r="K2254" t="n">
        <v>1.7</v>
      </c>
      <c r="L2254" t="n">
        <v>19.41176470588236</v>
      </c>
      <c r="M2254" t="n">
        <v>4</v>
      </c>
      <c r="N2254" t="n">
        <v>6.8</v>
      </c>
      <c r="O2254" t="n">
        <v>26.2</v>
      </c>
      <c r="P2254" t="n">
        <v>8.52197518146</v>
      </c>
      <c r="Q2254" t="n">
        <v>0.7939393939393939</v>
      </c>
      <c r="R2254" t="inlineStr">
        <is>
          <t>Sobrestock crítico</t>
        </is>
      </c>
    </row>
    <row r="2255">
      <c r="A2255" t="inlineStr">
        <is>
          <t>VIVMIDA66TS</t>
        </is>
      </c>
      <c r="B2255" t="inlineStr">
        <is>
          <t>VIVI ORIGINAL DAMA</t>
        </is>
      </c>
      <c r="C2255" t="inlineStr">
        <is>
          <t>Manufactura / Dama / P. Superiores</t>
        </is>
      </c>
      <c r="D2255" t="n">
        <v>123.55616909</v>
      </c>
      <c r="E2255" t="n">
        <v>3.025057453886957e-05</v>
      </c>
      <c r="F2255" t="n">
        <v>0.9862456352467743</v>
      </c>
      <c r="G2255" t="inlineStr">
        <is>
          <t>C</t>
        </is>
      </c>
      <c r="H2255" t="n">
        <v>30</v>
      </c>
      <c r="I2255" t="n">
        <v>4.303181706</v>
      </c>
      <c r="J2255" t="n">
        <v>129.09545118</v>
      </c>
      <c r="K2255" t="n">
        <v>0.4</v>
      </c>
      <c r="L2255" t="n">
        <v>75</v>
      </c>
      <c r="M2255" t="n">
        <v>4</v>
      </c>
      <c r="N2255" t="n">
        <v>1.6</v>
      </c>
      <c r="O2255" t="n">
        <v>28.4</v>
      </c>
      <c r="P2255" t="n">
        <v>122.2103604504</v>
      </c>
      <c r="Q2255" t="n">
        <v>0.9466666666666667</v>
      </c>
      <c r="R2255" t="inlineStr">
        <is>
          <t>Sobrestock crítico</t>
        </is>
      </c>
    </row>
    <row r="2256">
      <c r="A2256" t="inlineStr">
        <is>
          <t>SARSPKI12T4</t>
        </is>
      </c>
      <c r="B2256" t="inlineStr">
        <is>
          <t>FALDA SARA KIDS</t>
        </is>
      </c>
      <c r="C2256" t="inlineStr">
        <is>
          <t>Manufactura / Kids / P. Inferiores</t>
        </is>
      </c>
      <c r="D2256" t="n">
        <v>123.39716868</v>
      </c>
      <c r="E2256" t="n">
        <v>3.021164605970224e-05</v>
      </c>
      <c r="F2256" t="n">
        <v>0.9862758468928341</v>
      </c>
      <c r="G2256" t="inlineStr">
        <is>
          <t>C</t>
        </is>
      </c>
      <c r="H2256" t="n">
        <v>31</v>
      </c>
      <c r="I2256" t="n">
        <v>5.753743316</v>
      </c>
      <c r="J2256" t="n">
        <v>178.366042796</v>
      </c>
      <c r="K2256" t="n">
        <v>0.3</v>
      </c>
      <c r="L2256" t="n">
        <v>103.3333333333333</v>
      </c>
      <c r="M2256" t="n">
        <v>4</v>
      </c>
      <c r="N2256" t="n">
        <v>1.2</v>
      </c>
      <c r="O2256" t="n">
        <v>29.8</v>
      </c>
      <c r="P2256" t="n">
        <v>171.4615508168</v>
      </c>
      <c r="Q2256" t="n">
        <v>0.9612903225806452</v>
      </c>
      <c r="R2256" t="inlineStr">
        <is>
          <t>Sobrestock crítico</t>
        </is>
      </c>
    </row>
    <row r="2257">
      <c r="A2257" t="inlineStr">
        <is>
          <t>ETN92E500ML</t>
        </is>
      </c>
      <c r="B2257" t="inlineStr">
        <is>
          <t>KAMBUKKA ETNA 500 ML</t>
        </is>
      </c>
      <c r="C2257" t="inlineStr">
        <is>
          <t>Equipamiento / Cava</t>
        </is>
      </c>
      <c r="D2257" t="n">
        <v>123.2169413</v>
      </c>
      <c r="E2257" t="n">
        <v>3.016752052689567e-05</v>
      </c>
      <c r="F2257" t="n">
        <v>0.9863060144133609</v>
      </c>
      <c r="G2257" t="inlineStr">
        <is>
          <t>C</t>
        </is>
      </c>
      <c r="H2257" t="n">
        <v>13</v>
      </c>
      <c r="I2257" t="n">
        <v>24.5</v>
      </c>
      <c r="J2257" t="n">
        <v>318.5</v>
      </c>
      <c r="K2257" t="n">
        <v>0.3</v>
      </c>
      <c r="L2257" t="n">
        <v>43.33333333333334</v>
      </c>
      <c r="M2257" t="n">
        <v>4</v>
      </c>
      <c r="N2257" t="n">
        <v>1.2</v>
      </c>
      <c r="O2257" t="n">
        <v>11.8</v>
      </c>
      <c r="P2257" t="n">
        <v>289.1</v>
      </c>
      <c r="Q2257" t="n">
        <v>0.9076923076923078</v>
      </c>
      <c r="R2257" t="inlineStr">
        <is>
          <t>Sin rotación</t>
        </is>
      </c>
    </row>
    <row r="2258">
      <c r="A2258" t="inlineStr">
        <is>
          <t>LARIMJDA12TS</t>
        </is>
      </c>
      <c r="B2258" t="inlineStr">
        <is>
          <t>LARISA ORIGINAL DAMA</t>
        </is>
      </c>
      <c r="C2258" t="inlineStr">
        <is>
          <t>Manufactura / Dama / P. Superiores</t>
        </is>
      </c>
      <c r="D2258" t="n">
        <v>123.07</v>
      </c>
      <c r="E2258" t="n">
        <v>3.013154451063337e-05</v>
      </c>
      <c r="F2258" t="n">
        <v>0.9863662775023821</v>
      </c>
      <c r="G2258" t="inlineStr">
        <is>
          <t>C</t>
        </is>
      </c>
      <c r="H2258" t="n">
        <v>38</v>
      </c>
      <c r="I2258" t="n">
        <v>1.765998491</v>
      </c>
      <c r="J2258" t="n">
        <v>67.10794265800001</v>
      </c>
      <c r="K2258" t="n">
        <v>0.3</v>
      </c>
      <c r="L2258" t="n">
        <v>126.6666666666667</v>
      </c>
      <c r="M2258" t="n">
        <v>4</v>
      </c>
      <c r="N2258" t="n">
        <v>1.2</v>
      </c>
      <c r="O2258" t="n">
        <v>36.8</v>
      </c>
      <c r="P2258" t="n">
        <v>64.98874446880001</v>
      </c>
      <c r="Q2258" t="n">
        <v>0.9684210526315788</v>
      </c>
      <c r="R2258" t="inlineStr">
        <is>
          <t>Sobrestock crítico</t>
        </is>
      </c>
    </row>
    <row r="2259">
      <c r="A2259" t="inlineStr">
        <is>
          <t>LARIMJDA43TL</t>
        </is>
      </c>
      <c r="B2259" t="inlineStr">
        <is>
          <t>LARISA ORIGINAL DAMA</t>
        </is>
      </c>
      <c r="C2259" t="inlineStr">
        <is>
          <t>Manufactura / Dama / P. Superiores</t>
        </is>
      </c>
      <c r="D2259" t="n">
        <v>123.07</v>
      </c>
      <c r="E2259" t="n">
        <v>3.013154451063337e-05</v>
      </c>
      <c r="F2259" t="n">
        <v>0.9863662775023821</v>
      </c>
      <c r="G2259" t="inlineStr">
        <is>
          <t>C</t>
        </is>
      </c>
      <c r="H2259" t="n">
        <v>10</v>
      </c>
      <c r="I2259" t="n">
        <v>1.765998491</v>
      </c>
      <c r="J2259" t="n">
        <v>17.65998491</v>
      </c>
      <c r="K2259" t="n">
        <v>0.3</v>
      </c>
      <c r="L2259" t="n">
        <v>33.33333333333334</v>
      </c>
      <c r="M2259" t="n">
        <v>4</v>
      </c>
      <c r="N2259" t="n">
        <v>1.2</v>
      </c>
      <c r="O2259" t="n">
        <v>8.800000000000001</v>
      </c>
      <c r="P2259" t="n">
        <v>15.5407867208</v>
      </c>
      <c r="Q2259" t="n">
        <v>0.8800000000000001</v>
      </c>
      <c r="R2259" t="inlineStr">
        <is>
          <t>Sobrestock crítico</t>
        </is>
      </c>
    </row>
    <row r="2260">
      <c r="A2260" t="inlineStr">
        <is>
          <t>SHOUNKI23T10</t>
        </is>
      </c>
      <c r="B2260" t="inlineStr">
        <is>
          <t>SHORT PLAYA KIDS</t>
        </is>
      </c>
      <c r="C2260" t="inlineStr">
        <is>
          <t>Manufactura / Kids / P. Inferiores</t>
        </is>
      </c>
      <c r="D2260" t="n">
        <v>122.95496388</v>
      </c>
      <c r="E2260" t="n">
        <v>3.010337992161809e-05</v>
      </c>
      <c r="F2260" t="n">
        <v>0.9863963808823039</v>
      </c>
      <c r="G2260" t="inlineStr">
        <is>
          <t>C</t>
        </is>
      </c>
      <c r="H2260" t="n">
        <v>0</v>
      </c>
      <c r="I2260" t="n">
        <v>6.09</v>
      </c>
      <c r="J2260" t="n">
        <v>0</v>
      </c>
      <c r="K2260" t="n">
        <v>0.3</v>
      </c>
      <c r="L2260" t="n">
        <v>0</v>
      </c>
      <c r="M2260" t="n">
        <v>4</v>
      </c>
      <c r="N2260" t="n">
        <v>1.2</v>
      </c>
      <c r="O2260" t="n">
        <v>0</v>
      </c>
      <c r="P2260" t="n">
        <v>0</v>
      </c>
      <c r="Q2260" t="n">
        <v>0</v>
      </c>
      <c r="R2260" t="inlineStr">
        <is>
          <t>Riesgo bajo stock</t>
        </is>
      </c>
    </row>
    <row r="2261">
      <c r="A2261" t="inlineStr">
        <is>
          <t>DANMIKI12T6</t>
        </is>
      </c>
      <c r="B2261" t="inlineStr">
        <is>
          <t>DANI ORIGINAL KIDS</t>
        </is>
      </c>
      <c r="C2261" t="inlineStr">
        <is>
          <t>Manufactura / Kids / P. Superiores</t>
        </is>
      </c>
      <c r="D2261" t="n">
        <v>122.91240828</v>
      </c>
      <c r="E2261" t="n">
        <v>3.009296092466045e-05</v>
      </c>
      <c r="F2261" t="n">
        <v>0.9864264738432285</v>
      </c>
      <c r="G2261" t="inlineStr">
        <is>
          <t>C</t>
        </is>
      </c>
      <c r="H2261" t="n">
        <v>4</v>
      </c>
      <c r="I2261" t="n">
        <v>3.55</v>
      </c>
      <c r="J2261" t="n">
        <v>14.2</v>
      </c>
      <c r="K2261" t="n">
        <v>0.5</v>
      </c>
      <c r="L2261" t="n">
        <v>8</v>
      </c>
      <c r="M2261" t="n">
        <v>4</v>
      </c>
      <c r="N2261" t="n">
        <v>2</v>
      </c>
      <c r="O2261" t="n">
        <v>2</v>
      </c>
      <c r="P2261" t="n">
        <v>7.1</v>
      </c>
      <c r="Q2261" t="n">
        <v>0.5</v>
      </c>
      <c r="R2261" t="inlineStr">
        <is>
          <t>Sobrestock crítico</t>
        </is>
      </c>
    </row>
    <row r="2262">
      <c r="A2262" t="inlineStr">
        <is>
          <t>VIVMIDA43TXS</t>
        </is>
      </c>
      <c r="B2262" t="inlineStr">
        <is>
          <t>VIVI ORIGINAL DAMA</t>
        </is>
      </c>
      <c r="C2262" t="inlineStr">
        <is>
          <t>Manufactura / Dama / P. Superiores</t>
        </is>
      </c>
      <c r="D2262" t="n">
        <v>122.54006464</v>
      </c>
      <c r="E2262" t="n">
        <v>3.000179907399082e-05</v>
      </c>
      <c r="F2262" t="n">
        <v>0.9864564756423025</v>
      </c>
      <c r="G2262" t="inlineStr">
        <is>
          <t>C</t>
        </is>
      </c>
      <c r="H2262" t="n">
        <v>36</v>
      </c>
      <c r="I2262" t="n">
        <v>4.303181706</v>
      </c>
      <c r="J2262" t="n">
        <v>154.914541416</v>
      </c>
      <c r="K2262" t="n">
        <v>0.7</v>
      </c>
      <c r="L2262" t="n">
        <v>51.42857142857143</v>
      </c>
      <c r="M2262" t="n">
        <v>4</v>
      </c>
      <c r="N2262" t="n">
        <v>2.8</v>
      </c>
      <c r="O2262" t="n">
        <v>33.2</v>
      </c>
      <c r="P2262" t="n">
        <v>142.8656326392</v>
      </c>
      <c r="Q2262" t="n">
        <v>0.9222222222222222</v>
      </c>
      <c r="R2262" t="inlineStr">
        <is>
          <t>Sobrestock crítico</t>
        </is>
      </c>
    </row>
    <row r="2263">
      <c r="A2263" t="inlineStr">
        <is>
          <t>RIOMIKI04T2</t>
        </is>
      </c>
      <c r="B2263" t="inlineStr">
        <is>
          <t>RIO ORIGINAL KIDS</t>
        </is>
      </c>
      <c r="C2263" t="inlineStr">
        <is>
          <t>Manufactura / Kids / P. Superiores</t>
        </is>
      </c>
      <c r="D2263" t="n">
        <v>122.40257384</v>
      </c>
      <c r="E2263" t="n">
        <v>2.996813684794059e-05</v>
      </c>
      <c r="F2263" t="n">
        <v>0.9864864437791504</v>
      </c>
      <c r="G2263" t="inlineStr">
        <is>
          <t>C</t>
        </is>
      </c>
      <c r="H2263" t="n">
        <v>11</v>
      </c>
      <c r="I2263" t="n">
        <v>3.617969464</v>
      </c>
      <c r="J2263" t="n">
        <v>39.797664104</v>
      </c>
      <c r="K2263" t="n">
        <v>0.3</v>
      </c>
      <c r="L2263" t="n">
        <v>36.66666666666667</v>
      </c>
      <c r="M2263" t="n">
        <v>4</v>
      </c>
      <c r="N2263" t="n">
        <v>1.2</v>
      </c>
      <c r="O2263" t="n">
        <v>9.800000000000001</v>
      </c>
      <c r="P2263" t="n">
        <v>35.4561007472</v>
      </c>
      <c r="Q2263" t="n">
        <v>0.890909090909091</v>
      </c>
      <c r="R2263" t="inlineStr">
        <is>
          <t>Sobrestock crítico</t>
        </is>
      </c>
    </row>
    <row r="2264">
      <c r="A2264" t="inlineStr">
        <is>
          <t>LAN42EQ</t>
        </is>
      </c>
      <c r="B2264" t="inlineStr">
        <is>
          <t>LANYARD</t>
        </is>
      </c>
      <c r="C2264" t="inlineStr">
        <is>
          <t>Equipamiento / Accesorios</t>
        </is>
      </c>
      <c r="D2264" t="n">
        <v>122.366999041</v>
      </c>
      <c r="E2264" t="n">
        <v>2.995942697843928e-05</v>
      </c>
      <c r="F2264" t="n">
        <v>0.9865164032061288</v>
      </c>
      <c r="G2264" t="inlineStr">
        <is>
          <t>C</t>
        </is>
      </c>
      <c r="H2264" t="n">
        <v>203</v>
      </c>
      <c r="I2264" t="n">
        <v>0.51</v>
      </c>
      <c r="J2264" t="n">
        <v>103.53</v>
      </c>
      <c r="K2264" t="n">
        <v>21.5</v>
      </c>
      <c r="L2264" t="n">
        <v>9.44186046511628</v>
      </c>
      <c r="M2264" t="n">
        <v>4</v>
      </c>
      <c r="N2264" t="n">
        <v>86</v>
      </c>
      <c r="O2264" t="n">
        <v>117</v>
      </c>
      <c r="P2264" t="n">
        <v>59.67</v>
      </c>
      <c r="Q2264" t="n">
        <v>0.5763546798029556</v>
      </c>
      <c r="R2264" t="inlineStr">
        <is>
          <t>Sobrestock crítico</t>
        </is>
      </c>
    </row>
    <row r="2265">
      <c r="A2265" t="inlineStr">
        <is>
          <t>TMOFIDA10TXL</t>
        </is>
      </c>
      <c r="B2265" t="inlineStr">
        <is>
          <t>TOP MOVA</t>
        </is>
      </c>
      <c r="C2265" t="inlineStr">
        <is>
          <t>Manufactura / Dama / P. Superiores</t>
        </is>
      </c>
      <c r="D2265" t="n">
        <v>122.01435074</v>
      </c>
      <c r="E2265" t="n">
        <v>2.987308718825337e-05</v>
      </c>
      <c r="F2265" t="n">
        <v>0.9865462762933171</v>
      </c>
      <c r="G2265" t="inlineStr">
        <is>
          <t>C</t>
        </is>
      </c>
      <c r="H2265" t="n">
        <v>12</v>
      </c>
      <c r="I2265" t="n">
        <v>9.942967033</v>
      </c>
      <c r="J2265" t="n">
        <v>119.315604396</v>
      </c>
      <c r="K2265" t="n">
        <v>0.2</v>
      </c>
      <c r="L2265" t="n">
        <v>60</v>
      </c>
      <c r="M2265" t="n">
        <v>4</v>
      </c>
      <c r="N2265" t="n">
        <v>0.8</v>
      </c>
      <c r="O2265" t="n">
        <v>11.2</v>
      </c>
      <c r="P2265" t="n">
        <v>111.3612307696</v>
      </c>
      <c r="Q2265" t="n">
        <v>0.9333333333333333</v>
      </c>
      <c r="R2265" t="inlineStr">
        <is>
          <t>Sobrestock crítico</t>
        </is>
      </c>
    </row>
    <row r="2266">
      <c r="A2266" t="inlineStr">
        <is>
          <t>CLASTCA43T2XL</t>
        </is>
      </c>
      <c r="B2266" t="inlineStr">
        <is>
          <t>CLASICA ALGODON STRETCH CAB</t>
        </is>
      </c>
      <c r="C2266" t="inlineStr">
        <is>
          <t>Manufactura / Caballero / P. Superiores</t>
        </is>
      </c>
      <c r="D2266" t="n">
        <v>121.81626242</v>
      </c>
      <c r="E2266" t="n">
        <v>2.982458871558646e-05</v>
      </c>
      <c r="F2266" t="n">
        <v>0.9865761008820326</v>
      </c>
      <c r="G2266" t="inlineStr">
        <is>
          <t>C</t>
        </is>
      </c>
      <c r="H2266" t="n">
        <v>0</v>
      </c>
      <c r="I2266" t="n">
        <v>9.27</v>
      </c>
      <c r="J2266" t="n">
        <v>0</v>
      </c>
      <c r="K2266" t="n">
        <v>0.3</v>
      </c>
      <c r="L2266" t="n">
        <v>0</v>
      </c>
      <c r="M2266" t="n">
        <v>4</v>
      </c>
      <c r="N2266" t="n">
        <v>1.2</v>
      </c>
      <c r="O2266" t="n">
        <v>0</v>
      </c>
      <c r="P2266" t="n">
        <v>0</v>
      </c>
      <c r="Q2266" t="n">
        <v>0</v>
      </c>
      <c r="R2266" t="inlineStr">
        <is>
          <t>Sin rotación</t>
        </is>
      </c>
    </row>
    <row r="2267">
      <c r="A2267" t="inlineStr">
        <is>
          <t>RIOMIDA52TM</t>
        </is>
      </c>
      <c r="B2267" t="inlineStr">
        <is>
          <t>RIO ORIGINAL DAMA</t>
        </is>
      </c>
      <c r="C2267" t="inlineStr">
        <is>
          <t>Manufactura / Dama / P. Superiores</t>
        </is>
      </c>
      <c r="D2267" t="n">
        <v>121.76781222</v>
      </c>
      <c r="E2267" t="n">
        <v>2.981272652855591e-05</v>
      </c>
      <c r="F2267" t="n">
        <v>0.9866059136085613</v>
      </c>
      <c r="G2267" t="inlineStr">
        <is>
          <t>C</t>
        </is>
      </c>
      <c r="H2267" t="n">
        <v>0</v>
      </c>
      <c r="I2267" t="n">
        <v>5.538832275</v>
      </c>
      <c r="J2267" t="n">
        <v>0</v>
      </c>
      <c r="K2267" t="n">
        <v>0.3</v>
      </c>
      <c r="L2267" t="n">
        <v>0</v>
      </c>
      <c r="M2267" t="n">
        <v>4</v>
      </c>
      <c r="N2267" t="n">
        <v>1.2</v>
      </c>
      <c r="O2267" t="n">
        <v>0</v>
      </c>
      <c r="P2267" t="n">
        <v>0</v>
      </c>
      <c r="Q2267" t="n">
        <v>0</v>
      </c>
      <c r="R2267" t="inlineStr">
        <is>
          <t>Sin rotación</t>
        </is>
      </c>
    </row>
    <row r="2268">
      <c r="A2268" t="inlineStr">
        <is>
          <t>AQUSTKI43T6</t>
        </is>
      </c>
      <c r="B2268" t="inlineStr">
        <is>
          <t>RETRO VZLA KIDS</t>
        </is>
      </c>
      <c r="C2268" t="inlineStr">
        <is>
          <t>Manufactura / Dama / P. Superiores</t>
        </is>
      </c>
      <c r="D2268" t="n">
        <v>121.65765833</v>
      </c>
      <c r="E2268" t="n">
        <v>2.978575726846365e-05</v>
      </c>
      <c r="F2268" t="n">
        <v>0.9866356993658297</v>
      </c>
      <c r="G2268" t="inlineStr">
        <is>
          <t>C</t>
        </is>
      </c>
      <c r="H2268" t="n">
        <v>1</v>
      </c>
      <c r="I2268" t="n">
        <v>10.18</v>
      </c>
      <c r="J2268" t="n">
        <v>10.18</v>
      </c>
      <c r="K2268" t="n">
        <v>0.4</v>
      </c>
      <c r="L2268" t="n">
        <v>2.5</v>
      </c>
      <c r="M2268" t="n">
        <v>4</v>
      </c>
      <c r="N2268" t="n">
        <v>1.6</v>
      </c>
      <c r="O2268" t="n">
        <v>0</v>
      </c>
      <c r="P2268" t="n">
        <v>0</v>
      </c>
      <c r="Q2268" t="n">
        <v>0</v>
      </c>
      <c r="R2268" t="inlineStr">
        <is>
          <t>OK</t>
        </is>
      </c>
    </row>
    <row r="2269">
      <c r="A2269" t="inlineStr">
        <is>
          <t>CAP66DC</t>
        </is>
      </c>
      <c r="B2269" t="inlineStr">
        <is>
          <t>DAD CAP</t>
        </is>
      </c>
      <c r="C2269" t="inlineStr">
        <is>
          <t>Equipamiento / Gorras</t>
        </is>
      </c>
      <c r="D2269" t="n">
        <v>121.3984873</v>
      </c>
      <c r="E2269" t="n">
        <v>2.972230375886496e-05</v>
      </c>
      <c r="F2269" t="n">
        <v>0.9866654216695886</v>
      </c>
      <c r="G2269" t="inlineStr">
        <is>
          <t>C</t>
        </is>
      </c>
      <c r="H2269" t="n">
        <v>0</v>
      </c>
      <c r="I2269" t="n">
        <v>3.27</v>
      </c>
      <c r="J2269" t="n">
        <v>0</v>
      </c>
      <c r="K2269" t="n">
        <v>0.4</v>
      </c>
      <c r="L2269" t="n">
        <v>0</v>
      </c>
      <c r="M2269" t="n">
        <v>4</v>
      </c>
      <c r="N2269" t="n">
        <v>1.6</v>
      </c>
      <c r="O2269" t="n">
        <v>0</v>
      </c>
      <c r="P2269" t="n">
        <v>0</v>
      </c>
      <c r="Q2269" t="n">
        <v>0</v>
      </c>
      <c r="R2269" t="inlineStr">
        <is>
          <t>Riesgo bajo stock</t>
        </is>
      </c>
    </row>
    <row r="2270">
      <c r="A2270" t="inlineStr">
        <is>
          <t>VIVMIDA66TXS</t>
        </is>
      </c>
      <c r="B2270" t="inlineStr">
        <is>
          <t>VIVI ORIGINAL DAMA</t>
        </is>
      </c>
      <c r="C2270" t="inlineStr">
        <is>
          <t>Manufactura / Dama / P. Superiores</t>
        </is>
      </c>
      <c r="D2270" t="n">
        <v>121.34024013</v>
      </c>
      <c r="E2270" t="n">
        <v>2.970804295448149e-05</v>
      </c>
      <c r="F2270" t="n">
        <v>0.986695129712543</v>
      </c>
      <c r="G2270" t="inlineStr">
        <is>
          <t>C</t>
        </is>
      </c>
      <c r="H2270" t="n">
        <v>12</v>
      </c>
      <c r="I2270" t="n">
        <v>4.303181706</v>
      </c>
      <c r="J2270" t="n">
        <v>51.638180472</v>
      </c>
      <c r="K2270" t="n">
        <v>0.4</v>
      </c>
      <c r="L2270" t="n">
        <v>30</v>
      </c>
      <c r="M2270" t="n">
        <v>4</v>
      </c>
      <c r="N2270" t="n">
        <v>1.6</v>
      </c>
      <c r="O2270" t="n">
        <v>10.4</v>
      </c>
      <c r="P2270" t="n">
        <v>44.7530897424</v>
      </c>
      <c r="Q2270" t="n">
        <v>0.8666666666666666</v>
      </c>
      <c r="R2270" t="inlineStr">
        <is>
          <t>Sobrestock crítico</t>
        </is>
      </c>
    </row>
    <row r="2271">
      <c r="A2271" t="inlineStr">
        <is>
          <t>VIVMIDA11TXL</t>
        </is>
      </c>
      <c r="B2271" t="inlineStr">
        <is>
          <t>VIVI ORIGINAL DAMA</t>
        </is>
      </c>
      <c r="C2271" t="inlineStr">
        <is>
          <t>Manufactura / Dama / P. Superiores</t>
        </is>
      </c>
      <c r="D2271" t="n">
        <v>121.25724212</v>
      </c>
      <c r="E2271" t="n">
        <v>2.968772233830688e-05</v>
      </c>
      <c r="F2271" t="n">
        <v>0.9867248174348814</v>
      </c>
      <c r="G2271" t="inlineStr">
        <is>
          <t>C</t>
        </is>
      </c>
      <c r="H2271" t="n">
        <v>5</v>
      </c>
      <c r="I2271" t="n">
        <v>4.303181706</v>
      </c>
      <c r="J2271" t="n">
        <v>21.51590853</v>
      </c>
      <c r="K2271" t="n">
        <v>0.3</v>
      </c>
      <c r="L2271" t="n">
        <v>16.66666666666667</v>
      </c>
      <c r="M2271" t="n">
        <v>4</v>
      </c>
      <c r="N2271" t="n">
        <v>1.2</v>
      </c>
      <c r="O2271" t="n">
        <v>3.8</v>
      </c>
      <c r="P2271" t="n">
        <v>16.3520904828</v>
      </c>
      <c r="Q2271" t="n">
        <v>0.76</v>
      </c>
      <c r="R2271" t="inlineStr">
        <is>
          <t>Sobrestock crítico</t>
        </is>
      </c>
    </row>
    <row r="2272">
      <c r="A2272" t="inlineStr">
        <is>
          <t>SABMEDA66TXL</t>
        </is>
      </c>
      <c r="B2272" t="inlineStr">
        <is>
          <t>SABRI SPORT DAMA</t>
        </is>
      </c>
      <c r="C2272" t="inlineStr">
        <is>
          <t>Manufactura / Dama / P. Superiores</t>
        </is>
      </c>
      <c r="D2272" t="n">
        <v>121.09760416</v>
      </c>
      <c r="E2272" t="n">
        <v>2.964863776613392e-05</v>
      </c>
      <c r="F2272" t="n">
        <v>0.9867544660726475</v>
      </c>
      <c r="G2272" t="inlineStr">
        <is>
          <t>C</t>
        </is>
      </c>
      <c r="H2272" t="n">
        <v>20</v>
      </c>
      <c r="I2272" t="n">
        <v>4.51</v>
      </c>
      <c r="J2272" t="n">
        <v>90.19999999999999</v>
      </c>
      <c r="K2272" t="n">
        <v>0.3</v>
      </c>
      <c r="L2272" t="n">
        <v>66.66666666666667</v>
      </c>
      <c r="M2272" t="n">
        <v>4</v>
      </c>
      <c r="N2272" t="n">
        <v>1.2</v>
      </c>
      <c r="O2272" t="n">
        <v>18.8</v>
      </c>
      <c r="P2272" t="n">
        <v>84.788</v>
      </c>
      <c r="Q2272" t="n">
        <v>0.9400000000000001</v>
      </c>
      <c r="R2272" t="inlineStr">
        <is>
          <t>Sobrestock crítico</t>
        </is>
      </c>
    </row>
    <row r="2273">
      <c r="A2273" t="inlineStr">
        <is>
          <t>CLAMIKI30T4</t>
        </is>
      </c>
      <c r="B2273" t="inlineStr">
        <is>
          <t>CLASICA ORIGINAL KIDS</t>
        </is>
      </c>
      <c r="C2273" t="inlineStr">
        <is>
          <t>Manufactura / Kids / P. Superiores</t>
        </is>
      </c>
      <c r="D2273" t="n">
        <v>120.83103008</v>
      </c>
      <c r="E2273" t="n">
        <v>2.958337174877062e-05</v>
      </c>
      <c r="F2273" t="n">
        <v>0.9867840494443962</v>
      </c>
      <c r="G2273" t="inlineStr">
        <is>
          <t>C</t>
        </is>
      </c>
      <c r="H2273" t="n">
        <v>36</v>
      </c>
      <c r="I2273" t="n">
        <v>2.053774806</v>
      </c>
      <c r="J2273" t="n">
        <v>73.93589301599999</v>
      </c>
      <c r="K2273" t="n">
        <v>0.4</v>
      </c>
      <c r="L2273" t="n">
        <v>90</v>
      </c>
      <c r="M2273" t="n">
        <v>4</v>
      </c>
      <c r="N2273" t="n">
        <v>1.6</v>
      </c>
      <c r="O2273" t="n">
        <v>34.4</v>
      </c>
      <c r="P2273" t="n">
        <v>70.64985332639999</v>
      </c>
      <c r="Q2273" t="n">
        <v>0.9555555555555555</v>
      </c>
      <c r="R2273" t="inlineStr">
        <is>
          <t>Sobrestock crítico</t>
        </is>
      </c>
    </row>
    <row r="2274">
      <c r="A2274" t="inlineStr">
        <is>
          <t>ANDMIDA16TS</t>
        </is>
      </c>
      <c r="B2274" t="inlineStr">
        <is>
          <t>ANDRE ORIGINAL DAMA</t>
        </is>
      </c>
      <c r="C2274" t="inlineStr">
        <is>
          <t>Manufactura / Dama / P. Superiores</t>
        </is>
      </c>
      <c r="D2274" t="n">
        <v>120.45500873</v>
      </c>
      <c r="E2274" t="n">
        <v>2.949130947490637e-05</v>
      </c>
      <c r="F2274" t="n">
        <v>0.9868135407538712</v>
      </c>
      <c r="G2274" t="inlineStr">
        <is>
          <t>C</t>
        </is>
      </c>
      <c r="H2274" t="n">
        <v>0</v>
      </c>
      <c r="I2274" t="n">
        <v>3.274295302</v>
      </c>
      <c r="J2274" t="n">
        <v>0</v>
      </c>
      <c r="K2274" t="n">
        <v>0.3</v>
      </c>
      <c r="L2274" t="n">
        <v>0</v>
      </c>
      <c r="M2274" t="n">
        <v>4</v>
      </c>
      <c r="N2274" t="n">
        <v>1.2</v>
      </c>
      <c r="O2274" t="n">
        <v>0</v>
      </c>
      <c r="P2274" t="n">
        <v>0</v>
      </c>
      <c r="Q2274" t="n">
        <v>0</v>
      </c>
      <c r="R2274" t="inlineStr">
        <is>
          <t>Riesgo bajo stock</t>
        </is>
      </c>
    </row>
    <row r="2275">
      <c r="A2275" t="inlineStr">
        <is>
          <t>CLAMIKI12T6</t>
        </is>
      </c>
      <c r="B2275" t="inlineStr">
        <is>
          <t>CLASICA ORIGINAL KIDS</t>
        </is>
      </c>
      <c r="C2275" t="inlineStr">
        <is>
          <t>Manufactura / Kids / P. Superiores</t>
        </is>
      </c>
      <c r="D2275" t="n">
        <v>120.24894816</v>
      </c>
      <c r="E2275" t="n">
        <v>2.944085913577545e-05</v>
      </c>
      <c r="F2275" t="n">
        <v>0.9868429816130069</v>
      </c>
      <c r="G2275" t="inlineStr">
        <is>
          <t>C</t>
        </is>
      </c>
      <c r="H2275" t="n">
        <v>9</v>
      </c>
      <c r="I2275" t="n">
        <v>2.053774806</v>
      </c>
      <c r="J2275" t="n">
        <v>18.483973254</v>
      </c>
      <c r="K2275" t="n">
        <v>0.4</v>
      </c>
      <c r="L2275" t="n">
        <v>22.5</v>
      </c>
      <c r="M2275" t="n">
        <v>4</v>
      </c>
      <c r="N2275" t="n">
        <v>1.6</v>
      </c>
      <c r="O2275" t="n">
        <v>7.4</v>
      </c>
      <c r="P2275" t="n">
        <v>15.1979335644</v>
      </c>
      <c r="Q2275" t="n">
        <v>0.8222222222222223</v>
      </c>
      <c r="R2275" t="inlineStr">
        <is>
          <t>Sobrestock crítico</t>
        </is>
      </c>
    </row>
    <row r="2276">
      <c r="A2276" t="inlineStr">
        <is>
          <t>CLAMIDA12TXL</t>
        </is>
      </c>
      <c r="B2276" t="inlineStr">
        <is>
          <t>CLASICA ORIGINAL DAMA</t>
        </is>
      </c>
      <c r="C2276" t="inlineStr">
        <is>
          <t>Manufactura / Dama / P. Superiores</t>
        </is>
      </c>
      <c r="D2276" t="n">
        <v>120.0498027</v>
      </c>
      <c r="E2276" t="n">
        <v>2.939210184080446e-05</v>
      </c>
      <c r="F2276" t="n">
        <v>0.9868723737148477</v>
      </c>
      <c r="G2276" t="inlineStr">
        <is>
          <t>C</t>
        </is>
      </c>
      <c r="H2276" t="n">
        <v>0</v>
      </c>
      <c r="I2276" t="n">
        <v>3.923227589</v>
      </c>
      <c r="J2276" t="n">
        <v>0</v>
      </c>
      <c r="K2276" t="n">
        <v>0.4</v>
      </c>
      <c r="L2276" t="n">
        <v>0</v>
      </c>
      <c r="M2276" t="n">
        <v>4</v>
      </c>
      <c r="N2276" t="n">
        <v>1.6</v>
      </c>
      <c r="O2276" t="n">
        <v>0</v>
      </c>
      <c r="P2276" t="n">
        <v>0</v>
      </c>
      <c r="Q2276" t="n">
        <v>0</v>
      </c>
      <c r="R2276" t="inlineStr">
        <is>
          <t>Riesgo bajo stock</t>
        </is>
      </c>
    </row>
    <row r="2277">
      <c r="A2277" t="inlineStr">
        <is>
          <t>SHOUNCA23TM</t>
        </is>
      </c>
      <c r="B2277" t="inlineStr">
        <is>
          <t>SHORT PLAYA CAB</t>
        </is>
      </c>
      <c r="C2277" t="inlineStr">
        <is>
          <t>Manufactura / Caballero / P. Inferiores</t>
        </is>
      </c>
      <c r="D2277" t="n">
        <v>119.90845134</v>
      </c>
      <c r="E2277" t="n">
        <v>2.935749442392399e-05</v>
      </c>
      <c r="F2277" t="n">
        <v>0.9869017312092717</v>
      </c>
      <c r="G2277" t="inlineStr">
        <is>
          <t>C</t>
        </is>
      </c>
      <c r="H2277" t="n">
        <v>0</v>
      </c>
      <c r="I2277" t="n">
        <v>9.99</v>
      </c>
      <c r="J2277" t="n">
        <v>0</v>
      </c>
      <c r="K2277" t="n">
        <v>0.4</v>
      </c>
      <c r="L2277" t="n">
        <v>0</v>
      </c>
      <c r="M2277" t="n">
        <v>4</v>
      </c>
      <c r="N2277" t="n">
        <v>1.6</v>
      </c>
      <c r="O2277" t="n">
        <v>0</v>
      </c>
      <c r="P2277" t="n">
        <v>0</v>
      </c>
      <c r="Q2277" t="n">
        <v>0</v>
      </c>
      <c r="R2277" t="inlineStr">
        <is>
          <t>Riesgo bajo stock</t>
        </is>
      </c>
    </row>
    <row r="2278">
      <c r="A2278" t="inlineStr">
        <is>
          <t>ADUMMDA30TL</t>
        </is>
      </c>
      <c r="B2278" t="inlineStr">
        <is>
          <t>ACTIVE DUO DAMA</t>
        </is>
      </c>
      <c r="C2278" t="inlineStr">
        <is>
          <t>Manufactura / Caballero / P. Superiores</t>
        </is>
      </c>
      <c r="D2278" t="n">
        <v>119.73405168</v>
      </c>
      <c r="E2278" t="n">
        <v>2.931479570678798e-05</v>
      </c>
      <c r="F2278" t="n">
        <v>0.9869310460049784</v>
      </c>
      <c r="G2278" t="inlineStr">
        <is>
          <t>C</t>
        </is>
      </c>
      <c r="H2278" t="n">
        <v>8</v>
      </c>
      <c r="I2278" t="n">
        <v>3.19128</v>
      </c>
      <c r="J2278" t="n">
        <v>25.53024</v>
      </c>
      <c r="K2278" t="n">
        <v>0.3</v>
      </c>
      <c r="L2278" t="n">
        <v>26.66666666666667</v>
      </c>
      <c r="M2278" t="n">
        <v>4</v>
      </c>
      <c r="N2278" t="n">
        <v>1.2</v>
      </c>
      <c r="O2278" t="n">
        <v>6.8</v>
      </c>
      <c r="P2278" t="n">
        <v>21.700704</v>
      </c>
      <c r="Q2278" t="n">
        <v>0.85</v>
      </c>
      <c r="R2278" t="inlineStr">
        <is>
          <t>Sobrestock crítico</t>
        </is>
      </c>
    </row>
    <row r="2279">
      <c r="A2279" t="inlineStr">
        <is>
          <t>SHONTDA30TXS</t>
        </is>
      </c>
      <c r="B2279" t="inlineStr">
        <is>
          <t>EXPLORE SHORT DAMA</t>
        </is>
      </c>
      <c r="C2279" t="inlineStr">
        <is>
          <t>Manufactura / Dama / P. Inferiores</t>
        </is>
      </c>
      <c r="D2279" t="n">
        <v>119.63223889</v>
      </c>
      <c r="E2279" t="n">
        <v>2.928986861965353e-05</v>
      </c>
      <c r="F2279" t="n">
        <v>0.9869603358735981</v>
      </c>
      <c r="G2279" t="inlineStr">
        <is>
          <t>C</t>
        </is>
      </c>
      <c r="H2279" t="n">
        <v>45</v>
      </c>
      <c r="I2279" t="n">
        <v>10.22113744</v>
      </c>
      <c r="J2279" t="n">
        <v>459.9511848</v>
      </c>
      <c r="K2279" t="n">
        <v>0.4</v>
      </c>
      <c r="L2279" t="n">
        <v>112.5</v>
      </c>
      <c r="M2279" t="n">
        <v>4</v>
      </c>
      <c r="N2279" t="n">
        <v>1.6</v>
      </c>
      <c r="O2279" t="n">
        <v>43.4</v>
      </c>
      <c r="P2279" t="n">
        <v>443.597364896</v>
      </c>
      <c r="Q2279" t="n">
        <v>0.9644444444444444</v>
      </c>
      <c r="R2279" t="inlineStr">
        <is>
          <t>Sobrestock crítico</t>
        </is>
      </c>
    </row>
    <row r="2280">
      <c r="A2280" t="inlineStr">
        <is>
          <t>SHONTDA33TM</t>
        </is>
      </c>
      <c r="B2280" t="inlineStr">
        <is>
          <t>EXPLORE SHORT DAMA</t>
        </is>
      </c>
      <c r="C2280" t="inlineStr">
        <is>
          <t>Manufactura / Dama / P. Inferiores</t>
        </is>
      </c>
      <c r="D2280" t="n">
        <v>119.55455948</v>
      </c>
      <c r="E2280" t="n">
        <v>2.927085016999094e-05</v>
      </c>
      <c r="F2280" t="n">
        <v>0.986989606723768</v>
      </c>
      <c r="G2280" t="inlineStr">
        <is>
          <t>C</t>
        </is>
      </c>
      <c r="H2280" t="n">
        <v>25</v>
      </c>
      <c r="I2280" t="n">
        <v>10.22113744</v>
      </c>
      <c r="J2280" t="n">
        <v>255.528436</v>
      </c>
      <c r="K2280" t="n">
        <v>0.2</v>
      </c>
      <c r="L2280" t="n">
        <v>125</v>
      </c>
      <c r="M2280" t="n">
        <v>4</v>
      </c>
      <c r="N2280" t="n">
        <v>0.8</v>
      </c>
      <c r="O2280" t="n">
        <v>24.2</v>
      </c>
      <c r="P2280" t="n">
        <v>247.351526048</v>
      </c>
      <c r="Q2280" t="n">
        <v>0.968</v>
      </c>
      <c r="R2280" t="inlineStr">
        <is>
          <t>Sobrestock crítico</t>
        </is>
      </c>
    </row>
    <row r="2281">
      <c r="A2281" t="inlineStr">
        <is>
          <t>RIOMIKI05T10</t>
        </is>
      </c>
      <c r="B2281" t="inlineStr">
        <is>
          <t>RIO ORIGINAL KIDS</t>
        </is>
      </c>
      <c r="C2281" t="inlineStr">
        <is>
          <t>Manufactura / Kids / P. Superiores</t>
        </is>
      </c>
      <c r="D2281" t="n">
        <v>119.32437152</v>
      </c>
      <c r="E2281" t="n">
        <v>2.921449265993527e-05</v>
      </c>
      <c r="F2281" t="n">
        <v>0.9870188212164281</v>
      </c>
      <c r="G2281" t="inlineStr">
        <is>
          <t>C</t>
        </is>
      </c>
      <c r="H2281" t="n">
        <v>0</v>
      </c>
      <c r="I2281" t="n">
        <v>3.617969464</v>
      </c>
      <c r="J2281" t="n">
        <v>0</v>
      </c>
      <c r="K2281" t="n">
        <v>0.3</v>
      </c>
      <c r="L2281" t="n">
        <v>0</v>
      </c>
      <c r="M2281" t="n">
        <v>4</v>
      </c>
      <c r="N2281" t="n">
        <v>1.2</v>
      </c>
      <c r="O2281" t="n">
        <v>0</v>
      </c>
      <c r="P2281" t="n">
        <v>0</v>
      </c>
      <c r="Q2281" t="n">
        <v>0</v>
      </c>
      <c r="R2281" t="inlineStr">
        <is>
          <t>Sin rotación</t>
        </is>
      </c>
    </row>
    <row r="2282">
      <c r="A2282" t="inlineStr">
        <is>
          <t>TALGOTACA167TS</t>
        </is>
      </c>
      <c r="B2282" t="inlineStr">
        <is>
          <t>URBAN COTTON OVERSIZED VINTAGE GRIS CAB</t>
        </is>
      </c>
      <c r="C2282" t="inlineStr">
        <is>
          <t>Manufactura / Caballero / P. Superiores</t>
        </is>
      </c>
      <c r="D2282" t="n">
        <v>119.24949007</v>
      </c>
      <c r="E2282" t="n">
        <v>2.919615924201298e-05</v>
      </c>
      <c r="F2282" t="n">
        <v>0.9870480173756701</v>
      </c>
      <c r="G2282" t="inlineStr">
        <is>
          <t>C</t>
        </is>
      </c>
      <c r="H2282" t="n">
        <v>11</v>
      </c>
      <c r="I2282" t="n">
        <v>12.16179793</v>
      </c>
      <c r="J2282" t="n">
        <v>133.77977723</v>
      </c>
      <c r="K2282" t="n">
        <v>0.3</v>
      </c>
      <c r="L2282" t="n">
        <v>36.66666666666667</v>
      </c>
      <c r="M2282" t="n">
        <v>4</v>
      </c>
      <c r="N2282" t="n">
        <v>1.2</v>
      </c>
      <c r="O2282" t="n">
        <v>9.800000000000001</v>
      </c>
      <c r="P2282" t="n">
        <v>119.185619714</v>
      </c>
      <c r="Q2282" t="n">
        <v>0.890909090909091</v>
      </c>
      <c r="R2282" t="inlineStr">
        <is>
          <t>Sobrestock crítico</t>
        </is>
      </c>
    </row>
    <row r="2283">
      <c r="A2283" t="inlineStr">
        <is>
          <t>PETMIPE43TS</t>
        </is>
      </c>
      <c r="B2283" t="inlineStr">
        <is>
          <t>BANDANA PET</t>
        </is>
      </c>
      <c r="C2283" t="inlineStr">
        <is>
          <t>Manufactura / General</t>
        </is>
      </c>
      <c r="D2283" t="n">
        <v>119.136147794</v>
      </c>
      <c r="E2283" t="n">
        <v>2.916840936117906e-05</v>
      </c>
      <c r="F2283" t="n">
        <v>0.9870771857850312</v>
      </c>
      <c r="G2283" t="inlineStr">
        <is>
          <t>C</t>
        </is>
      </c>
      <c r="H2283" t="n">
        <v>12</v>
      </c>
      <c r="I2283" t="n">
        <v>0.3252662283</v>
      </c>
      <c r="J2283" t="n">
        <v>3.9031947396</v>
      </c>
      <c r="K2283" t="n">
        <v>1.5</v>
      </c>
      <c r="L2283" t="n">
        <v>8</v>
      </c>
      <c r="M2283" t="n">
        <v>4</v>
      </c>
      <c r="N2283" t="n">
        <v>6</v>
      </c>
      <c r="O2283" t="n">
        <v>6</v>
      </c>
      <c r="P2283" t="n">
        <v>1.9515973698</v>
      </c>
      <c r="Q2283" t="n">
        <v>0.5</v>
      </c>
      <c r="R2283" t="inlineStr">
        <is>
          <t>Sobrestock crítico</t>
        </is>
      </c>
    </row>
    <row r="2284">
      <c r="A2284" t="inlineStr">
        <is>
          <t>PANNTKI31T12</t>
        </is>
      </c>
      <c r="B2284" t="inlineStr">
        <is>
          <t>EXPLORE PANTS KIDS</t>
        </is>
      </c>
      <c r="C2284" t="inlineStr">
        <is>
          <t>Manufactura / Kids / P. Inferiores</t>
        </is>
      </c>
      <c r="D2284" t="n">
        <v>119.00086575</v>
      </c>
      <c r="E2284" t="n">
        <v>2.913528791053897e-05</v>
      </c>
      <c r="F2284" t="n">
        <v>0.9871063210729417</v>
      </c>
      <c r="G2284" t="inlineStr">
        <is>
          <t>C</t>
        </is>
      </c>
      <c r="H2284" t="n">
        <v>0</v>
      </c>
      <c r="I2284" t="n">
        <v>13.98</v>
      </c>
      <c r="J2284" t="n">
        <v>0</v>
      </c>
      <c r="K2284" t="n">
        <v>0.3</v>
      </c>
      <c r="L2284" t="n">
        <v>0</v>
      </c>
      <c r="M2284" t="n">
        <v>4</v>
      </c>
      <c r="N2284" t="n">
        <v>1.2</v>
      </c>
      <c r="O2284" t="n">
        <v>0</v>
      </c>
      <c r="P2284" t="n">
        <v>0</v>
      </c>
      <c r="Q2284" t="n">
        <v>0</v>
      </c>
      <c r="R2284" t="inlineStr">
        <is>
          <t>Riesgo bajo stock</t>
        </is>
      </c>
    </row>
    <row r="2285">
      <c r="A2285" t="inlineStr">
        <is>
          <t>ZOEMIKI43T6</t>
        </is>
      </c>
      <c r="B2285" t="inlineStr">
        <is>
          <t>ZOE ORIGINAL KIDS</t>
        </is>
      </c>
      <c r="C2285" t="inlineStr">
        <is>
          <t>Manufactura / Kids / P. Superiores</t>
        </is>
      </c>
      <c r="D2285" t="n">
        <v>118.9185336</v>
      </c>
      <c r="E2285" t="n">
        <v>2.911513031858008e-05</v>
      </c>
      <c r="F2285" t="n">
        <v>0.9871354362032604</v>
      </c>
      <c r="G2285" t="inlineStr">
        <is>
          <t>C</t>
        </is>
      </c>
      <c r="H2285" t="n">
        <v>20</v>
      </c>
      <c r="I2285" t="n">
        <v>4.12</v>
      </c>
      <c r="J2285" t="n">
        <v>82.40000000000001</v>
      </c>
      <c r="K2285" t="n">
        <v>0.3</v>
      </c>
      <c r="L2285" t="n">
        <v>66.66666666666667</v>
      </c>
      <c r="M2285" t="n">
        <v>4</v>
      </c>
      <c r="N2285" t="n">
        <v>1.2</v>
      </c>
      <c r="O2285" t="n">
        <v>18.8</v>
      </c>
      <c r="P2285" t="n">
        <v>77.456</v>
      </c>
      <c r="Q2285" t="n">
        <v>0.9399999999999999</v>
      </c>
      <c r="R2285" t="inlineStr">
        <is>
          <t>Sobrestock crítico</t>
        </is>
      </c>
    </row>
    <row r="2286">
      <c r="A2286" t="inlineStr">
        <is>
          <t>CRESTKI16T8</t>
        </is>
      </c>
      <c r="B2286" t="inlineStr">
        <is>
          <t>RETRO VZLA KIDS</t>
        </is>
      </c>
      <c r="C2286" t="inlineStr">
        <is>
          <t>Manufactura / Dama / P. Superiores</t>
        </is>
      </c>
      <c r="D2286" t="n">
        <v>118.43844289</v>
      </c>
      <c r="E2286" t="n">
        <v>2.899758847574668e-05</v>
      </c>
      <c r="F2286" t="n">
        <v>0.9871644337917361</v>
      </c>
      <c r="G2286" t="inlineStr">
        <is>
          <t>C</t>
        </is>
      </c>
      <c r="H2286" t="n">
        <v>4</v>
      </c>
      <c r="I2286" t="n">
        <v>10.18</v>
      </c>
      <c r="J2286" t="n">
        <v>40.72</v>
      </c>
      <c r="K2286" t="n">
        <v>0.3</v>
      </c>
      <c r="L2286" t="n">
        <v>13.33333333333333</v>
      </c>
      <c r="M2286" t="n">
        <v>4</v>
      </c>
      <c r="N2286" t="n">
        <v>1.2</v>
      </c>
      <c r="O2286" t="n">
        <v>2.8</v>
      </c>
      <c r="P2286" t="n">
        <v>28.504</v>
      </c>
      <c r="Q2286" t="n">
        <v>0.7</v>
      </c>
      <c r="R2286" t="inlineStr">
        <is>
          <t>Sin rotación</t>
        </is>
      </c>
    </row>
    <row r="2287">
      <c r="A2287" t="inlineStr">
        <is>
          <t>GEODOCACA03TXL</t>
        </is>
      </c>
      <c r="B2287" t="inlineStr">
        <is>
          <t>ADVANCE GEO DOMINIC CAB</t>
        </is>
      </c>
      <c r="C2287" t="inlineStr">
        <is>
          <t>Manufactura / Caballero / P. Superiores</t>
        </is>
      </c>
      <c r="D2287" t="n">
        <v>118.09257723</v>
      </c>
      <c r="E2287" t="n">
        <v>2.891290929699483e-05</v>
      </c>
      <c r="F2287" t="n">
        <v>0.9871933467010331</v>
      </c>
      <c r="G2287" t="inlineStr">
        <is>
          <t>C</t>
        </is>
      </c>
      <c r="H2287" t="n">
        <v>35</v>
      </c>
      <c r="I2287" t="n">
        <v>13.35</v>
      </c>
      <c r="J2287" t="n">
        <v>467.25</v>
      </c>
      <c r="K2287" t="n">
        <v>0.2</v>
      </c>
      <c r="L2287" t="n">
        <v>175</v>
      </c>
      <c r="M2287" t="n">
        <v>4</v>
      </c>
      <c r="N2287" t="n">
        <v>0.8</v>
      </c>
      <c r="O2287" t="n">
        <v>34.2</v>
      </c>
      <c r="P2287" t="n">
        <v>456.5700000000001</v>
      </c>
      <c r="Q2287" t="n">
        <v>0.9771428571428572</v>
      </c>
      <c r="R2287" t="inlineStr">
        <is>
          <t>Sobrestock crítico</t>
        </is>
      </c>
    </row>
    <row r="2288">
      <c r="A2288" t="inlineStr">
        <is>
          <t>TMOFIDA10TXS</t>
        </is>
      </c>
      <c r="B2288" t="inlineStr">
        <is>
          <t>TOP MOVA</t>
        </is>
      </c>
      <c r="C2288" t="inlineStr">
        <is>
          <t>Manufactura / Dama / P. Superiores</t>
        </is>
      </c>
      <c r="D2288" t="n">
        <v>118.05657122</v>
      </c>
      <c r="E2288" t="n">
        <v>2.890409385299577e-05</v>
      </c>
      <c r="F2288" t="n">
        <v>0.9872222507948861</v>
      </c>
      <c r="G2288" t="inlineStr">
        <is>
          <t>C</t>
        </is>
      </c>
      <c r="H2288" t="n">
        <v>26</v>
      </c>
      <c r="I2288" t="n">
        <v>9.942967033</v>
      </c>
      <c r="J2288" t="n">
        <v>258.517142858</v>
      </c>
      <c r="K2288" t="n">
        <v>0.4</v>
      </c>
      <c r="L2288" t="n">
        <v>65</v>
      </c>
      <c r="M2288" t="n">
        <v>4</v>
      </c>
      <c r="N2288" t="n">
        <v>1.6</v>
      </c>
      <c r="O2288" t="n">
        <v>24.4</v>
      </c>
      <c r="P2288" t="n">
        <v>242.6083956052</v>
      </c>
      <c r="Q2288" t="n">
        <v>0.9384615384615385</v>
      </c>
      <c r="R2288" t="inlineStr">
        <is>
          <t>Sobrestock crítico</t>
        </is>
      </c>
    </row>
    <row r="2289">
      <c r="A2289" t="inlineStr">
        <is>
          <t>SHONRKI16T14</t>
        </is>
      </c>
      <c r="B2289" t="inlineStr">
        <is>
          <t>SHORT SPORT KIDS</t>
        </is>
      </c>
      <c r="C2289" t="inlineStr">
        <is>
          <t>Manufactura / Kids / P. Inferiores</t>
        </is>
      </c>
      <c r="D2289" t="n">
        <v>117.61392782</v>
      </c>
      <c r="E2289" t="n">
        <v>2.879572033134599e-05</v>
      </c>
      <c r="F2289" t="n">
        <v>0.9872510465152174</v>
      </c>
      <c r="G2289" t="inlineStr">
        <is>
          <t>C</t>
        </is>
      </c>
      <c r="H2289" t="n">
        <v>29</v>
      </c>
      <c r="I2289" t="n">
        <v>6.465724382</v>
      </c>
      <c r="J2289" t="n">
        <v>187.506007078</v>
      </c>
      <c r="K2289" t="n">
        <v>0.4</v>
      </c>
      <c r="L2289" t="n">
        <v>72.5</v>
      </c>
      <c r="M2289" t="n">
        <v>4</v>
      </c>
      <c r="N2289" t="n">
        <v>1.6</v>
      </c>
      <c r="O2289" t="n">
        <v>27.4</v>
      </c>
      <c r="P2289" t="n">
        <v>177.1608480668</v>
      </c>
      <c r="Q2289" t="n">
        <v>0.9448275862068964</v>
      </c>
      <c r="R2289" t="inlineStr">
        <is>
          <t>Sobrestock crítico</t>
        </is>
      </c>
    </row>
    <row r="2290">
      <c r="A2290" t="inlineStr">
        <is>
          <t>SHONRKI30T6</t>
        </is>
      </c>
      <c r="B2290" t="inlineStr">
        <is>
          <t>SHORT SPORT KIDS</t>
        </is>
      </c>
      <c r="C2290" t="inlineStr">
        <is>
          <t>Manufactura / Kids / P. Inferiores</t>
        </is>
      </c>
      <c r="D2290" t="n">
        <v>117.56740881</v>
      </c>
      <c r="E2290" t="n">
        <v>2.878433096252819e-05</v>
      </c>
      <c r="F2290" t="n">
        <v>0.98727983084618</v>
      </c>
      <c r="G2290" t="inlineStr">
        <is>
          <t>C</t>
        </is>
      </c>
      <c r="H2290" t="n">
        <v>38</v>
      </c>
      <c r="I2290" t="n">
        <v>6.465724382</v>
      </c>
      <c r="J2290" t="n">
        <v>245.697526516</v>
      </c>
      <c r="K2290" t="n">
        <v>0.3</v>
      </c>
      <c r="L2290" t="n">
        <v>126.6666666666667</v>
      </c>
      <c r="M2290" t="n">
        <v>4</v>
      </c>
      <c r="N2290" t="n">
        <v>1.2</v>
      </c>
      <c r="O2290" t="n">
        <v>36.8</v>
      </c>
      <c r="P2290" t="n">
        <v>237.9386572576</v>
      </c>
      <c r="Q2290" t="n">
        <v>0.9684210526315788</v>
      </c>
      <c r="R2290" t="inlineStr">
        <is>
          <t>Sobrestock crítico</t>
        </is>
      </c>
    </row>
    <row r="2291">
      <c r="A2291" t="inlineStr">
        <is>
          <t>PANNTKI33T2</t>
        </is>
      </c>
      <c r="B2291" t="inlineStr">
        <is>
          <t>EXPLORE PANTS KIDS</t>
        </is>
      </c>
      <c r="C2291" t="inlineStr">
        <is>
          <t>Manufactura / Kids / P. Inferiores</t>
        </is>
      </c>
      <c r="D2291" t="n">
        <v>117.56639959</v>
      </c>
      <c r="E2291" t="n">
        <v>2.878408387260091e-05</v>
      </c>
      <c r="F2291" t="n">
        <v>0.9873086149300526</v>
      </c>
      <c r="G2291" t="inlineStr">
        <is>
          <t>C</t>
        </is>
      </c>
      <c r="H2291" t="n">
        <v>15</v>
      </c>
      <c r="I2291" t="n">
        <v>13.98</v>
      </c>
      <c r="J2291" t="n">
        <v>209.7</v>
      </c>
      <c r="K2291" t="n">
        <v>0.3</v>
      </c>
      <c r="L2291" t="n">
        <v>50</v>
      </c>
      <c r="M2291" t="n">
        <v>4</v>
      </c>
      <c r="N2291" t="n">
        <v>1.2</v>
      </c>
      <c r="O2291" t="n">
        <v>13.8</v>
      </c>
      <c r="P2291" t="n">
        <v>192.924</v>
      </c>
      <c r="Q2291" t="n">
        <v>0.9199999999999999</v>
      </c>
      <c r="R2291" t="inlineStr">
        <is>
          <t>Sobrestock crítico</t>
        </is>
      </c>
    </row>
    <row r="2292">
      <c r="A2292" t="inlineStr">
        <is>
          <t>ANMSUDA15TM</t>
        </is>
      </c>
      <c r="B2292" t="inlineStr">
        <is>
          <t>ANDRE MOTION DAMA</t>
        </is>
      </c>
      <c r="C2292" t="inlineStr">
        <is>
          <t>Manufactura / Dama / P. Superiores</t>
        </is>
      </c>
      <c r="D2292" t="n">
        <v>117.03544559</v>
      </c>
      <c r="E2292" t="n">
        <v>2.865408903970826e-05</v>
      </c>
      <c r="F2292" t="n">
        <v>0.9873372690190924</v>
      </c>
      <c r="G2292" t="inlineStr">
        <is>
          <t>C</t>
        </is>
      </c>
      <c r="H2292" t="n">
        <v>2</v>
      </c>
      <c r="I2292" t="n">
        <v>10.6</v>
      </c>
      <c r="J2292" t="n">
        <v>21.2</v>
      </c>
      <c r="K2292" t="n">
        <v>0.3</v>
      </c>
      <c r="L2292" t="n">
        <v>6.666666666666667</v>
      </c>
      <c r="M2292" t="n">
        <v>4</v>
      </c>
      <c r="N2292" t="n">
        <v>1.2</v>
      </c>
      <c r="O2292" t="n">
        <v>0.8</v>
      </c>
      <c r="P2292" t="n">
        <v>8.48</v>
      </c>
      <c r="Q2292" t="n">
        <v>0.4</v>
      </c>
      <c r="R2292" t="inlineStr">
        <is>
          <t>Sobrestock crítico</t>
        </is>
      </c>
    </row>
    <row r="2293">
      <c r="A2293" t="inlineStr">
        <is>
          <t>SABMEDA12TL</t>
        </is>
      </c>
      <c r="B2293" t="inlineStr">
        <is>
          <t>SABRI SPORT DAMA</t>
        </is>
      </c>
      <c r="C2293" t="inlineStr">
        <is>
          <t>Manufactura / Dama / P. Superiores</t>
        </is>
      </c>
      <c r="D2293" t="n">
        <v>117.00273527</v>
      </c>
      <c r="E2293" t="n">
        <v>2.864608048796505e-05</v>
      </c>
      <c r="F2293" t="n">
        <v>0.9873659150995803</v>
      </c>
      <c r="G2293" t="inlineStr">
        <is>
          <t>C</t>
        </is>
      </c>
      <c r="H2293" t="n">
        <v>18</v>
      </c>
      <c r="I2293" t="n">
        <v>4.51</v>
      </c>
      <c r="J2293" t="n">
        <v>81.17999999999999</v>
      </c>
      <c r="K2293" t="n">
        <v>0.3</v>
      </c>
      <c r="L2293" t="n">
        <v>60</v>
      </c>
      <c r="M2293" t="n">
        <v>4</v>
      </c>
      <c r="N2293" t="n">
        <v>1.2</v>
      </c>
      <c r="O2293" t="n">
        <v>16.8</v>
      </c>
      <c r="P2293" t="n">
        <v>75.768</v>
      </c>
      <c r="Q2293" t="n">
        <v>0.9333333333333335</v>
      </c>
      <c r="R2293" t="inlineStr">
        <is>
          <t>Sobrestock crítico</t>
        </is>
      </c>
    </row>
    <row r="2294">
      <c r="A2294" t="inlineStr">
        <is>
          <t>BUFMIGE12TUN</t>
        </is>
      </c>
      <c r="B2294" t="inlineStr">
        <is>
          <t>FLEX COVER</t>
        </is>
      </c>
      <c r="C2294" t="inlineStr">
        <is>
          <t>Manufactura / General</t>
        </is>
      </c>
      <c r="D2294" t="n">
        <v>116.8233401</v>
      </c>
      <c r="E2294" t="n">
        <v>2.860215870727237e-05</v>
      </c>
      <c r="F2294" t="n">
        <v>0.9873945172582875</v>
      </c>
      <c r="G2294" t="inlineStr">
        <is>
          <t>C</t>
        </is>
      </c>
      <c r="H2294" t="n">
        <v>0</v>
      </c>
      <c r="I2294" t="n">
        <v>2.21</v>
      </c>
      <c r="J2294" t="n">
        <v>0</v>
      </c>
      <c r="K2294" t="n">
        <v>1.3</v>
      </c>
      <c r="L2294" t="n">
        <v>0</v>
      </c>
      <c r="M2294" t="n">
        <v>4</v>
      </c>
      <c r="N2294" t="n">
        <v>5.2</v>
      </c>
      <c r="O2294" t="n">
        <v>0</v>
      </c>
      <c r="P2294" t="n">
        <v>0</v>
      </c>
      <c r="Q2294" t="n">
        <v>0</v>
      </c>
      <c r="R2294" t="inlineStr">
        <is>
          <t>Riesgo bajo stock</t>
        </is>
      </c>
    </row>
    <row r="2295">
      <c r="A2295" t="inlineStr">
        <is>
          <t>CAP18MC</t>
        </is>
      </c>
      <c r="B2295" t="inlineStr">
        <is>
          <t>MESH CAP</t>
        </is>
      </c>
      <c r="C2295" t="inlineStr">
        <is>
          <t>Equipamiento / Gorras</t>
        </is>
      </c>
      <c r="D2295" t="n">
        <v>116.76932233</v>
      </c>
      <c r="E2295" t="n">
        <v>2.858893339776461e-05</v>
      </c>
      <c r="F2295" t="n">
        <v>0.9874231061916853</v>
      </c>
      <c r="G2295" t="inlineStr">
        <is>
          <t>C</t>
        </is>
      </c>
      <c r="H2295" t="n">
        <v>1</v>
      </c>
      <c r="I2295" t="n">
        <v>3.36</v>
      </c>
      <c r="J2295" t="n">
        <v>3.36</v>
      </c>
      <c r="K2295" t="n">
        <v>0.4</v>
      </c>
      <c r="L2295" t="n">
        <v>2.5</v>
      </c>
      <c r="M2295" t="n">
        <v>4</v>
      </c>
      <c r="N2295" t="n">
        <v>1.6</v>
      </c>
      <c r="O2295" t="n">
        <v>0</v>
      </c>
      <c r="P2295" t="n">
        <v>0</v>
      </c>
      <c r="Q2295" t="n">
        <v>0</v>
      </c>
      <c r="R2295" t="inlineStr">
        <is>
          <t>OK</t>
        </is>
      </c>
    </row>
    <row r="2296">
      <c r="A2296" t="inlineStr">
        <is>
          <t>VIVMIDA13TS</t>
        </is>
      </c>
      <c r="B2296" t="inlineStr">
        <is>
          <t>VIVI ORIGINAL DAMA</t>
        </is>
      </c>
      <c r="C2296" t="inlineStr">
        <is>
          <t>Manufactura / Dama / P. Superiores</t>
        </is>
      </c>
      <c r="D2296" t="n">
        <v>116.56286511</v>
      </c>
      <c r="E2296" t="n">
        <v>2.853838594579442e-05</v>
      </c>
      <c r="F2296" t="n">
        <v>0.9874516445776311</v>
      </c>
      <c r="G2296" t="inlineStr">
        <is>
          <t>C</t>
        </is>
      </c>
      <c r="H2296" t="n">
        <v>8</v>
      </c>
      <c r="I2296" t="n">
        <v>4.303181706</v>
      </c>
      <c r="J2296" t="n">
        <v>34.425453648</v>
      </c>
      <c r="K2296" t="n">
        <v>0.6</v>
      </c>
      <c r="L2296" t="n">
        <v>13.33333333333333</v>
      </c>
      <c r="M2296" t="n">
        <v>4</v>
      </c>
      <c r="N2296" t="n">
        <v>2.4</v>
      </c>
      <c r="O2296" t="n">
        <v>5.6</v>
      </c>
      <c r="P2296" t="n">
        <v>24.0978175536</v>
      </c>
      <c r="Q2296" t="n">
        <v>0.7</v>
      </c>
      <c r="R2296" t="inlineStr">
        <is>
          <t>Sobrestock crítico</t>
        </is>
      </c>
    </row>
    <row r="2297">
      <c r="A2297" t="inlineStr">
        <is>
          <t>SHOUNKI69T12</t>
        </is>
      </c>
      <c r="B2297" t="inlineStr">
        <is>
          <t>SHORT PLAYA KIDS</t>
        </is>
      </c>
      <c r="C2297" t="inlineStr">
        <is>
          <t>Manufactura / Kids / P. Inferiores</t>
        </is>
      </c>
      <c r="D2297" t="n">
        <v>116.37</v>
      </c>
      <c r="E2297" t="n">
        <v>2.849116628506058e-05</v>
      </c>
      <c r="F2297" t="n">
        <v>0.9875371180764864</v>
      </c>
      <c r="G2297" t="inlineStr">
        <is>
          <t>C</t>
        </is>
      </c>
      <c r="H2297" t="n">
        <v>38</v>
      </c>
      <c r="I2297" t="n">
        <v>6.09</v>
      </c>
      <c r="J2297" t="n">
        <v>231.42</v>
      </c>
      <c r="K2297" t="n">
        <v>0.3</v>
      </c>
      <c r="L2297" t="n">
        <v>126.6666666666667</v>
      </c>
      <c r="M2297" t="n">
        <v>4</v>
      </c>
      <c r="N2297" t="n">
        <v>1.2</v>
      </c>
      <c r="O2297" t="n">
        <v>36.8</v>
      </c>
      <c r="P2297" t="n">
        <v>224.112</v>
      </c>
      <c r="Q2297" t="n">
        <v>0.9684210526315788</v>
      </c>
      <c r="R2297" t="inlineStr">
        <is>
          <t>Sobrestock crítico</t>
        </is>
      </c>
    </row>
    <row r="2298">
      <c r="A2298" t="inlineStr">
        <is>
          <t>SHOUNKI69T2</t>
        </is>
      </c>
      <c r="B2298" t="inlineStr">
        <is>
          <t>SHORT PLAYA KIDS</t>
        </is>
      </c>
      <c r="C2298" t="inlineStr">
        <is>
          <t>Manufactura / Kids / P. Inferiores</t>
        </is>
      </c>
      <c r="D2298" t="n">
        <v>116.37</v>
      </c>
      <c r="E2298" t="n">
        <v>2.849116628506058e-05</v>
      </c>
      <c r="F2298" t="n">
        <v>0.9875371180764864</v>
      </c>
      <c r="G2298" t="inlineStr">
        <is>
          <t>C</t>
        </is>
      </c>
      <c r="H2298" t="n">
        <v>15</v>
      </c>
      <c r="I2298" t="n">
        <v>6.09</v>
      </c>
      <c r="J2298" t="n">
        <v>91.34999999999999</v>
      </c>
      <c r="K2298" t="n">
        <v>0.3</v>
      </c>
      <c r="L2298" t="n">
        <v>50</v>
      </c>
      <c r="M2298" t="n">
        <v>4</v>
      </c>
      <c r="N2298" t="n">
        <v>1.2</v>
      </c>
      <c r="O2298" t="n">
        <v>13.8</v>
      </c>
      <c r="P2298" t="n">
        <v>84.042</v>
      </c>
      <c r="Q2298" t="n">
        <v>0.92</v>
      </c>
      <c r="R2298" t="inlineStr">
        <is>
          <t>Sobrestock crítico</t>
        </is>
      </c>
    </row>
    <row r="2299">
      <c r="A2299" t="inlineStr">
        <is>
          <t>SMCBNECA16TXL</t>
        </is>
      </c>
      <c r="B2299" t="inlineStr">
        <is>
          <t>SPOTS MANGA CORTA CAB</t>
        </is>
      </c>
      <c r="C2299" t="inlineStr">
        <is>
          <t>Manufactura / Caballero / P. Superiores</t>
        </is>
      </c>
      <c r="D2299" t="n">
        <v>116.37</v>
      </c>
      <c r="E2299" t="n">
        <v>2.849116628506058e-05</v>
      </c>
      <c r="F2299" t="n">
        <v>0.9875371180764864</v>
      </c>
      <c r="G2299" t="inlineStr">
        <is>
          <t>C</t>
        </is>
      </c>
      <c r="H2299" t="n">
        <v>9</v>
      </c>
      <c r="I2299" t="n">
        <v>8.5</v>
      </c>
      <c r="J2299" t="n">
        <v>76.5</v>
      </c>
      <c r="K2299" t="n">
        <v>0.5</v>
      </c>
      <c r="L2299" t="n">
        <v>18</v>
      </c>
      <c r="M2299" t="n">
        <v>4</v>
      </c>
      <c r="N2299" t="n">
        <v>2</v>
      </c>
      <c r="O2299" t="n">
        <v>7</v>
      </c>
      <c r="P2299" t="n">
        <v>59.5</v>
      </c>
      <c r="Q2299" t="n">
        <v>0.7777777777777778</v>
      </c>
      <c r="R2299" t="inlineStr">
        <is>
          <t>Sobrestock crítico</t>
        </is>
      </c>
    </row>
    <row r="2300">
      <c r="A2300" t="inlineStr">
        <is>
          <t>SABMEDA30TXL</t>
        </is>
      </c>
      <c r="B2300" t="inlineStr">
        <is>
          <t>SABRI SPORT DAMA</t>
        </is>
      </c>
      <c r="C2300" t="inlineStr">
        <is>
          <t>Manufactura / Dama / P. Superiores</t>
        </is>
      </c>
      <c r="D2300" t="n">
        <v>116.33475498</v>
      </c>
      <c r="E2300" t="n">
        <v>2.84825371561997e-05</v>
      </c>
      <c r="F2300" t="n">
        <v>0.9875656006136425</v>
      </c>
      <c r="G2300" t="inlineStr">
        <is>
          <t>C</t>
        </is>
      </c>
      <c r="H2300" t="n">
        <v>12</v>
      </c>
      <c r="I2300" t="n">
        <v>4.51</v>
      </c>
      <c r="J2300" t="n">
        <v>54.12</v>
      </c>
      <c r="K2300" t="n">
        <v>0.3</v>
      </c>
      <c r="L2300" t="n">
        <v>40</v>
      </c>
      <c r="M2300" t="n">
        <v>4</v>
      </c>
      <c r="N2300" t="n">
        <v>1.2</v>
      </c>
      <c r="O2300" t="n">
        <v>10.8</v>
      </c>
      <c r="P2300" t="n">
        <v>48.708</v>
      </c>
      <c r="Q2300" t="n">
        <v>0.9</v>
      </c>
      <c r="R2300" t="inlineStr">
        <is>
          <t>Sobrestock crítico</t>
        </is>
      </c>
    </row>
    <row r="2301">
      <c r="A2301" t="inlineStr">
        <is>
          <t>ADUMMCA11T2XL</t>
        </is>
      </c>
      <c r="B2301" t="inlineStr">
        <is>
          <t>ACTIVE DUO CAB</t>
        </is>
      </c>
      <c r="C2301" t="inlineStr">
        <is>
          <t>Manufactura / Caballero / P. Superiores</t>
        </is>
      </c>
      <c r="D2301" t="n">
        <v>116.11939612</v>
      </c>
      <c r="E2301" t="n">
        <v>2.842981029282236e-05</v>
      </c>
      <c r="F2301" t="n">
        <v>0.9875940304239352</v>
      </c>
      <c r="G2301" t="inlineStr">
        <is>
          <t>C</t>
        </is>
      </c>
      <c r="H2301" t="n">
        <v>20</v>
      </c>
      <c r="I2301" t="n">
        <v>5.09</v>
      </c>
      <c r="J2301" t="n">
        <v>101.8</v>
      </c>
      <c r="K2301" t="n">
        <v>0.3</v>
      </c>
      <c r="L2301" t="n">
        <v>66.66666666666667</v>
      </c>
      <c r="M2301" t="n">
        <v>4</v>
      </c>
      <c r="N2301" t="n">
        <v>1.2</v>
      </c>
      <c r="O2301" t="n">
        <v>18.8</v>
      </c>
      <c r="P2301" t="n">
        <v>95.69200000000001</v>
      </c>
      <c r="Q2301" t="n">
        <v>0.9400000000000001</v>
      </c>
      <c r="R2301" t="inlineStr">
        <is>
          <t>Sin rotación</t>
        </is>
      </c>
    </row>
    <row r="2302">
      <c r="A2302" t="inlineStr">
        <is>
          <t>SHR2VICA66TM</t>
        </is>
      </c>
      <c r="B2302" t="inlineStr">
        <is>
          <t>SHORT R2 CAB</t>
        </is>
      </c>
      <c r="C2302" t="inlineStr">
        <is>
          <t>Manufactura / Dama / P. Inferiores</t>
        </is>
      </c>
      <c r="D2302" t="n">
        <v>115.829074</v>
      </c>
      <c r="E2302" t="n">
        <v>2.83587299817701e-05</v>
      </c>
      <c r="F2302" t="n">
        <v>0.987622389153917</v>
      </c>
      <c r="G2302" t="inlineStr">
        <is>
          <t>C</t>
        </is>
      </c>
      <c r="H2302" t="n">
        <v>6</v>
      </c>
      <c r="I2302" t="n">
        <v>9.119999999999999</v>
      </c>
      <c r="J2302" t="n">
        <v>54.72</v>
      </c>
      <c r="K2302" t="n">
        <v>0.3</v>
      </c>
      <c r="L2302" t="n">
        <v>20</v>
      </c>
      <c r="M2302" t="n">
        <v>4</v>
      </c>
      <c r="N2302" t="n">
        <v>1.2</v>
      </c>
      <c r="O2302" t="n">
        <v>4.8</v>
      </c>
      <c r="P2302" t="n">
        <v>43.776</v>
      </c>
      <c r="Q2302" t="n">
        <v>0.7999999999999999</v>
      </c>
      <c r="R2302" t="inlineStr">
        <is>
          <t>Sobrestock crítico</t>
        </is>
      </c>
    </row>
    <row r="2303">
      <c r="A2303" t="inlineStr">
        <is>
          <t>ZOEMIDA70TXL</t>
        </is>
      </c>
      <c r="B2303" t="inlineStr">
        <is>
          <t>ZOE ORIGINAL DAMA</t>
        </is>
      </c>
      <c r="C2303" t="inlineStr">
        <is>
          <t>Manufactura / Dama / P. Superiores</t>
        </is>
      </c>
      <c r="D2303" t="n">
        <v>115.79626578</v>
      </c>
      <c r="E2303" t="n">
        <v>2.835069746091819e-05</v>
      </c>
      <c r="F2303" t="n">
        <v>0.987650739851378</v>
      </c>
      <c r="G2303" t="inlineStr">
        <is>
          <t>C</t>
        </is>
      </c>
      <c r="H2303" t="n">
        <v>0</v>
      </c>
      <c r="I2303" t="n">
        <v>4.116585696</v>
      </c>
      <c r="J2303" t="n">
        <v>0</v>
      </c>
      <c r="K2303" t="n">
        <v>0.4</v>
      </c>
      <c r="L2303" t="n">
        <v>0</v>
      </c>
      <c r="M2303" t="n">
        <v>4</v>
      </c>
      <c r="N2303" t="n">
        <v>1.6</v>
      </c>
      <c r="O2303" t="n">
        <v>0</v>
      </c>
      <c r="P2303" t="n">
        <v>0</v>
      </c>
      <c r="Q2303" t="n">
        <v>0</v>
      </c>
      <c r="R2303" t="inlineStr">
        <is>
          <t>Riesgo bajo stock</t>
        </is>
      </c>
    </row>
    <row r="2304">
      <c r="A2304" t="inlineStr">
        <is>
          <t>VIVMIDA13TXL</t>
        </is>
      </c>
      <c r="B2304" t="inlineStr">
        <is>
          <t>VIVI ORIGINAL DAMA</t>
        </is>
      </c>
      <c r="C2304" t="inlineStr">
        <is>
          <t>Manufactura / Dama / P. Superiores</t>
        </is>
      </c>
      <c r="D2304" t="n">
        <v>115.47782968</v>
      </c>
      <c r="E2304" t="n">
        <v>2.827273393186203e-05</v>
      </c>
      <c r="F2304" t="n">
        <v>0.9876790125853099</v>
      </c>
      <c r="G2304" t="inlineStr">
        <is>
          <t>C</t>
        </is>
      </c>
      <c r="H2304" t="n">
        <v>3</v>
      </c>
      <c r="I2304" t="n">
        <v>4.303181706</v>
      </c>
      <c r="J2304" t="n">
        <v>12.909545118</v>
      </c>
      <c r="K2304" t="n">
        <v>0.3</v>
      </c>
      <c r="L2304" t="n">
        <v>10</v>
      </c>
      <c r="M2304" t="n">
        <v>4</v>
      </c>
      <c r="N2304" t="n">
        <v>1.2</v>
      </c>
      <c r="O2304" t="n">
        <v>1.8</v>
      </c>
      <c r="P2304" t="n">
        <v>7.7457270708</v>
      </c>
      <c r="Q2304" t="n">
        <v>0.6</v>
      </c>
      <c r="R2304" t="inlineStr">
        <is>
          <t>Sobrestock crítico</t>
        </is>
      </c>
    </row>
    <row r="2305">
      <c r="A2305" t="inlineStr">
        <is>
          <t>VIVMIDA16TM</t>
        </is>
      </c>
      <c r="B2305" t="inlineStr">
        <is>
          <t>VIVI ORIGINAL DAMA</t>
        </is>
      </c>
      <c r="C2305" t="inlineStr">
        <is>
          <t>Manufactura / Dama / P. Superiores</t>
        </is>
      </c>
      <c r="D2305" t="n">
        <v>114.97845134</v>
      </c>
      <c r="E2305" t="n">
        <v>2.815046984898759e-05</v>
      </c>
      <c r="F2305" t="n">
        <v>0.9877071630551588</v>
      </c>
      <c r="G2305" t="inlineStr">
        <is>
          <t>C</t>
        </is>
      </c>
      <c r="H2305" t="n">
        <v>41</v>
      </c>
      <c r="I2305" t="n">
        <v>4.303181706</v>
      </c>
      <c r="J2305" t="n">
        <v>176.430449946</v>
      </c>
      <c r="K2305" t="n">
        <v>0.5</v>
      </c>
      <c r="L2305" t="n">
        <v>82</v>
      </c>
      <c r="M2305" t="n">
        <v>4</v>
      </c>
      <c r="N2305" t="n">
        <v>2</v>
      </c>
      <c r="O2305" t="n">
        <v>39</v>
      </c>
      <c r="P2305" t="n">
        <v>167.824086534</v>
      </c>
      <c r="Q2305" t="n">
        <v>0.9512195121951219</v>
      </c>
      <c r="R2305" t="inlineStr">
        <is>
          <t>Sobrestock crítico</t>
        </is>
      </c>
    </row>
    <row r="2306">
      <c r="A2306" t="inlineStr">
        <is>
          <t>ZOEMIDA70TL</t>
        </is>
      </c>
      <c r="B2306" t="inlineStr">
        <is>
          <t>ZOE ORIGINAL DAMA</t>
        </is>
      </c>
      <c r="C2306" t="inlineStr">
        <is>
          <t>Manufactura / Dama / P. Superiores</t>
        </is>
      </c>
      <c r="D2306" t="n">
        <v>114.59764465</v>
      </c>
      <c r="E2306" t="n">
        <v>2.805723596802813e-05</v>
      </c>
      <c r="F2306" t="n">
        <v>0.9877352202911269</v>
      </c>
      <c r="G2306" t="inlineStr">
        <is>
          <t>C</t>
        </is>
      </c>
      <c r="H2306" t="n">
        <v>1</v>
      </c>
      <c r="I2306" t="n">
        <v>4.116585696</v>
      </c>
      <c r="J2306" t="n">
        <v>4.116585696</v>
      </c>
      <c r="K2306" t="n">
        <v>0.4</v>
      </c>
      <c r="L2306" t="n">
        <v>2.5</v>
      </c>
      <c r="M2306" t="n">
        <v>4</v>
      </c>
      <c r="N2306" t="n">
        <v>1.6</v>
      </c>
      <c r="O2306" t="n">
        <v>0</v>
      </c>
      <c r="P2306" t="n">
        <v>0</v>
      </c>
      <c r="Q2306" t="n">
        <v>0</v>
      </c>
      <c r="R2306" t="inlineStr">
        <is>
          <t>OK</t>
        </is>
      </c>
    </row>
    <row r="2307">
      <c r="A2307" t="inlineStr">
        <is>
          <t>TMOFIDA66TXS</t>
        </is>
      </c>
      <c r="B2307" t="inlineStr">
        <is>
          <t>TOP MOVA</t>
        </is>
      </c>
      <c r="C2307" t="inlineStr">
        <is>
          <t>Manufactura / Dama / P. Superiores</t>
        </is>
      </c>
      <c r="D2307" t="n">
        <v>114.37113007</v>
      </c>
      <c r="E2307" t="n">
        <v>2.800177782104204e-05</v>
      </c>
      <c r="F2307" t="n">
        <v>0.9877632220689477</v>
      </c>
      <c r="G2307" t="inlineStr">
        <is>
          <t>C</t>
        </is>
      </c>
      <c r="H2307" t="n">
        <v>22</v>
      </c>
      <c r="I2307" t="n">
        <v>9.942967033</v>
      </c>
      <c r="J2307" t="n">
        <v>218.745274726</v>
      </c>
      <c r="K2307" t="n">
        <v>0.4</v>
      </c>
      <c r="L2307" t="n">
        <v>55</v>
      </c>
      <c r="M2307" t="n">
        <v>4</v>
      </c>
      <c r="N2307" t="n">
        <v>1.6</v>
      </c>
      <c r="O2307" t="n">
        <v>20.4</v>
      </c>
      <c r="P2307" t="n">
        <v>202.8365274732</v>
      </c>
      <c r="Q2307" t="n">
        <v>0.9272727272727271</v>
      </c>
      <c r="R2307" t="inlineStr">
        <is>
          <t>Sobrestock crítico</t>
        </is>
      </c>
    </row>
    <row r="2308">
      <c r="A2308" t="inlineStr">
        <is>
          <t>PETMIPE39TXS</t>
        </is>
      </c>
      <c r="B2308" t="inlineStr">
        <is>
          <t>BANDANA PET</t>
        </is>
      </c>
      <c r="C2308" t="inlineStr">
        <is>
          <t>Manufactura / General</t>
        </is>
      </c>
      <c r="D2308" t="n">
        <v>114.132669487</v>
      </c>
      <c r="E2308" t="n">
        <v>2.794339490342852e-05</v>
      </c>
      <c r="F2308" t="n">
        <v>0.9877911654638512</v>
      </c>
      <c r="G2308" t="inlineStr">
        <is>
          <t>C</t>
        </is>
      </c>
      <c r="H2308" t="n">
        <v>4</v>
      </c>
      <c r="I2308" t="n">
        <v>0.3252662283</v>
      </c>
      <c r="J2308" t="n">
        <v>1.3010649132</v>
      </c>
      <c r="K2308" t="n">
        <v>1.2</v>
      </c>
      <c r="L2308" t="n">
        <v>3.333333333333333</v>
      </c>
      <c r="M2308" t="n">
        <v>4</v>
      </c>
      <c r="N2308" t="n">
        <v>4.8</v>
      </c>
      <c r="O2308" t="n">
        <v>0</v>
      </c>
      <c r="P2308" t="n">
        <v>0</v>
      </c>
      <c r="Q2308" t="n">
        <v>0</v>
      </c>
      <c r="R2308" t="inlineStr">
        <is>
          <t>OK</t>
        </is>
      </c>
    </row>
    <row r="2309">
      <c r="A2309" t="inlineStr">
        <is>
          <t>RIOMIKI53T1</t>
        </is>
      </c>
      <c r="B2309" t="inlineStr">
        <is>
          <t>RIO ORIGINAL KIDS</t>
        </is>
      </c>
      <c r="C2309" t="inlineStr">
        <is>
          <t>Manufactura / Kids / P. Superiores</t>
        </is>
      </c>
      <c r="D2309" t="n">
        <v>114.11311092</v>
      </c>
      <c r="E2309" t="n">
        <v>2.79386063291852e-05</v>
      </c>
      <c r="F2309" t="n">
        <v>0.9878191040701804</v>
      </c>
      <c r="G2309" t="inlineStr">
        <is>
          <t>C</t>
        </is>
      </c>
      <c r="H2309" t="n">
        <v>0</v>
      </c>
      <c r="I2309" t="n">
        <v>3.617969464</v>
      </c>
      <c r="J2309" t="n">
        <v>0</v>
      </c>
      <c r="K2309" t="n">
        <v>0.3</v>
      </c>
      <c r="L2309" t="n">
        <v>0</v>
      </c>
      <c r="M2309" t="n">
        <v>4</v>
      </c>
      <c r="N2309" t="n">
        <v>1.2</v>
      </c>
      <c r="O2309" t="n">
        <v>0</v>
      </c>
      <c r="P2309" t="n">
        <v>0</v>
      </c>
      <c r="Q2309" t="n">
        <v>0</v>
      </c>
      <c r="R2309" t="inlineStr">
        <is>
          <t>Riesgo bajo stock</t>
        </is>
      </c>
    </row>
    <row r="2310">
      <c r="A2310" t="inlineStr">
        <is>
          <t>GOOSTKI16T6</t>
        </is>
      </c>
      <c r="B2310" t="inlineStr">
        <is>
          <t>RETRO VZLA KIDS</t>
        </is>
      </c>
      <c r="C2310" t="inlineStr">
        <is>
          <t>Manufactura / Dama / P. Superiores</t>
        </is>
      </c>
      <c r="D2310" t="n">
        <v>114.03237109</v>
      </c>
      <c r="E2310" t="n">
        <v>2.791883858902573e-05</v>
      </c>
      <c r="F2310" t="n">
        <v>0.9878470229087695</v>
      </c>
      <c r="G2310" t="inlineStr">
        <is>
          <t>C</t>
        </is>
      </c>
      <c r="H2310" t="n">
        <v>2</v>
      </c>
      <c r="I2310" t="n">
        <v>10.18</v>
      </c>
      <c r="J2310" t="n">
        <v>20.36</v>
      </c>
      <c r="K2310" t="n">
        <v>0.3</v>
      </c>
      <c r="L2310" t="n">
        <v>6.666666666666667</v>
      </c>
      <c r="M2310" t="n">
        <v>4</v>
      </c>
      <c r="N2310" t="n">
        <v>1.2</v>
      </c>
      <c r="O2310" t="n">
        <v>0.8</v>
      </c>
      <c r="P2310" t="n">
        <v>8.144</v>
      </c>
      <c r="Q2310" t="n">
        <v>0.4</v>
      </c>
      <c r="R2310" t="inlineStr">
        <is>
          <t>Sobrestock crítico</t>
        </is>
      </c>
    </row>
    <row r="2311">
      <c r="A2311" t="inlineStr">
        <is>
          <t>MANMIGE16TP</t>
        </is>
      </c>
      <c r="B2311" t="inlineStr">
        <is>
          <t>MANGAS GENERAL</t>
        </is>
      </c>
      <c r="C2311" t="inlineStr">
        <is>
          <t>Manufactura / General</t>
        </is>
      </c>
      <c r="D2311" t="n">
        <v>113.76704519</v>
      </c>
      <c r="E2311" t="n">
        <v>2.785387816678089e-05</v>
      </c>
      <c r="F2311" t="n">
        <v>0.9878748767869361</v>
      </c>
      <c r="G2311" t="inlineStr">
        <is>
          <t>C</t>
        </is>
      </c>
      <c r="H2311" t="n">
        <v>51</v>
      </c>
      <c r="I2311" t="n">
        <v>0.9200000000000002</v>
      </c>
      <c r="J2311" t="n">
        <v>46.92000000000001</v>
      </c>
      <c r="K2311" t="n">
        <v>1</v>
      </c>
      <c r="L2311" t="n">
        <v>51</v>
      </c>
      <c r="M2311" t="n">
        <v>4</v>
      </c>
      <c r="N2311" t="n">
        <v>4</v>
      </c>
      <c r="O2311" t="n">
        <v>47</v>
      </c>
      <c r="P2311" t="n">
        <v>43.24000000000001</v>
      </c>
      <c r="Q2311" t="n">
        <v>0.9215686274509804</v>
      </c>
      <c r="R2311" t="inlineStr">
        <is>
          <t>Sobrestock crítico</t>
        </is>
      </c>
    </row>
    <row r="2312">
      <c r="A2312" t="inlineStr">
        <is>
          <t>VIVMIDA53TXL</t>
        </is>
      </c>
      <c r="B2312" t="inlineStr">
        <is>
          <t>VIVI ORIGINAL DAMA</t>
        </is>
      </c>
      <c r="C2312" t="inlineStr">
        <is>
          <t>Manufactura / Dama / P. Superiores</t>
        </is>
      </c>
      <c r="D2312" t="n">
        <v>113.1648131</v>
      </c>
      <c r="E2312" t="n">
        <v>2.770643213585891e-05</v>
      </c>
      <c r="F2312" t="n">
        <v>0.9879025832190721</v>
      </c>
      <c r="G2312" t="inlineStr">
        <is>
          <t>C</t>
        </is>
      </c>
      <c r="H2312" t="n">
        <v>13</v>
      </c>
      <c r="I2312" t="n">
        <v>4.303181706</v>
      </c>
      <c r="J2312" t="n">
        <v>55.94136217800001</v>
      </c>
      <c r="K2312" t="n">
        <v>0.3</v>
      </c>
      <c r="L2312" t="n">
        <v>43.33333333333334</v>
      </c>
      <c r="M2312" t="n">
        <v>4</v>
      </c>
      <c r="N2312" t="n">
        <v>1.2</v>
      </c>
      <c r="O2312" t="n">
        <v>11.8</v>
      </c>
      <c r="P2312" t="n">
        <v>50.7775441308</v>
      </c>
      <c r="Q2312" t="n">
        <v>0.9076923076923077</v>
      </c>
      <c r="R2312" t="inlineStr">
        <is>
          <t>Sobrestock crítico</t>
        </is>
      </c>
    </row>
    <row r="2313">
      <c r="A2313" t="inlineStr">
        <is>
          <t>CLAMIKI70T2</t>
        </is>
      </c>
      <c r="B2313" t="inlineStr">
        <is>
          <t>CLASICA ORIGINAL KIDS</t>
        </is>
      </c>
      <c r="C2313" t="inlineStr">
        <is>
          <t>Manufactura / Kids / P. Superiores</t>
        </is>
      </c>
      <c r="D2313" t="n">
        <v>112.83155865</v>
      </c>
      <c r="E2313" t="n">
        <v>2.762484059207455e-05</v>
      </c>
      <c r="F2313" t="n">
        <v>0.9879302080596641</v>
      </c>
      <c r="G2313" t="inlineStr">
        <is>
          <t>C</t>
        </is>
      </c>
      <c r="H2313" t="n">
        <v>13</v>
      </c>
      <c r="I2313" t="n">
        <v>2.053774806</v>
      </c>
      <c r="J2313" t="n">
        <v>26.699072478</v>
      </c>
      <c r="K2313" t="n">
        <v>0.3</v>
      </c>
      <c r="L2313" t="n">
        <v>43.33333333333334</v>
      </c>
      <c r="M2313" t="n">
        <v>4</v>
      </c>
      <c r="N2313" t="n">
        <v>1.2</v>
      </c>
      <c r="O2313" t="n">
        <v>11.8</v>
      </c>
      <c r="P2313" t="n">
        <v>24.2345427108</v>
      </c>
      <c r="Q2313" t="n">
        <v>0.9076923076923078</v>
      </c>
      <c r="R2313" t="inlineStr">
        <is>
          <t>Sobrestock crítico</t>
        </is>
      </c>
    </row>
    <row r="2314">
      <c r="A2314" t="inlineStr">
        <is>
          <t>MARMIKI48T1</t>
        </is>
      </c>
      <c r="B2314" t="inlineStr">
        <is>
          <t>MAR ORIGINAL KIDS</t>
        </is>
      </c>
      <c r="C2314" t="inlineStr">
        <is>
          <t>Manufactura / Kids / P. Superiores</t>
        </is>
      </c>
      <c r="D2314" t="n">
        <v>112.27080637</v>
      </c>
      <c r="E2314" t="n">
        <v>2.748755016967869e-05</v>
      </c>
      <c r="F2314" t="n">
        <v>0.9879576956098337</v>
      </c>
      <c r="G2314" t="inlineStr">
        <is>
          <t>C</t>
        </is>
      </c>
      <c r="H2314" t="n">
        <v>0</v>
      </c>
      <c r="I2314" t="n">
        <v>3.168013332</v>
      </c>
      <c r="J2314" t="n">
        <v>0</v>
      </c>
      <c r="K2314" t="n">
        <v>0.3</v>
      </c>
      <c r="L2314" t="n">
        <v>0</v>
      </c>
      <c r="M2314" t="n">
        <v>4</v>
      </c>
      <c r="N2314" t="n">
        <v>1.2</v>
      </c>
      <c r="O2314" t="n">
        <v>0</v>
      </c>
      <c r="P2314" t="n">
        <v>0</v>
      </c>
      <c r="Q2314" t="n">
        <v>0</v>
      </c>
      <c r="R2314" t="inlineStr">
        <is>
          <t>Riesgo bajo stock</t>
        </is>
      </c>
    </row>
    <row r="2315">
      <c r="A2315" t="inlineStr">
        <is>
          <t>ZOEMIKI12T10</t>
        </is>
      </c>
      <c r="B2315" t="inlineStr">
        <is>
          <t>ZOE ORIGINAL KIDS</t>
        </is>
      </c>
      <c r="C2315" t="inlineStr">
        <is>
          <t>Manufactura / Kids / P. Superiores</t>
        </is>
      </c>
      <c r="D2315" t="n">
        <v>112.14356731</v>
      </c>
      <c r="E2315" t="n">
        <v>2.745639790348968e-05</v>
      </c>
      <c r="F2315" t="n">
        <v>0.9879851520077373</v>
      </c>
      <c r="G2315" t="inlineStr">
        <is>
          <t>C</t>
        </is>
      </c>
      <c r="H2315" t="n">
        <v>1</v>
      </c>
      <c r="I2315" t="n">
        <v>4.12</v>
      </c>
      <c r="J2315" t="n">
        <v>4.12</v>
      </c>
      <c r="K2315" t="n">
        <v>0.3</v>
      </c>
      <c r="L2315" t="n">
        <v>3.333333333333333</v>
      </c>
      <c r="M2315" t="n">
        <v>4</v>
      </c>
      <c r="N2315" t="n">
        <v>1.2</v>
      </c>
      <c r="O2315" t="n">
        <v>0</v>
      </c>
      <c r="P2315" t="n">
        <v>0</v>
      </c>
      <c r="Q2315" t="n">
        <v>0</v>
      </c>
      <c r="R2315" t="inlineStr">
        <is>
          <t>OK</t>
        </is>
      </c>
    </row>
    <row r="2316">
      <c r="A2316" t="inlineStr">
        <is>
          <t>CLAMIDA11TL</t>
        </is>
      </c>
      <c r="B2316" t="inlineStr">
        <is>
          <t>CLASICA ORIGINAL DAMA</t>
        </is>
      </c>
      <c r="C2316" t="inlineStr">
        <is>
          <t>Manufactura / Dama / P. Superiores</t>
        </is>
      </c>
      <c r="D2316" t="n">
        <v>112.1</v>
      </c>
      <c r="E2316" t="n">
        <v>2.744573120697165e-05</v>
      </c>
      <c r="F2316" t="n">
        <v>0.9880125977389442</v>
      </c>
      <c r="G2316" t="inlineStr">
        <is>
          <t>C</t>
        </is>
      </c>
      <c r="H2316" t="n">
        <v>0</v>
      </c>
      <c r="I2316" t="n">
        <v>3.923227589</v>
      </c>
      <c r="J2316" t="n">
        <v>0</v>
      </c>
      <c r="K2316" t="n">
        <v>0.3</v>
      </c>
      <c r="L2316" t="n">
        <v>0</v>
      </c>
      <c r="M2316" t="n">
        <v>4</v>
      </c>
      <c r="N2316" t="n">
        <v>1.2</v>
      </c>
      <c r="O2316" t="n">
        <v>0</v>
      </c>
      <c r="P2316" t="n">
        <v>0</v>
      </c>
      <c r="Q2316" t="n">
        <v>0</v>
      </c>
      <c r="R2316" t="inlineStr">
        <is>
          <t>Riesgo bajo stock</t>
        </is>
      </c>
    </row>
    <row r="2317">
      <c r="A2317" t="inlineStr">
        <is>
          <t>CLMSUCA151TL</t>
        </is>
      </c>
      <c r="B2317" t="inlineStr">
        <is>
          <t>CLASICA MOTION CAB</t>
        </is>
      </c>
      <c r="C2317" t="inlineStr">
        <is>
          <t>Manufactura / Caballero / P. Superiores</t>
        </is>
      </c>
      <c r="D2317" t="n">
        <v>112.02873611</v>
      </c>
      <c r="E2317" t="n">
        <v>2.742828348556484e-05</v>
      </c>
      <c r="F2317" t="n">
        <v>0.9880400260224298</v>
      </c>
      <c r="G2317" t="inlineStr">
        <is>
          <t>C</t>
        </is>
      </c>
      <c r="H2317" t="n">
        <v>0</v>
      </c>
      <c r="I2317" t="n">
        <v>12.26</v>
      </c>
      <c r="J2317" t="n">
        <v>0</v>
      </c>
      <c r="K2317" t="n">
        <v>0.3</v>
      </c>
      <c r="L2317" t="n">
        <v>0</v>
      </c>
      <c r="M2317" t="n">
        <v>4</v>
      </c>
      <c r="N2317" t="n">
        <v>1.2</v>
      </c>
      <c r="O2317" t="n">
        <v>0</v>
      </c>
      <c r="P2317" t="n">
        <v>0</v>
      </c>
      <c r="Q2317" t="n">
        <v>0</v>
      </c>
      <c r="R2317" t="inlineStr">
        <is>
          <t>Sin rotación</t>
        </is>
      </c>
    </row>
    <row r="2318">
      <c r="A2318" t="inlineStr">
        <is>
          <t>NAHFNCA24TXL</t>
        </is>
      </c>
      <c r="B2318" t="inlineStr">
        <is>
          <t>NOAH SPORT LITE CAB</t>
        </is>
      </c>
      <c r="C2318" t="inlineStr">
        <is>
          <t>Manufactura / Caballero / P. Superiores</t>
        </is>
      </c>
      <c r="D2318" t="n">
        <v>112.02239322</v>
      </c>
      <c r="E2318" t="n">
        <v>2.742673053949869e-05</v>
      </c>
      <c r="F2318" t="n">
        <v>0.9880674527529694</v>
      </c>
      <c r="G2318" t="inlineStr">
        <is>
          <t>C</t>
        </is>
      </c>
      <c r="H2318" t="n">
        <v>12</v>
      </c>
      <c r="I2318" t="n">
        <v>17.61141534</v>
      </c>
      <c r="J2318" t="n">
        <v>211.33698408</v>
      </c>
      <c r="K2318" t="n">
        <v>0.3</v>
      </c>
      <c r="L2318" t="n">
        <v>40</v>
      </c>
      <c r="M2318" t="n">
        <v>4</v>
      </c>
      <c r="N2318" t="n">
        <v>1.2</v>
      </c>
      <c r="O2318" t="n">
        <v>10.8</v>
      </c>
      <c r="P2318" t="n">
        <v>190.203285672</v>
      </c>
      <c r="Q2318" t="n">
        <v>0.9</v>
      </c>
      <c r="R2318" t="inlineStr">
        <is>
          <t>Sobrestock crítico</t>
        </is>
      </c>
    </row>
    <row r="2319">
      <c r="A2319" t="inlineStr">
        <is>
          <t>SHOSUKI156T1</t>
        </is>
      </c>
      <c r="B2319" t="inlineStr">
        <is>
          <t>SHORT PLAYA ESTAMPADO KIDS</t>
        </is>
      </c>
      <c r="C2319" t="inlineStr">
        <is>
          <t>Manufactura / Kids / P. Superiores</t>
        </is>
      </c>
      <c r="D2319" t="n">
        <v>111.62356913</v>
      </c>
      <c r="E2319" t="n">
        <v>2.732908541217483e-05</v>
      </c>
      <c r="F2319" t="n">
        <v>0.9880947818383815</v>
      </c>
      <c r="G2319" t="inlineStr">
        <is>
          <t>C</t>
        </is>
      </c>
      <c r="H2319" t="n">
        <v>34</v>
      </c>
      <c r="I2319" t="n">
        <v>7.209999999999999</v>
      </c>
      <c r="J2319" t="n">
        <v>245.14</v>
      </c>
      <c r="K2319" t="n">
        <v>0.3</v>
      </c>
      <c r="L2319" t="n">
        <v>113.3333333333333</v>
      </c>
      <c r="M2319" t="n">
        <v>4</v>
      </c>
      <c r="N2319" t="n">
        <v>1.2</v>
      </c>
      <c r="O2319" t="n">
        <v>32.8</v>
      </c>
      <c r="P2319" t="n">
        <v>236.4879999999999</v>
      </c>
      <c r="Q2319" t="n">
        <v>0.9647058823529411</v>
      </c>
      <c r="R2319" t="inlineStr">
        <is>
          <t>Sin rotación</t>
        </is>
      </c>
    </row>
    <row r="2320">
      <c r="A2320" t="inlineStr">
        <is>
          <t>MAFMIDA12TXL</t>
        </is>
      </c>
      <c r="B2320" t="inlineStr">
        <is>
          <t>MAFE ORIGINAL DAMA</t>
        </is>
      </c>
      <c r="C2320" t="inlineStr">
        <is>
          <t>Manufactura / Dama / P. Superiores</t>
        </is>
      </c>
      <c r="D2320" t="n">
        <v>111.18503792</v>
      </c>
      <c r="E2320" t="n">
        <v>2.722171868857512e-05</v>
      </c>
      <c r="F2320" t="n">
        <v>0.98812200355707</v>
      </c>
      <c r="G2320" t="inlineStr">
        <is>
          <t>C</t>
        </is>
      </c>
      <c r="H2320" t="n">
        <v>2</v>
      </c>
      <c r="I2320" t="n">
        <v>4.54817671</v>
      </c>
      <c r="J2320" t="n">
        <v>9.09635342</v>
      </c>
      <c r="K2320" t="n">
        <v>0.4</v>
      </c>
      <c r="L2320" t="n">
        <v>5</v>
      </c>
      <c r="M2320" t="n">
        <v>4</v>
      </c>
      <c r="N2320" t="n">
        <v>1.6</v>
      </c>
      <c r="O2320" t="n">
        <v>0.3999999999999999</v>
      </c>
      <c r="P2320" t="n">
        <v>1.819270683999999</v>
      </c>
      <c r="Q2320" t="n">
        <v>0.2</v>
      </c>
      <c r="R2320" t="inlineStr">
        <is>
          <t>Sobrestock</t>
        </is>
      </c>
    </row>
    <row r="2321">
      <c r="A2321" t="inlineStr">
        <is>
          <t>CRESTKI16T10</t>
        </is>
      </c>
      <c r="B2321" t="inlineStr">
        <is>
          <t>RETRO VZLA KIDS</t>
        </is>
      </c>
      <c r="C2321" t="inlineStr">
        <is>
          <t>Manufactura / Dama / P. Superiores</t>
        </is>
      </c>
      <c r="D2321" t="n">
        <v>110.86664385</v>
      </c>
      <c r="E2321" t="n">
        <v>2.714376544983191e-05</v>
      </c>
      <c r="F2321" t="n">
        <v>0.9881491473225199</v>
      </c>
      <c r="G2321" t="inlineStr">
        <is>
          <t>C</t>
        </is>
      </c>
      <c r="H2321" t="n">
        <v>2</v>
      </c>
      <c r="I2321" t="n">
        <v>10.18</v>
      </c>
      <c r="J2321" t="n">
        <v>20.36</v>
      </c>
      <c r="K2321" t="n">
        <v>0.3</v>
      </c>
      <c r="L2321" t="n">
        <v>6.666666666666667</v>
      </c>
      <c r="M2321" t="n">
        <v>4</v>
      </c>
      <c r="N2321" t="n">
        <v>1.2</v>
      </c>
      <c r="O2321" t="n">
        <v>0.8</v>
      </c>
      <c r="P2321" t="n">
        <v>8.144</v>
      </c>
      <c r="Q2321" t="n">
        <v>0.4</v>
      </c>
      <c r="R2321" t="inlineStr">
        <is>
          <t>Sin rotación</t>
        </is>
      </c>
    </row>
    <row r="2322">
      <c r="A2322" t="inlineStr">
        <is>
          <t>MARMIKI52T14</t>
        </is>
      </c>
      <c r="B2322" t="inlineStr">
        <is>
          <t>MAR ORIGINAL KIDS</t>
        </is>
      </c>
      <c r="C2322" t="inlineStr">
        <is>
          <t>Manufactura / Kids / P. Superiores</t>
        </is>
      </c>
      <c r="D2322" t="n">
        <v>110.4045927</v>
      </c>
      <c r="E2322" t="n">
        <v>2.703064027885267e-05</v>
      </c>
      <c r="F2322" t="n">
        <v>0.9881761779627988</v>
      </c>
      <c r="G2322" t="inlineStr">
        <is>
          <t>C</t>
        </is>
      </c>
      <c r="H2322" t="n">
        <v>0</v>
      </c>
      <c r="I2322" t="n">
        <v>3.168013332</v>
      </c>
      <c r="J2322" t="n">
        <v>0</v>
      </c>
      <c r="K2322" t="n">
        <v>0.3</v>
      </c>
      <c r="L2322" t="n">
        <v>0</v>
      </c>
      <c r="M2322" t="n">
        <v>4</v>
      </c>
      <c r="N2322" t="n">
        <v>1.2</v>
      </c>
      <c r="O2322" t="n">
        <v>0</v>
      </c>
      <c r="P2322" t="n">
        <v>0</v>
      </c>
      <c r="Q2322" t="n">
        <v>0</v>
      </c>
      <c r="R2322" t="inlineStr">
        <is>
          <t>Sin rotación</t>
        </is>
      </c>
    </row>
    <row r="2323">
      <c r="A2323" t="inlineStr">
        <is>
          <t>RIOMIKI66T6</t>
        </is>
      </c>
      <c r="B2323" t="inlineStr">
        <is>
          <t>RIO ORIGINAL KIDS</t>
        </is>
      </c>
      <c r="C2323" t="inlineStr">
        <is>
          <t>Manufactura / Kids / P. Superiores</t>
        </is>
      </c>
      <c r="D2323" t="n">
        <v>110.29987471</v>
      </c>
      <c r="E2323" t="n">
        <v>2.700500190413301e-05</v>
      </c>
      <c r="F2323" t="n">
        <v>0.988203182964703</v>
      </c>
      <c r="G2323" t="inlineStr">
        <is>
          <t>C</t>
        </is>
      </c>
      <c r="H2323" t="n">
        <v>15</v>
      </c>
      <c r="I2323" t="n">
        <v>3.617969464</v>
      </c>
      <c r="J2323" t="n">
        <v>54.26954196000001</v>
      </c>
      <c r="K2323" t="n">
        <v>0.4</v>
      </c>
      <c r="L2323" t="n">
        <v>37.5</v>
      </c>
      <c r="M2323" t="n">
        <v>4</v>
      </c>
      <c r="N2323" t="n">
        <v>1.6</v>
      </c>
      <c r="O2323" t="n">
        <v>13.4</v>
      </c>
      <c r="P2323" t="n">
        <v>48.4807908176</v>
      </c>
      <c r="Q2323" t="n">
        <v>0.8933333333333333</v>
      </c>
      <c r="R2323" t="inlineStr">
        <is>
          <t>Sobrestock crítico</t>
        </is>
      </c>
    </row>
    <row r="2324">
      <c r="A2324" t="inlineStr">
        <is>
          <t>MARMIKI66T1</t>
        </is>
      </c>
      <c r="B2324" t="inlineStr">
        <is>
          <t>MAR ORIGINAL KIDS</t>
        </is>
      </c>
      <c r="C2324" t="inlineStr">
        <is>
          <t>Manufactura / Kids / P. Superiores</t>
        </is>
      </c>
      <c r="D2324" t="n">
        <v>110.26388851</v>
      </c>
      <c r="E2324" t="n">
        <v>2.699619131026717e-05</v>
      </c>
      <c r="F2324" t="n">
        <v>0.9882301791560132</v>
      </c>
      <c r="G2324" t="inlineStr">
        <is>
          <t>C</t>
        </is>
      </c>
      <c r="H2324" t="n">
        <v>0</v>
      </c>
      <c r="I2324" t="n">
        <v>3.168013332</v>
      </c>
      <c r="J2324" t="n">
        <v>0</v>
      </c>
      <c r="K2324" t="n">
        <v>0.3</v>
      </c>
      <c r="L2324" t="n">
        <v>0</v>
      </c>
      <c r="M2324" t="n">
        <v>4</v>
      </c>
      <c r="N2324" t="n">
        <v>1.2</v>
      </c>
      <c r="O2324" t="n">
        <v>0</v>
      </c>
      <c r="P2324" t="n">
        <v>0</v>
      </c>
      <c r="Q2324" t="n">
        <v>0</v>
      </c>
      <c r="R2324" t="inlineStr">
        <is>
          <t>Sin rotación</t>
        </is>
      </c>
    </row>
    <row r="2325">
      <c r="A2325" t="inlineStr">
        <is>
          <t>CLAMEKI12T14</t>
        </is>
      </c>
      <c r="B2325" t="inlineStr">
        <is>
          <t>CLASICA SPORT KIDS</t>
        </is>
      </c>
      <c r="C2325" t="inlineStr">
        <is>
          <t>Manufactura / Kids / P. Superiores</t>
        </is>
      </c>
      <c r="D2325" t="n">
        <v>110.0091891</v>
      </c>
      <c r="E2325" t="n">
        <v>2.693383259888952e-05</v>
      </c>
      <c r="F2325" t="n">
        <v>0.9882571129886121</v>
      </c>
      <c r="G2325" t="inlineStr">
        <is>
          <t>C</t>
        </is>
      </c>
      <c r="H2325" t="n">
        <v>4</v>
      </c>
      <c r="I2325" t="n">
        <v>3.97</v>
      </c>
      <c r="J2325" t="n">
        <v>15.88</v>
      </c>
      <c r="K2325" t="n">
        <v>0.3</v>
      </c>
      <c r="L2325" t="n">
        <v>13.33333333333333</v>
      </c>
      <c r="M2325" t="n">
        <v>4</v>
      </c>
      <c r="N2325" t="n">
        <v>1.2</v>
      </c>
      <c r="O2325" t="n">
        <v>2.8</v>
      </c>
      <c r="P2325" t="n">
        <v>11.116</v>
      </c>
      <c r="Q2325" t="n">
        <v>0.7</v>
      </c>
      <c r="R2325" t="inlineStr">
        <is>
          <t>Sobrestock crítico</t>
        </is>
      </c>
    </row>
    <row r="2326">
      <c r="A2326" t="inlineStr">
        <is>
          <t>MARMICA66T4XL</t>
        </is>
      </c>
      <c r="B2326" t="inlineStr">
        <is>
          <t>MAR ORIGINAL CAB</t>
        </is>
      </c>
      <c r="C2326" t="inlineStr">
        <is>
          <t>Manufactura / Caballero / P. Superiores</t>
        </is>
      </c>
      <c r="D2326" t="n">
        <v>109.36341259</v>
      </c>
      <c r="E2326" t="n">
        <v>2.677572547566708e-05</v>
      </c>
      <c r="F2326" t="n">
        <v>0.9882838887140877</v>
      </c>
      <c r="G2326" t="inlineStr">
        <is>
          <t>C</t>
        </is>
      </c>
      <c r="H2326" t="n">
        <v>0</v>
      </c>
      <c r="I2326" t="n">
        <v>4.946357428</v>
      </c>
      <c r="J2326" t="n">
        <v>0</v>
      </c>
      <c r="K2326" t="n">
        <v>0.2</v>
      </c>
      <c r="L2326" t="n">
        <v>0</v>
      </c>
      <c r="M2326" t="n">
        <v>4</v>
      </c>
      <c r="N2326" t="n">
        <v>0.8</v>
      </c>
      <c r="O2326" t="n">
        <v>0</v>
      </c>
      <c r="P2326" t="n">
        <v>0</v>
      </c>
      <c r="Q2326" t="n">
        <v>0</v>
      </c>
      <c r="R2326" t="inlineStr">
        <is>
          <t>Riesgo bajo stock</t>
        </is>
      </c>
    </row>
    <row r="2327">
      <c r="A2327" t="inlineStr">
        <is>
          <t>MAADFDA70TXL</t>
        </is>
      </c>
      <c r="B2327" t="inlineStr">
        <is>
          <t>MAFE ADVANCE DAMA</t>
        </is>
      </c>
      <c r="C2327" t="inlineStr">
        <is>
          <t>Manufactura / Dama / P. Superiores</t>
        </is>
      </c>
      <c r="D2327" t="n">
        <v>109.30676668</v>
      </c>
      <c r="E2327" t="n">
        <v>2.676185671188622e-05</v>
      </c>
      <c r="F2327" t="n">
        <v>0.9883106505707996</v>
      </c>
      <c r="G2327" t="inlineStr">
        <is>
          <t>C</t>
        </is>
      </c>
      <c r="H2327" t="n">
        <v>10</v>
      </c>
      <c r="I2327" t="n">
        <v>4.98</v>
      </c>
      <c r="J2327" t="n">
        <v>49.8</v>
      </c>
      <c r="K2327" t="n">
        <v>0.2</v>
      </c>
      <c r="L2327" t="n">
        <v>50</v>
      </c>
      <c r="M2327" t="n">
        <v>4</v>
      </c>
      <c r="N2327" t="n">
        <v>0.8</v>
      </c>
      <c r="O2327" t="n">
        <v>9.199999999999999</v>
      </c>
      <c r="P2327" t="n">
        <v>45.816</v>
      </c>
      <c r="Q2327" t="n">
        <v>0.9199999999999999</v>
      </c>
      <c r="R2327" t="inlineStr">
        <is>
          <t>Sobrestock crítico</t>
        </is>
      </c>
    </row>
    <row r="2328">
      <c r="A2328" t="inlineStr">
        <is>
          <t>SHOUNKI12T1</t>
        </is>
      </c>
      <c r="B2328" t="inlineStr">
        <is>
          <t>SHORT PLAYA KIDS</t>
        </is>
      </c>
      <c r="C2328" t="inlineStr">
        <is>
          <t>Manufactura / Kids / P. Inferiores</t>
        </is>
      </c>
      <c r="D2328" t="n">
        <v>109.23655884</v>
      </c>
      <c r="E2328" t="n">
        <v>2.6744667545916e-05</v>
      </c>
      <c r="F2328" t="n">
        <v>0.9883373952383455</v>
      </c>
      <c r="G2328" t="inlineStr">
        <is>
          <t>C</t>
        </is>
      </c>
      <c r="H2328" t="n">
        <v>13</v>
      </c>
      <c r="I2328" t="n">
        <v>6.09</v>
      </c>
      <c r="J2328" t="n">
        <v>79.17</v>
      </c>
      <c r="K2328" t="n">
        <v>0.3</v>
      </c>
      <c r="L2328" t="n">
        <v>43.33333333333334</v>
      </c>
      <c r="M2328" t="n">
        <v>4</v>
      </c>
      <c r="N2328" t="n">
        <v>1.2</v>
      </c>
      <c r="O2328" t="n">
        <v>11.8</v>
      </c>
      <c r="P2328" t="n">
        <v>71.86200000000001</v>
      </c>
      <c r="Q2328" t="n">
        <v>0.9076923076923078</v>
      </c>
      <c r="R2328" t="inlineStr">
        <is>
          <t>Sobrestock crítico</t>
        </is>
      </c>
    </row>
    <row r="2329">
      <c r="A2329" t="inlineStr">
        <is>
          <t>ADUMMDA30TS</t>
        </is>
      </c>
      <c r="B2329" t="inlineStr">
        <is>
          <t>ACTIVE DUO DAMA</t>
        </is>
      </c>
      <c r="C2329" t="inlineStr">
        <is>
          <t>Manufactura / Caballero / P. Superiores</t>
        </is>
      </c>
      <c r="D2329" t="n">
        <v>109.16998603</v>
      </c>
      <c r="E2329" t="n">
        <v>2.672836835368627e-05</v>
      </c>
      <c r="F2329" t="n">
        <v>0.9883641236066992</v>
      </c>
      <c r="G2329" t="inlineStr">
        <is>
          <t>C</t>
        </is>
      </c>
      <c r="H2329" t="n">
        <v>38</v>
      </c>
      <c r="I2329" t="n">
        <v>3.19128</v>
      </c>
      <c r="J2329" t="n">
        <v>121.26864</v>
      </c>
      <c r="K2329" t="n">
        <v>0.7</v>
      </c>
      <c r="L2329" t="n">
        <v>54.28571428571429</v>
      </c>
      <c r="M2329" t="n">
        <v>4</v>
      </c>
      <c r="N2329" t="n">
        <v>2.8</v>
      </c>
      <c r="O2329" t="n">
        <v>35.2</v>
      </c>
      <c r="P2329" t="n">
        <v>112.333056</v>
      </c>
      <c r="Q2329" t="n">
        <v>0.9263157894736843</v>
      </c>
      <c r="R2329" t="inlineStr">
        <is>
          <t>Sobrestock crítico</t>
        </is>
      </c>
    </row>
    <row r="2330">
      <c r="A2330" t="inlineStr">
        <is>
          <t>MARMIKI14T4</t>
        </is>
      </c>
      <c r="B2330" t="inlineStr">
        <is>
          <t>MAR ORIGINAL KIDS</t>
        </is>
      </c>
      <c r="C2330" t="inlineStr">
        <is>
          <t>Manufactura / Kids / P. Superiores</t>
        </is>
      </c>
      <c r="D2330" t="n">
        <v>109.16776047</v>
      </c>
      <c r="E2330" t="n">
        <v>2.672782346410959e-05</v>
      </c>
      <c r="F2330" t="n">
        <v>0.9883908514301634</v>
      </c>
      <c r="G2330" t="inlineStr">
        <is>
          <t>C</t>
        </is>
      </c>
      <c r="H2330" t="n">
        <v>0</v>
      </c>
      <c r="I2330" t="n">
        <v>3.168013332</v>
      </c>
      <c r="J2330" t="n">
        <v>0</v>
      </c>
      <c r="K2330" t="n">
        <v>0.3</v>
      </c>
      <c r="L2330" t="n">
        <v>0</v>
      </c>
      <c r="M2330" t="n">
        <v>4</v>
      </c>
      <c r="N2330" t="n">
        <v>1.2</v>
      </c>
      <c r="O2330" t="n">
        <v>0</v>
      </c>
      <c r="P2330" t="n">
        <v>0</v>
      </c>
      <c r="Q2330" t="n">
        <v>0</v>
      </c>
      <c r="R2330" t="inlineStr">
        <is>
          <t>Sin rotación</t>
        </is>
      </c>
    </row>
    <row r="2331">
      <c r="A2331" t="inlineStr">
        <is>
          <t>TALGOTACA167TM</t>
        </is>
      </c>
      <c r="B2331" t="inlineStr">
        <is>
          <t>URBAN COTTON OVERSIZED VINTAGE GRIS CAB</t>
        </is>
      </c>
      <c r="C2331" t="inlineStr">
        <is>
          <t>Manufactura / Caballero / P. Superiores</t>
        </is>
      </c>
      <c r="D2331" t="n">
        <v>108.81174049</v>
      </c>
      <c r="E2331" t="n">
        <v>2.664065817708558e-05</v>
      </c>
      <c r="F2331" t="n">
        <v>0.9884174920883404</v>
      </c>
      <c r="G2331" t="inlineStr">
        <is>
          <t>C</t>
        </is>
      </c>
      <c r="H2331" t="n">
        <v>9</v>
      </c>
      <c r="I2331" t="n">
        <v>12.16179793</v>
      </c>
      <c r="J2331" t="n">
        <v>109.45618137</v>
      </c>
      <c r="K2331" t="n">
        <v>0.3</v>
      </c>
      <c r="L2331" t="n">
        <v>30</v>
      </c>
      <c r="M2331" t="n">
        <v>4</v>
      </c>
      <c r="N2331" t="n">
        <v>1.2</v>
      </c>
      <c r="O2331" t="n">
        <v>7.8</v>
      </c>
      <c r="P2331" t="n">
        <v>94.862023854</v>
      </c>
      <c r="Q2331" t="n">
        <v>0.8666666666666666</v>
      </c>
      <c r="R2331" t="inlineStr">
        <is>
          <t>Sobrestock crítico</t>
        </is>
      </c>
    </row>
    <row r="2332">
      <c r="A2332" t="inlineStr">
        <is>
          <t>DALSSTCA30TL</t>
        </is>
      </c>
      <c r="B2332" t="inlineStr">
        <is>
          <t>MANGA LARGA DAILY 2.0 CAB</t>
        </is>
      </c>
      <c r="C2332" t="inlineStr">
        <is>
          <t>Manufactura / Caballero / P. Superiores</t>
        </is>
      </c>
      <c r="D2332" t="n">
        <v>108.75380376</v>
      </c>
      <c r="E2332" t="n">
        <v>2.662647337852545e-05</v>
      </c>
      <c r="F2332" t="n">
        <v>0.988444118561719</v>
      </c>
      <c r="G2332" t="inlineStr">
        <is>
          <t>C</t>
        </is>
      </c>
      <c r="H2332" t="n">
        <v>0</v>
      </c>
      <c r="I2332" t="n">
        <v>14.21</v>
      </c>
      <c r="J2332" t="n">
        <v>0</v>
      </c>
      <c r="K2332" t="n">
        <v>0.2</v>
      </c>
      <c r="L2332" t="n">
        <v>0</v>
      </c>
      <c r="M2332" t="n">
        <v>4</v>
      </c>
      <c r="N2332" t="n">
        <v>0.8</v>
      </c>
      <c r="O2332" t="n">
        <v>0</v>
      </c>
      <c r="P2332" t="n">
        <v>0</v>
      </c>
      <c r="Q2332" t="n">
        <v>0</v>
      </c>
      <c r="R2332" t="inlineStr">
        <is>
          <t>Riesgo bajo stock</t>
        </is>
      </c>
    </row>
    <row r="2333">
      <c r="A2333" t="inlineStr">
        <is>
          <t>SHOUNKI68T1</t>
        </is>
      </c>
      <c r="B2333" t="inlineStr">
        <is>
          <t>SHORT PLAYA KIDS</t>
        </is>
      </c>
      <c r="C2333" t="inlineStr">
        <is>
          <t>Manufactura / Kids / P. Inferiores</t>
        </is>
      </c>
      <c r="D2333" t="n">
        <v>108.31307437</v>
      </c>
      <c r="E2333" t="n">
        <v>2.651856846886486e-05</v>
      </c>
      <c r="F2333" t="n">
        <v>0.9884706371301878</v>
      </c>
      <c r="G2333" t="inlineStr">
        <is>
          <t>C</t>
        </is>
      </c>
      <c r="H2333" t="n">
        <v>13</v>
      </c>
      <c r="I2333" t="n">
        <v>6.09</v>
      </c>
      <c r="J2333" t="n">
        <v>79.17</v>
      </c>
      <c r="K2333" t="n">
        <v>0.3</v>
      </c>
      <c r="L2333" t="n">
        <v>43.33333333333334</v>
      </c>
      <c r="M2333" t="n">
        <v>4</v>
      </c>
      <c r="N2333" t="n">
        <v>1.2</v>
      </c>
      <c r="O2333" t="n">
        <v>11.8</v>
      </c>
      <c r="P2333" t="n">
        <v>71.86200000000001</v>
      </c>
      <c r="Q2333" t="n">
        <v>0.9076923076923078</v>
      </c>
      <c r="R2333" t="inlineStr">
        <is>
          <t>Sobrestock crítico</t>
        </is>
      </c>
    </row>
    <row r="2334">
      <c r="A2334" t="inlineStr">
        <is>
          <t>RIOMICA66T3XL</t>
        </is>
      </c>
      <c r="B2334" t="inlineStr">
        <is>
          <t>RIO ORIGINAL CAB</t>
        </is>
      </c>
      <c r="C2334" t="inlineStr">
        <is>
          <t>Manufactura / Caballero / P. Superiores</t>
        </is>
      </c>
      <c r="D2334" t="n">
        <v>107.94712011</v>
      </c>
      <c r="E2334" t="n">
        <v>2.64289709465276e-05</v>
      </c>
      <c r="F2334" t="n">
        <v>0.9884970661011343</v>
      </c>
      <c r="G2334" t="inlineStr">
        <is>
          <t>C</t>
        </is>
      </c>
      <c r="H2334" t="n">
        <v>0</v>
      </c>
      <c r="I2334" t="n">
        <v>5.939350288</v>
      </c>
      <c r="J2334" t="n">
        <v>0</v>
      </c>
      <c r="K2334" t="n">
        <v>0.2</v>
      </c>
      <c r="L2334" t="n">
        <v>0</v>
      </c>
      <c r="M2334" t="n">
        <v>4</v>
      </c>
      <c r="N2334" t="n">
        <v>0.8</v>
      </c>
      <c r="O2334" t="n">
        <v>0</v>
      </c>
      <c r="P2334" t="n">
        <v>0</v>
      </c>
      <c r="Q2334" t="n">
        <v>0</v>
      </c>
      <c r="R2334" t="inlineStr">
        <is>
          <t>Sin rotación</t>
        </is>
      </c>
    </row>
    <row r="2335">
      <c r="A2335" t="inlineStr">
        <is>
          <t>MIKFNDA13T2XL</t>
        </is>
      </c>
      <c r="B2335" t="inlineStr">
        <is>
          <t>MIKA SPORT LITE DAMA</t>
        </is>
      </c>
      <c r="C2335" t="inlineStr">
        <is>
          <t>Manufactura / Dama / P. Superiores</t>
        </is>
      </c>
      <c r="D2335" t="n">
        <v>107.92118114</v>
      </c>
      <c r="E2335" t="n">
        <v>2.64226202418139e-05</v>
      </c>
      <c r="F2335" t="n">
        <v>0.9885234887213762</v>
      </c>
      <c r="G2335" t="inlineStr">
        <is>
          <t>C</t>
        </is>
      </c>
      <c r="H2335" t="n">
        <v>22</v>
      </c>
      <c r="I2335" t="n">
        <v>5.484675344</v>
      </c>
      <c r="J2335" t="n">
        <v>120.662857568</v>
      </c>
      <c r="K2335" t="n">
        <v>0.3</v>
      </c>
      <c r="L2335" t="n">
        <v>73.33333333333334</v>
      </c>
      <c r="M2335" t="n">
        <v>4</v>
      </c>
      <c r="N2335" t="n">
        <v>1.2</v>
      </c>
      <c r="O2335" t="n">
        <v>20.8</v>
      </c>
      <c r="P2335" t="n">
        <v>114.0812471552</v>
      </c>
      <c r="Q2335" t="n">
        <v>0.9454545454545454</v>
      </c>
      <c r="R2335" t="inlineStr">
        <is>
          <t>Sobrestock crítico</t>
        </is>
      </c>
    </row>
    <row r="2336">
      <c r="A2336" t="inlineStr">
        <is>
          <t>ACCMICA121TL</t>
        </is>
      </c>
      <c r="B2336" t="inlineStr">
        <is>
          <t>CLASICA ACTIVE CAB</t>
        </is>
      </c>
      <c r="C2336" t="inlineStr">
        <is>
          <t>Manufactura / Caballero / P. Superiores</t>
        </is>
      </c>
      <c r="D2336" t="n">
        <v>106.90932439</v>
      </c>
      <c r="E2336" t="n">
        <v>2.617488475224691e-05</v>
      </c>
      <c r="F2336" t="n">
        <v>0.9885496636061284</v>
      </c>
      <c r="G2336" t="inlineStr">
        <is>
          <t>C</t>
        </is>
      </c>
      <c r="H2336" t="n">
        <v>1</v>
      </c>
      <c r="I2336" t="n">
        <v>12.74</v>
      </c>
      <c r="J2336" t="n">
        <v>12.74</v>
      </c>
      <c r="K2336" t="n">
        <v>0.2</v>
      </c>
      <c r="L2336" t="n">
        <v>5</v>
      </c>
      <c r="M2336" t="n">
        <v>4</v>
      </c>
      <c r="N2336" t="n">
        <v>0.8</v>
      </c>
      <c r="O2336" t="n">
        <v>0.2</v>
      </c>
      <c r="P2336" t="n">
        <v>2.548</v>
      </c>
      <c r="Q2336" t="n">
        <v>0.2</v>
      </c>
      <c r="R2336" t="inlineStr">
        <is>
          <t>Sobrestock</t>
        </is>
      </c>
    </row>
    <row r="2337">
      <c r="A2337" t="inlineStr">
        <is>
          <t>SSR2VIU43TXL</t>
        </is>
      </c>
      <c r="B2337" t="inlineStr">
        <is>
          <t>R2 SPORT  5"</t>
        </is>
      </c>
      <c r="C2337" t="inlineStr">
        <is>
          <t>Manufactura / General</t>
        </is>
      </c>
      <c r="D2337" t="n">
        <v>106.9</v>
      </c>
      <c r="E2337" t="n">
        <v>2.617260183787038e-05</v>
      </c>
      <c r="F2337" t="n">
        <v>0.9886281814116419</v>
      </c>
      <c r="G2337" t="inlineStr">
        <is>
          <t>C</t>
        </is>
      </c>
      <c r="H2337" t="n">
        <v>12</v>
      </c>
      <c r="I2337" t="n">
        <v>5.09</v>
      </c>
      <c r="J2337" t="n">
        <v>61.08</v>
      </c>
      <c r="K2337" t="n">
        <v>0.2</v>
      </c>
      <c r="L2337" t="n">
        <v>60</v>
      </c>
      <c r="M2337" t="n">
        <v>4</v>
      </c>
      <c r="N2337" t="n">
        <v>0.8</v>
      </c>
      <c r="O2337" t="n">
        <v>11.2</v>
      </c>
      <c r="P2337" t="n">
        <v>57.008</v>
      </c>
      <c r="Q2337" t="n">
        <v>0.9333333333333332</v>
      </c>
      <c r="R2337" t="inlineStr">
        <is>
          <t>Sobrestock crítico</t>
        </is>
      </c>
    </row>
    <row r="2338">
      <c r="A2338" t="inlineStr">
        <is>
          <t>SSR2VIU66TL</t>
        </is>
      </c>
      <c r="B2338" t="inlineStr">
        <is>
          <t>R2 SPORT  5"</t>
        </is>
      </c>
      <c r="C2338" t="inlineStr">
        <is>
          <t>Manufactura / General</t>
        </is>
      </c>
      <c r="D2338" t="n">
        <v>106.9</v>
      </c>
      <c r="E2338" t="n">
        <v>2.617260183787038e-05</v>
      </c>
      <c r="F2338" t="n">
        <v>0.9886281814116419</v>
      </c>
      <c r="G2338" t="inlineStr">
        <is>
          <t>C</t>
        </is>
      </c>
      <c r="H2338" t="n">
        <v>15</v>
      </c>
      <c r="I2338" t="n">
        <v>5.09</v>
      </c>
      <c r="J2338" t="n">
        <v>76.34999999999999</v>
      </c>
      <c r="K2338" t="n">
        <v>0.2</v>
      </c>
      <c r="L2338" t="n">
        <v>75</v>
      </c>
      <c r="M2338" t="n">
        <v>4</v>
      </c>
      <c r="N2338" t="n">
        <v>0.8</v>
      </c>
      <c r="O2338" t="n">
        <v>14.2</v>
      </c>
      <c r="P2338" t="n">
        <v>72.27799999999999</v>
      </c>
      <c r="Q2338" t="n">
        <v>0.9466666666666667</v>
      </c>
      <c r="R2338" t="inlineStr">
        <is>
          <t>Sobrestock crítico</t>
        </is>
      </c>
    </row>
    <row r="2339">
      <c r="A2339" t="inlineStr">
        <is>
          <t>SSR2VIU66TM</t>
        </is>
      </c>
      <c r="B2339" t="inlineStr">
        <is>
          <t>R2 SPORT  5"</t>
        </is>
      </c>
      <c r="C2339" t="inlineStr">
        <is>
          <t>Manufactura / General</t>
        </is>
      </c>
      <c r="D2339" t="n">
        <v>106.9</v>
      </c>
      <c r="E2339" t="n">
        <v>2.617260183787038e-05</v>
      </c>
      <c r="F2339" t="n">
        <v>0.9886281814116419</v>
      </c>
      <c r="G2339" t="inlineStr">
        <is>
          <t>C</t>
        </is>
      </c>
      <c r="H2339" t="n">
        <v>16</v>
      </c>
      <c r="I2339" t="n">
        <v>5.09</v>
      </c>
      <c r="J2339" t="n">
        <v>81.44</v>
      </c>
      <c r="K2339" t="n">
        <v>0.2</v>
      </c>
      <c r="L2339" t="n">
        <v>80</v>
      </c>
      <c r="M2339" t="n">
        <v>4</v>
      </c>
      <c r="N2339" t="n">
        <v>0.8</v>
      </c>
      <c r="O2339" t="n">
        <v>15.2</v>
      </c>
      <c r="P2339" t="n">
        <v>77.36799999999999</v>
      </c>
      <c r="Q2339" t="n">
        <v>0.95</v>
      </c>
      <c r="R2339" t="inlineStr">
        <is>
          <t>Sobrestock crítico</t>
        </is>
      </c>
    </row>
    <row r="2340">
      <c r="A2340" t="inlineStr">
        <is>
          <t>ADUMMDA11TXL</t>
        </is>
      </c>
      <c r="B2340" t="inlineStr">
        <is>
          <t>ACTIVE DUO DAMA</t>
        </is>
      </c>
      <c r="C2340" t="inlineStr">
        <is>
          <t>Manufactura / Caballero / P. Superiores</t>
        </is>
      </c>
      <c r="D2340" t="n">
        <v>106.34856003</v>
      </c>
      <c r="E2340" t="n">
        <v>2.603759137227359e-05</v>
      </c>
      <c r="F2340" t="n">
        <v>0.9886542190030142</v>
      </c>
      <c r="G2340" t="inlineStr">
        <is>
          <t>C</t>
        </is>
      </c>
      <c r="H2340" t="n">
        <v>11</v>
      </c>
      <c r="I2340" t="n">
        <v>3.19128</v>
      </c>
      <c r="J2340" t="n">
        <v>35.10408</v>
      </c>
      <c r="K2340" t="n">
        <v>0.2</v>
      </c>
      <c r="L2340" t="n">
        <v>55</v>
      </c>
      <c r="M2340" t="n">
        <v>4</v>
      </c>
      <c r="N2340" t="n">
        <v>0.8</v>
      </c>
      <c r="O2340" t="n">
        <v>10.2</v>
      </c>
      <c r="P2340" t="n">
        <v>32.551056</v>
      </c>
      <c r="Q2340" t="n">
        <v>0.9272727272727272</v>
      </c>
      <c r="R2340" t="inlineStr">
        <is>
          <t>Sobrestock crítico</t>
        </is>
      </c>
    </row>
    <row r="2341">
      <c r="A2341" t="inlineStr">
        <is>
          <t>RIOMICA43T4XL</t>
        </is>
      </c>
      <c r="B2341" t="inlineStr">
        <is>
          <t>RIO ORIGINAL CAB</t>
        </is>
      </c>
      <c r="C2341" t="inlineStr">
        <is>
          <t>Manufactura / Caballero / P. Superiores</t>
        </is>
      </c>
      <c r="D2341" t="n">
        <v>106.23048115</v>
      </c>
      <c r="E2341" t="n">
        <v>2.600868181650463e-05</v>
      </c>
      <c r="F2341" t="n">
        <v>0.9886802276848308</v>
      </c>
      <c r="G2341" t="inlineStr">
        <is>
          <t>C</t>
        </is>
      </c>
      <c r="H2341" t="n">
        <v>1</v>
      </c>
      <c r="I2341" t="n">
        <v>5.939350288</v>
      </c>
      <c r="J2341" t="n">
        <v>5.939350288</v>
      </c>
      <c r="K2341" t="n">
        <v>0.2</v>
      </c>
      <c r="L2341" t="n">
        <v>5</v>
      </c>
      <c r="M2341" t="n">
        <v>4</v>
      </c>
      <c r="N2341" t="n">
        <v>0.8</v>
      </c>
      <c r="O2341" t="n">
        <v>0.2</v>
      </c>
      <c r="P2341" t="n">
        <v>1.1878700576</v>
      </c>
      <c r="Q2341" t="n">
        <v>0.1999999999999999</v>
      </c>
      <c r="R2341" t="inlineStr">
        <is>
          <t>Sobrestock</t>
        </is>
      </c>
    </row>
    <row r="2342">
      <c r="A2342" t="inlineStr">
        <is>
          <t>LMOFIDA43TXS</t>
        </is>
      </c>
      <c r="B2342" t="inlineStr">
        <is>
          <t>LEGGING MOVA</t>
        </is>
      </c>
      <c r="C2342" t="inlineStr">
        <is>
          <t>Manufactura / Dama / P. Inferiores</t>
        </is>
      </c>
      <c r="D2342" t="n">
        <v>105.6836685</v>
      </c>
      <c r="E2342" t="n">
        <v>2.587480426956018e-05</v>
      </c>
      <c r="F2342" t="n">
        <v>0.9887061024891003</v>
      </c>
      <c r="G2342" t="inlineStr">
        <is>
          <t>C</t>
        </is>
      </c>
      <c r="H2342" t="n">
        <v>36</v>
      </c>
      <c r="I2342" t="n">
        <v>17.7</v>
      </c>
      <c r="J2342" t="n">
        <v>637.1999999999999</v>
      </c>
      <c r="K2342" t="n">
        <v>0.1</v>
      </c>
      <c r="L2342" t="n">
        <v>360</v>
      </c>
      <c r="M2342" t="n">
        <v>4</v>
      </c>
      <c r="N2342" t="n">
        <v>0.4</v>
      </c>
      <c r="O2342" t="n">
        <v>35.6</v>
      </c>
      <c r="P2342" t="n">
        <v>630.12</v>
      </c>
      <c r="Q2342" t="n">
        <v>0.988888888888889</v>
      </c>
      <c r="R2342" t="inlineStr">
        <is>
          <t>Sobrestock crítico</t>
        </is>
      </c>
    </row>
    <row r="2343">
      <c r="A2343" t="inlineStr">
        <is>
          <t>CLAMIKI53T14</t>
        </is>
      </c>
      <c r="B2343" t="inlineStr">
        <is>
          <t>CLASICA ORIGINAL KIDS</t>
        </is>
      </c>
      <c r="C2343" t="inlineStr">
        <is>
          <t>Manufactura / Kids / P. Superiores</t>
        </is>
      </c>
      <c r="D2343" t="n">
        <v>105.13646496</v>
      </c>
      <c r="E2343" t="n">
        <v>2.574083102001208e-05</v>
      </c>
      <c r="F2343" t="n">
        <v>0.9887318433201203</v>
      </c>
      <c r="G2343" t="inlineStr">
        <is>
          <t>C</t>
        </is>
      </c>
      <c r="H2343" t="n">
        <v>8</v>
      </c>
      <c r="I2343" t="n">
        <v>2.053774806</v>
      </c>
      <c r="J2343" t="n">
        <v>16.430198448</v>
      </c>
      <c r="K2343" t="n">
        <v>0.3</v>
      </c>
      <c r="L2343" t="n">
        <v>26.66666666666667</v>
      </c>
      <c r="M2343" t="n">
        <v>4</v>
      </c>
      <c r="N2343" t="n">
        <v>1.2</v>
      </c>
      <c r="O2343" t="n">
        <v>6.8</v>
      </c>
      <c r="P2343" t="n">
        <v>13.9656686808</v>
      </c>
      <c r="Q2343" t="n">
        <v>0.85</v>
      </c>
      <c r="R2343" t="inlineStr">
        <is>
          <t>Sobrestock crítico</t>
        </is>
      </c>
    </row>
    <row r="2344">
      <c r="A2344" t="inlineStr">
        <is>
          <t>SHONRKI12T4</t>
        </is>
      </c>
      <c r="B2344" t="inlineStr">
        <is>
          <t>SHORT SPORT KIDS</t>
        </is>
      </c>
      <c r="C2344" t="inlineStr">
        <is>
          <t>Manufactura / Kids / P. Inferiores</t>
        </is>
      </c>
      <c r="D2344" t="n">
        <v>105</v>
      </c>
      <c r="E2344" t="n">
        <v>2.570741995300645e-05</v>
      </c>
      <c r="F2344" t="n">
        <v>0.9887575507400733</v>
      </c>
      <c r="G2344" t="inlineStr">
        <is>
          <t>C</t>
        </is>
      </c>
      <c r="H2344" t="n">
        <v>41</v>
      </c>
      <c r="I2344" t="n">
        <v>6.465724382</v>
      </c>
      <c r="J2344" t="n">
        <v>265.094699662</v>
      </c>
      <c r="K2344" t="n">
        <v>0.3</v>
      </c>
      <c r="L2344" t="n">
        <v>136.6666666666667</v>
      </c>
      <c r="M2344" t="n">
        <v>4</v>
      </c>
      <c r="N2344" t="n">
        <v>1.2</v>
      </c>
      <c r="O2344" t="n">
        <v>39.8</v>
      </c>
      <c r="P2344" t="n">
        <v>257.3358304036</v>
      </c>
      <c r="Q2344" t="n">
        <v>0.9707317073170729</v>
      </c>
      <c r="R2344" t="inlineStr">
        <is>
          <t>Sobrestock crítico</t>
        </is>
      </c>
    </row>
    <row r="2345">
      <c r="A2345" t="inlineStr">
        <is>
          <t>LMOFIDA66TXS</t>
        </is>
      </c>
      <c r="B2345" t="inlineStr">
        <is>
          <t>LEGGING MOVA</t>
        </is>
      </c>
      <c r="C2345" t="inlineStr">
        <is>
          <t>Manufactura / Dama / P. Inferiores</t>
        </is>
      </c>
      <c r="D2345" t="n">
        <v>104.7180872</v>
      </c>
      <c r="E2345" t="n">
        <v>2.563839851739e-05</v>
      </c>
      <c r="F2345" t="n">
        <v>0.9887831891385906</v>
      </c>
      <c r="G2345" t="inlineStr">
        <is>
          <t>C</t>
        </is>
      </c>
      <c r="H2345" t="n">
        <v>24</v>
      </c>
      <c r="I2345" t="n">
        <v>17.7</v>
      </c>
      <c r="J2345" t="n">
        <v>424.8</v>
      </c>
      <c r="K2345" t="n">
        <v>0.3</v>
      </c>
      <c r="L2345" t="n">
        <v>80</v>
      </c>
      <c r="M2345" t="n">
        <v>4</v>
      </c>
      <c r="N2345" t="n">
        <v>1.2</v>
      </c>
      <c r="O2345" t="n">
        <v>22.8</v>
      </c>
      <c r="P2345" t="n">
        <v>403.56</v>
      </c>
      <c r="Q2345" t="n">
        <v>0.9500000000000001</v>
      </c>
      <c r="R2345" t="inlineStr">
        <is>
          <t>Sobrestock crítico</t>
        </is>
      </c>
    </row>
    <row r="2346">
      <c r="A2346" t="inlineStr">
        <is>
          <t>PANNTKI33T8</t>
        </is>
      </c>
      <c r="B2346" t="inlineStr">
        <is>
          <t>EXPLORE PANTS KIDS</t>
        </is>
      </c>
      <c r="C2346" t="inlineStr">
        <is>
          <t>Manufactura / Kids / P. Inferiores</t>
        </is>
      </c>
      <c r="D2346" t="n">
        <v>104.4124877</v>
      </c>
      <c r="E2346" t="n">
        <v>2.556357780611448e-05</v>
      </c>
      <c r="F2346" t="n">
        <v>0.9888087527163968</v>
      </c>
      <c r="G2346" t="inlineStr">
        <is>
          <t>C</t>
        </is>
      </c>
      <c r="H2346" t="n">
        <v>24</v>
      </c>
      <c r="I2346" t="n">
        <v>13.98</v>
      </c>
      <c r="J2346" t="n">
        <v>335.52</v>
      </c>
      <c r="K2346" t="n">
        <v>0.2</v>
      </c>
      <c r="L2346" t="n">
        <v>120</v>
      </c>
      <c r="M2346" t="n">
        <v>4</v>
      </c>
      <c r="N2346" t="n">
        <v>0.8</v>
      </c>
      <c r="O2346" t="n">
        <v>23.2</v>
      </c>
      <c r="P2346" t="n">
        <v>324.336</v>
      </c>
      <c r="Q2346" t="n">
        <v>0.9666666666666668</v>
      </c>
      <c r="R2346" t="inlineStr">
        <is>
          <t>Sobrestock crítico</t>
        </is>
      </c>
    </row>
    <row r="2347">
      <c r="A2347" t="inlineStr">
        <is>
          <t>AQUSTDA16TXS</t>
        </is>
      </c>
      <c r="B2347" t="inlineStr">
        <is>
          <t>RETRO VZLA DAMA</t>
        </is>
      </c>
      <c r="C2347" t="inlineStr">
        <is>
          <t>Manufactura / Dama / P. Superiores</t>
        </is>
      </c>
      <c r="D2347" t="n">
        <v>104.4105234</v>
      </c>
      <c r="E2347" t="n">
        <v>2.556309688149531e-05</v>
      </c>
      <c r="F2347" t="n">
        <v>0.9888343158132783</v>
      </c>
      <c r="G2347" t="inlineStr">
        <is>
          <t>C</t>
        </is>
      </c>
      <c r="H2347" t="n">
        <v>0</v>
      </c>
      <c r="I2347" t="n">
        <v>11.23</v>
      </c>
      <c r="J2347" t="n">
        <v>0</v>
      </c>
      <c r="K2347" t="n">
        <v>0.3</v>
      </c>
      <c r="L2347" t="n">
        <v>0</v>
      </c>
      <c r="M2347" t="n">
        <v>4</v>
      </c>
      <c r="N2347" t="n">
        <v>1.2</v>
      </c>
      <c r="O2347" t="n">
        <v>0</v>
      </c>
      <c r="P2347" t="n">
        <v>0</v>
      </c>
      <c r="Q2347" t="n">
        <v>0</v>
      </c>
      <c r="R2347" t="inlineStr">
        <is>
          <t>Riesgo bajo stock</t>
        </is>
      </c>
    </row>
    <row r="2348">
      <c r="A2348" t="inlineStr">
        <is>
          <t>MAYFNDA24TL</t>
        </is>
      </c>
      <c r="B2348" t="inlineStr">
        <is>
          <t>MAYA SPORT LITE DAMA</t>
        </is>
      </c>
      <c r="C2348" t="inlineStr">
        <is>
          <t>Manufactura / Dama / P. Superiores</t>
        </is>
      </c>
      <c r="D2348" t="n">
        <v>104.03879107</v>
      </c>
      <c r="E2348" t="n">
        <v>2.547208469942464e-05</v>
      </c>
      <c r="F2348" t="n">
        <v>0.9888597878979777</v>
      </c>
      <c r="G2348" t="inlineStr">
        <is>
          <t>C</t>
        </is>
      </c>
      <c r="H2348" t="n">
        <v>1</v>
      </c>
      <c r="I2348" t="n">
        <v>3.87</v>
      </c>
      <c r="J2348" t="n">
        <v>3.87</v>
      </c>
      <c r="K2348" t="n">
        <v>0.4</v>
      </c>
      <c r="L2348" t="n">
        <v>2.5</v>
      </c>
      <c r="M2348" t="n">
        <v>4</v>
      </c>
      <c r="N2348" t="n">
        <v>1.6</v>
      </c>
      <c r="O2348" t="n">
        <v>0</v>
      </c>
      <c r="P2348" t="n">
        <v>0</v>
      </c>
      <c r="Q2348" t="n">
        <v>0</v>
      </c>
      <c r="R2348" t="inlineStr">
        <is>
          <t>OK</t>
        </is>
      </c>
    </row>
    <row r="2349">
      <c r="A2349" t="inlineStr">
        <is>
          <t>ANMSUDA17TXS</t>
        </is>
      </c>
      <c r="B2349" t="inlineStr">
        <is>
          <t>ANDRE MOTION DAMA</t>
        </is>
      </c>
      <c r="C2349" t="inlineStr">
        <is>
          <t>Manufactura / Dama / P. Superiores</t>
        </is>
      </c>
      <c r="D2349" t="n">
        <v>103.75954901</v>
      </c>
      <c r="E2349" t="n">
        <v>2.540371714794881e-05</v>
      </c>
      <c r="F2349" t="n">
        <v>0.9888851916151257</v>
      </c>
      <c r="G2349" t="inlineStr">
        <is>
          <t>C</t>
        </is>
      </c>
      <c r="H2349" t="n">
        <v>15</v>
      </c>
      <c r="I2349" t="n">
        <v>10.6</v>
      </c>
      <c r="J2349" t="n">
        <v>159</v>
      </c>
      <c r="K2349" t="n">
        <v>0.3</v>
      </c>
      <c r="L2349" t="n">
        <v>50</v>
      </c>
      <c r="M2349" t="n">
        <v>4</v>
      </c>
      <c r="N2349" t="n">
        <v>1.2</v>
      </c>
      <c r="O2349" t="n">
        <v>13.8</v>
      </c>
      <c r="P2349" t="n">
        <v>146.28</v>
      </c>
      <c r="Q2349" t="n">
        <v>0.92</v>
      </c>
      <c r="R2349" t="inlineStr">
        <is>
          <t>Sobrestock crítico</t>
        </is>
      </c>
    </row>
    <row r="2350">
      <c r="A2350" t="inlineStr">
        <is>
          <t>MARMICA53TXL</t>
        </is>
      </c>
      <c r="B2350" t="inlineStr">
        <is>
          <t>MAR ORIGINAL CAB</t>
        </is>
      </c>
      <c r="C2350" t="inlineStr">
        <is>
          <t>Manufactura / Caballero / P. Superiores</t>
        </is>
      </c>
      <c r="D2350" t="n">
        <v>103.72774331</v>
      </c>
      <c r="E2350" t="n">
        <v>2.539593007664596e-05</v>
      </c>
      <c r="F2350" t="n">
        <v>0.9889105875452023</v>
      </c>
      <c r="G2350" t="inlineStr">
        <is>
          <t>C</t>
        </is>
      </c>
      <c r="H2350" t="n">
        <v>1</v>
      </c>
      <c r="I2350" t="n">
        <v>4.946357428</v>
      </c>
      <c r="J2350" t="n">
        <v>4.946357428</v>
      </c>
      <c r="K2350" t="n">
        <v>0.2</v>
      </c>
      <c r="L2350" t="n">
        <v>5</v>
      </c>
      <c r="M2350" t="n">
        <v>4</v>
      </c>
      <c r="N2350" t="n">
        <v>0.8</v>
      </c>
      <c r="O2350" t="n">
        <v>0.2</v>
      </c>
      <c r="P2350" t="n">
        <v>0.9892714855999998</v>
      </c>
      <c r="Q2350" t="n">
        <v>0.2</v>
      </c>
      <c r="R2350" t="inlineStr">
        <is>
          <t>Sobrestock</t>
        </is>
      </c>
    </row>
    <row r="2351">
      <c r="A2351" t="inlineStr">
        <is>
          <t>DANMIKI66T10</t>
        </is>
      </c>
      <c r="B2351" t="inlineStr">
        <is>
          <t>DANI ORIGINAL KIDS</t>
        </is>
      </c>
      <c r="C2351" t="inlineStr">
        <is>
          <t>Manufactura / Kids / P. Superiores</t>
        </is>
      </c>
      <c r="D2351" t="n">
        <v>103.67270286</v>
      </c>
      <c r="E2351" t="n">
        <v>2.538245438176451e-05</v>
      </c>
      <c r="F2351" t="n">
        <v>0.9889359699995841</v>
      </c>
      <c r="G2351" t="inlineStr">
        <is>
          <t>C</t>
        </is>
      </c>
      <c r="H2351" t="n">
        <v>3</v>
      </c>
      <c r="I2351" t="n">
        <v>3.55</v>
      </c>
      <c r="J2351" t="n">
        <v>10.65</v>
      </c>
      <c r="K2351" t="n">
        <v>0.4</v>
      </c>
      <c r="L2351" t="n">
        <v>7.5</v>
      </c>
      <c r="M2351" t="n">
        <v>4</v>
      </c>
      <c r="N2351" t="n">
        <v>1.6</v>
      </c>
      <c r="O2351" t="n">
        <v>1.4</v>
      </c>
      <c r="P2351" t="n">
        <v>4.97</v>
      </c>
      <c r="Q2351" t="n">
        <v>0.4666666666666667</v>
      </c>
      <c r="R2351" t="inlineStr">
        <is>
          <t>Sobrestock crítico</t>
        </is>
      </c>
    </row>
    <row r="2352">
      <c r="A2352" t="inlineStr">
        <is>
          <t>ZOEMIKI01T8</t>
        </is>
      </c>
      <c r="B2352" t="inlineStr">
        <is>
          <t>ZOE ORIGINAL KIDS</t>
        </is>
      </c>
      <c r="C2352" t="inlineStr">
        <is>
          <t>Manufactura / Kids / P. Superiores</t>
        </is>
      </c>
      <c r="D2352" t="n">
        <v>103.55668099</v>
      </c>
      <c r="E2352" t="n">
        <v>2.535404844904238e-05</v>
      </c>
      <c r="F2352" t="n">
        <v>0.9889613240480331</v>
      </c>
      <c r="G2352" t="inlineStr">
        <is>
          <t>C</t>
        </is>
      </c>
      <c r="H2352" t="n">
        <v>14</v>
      </c>
      <c r="I2352" t="n">
        <v>4.12</v>
      </c>
      <c r="J2352" t="n">
        <v>57.68</v>
      </c>
      <c r="K2352" t="n">
        <v>0.4</v>
      </c>
      <c r="L2352" t="n">
        <v>35</v>
      </c>
      <c r="M2352" t="n">
        <v>4</v>
      </c>
      <c r="N2352" t="n">
        <v>1.6</v>
      </c>
      <c r="O2352" t="n">
        <v>12.4</v>
      </c>
      <c r="P2352" t="n">
        <v>51.088</v>
      </c>
      <c r="Q2352" t="n">
        <v>0.8857142857142858</v>
      </c>
      <c r="R2352" t="inlineStr">
        <is>
          <t>Sobrestock crítico</t>
        </is>
      </c>
    </row>
    <row r="2353">
      <c r="A2353" t="inlineStr">
        <is>
          <t>CLAMIKI13T1</t>
        </is>
      </c>
      <c r="B2353" t="inlineStr">
        <is>
          <t>CLASICA ORIGINAL KIDS</t>
        </is>
      </c>
      <c r="C2353" t="inlineStr">
        <is>
          <t>Manufactura / Kids / P. Superiores</t>
        </is>
      </c>
      <c r="D2353" t="n">
        <v>103.47313288</v>
      </c>
      <c r="E2353" t="n">
        <v>2.533359315047048e-05</v>
      </c>
      <c r="F2353" t="n">
        <v>0.9889866576411837</v>
      </c>
      <c r="G2353" t="inlineStr">
        <is>
          <t>C</t>
        </is>
      </c>
      <c r="H2353" t="n">
        <v>0</v>
      </c>
      <c r="I2353" t="n">
        <v>2.053774806</v>
      </c>
      <c r="J2353" t="n">
        <v>0</v>
      </c>
      <c r="K2353" t="n">
        <v>0.3</v>
      </c>
      <c r="L2353" t="n">
        <v>0</v>
      </c>
      <c r="M2353" t="n">
        <v>4</v>
      </c>
      <c r="N2353" t="n">
        <v>1.2</v>
      </c>
      <c r="O2353" t="n">
        <v>0</v>
      </c>
      <c r="P2353" t="n">
        <v>0</v>
      </c>
      <c r="Q2353" t="n">
        <v>0</v>
      </c>
      <c r="R2353" t="inlineStr">
        <is>
          <t>Riesgo bajo stock</t>
        </is>
      </c>
    </row>
    <row r="2354">
      <c r="A2354" t="inlineStr">
        <is>
          <t>CLAMEKI16T6</t>
        </is>
      </c>
      <c r="B2354" t="inlineStr">
        <is>
          <t>CLASICA SPORT KIDS</t>
        </is>
      </c>
      <c r="C2354" t="inlineStr">
        <is>
          <t>Manufactura / Kids / P. Superiores</t>
        </is>
      </c>
      <c r="D2354" t="n">
        <v>103.29573529</v>
      </c>
      <c r="E2354" t="n">
        <v>2.529016044242494e-05</v>
      </c>
      <c r="F2354" t="n">
        <v>0.989011947801626</v>
      </c>
      <c r="G2354" t="inlineStr">
        <is>
          <t>C</t>
        </is>
      </c>
      <c r="H2354" t="n">
        <v>3</v>
      </c>
      <c r="I2354" t="n">
        <v>3.97</v>
      </c>
      <c r="J2354" t="n">
        <v>11.91</v>
      </c>
      <c r="K2354" t="n">
        <v>0.3</v>
      </c>
      <c r="L2354" t="n">
        <v>10</v>
      </c>
      <c r="M2354" t="n">
        <v>4</v>
      </c>
      <c r="N2354" t="n">
        <v>1.2</v>
      </c>
      <c r="O2354" t="n">
        <v>1.8</v>
      </c>
      <c r="P2354" t="n">
        <v>7.146000000000001</v>
      </c>
      <c r="Q2354" t="n">
        <v>0.6000000000000001</v>
      </c>
      <c r="R2354" t="inlineStr">
        <is>
          <t>Sobrestock crítico</t>
        </is>
      </c>
    </row>
    <row r="2355">
      <c r="A2355" t="inlineStr">
        <is>
          <t>MARMIKI39T10</t>
        </is>
      </c>
      <c r="B2355" t="inlineStr">
        <is>
          <t>MAR ORIGINAL KIDS</t>
        </is>
      </c>
      <c r="C2355" t="inlineStr">
        <is>
          <t>Manufactura / Kids / P. Superiores</t>
        </is>
      </c>
      <c r="D2355" t="n">
        <v>102.63648504</v>
      </c>
      <c r="E2355" t="n">
        <v>2.512875450879756e-05</v>
      </c>
      <c r="F2355" t="n">
        <v>0.9890370765561348</v>
      </c>
      <c r="G2355" t="inlineStr">
        <is>
          <t>C</t>
        </is>
      </c>
      <c r="H2355" t="n">
        <v>0</v>
      </c>
      <c r="I2355" t="n">
        <v>3.168013332</v>
      </c>
      <c r="J2355" t="n">
        <v>0</v>
      </c>
      <c r="K2355" t="n">
        <v>0.3</v>
      </c>
      <c r="L2355" t="n">
        <v>0</v>
      </c>
      <c r="M2355" t="n">
        <v>4</v>
      </c>
      <c r="N2355" t="n">
        <v>1.2</v>
      </c>
      <c r="O2355" t="n">
        <v>0</v>
      </c>
      <c r="P2355" t="n">
        <v>0</v>
      </c>
      <c r="Q2355" t="n">
        <v>0</v>
      </c>
      <c r="R2355" t="inlineStr">
        <is>
          <t>Sin rotación</t>
        </is>
      </c>
    </row>
    <row r="2356">
      <c r="A2356" t="inlineStr">
        <is>
          <t>MAYFNDA10TXS</t>
        </is>
      </c>
      <c r="B2356" t="inlineStr">
        <is>
          <t>MAYA SPORT LITE DAMA</t>
        </is>
      </c>
      <c r="C2356" t="inlineStr">
        <is>
          <t>Manufactura / Dama / P. Superiores</t>
        </is>
      </c>
      <c r="D2356" t="n">
        <v>102.61309607</v>
      </c>
      <c r="E2356" t="n">
        <v>2.512302812713987e-05</v>
      </c>
      <c r="F2356" t="n">
        <v>0.989062199584262</v>
      </c>
      <c r="G2356" t="inlineStr">
        <is>
          <t>C</t>
        </is>
      </c>
      <c r="H2356" t="n">
        <v>10</v>
      </c>
      <c r="I2356" t="n">
        <v>3.87</v>
      </c>
      <c r="J2356" t="n">
        <v>38.7</v>
      </c>
      <c r="K2356" t="n">
        <v>0.3</v>
      </c>
      <c r="L2356" t="n">
        <v>33.33333333333334</v>
      </c>
      <c r="M2356" t="n">
        <v>4</v>
      </c>
      <c r="N2356" t="n">
        <v>1.2</v>
      </c>
      <c r="O2356" t="n">
        <v>8.800000000000001</v>
      </c>
      <c r="P2356" t="n">
        <v>34.056</v>
      </c>
      <c r="Q2356" t="n">
        <v>0.88</v>
      </c>
      <c r="R2356" t="inlineStr">
        <is>
          <t>Sobrestock crítico</t>
        </is>
      </c>
    </row>
    <row r="2357">
      <c r="A2357" t="inlineStr">
        <is>
          <t>MAYFNDA10T2XL</t>
        </is>
      </c>
      <c r="B2357" t="inlineStr">
        <is>
          <t>MAYA SPORT LITE DAMA</t>
        </is>
      </c>
      <c r="C2357" t="inlineStr">
        <is>
          <t>Manufactura / Dama / P. Superiores</t>
        </is>
      </c>
      <c r="D2357" t="n">
        <v>102.13637717</v>
      </c>
      <c r="E2357" t="n">
        <v>2.500631181321763e-05</v>
      </c>
      <c r="F2357" t="n">
        <v>0.9890872058960752</v>
      </c>
      <c r="G2357" t="inlineStr">
        <is>
          <t>C</t>
        </is>
      </c>
      <c r="H2357" t="n">
        <v>3</v>
      </c>
      <c r="I2357" t="n">
        <v>3.87</v>
      </c>
      <c r="J2357" t="n">
        <v>11.61</v>
      </c>
      <c r="K2357" t="n">
        <v>0.3</v>
      </c>
      <c r="L2357" t="n">
        <v>10</v>
      </c>
      <c r="M2357" t="n">
        <v>4</v>
      </c>
      <c r="N2357" t="n">
        <v>1.2</v>
      </c>
      <c r="O2357" t="n">
        <v>1.8</v>
      </c>
      <c r="P2357" t="n">
        <v>6.965999999999999</v>
      </c>
      <c r="Q2357" t="n">
        <v>0.6</v>
      </c>
      <c r="R2357" t="inlineStr">
        <is>
          <t>Sin rotación</t>
        </is>
      </c>
    </row>
    <row r="2358">
      <c r="A2358" t="inlineStr">
        <is>
          <t>CLASTCA43TS</t>
        </is>
      </c>
      <c r="B2358" t="inlineStr">
        <is>
          <t>CLASICA ALGODON STRETCH CAB</t>
        </is>
      </c>
      <c r="C2358" t="inlineStr">
        <is>
          <t>Manufactura / Caballero / P. Superiores</t>
        </is>
      </c>
      <c r="D2358" t="n">
        <v>102.02</v>
      </c>
      <c r="E2358" t="n">
        <v>2.497781889148303e-05</v>
      </c>
      <c r="F2358" t="n">
        <v>0.9891121837149667</v>
      </c>
      <c r="G2358" t="inlineStr">
        <is>
          <t>C</t>
        </is>
      </c>
      <c r="H2358" t="n">
        <v>0</v>
      </c>
      <c r="I2358" t="n">
        <v>9.27</v>
      </c>
      <c r="J2358" t="n">
        <v>0</v>
      </c>
      <c r="K2358" t="n">
        <v>0.4</v>
      </c>
      <c r="L2358" t="n">
        <v>0</v>
      </c>
      <c r="M2358" t="n">
        <v>4</v>
      </c>
      <c r="N2358" t="n">
        <v>1.6</v>
      </c>
      <c r="O2358" t="n">
        <v>0</v>
      </c>
      <c r="P2358" t="n">
        <v>0</v>
      </c>
      <c r="Q2358" t="n">
        <v>0</v>
      </c>
      <c r="R2358" t="inlineStr">
        <is>
          <t>Riesgo bajo stock</t>
        </is>
      </c>
    </row>
    <row r="2359">
      <c r="A2359" t="inlineStr">
        <is>
          <t>ANDMIDA52TL</t>
        </is>
      </c>
      <c r="B2359" t="inlineStr">
        <is>
          <t>ANDRE ORIGINAL DAMA</t>
        </is>
      </c>
      <c r="C2359" t="inlineStr">
        <is>
          <t>Manufactura / Dama / P. Superiores</t>
        </is>
      </c>
      <c r="D2359" t="n">
        <v>101.69517908</v>
      </c>
      <c r="E2359" t="n">
        <v>2.489829215053101e-05</v>
      </c>
      <c r="F2359" t="n">
        <v>0.9891370820071173</v>
      </c>
      <c r="G2359" t="inlineStr">
        <is>
          <t>C</t>
        </is>
      </c>
      <c r="H2359" t="n">
        <v>0</v>
      </c>
      <c r="I2359" t="n">
        <v>3.274295302</v>
      </c>
      <c r="J2359" t="n">
        <v>0</v>
      </c>
      <c r="K2359" t="n">
        <v>0.3</v>
      </c>
      <c r="L2359" t="n">
        <v>0</v>
      </c>
      <c r="M2359" t="n">
        <v>4</v>
      </c>
      <c r="N2359" t="n">
        <v>1.2</v>
      </c>
      <c r="O2359" t="n">
        <v>0</v>
      </c>
      <c r="P2359" t="n">
        <v>0</v>
      </c>
      <c r="Q2359" t="n">
        <v>0</v>
      </c>
      <c r="R2359" t="inlineStr">
        <is>
          <t>Sin rotación</t>
        </is>
      </c>
    </row>
    <row r="2360">
      <c r="A2360" t="inlineStr">
        <is>
          <t>AQUSTKI43T14</t>
        </is>
      </c>
      <c r="B2360" t="inlineStr">
        <is>
          <t>RETRO VZLA KIDS</t>
        </is>
      </c>
      <c r="C2360" t="inlineStr">
        <is>
          <t>Manufactura / Dama / P. Superiores</t>
        </is>
      </c>
      <c r="D2360" t="n">
        <v>101.59412483</v>
      </c>
      <c r="E2360" t="n">
        <v>2.487355077869495e-05</v>
      </c>
      <c r="F2360" t="n">
        <v>0.9891619555578959</v>
      </c>
      <c r="G2360" t="inlineStr">
        <is>
          <t>C</t>
        </is>
      </c>
      <c r="H2360" t="n">
        <v>0</v>
      </c>
      <c r="I2360" t="n">
        <v>10.18</v>
      </c>
      <c r="J2360" t="n">
        <v>0</v>
      </c>
      <c r="K2360" t="n">
        <v>0.4</v>
      </c>
      <c r="L2360" t="n">
        <v>0</v>
      </c>
      <c r="M2360" t="n">
        <v>4</v>
      </c>
      <c r="N2360" t="n">
        <v>1.6</v>
      </c>
      <c r="O2360" t="n">
        <v>0</v>
      </c>
      <c r="P2360" t="n">
        <v>0</v>
      </c>
      <c r="Q2360" t="n">
        <v>0</v>
      </c>
      <c r="R2360" t="inlineStr">
        <is>
          <t>Sin rotación</t>
        </is>
      </c>
    </row>
    <row r="2361">
      <c r="A2361" t="inlineStr">
        <is>
          <t>LARIMJDA16TXS</t>
        </is>
      </c>
      <c r="B2361" t="inlineStr">
        <is>
          <t>LARISA ORIGINAL DAMA</t>
        </is>
      </c>
      <c r="C2361" t="inlineStr">
        <is>
          <t>Manufactura / Dama / P. Superiores</t>
        </is>
      </c>
      <c r="D2361" t="n">
        <v>101.57</v>
      </c>
      <c r="E2361" t="n">
        <v>2.486764423454157e-05</v>
      </c>
      <c r="F2361" t="n">
        <v>0.9891868232021304</v>
      </c>
      <c r="G2361" t="inlineStr">
        <is>
          <t>C</t>
        </is>
      </c>
      <c r="H2361" t="n">
        <v>9</v>
      </c>
      <c r="I2361" t="n">
        <v>1.765998491</v>
      </c>
      <c r="J2361" t="n">
        <v>15.893986419</v>
      </c>
      <c r="K2361" t="n">
        <v>0.6</v>
      </c>
      <c r="L2361" t="n">
        <v>15</v>
      </c>
      <c r="M2361" t="n">
        <v>4</v>
      </c>
      <c r="N2361" t="n">
        <v>2.4</v>
      </c>
      <c r="O2361" t="n">
        <v>6.6</v>
      </c>
      <c r="P2361" t="n">
        <v>11.6555900406</v>
      </c>
      <c r="Q2361" t="n">
        <v>0.7333333333333333</v>
      </c>
      <c r="R2361" t="inlineStr">
        <is>
          <t>Sobrestock crítico</t>
        </is>
      </c>
    </row>
    <row r="2362">
      <c r="A2362" t="inlineStr">
        <is>
          <t>CLASTCA43TXL</t>
        </is>
      </c>
      <c r="B2362" t="inlineStr">
        <is>
          <t>CLASICA ALGODON STRETCH CAB</t>
        </is>
      </c>
      <c r="C2362" t="inlineStr">
        <is>
          <t>Manufactura / Caballero / P. Superiores</t>
        </is>
      </c>
      <c r="D2362" t="n">
        <v>101.1928427</v>
      </c>
      <c r="E2362" t="n">
        <v>2.477530384311832e-05</v>
      </c>
      <c r="F2362" t="n">
        <v>0.9892363738098167</v>
      </c>
      <c r="G2362" t="inlineStr">
        <is>
          <t>C</t>
        </is>
      </c>
      <c r="H2362" t="n">
        <v>0</v>
      </c>
      <c r="I2362" t="n">
        <v>9.27</v>
      </c>
      <c r="J2362" t="n">
        <v>0</v>
      </c>
      <c r="K2362" t="n">
        <v>0.3</v>
      </c>
      <c r="L2362" t="n">
        <v>0</v>
      </c>
      <c r="M2362" t="n">
        <v>4</v>
      </c>
      <c r="N2362" t="n">
        <v>1.2</v>
      </c>
      <c r="O2362" t="n">
        <v>0</v>
      </c>
      <c r="P2362" t="n">
        <v>0</v>
      </c>
      <c r="Q2362" t="n">
        <v>0</v>
      </c>
      <c r="R2362" t="inlineStr">
        <is>
          <t>Sin rotación</t>
        </is>
      </c>
    </row>
    <row r="2363">
      <c r="A2363" t="inlineStr">
        <is>
          <t>CLASTCA43TM</t>
        </is>
      </c>
      <c r="B2363" t="inlineStr">
        <is>
          <t>CLASICA ALGODON STRETCH CAB</t>
        </is>
      </c>
      <c r="C2363" t="inlineStr">
        <is>
          <t>Manufactura / Caballero / P. Superiores</t>
        </is>
      </c>
      <c r="D2363" t="n">
        <v>101.1928427</v>
      </c>
      <c r="E2363" t="n">
        <v>2.477530384311832e-05</v>
      </c>
      <c r="F2363" t="n">
        <v>0.9892363738098167</v>
      </c>
      <c r="G2363" t="inlineStr">
        <is>
          <t>C</t>
        </is>
      </c>
      <c r="H2363" t="n">
        <v>0</v>
      </c>
      <c r="I2363" t="n">
        <v>9.27</v>
      </c>
      <c r="J2363" t="n">
        <v>0</v>
      </c>
      <c r="K2363" t="n">
        <v>1.3</v>
      </c>
      <c r="L2363" t="n">
        <v>0</v>
      </c>
      <c r="M2363" t="n">
        <v>4</v>
      </c>
      <c r="N2363" t="n">
        <v>5.2</v>
      </c>
      <c r="O2363" t="n">
        <v>0</v>
      </c>
      <c r="P2363" t="n">
        <v>0</v>
      </c>
      <c r="Q2363" t="n">
        <v>0</v>
      </c>
      <c r="R2363" t="inlineStr">
        <is>
          <t>Sin rotación</t>
        </is>
      </c>
    </row>
    <row r="2364">
      <c r="A2364" t="inlineStr">
        <is>
          <t>DALSSTDA43TS</t>
        </is>
      </c>
      <c r="B2364" t="inlineStr">
        <is>
          <t>MANGA LARGA DAILY 2.0 DAMA</t>
        </is>
      </c>
      <c r="C2364" t="inlineStr">
        <is>
          <t>Manufactura / Dama / P. Superiores</t>
        </is>
      </c>
      <c r="D2364" t="n">
        <v>101.15672585</v>
      </c>
      <c r="E2364" t="n">
        <v>2.476646126187708e-05</v>
      </c>
      <c r="F2364" t="n">
        <v>0.9892611402710786</v>
      </c>
      <c r="G2364" t="inlineStr">
        <is>
          <t>C</t>
        </is>
      </c>
      <c r="H2364" t="n">
        <v>1</v>
      </c>
      <c r="I2364" t="n">
        <v>12.3</v>
      </c>
      <c r="J2364" t="n">
        <v>12.3</v>
      </c>
      <c r="K2364" t="n">
        <v>0.3</v>
      </c>
      <c r="L2364" t="n">
        <v>3.333333333333333</v>
      </c>
      <c r="M2364" t="n">
        <v>4</v>
      </c>
      <c r="N2364" t="n">
        <v>1.2</v>
      </c>
      <c r="O2364" t="n">
        <v>0</v>
      </c>
      <c r="P2364" t="n">
        <v>0</v>
      </c>
      <c r="Q2364" t="n">
        <v>0</v>
      </c>
      <c r="R2364" t="inlineStr">
        <is>
          <t>Sin rotación</t>
        </is>
      </c>
    </row>
    <row r="2365">
      <c r="A2365" t="inlineStr">
        <is>
          <t>DALSTDA30TS</t>
        </is>
      </c>
      <c r="B2365" t="inlineStr">
        <is>
          <t>CLASICA DAILY 2.0 DAMA</t>
        </is>
      </c>
      <c r="C2365" t="inlineStr">
        <is>
          <t>Manufactura / Dama / P. Superiores</t>
        </is>
      </c>
      <c r="D2365" t="n">
        <v>101.13695939</v>
      </c>
      <c r="E2365" t="n">
        <v>2.476162178865609e-05</v>
      </c>
      <c r="F2365" t="n">
        <v>0.9892859018928672</v>
      </c>
      <c r="G2365" t="inlineStr">
        <is>
          <t>C</t>
        </is>
      </c>
      <c r="H2365" t="n">
        <v>5</v>
      </c>
      <c r="I2365" t="n">
        <v>10.02</v>
      </c>
      <c r="J2365" t="n">
        <v>50.09999999999999</v>
      </c>
      <c r="K2365" t="n">
        <v>0.2</v>
      </c>
      <c r="L2365" t="n">
        <v>25</v>
      </c>
      <c r="M2365" t="n">
        <v>4</v>
      </c>
      <c r="N2365" t="n">
        <v>0.8</v>
      </c>
      <c r="O2365" t="n">
        <v>4.2</v>
      </c>
      <c r="P2365" t="n">
        <v>42.084</v>
      </c>
      <c r="Q2365" t="n">
        <v>0.8400000000000002</v>
      </c>
      <c r="R2365" t="inlineStr">
        <is>
          <t>Sobrestock crítico</t>
        </is>
      </c>
    </row>
    <row r="2366">
      <c r="A2366" t="inlineStr">
        <is>
          <t>MARMIKI05T10</t>
        </is>
      </c>
      <c r="B2366" t="inlineStr">
        <is>
          <t>MAR ORIGINAL KIDS</t>
        </is>
      </c>
      <c r="C2366" t="inlineStr">
        <is>
          <t>Manufactura / Kids / P. Superiores</t>
        </is>
      </c>
      <c r="D2366" t="n">
        <v>100.96509644</v>
      </c>
      <c r="E2366" t="n">
        <v>2.471954414075121e-05</v>
      </c>
      <c r="F2366" t="n">
        <v>0.989310621437008</v>
      </c>
      <c r="G2366" t="inlineStr">
        <is>
          <t>C</t>
        </is>
      </c>
      <c r="H2366" t="n">
        <v>0</v>
      </c>
      <c r="I2366" t="n">
        <v>3.168013332</v>
      </c>
      <c r="J2366" t="n">
        <v>0</v>
      </c>
      <c r="K2366" t="n">
        <v>0.3</v>
      </c>
      <c r="L2366" t="n">
        <v>0</v>
      </c>
      <c r="M2366" t="n">
        <v>4</v>
      </c>
      <c r="N2366" t="n">
        <v>1.2</v>
      </c>
      <c r="O2366" t="n">
        <v>0</v>
      </c>
      <c r="P2366" t="n">
        <v>0</v>
      </c>
      <c r="Q2366" t="n">
        <v>0</v>
      </c>
      <c r="R2366" t="inlineStr">
        <is>
          <t>Sin rotación</t>
        </is>
      </c>
    </row>
    <row r="2367">
      <c r="A2367" t="inlineStr">
        <is>
          <t>MARMIKI05T14</t>
        </is>
      </c>
      <c r="B2367" t="inlineStr">
        <is>
          <t>MAR ORIGINAL KIDS</t>
        </is>
      </c>
      <c r="C2367" t="inlineStr">
        <is>
          <t>Manufactura / Kids / P. Superiores</t>
        </is>
      </c>
      <c r="D2367" t="n">
        <v>100.53413551</v>
      </c>
      <c r="E2367" t="n">
        <v>2.461403086826694e-05</v>
      </c>
      <c r="F2367" t="n">
        <v>0.9893352354678763</v>
      </c>
      <c r="G2367" t="inlineStr">
        <is>
          <t>C</t>
        </is>
      </c>
      <c r="H2367" t="n">
        <v>0</v>
      </c>
      <c r="I2367" t="n">
        <v>3.168013332</v>
      </c>
      <c r="J2367" t="n">
        <v>0</v>
      </c>
      <c r="K2367" t="n">
        <v>0.3</v>
      </c>
      <c r="L2367" t="n">
        <v>0</v>
      </c>
      <c r="M2367" t="n">
        <v>4</v>
      </c>
      <c r="N2367" t="n">
        <v>1.2</v>
      </c>
      <c r="O2367" t="n">
        <v>0</v>
      </c>
      <c r="P2367" t="n">
        <v>0</v>
      </c>
      <c r="Q2367" t="n">
        <v>0</v>
      </c>
      <c r="R2367" t="inlineStr">
        <is>
          <t>Sin rotación</t>
        </is>
      </c>
    </row>
    <row r="2368">
      <c r="A2368" t="inlineStr">
        <is>
          <t>MARMIKI28T2</t>
        </is>
      </c>
      <c r="B2368" t="inlineStr">
        <is>
          <t>MAR ORIGINAL KIDS</t>
        </is>
      </c>
      <c r="C2368" t="inlineStr">
        <is>
          <t>Manufactura / Kids / P. Superiores</t>
        </is>
      </c>
      <c r="D2368" t="n">
        <v>100.45548841</v>
      </c>
      <c r="E2368" t="n">
        <v>2.459477549657374e-05</v>
      </c>
      <c r="F2368" t="n">
        <v>0.9893598302433728</v>
      </c>
      <c r="G2368" t="inlineStr">
        <is>
          <t>C</t>
        </is>
      </c>
      <c r="H2368" t="n">
        <v>0</v>
      </c>
      <c r="I2368" t="n">
        <v>3.168013332</v>
      </c>
      <c r="J2368" t="n">
        <v>0</v>
      </c>
      <c r="K2368" t="n">
        <v>0.3</v>
      </c>
      <c r="L2368" t="n">
        <v>0</v>
      </c>
      <c r="M2368" t="n">
        <v>4</v>
      </c>
      <c r="N2368" t="n">
        <v>1.2</v>
      </c>
      <c r="O2368" t="n">
        <v>0</v>
      </c>
      <c r="P2368" t="n">
        <v>0</v>
      </c>
      <c r="Q2368" t="n">
        <v>0</v>
      </c>
      <c r="R2368" t="inlineStr">
        <is>
          <t>Sin rotación</t>
        </is>
      </c>
    </row>
    <row r="2369">
      <c r="A2369" t="inlineStr">
        <is>
          <t>MARMICA34T2XL</t>
        </is>
      </c>
      <c r="B2369" t="inlineStr">
        <is>
          <t>MAR ORIGINAL CAB</t>
        </is>
      </c>
      <c r="C2369" t="inlineStr">
        <is>
          <t>Manufactura / Caballero / P. Superiores</t>
        </is>
      </c>
      <c r="D2369" t="n">
        <v>100.41115066</v>
      </c>
      <c r="E2369" t="n">
        <v>2.458392017124972e-05</v>
      </c>
      <c r="F2369" t="n">
        <v>0.9893844141635442</v>
      </c>
      <c r="G2369" t="inlineStr">
        <is>
          <t>C</t>
        </is>
      </c>
      <c r="H2369" t="n">
        <v>1</v>
      </c>
      <c r="I2369" t="n">
        <v>4.946357428</v>
      </c>
      <c r="J2369" t="n">
        <v>4.946357428</v>
      </c>
      <c r="K2369" t="n">
        <v>0.2</v>
      </c>
      <c r="L2369" t="n">
        <v>5</v>
      </c>
      <c r="M2369" t="n">
        <v>4</v>
      </c>
      <c r="N2369" t="n">
        <v>0.8</v>
      </c>
      <c r="O2369" t="n">
        <v>0.2</v>
      </c>
      <c r="P2369" t="n">
        <v>0.9892714855999998</v>
      </c>
      <c r="Q2369" t="n">
        <v>0.2</v>
      </c>
      <c r="R2369" t="inlineStr">
        <is>
          <t>Sobrestock</t>
        </is>
      </c>
    </row>
    <row r="2370">
      <c r="A2370" t="inlineStr">
        <is>
          <t>MARMIKI24T14</t>
        </is>
      </c>
      <c r="B2370" t="inlineStr">
        <is>
          <t>MAR ORIGINAL KIDS</t>
        </is>
      </c>
      <c r="C2370" t="inlineStr">
        <is>
          <t>Manufactura / Kids / P. Superiores</t>
        </is>
      </c>
      <c r="D2370" t="n">
        <v>100.21358885</v>
      </c>
      <c r="E2370" t="n">
        <v>2.453555060537976e-05</v>
      </c>
      <c r="F2370" t="n">
        <v>0.9894089497141494</v>
      </c>
      <c r="G2370" t="inlineStr">
        <is>
          <t>C</t>
        </is>
      </c>
      <c r="H2370" t="n">
        <v>0</v>
      </c>
      <c r="I2370" t="n">
        <v>3.168013332</v>
      </c>
      <c r="J2370" t="n">
        <v>0</v>
      </c>
      <c r="K2370" t="n">
        <v>0.3</v>
      </c>
      <c r="L2370" t="n">
        <v>0</v>
      </c>
      <c r="M2370" t="n">
        <v>4</v>
      </c>
      <c r="N2370" t="n">
        <v>1.2</v>
      </c>
      <c r="O2370" t="n">
        <v>0</v>
      </c>
      <c r="P2370" t="n">
        <v>0</v>
      </c>
      <c r="Q2370" t="n">
        <v>0</v>
      </c>
      <c r="R2370" t="inlineStr">
        <is>
          <t>Sin rotación</t>
        </is>
      </c>
    </row>
    <row r="2371">
      <c r="A2371" t="inlineStr">
        <is>
          <t>LMOFIDA31TXS</t>
        </is>
      </c>
      <c r="B2371" t="inlineStr">
        <is>
          <t>LEGGING MOVA</t>
        </is>
      </c>
      <c r="C2371" t="inlineStr">
        <is>
          <t>Manufactura / Dama / P. Inferiores</t>
        </is>
      </c>
      <c r="D2371" t="n">
        <v>99.14160002</v>
      </c>
      <c r="E2371" t="n">
        <v>2.427309282406793e-05</v>
      </c>
      <c r="F2371" t="n">
        <v>0.9894332228069734</v>
      </c>
      <c r="G2371" t="inlineStr">
        <is>
          <t>C</t>
        </is>
      </c>
      <c r="H2371" t="n">
        <v>22</v>
      </c>
      <c r="I2371" t="n">
        <v>17.7</v>
      </c>
      <c r="J2371" t="n">
        <v>389.4</v>
      </c>
      <c r="K2371" t="n">
        <v>0.4</v>
      </c>
      <c r="L2371" t="n">
        <v>55</v>
      </c>
      <c r="M2371" t="n">
        <v>4</v>
      </c>
      <c r="N2371" t="n">
        <v>1.6</v>
      </c>
      <c r="O2371" t="n">
        <v>20.4</v>
      </c>
      <c r="P2371" t="n">
        <v>361.08</v>
      </c>
      <c r="Q2371" t="n">
        <v>0.9272727272727272</v>
      </c>
      <c r="R2371" t="inlineStr">
        <is>
          <t>Sobrestock crítico</t>
        </is>
      </c>
    </row>
    <row r="2372">
      <c r="A2372" t="inlineStr">
        <is>
          <t>PETMIPE52TXS</t>
        </is>
      </c>
      <c r="B2372" t="inlineStr">
        <is>
          <t>BANDANA PET</t>
        </is>
      </c>
      <c r="C2372" t="inlineStr">
        <is>
          <t>Manufactura / General</t>
        </is>
      </c>
      <c r="D2372" t="n">
        <v>99.032301906</v>
      </c>
      <c r="E2372" t="n">
        <v>2.424633308581394e-05</v>
      </c>
      <c r="F2372" t="n">
        <v>0.9894574691400593</v>
      </c>
      <c r="G2372" t="inlineStr">
        <is>
          <t>C</t>
        </is>
      </c>
      <c r="H2372" t="n">
        <v>0</v>
      </c>
      <c r="I2372" t="n">
        <v>0.3252662283</v>
      </c>
      <c r="J2372" t="n">
        <v>0</v>
      </c>
      <c r="K2372" t="n">
        <v>1</v>
      </c>
      <c r="L2372" t="n">
        <v>0</v>
      </c>
      <c r="M2372" t="n">
        <v>4</v>
      </c>
      <c r="N2372" t="n">
        <v>4</v>
      </c>
      <c r="O2372" t="n">
        <v>0</v>
      </c>
      <c r="P2372" t="n">
        <v>0</v>
      </c>
      <c r="Q2372" t="n">
        <v>0</v>
      </c>
      <c r="R2372" t="inlineStr">
        <is>
          <t>Riesgo bajo stock</t>
        </is>
      </c>
    </row>
    <row r="2373">
      <c r="A2373" t="inlineStr">
        <is>
          <t>SSR2VIU43TS</t>
        </is>
      </c>
      <c r="B2373" t="inlineStr">
        <is>
          <t>R2 SPORT  5"</t>
        </is>
      </c>
      <c r="C2373" t="inlineStr">
        <is>
          <t>Manufactura / General</t>
        </is>
      </c>
      <c r="D2373" t="n">
        <v>98.88</v>
      </c>
      <c r="E2373" t="n">
        <v>2.420904461860265e-05</v>
      </c>
      <c r="F2373" t="n">
        <v>0.9894816781846779</v>
      </c>
      <c r="G2373" t="inlineStr">
        <is>
          <t>C</t>
        </is>
      </c>
      <c r="H2373" t="n">
        <v>11</v>
      </c>
      <c r="I2373" t="n">
        <v>5.09</v>
      </c>
      <c r="J2373" t="n">
        <v>55.98999999999999</v>
      </c>
      <c r="K2373" t="n">
        <v>0.2</v>
      </c>
      <c r="L2373" t="n">
        <v>55</v>
      </c>
      <c r="M2373" t="n">
        <v>4</v>
      </c>
      <c r="N2373" t="n">
        <v>0.8</v>
      </c>
      <c r="O2373" t="n">
        <v>10.2</v>
      </c>
      <c r="P2373" t="n">
        <v>51.91799999999999</v>
      </c>
      <c r="Q2373" t="n">
        <v>0.9272727272727272</v>
      </c>
      <c r="R2373" t="inlineStr">
        <is>
          <t>Sobrestock crítico</t>
        </is>
      </c>
    </row>
    <row r="2374">
      <c r="A2374" t="inlineStr">
        <is>
          <t>ZOEMIKI70T8</t>
        </is>
      </c>
      <c r="B2374" t="inlineStr">
        <is>
          <t>ZOE ORIGINAL KIDS</t>
        </is>
      </c>
      <c r="C2374" t="inlineStr">
        <is>
          <t>Manufactura / Kids / P. Superiores</t>
        </is>
      </c>
      <c r="D2374" t="n">
        <v>98.81065071</v>
      </c>
      <c r="E2374" t="n">
        <v>2.419206565363624e-05</v>
      </c>
      <c r="F2374" t="n">
        <v>0.9895058702503314</v>
      </c>
      <c r="G2374" t="inlineStr">
        <is>
          <t>C</t>
        </is>
      </c>
      <c r="H2374" t="n">
        <v>9</v>
      </c>
      <c r="I2374" t="n">
        <v>4.12</v>
      </c>
      <c r="J2374" t="n">
        <v>37.08</v>
      </c>
      <c r="K2374" t="n">
        <v>0.2</v>
      </c>
      <c r="L2374" t="n">
        <v>45</v>
      </c>
      <c r="M2374" t="n">
        <v>4</v>
      </c>
      <c r="N2374" t="n">
        <v>0.8</v>
      </c>
      <c r="O2374" t="n">
        <v>8.199999999999999</v>
      </c>
      <c r="P2374" t="n">
        <v>33.784</v>
      </c>
      <c r="Q2374" t="n">
        <v>0.9111111111111111</v>
      </c>
      <c r="R2374" t="inlineStr">
        <is>
          <t>Sobrestock crítico</t>
        </is>
      </c>
    </row>
    <row r="2375">
      <c r="A2375" t="inlineStr">
        <is>
          <t>JACDA67TL</t>
        </is>
      </c>
      <c r="B2375" t="inlineStr">
        <is>
          <t>JACKET DAMA</t>
        </is>
      </c>
      <c r="C2375" t="inlineStr">
        <is>
          <t>Equipamiento / Ropa</t>
        </is>
      </c>
      <c r="D2375" t="n">
        <v>98.23204676</v>
      </c>
      <c r="E2375" t="n">
        <v>2.405040456097797e-05</v>
      </c>
      <c r="F2375" t="n">
        <v>0.9895299206548925</v>
      </c>
      <c r="G2375" t="inlineStr">
        <is>
          <t>C</t>
        </is>
      </c>
      <c r="H2375" t="n">
        <v>0</v>
      </c>
      <c r="I2375" t="n">
        <v>20.25</v>
      </c>
      <c r="J2375" t="n">
        <v>0</v>
      </c>
      <c r="K2375" t="n">
        <v>0.1</v>
      </c>
      <c r="L2375" t="n">
        <v>0</v>
      </c>
      <c r="M2375" t="n">
        <v>4</v>
      </c>
      <c r="N2375" t="n">
        <v>0.4</v>
      </c>
      <c r="O2375" t="n">
        <v>0</v>
      </c>
      <c r="P2375" t="n">
        <v>0</v>
      </c>
      <c r="Q2375" t="n">
        <v>0</v>
      </c>
      <c r="R2375" t="inlineStr">
        <is>
          <t>Riesgo bajo stock</t>
        </is>
      </c>
    </row>
    <row r="2376">
      <c r="A2376" t="inlineStr">
        <is>
          <t>BUFMIGE16TUN</t>
        </is>
      </c>
      <c r="B2376" t="inlineStr">
        <is>
          <t>FLEX COVER</t>
        </is>
      </c>
      <c r="C2376" t="inlineStr">
        <is>
          <t>Manufactura / General</t>
        </is>
      </c>
      <c r="D2376" t="n">
        <v>98.17423669</v>
      </c>
      <c r="E2376" t="n">
        <v>2.403625077291128e-05</v>
      </c>
      <c r="F2376" t="n">
        <v>0.9895539569056654</v>
      </c>
      <c r="G2376" t="inlineStr">
        <is>
          <t>C</t>
        </is>
      </c>
      <c r="H2376" t="n">
        <v>41</v>
      </c>
      <c r="I2376" t="n">
        <v>2.21</v>
      </c>
      <c r="J2376" t="n">
        <v>90.61</v>
      </c>
      <c r="K2376" t="n">
        <v>0.8</v>
      </c>
      <c r="L2376" t="n">
        <v>51.25</v>
      </c>
      <c r="M2376" t="n">
        <v>4</v>
      </c>
      <c r="N2376" t="n">
        <v>3.2</v>
      </c>
      <c r="O2376" t="n">
        <v>37.8</v>
      </c>
      <c r="P2376" t="n">
        <v>83.538</v>
      </c>
      <c r="Q2376" t="n">
        <v>0.9219512195121951</v>
      </c>
      <c r="R2376" t="inlineStr">
        <is>
          <t>Sobrestock crítico</t>
        </is>
      </c>
    </row>
    <row r="2377">
      <c r="A2377" t="inlineStr">
        <is>
          <t>RIOMICA14T2XL</t>
        </is>
      </c>
      <c r="B2377" t="inlineStr">
        <is>
          <t>RIO ORIGINAL CAB</t>
        </is>
      </c>
      <c r="C2377" t="inlineStr">
        <is>
          <t>Manufactura / Caballero / P. Superiores</t>
        </is>
      </c>
      <c r="D2377" t="n">
        <v>98.12564264</v>
      </c>
      <c r="E2377" t="n">
        <v>2.40243533667154e-05</v>
      </c>
      <c r="F2377" t="n">
        <v>0.9895779812590322</v>
      </c>
      <c r="G2377" t="inlineStr">
        <is>
          <t>C</t>
        </is>
      </c>
      <c r="H2377" t="n">
        <v>0</v>
      </c>
      <c r="I2377" t="n">
        <v>5.939350288</v>
      </c>
      <c r="J2377" t="n">
        <v>0</v>
      </c>
      <c r="K2377" t="n">
        <v>0.2</v>
      </c>
      <c r="L2377" t="n">
        <v>0</v>
      </c>
      <c r="M2377" t="n">
        <v>4</v>
      </c>
      <c r="N2377" t="n">
        <v>0.8</v>
      </c>
      <c r="O2377" t="n">
        <v>0</v>
      </c>
      <c r="P2377" t="n">
        <v>0</v>
      </c>
      <c r="Q2377" t="n">
        <v>0</v>
      </c>
      <c r="R2377" t="inlineStr">
        <is>
          <t>Sin rotación</t>
        </is>
      </c>
    </row>
    <row r="2378">
      <c r="A2378" t="inlineStr">
        <is>
          <t>MIAMIDA11TM</t>
        </is>
      </c>
      <c r="B2378" t="inlineStr">
        <is>
          <t>MIA ORIGINAL DAMA</t>
        </is>
      </c>
      <c r="C2378" t="inlineStr">
        <is>
          <t>Manufactura / Dama / P. Superiores</t>
        </is>
      </c>
      <c r="D2378" t="n">
        <v>98.01850123</v>
      </c>
      <c r="E2378" t="n">
        <v>2.399812165984657e-05</v>
      </c>
      <c r="F2378" t="n">
        <v>0.9896019793806921</v>
      </c>
      <c r="G2378" t="inlineStr">
        <is>
          <t>C</t>
        </is>
      </c>
      <c r="H2378" t="n">
        <v>2</v>
      </c>
      <c r="I2378" t="n">
        <v>3.94</v>
      </c>
      <c r="J2378" t="n">
        <v>7.88</v>
      </c>
      <c r="K2378" t="n">
        <v>0.3</v>
      </c>
      <c r="L2378" t="n">
        <v>6.666666666666667</v>
      </c>
      <c r="M2378" t="n">
        <v>4</v>
      </c>
      <c r="N2378" t="n">
        <v>1.2</v>
      </c>
      <c r="O2378" t="n">
        <v>0.8</v>
      </c>
      <c r="P2378" t="n">
        <v>3.152</v>
      </c>
      <c r="Q2378" t="n">
        <v>0.4</v>
      </c>
      <c r="R2378" t="inlineStr">
        <is>
          <t>Sobrestock crítico</t>
        </is>
      </c>
    </row>
    <row r="2379">
      <c r="A2379" t="inlineStr">
        <is>
          <t>DRY315L</t>
        </is>
      </c>
      <c r="B2379" t="inlineStr">
        <is>
          <t>DRY BAG 5L</t>
        </is>
      </c>
      <c r="C2379" t="inlineStr">
        <is>
          <t>Equipamiento / Bolsos</t>
        </is>
      </c>
      <c r="D2379" t="n">
        <v>97.40218704</v>
      </c>
      <c r="E2379" t="n">
        <v>2.384722787217679e-05</v>
      </c>
      <c r="F2379" t="n">
        <v>0.9896258266085642</v>
      </c>
      <c r="G2379" t="inlineStr">
        <is>
          <t>C</t>
        </is>
      </c>
      <c r="H2379" t="n">
        <v>1</v>
      </c>
      <c r="I2379" t="n">
        <v>4.91</v>
      </c>
      <c r="J2379" t="n">
        <v>4.91</v>
      </c>
      <c r="K2379" t="n">
        <v>0.3</v>
      </c>
      <c r="L2379" t="n">
        <v>3.333333333333333</v>
      </c>
      <c r="M2379" t="n">
        <v>4</v>
      </c>
      <c r="N2379" t="n">
        <v>1.2</v>
      </c>
      <c r="O2379" t="n">
        <v>0</v>
      </c>
      <c r="P2379" t="n">
        <v>0</v>
      </c>
      <c r="Q2379" t="n">
        <v>0</v>
      </c>
      <c r="R2379" t="inlineStr">
        <is>
          <t>OK</t>
        </is>
      </c>
    </row>
    <row r="2380">
      <c r="A2380" t="inlineStr">
        <is>
          <t>ANMSUDA119TXS</t>
        </is>
      </c>
      <c r="B2380" t="inlineStr">
        <is>
          <t>ANDRE MOTION DAMA</t>
        </is>
      </c>
      <c r="C2380" t="inlineStr">
        <is>
          <t>Manufactura / Dama / P. Superiores</t>
        </is>
      </c>
      <c r="D2380" t="n">
        <v>97.17429781</v>
      </c>
      <c r="E2380" t="n">
        <v>2.3791433166097e-05</v>
      </c>
      <c r="F2380" t="n">
        <v>0.9896496180417302</v>
      </c>
      <c r="G2380" t="inlineStr">
        <is>
          <t>C</t>
        </is>
      </c>
      <c r="H2380" t="n">
        <v>3</v>
      </c>
      <c r="I2380" t="n">
        <v>10.6</v>
      </c>
      <c r="J2380" t="n">
        <v>31.8</v>
      </c>
      <c r="K2380" t="n">
        <v>0.3</v>
      </c>
      <c r="L2380" t="n">
        <v>10</v>
      </c>
      <c r="M2380" t="n">
        <v>4</v>
      </c>
      <c r="N2380" t="n">
        <v>1.2</v>
      </c>
      <c r="O2380" t="n">
        <v>1.8</v>
      </c>
      <c r="P2380" t="n">
        <v>19.08</v>
      </c>
      <c r="Q2380" t="n">
        <v>0.6</v>
      </c>
      <c r="R2380" t="inlineStr">
        <is>
          <t>Sobrestock crítico</t>
        </is>
      </c>
    </row>
    <row r="2381">
      <c r="A2381" t="inlineStr">
        <is>
          <t>OVEFTGE31TS</t>
        </is>
      </c>
      <c r="B2381" t="inlineStr">
        <is>
          <t>UNIHOODIE</t>
        </is>
      </c>
      <c r="C2381" t="inlineStr">
        <is>
          <t>Manufactura / General</t>
        </is>
      </c>
      <c r="D2381" t="n">
        <v>97.04966110000001</v>
      </c>
      <c r="E2381" t="n">
        <v>2.376091803994909e-05</v>
      </c>
      <c r="F2381" t="n">
        <v>0.9896733789597701</v>
      </c>
      <c r="G2381" t="inlineStr">
        <is>
          <t>C</t>
        </is>
      </c>
      <c r="H2381" t="n">
        <v>0</v>
      </c>
      <c r="I2381" t="n">
        <v>20.27</v>
      </c>
      <c r="J2381" t="n">
        <v>0</v>
      </c>
      <c r="K2381" t="n">
        <v>0.4</v>
      </c>
      <c r="L2381" t="n">
        <v>0</v>
      </c>
      <c r="M2381" t="n">
        <v>4</v>
      </c>
      <c r="N2381" t="n">
        <v>1.6</v>
      </c>
      <c r="O2381" t="n">
        <v>0</v>
      </c>
      <c r="P2381" t="n">
        <v>0</v>
      </c>
      <c r="Q2381" t="n">
        <v>0</v>
      </c>
      <c r="R2381" t="inlineStr">
        <is>
          <t>Sin rotación</t>
        </is>
      </c>
    </row>
    <row r="2382">
      <c r="A2382" t="inlineStr">
        <is>
          <t>MARMIDA05TM</t>
        </is>
      </c>
      <c r="B2382" t="inlineStr">
        <is>
          <t>MAR ORIGINAL DAMA</t>
        </is>
      </c>
      <c r="C2382" t="inlineStr">
        <is>
          <t>Manufactura / Dama / P. Superiores</t>
        </is>
      </c>
      <c r="D2382" t="n">
        <v>96.80337331999999</v>
      </c>
      <c r="E2382" t="n">
        <v>2.370061876957048e-05</v>
      </c>
      <c r="F2382" t="n">
        <v>0.9896970795785397</v>
      </c>
      <c r="G2382" t="inlineStr">
        <is>
          <t>C</t>
        </is>
      </c>
      <c r="H2382" t="n">
        <v>0</v>
      </c>
      <c r="I2382" t="n">
        <v>4.278324149</v>
      </c>
      <c r="J2382" t="n">
        <v>0</v>
      </c>
      <c r="K2382" t="n">
        <v>0.2</v>
      </c>
      <c r="L2382" t="n">
        <v>0</v>
      </c>
      <c r="M2382" t="n">
        <v>4</v>
      </c>
      <c r="N2382" t="n">
        <v>0.8</v>
      </c>
      <c r="O2382" t="n">
        <v>0</v>
      </c>
      <c r="P2382" t="n">
        <v>0</v>
      </c>
      <c r="Q2382" t="n">
        <v>0</v>
      </c>
      <c r="R2382" t="inlineStr">
        <is>
          <t>Sin rotación</t>
        </is>
      </c>
    </row>
    <row r="2383">
      <c r="A2383" t="inlineStr">
        <is>
          <t>VIVMIDA48TS</t>
        </is>
      </c>
      <c r="B2383" t="inlineStr">
        <is>
          <t>VIVI ORIGINAL DAMA</t>
        </is>
      </c>
      <c r="C2383" t="inlineStr">
        <is>
          <t>Manufactura / Dama / P. Superiores</t>
        </is>
      </c>
      <c r="D2383" t="n">
        <v>96.33745422</v>
      </c>
      <c r="E2383" t="n">
        <v>2.358654659844832e-05</v>
      </c>
      <c r="F2383" t="n">
        <v>0.9897206661251382</v>
      </c>
      <c r="G2383" t="inlineStr">
        <is>
          <t>C</t>
        </is>
      </c>
      <c r="H2383" t="n">
        <v>42</v>
      </c>
      <c r="I2383" t="n">
        <v>4.303181706</v>
      </c>
      <c r="J2383" t="n">
        <v>180.733631652</v>
      </c>
      <c r="K2383" t="n">
        <v>0.6</v>
      </c>
      <c r="L2383" t="n">
        <v>70</v>
      </c>
      <c r="M2383" t="n">
        <v>4</v>
      </c>
      <c r="N2383" t="n">
        <v>2.4</v>
      </c>
      <c r="O2383" t="n">
        <v>39.6</v>
      </c>
      <c r="P2383" t="n">
        <v>170.4059955576</v>
      </c>
      <c r="Q2383" t="n">
        <v>0.9428571428571429</v>
      </c>
      <c r="R2383" t="inlineStr">
        <is>
          <t>Sobrestock crítico</t>
        </is>
      </c>
    </row>
    <row r="2384">
      <c r="A2384" t="inlineStr">
        <is>
          <t>VIVMIDA13TM</t>
        </is>
      </c>
      <c r="B2384" t="inlineStr">
        <is>
          <t>VIVI ORIGINAL DAMA</t>
        </is>
      </c>
      <c r="C2384" t="inlineStr">
        <is>
          <t>Manufactura / Dama / P. Superiores</t>
        </is>
      </c>
      <c r="D2384" t="n">
        <v>95.67540407</v>
      </c>
      <c r="E2384" t="n">
        <v>2.342445515810545e-05</v>
      </c>
      <c r="F2384" t="n">
        <v>0.9897440905802963</v>
      </c>
      <c r="G2384" t="inlineStr">
        <is>
          <t>C</t>
        </is>
      </c>
      <c r="H2384" t="n">
        <v>3</v>
      </c>
      <c r="I2384" t="n">
        <v>4.303181706</v>
      </c>
      <c r="J2384" t="n">
        <v>12.909545118</v>
      </c>
      <c r="K2384" t="n">
        <v>0.3</v>
      </c>
      <c r="L2384" t="n">
        <v>10</v>
      </c>
      <c r="M2384" t="n">
        <v>4</v>
      </c>
      <c r="N2384" t="n">
        <v>1.2</v>
      </c>
      <c r="O2384" t="n">
        <v>1.8</v>
      </c>
      <c r="P2384" t="n">
        <v>7.7457270708</v>
      </c>
      <c r="Q2384" t="n">
        <v>0.6</v>
      </c>
      <c r="R2384" t="inlineStr">
        <is>
          <t>Sin rotación</t>
        </is>
      </c>
    </row>
    <row r="2385">
      <c r="A2385" t="inlineStr">
        <is>
          <t>SHOUNCA12TS</t>
        </is>
      </c>
      <c r="B2385" t="inlineStr">
        <is>
          <t>SHORT PLAYA CAB</t>
        </is>
      </c>
      <c r="C2385" t="inlineStr">
        <is>
          <t>Manufactura / Caballero / P. Inferiores</t>
        </is>
      </c>
      <c r="D2385" t="n">
        <v>95.59564008000001</v>
      </c>
      <c r="E2385" t="n">
        <v>2.340492633536205e-05</v>
      </c>
      <c r="F2385" t="n">
        <v>0.9897674955066317</v>
      </c>
      <c r="G2385" t="inlineStr">
        <is>
          <t>C</t>
        </is>
      </c>
      <c r="H2385" t="n">
        <v>0</v>
      </c>
      <c r="I2385" t="n">
        <v>9.99</v>
      </c>
      <c r="J2385" t="n">
        <v>0</v>
      </c>
      <c r="K2385" t="n">
        <v>0.2</v>
      </c>
      <c r="L2385" t="n">
        <v>0</v>
      </c>
      <c r="M2385" t="n">
        <v>4</v>
      </c>
      <c r="N2385" t="n">
        <v>0.8</v>
      </c>
      <c r="O2385" t="n">
        <v>0</v>
      </c>
      <c r="P2385" t="n">
        <v>0</v>
      </c>
      <c r="Q2385" t="n">
        <v>0</v>
      </c>
      <c r="R2385" t="inlineStr">
        <is>
          <t>Riesgo bajo stock</t>
        </is>
      </c>
    </row>
    <row r="2386">
      <c r="A2386" t="inlineStr">
        <is>
          <t>SHR2VICA43TM</t>
        </is>
      </c>
      <c r="B2386" t="inlineStr">
        <is>
          <t>SHORT R2 CAB</t>
        </is>
      </c>
      <c r="C2386" t="inlineStr">
        <is>
          <t>Manufactura / Dama / P. Inferiores</t>
        </is>
      </c>
      <c r="D2386" t="n">
        <v>95.10977811000001</v>
      </c>
      <c r="E2386" t="n">
        <v>2.328597150010505e-05</v>
      </c>
      <c r="F2386" t="n">
        <v>0.9897907814781318</v>
      </c>
      <c r="G2386" t="inlineStr">
        <is>
          <t>C</t>
        </is>
      </c>
      <c r="H2386" t="n">
        <v>0</v>
      </c>
      <c r="I2386" t="n">
        <v>9.119999999999999</v>
      </c>
      <c r="J2386" t="n">
        <v>0</v>
      </c>
      <c r="K2386" t="n">
        <v>0.3</v>
      </c>
      <c r="L2386" t="n">
        <v>0</v>
      </c>
      <c r="M2386" t="n">
        <v>4</v>
      </c>
      <c r="N2386" t="n">
        <v>1.2</v>
      </c>
      <c r="O2386" t="n">
        <v>0</v>
      </c>
      <c r="P2386" t="n">
        <v>0</v>
      </c>
      <c r="Q2386" t="n">
        <v>0</v>
      </c>
      <c r="R2386" t="inlineStr">
        <is>
          <t>Riesgo bajo stock</t>
        </is>
      </c>
    </row>
    <row r="2387">
      <c r="A2387" t="inlineStr">
        <is>
          <t>VIVMIDA11TM</t>
        </is>
      </c>
      <c r="B2387" t="inlineStr">
        <is>
          <t>VIVI ORIGINAL DAMA</t>
        </is>
      </c>
      <c r="C2387" t="inlineStr">
        <is>
          <t>Manufactura / Dama / P. Superiores</t>
        </is>
      </c>
      <c r="D2387" t="n">
        <v>95.10147986999999</v>
      </c>
      <c r="E2387" t="n">
        <v>2.328393982067123e-05</v>
      </c>
      <c r="F2387" t="n">
        <v>0.9898140654179526</v>
      </c>
      <c r="G2387" t="inlineStr">
        <is>
          <t>C</t>
        </is>
      </c>
      <c r="H2387" t="n">
        <v>29</v>
      </c>
      <c r="I2387" t="n">
        <v>4.303181706</v>
      </c>
      <c r="J2387" t="n">
        <v>124.792269474</v>
      </c>
      <c r="K2387" t="n">
        <v>0.5</v>
      </c>
      <c r="L2387" t="n">
        <v>58</v>
      </c>
      <c r="M2387" t="n">
        <v>4</v>
      </c>
      <c r="N2387" t="n">
        <v>2</v>
      </c>
      <c r="O2387" t="n">
        <v>27</v>
      </c>
      <c r="P2387" t="n">
        <v>116.185906062</v>
      </c>
      <c r="Q2387" t="n">
        <v>0.9310344827586207</v>
      </c>
      <c r="R2387" t="inlineStr">
        <is>
          <t>Sobrestock crítico</t>
        </is>
      </c>
    </row>
    <row r="2388">
      <c r="A2388" t="inlineStr">
        <is>
          <t>ZOEMIKI01T4</t>
        </is>
      </c>
      <c r="B2388" t="inlineStr">
        <is>
          <t>ZOE ORIGINAL KIDS</t>
        </is>
      </c>
      <c r="C2388" t="inlineStr">
        <is>
          <t>Manufactura / Kids / P. Superiores</t>
        </is>
      </c>
      <c r="D2388" t="n">
        <v>95.08125964</v>
      </c>
      <c r="E2388" t="n">
        <v>2.327898924977451e-05</v>
      </c>
      <c r="F2388" t="n">
        <v>0.9898373444072023</v>
      </c>
      <c r="G2388" t="inlineStr">
        <is>
          <t>C</t>
        </is>
      </c>
      <c r="H2388" t="n">
        <v>15</v>
      </c>
      <c r="I2388" t="n">
        <v>4.12</v>
      </c>
      <c r="J2388" t="n">
        <v>61.8</v>
      </c>
      <c r="K2388" t="n">
        <v>0.2</v>
      </c>
      <c r="L2388" t="n">
        <v>75</v>
      </c>
      <c r="M2388" t="n">
        <v>4</v>
      </c>
      <c r="N2388" t="n">
        <v>0.8</v>
      </c>
      <c r="O2388" t="n">
        <v>14.2</v>
      </c>
      <c r="P2388" t="n">
        <v>58.504</v>
      </c>
      <c r="Q2388" t="n">
        <v>0.9466666666666665</v>
      </c>
      <c r="R2388" t="inlineStr">
        <is>
          <t>Sobrestock crítico</t>
        </is>
      </c>
    </row>
    <row r="2389">
      <c r="A2389" t="inlineStr">
        <is>
          <t>SMLBLICA16TXL</t>
        </is>
      </c>
      <c r="B2389" t="inlineStr">
        <is>
          <t>SPOTS MANGA LARGA CAB</t>
        </is>
      </c>
      <c r="C2389" t="inlineStr">
        <is>
          <t>Manufactura / Caballero / P. Superiores</t>
        </is>
      </c>
      <c r="D2389" t="n">
        <v>94.81999999999999</v>
      </c>
      <c r="E2389" t="n">
        <v>2.321502438041973e-05</v>
      </c>
      <c r="F2389" t="n">
        <v>0.9898605594315827</v>
      </c>
      <c r="G2389" t="inlineStr">
        <is>
          <t>C</t>
        </is>
      </c>
      <c r="H2389" t="n">
        <v>8</v>
      </c>
      <c r="I2389" t="n">
        <v>12.89</v>
      </c>
      <c r="J2389" t="n">
        <v>103.12</v>
      </c>
      <c r="K2389" t="n">
        <v>0.2</v>
      </c>
      <c r="L2389" t="n">
        <v>40</v>
      </c>
      <c r="M2389" t="n">
        <v>4</v>
      </c>
      <c r="N2389" t="n">
        <v>0.8</v>
      </c>
      <c r="O2389" t="n">
        <v>7.2</v>
      </c>
      <c r="P2389" t="n">
        <v>92.80800000000001</v>
      </c>
      <c r="Q2389" t="n">
        <v>0.9</v>
      </c>
      <c r="R2389" t="inlineStr">
        <is>
          <t>Sobrestock crítico</t>
        </is>
      </c>
    </row>
    <row r="2390">
      <c r="A2390" t="inlineStr">
        <is>
          <t>MARMIDA24TXS</t>
        </is>
      </c>
      <c r="B2390" t="inlineStr">
        <is>
          <t>MAR ORIGINAL DAMA</t>
        </is>
      </c>
      <c r="C2390" t="inlineStr">
        <is>
          <t>Manufactura / Dama / P. Superiores</t>
        </is>
      </c>
      <c r="D2390" t="n">
        <v>94.33674572999999</v>
      </c>
      <c r="E2390" t="n">
        <v>2.309670799505807e-05</v>
      </c>
      <c r="F2390" t="n">
        <v>0.9898836561395777</v>
      </c>
      <c r="G2390" t="inlineStr">
        <is>
          <t>C</t>
        </is>
      </c>
      <c r="H2390" t="n">
        <v>0</v>
      </c>
      <c r="I2390" t="n">
        <v>4.278324149</v>
      </c>
      <c r="J2390" t="n">
        <v>0</v>
      </c>
      <c r="K2390" t="n">
        <v>0.2</v>
      </c>
      <c r="L2390" t="n">
        <v>0</v>
      </c>
      <c r="M2390" t="n">
        <v>4</v>
      </c>
      <c r="N2390" t="n">
        <v>0.8</v>
      </c>
      <c r="O2390" t="n">
        <v>0</v>
      </c>
      <c r="P2390" t="n">
        <v>0</v>
      </c>
      <c r="Q2390" t="n">
        <v>0</v>
      </c>
      <c r="R2390" t="inlineStr">
        <is>
          <t>Sin rotación</t>
        </is>
      </c>
    </row>
    <row r="2391">
      <c r="A2391" t="inlineStr">
        <is>
          <t>MAYFNDA70TXL</t>
        </is>
      </c>
      <c r="B2391" t="inlineStr">
        <is>
          <t>MAYA SPORT LITE DAMA</t>
        </is>
      </c>
      <c r="C2391" t="inlineStr">
        <is>
          <t>Manufactura / Dama / P. Superiores</t>
        </is>
      </c>
      <c r="D2391" t="n">
        <v>94.27025485</v>
      </c>
      <c r="E2391" t="n">
        <v>2.308042886196089e-05</v>
      </c>
      <c r="F2391" t="n">
        <v>0.9899067365684397</v>
      </c>
      <c r="G2391" t="inlineStr">
        <is>
          <t>C</t>
        </is>
      </c>
      <c r="H2391" t="n">
        <v>25</v>
      </c>
      <c r="I2391" t="n">
        <v>3.87</v>
      </c>
      <c r="J2391" t="n">
        <v>96.75</v>
      </c>
      <c r="K2391" t="n">
        <v>0.2</v>
      </c>
      <c r="L2391" t="n">
        <v>125</v>
      </c>
      <c r="M2391" t="n">
        <v>4</v>
      </c>
      <c r="N2391" t="n">
        <v>0.8</v>
      </c>
      <c r="O2391" t="n">
        <v>24.2</v>
      </c>
      <c r="P2391" t="n">
        <v>93.654</v>
      </c>
      <c r="Q2391" t="n">
        <v>0.968</v>
      </c>
      <c r="R2391" t="inlineStr">
        <is>
          <t>Sobrestock crítico</t>
        </is>
      </c>
    </row>
    <row r="2392">
      <c r="A2392" t="inlineStr">
        <is>
          <t>CGCSKI16T6</t>
        </is>
      </c>
      <c r="B2392" t="inlineStr">
        <is>
          <t>CLASICA GC SUBLIMADO KIDS</t>
        </is>
      </c>
      <c r="C2392" t="inlineStr">
        <is>
          <t>Manufactura / Kids / P. Superiores</t>
        </is>
      </c>
      <c r="D2392" t="n">
        <v>94.22617824</v>
      </c>
      <c r="E2392" t="n">
        <v>2.306963747221446e-05</v>
      </c>
      <c r="F2392" t="n">
        <v>0.9899298062059119</v>
      </c>
      <c r="G2392" t="inlineStr">
        <is>
          <t>C</t>
        </is>
      </c>
      <c r="H2392" t="n">
        <v>0</v>
      </c>
      <c r="I2392" t="n">
        <v>0</v>
      </c>
      <c r="J2392" t="n">
        <v>0</v>
      </c>
      <c r="K2392" t="n">
        <v>0.2</v>
      </c>
      <c r="L2392" t="n">
        <v>0</v>
      </c>
      <c r="M2392" t="n">
        <v>4</v>
      </c>
      <c r="N2392" t="n">
        <v>0.8</v>
      </c>
      <c r="O2392" t="n">
        <v>0</v>
      </c>
      <c r="P2392" t="n">
        <v>0</v>
      </c>
      <c r="Q2392" t="n">
        <v>0</v>
      </c>
      <c r="R2392" t="inlineStr">
        <is>
          <t>Riesgo bajo stock</t>
        </is>
      </c>
    </row>
    <row r="2393">
      <c r="A2393" t="inlineStr">
        <is>
          <t>EC175UN</t>
        </is>
      </c>
      <c r="B2393" t="inlineStr">
        <is>
          <t>ECO BAG</t>
        </is>
      </c>
      <c r="C2393" t="inlineStr">
        <is>
          <t>Equipamiento / Bolsos</t>
        </is>
      </c>
      <c r="D2393" t="n">
        <v>94.059330751</v>
      </c>
      <c r="E2393" t="n">
        <v>2.302878777252086e-05</v>
      </c>
      <c r="F2393" t="n">
        <v>0.9899528349936844</v>
      </c>
      <c r="G2393" t="inlineStr">
        <is>
          <t>C</t>
        </is>
      </c>
      <c r="H2393" t="n">
        <v>97</v>
      </c>
      <c r="I2393" t="n">
        <v>5.5</v>
      </c>
      <c r="J2393" t="n">
        <v>533.5</v>
      </c>
      <c r="K2393" t="n">
        <v>10.2</v>
      </c>
      <c r="L2393" t="n">
        <v>9.509803921568627</v>
      </c>
      <c r="M2393" t="n">
        <v>4</v>
      </c>
      <c r="N2393" t="n">
        <v>40.8</v>
      </c>
      <c r="O2393" t="n">
        <v>56.2</v>
      </c>
      <c r="P2393" t="n">
        <v>309.1</v>
      </c>
      <c r="Q2393" t="n">
        <v>0.5793814432989691</v>
      </c>
      <c r="R2393" t="inlineStr">
        <is>
          <t>Sobrestock crítico</t>
        </is>
      </c>
    </row>
    <row r="2394">
      <c r="A2394" t="inlineStr">
        <is>
          <t>ZOEMIKI11T4</t>
        </is>
      </c>
      <c r="B2394" t="inlineStr">
        <is>
          <t>ZOE ORIGINAL KIDS</t>
        </is>
      </c>
      <c r="C2394" t="inlineStr">
        <is>
          <t>Manufactura / Kids / P. Superiores</t>
        </is>
      </c>
      <c r="D2394" t="n">
        <v>94.01599229999999</v>
      </c>
      <c r="E2394" t="n">
        <v>2.30181771081402e-05</v>
      </c>
      <c r="F2394" t="n">
        <v>0.9899758531707925</v>
      </c>
      <c r="G2394" t="inlineStr">
        <is>
          <t>C</t>
        </is>
      </c>
      <c r="H2394" t="n">
        <v>13</v>
      </c>
      <c r="I2394" t="n">
        <v>4.12</v>
      </c>
      <c r="J2394" t="n">
        <v>53.56</v>
      </c>
      <c r="K2394" t="n">
        <v>0.3</v>
      </c>
      <c r="L2394" t="n">
        <v>43.33333333333334</v>
      </c>
      <c r="M2394" t="n">
        <v>4</v>
      </c>
      <c r="N2394" t="n">
        <v>1.2</v>
      </c>
      <c r="O2394" t="n">
        <v>11.8</v>
      </c>
      <c r="P2394" t="n">
        <v>48.61600000000001</v>
      </c>
      <c r="Q2394" t="n">
        <v>0.9076923076923078</v>
      </c>
      <c r="R2394" t="inlineStr">
        <is>
          <t>Sobrestock crítico</t>
        </is>
      </c>
    </row>
    <row r="2395">
      <c r="A2395" t="inlineStr">
        <is>
          <t>SABMEDA30TL</t>
        </is>
      </c>
      <c r="B2395" t="inlineStr">
        <is>
          <t>SABRI SPORT DAMA</t>
        </is>
      </c>
      <c r="C2395" t="inlineStr">
        <is>
          <t>Manufactura / Dama / P. Superiores</t>
        </is>
      </c>
      <c r="D2395" t="n">
        <v>93.95831197</v>
      </c>
      <c r="E2395" t="n">
        <v>2.300405508465127e-05</v>
      </c>
      <c r="F2395" t="n">
        <v>0.9899988572258773</v>
      </c>
      <c r="G2395" t="inlineStr">
        <is>
          <t>C</t>
        </is>
      </c>
      <c r="H2395" t="n">
        <v>19</v>
      </c>
      <c r="I2395" t="n">
        <v>4.51</v>
      </c>
      <c r="J2395" t="n">
        <v>85.69</v>
      </c>
      <c r="K2395" t="n">
        <v>0.2</v>
      </c>
      <c r="L2395" t="n">
        <v>95</v>
      </c>
      <c r="M2395" t="n">
        <v>4</v>
      </c>
      <c r="N2395" t="n">
        <v>0.8</v>
      </c>
      <c r="O2395" t="n">
        <v>18.2</v>
      </c>
      <c r="P2395" t="n">
        <v>82.08199999999999</v>
      </c>
      <c r="Q2395" t="n">
        <v>0.9578947368421052</v>
      </c>
      <c r="R2395" t="inlineStr">
        <is>
          <t>Sobrestock crítico</t>
        </is>
      </c>
    </row>
    <row r="2396">
      <c r="A2396" t="inlineStr">
        <is>
          <t>MARMIDA13T2XL</t>
        </is>
      </c>
      <c r="B2396" t="inlineStr">
        <is>
          <t>MAR ORIGINAL DAMA</t>
        </is>
      </c>
      <c r="C2396" t="inlineStr">
        <is>
          <t>Manufactura / Dama / P. Superiores</t>
        </is>
      </c>
      <c r="D2396" t="n">
        <v>93.90175318</v>
      </c>
      <c r="E2396" t="n">
        <v>2.299020765068399e-05</v>
      </c>
      <c r="F2396" t="n">
        <v>0.9900218474335279</v>
      </c>
      <c r="G2396" t="inlineStr">
        <is>
          <t>C</t>
        </is>
      </c>
      <c r="H2396" t="n">
        <v>0</v>
      </c>
      <c r="I2396" t="n">
        <v>4.278324149</v>
      </c>
      <c r="J2396" t="n">
        <v>0</v>
      </c>
      <c r="K2396" t="n">
        <v>0.2</v>
      </c>
      <c r="L2396" t="n">
        <v>0</v>
      </c>
      <c r="M2396" t="n">
        <v>4</v>
      </c>
      <c r="N2396" t="n">
        <v>0.8</v>
      </c>
      <c r="O2396" t="n">
        <v>0</v>
      </c>
      <c r="P2396" t="n">
        <v>0</v>
      </c>
      <c r="Q2396" t="n">
        <v>0</v>
      </c>
      <c r="R2396" t="inlineStr">
        <is>
          <t>Riesgo bajo stock</t>
        </is>
      </c>
    </row>
    <row r="2397">
      <c r="A2397" t="inlineStr">
        <is>
          <t>ANDMIDA39TXS</t>
        </is>
      </c>
      <c r="B2397" t="inlineStr">
        <is>
          <t>ANDRE ORIGINAL DAMA</t>
        </is>
      </c>
      <c r="C2397" t="inlineStr">
        <is>
          <t>Manufactura / Dama / P. Superiores</t>
        </is>
      </c>
      <c r="D2397" t="n">
        <v>93.47127266000001</v>
      </c>
      <c r="E2397" t="n">
        <v>2.288481199821515e-05</v>
      </c>
      <c r="F2397" t="n">
        <v>0.9900447322455261</v>
      </c>
      <c r="G2397" t="inlineStr">
        <is>
          <t>C</t>
        </is>
      </c>
      <c r="H2397" t="n">
        <v>0</v>
      </c>
      <c r="I2397" t="n">
        <v>3.274295302</v>
      </c>
      <c r="J2397" t="n">
        <v>0</v>
      </c>
      <c r="K2397" t="n">
        <v>0.3</v>
      </c>
      <c r="L2397" t="n">
        <v>0</v>
      </c>
      <c r="M2397" t="n">
        <v>4</v>
      </c>
      <c r="N2397" t="n">
        <v>1.2</v>
      </c>
      <c r="O2397" t="n">
        <v>0</v>
      </c>
      <c r="P2397" t="n">
        <v>0</v>
      </c>
      <c r="Q2397" t="n">
        <v>0</v>
      </c>
      <c r="R2397" t="inlineStr">
        <is>
          <t>Sin rotación</t>
        </is>
      </c>
    </row>
    <row r="2398">
      <c r="A2398" t="inlineStr">
        <is>
          <t>SHONRKI12T6</t>
        </is>
      </c>
      <c r="B2398" t="inlineStr">
        <is>
          <t>SHORT SPORT KIDS</t>
        </is>
      </c>
      <c r="C2398" t="inlineStr">
        <is>
          <t>Manufactura / Kids / P. Inferiores</t>
        </is>
      </c>
      <c r="D2398" t="n">
        <v>93.22008163000001</v>
      </c>
      <c r="E2398" t="n">
        <v>2.282331225253288e-05</v>
      </c>
      <c r="F2398" t="n">
        <v>0.9900675555577787</v>
      </c>
      <c r="G2398" t="inlineStr">
        <is>
          <t>C</t>
        </is>
      </c>
      <c r="H2398" t="n">
        <v>78</v>
      </c>
      <c r="I2398" t="n">
        <v>6.465724382</v>
      </c>
      <c r="J2398" t="n">
        <v>504.326501796</v>
      </c>
      <c r="K2398" t="n">
        <v>0.2</v>
      </c>
      <c r="L2398" t="n">
        <v>390</v>
      </c>
      <c r="M2398" t="n">
        <v>4</v>
      </c>
      <c r="N2398" t="n">
        <v>0.8</v>
      </c>
      <c r="O2398" t="n">
        <v>77.2</v>
      </c>
      <c r="P2398" t="n">
        <v>499.1539222904</v>
      </c>
      <c r="Q2398" t="n">
        <v>0.9897435897435898</v>
      </c>
      <c r="R2398" t="inlineStr">
        <is>
          <t>Sobrestock crítico</t>
        </is>
      </c>
    </row>
    <row r="2399">
      <c r="A2399" t="inlineStr">
        <is>
          <t>VIVMIDA70TXS</t>
        </is>
      </c>
      <c r="B2399" t="inlineStr">
        <is>
          <t>VIVI ORIGINAL DAMA</t>
        </is>
      </c>
      <c r="C2399" t="inlineStr">
        <is>
          <t>Manufactura / Dama / P. Superiores</t>
        </is>
      </c>
      <c r="D2399" t="n">
        <v>92.57572832</v>
      </c>
      <c r="E2399" t="n">
        <v>2.266555357502545e-05</v>
      </c>
      <c r="F2399" t="n">
        <v>0.9900902211113537</v>
      </c>
      <c r="G2399" t="inlineStr">
        <is>
          <t>C</t>
        </is>
      </c>
      <c r="H2399" t="n">
        <v>7</v>
      </c>
      <c r="I2399" t="n">
        <v>4.303181706</v>
      </c>
      <c r="J2399" t="n">
        <v>30.122271942</v>
      </c>
      <c r="K2399" t="n">
        <v>0.4</v>
      </c>
      <c r="L2399" t="n">
        <v>17.5</v>
      </c>
      <c r="M2399" t="n">
        <v>4</v>
      </c>
      <c r="N2399" t="n">
        <v>1.6</v>
      </c>
      <c r="O2399" t="n">
        <v>5.4</v>
      </c>
      <c r="P2399" t="n">
        <v>23.2371812124</v>
      </c>
      <c r="Q2399" t="n">
        <v>0.7714285714285715</v>
      </c>
      <c r="R2399" t="inlineStr">
        <is>
          <t>Sobrestock crítico</t>
        </is>
      </c>
    </row>
    <row r="2400">
      <c r="A2400" t="inlineStr">
        <is>
          <t>ANDMIDA12TXL</t>
        </is>
      </c>
      <c r="B2400" t="inlineStr">
        <is>
          <t>ANDRE ORIGINAL DAMA</t>
        </is>
      </c>
      <c r="C2400" t="inlineStr">
        <is>
          <t>Manufactura / Dama / P. Superiores</t>
        </is>
      </c>
      <c r="D2400" t="n">
        <v>92.51685641</v>
      </c>
      <c r="E2400" t="n">
        <v>2.265113981394159e-05</v>
      </c>
      <c r="F2400" t="n">
        <v>0.9901128722511676</v>
      </c>
      <c r="G2400" t="inlineStr">
        <is>
          <t>C</t>
        </is>
      </c>
      <c r="H2400" t="n">
        <v>49</v>
      </c>
      <c r="I2400" t="n">
        <v>3.274295302</v>
      </c>
      <c r="J2400" t="n">
        <v>160.440469798</v>
      </c>
      <c r="K2400" t="n">
        <v>0.2</v>
      </c>
      <c r="L2400" t="n">
        <v>245</v>
      </c>
      <c r="M2400" t="n">
        <v>4</v>
      </c>
      <c r="N2400" t="n">
        <v>0.8</v>
      </c>
      <c r="O2400" t="n">
        <v>48.2</v>
      </c>
      <c r="P2400" t="n">
        <v>157.8210335564</v>
      </c>
      <c r="Q2400" t="n">
        <v>0.9836734693877551</v>
      </c>
      <c r="R2400" t="inlineStr">
        <is>
          <t>Sobrestock crítico</t>
        </is>
      </c>
    </row>
    <row r="2401">
      <c r="A2401" t="inlineStr">
        <is>
          <t>RIOMIKI70T10</t>
        </is>
      </c>
      <c r="B2401" t="inlineStr">
        <is>
          <t>RIO ORIGINAL KIDS</t>
        </is>
      </c>
      <c r="C2401" t="inlineStr">
        <is>
          <t>Manufactura / Kids / P. Superiores</t>
        </is>
      </c>
      <c r="D2401" t="n">
        <v>92.50659953</v>
      </c>
      <c r="E2401" t="n">
        <v>2.264862859564095e-05</v>
      </c>
      <c r="F2401" t="n">
        <v>0.9901355208797632</v>
      </c>
      <c r="G2401" t="inlineStr">
        <is>
          <t>C</t>
        </is>
      </c>
      <c r="H2401" t="n">
        <v>0</v>
      </c>
      <c r="I2401" t="n">
        <v>3.617969464</v>
      </c>
      <c r="J2401" t="n">
        <v>0</v>
      </c>
      <c r="K2401" t="n">
        <v>0.2</v>
      </c>
      <c r="L2401" t="n">
        <v>0</v>
      </c>
      <c r="M2401" t="n">
        <v>4</v>
      </c>
      <c r="N2401" t="n">
        <v>0.8</v>
      </c>
      <c r="O2401" t="n">
        <v>0</v>
      </c>
      <c r="P2401" t="n">
        <v>0</v>
      </c>
      <c r="Q2401" t="n">
        <v>0</v>
      </c>
      <c r="R2401" t="inlineStr">
        <is>
          <t>Riesgo bajo stock</t>
        </is>
      </c>
    </row>
    <row r="2402">
      <c r="A2402" t="inlineStr">
        <is>
          <t>MARMIDA52TS</t>
        </is>
      </c>
      <c r="B2402" t="inlineStr">
        <is>
          <t>MAR ORIGINAL DAMA</t>
        </is>
      </c>
      <c r="C2402" t="inlineStr">
        <is>
          <t>Manufactura / Dama / P. Superiores</t>
        </is>
      </c>
      <c r="D2402" t="n">
        <v>92.39896315</v>
      </c>
      <c r="E2402" t="n">
        <v>2.262227570399446e-05</v>
      </c>
      <c r="F2402" t="n">
        <v>0.9901581431554672</v>
      </c>
      <c r="G2402" t="inlineStr">
        <is>
          <t>C</t>
        </is>
      </c>
      <c r="H2402" t="n">
        <v>0</v>
      </c>
      <c r="I2402" t="n">
        <v>4.278324149</v>
      </c>
      <c r="J2402" t="n">
        <v>0</v>
      </c>
      <c r="K2402" t="n">
        <v>0.2</v>
      </c>
      <c r="L2402" t="n">
        <v>0</v>
      </c>
      <c r="M2402" t="n">
        <v>4</v>
      </c>
      <c r="N2402" t="n">
        <v>0.8</v>
      </c>
      <c r="O2402" t="n">
        <v>0</v>
      </c>
      <c r="P2402" t="n">
        <v>0</v>
      </c>
      <c r="Q2402" t="n">
        <v>0</v>
      </c>
      <c r="R2402" t="inlineStr">
        <is>
          <t>Sin rotación</t>
        </is>
      </c>
    </row>
    <row r="2403">
      <c r="A2403" t="inlineStr">
        <is>
          <t>DALSSTDA43TXS</t>
        </is>
      </c>
      <c r="B2403" t="inlineStr">
        <is>
          <t>MANGA LARGA DAILY 2.0 DAMA</t>
        </is>
      </c>
      <c r="C2403" t="inlineStr">
        <is>
          <t>Manufactura / Dama / P. Superiores</t>
        </is>
      </c>
      <c r="D2403" t="n">
        <v>92.13348528</v>
      </c>
      <c r="E2403" t="n">
        <v>2.255727807454379e-05</v>
      </c>
      <c r="F2403" t="n">
        <v>0.9901807004335418</v>
      </c>
      <c r="G2403" t="inlineStr">
        <is>
          <t>C</t>
        </is>
      </c>
      <c r="H2403" t="n">
        <v>0</v>
      </c>
      <c r="I2403" t="n">
        <v>12.3</v>
      </c>
      <c r="J2403" t="n">
        <v>0</v>
      </c>
      <c r="K2403" t="n">
        <v>0.4</v>
      </c>
      <c r="L2403" t="n">
        <v>0</v>
      </c>
      <c r="M2403" t="n">
        <v>4</v>
      </c>
      <c r="N2403" t="n">
        <v>1.6</v>
      </c>
      <c r="O2403" t="n">
        <v>0</v>
      </c>
      <c r="P2403" t="n">
        <v>0</v>
      </c>
      <c r="Q2403" t="n">
        <v>0</v>
      </c>
      <c r="R2403" t="inlineStr">
        <is>
          <t>Sin rotación</t>
        </is>
      </c>
    </row>
    <row r="2404">
      <c r="A2404" t="inlineStr">
        <is>
          <t>CLAMIDA53TS</t>
        </is>
      </c>
      <c r="B2404" t="inlineStr">
        <is>
          <t>CLASICA ORIGINAL DAMA</t>
        </is>
      </c>
      <c r="C2404" t="inlineStr">
        <is>
          <t>Manufactura / Dama / P. Superiores</t>
        </is>
      </c>
      <c r="D2404" t="n">
        <v>92.09903833999999</v>
      </c>
      <c r="E2404" t="n">
        <v>2.254884434166116e-05</v>
      </c>
      <c r="F2404" t="n">
        <v>0.9902032492778835</v>
      </c>
      <c r="G2404" t="inlineStr">
        <is>
          <t>C</t>
        </is>
      </c>
      <c r="H2404" t="n">
        <v>0</v>
      </c>
      <c r="I2404" t="n">
        <v>3.923227589</v>
      </c>
      <c r="J2404" t="n">
        <v>0</v>
      </c>
      <c r="K2404" t="n">
        <v>0.2</v>
      </c>
      <c r="L2404" t="n">
        <v>0</v>
      </c>
      <c r="M2404" t="n">
        <v>4</v>
      </c>
      <c r="N2404" t="n">
        <v>0.8</v>
      </c>
      <c r="O2404" t="n">
        <v>0</v>
      </c>
      <c r="P2404" t="n">
        <v>0</v>
      </c>
      <c r="Q2404" t="n">
        <v>0</v>
      </c>
      <c r="R2404" t="inlineStr">
        <is>
          <t>Riesgo bajo stock</t>
        </is>
      </c>
    </row>
    <row r="2405">
      <c r="A2405" t="inlineStr">
        <is>
          <t>SABSTDA43TL</t>
        </is>
      </c>
      <c r="B2405" t="inlineStr">
        <is>
          <t>RETRO VZLA DAMA</t>
        </is>
      </c>
      <c r="C2405" t="inlineStr">
        <is>
          <t>Manufactura / Dama / P. Superiores</t>
        </is>
      </c>
      <c r="D2405" t="n">
        <v>91.98496864000001</v>
      </c>
      <c r="E2405" t="n">
        <v>2.252091636373913e-05</v>
      </c>
      <c r="F2405" t="n">
        <v>0.9902257701942472</v>
      </c>
      <c r="G2405" t="inlineStr">
        <is>
          <t>C</t>
        </is>
      </c>
      <c r="H2405" t="n">
        <v>0</v>
      </c>
      <c r="I2405" t="n">
        <v>11.23</v>
      </c>
      <c r="J2405" t="n">
        <v>0</v>
      </c>
      <c r="K2405" t="n">
        <v>0.2</v>
      </c>
      <c r="L2405" t="n">
        <v>0</v>
      </c>
      <c r="M2405" t="n">
        <v>4</v>
      </c>
      <c r="N2405" t="n">
        <v>0.8</v>
      </c>
      <c r="O2405" t="n">
        <v>0</v>
      </c>
      <c r="P2405" t="n">
        <v>0</v>
      </c>
      <c r="Q2405" t="n">
        <v>0</v>
      </c>
      <c r="R2405" t="inlineStr">
        <is>
          <t>Riesgo bajo stock</t>
        </is>
      </c>
    </row>
    <row r="2406">
      <c r="A2406" t="inlineStr">
        <is>
          <t>ZOEMIDA66TM</t>
        </is>
      </c>
      <c r="B2406" t="inlineStr">
        <is>
          <t>ZOE ORIGINAL DAMA</t>
        </is>
      </c>
      <c r="C2406" t="inlineStr">
        <is>
          <t>Manufactura / Dama / P. Superiores</t>
        </is>
      </c>
      <c r="D2406" t="n">
        <v>91.88195082999999</v>
      </c>
      <c r="E2406" t="n">
        <v>2.249569424846e-05</v>
      </c>
      <c r="F2406" t="n">
        <v>0.9902482658884956</v>
      </c>
      <c r="G2406" t="inlineStr">
        <is>
          <t>C</t>
        </is>
      </c>
      <c r="H2406" t="n">
        <v>0</v>
      </c>
      <c r="I2406" t="n">
        <v>4.116585696</v>
      </c>
      <c r="J2406" t="n">
        <v>0</v>
      </c>
      <c r="K2406" t="n">
        <v>0.6</v>
      </c>
      <c r="L2406" t="n">
        <v>0</v>
      </c>
      <c r="M2406" t="n">
        <v>4</v>
      </c>
      <c r="N2406" t="n">
        <v>2.4</v>
      </c>
      <c r="O2406" t="n">
        <v>0</v>
      </c>
      <c r="P2406" t="n">
        <v>0</v>
      </c>
      <c r="Q2406" t="n">
        <v>0</v>
      </c>
      <c r="R2406" t="inlineStr">
        <is>
          <t>Riesgo bajo stock</t>
        </is>
      </c>
    </row>
    <row r="2407">
      <c r="A2407" t="inlineStr">
        <is>
          <t>BUFMIGE01TUN</t>
        </is>
      </c>
      <c r="B2407" t="inlineStr">
        <is>
          <t>FLEX COVER</t>
        </is>
      </c>
      <c r="C2407" t="inlineStr">
        <is>
          <t>Manufactura / General</t>
        </is>
      </c>
      <c r="D2407" t="n">
        <v>91.621848112</v>
      </c>
      <c r="E2407" t="n">
        <v>2.243201263129291e-05</v>
      </c>
      <c r="F2407" t="n">
        <v>0.990270697901127</v>
      </c>
      <c r="G2407" t="inlineStr">
        <is>
          <t>C</t>
        </is>
      </c>
      <c r="H2407" t="n">
        <v>7</v>
      </c>
      <c r="I2407" t="n">
        <v>2.21</v>
      </c>
      <c r="J2407" t="n">
        <v>15.47</v>
      </c>
      <c r="K2407" t="n">
        <v>0.8</v>
      </c>
      <c r="L2407" t="n">
        <v>8.75</v>
      </c>
      <c r="M2407" t="n">
        <v>4</v>
      </c>
      <c r="N2407" t="n">
        <v>3.2</v>
      </c>
      <c r="O2407" t="n">
        <v>3.8</v>
      </c>
      <c r="P2407" t="n">
        <v>8.398</v>
      </c>
      <c r="Q2407" t="n">
        <v>0.5428571428571429</v>
      </c>
      <c r="R2407" t="inlineStr">
        <is>
          <t>Sobrestock crítico</t>
        </is>
      </c>
    </row>
    <row r="2408">
      <c r="A2408" t="inlineStr">
        <is>
          <t>CLMSUCA17T2XL</t>
        </is>
      </c>
      <c r="B2408" t="inlineStr">
        <is>
          <t>CLASICA MOTION CAB</t>
        </is>
      </c>
      <c r="C2408" t="inlineStr">
        <is>
          <t>Manufactura / Caballero / P. Superiores</t>
        </is>
      </c>
      <c r="D2408" t="n">
        <v>90.97939658999999</v>
      </c>
      <c r="E2408" t="n">
        <v>2.227471957343098e-05</v>
      </c>
      <c r="F2408" t="n">
        <v>0.9902929726207003</v>
      </c>
      <c r="G2408" t="inlineStr">
        <is>
          <t>C</t>
        </is>
      </c>
      <c r="H2408" t="n">
        <v>0</v>
      </c>
      <c r="I2408" t="n">
        <v>12.26</v>
      </c>
      <c r="J2408" t="n">
        <v>0</v>
      </c>
      <c r="K2408" t="n">
        <v>0.2</v>
      </c>
      <c r="L2408" t="n">
        <v>0</v>
      </c>
      <c r="M2408" t="n">
        <v>4</v>
      </c>
      <c r="N2408" t="n">
        <v>0.8</v>
      </c>
      <c r="O2408" t="n">
        <v>0</v>
      </c>
      <c r="P2408" t="n">
        <v>0</v>
      </c>
      <c r="Q2408" t="n">
        <v>0</v>
      </c>
      <c r="R2408" t="inlineStr">
        <is>
          <t>Riesgo bajo stock</t>
        </is>
      </c>
    </row>
    <row r="2409">
      <c r="A2409" t="inlineStr">
        <is>
          <t>CLAMIKI66T8</t>
        </is>
      </c>
      <c r="B2409" t="inlineStr">
        <is>
          <t>CLASICA ORIGINAL KIDS</t>
        </is>
      </c>
      <c r="C2409" t="inlineStr">
        <is>
          <t>Manufactura / Kids / P. Superiores</t>
        </is>
      </c>
      <c r="D2409" t="n">
        <v>90.80438296</v>
      </c>
      <c r="E2409" t="n">
        <v>2.223187053644136e-05</v>
      </c>
      <c r="F2409" t="n">
        <v>0.9903152044912368</v>
      </c>
      <c r="G2409" t="inlineStr">
        <is>
          <t>C</t>
        </is>
      </c>
      <c r="H2409" t="n">
        <v>6</v>
      </c>
      <c r="I2409" t="n">
        <v>2.053774806</v>
      </c>
      <c r="J2409" t="n">
        <v>12.322648836</v>
      </c>
      <c r="K2409" t="n">
        <v>0.4</v>
      </c>
      <c r="L2409" t="n">
        <v>15</v>
      </c>
      <c r="M2409" t="n">
        <v>4</v>
      </c>
      <c r="N2409" t="n">
        <v>1.6</v>
      </c>
      <c r="O2409" t="n">
        <v>4.4</v>
      </c>
      <c r="P2409" t="n">
        <v>9.0366091464</v>
      </c>
      <c r="Q2409" t="n">
        <v>0.7333333333333334</v>
      </c>
      <c r="R2409" t="inlineStr">
        <is>
          <t>Sobrestock crítico</t>
        </is>
      </c>
    </row>
    <row r="2410">
      <c r="A2410" t="inlineStr">
        <is>
          <t>MANMIGE12TP</t>
        </is>
      </c>
      <c r="B2410" t="inlineStr">
        <is>
          <t>MANGAS GENERAL</t>
        </is>
      </c>
      <c r="C2410" t="inlineStr">
        <is>
          <t>Manufactura / General</t>
        </is>
      </c>
      <c r="D2410" t="n">
        <v>90.46537503</v>
      </c>
      <c r="E2410" t="n">
        <v>2.214887035335651e-05</v>
      </c>
      <c r="F2410" t="n">
        <v>0.9903373533615901</v>
      </c>
      <c r="G2410" t="inlineStr">
        <is>
          <t>C</t>
        </is>
      </c>
      <c r="H2410" t="n">
        <v>3</v>
      </c>
      <c r="I2410" t="n">
        <v>0.92</v>
      </c>
      <c r="J2410" t="n">
        <v>2.76</v>
      </c>
      <c r="K2410" t="n">
        <v>0.7</v>
      </c>
      <c r="L2410" t="n">
        <v>4.285714285714286</v>
      </c>
      <c r="M2410" t="n">
        <v>4</v>
      </c>
      <c r="N2410" t="n">
        <v>2.8</v>
      </c>
      <c r="O2410" t="n">
        <v>0.2000000000000002</v>
      </c>
      <c r="P2410" t="n">
        <v>0.1840000000000002</v>
      </c>
      <c r="Q2410" t="n">
        <v>0.06666666666666672</v>
      </c>
      <c r="R2410" t="inlineStr">
        <is>
          <t>Sobrestock</t>
        </is>
      </c>
    </row>
    <row r="2411">
      <c r="A2411" t="inlineStr">
        <is>
          <t>MAYFNDA70TL</t>
        </is>
      </c>
      <c r="B2411" t="inlineStr">
        <is>
          <t>MAYA SPORT LITE DAMA</t>
        </is>
      </c>
      <c r="C2411" t="inlineStr">
        <is>
          <t>Manufactura / Dama / P. Superiores</t>
        </is>
      </c>
      <c r="D2411" t="n">
        <v>90.37010259</v>
      </c>
      <c r="E2411" t="n">
        <v>2.212554455692768e-05</v>
      </c>
      <c r="F2411" t="n">
        <v>0.9903594789061471</v>
      </c>
      <c r="G2411" t="inlineStr">
        <is>
          <t>C</t>
        </is>
      </c>
      <c r="H2411" t="n">
        <v>10</v>
      </c>
      <c r="I2411" t="n">
        <v>3.87</v>
      </c>
      <c r="J2411" t="n">
        <v>38.7</v>
      </c>
      <c r="K2411" t="n">
        <v>0.3</v>
      </c>
      <c r="L2411" t="n">
        <v>33.33333333333334</v>
      </c>
      <c r="M2411" t="n">
        <v>4</v>
      </c>
      <c r="N2411" t="n">
        <v>1.2</v>
      </c>
      <c r="O2411" t="n">
        <v>8.800000000000001</v>
      </c>
      <c r="P2411" t="n">
        <v>34.056</v>
      </c>
      <c r="Q2411" t="n">
        <v>0.88</v>
      </c>
      <c r="R2411" t="inlineStr">
        <is>
          <t>Sin rotación</t>
        </is>
      </c>
    </row>
    <row r="2412">
      <c r="A2412" t="inlineStr">
        <is>
          <t>GEMBADA16TL</t>
        </is>
      </c>
      <c r="B2412" t="inlineStr">
        <is>
          <t>VESTIDO GEMMA DAMA</t>
        </is>
      </c>
      <c r="C2412" t="inlineStr">
        <is>
          <t>Manufactura / Dama / Conjuntos</t>
        </is>
      </c>
      <c r="D2412" t="n">
        <v>90.02717258</v>
      </c>
      <c r="E2412" t="n">
        <v>2.204158412091283e-05</v>
      </c>
      <c r="F2412" t="n">
        <v>0.990381520490268</v>
      </c>
      <c r="G2412" t="inlineStr">
        <is>
          <t>C</t>
        </is>
      </c>
      <c r="H2412" t="n">
        <v>20</v>
      </c>
      <c r="I2412" t="n">
        <v>23.99</v>
      </c>
      <c r="J2412" t="n">
        <v>479.8</v>
      </c>
      <c r="K2412" t="n">
        <v>0.3</v>
      </c>
      <c r="L2412" t="n">
        <v>66.66666666666667</v>
      </c>
      <c r="M2412" t="n">
        <v>4</v>
      </c>
      <c r="N2412" t="n">
        <v>1.2</v>
      </c>
      <c r="O2412" t="n">
        <v>18.8</v>
      </c>
      <c r="P2412" t="n">
        <v>451.012</v>
      </c>
      <c r="Q2412" t="n">
        <v>0.9400000000000001</v>
      </c>
      <c r="R2412" t="inlineStr">
        <is>
          <t>Sin rotación</t>
        </is>
      </c>
    </row>
    <row r="2413">
      <c r="A2413" t="inlineStr">
        <is>
          <t>CLAMICA43T3XL</t>
        </is>
      </c>
      <c r="B2413" t="inlineStr">
        <is>
          <t>CLASICA ORIGINAL CAB</t>
        </is>
      </c>
      <c r="C2413" t="inlineStr">
        <is>
          <t>Manufactura / Caballero / P. Superiores</t>
        </is>
      </c>
      <c r="D2413" t="n">
        <v>90.02455926</v>
      </c>
      <c r="E2413" t="n">
        <v>2.204094429505844e-05</v>
      </c>
      <c r="F2413" t="n">
        <v>0.9904035614345631</v>
      </c>
      <c r="G2413" t="inlineStr">
        <is>
          <t>C</t>
        </is>
      </c>
      <c r="H2413" t="n">
        <v>0</v>
      </c>
      <c r="I2413" t="n">
        <v>4.598442536</v>
      </c>
      <c r="J2413" t="n">
        <v>0</v>
      </c>
      <c r="K2413" t="n">
        <v>0.2</v>
      </c>
      <c r="L2413" t="n">
        <v>0</v>
      </c>
      <c r="M2413" t="n">
        <v>4</v>
      </c>
      <c r="N2413" t="n">
        <v>0.8</v>
      </c>
      <c r="O2413" t="n">
        <v>0</v>
      </c>
      <c r="P2413" t="n">
        <v>0</v>
      </c>
      <c r="Q2413" t="n">
        <v>0</v>
      </c>
      <c r="R2413" t="inlineStr">
        <is>
          <t>Riesgo bajo stock</t>
        </is>
      </c>
    </row>
    <row r="2414">
      <c r="A2414" t="inlineStr">
        <is>
          <t>DOMBFCA205TS</t>
        </is>
      </c>
      <c r="B2414" t="inlineStr">
        <is>
          <t>DOMINIC BIO MOVE CAB</t>
        </is>
      </c>
      <c r="C2414" t="inlineStr">
        <is>
          <t>Manufactura / Caballero / P. Superiores</t>
        </is>
      </c>
      <c r="D2414" t="n">
        <v>89.58794605999999</v>
      </c>
      <c r="E2414" t="n">
        <v>2.193404716277819e-05</v>
      </c>
      <c r="F2414" t="n">
        <v>0.9904254954817258</v>
      </c>
      <c r="G2414" t="inlineStr">
        <is>
          <t>C</t>
        </is>
      </c>
      <c r="H2414" t="n">
        <v>32</v>
      </c>
      <c r="I2414" t="n">
        <v>13.86</v>
      </c>
      <c r="J2414" t="n">
        <v>443.52</v>
      </c>
      <c r="K2414" t="n">
        <v>0.9</v>
      </c>
      <c r="L2414" t="n">
        <v>35.55555555555556</v>
      </c>
      <c r="M2414" t="n">
        <v>4</v>
      </c>
      <c r="N2414" t="n">
        <v>3.6</v>
      </c>
      <c r="O2414" t="n">
        <v>28.4</v>
      </c>
      <c r="P2414" t="n">
        <v>393.624</v>
      </c>
      <c r="Q2414" t="n">
        <v>0.8875</v>
      </c>
      <c r="R2414" t="inlineStr">
        <is>
          <t>Sobrestock crítico</t>
        </is>
      </c>
    </row>
    <row r="2415">
      <c r="A2415" t="inlineStr">
        <is>
          <t>CLAMICA66T3XL</t>
        </is>
      </c>
      <c r="B2415" t="inlineStr">
        <is>
          <t>CLASICA ORIGINAL CAB</t>
        </is>
      </c>
      <c r="C2415" t="inlineStr">
        <is>
          <t>Manufactura / Caballero / P. Superiores</t>
        </is>
      </c>
      <c r="D2415" t="n">
        <v>89.49683113</v>
      </c>
      <c r="E2415" t="n">
        <v>2.191173926021154e-05</v>
      </c>
      <c r="F2415" t="n">
        <v>0.990447407220986</v>
      </c>
      <c r="G2415" t="inlineStr">
        <is>
          <t>C</t>
        </is>
      </c>
      <c r="H2415" t="n">
        <v>1</v>
      </c>
      <c r="I2415" t="n">
        <v>4.598442536</v>
      </c>
      <c r="J2415" t="n">
        <v>4.598442536</v>
      </c>
      <c r="K2415" t="n">
        <v>0.2</v>
      </c>
      <c r="L2415" t="n">
        <v>5</v>
      </c>
      <c r="M2415" t="n">
        <v>4</v>
      </c>
      <c r="N2415" t="n">
        <v>0.8</v>
      </c>
      <c r="O2415" t="n">
        <v>0.2</v>
      </c>
      <c r="P2415" t="n">
        <v>0.9196885071999998</v>
      </c>
      <c r="Q2415" t="n">
        <v>0.2</v>
      </c>
      <c r="R2415" t="inlineStr">
        <is>
          <t>Sin rotación</t>
        </is>
      </c>
    </row>
    <row r="2416">
      <c r="A2416" t="inlineStr">
        <is>
          <t>MIAMIDA05TS</t>
        </is>
      </c>
      <c r="B2416" t="inlineStr">
        <is>
          <t>MIA ORIGINAL DAMA</t>
        </is>
      </c>
      <c r="C2416" t="inlineStr">
        <is>
          <t>Manufactura / Dama / P. Superiores</t>
        </is>
      </c>
      <c r="D2416" t="n">
        <v>89.37192403</v>
      </c>
      <c r="E2416" t="n">
        <v>2.188115793378475e-05</v>
      </c>
      <c r="F2416" t="n">
        <v>0.9904692883789199</v>
      </c>
      <c r="G2416" t="inlineStr">
        <is>
          <t>C</t>
        </is>
      </c>
      <c r="H2416" t="n">
        <v>0</v>
      </c>
      <c r="I2416" t="n">
        <v>3.94</v>
      </c>
      <c r="J2416" t="n">
        <v>0</v>
      </c>
      <c r="K2416" t="n">
        <v>0.3</v>
      </c>
      <c r="L2416" t="n">
        <v>0</v>
      </c>
      <c r="M2416" t="n">
        <v>4</v>
      </c>
      <c r="N2416" t="n">
        <v>1.2</v>
      </c>
      <c r="O2416" t="n">
        <v>0</v>
      </c>
      <c r="P2416" t="n">
        <v>0</v>
      </c>
      <c r="Q2416" t="n">
        <v>0</v>
      </c>
      <c r="R2416" t="inlineStr">
        <is>
          <t>Sin rotación</t>
        </is>
      </c>
    </row>
    <row r="2417">
      <c r="A2417" t="inlineStr">
        <is>
          <t>BUFMIGE70TUN</t>
        </is>
      </c>
      <c r="B2417" t="inlineStr">
        <is>
          <t>FLEX COVER</t>
        </is>
      </c>
      <c r="C2417" t="inlineStr">
        <is>
          <t>Manufactura / General</t>
        </is>
      </c>
      <c r="D2417" t="n">
        <v>89.15592246</v>
      </c>
      <c r="E2417" t="n">
        <v>2.182827371406572e-05</v>
      </c>
      <c r="F2417" t="n">
        <v>0.9904911166526339</v>
      </c>
      <c r="G2417" t="inlineStr">
        <is>
          <t>C</t>
        </is>
      </c>
      <c r="H2417" t="n">
        <v>16</v>
      </c>
      <c r="I2417" t="n">
        <v>2.21</v>
      </c>
      <c r="J2417" t="n">
        <v>35.36</v>
      </c>
      <c r="K2417" t="n">
        <v>0.7</v>
      </c>
      <c r="L2417" t="n">
        <v>22.85714285714286</v>
      </c>
      <c r="M2417" t="n">
        <v>4</v>
      </c>
      <c r="N2417" t="n">
        <v>2.8</v>
      </c>
      <c r="O2417" t="n">
        <v>13.2</v>
      </c>
      <c r="P2417" t="n">
        <v>29.172</v>
      </c>
      <c r="Q2417" t="n">
        <v>0.825</v>
      </c>
      <c r="R2417" t="inlineStr">
        <is>
          <t>Sobrestock crítico</t>
        </is>
      </c>
    </row>
    <row r="2418">
      <c r="A2418" t="inlineStr">
        <is>
          <t>RIOMIKI05T2</t>
        </is>
      </c>
      <c r="B2418" t="inlineStr">
        <is>
          <t>RIO ORIGINAL KIDS</t>
        </is>
      </c>
      <c r="C2418" t="inlineStr">
        <is>
          <t>Manufactura / Kids / P. Superiores</t>
        </is>
      </c>
      <c r="D2418" t="n">
        <v>88.75638135</v>
      </c>
      <c r="E2418" t="n">
        <v>2.173045303689181e-05</v>
      </c>
      <c r="F2418" t="n">
        <v>0.9905128471056709</v>
      </c>
      <c r="G2418" t="inlineStr">
        <is>
          <t>C</t>
        </is>
      </c>
      <c r="H2418" t="n">
        <v>0</v>
      </c>
      <c r="I2418" t="n">
        <v>3.617969464</v>
      </c>
      <c r="J2418" t="n">
        <v>0</v>
      </c>
      <c r="K2418" t="n">
        <v>0.2</v>
      </c>
      <c r="L2418" t="n">
        <v>0</v>
      </c>
      <c r="M2418" t="n">
        <v>4</v>
      </c>
      <c r="N2418" t="n">
        <v>0.8</v>
      </c>
      <c r="O2418" t="n">
        <v>0</v>
      </c>
      <c r="P2418" t="n">
        <v>0</v>
      </c>
      <c r="Q2418" t="n">
        <v>0</v>
      </c>
      <c r="R2418" t="inlineStr">
        <is>
          <t>Sin rotación</t>
        </is>
      </c>
    </row>
    <row r="2419">
      <c r="A2419" t="inlineStr">
        <is>
          <t>MARMICA16T3XL</t>
        </is>
      </c>
      <c r="B2419" t="inlineStr">
        <is>
          <t>MAR ORIGINAL CAB</t>
        </is>
      </c>
      <c r="C2419" t="inlineStr">
        <is>
          <t>Manufactura / Caballero / P. Superiores</t>
        </is>
      </c>
      <c r="D2419" t="n">
        <v>88.65529907999999</v>
      </c>
      <c r="E2419" t="n">
        <v>2.170570480484711e-05</v>
      </c>
      <c r="F2419" t="n">
        <v>0.9905345528104758</v>
      </c>
      <c r="G2419" t="inlineStr">
        <is>
          <t>C</t>
        </is>
      </c>
      <c r="H2419" t="n">
        <v>1</v>
      </c>
      <c r="I2419" t="n">
        <v>4.946357428</v>
      </c>
      <c r="J2419" t="n">
        <v>4.946357428</v>
      </c>
      <c r="K2419" t="n">
        <v>0.2</v>
      </c>
      <c r="L2419" t="n">
        <v>5</v>
      </c>
      <c r="M2419" t="n">
        <v>4</v>
      </c>
      <c r="N2419" t="n">
        <v>0.8</v>
      </c>
      <c r="O2419" t="n">
        <v>0.2</v>
      </c>
      <c r="P2419" t="n">
        <v>0.9892714855999998</v>
      </c>
      <c r="Q2419" t="n">
        <v>0.2</v>
      </c>
      <c r="R2419" t="inlineStr">
        <is>
          <t>Sin rotación</t>
        </is>
      </c>
    </row>
    <row r="2420">
      <c r="A2420" t="inlineStr">
        <is>
          <t>BAN39EQ</t>
        </is>
      </c>
      <c r="B2420" t="inlineStr">
        <is>
          <t>CUADRO BAND</t>
        </is>
      </c>
      <c r="C2420" t="inlineStr">
        <is>
          <t>Equipamiento / Accesorios</t>
        </is>
      </c>
      <c r="D2420" t="n">
        <v>88.63506081200001</v>
      </c>
      <c r="E2420" t="n">
        <v>2.170074981766047e-05</v>
      </c>
      <c r="F2420" t="n">
        <v>0.9905562535602933</v>
      </c>
      <c r="G2420" t="inlineStr">
        <is>
          <t>C</t>
        </is>
      </c>
      <c r="H2420" t="n">
        <v>3111</v>
      </c>
      <c r="I2420" t="n">
        <v>0.3159183673</v>
      </c>
      <c r="J2420" t="n">
        <v>982.8220406703</v>
      </c>
      <c r="K2420" t="n">
        <v>4</v>
      </c>
      <c r="L2420" t="n">
        <v>777.75</v>
      </c>
      <c r="M2420" t="n">
        <v>4</v>
      </c>
      <c r="N2420" t="n">
        <v>16</v>
      </c>
      <c r="O2420" t="n">
        <v>3095</v>
      </c>
      <c r="P2420" t="n">
        <v>977.7673467935</v>
      </c>
      <c r="Q2420" t="n">
        <v>0.9948569591771135</v>
      </c>
      <c r="R2420" t="inlineStr">
        <is>
          <t>Sobrestock crítico</t>
        </is>
      </c>
    </row>
    <row r="2421">
      <c r="A2421" t="inlineStr">
        <is>
          <t>ANDMIDA11TXS</t>
        </is>
      </c>
      <c r="B2421" t="inlineStr">
        <is>
          <t>ANDRE ORIGINAL DAMA</t>
        </is>
      </c>
      <c r="C2421" t="inlineStr">
        <is>
          <t>Manufactura / Dama / P. Superiores</t>
        </is>
      </c>
      <c r="D2421" t="n">
        <v>88.50722866000001</v>
      </c>
      <c r="E2421" t="n">
        <v>2.166945234323227e-05</v>
      </c>
      <c r="F2421" t="n">
        <v>0.9905779230126366</v>
      </c>
      <c r="G2421" t="inlineStr">
        <is>
          <t>C</t>
        </is>
      </c>
      <c r="H2421" t="n">
        <v>0</v>
      </c>
      <c r="I2421" t="n">
        <v>3.274295302</v>
      </c>
      <c r="J2421" t="n">
        <v>0</v>
      </c>
      <c r="K2421" t="n">
        <v>0.3</v>
      </c>
      <c r="L2421" t="n">
        <v>0</v>
      </c>
      <c r="M2421" t="n">
        <v>4</v>
      </c>
      <c r="N2421" t="n">
        <v>1.2</v>
      </c>
      <c r="O2421" t="n">
        <v>0</v>
      </c>
      <c r="P2421" t="n">
        <v>0</v>
      </c>
      <c r="Q2421" t="n">
        <v>0</v>
      </c>
      <c r="R2421" t="inlineStr">
        <is>
          <t>Sin rotación</t>
        </is>
      </c>
    </row>
    <row r="2422">
      <c r="A2422" t="inlineStr">
        <is>
          <t>VIVMIDA50TL</t>
        </is>
      </c>
      <c r="B2422" t="inlineStr">
        <is>
          <t>VIVI ORIGINAL DAMA</t>
        </is>
      </c>
      <c r="C2422" t="inlineStr">
        <is>
          <t>Manufactura / Dama / P. Superiores</t>
        </is>
      </c>
      <c r="D2422" t="n">
        <v>88.21547862</v>
      </c>
      <c r="E2422" t="n">
        <v>2.159802243085526e-05</v>
      </c>
      <c r="F2422" t="n">
        <v>0.9905995210350674</v>
      </c>
      <c r="G2422" t="inlineStr">
        <is>
          <t>C</t>
        </is>
      </c>
      <c r="H2422" t="n">
        <v>1</v>
      </c>
      <c r="I2422" t="n">
        <v>4.303181706</v>
      </c>
      <c r="J2422" t="n">
        <v>4.303181706</v>
      </c>
      <c r="K2422" t="n">
        <v>0.2</v>
      </c>
      <c r="L2422" t="n">
        <v>5</v>
      </c>
      <c r="M2422" t="n">
        <v>4</v>
      </c>
      <c r="N2422" t="n">
        <v>0.8</v>
      </c>
      <c r="O2422" t="n">
        <v>0.2</v>
      </c>
      <c r="P2422" t="n">
        <v>0.8606363411999999</v>
      </c>
      <c r="Q2422" t="n">
        <v>0.2</v>
      </c>
      <c r="R2422" t="inlineStr">
        <is>
          <t>Sobrestock</t>
        </is>
      </c>
    </row>
    <row r="2423">
      <c r="A2423" t="inlineStr">
        <is>
          <t>DALSTKI43T10</t>
        </is>
      </c>
      <c r="B2423" t="inlineStr">
        <is>
          <t>CLASICA DAILY 2.0 KIDS</t>
        </is>
      </c>
      <c r="C2423" t="inlineStr">
        <is>
          <t>Manufactura / Kids / P. Superiores</t>
        </is>
      </c>
      <c r="D2423" t="n">
        <v>87.9945597</v>
      </c>
      <c r="E2423" t="n">
        <v>2.154393428369331e-05</v>
      </c>
      <c r="F2423" t="n">
        <v>0.9906210649693511</v>
      </c>
      <c r="G2423" t="inlineStr">
        <is>
          <t>C</t>
        </is>
      </c>
      <c r="H2423" t="n">
        <v>7</v>
      </c>
      <c r="I2423" t="n">
        <v>8.699999999999999</v>
      </c>
      <c r="J2423" t="n">
        <v>60.89999999999999</v>
      </c>
      <c r="K2423" t="n">
        <v>0.4</v>
      </c>
      <c r="L2423" t="n">
        <v>17.5</v>
      </c>
      <c r="M2423" t="n">
        <v>4</v>
      </c>
      <c r="N2423" t="n">
        <v>1.6</v>
      </c>
      <c r="O2423" t="n">
        <v>5.4</v>
      </c>
      <c r="P2423" t="n">
        <v>46.98</v>
      </c>
      <c r="Q2423" t="n">
        <v>0.7714285714285715</v>
      </c>
      <c r="R2423" t="inlineStr">
        <is>
          <t>Sobrestock crítico</t>
        </is>
      </c>
    </row>
    <row r="2424">
      <c r="A2424" t="inlineStr">
        <is>
          <t>AQUSTDA43TS</t>
        </is>
      </c>
      <c r="B2424" t="inlineStr">
        <is>
          <t>RETRO VZLA DAMA</t>
        </is>
      </c>
      <c r="C2424" t="inlineStr">
        <is>
          <t>Manufactura / Dama / P. Superiores</t>
        </is>
      </c>
      <c r="D2424" t="n">
        <v>87.82166653</v>
      </c>
      <c r="E2424" t="n">
        <v>2.150160440437715e-05</v>
      </c>
      <c r="F2424" t="n">
        <v>0.9906425665737555</v>
      </c>
      <c r="G2424" t="inlineStr">
        <is>
          <t>C</t>
        </is>
      </c>
      <c r="H2424" t="n">
        <v>2</v>
      </c>
      <c r="I2424" t="n">
        <v>11.23</v>
      </c>
      <c r="J2424" t="n">
        <v>22.46</v>
      </c>
      <c r="K2424" t="n">
        <v>0.2</v>
      </c>
      <c r="L2424" t="n">
        <v>10</v>
      </c>
      <c r="M2424" t="n">
        <v>4</v>
      </c>
      <c r="N2424" t="n">
        <v>0.8</v>
      </c>
      <c r="O2424" t="n">
        <v>1.2</v>
      </c>
      <c r="P2424" t="n">
        <v>13.476</v>
      </c>
      <c r="Q2424" t="n">
        <v>0.6</v>
      </c>
      <c r="R2424" t="inlineStr">
        <is>
          <t>Sin rotación</t>
        </is>
      </c>
    </row>
    <row r="2425">
      <c r="A2425" t="inlineStr">
        <is>
          <t>DALSSTCA43T2XL</t>
        </is>
      </c>
      <c r="B2425" t="inlineStr">
        <is>
          <t>MANGA LARGA DAILY 2.0 CAB</t>
        </is>
      </c>
      <c r="C2425" t="inlineStr">
        <is>
          <t>Manufactura / Caballero / P. Superiores</t>
        </is>
      </c>
      <c r="D2425" t="n">
        <v>87.57911049000001</v>
      </c>
      <c r="E2425" t="n">
        <v>2.144221878549698e-05</v>
      </c>
      <c r="F2425" t="n">
        <v>0.990664008792541</v>
      </c>
      <c r="G2425" t="inlineStr">
        <is>
          <t>C</t>
        </is>
      </c>
      <c r="H2425" t="n">
        <v>0</v>
      </c>
      <c r="I2425" t="n">
        <v>14.21</v>
      </c>
      <c r="J2425" t="n">
        <v>0</v>
      </c>
      <c r="K2425" t="n">
        <v>0.2</v>
      </c>
      <c r="L2425" t="n">
        <v>0</v>
      </c>
      <c r="M2425" t="n">
        <v>4</v>
      </c>
      <c r="N2425" t="n">
        <v>0.8</v>
      </c>
      <c r="O2425" t="n">
        <v>0</v>
      </c>
      <c r="P2425" t="n">
        <v>0</v>
      </c>
      <c r="Q2425" t="n">
        <v>0</v>
      </c>
      <c r="R2425" t="inlineStr">
        <is>
          <t>Sin rotación</t>
        </is>
      </c>
    </row>
    <row r="2426">
      <c r="A2426" t="inlineStr">
        <is>
          <t>MARMICA14T2XL</t>
        </is>
      </c>
      <c r="B2426" t="inlineStr">
        <is>
          <t>MAR ORIGINAL CAB</t>
        </is>
      </c>
      <c r="C2426" t="inlineStr">
        <is>
          <t>Manufactura / Caballero / P. Superiores</t>
        </is>
      </c>
      <c r="D2426" t="n">
        <v>87.3955996</v>
      </c>
      <c r="E2426" t="n">
        <v>2.139728934249526e-05</v>
      </c>
      <c r="F2426" t="n">
        <v>0.9906854060818835</v>
      </c>
      <c r="G2426" t="inlineStr">
        <is>
          <t>C</t>
        </is>
      </c>
      <c r="H2426" t="n">
        <v>0</v>
      </c>
      <c r="I2426" t="n">
        <v>4.946357428</v>
      </c>
      <c r="J2426" t="n">
        <v>0</v>
      </c>
      <c r="K2426" t="n">
        <v>0.2</v>
      </c>
      <c r="L2426" t="n">
        <v>0</v>
      </c>
      <c r="M2426" t="n">
        <v>4</v>
      </c>
      <c r="N2426" t="n">
        <v>0.8</v>
      </c>
      <c r="O2426" t="n">
        <v>0</v>
      </c>
      <c r="P2426" t="n">
        <v>0</v>
      </c>
      <c r="Q2426" t="n">
        <v>0</v>
      </c>
      <c r="R2426" t="inlineStr">
        <is>
          <t>Sin rotación</t>
        </is>
      </c>
    </row>
    <row r="2427">
      <c r="A2427" t="inlineStr">
        <is>
          <t>MARMICA24TXL</t>
        </is>
      </c>
      <c r="B2427" t="inlineStr">
        <is>
          <t>MAR ORIGINAL CAB</t>
        </is>
      </c>
      <c r="C2427" t="inlineStr">
        <is>
          <t>Manufactura / Caballero / P. Superiores</t>
        </is>
      </c>
      <c r="D2427" t="n">
        <v>87.32426456</v>
      </c>
      <c r="E2427" t="n">
        <v>2.137982420125103e-05</v>
      </c>
      <c r="F2427" t="n">
        <v>0.9907067859060847</v>
      </c>
      <c r="G2427" t="inlineStr">
        <is>
          <t>C</t>
        </is>
      </c>
      <c r="H2427" t="n">
        <v>0</v>
      </c>
      <c r="I2427" t="n">
        <v>4.946357428</v>
      </c>
      <c r="J2427" t="n">
        <v>0</v>
      </c>
      <c r="K2427" t="n">
        <v>0.2</v>
      </c>
      <c r="L2427" t="n">
        <v>0</v>
      </c>
      <c r="M2427" t="n">
        <v>4</v>
      </c>
      <c r="N2427" t="n">
        <v>0.8</v>
      </c>
      <c r="O2427" t="n">
        <v>0</v>
      </c>
      <c r="P2427" t="n">
        <v>0</v>
      </c>
      <c r="Q2427" t="n">
        <v>0</v>
      </c>
      <c r="R2427" t="inlineStr">
        <is>
          <t>Sin rotación</t>
        </is>
      </c>
    </row>
    <row r="2428">
      <c r="A2428" t="inlineStr">
        <is>
          <t>MAFMEDA43TS</t>
        </is>
      </c>
      <c r="B2428" t="inlineStr">
        <is>
          <t>MAFE SPORT DAMA</t>
        </is>
      </c>
      <c r="C2428" t="inlineStr">
        <is>
          <t>Manufactura / Dama / P. Superiores</t>
        </is>
      </c>
      <c r="D2428" t="n">
        <v>87.30363268000001</v>
      </c>
      <c r="E2428" t="n">
        <v>2.137477284502646e-05</v>
      </c>
      <c r="F2428" t="n">
        <v>0.9907281606789297</v>
      </c>
      <c r="G2428" t="inlineStr">
        <is>
          <t>C</t>
        </is>
      </c>
      <c r="H2428" t="n">
        <v>0</v>
      </c>
      <c r="I2428" t="n">
        <v>5.35</v>
      </c>
      <c r="J2428" t="n">
        <v>0</v>
      </c>
      <c r="K2428" t="n">
        <v>0.2</v>
      </c>
      <c r="L2428" t="n">
        <v>0</v>
      </c>
      <c r="M2428" t="n">
        <v>4</v>
      </c>
      <c r="N2428" t="n">
        <v>0.8</v>
      </c>
      <c r="O2428" t="n">
        <v>0</v>
      </c>
      <c r="P2428" t="n">
        <v>0</v>
      </c>
      <c r="Q2428" t="n">
        <v>0</v>
      </c>
      <c r="R2428" t="inlineStr">
        <is>
          <t>Sin rotación</t>
        </is>
      </c>
    </row>
    <row r="2429">
      <c r="A2429" t="inlineStr">
        <is>
          <t>CLAMIKI48T14</t>
        </is>
      </c>
      <c r="B2429" t="inlineStr">
        <is>
          <t>CLASICA ORIGINAL KIDS</t>
        </is>
      </c>
      <c r="C2429" t="inlineStr">
        <is>
          <t>Manufactura / Kids / P. Superiores</t>
        </is>
      </c>
      <c r="D2429" t="n">
        <v>86.97202193</v>
      </c>
      <c r="E2429" t="n">
        <v>2.129358373253901e-05</v>
      </c>
      <c r="F2429" t="n">
        <v>0.9907494542626624</v>
      </c>
      <c r="G2429" t="inlineStr">
        <is>
          <t>C</t>
        </is>
      </c>
      <c r="H2429" t="n">
        <v>5</v>
      </c>
      <c r="I2429" t="n">
        <v>2.053774806</v>
      </c>
      <c r="J2429" t="n">
        <v>10.26887403</v>
      </c>
      <c r="K2429" t="n">
        <v>0.4</v>
      </c>
      <c r="L2429" t="n">
        <v>12.5</v>
      </c>
      <c r="M2429" t="n">
        <v>4</v>
      </c>
      <c r="N2429" t="n">
        <v>1.6</v>
      </c>
      <c r="O2429" t="n">
        <v>3.4</v>
      </c>
      <c r="P2429" t="n">
        <v>6.982834340399999</v>
      </c>
      <c r="Q2429" t="n">
        <v>0.6799999999999999</v>
      </c>
      <c r="R2429" t="inlineStr">
        <is>
          <t>Sobrestock crítico</t>
        </is>
      </c>
    </row>
    <row r="2430">
      <c r="A2430" t="inlineStr">
        <is>
          <t>MIAMIDA43TM</t>
        </is>
      </c>
      <c r="B2430" t="inlineStr">
        <is>
          <t>MIA ORIGINAL DAMA</t>
        </is>
      </c>
      <c r="C2430" t="inlineStr">
        <is>
          <t>Manufactura / Dama / P. Superiores</t>
        </is>
      </c>
      <c r="D2430" t="n">
        <v>86.95517667999999</v>
      </c>
      <c r="E2430" t="n">
        <v>2.12894594666727e-05</v>
      </c>
      <c r="F2430" t="n">
        <v>0.990770743722129</v>
      </c>
      <c r="G2430" t="inlineStr">
        <is>
          <t>C</t>
        </is>
      </c>
      <c r="H2430" t="n">
        <v>0</v>
      </c>
      <c r="I2430" t="n">
        <v>3.94</v>
      </c>
      <c r="J2430" t="n">
        <v>0</v>
      </c>
      <c r="K2430" t="n">
        <v>0.3</v>
      </c>
      <c r="L2430" t="n">
        <v>0</v>
      </c>
      <c r="M2430" t="n">
        <v>4</v>
      </c>
      <c r="N2430" t="n">
        <v>1.2</v>
      </c>
      <c r="O2430" t="n">
        <v>0</v>
      </c>
      <c r="P2430" t="n">
        <v>0</v>
      </c>
      <c r="Q2430" t="n">
        <v>0</v>
      </c>
      <c r="R2430" t="inlineStr">
        <is>
          <t>Sin rotación</t>
        </is>
      </c>
    </row>
    <row r="2431">
      <c r="A2431" t="inlineStr">
        <is>
          <t>MARMIDA24TL</t>
        </is>
      </c>
      <c r="B2431" t="inlineStr">
        <is>
          <t>MAR ORIGINAL DAMA</t>
        </is>
      </c>
      <c r="C2431" t="inlineStr">
        <is>
          <t>Manufactura / Dama / P. Superiores</t>
        </is>
      </c>
      <c r="D2431" t="n">
        <v>86.89700741</v>
      </c>
      <c r="E2431" t="n">
        <v>2.127521773474651e-05</v>
      </c>
      <c r="F2431" t="n">
        <v>0.9907920189398637</v>
      </c>
      <c r="G2431" t="inlineStr">
        <is>
          <t>C</t>
        </is>
      </c>
      <c r="H2431" t="n">
        <v>0</v>
      </c>
      <c r="I2431" t="n">
        <v>4.278324149</v>
      </c>
      <c r="J2431" t="n">
        <v>0</v>
      </c>
      <c r="K2431" t="n">
        <v>0.2</v>
      </c>
      <c r="L2431" t="n">
        <v>0</v>
      </c>
      <c r="M2431" t="n">
        <v>4</v>
      </c>
      <c r="N2431" t="n">
        <v>0.8</v>
      </c>
      <c r="O2431" t="n">
        <v>0</v>
      </c>
      <c r="P2431" t="n">
        <v>0</v>
      </c>
      <c r="Q2431" t="n">
        <v>0</v>
      </c>
      <c r="R2431" t="inlineStr">
        <is>
          <t>Sin rotación</t>
        </is>
      </c>
    </row>
    <row r="2432">
      <c r="A2432" t="inlineStr">
        <is>
          <t>JACCA67TS</t>
        </is>
      </c>
      <c r="B2432" t="inlineStr">
        <is>
          <t>JACKET CAB</t>
        </is>
      </c>
      <c r="C2432" t="inlineStr">
        <is>
          <t>Equipamiento / Ropa</t>
        </is>
      </c>
      <c r="D2432" t="n">
        <v>86.66173974</v>
      </c>
      <c r="E2432" t="n">
        <v>2.12176165462317e-05</v>
      </c>
      <c r="F2432" t="n">
        <v>0.99081323655641</v>
      </c>
      <c r="G2432" t="inlineStr">
        <is>
          <t>C</t>
        </is>
      </c>
      <c r="H2432" t="n">
        <v>3</v>
      </c>
      <c r="I2432" t="n">
        <v>20.25001933</v>
      </c>
      <c r="J2432" t="n">
        <v>60.75005799</v>
      </c>
      <c r="K2432" t="n">
        <v>0.1</v>
      </c>
      <c r="L2432" t="n">
        <v>30</v>
      </c>
      <c r="M2432" t="n">
        <v>4</v>
      </c>
      <c r="N2432" t="n">
        <v>0.4</v>
      </c>
      <c r="O2432" t="n">
        <v>2.6</v>
      </c>
      <c r="P2432" t="n">
        <v>52.650050258</v>
      </c>
      <c r="Q2432" t="n">
        <v>0.8666666666666667</v>
      </c>
      <c r="R2432" t="inlineStr">
        <is>
          <t>Sobrestock crítico</t>
        </is>
      </c>
    </row>
    <row r="2433">
      <c r="A2433" t="inlineStr">
        <is>
          <t>SHOUNCA13TM</t>
        </is>
      </c>
      <c r="B2433" t="inlineStr">
        <is>
          <t>SHORT PLAYA CAB</t>
        </is>
      </c>
      <c r="C2433" t="inlineStr">
        <is>
          <t>Manufactura / Caballero / P. Inferiores</t>
        </is>
      </c>
      <c r="D2433" t="n">
        <v>86.35374093999999</v>
      </c>
      <c r="E2433" t="n">
        <v>2.114220840816863e-05</v>
      </c>
      <c r="F2433" t="n">
        <v>0.9908343787648181</v>
      </c>
      <c r="G2433" t="inlineStr">
        <is>
          <t>C</t>
        </is>
      </c>
      <c r="H2433" t="n">
        <v>0</v>
      </c>
      <c r="I2433" t="n">
        <v>9.99</v>
      </c>
      <c r="J2433" t="n">
        <v>0</v>
      </c>
      <c r="K2433" t="n">
        <v>0.2</v>
      </c>
      <c r="L2433" t="n">
        <v>0</v>
      </c>
      <c r="M2433" t="n">
        <v>4</v>
      </c>
      <c r="N2433" t="n">
        <v>0.8</v>
      </c>
      <c r="O2433" t="n">
        <v>0</v>
      </c>
      <c r="P2433" t="n">
        <v>0</v>
      </c>
      <c r="Q2433" t="n">
        <v>0</v>
      </c>
      <c r="R2433" t="inlineStr">
        <is>
          <t>Sin rotación</t>
        </is>
      </c>
    </row>
    <row r="2434">
      <c r="A2434" t="inlineStr">
        <is>
          <t>SHOUNKI186T12</t>
        </is>
      </c>
      <c r="B2434" t="inlineStr">
        <is>
          <t>SHORT PLAYA KIDS</t>
        </is>
      </c>
      <c r="C2434" t="inlineStr">
        <is>
          <t>Manufactura / Kids / P. Inferiores</t>
        </is>
      </c>
      <c r="D2434" t="n">
        <v>86.35207276</v>
      </c>
      <c r="E2434" t="n">
        <v>2.114179998337037e-05</v>
      </c>
      <c r="F2434" t="n">
        <v>0.9908555205648015</v>
      </c>
      <c r="G2434" t="inlineStr">
        <is>
          <t>C</t>
        </is>
      </c>
      <c r="H2434" t="n">
        <v>34</v>
      </c>
      <c r="I2434" t="n">
        <v>6.09</v>
      </c>
      <c r="J2434" t="n">
        <v>207.06</v>
      </c>
      <c r="K2434" t="n">
        <v>0.2</v>
      </c>
      <c r="L2434" t="n">
        <v>170</v>
      </c>
      <c r="M2434" t="n">
        <v>4</v>
      </c>
      <c r="N2434" t="n">
        <v>0.8</v>
      </c>
      <c r="O2434" t="n">
        <v>33.2</v>
      </c>
      <c r="P2434" t="n">
        <v>202.188</v>
      </c>
      <c r="Q2434" t="n">
        <v>0.9764705882352942</v>
      </c>
      <c r="R2434" t="inlineStr">
        <is>
          <t>Sobrestock crítico</t>
        </is>
      </c>
    </row>
    <row r="2435">
      <c r="A2435" t="inlineStr">
        <is>
          <t>LARIMJDA01TXS</t>
        </is>
      </c>
      <c r="B2435" t="inlineStr">
        <is>
          <t>LARISA ORIGINAL DAMA</t>
        </is>
      </c>
      <c r="C2435" t="inlineStr">
        <is>
          <t>Manufactura / Dama / P. Superiores</t>
        </is>
      </c>
      <c r="D2435" t="n">
        <v>86</v>
      </c>
      <c r="E2435" t="n">
        <v>2.105560110436719e-05</v>
      </c>
      <c r="F2435" t="n">
        <v>0.9909186873681148</v>
      </c>
      <c r="G2435" t="inlineStr">
        <is>
          <t>C</t>
        </is>
      </c>
      <c r="H2435" t="n">
        <v>14</v>
      </c>
      <c r="I2435" t="n">
        <v>1.765998491</v>
      </c>
      <c r="J2435" t="n">
        <v>24.723978874</v>
      </c>
      <c r="K2435" t="n">
        <v>0.2</v>
      </c>
      <c r="L2435" t="n">
        <v>70</v>
      </c>
      <c r="M2435" t="n">
        <v>4</v>
      </c>
      <c r="N2435" t="n">
        <v>0.8</v>
      </c>
      <c r="O2435" t="n">
        <v>13.2</v>
      </c>
      <c r="P2435" t="n">
        <v>23.3111800812</v>
      </c>
      <c r="Q2435" t="n">
        <v>0.9428571428571427</v>
      </c>
      <c r="R2435" t="inlineStr">
        <is>
          <t>Sobrestock crítico</t>
        </is>
      </c>
    </row>
    <row r="2436">
      <c r="A2436" t="inlineStr">
        <is>
          <t>LARIMJDA43TM</t>
        </is>
      </c>
      <c r="B2436" t="inlineStr">
        <is>
          <t>LARISA ORIGINAL DAMA</t>
        </is>
      </c>
      <c r="C2436" t="inlineStr">
        <is>
          <t>Manufactura / Dama / P. Superiores</t>
        </is>
      </c>
      <c r="D2436" t="n">
        <v>86</v>
      </c>
      <c r="E2436" t="n">
        <v>2.105560110436719e-05</v>
      </c>
      <c r="F2436" t="n">
        <v>0.9909186873681148</v>
      </c>
      <c r="G2436" t="inlineStr">
        <is>
          <t>C</t>
        </is>
      </c>
      <c r="H2436" t="n">
        <v>13</v>
      </c>
      <c r="I2436" t="n">
        <v>1.765998491</v>
      </c>
      <c r="J2436" t="n">
        <v>22.957980383</v>
      </c>
      <c r="K2436" t="n">
        <v>0.2</v>
      </c>
      <c r="L2436" t="n">
        <v>65</v>
      </c>
      <c r="M2436" t="n">
        <v>4</v>
      </c>
      <c r="N2436" t="n">
        <v>0.8</v>
      </c>
      <c r="O2436" t="n">
        <v>12.2</v>
      </c>
      <c r="P2436" t="n">
        <v>21.5451815902</v>
      </c>
      <c r="Q2436" t="n">
        <v>0.9384615384615385</v>
      </c>
      <c r="R2436" t="inlineStr">
        <is>
          <t>Sobrestock crítico</t>
        </is>
      </c>
    </row>
    <row r="2437">
      <c r="A2437" t="inlineStr">
        <is>
          <t>CLAMICA70T2XL</t>
        </is>
      </c>
      <c r="B2437" t="inlineStr">
        <is>
          <t>CLASICA ORIGINAL CAB</t>
        </is>
      </c>
      <c r="C2437" t="inlineStr">
        <is>
          <t>Manufactura / Caballero / P. Superiores</t>
        </is>
      </c>
      <c r="D2437" t="n">
        <v>86</v>
      </c>
      <c r="E2437" t="n">
        <v>2.105560110436719e-05</v>
      </c>
      <c r="F2437" t="n">
        <v>0.9909186873681148</v>
      </c>
      <c r="G2437" t="inlineStr">
        <is>
          <t>C</t>
        </is>
      </c>
      <c r="H2437" t="n">
        <v>34</v>
      </c>
      <c r="I2437" t="n">
        <v>4.598442536</v>
      </c>
      <c r="J2437" t="n">
        <v>156.347046224</v>
      </c>
      <c r="K2437" t="n">
        <v>0.3</v>
      </c>
      <c r="L2437" t="n">
        <v>113.3333333333333</v>
      </c>
      <c r="M2437" t="n">
        <v>4</v>
      </c>
      <c r="N2437" t="n">
        <v>1.2</v>
      </c>
      <c r="O2437" t="n">
        <v>32.8</v>
      </c>
      <c r="P2437" t="n">
        <v>150.8289151808</v>
      </c>
      <c r="Q2437" t="n">
        <v>0.9647058823529413</v>
      </c>
      <c r="R2437" t="inlineStr">
        <is>
          <t>Sobrestock crítico</t>
        </is>
      </c>
    </row>
    <row r="2438">
      <c r="A2438" t="inlineStr">
        <is>
          <t>DALSTDA43TM</t>
        </is>
      </c>
      <c r="B2438" t="inlineStr">
        <is>
          <t>CLASICA DAILY 2.0 DAMA</t>
        </is>
      </c>
      <c r="C2438" t="inlineStr">
        <is>
          <t>Manufactura / Dama / P. Superiores</t>
        </is>
      </c>
      <c r="D2438" t="n">
        <v>85.99206278</v>
      </c>
      <c r="E2438" t="n">
        <v>2.105365781438815e-05</v>
      </c>
      <c r="F2438" t="n">
        <v>0.9909397410259291</v>
      </c>
      <c r="G2438" t="inlineStr">
        <is>
          <t>C</t>
        </is>
      </c>
      <c r="H2438" t="n">
        <v>0</v>
      </c>
      <c r="I2438" t="n">
        <v>10.02</v>
      </c>
      <c r="J2438" t="n">
        <v>0</v>
      </c>
      <c r="K2438" t="n">
        <v>0.2</v>
      </c>
      <c r="L2438" t="n">
        <v>0</v>
      </c>
      <c r="M2438" t="n">
        <v>4</v>
      </c>
      <c r="N2438" t="n">
        <v>0.8</v>
      </c>
      <c r="O2438" t="n">
        <v>0</v>
      </c>
      <c r="P2438" t="n">
        <v>0</v>
      </c>
      <c r="Q2438" t="n">
        <v>0</v>
      </c>
      <c r="R2438" t="inlineStr">
        <is>
          <t>Sin rotación</t>
        </is>
      </c>
    </row>
    <row r="2439">
      <c r="A2439" t="inlineStr">
        <is>
          <t>DANMIKI11T12</t>
        </is>
      </c>
      <c r="B2439" t="inlineStr">
        <is>
          <t>DANI ORIGINAL KIDS</t>
        </is>
      </c>
      <c r="C2439" t="inlineStr">
        <is>
          <t>Manufactura / Kids / P. Superiores</t>
        </is>
      </c>
      <c r="D2439" t="n">
        <v>85.85302607</v>
      </c>
      <c r="E2439" t="n">
        <v>2.101961709921811e-05</v>
      </c>
      <c r="F2439" t="n">
        <v>0.9909607606430284</v>
      </c>
      <c r="G2439" t="inlineStr">
        <is>
          <t>C</t>
        </is>
      </c>
      <c r="H2439" t="n">
        <v>0</v>
      </c>
      <c r="I2439" t="n">
        <v>3.55</v>
      </c>
      <c r="J2439" t="n">
        <v>0</v>
      </c>
      <c r="K2439" t="n">
        <v>0.4</v>
      </c>
      <c r="L2439" t="n">
        <v>0</v>
      </c>
      <c r="M2439" t="n">
        <v>4</v>
      </c>
      <c r="N2439" t="n">
        <v>1.6</v>
      </c>
      <c r="O2439" t="n">
        <v>0</v>
      </c>
      <c r="P2439" t="n">
        <v>0</v>
      </c>
      <c r="Q2439" t="n">
        <v>0</v>
      </c>
      <c r="R2439" t="inlineStr">
        <is>
          <t>Sin rotación</t>
        </is>
      </c>
    </row>
    <row r="2440">
      <c r="A2440" t="inlineStr">
        <is>
          <t>201STDA43TXS</t>
        </is>
      </c>
      <c r="B2440" t="inlineStr">
        <is>
          <t>RETRO VZLA DAMA</t>
        </is>
      </c>
      <c r="C2440" t="inlineStr">
        <is>
          <t>Manufactura / Dama / P. Superiores</t>
        </is>
      </c>
      <c r="D2440" t="n">
        <v>85.75545199999999</v>
      </c>
      <c r="E2440" t="n">
        <v>2.099572778879892e-05</v>
      </c>
      <c r="F2440" t="n">
        <v>0.9909817563708172</v>
      </c>
      <c r="G2440" t="inlineStr">
        <is>
          <t>C</t>
        </is>
      </c>
      <c r="H2440" t="n">
        <v>0</v>
      </c>
      <c r="I2440" t="n">
        <v>11.23</v>
      </c>
      <c r="J2440" t="n">
        <v>0</v>
      </c>
      <c r="K2440" t="n">
        <v>0.2</v>
      </c>
      <c r="L2440" t="n">
        <v>0</v>
      </c>
      <c r="M2440" t="n">
        <v>4</v>
      </c>
      <c r="N2440" t="n">
        <v>0.8</v>
      </c>
      <c r="O2440" t="n">
        <v>0</v>
      </c>
      <c r="P2440" t="n">
        <v>0</v>
      </c>
      <c r="Q2440" t="n">
        <v>0</v>
      </c>
      <c r="R2440" t="inlineStr">
        <is>
          <t>Riesgo bajo stock</t>
        </is>
      </c>
    </row>
    <row r="2441">
      <c r="A2441" t="inlineStr">
        <is>
          <t>ETN96E500ML</t>
        </is>
      </c>
      <c r="B2441" t="inlineStr">
        <is>
          <t>KAMBUKKA ETNA 500 ML</t>
        </is>
      </c>
      <c r="C2441" t="inlineStr">
        <is>
          <t>Equipamiento / Cava</t>
        </is>
      </c>
      <c r="D2441" t="n">
        <v>85.5319217</v>
      </c>
      <c r="E2441" t="n">
        <v>2.094100029075777e-05</v>
      </c>
      <c r="F2441" t="n">
        <v>0.9910026973711079</v>
      </c>
      <c r="G2441" t="inlineStr">
        <is>
          <t>C</t>
        </is>
      </c>
      <c r="H2441" t="n">
        <v>22</v>
      </c>
      <c r="I2441" t="n">
        <v>24.5</v>
      </c>
      <c r="J2441" t="n">
        <v>539</v>
      </c>
      <c r="K2441" t="n">
        <v>0.3</v>
      </c>
      <c r="L2441" t="n">
        <v>73.33333333333334</v>
      </c>
      <c r="M2441" t="n">
        <v>4</v>
      </c>
      <c r="N2441" t="n">
        <v>1.2</v>
      </c>
      <c r="O2441" t="n">
        <v>20.8</v>
      </c>
      <c r="P2441" t="n">
        <v>509.6</v>
      </c>
      <c r="Q2441" t="n">
        <v>0.9454545454545455</v>
      </c>
      <c r="R2441" t="inlineStr">
        <is>
          <t>Sobrestock crítico</t>
        </is>
      </c>
    </row>
    <row r="2442">
      <c r="A2442" t="inlineStr">
        <is>
          <t>RIOMIKI09T4</t>
        </is>
      </c>
      <c r="B2442" t="inlineStr">
        <is>
          <t>RIO ORIGINAL KIDS</t>
        </is>
      </c>
      <c r="C2442" t="inlineStr">
        <is>
          <t>Manufactura / Kids / P. Superiores</t>
        </is>
      </c>
      <c r="D2442" t="n">
        <v>85.19049337</v>
      </c>
      <c r="E2442" t="n">
        <v>2.085740751491811e-05</v>
      </c>
      <c r="F2442" t="n">
        <v>0.9910235547786229</v>
      </c>
      <c r="G2442" t="inlineStr">
        <is>
          <t>C</t>
        </is>
      </c>
      <c r="H2442" t="n">
        <v>0</v>
      </c>
      <c r="I2442" t="n">
        <v>3.617969464</v>
      </c>
      <c r="J2442" t="n">
        <v>0</v>
      </c>
      <c r="K2442" t="n">
        <v>0.2</v>
      </c>
      <c r="L2442" t="n">
        <v>0</v>
      </c>
      <c r="M2442" t="n">
        <v>4</v>
      </c>
      <c r="N2442" t="n">
        <v>0.8</v>
      </c>
      <c r="O2442" t="n">
        <v>0</v>
      </c>
      <c r="P2442" t="n">
        <v>0</v>
      </c>
      <c r="Q2442" t="n">
        <v>0</v>
      </c>
      <c r="R2442" t="inlineStr">
        <is>
          <t>Sin rotación</t>
        </is>
      </c>
    </row>
    <row r="2443">
      <c r="A2443" t="inlineStr">
        <is>
          <t>TOA50WA</t>
        </is>
      </c>
      <c r="B2443" t="inlineStr">
        <is>
          <t>TOALLA WAFFLE</t>
        </is>
      </c>
      <c r="C2443" t="inlineStr">
        <is>
          <t>Equipamiento / Toallas</t>
        </is>
      </c>
      <c r="D2443" t="n">
        <v>85.05796860999999</v>
      </c>
      <c r="E2443" t="n">
        <v>2.082496113720867e-05</v>
      </c>
      <c r="F2443" t="n">
        <v>0.9910443797397601</v>
      </c>
      <c r="G2443" t="inlineStr">
        <is>
          <t>C</t>
        </is>
      </c>
      <c r="H2443" t="n">
        <v>0</v>
      </c>
      <c r="I2443" t="n">
        <v>5.5</v>
      </c>
      <c r="J2443" t="n">
        <v>0</v>
      </c>
      <c r="K2443" t="n">
        <v>0.4</v>
      </c>
      <c r="L2443" t="n">
        <v>0</v>
      </c>
      <c r="M2443" t="n">
        <v>4</v>
      </c>
      <c r="N2443" t="n">
        <v>1.6</v>
      </c>
      <c r="O2443" t="n">
        <v>0</v>
      </c>
      <c r="P2443" t="n">
        <v>0</v>
      </c>
      <c r="Q2443" t="n">
        <v>0</v>
      </c>
      <c r="R2443" t="inlineStr">
        <is>
          <t>Riesgo bajo stock</t>
        </is>
      </c>
    </row>
    <row r="2444">
      <c r="A2444" t="inlineStr">
        <is>
          <t>SABMEDA51TXS</t>
        </is>
      </c>
      <c r="B2444" t="inlineStr">
        <is>
          <t>SABRI SPORT DAMA</t>
        </is>
      </c>
      <c r="C2444" t="inlineStr">
        <is>
          <t>Manufactura / Dama / P. Superiores</t>
        </is>
      </c>
      <c r="D2444" t="n">
        <v>85.03252853000001</v>
      </c>
      <c r="E2444" t="n">
        <v>2.081873257701631e-05</v>
      </c>
      <c r="F2444" t="n">
        <v>0.9910651984723371</v>
      </c>
      <c r="G2444" t="inlineStr">
        <is>
          <t>C</t>
        </is>
      </c>
      <c r="H2444" t="n">
        <v>0</v>
      </c>
      <c r="I2444" t="n">
        <v>4.51</v>
      </c>
      <c r="J2444" t="n">
        <v>0</v>
      </c>
      <c r="K2444" t="n">
        <v>0.2</v>
      </c>
      <c r="L2444" t="n">
        <v>0</v>
      </c>
      <c r="M2444" t="n">
        <v>4</v>
      </c>
      <c r="N2444" t="n">
        <v>0.8</v>
      </c>
      <c r="O2444" t="n">
        <v>0</v>
      </c>
      <c r="P2444" t="n">
        <v>0</v>
      </c>
      <c r="Q2444" t="n">
        <v>0</v>
      </c>
      <c r="R2444" t="inlineStr">
        <is>
          <t>Riesgo bajo stock</t>
        </is>
      </c>
    </row>
    <row r="2445">
      <c r="A2445" t="inlineStr">
        <is>
          <t>CCBHMDA03TXL</t>
        </is>
      </c>
      <c r="B2445" t="inlineStr">
        <is>
          <t>CLUB CLASICA DAMA</t>
        </is>
      </c>
      <c r="C2445" t="inlineStr">
        <is>
          <t>Manufactura / Dama / P. Superiores</t>
        </is>
      </c>
      <c r="D2445" t="n">
        <v>85</v>
      </c>
      <c r="E2445" t="n">
        <v>2.081076853338618e-05</v>
      </c>
      <c r="F2445" t="n">
        <v>0.9911068200094039</v>
      </c>
      <c r="G2445" t="inlineStr">
        <is>
          <t>C</t>
        </is>
      </c>
      <c r="H2445" t="n">
        <v>7</v>
      </c>
      <c r="I2445" t="n">
        <v>1</v>
      </c>
      <c r="J2445" t="n">
        <v>7</v>
      </c>
      <c r="K2445" t="n">
        <v>0.2</v>
      </c>
      <c r="L2445" t="n">
        <v>35</v>
      </c>
      <c r="M2445" t="n">
        <v>4</v>
      </c>
      <c r="N2445" t="n">
        <v>0.8</v>
      </c>
      <c r="O2445" t="n">
        <v>6.2</v>
      </c>
      <c r="P2445" t="n">
        <v>6.2</v>
      </c>
      <c r="Q2445" t="n">
        <v>0.8857142857142858</v>
      </c>
      <c r="R2445" t="inlineStr">
        <is>
          <t>Sobrestock crítico</t>
        </is>
      </c>
    </row>
    <row r="2446">
      <c r="A2446" t="inlineStr">
        <is>
          <t>CCBHMDA151TL</t>
        </is>
      </c>
      <c r="B2446" t="inlineStr">
        <is>
          <t>CLUB CLASICA DAMA</t>
        </is>
      </c>
      <c r="C2446" t="inlineStr">
        <is>
          <t>Manufactura / Dama / P. Superiores</t>
        </is>
      </c>
      <c r="D2446" t="n">
        <v>85</v>
      </c>
      <c r="E2446" t="n">
        <v>2.081076853338618e-05</v>
      </c>
      <c r="F2446" t="n">
        <v>0.9911068200094039</v>
      </c>
      <c r="G2446" t="inlineStr">
        <is>
          <t>C</t>
        </is>
      </c>
      <c r="H2446" t="n">
        <v>15</v>
      </c>
      <c r="I2446" t="n">
        <v>1</v>
      </c>
      <c r="J2446" t="n">
        <v>15</v>
      </c>
      <c r="K2446" t="n">
        <v>0.3</v>
      </c>
      <c r="L2446" t="n">
        <v>50</v>
      </c>
      <c r="M2446" t="n">
        <v>4</v>
      </c>
      <c r="N2446" t="n">
        <v>1.2</v>
      </c>
      <c r="O2446" t="n">
        <v>13.8</v>
      </c>
      <c r="P2446" t="n">
        <v>13.8</v>
      </c>
      <c r="Q2446" t="n">
        <v>0.92</v>
      </c>
      <c r="R2446" t="inlineStr">
        <is>
          <t>Sobrestock crítico</t>
        </is>
      </c>
    </row>
    <row r="2447">
      <c r="A2447" t="inlineStr">
        <is>
          <t>DALSTKI30T12</t>
        </is>
      </c>
      <c r="B2447" t="inlineStr">
        <is>
          <t>CLASICA DAILY 2.0 KIDS</t>
        </is>
      </c>
      <c r="C2447" t="inlineStr">
        <is>
          <t>Manufactura / Kids / P. Superiores</t>
        </is>
      </c>
      <c r="D2447" t="n">
        <v>84.66369850000001</v>
      </c>
      <c r="E2447" t="n">
        <v>2.072843097251641e-05</v>
      </c>
      <c r="F2447" t="n">
        <v>0.9911275484403763</v>
      </c>
      <c r="G2447" t="inlineStr">
        <is>
          <t>C</t>
        </is>
      </c>
      <c r="H2447" t="n">
        <v>7</v>
      </c>
      <c r="I2447" t="n">
        <v>8.699999999999999</v>
      </c>
      <c r="J2447" t="n">
        <v>60.89999999999999</v>
      </c>
      <c r="K2447" t="n">
        <v>0.3</v>
      </c>
      <c r="L2447" t="n">
        <v>23.33333333333334</v>
      </c>
      <c r="M2447" t="n">
        <v>4</v>
      </c>
      <c r="N2447" t="n">
        <v>1.2</v>
      </c>
      <c r="O2447" t="n">
        <v>5.8</v>
      </c>
      <c r="P2447" t="n">
        <v>50.45999999999999</v>
      </c>
      <c r="Q2447" t="n">
        <v>0.8285714285714286</v>
      </c>
      <c r="R2447" t="inlineStr">
        <is>
          <t>Sobrestock crítico</t>
        </is>
      </c>
    </row>
    <row r="2448">
      <c r="A2448" t="inlineStr">
        <is>
          <t>CLMSUCA151TXL</t>
        </is>
      </c>
      <c r="B2448" t="inlineStr">
        <is>
          <t>CLASICA MOTION CAB</t>
        </is>
      </c>
      <c r="C2448" t="inlineStr">
        <is>
          <t>Manufactura / Caballero / P. Superiores</t>
        </is>
      </c>
      <c r="D2448" t="n">
        <v>84.59755613999999</v>
      </c>
      <c r="E2448" t="n">
        <v>2.071223716846685e-05</v>
      </c>
      <c r="F2448" t="n">
        <v>0.9911482606775448</v>
      </c>
      <c r="G2448" t="inlineStr">
        <is>
          <t>C</t>
        </is>
      </c>
      <c r="H2448" t="n">
        <v>0</v>
      </c>
      <c r="I2448" t="n">
        <v>12.26</v>
      </c>
      <c r="J2448" t="n">
        <v>0</v>
      </c>
      <c r="K2448" t="n">
        <v>0.2</v>
      </c>
      <c r="L2448" t="n">
        <v>0</v>
      </c>
      <c r="M2448" t="n">
        <v>4</v>
      </c>
      <c r="N2448" t="n">
        <v>0.8</v>
      </c>
      <c r="O2448" t="n">
        <v>0</v>
      </c>
      <c r="P2448" t="n">
        <v>0</v>
      </c>
      <c r="Q2448" t="n">
        <v>0</v>
      </c>
      <c r="R2448" t="inlineStr">
        <is>
          <t>Sin rotación</t>
        </is>
      </c>
    </row>
    <row r="2449">
      <c r="A2449" t="inlineStr">
        <is>
          <t>CLAMIDA11TM</t>
        </is>
      </c>
      <c r="B2449" t="inlineStr">
        <is>
          <t>CLASICA ORIGINAL DAMA</t>
        </is>
      </c>
      <c r="C2449" t="inlineStr">
        <is>
          <t>Manufactura / Dama / P. Superiores</t>
        </is>
      </c>
      <c r="D2449" t="n">
        <v>84.43835122</v>
      </c>
      <c r="E2449" t="n">
        <v>2.067325861859043e-05</v>
      </c>
      <c r="F2449" t="n">
        <v>0.9911689339361633</v>
      </c>
      <c r="G2449" t="inlineStr">
        <is>
          <t>C</t>
        </is>
      </c>
      <c r="H2449" t="n">
        <v>0</v>
      </c>
      <c r="I2449" t="n">
        <v>3.923227589</v>
      </c>
      <c r="J2449" t="n">
        <v>0</v>
      </c>
      <c r="K2449" t="n">
        <v>0.3</v>
      </c>
      <c r="L2449" t="n">
        <v>0</v>
      </c>
      <c r="M2449" t="n">
        <v>4</v>
      </c>
      <c r="N2449" t="n">
        <v>1.2</v>
      </c>
      <c r="O2449" t="n">
        <v>0</v>
      </c>
      <c r="P2449" t="n">
        <v>0</v>
      </c>
      <c r="Q2449" t="n">
        <v>0</v>
      </c>
      <c r="R2449" t="inlineStr">
        <is>
          <t>Riesgo bajo stock</t>
        </is>
      </c>
    </row>
    <row r="2450">
      <c r="A2450" t="inlineStr">
        <is>
          <t>VIVMIDA30TS</t>
        </is>
      </c>
      <c r="B2450" t="inlineStr">
        <is>
          <t>VIVI ORIGINAL DAMA</t>
        </is>
      </c>
      <c r="C2450" t="inlineStr">
        <is>
          <t>Manufactura / Dama / P. Superiores</t>
        </is>
      </c>
      <c r="D2450" t="n">
        <v>84.1582736</v>
      </c>
      <c r="E2450" t="n">
        <v>2.060468649481158e-05</v>
      </c>
      <c r="F2450" t="n">
        <v>0.9911895386226581</v>
      </c>
      <c r="G2450" t="inlineStr">
        <is>
          <t>C</t>
        </is>
      </c>
      <c r="H2450" t="n">
        <v>0</v>
      </c>
      <c r="I2450" t="n">
        <v>4.303181706</v>
      </c>
      <c r="J2450" t="n">
        <v>0</v>
      </c>
      <c r="K2450" t="n">
        <v>0.2</v>
      </c>
      <c r="L2450" t="n">
        <v>0</v>
      </c>
      <c r="M2450" t="n">
        <v>4</v>
      </c>
      <c r="N2450" t="n">
        <v>0.8</v>
      </c>
      <c r="O2450" t="n">
        <v>0</v>
      </c>
      <c r="P2450" t="n">
        <v>0</v>
      </c>
      <c r="Q2450" t="n">
        <v>0</v>
      </c>
      <c r="R2450" t="inlineStr">
        <is>
          <t>Riesgo bajo stock</t>
        </is>
      </c>
    </row>
    <row r="2451">
      <c r="A2451" t="inlineStr">
        <is>
          <t>VIVMIDA66TL</t>
        </is>
      </c>
      <c r="B2451" t="inlineStr">
        <is>
          <t>VIVI ORIGINAL DAMA</t>
        </is>
      </c>
      <c r="C2451" t="inlineStr">
        <is>
          <t>Manufactura / Dama / P. Superiores</t>
        </is>
      </c>
      <c r="D2451" t="n">
        <v>83.87565825</v>
      </c>
      <c r="E2451" t="n">
        <v>2.053549305207238e-05</v>
      </c>
      <c r="F2451" t="n">
        <v>0.9912100741157103</v>
      </c>
      <c r="G2451" t="inlineStr">
        <is>
          <t>C</t>
        </is>
      </c>
      <c r="H2451" t="n">
        <v>14</v>
      </c>
      <c r="I2451" t="n">
        <v>4.303181706</v>
      </c>
      <c r="J2451" t="n">
        <v>60.244543884</v>
      </c>
      <c r="K2451" t="n">
        <v>0.3</v>
      </c>
      <c r="L2451" t="n">
        <v>46.66666666666667</v>
      </c>
      <c r="M2451" t="n">
        <v>4</v>
      </c>
      <c r="N2451" t="n">
        <v>1.2</v>
      </c>
      <c r="O2451" t="n">
        <v>12.8</v>
      </c>
      <c r="P2451" t="n">
        <v>55.08072583680001</v>
      </c>
      <c r="Q2451" t="n">
        <v>0.9142857142857144</v>
      </c>
      <c r="R2451" t="inlineStr">
        <is>
          <t>Sin rotación</t>
        </is>
      </c>
    </row>
    <row r="2452">
      <c r="A2452" t="inlineStr">
        <is>
          <t>CGCSCA16TS</t>
        </is>
      </c>
      <c r="B2452" t="inlineStr">
        <is>
          <t>CLASICA GC SUBLIMADO CAB</t>
        </is>
      </c>
      <c r="C2452" t="inlineStr">
        <is>
          <t>Manufactura / Caballero / P. Superiores</t>
        </is>
      </c>
      <c r="D2452" t="n">
        <v>83.80574598000027</v>
      </c>
      <c r="E2452" t="n">
        <v>2.051837625126523e-05</v>
      </c>
      <c r="F2452" t="n">
        <v>0.9912305924919614</v>
      </c>
      <c r="G2452" t="inlineStr">
        <is>
          <t>C</t>
        </is>
      </c>
      <c r="H2452" t="n">
        <v>0</v>
      </c>
      <c r="I2452" t="n">
        <v>0</v>
      </c>
      <c r="J2452" t="n">
        <v>0</v>
      </c>
      <c r="K2452" t="n">
        <v>0.6</v>
      </c>
      <c r="L2452" t="n">
        <v>0</v>
      </c>
      <c r="M2452" t="n">
        <v>4</v>
      </c>
      <c r="N2452" t="n">
        <v>2.4</v>
      </c>
      <c r="O2452" t="n">
        <v>0</v>
      </c>
      <c r="P2452" t="n">
        <v>0</v>
      </c>
      <c r="Q2452" t="n">
        <v>0</v>
      </c>
      <c r="R2452" t="inlineStr">
        <is>
          <t>Riesgo bajo stock</t>
        </is>
      </c>
    </row>
    <row r="2453">
      <c r="A2453" t="inlineStr">
        <is>
          <t>DOMBFCA205TM</t>
        </is>
      </c>
      <c r="B2453" t="inlineStr">
        <is>
          <t>DOMINIC BIO MOVE CAB</t>
        </is>
      </c>
      <c r="C2453" t="inlineStr">
        <is>
          <t>Manufactura / Caballero / P. Superiores</t>
        </is>
      </c>
      <c r="D2453" t="n">
        <v>83.24807696000001</v>
      </c>
      <c r="E2453" t="n">
        <v>2.03818407113421e-05</v>
      </c>
      <c r="F2453" t="n">
        <v>0.9912509743326728</v>
      </c>
      <c r="G2453" t="inlineStr">
        <is>
          <t>C</t>
        </is>
      </c>
      <c r="H2453" t="n">
        <v>37</v>
      </c>
      <c r="I2453" t="n">
        <v>13.86</v>
      </c>
      <c r="J2453" t="n">
        <v>512.8199999999999</v>
      </c>
      <c r="K2453" t="n">
        <v>0.4</v>
      </c>
      <c r="L2453" t="n">
        <v>92.5</v>
      </c>
      <c r="M2453" t="n">
        <v>4</v>
      </c>
      <c r="N2453" t="n">
        <v>1.6</v>
      </c>
      <c r="O2453" t="n">
        <v>35.4</v>
      </c>
      <c r="P2453" t="n">
        <v>490.6439999999999</v>
      </c>
      <c r="Q2453" t="n">
        <v>0.9567567567567568</v>
      </c>
      <c r="R2453" t="inlineStr">
        <is>
          <t>Sobrestock crítico</t>
        </is>
      </c>
    </row>
    <row r="2454">
      <c r="A2454" t="inlineStr">
        <is>
          <t>DOMBFCA206T2XL</t>
        </is>
      </c>
      <c r="B2454" t="inlineStr">
        <is>
          <t>DOMINIC BIO MOVE CAB</t>
        </is>
      </c>
      <c r="C2454" t="inlineStr">
        <is>
          <t>Manufactura / Caballero / P. Superiores</t>
        </is>
      </c>
      <c r="D2454" t="n">
        <v>83.06534953000001</v>
      </c>
      <c r="E2454" t="n">
        <v>2.033710308486645e-05</v>
      </c>
      <c r="F2454" t="n">
        <v>0.9912713114357578</v>
      </c>
      <c r="G2454" t="inlineStr">
        <is>
          <t>C</t>
        </is>
      </c>
      <c r="H2454" t="n">
        <v>15</v>
      </c>
      <c r="I2454" t="n">
        <v>13.86</v>
      </c>
      <c r="J2454" t="n">
        <v>207.9</v>
      </c>
      <c r="K2454" t="n">
        <v>0.1</v>
      </c>
      <c r="L2454" t="n">
        <v>150</v>
      </c>
      <c r="M2454" t="n">
        <v>4</v>
      </c>
      <c r="N2454" t="n">
        <v>0.4</v>
      </c>
      <c r="O2454" t="n">
        <v>14.6</v>
      </c>
      <c r="P2454" t="n">
        <v>202.356</v>
      </c>
      <c r="Q2454" t="n">
        <v>0.9733333333333334</v>
      </c>
      <c r="R2454" t="inlineStr">
        <is>
          <t>Sobrestock crítico</t>
        </is>
      </c>
    </row>
    <row r="2455">
      <c r="A2455" t="inlineStr">
        <is>
          <t>SHOUNCA12TXL</t>
        </is>
      </c>
      <c r="B2455" t="inlineStr">
        <is>
          <t>SHORT PLAYA CAB</t>
        </is>
      </c>
      <c r="C2455" t="inlineStr">
        <is>
          <t>Manufactura / Caballero / P. Inferiores</t>
        </is>
      </c>
      <c r="D2455" t="n">
        <v>82.91495838</v>
      </c>
      <c r="E2455" t="n">
        <v>2.030028243295916e-05</v>
      </c>
      <c r="F2455" t="n">
        <v>0.9912916117181906</v>
      </c>
      <c r="G2455" t="inlineStr">
        <is>
          <t>C</t>
        </is>
      </c>
      <c r="H2455" t="n">
        <v>0</v>
      </c>
      <c r="I2455" t="n">
        <v>9.99</v>
      </c>
      <c r="J2455" t="n">
        <v>0</v>
      </c>
      <c r="K2455" t="n">
        <v>0.2</v>
      </c>
      <c r="L2455" t="n">
        <v>0</v>
      </c>
      <c r="M2455" t="n">
        <v>4</v>
      </c>
      <c r="N2455" t="n">
        <v>0.8</v>
      </c>
      <c r="O2455" t="n">
        <v>0</v>
      </c>
      <c r="P2455" t="n">
        <v>0</v>
      </c>
      <c r="Q2455" t="n">
        <v>0</v>
      </c>
      <c r="R2455" t="inlineStr">
        <is>
          <t>Riesgo bajo stock</t>
        </is>
      </c>
    </row>
    <row r="2456">
      <c r="A2456" t="inlineStr">
        <is>
          <t>RIOMIKI70T2</t>
        </is>
      </c>
      <c r="B2456" t="inlineStr">
        <is>
          <t>RIO ORIGINAL KIDS</t>
        </is>
      </c>
      <c r="C2456" t="inlineStr">
        <is>
          <t>Manufactura / Kids / P. Superiores</t>
        </is>
      </c>
      <c r="D2456" t="n">
        <v>82.85325306999999</v>
      </c>
      <c r="E2456" t="n">
        <v>2.028517496326868e-05</v>
      </c>
      <c r="F2456" t="n">
        <v>0.991311896893154</v>
      </c>
      <c r="G2456" t="inlineStr">
        <is>
          <t>C</t>
        </is>
      </c>
      <c r="H2456" t="n">
        <v>1</v>
      </c>
      <c r="I2456" t="n">
        <v>3.617969464</v>
      </c>
      <c r="J2456" t="n">
        <v>3.617969464</v>
      </c>
      <c r="K2456" t="n">
        <v>0.2</v>
      </c>
      <c r="L2456" t="n">
        <v>5</v>
      </c>
      <c r="M2456" t="n">
        <v>4</v>
      </c>
      <c r="N2456" t="n">
        <v>0.8</v>
      </c>
      <c r="O2456" t="n">
        <v>0.2</v>
      </c>
      <c r="P2456" t="n">
        <v>0.7235938927999999</v>
      </c>
      <c r="Q2456" t="n">
        <v>0.2</v>
      </c>
      <c r="R2456" t="inlineStr">
        <is>
          <t>Sobrestock</t>
        </is>
      </c>
    </row>
    <row r="2457">
      <c r="A2457" t="inlineStr">
        <is>
          <t>MLMMJDA14TM</t>
        </is>
      </c>
      <c r="B2457" t="inlineStr">
        <is>
          <t>MOTION LOOP MAFE DAMA</t>
        </is>
      </c>
      <c r="C2457" t="inlineStr">
        <is>
          <t>Manufactura / Dama / P. Superiores</t>
        </is>
      </c>
      <c r="D2457" t="n">
        <v>82.76000000000001</v>
      </c>
      <c r="E2457" t="n">
        <v>2.026234357438871e-05</v>
      </c>
      <c r="F2457" t="n">
        <v>0.9913321592367283</v>
      </c>
      <c r="G2457" t="inlineStr">
        <is>
          <t>C</t>
        </is>
      </c>
      <c r="H2457" t="n">
        <v>7</v>
      </c>
      <c r="I2457" t="n">
        <v>0.2661111111</v>
      </c>
      <c r="J2457" t="n">
        <v>1.8627777777</v>
      </c>
      <c r="K2457" t="n">
        <v>0.2</v>
      </c>
      <c r="L2457" t="n">
        <v>35</v>
      </c>
      <c r="M2457" t="n">
        <v>4</v>
      </c>
      <c r="N2457" t="n">
        <v>0.8</v>
      </c>
      <c r="O2457" t="n">
        <v>6.2</v>
      </c>
      <c r="P2457" t="n">
        <v>1.64988888882</v>
      </c>
      <c r="Q2457" t="n">
        <v>0.8857142857142857</v>
      </c>
      <c r="R2457" t="inlineStr">
        <is>
          <t>Sobrestock crítico</t>
        </is>
      </c>
    </row>
    <row r="2458">
      <c r="A2458" t="inlineStr">
        <is>
          <t>VIVMIDA50TM</t>
        </is>
      </c>
      <c r="B2458" t="inlineStr">
        <is>
          <t>VIVI ORIGINAL DAMA</t>
        </is>
      </c>
      <c r="C2458" t="inlineStr">
        <is>
          <t>Manufactura / Dama / P. Superiores</t>
        </is>
      </c>
      <c r="D2458" t="n">
        <v>82.65041384</v>
      </c>
      <c r="E2458" t="n">
        <v>2.023551331309197e-05</v>
      </c>
      <c r="F2458" t="n">
        <v>0.9913523947500414</v>
      </c>
      <c r="G2458" t="inlineStr">
        <is>
          <t>C</t>
        </is>
      </c>
      <c r="H2458" t="n">
        <v>2</v>
      </c>
      <c r="I2458" t="n">
        <v>4.303181706</v>
      </c>
      <c r="J2458" t="n">
        <v>8.606363412</v>
      </c>
      <c r="K2458" t="n">
        <v>0.3</v>
      </c>
      <c r="L2458" t="n">
        <v>6.666666666666667</v>
      </c>
      <c r="M2458" t="n">
        <v>4</v>
      </c>
      <c r="N2458" t="n">
        <v>1.2</v>
      </c>
      <c r="O2458" t="n">
        <v>0.8</v>
      </c>
      <c r="P2458" t="n">
        <v>3.4425453648</v>
      </c>
      <c r="Q2458" t="n">
        <v>0.4</v>
      </c>
      <c r="R2458" t="inlineStr">
        <is>
          <t>Sobrestock crítico</t>
        </is>
      </c>
    </row>
    <row r="2459">
      <c r="A2459" t="inlineStr">
        <is>
          <t>MARMIKI04T4</t>
        </is>
      </c>
      <c r="B2459" t="inlineStr">
        <is>
          <t>MAR ORIGINAL KIDS</t>
        </is>
      </c>
      <c r="C2459" t="inlineStr">
        <is>
          <t>Manufactura / Kids / P. Superiores</t>
        </is>
      </c>
      <c r="D2459" t="n">
        <v>82.51402899</v>
      </c>
      <c r="E2459" t="n">
        <v>2.020212185962361e-05</v>
      </c>
      <c r="F2459" t="n">
        <v>0.991372596871901</v>
      </c>
      <c r="G2459" t="inlineStr">
        <is>
          <t>C</t>
        </is>
      </c>
      <c r="H2459" t="n">
        <v>7</v>
      </c>
      <c r="I2459" t="n">
        <v>3.168013332</v>
      </c>
      <c r="J2459" t="n">
        <v>22.176093324</v>
      </c>
      <c r="K2459" t="n">
        <v>0.3</v>
      </c>
      <c r="L2459" t="n">
        <v>23.33333333333334</v>
      </c>
      <c r="M2459" t="n">
        <v>4</v>
      </c>
      <c r="N2459" t="n">
        <v>1.2</v>
      </c>
      <c r="O2459" t="n">
        <v>5.8</v>
      </c>
      <c r="P2459" t="n">
        <v>18.3744773256</v>
      </c>
      <c r="Q2459" t="n">
        <v>0.8285714285714286</v>
      </c>
      <c r="R2459" t="inlineStr">
        <is>
          <t>Sobrestock crítico</t>
        </is>
      </c>
    </row>
    <row r="2460">
      <c r="A2460" t="inlineStr">
        <is>
          <t>SABSTDA30TXL</t>
        </is>
      </c>
      <c r="B2460" t="inlineStr">
        <is>
          <t>RETRO VZLA DAMA</t>
        </is>
      </c>
      <c r="C2460" t="inlineStr">
        <is>
          <t>Manufactura / Dama / P. Superiores</t>
        </is>
      </c>
      <c r="D2460" t="n">
        <v>82.35206310999999</v>
      </c>
      <c r="E2460" t="n">
        <v>2.0162467336812e-05</v>
      </c>
      <c r="F2460" t="n">
        <v>0.9913927593392378</v>
      </c>
      <c r="G2460" t="inlineStr">
        <is>
          <t>C</t>
        </is>
      </c>
      <c r="H2460" t="n">
        <v>0</v>
      </c>
      <c r="I2460" t="n">
        <v>11.23</v>
      </c>
      <c r="J2460" t="n">
        <v>0</v>
      </c>
      <c r="K2460" t="n">
        <v>0.2</v>
      </c>
      <c r="L2460" t="n">
        <v>0</v>
      </c>
      <c r="M2460" t="n">
        <v>4</v>
      </c>
      <c r="N2460" t="n">
        <v>0.8</v>
      </c>
      <c r="O2460" t="n">
        <v>0</v>
      </c>
      <c r="P2460" t="n">
        <v>0</v>
      </c>
      <c r="Q2460" t="n">
        <v>0</v>
      </c>
      <c r="R2460" t="inlineStr">
        <is>
          <t>Riesgo bajo stock</t>
        </is>
      </c>
    </row>
    <row r="2461">
      <c r="A2461" t="inlineStr">
        <is>
          <t>RIOMIKI05T4</t>
        </is>
      </c>
      <c r="B2461" t="inlineStr">
        <is>
          <t>RIO ORIGINAL KIDS</t>
        </is>
      </c>
      <c r="C2461" t="inlineStr">
        <is>
          <t>Manufactura / Kids / P. Superiores</t>
        </is>
      </c>
      <c r="D2461" t="n">
        <v>82.33440528</v>
      </c>
      <c r="E2461" t="n">
        <v>2.015814412489516e-05</v>
      </c>
      <c r="F2461" t="n">
        <v>0.9914129174833627</v>
      </c>
      <c r="G2461" t="inlineStr">
        <is>
          <t>C</t>
        </is>
      </c>
      <c r="H2461" t="n">
        <v>0</v>
      </c>
      <c r="I2461" t="n">
        <v>3.617969464</v>
      </c>
      <c r="J2461" t="n">
        <v>0</v>
      </c>
      <c r="K2461" t="n">
        <v>0.2</v>
      </c>
      <c r="L2461" t="n">
        <v>0</v>
      </c>
      <c r="M2461" t="n">
        <v>4</v>
      </c>
      <c r="N2461" t="n">
        <v>0.8</v>
      </c>
      <c r="O2461" t="n">
        <v>0</v>
      </c>
      <c r="P2461" t="n">
        <v>0</v>
      </c>
      <c r="Q2461" t="n">
        <v>0</v>
      </c>
      <c r="R2461" t="inlineStr">
        <is>
          <t>Sin rotación</t>
        </is>
      </c>
    </row>
    <row r="2462">
      <c r="A2462" t="inlineStr">
        <is>
          <t>MAFMIDA30TS</t>
        </is>
      </c>
      <c r="B2462" t="inlineStr">
        <is>
          <t>MAFE ORIGINAL DAMA</t>
        </is>
      </c>
      <c r="C2462" t="inlineStr">
        <is>
          <t>Manufactura / Dama / P. Superiores</t>
        </is>
      </c>
      <c r="D2462" t="n">
        <v>82.11201410000001</v>
      </c>
      <c r="E2462" t="n">
        <v>2.010369552053226e-05</v>
      </c>
      <c r="F2462" t="n">
        <v>0.9914330211788832</v>
      </c>
      <c r="G2462" t="inlineStr">
        <is>
          <t>C</t>
        </is>
      </c>
      <c r="H2462" t="n">
        <v>0</v>
      </c>
      <c r="I2462" t="n">
        <v>4.54817671</v>
      </c>
      <c r="J2462" t="n">
        <v>0</v>
      </c>
      <c r="K2462" t="n">
        <v>0.3</v>
      </c>
      <c r="L2462" t="n">
        <v>0</v>
      </c>
      <c r="M2462" t="n">
        <v>4</v>
      </c>
      <c r="N2462" t="n">
        <v>1.2</v>
      </c>
      <c r="O2462" t="n">
        <v>0</v>
      </c>
      <c r="P2462" t="n">
        <v>0</v>
      </c>
      <c r="Q2462" t="n">
        <v>0</v>
      </c>
      <c r="R2462" t="inlineStr">
        <is>
          <t>Riesgo bajo stock</t>
        </is>
      </c>
    </row>
    <row r="2463">
      <c r="A2463" t="inlineStr">
        <is>
          <t>MAYFNDA10TXL</t>
        </is>
      </c>
      <c r="B2463" t="inlineStr">
        <is>
          <t>MAYA SPORT LITE DAMA</t>
        </is>
      </c>
      <c r="C2463" t="inlineStr">
        <is>
          <t>Manufactura / Dama / P. Superiores</t>
        </is>
      </c>
      <c r="D2463" t="n">
        <v>81.67960145000001</v>
      </c>
      <c r="E2463" t="n">
        <v>1.999782681970805e-05</v>
      </c>
      <c r="F2463" t="n">
        <v>0.9914530190057029</v>
      </c>
      <c r="G2463" t="inlineStr">
        <is>
          <t>C</t>
        </is>
      </c>
      <c r="H2463" t="n">
        <v>4</v>
      </c>
      <c r="I2463" t="n">
        <v>3.87</v>
      </c>
      <c r="J2463" t="n">
        <v>15.48</v>
      </c>
      <c r="K2463" t="n">
        <v>0.2</v>
      </c>
      <c r="L2463" t="n">
        <v>20</v>
      </c>
      <c r="M2463" t="n">
        <v>4</v>
      </c>
      <c r="N2463" t="n">
        <v>0.8</v>
      </c>
      <c r="O2463" t="n">
        <v>3.2</v>
      </c>
      <c r="P2463" t="n">
        <v>12.384</v>
      </c>
      <c r="Q2463" t="n">
        <v>0.8</v>
      </c>
      <c r="R2463" t="inlineStr">
        <is>
          <t>Sin rotación</t>
        </is>
      </c>
    </row>
    <row r="2464">
      <c r="A2464" t="inlineStr">
        <is>
          <t>VIVMIDA12TM</t>
        </is>
      </c>
      <c r="B2464" t="inlineStr">
        <is>
          <t>VIVI ORIGINAL DAMA</t>
        </is>
      </c>
      <c r="C2464" t="inlineStr">
        <is>
          <t>Manufactura / Dama / P. Superiores</t>
        </is>
      </c>
      <c r="D2464" t="n">
        <v>81.65916738</v>
      </c>
      <c r="E2464" t="n">
        <v>1.999282389381434e-05</v>
      </c>
      <c r="F2464" t="n">
        <v>0.9914730118295968</v>
      </c>
      <c r="G2464" t="inlineStr">
        <is>
          <t>C</t>
        </is>
      </c>
      <c r="H2464" t="n">
        <v>0</v>
      </c>
      <c r="I2464" t="n">
        <v>4.303181706</v>
      </c>
      <c r="J2464" t="n">
        <v>0</v>
      </c>
      <c r="K2464" t="n">
        <v>0.2</v>
      </c>
      <c r="L2464" t="n">
        <v>0</v>
      </c>
      <c r="M2464" t="n">
        <v>4</v>
      </c>
      <c r="N2464" t="n">
        <v>0.8</v>
      </c>
      <c r="O2464" t="n">
        <v>0</v>
      </c>
      <c r="P2464" t="n">
        <v>0</v>
      </c>
      <c r="Q2464" t="n">
        <v>0</v>
      </c>
      <c r="R2464" t="inlineStr">
        <is>
          <t>Riesgo bajo stock</t>
        </is>
      </c>
    </row>
    <row r="2465">
      <c r="A2465" t="inlineStr">
        <is>
          <t>SABSTDA30TS</t>
        </is>
      </c>
      <c r="B2465" t="inlineStr">
        <is>
          <t>RETRO VZLA DAMA</t>
        </is>
      </c>
      <c r="C2465" t="inlineStr">
        <is>
          <t>Manufactura / Dama / P. Superiores</t>
        </is>
      </c>
      <c r="D2465" t="n">
        <v>81.48228544</v>
      </c>
      <c r="E2465" t="n">
        <v>1.994951743368403e-05</v>
      </c>
      <c r="F2465" t="n">
        <v>0.9914929613470305</v>
      </c>
      <c r="G2465" t="inlineStr">
        <is>
          <t>C</t>
        </is>
      </c>
      <c r="H2465" t="n">
        <v>0</v>
      </c>
      <c r="I2465" t="n">
        <v>11.23</v>
      </c>
      <c r="J2465" t="n">
        <v>0</v>
      </c>
      <c r="K2465" t="n">
        <v>0.2</v>
      </c>
      <c r="L2465" t="n">
        <v>0</v>
      </c>
      <c r="M2465" t="n">
        <v>4</v>
      </c>
      <c r="N2465" t="n">
        <v>0.8</v>
      </c>
      <c r="O2465" t="n">
        <v>0</v>
      </c>
      <c r="P2465" t="n">
        <v>0</v>
      </c>
      <c r="Q2465" t="n">
        <v>0</v>
      </c>
      <c r="R2465" t="inlineStr">
        <is>
          <t>Sin rotación</t>
        </is>
      </c>
    </row>
    <row r="2466">
      <c r="A2466" t="inlineStr">
        <is>
          <t>SHOSUKI104T2</t>
        </is>
      </c>
      <c r="B2466" t="inlineStr">
        <is>
          <t>SHORT PLAYA ESTAMPADO KIDS</t>
        </is>
      </c>
      <c r="C2466" t="inlineStr">
        <is>
          <t>Manufactura / Kids / P. Superiores</t>
        </is>
      </c>
      <c r="D2466" t="n">
        <v>81.41797438</v>
      </c>
      <c r="E2466" t="n">
        <v>1.993377199152172e-05</v>
      </c>
      <c r="F2466" t="n">
        <v>0.991512895119022</v>
      </c>
      <c r="G2466" t="inlineStr">
        <is>
          <t>C</t>
        </is>
      </c>
      <c r="H2466" t="n">
        <v>5</v>
      </c>
      <c r="I2466" t="n">
        <v>7.21</v>
      </c>
      <c r="J2466" t="n">
        <v>36.05</v>
      </c>
      <c r="K2466" t="n">
        <v>0.2</v>
      </c>
      <c r="L2466" t="n">
        <v>25</v>
      </c>
      <c r="M2466" t="n">
        <v>4</v>
      </c>
      <c r="N2466" t="n">
        <v>0.8</v>
      </c>
      <c r="O2466" t="n">
        <v>4.2</v>
      </c>
      <c r="P2466" t="n">
        <v>30.282</v>
      </c>
      <c r="Q2466" t="n">
        <v>0.8400000000000001</v>
      </c>
      <c r="R2466" t="inlineStr">
        <is>
          <t>Sobrestock crítico</t>
        </is>
      </c>
    </row>
    <row r="2467">
      <c r="A2467" t="inlineStr">
        <is>
          <t>SABSTDA43TM</t>
        </is>
      </c>
      <c r="B2467" t="inlineStr">
        <is>
          <t>RETRO VZLA DAMA</t>
        </is>
      </c>
      <c r="C2467" t="inlineStr">
        <is>
          <t>Manufactura / Dama / P. Superiores</t>
        </is>
      </c>
      <c r="D2467" t="n">
        <v>81.33353255</v>
      </c>
      <c r="E2467" t="n">
        <v>1.991309788118447e-05</v>
      </c>
      <c r="F2467" t="n">
        <v>0.9915328082169031</v>
      </c>
      <c r="G2467" t="inlineStr">
        <is>
          <t>C</t>
        </is>
      </c>
      <c r="H2467" t="n">
        <v>0</v>
      </c>
      <c r="I2467" t="n">
        <v>11.23</v>
      </c>
      <c r="J2467" t="n">
        <v>0</v>
      </c>
      <c r="K2467" t="n">
        <v>0.2</v>
      </c>
      <c r="L2467" t="n">
        <v>0</v>
      </c>
      <c r="M2467" t="n">
        <v>4</v>
      </c>
      <c r="N2467" t="n">
        <v>0.8</v>
      </c>
      <c r="O2467" t="n">
        <v>0</v>
      </c>
      <c r="P2467" t="n">
        <v>0</v>
      </c>
      <c r="Q2467" t="n">
        <v>0</v>
      </c>
      <c r="R2467" t="inlineStr">
        <is>
          <t>Riesgo bajo stock</t>
        </is>
      </c>
    </row>
    <row r="2468">
      <c r="A2468" t="inlineStr">
        <is>
          <t>RIOMIKI14T6</t>
        </is>
      </c>
      <c r="B2468" t="inlineStr">
        <is>
          <t>RIO ORIGINAL KIDS</t>
        </is>
      </c>
      <c r="C2468" t="inlineStr">
        <is>
          <t>Manufactura / Kids / P. Superiores</t>
        </is>
      </c>
      <c r="D2468" t="n">
        <v>81.31437874</v>
      </c>
      <c r="E2468" t="n">
        <v>1.990840840463809e-05</v>
      </c>
      <c r="F2468" t="n">
        <v>0.9915527166253079</v>
      </c>
      <c r="G2468" t="inlineStr">
        <is>
          <t>C</t>
        </is>
      </c>
      <c r="H2468" t="n">
        <v>0</v>
      </c>
      <c r="I2468" t="n">
        <v>3.617969464</v>
      </c>
      <c r="J2468" t="n">
        <v>0</v>
      </c>
      <c r="K2468" t="n">
        <v>0.2</v>
      </c>
      <c r="L2468" t="n">
        <v>0</v>
      </c>
      <c r="M2468" t="n">
        <v>4</v>
      </c>
      <c r="N2468" t="n">
        <v>0.8</v>
      </c>
      <c r="O2468" t="n">
        <v>0</v>
      </c>
      <c r="P2468" t="n">
        <v>0</v>
      </c>
      <c r="Q2468" t="n">
        <v>0</v>
      </c>
      <c r="R2468" t="inlineStr">
        <is>
          <t>Sin rotación</t>
        </is>
      </c>
    </row>
    <row r="2469">
      <c r="A2469" t="inlineStr">
        <is>
          <t>DALSTKI43T14</t>
        </is>
      </c>
      <c r="B2469" t="inlineStr">
        <is>
          <t>CLASICA DAILY 2.0 KIDS</t>
        </is>
      </c>
      <c r="C2469" t="inlineStr">
        <is>
          <t>Manufactura / Kids / P. Superiores</t>
        </is>
      </c>
      <c r="D2469" t="n">
        <v>81.13268840000001</v>
      </c>
      <c r="E2469" t="n">
        <v>1.986392469157348e-05</v>
      </c>
      <c r="F2469" t="n">
        <v>0.9915725805499994</v>
      </c>
      <c r="G2469" t="inlineStr">
        <is>
          <t>C</t>
        </is>
      </c>
      <c r="H2469" t="n">
        <v>2</v>
      </c>
      <c r="I2469" t="n">
        <v>8.699999999999999</v>
      </c>
      <c r="J2469" t="n">
        <v>17.4</v>
      </c>
      <c r="K2469" t="n">
        <v>0.3</v>
      </c>
      <c r="L2469" t="n">
        <v>6.666666666666667</v>
      </c>
      <c r="M2469" t="n">
        <v>4</v>
      </c>
      <c r="N2469" t="n">
        <v>1.2</v>
      </c>
      <c r="O2469" t="n">
        <v>0.8</v>
      </c>
      <c r="P2469" t="n">
        <v>6.96</v>
      </c>
      <c r="Q2469" t="n">
        <v>0.4</v>
      </c>
      <c r="R2469" t="inlineStr">
        <is>
          <t>Sin rotación</t>
        </is>
      </c>
    </row>
    <row r="2470">
      <c r="A2470" t="inlineStr">
        <is>
          <t>SABMEDA13TL</t>
        </is>
      </c>
      <c r="B2470" t="inlineStr">
        <is>
          <t>SABRI SPORT DAMA</t>
        </is>
      </c>
      <c r="C2470" t="inlineStr">
        <is>
          <t>Manufactura / Dama / P. Superiores</t>
        </is>
      </c>
      <c r="D2470" t="n">
        <v>81.09061951</v>
      </c>
      <c r="E2470" t="n">
        <v>1.985362485707646e-05</v>
      </c>
      <c r="F2470" t="n">
        <v>0.9915924341748564</v>
      </c>
      <c r="G2470" t="inlineStr">
        <is>
          <t>C</t>
        </is>
      </c>
      <c r="H2470" t="n">
        <v>1</v>
      </c>
      <c r="I2470" t="n">
        <v>4.51</v>
      </c>
      <c r="J2470" t="n">
        <v>4.51</v>
      </c>
      <c r="K2470" t="n">
        <v>0.4</v>
      </c>
      <c r="L2470" t="n">
        <v>2.5</v>
      </c>
      <c r="M2470" t="n">
        <v>4</v>
      </c>
      <c r="N2470" t="n">
        <v>1.6</v>
      </c>
      <c r="O2470" t="n">
        <v>0</v>
      </c>
      <c r="P2470" t="n">
        <v>0</v>
      </c>
      <c r="Q2470" t="n">
        <v>0</v>
      </c>
      <c r="R2470" t="inlineStr">
        <is>
          <t>OK</t>
        </is>
      </c>
    </row>
    <row r="2471">
      <c r="A2471" t="inlineStr">
        <is>
          <t>CLAMIDA09TXL</t>
        </is>
      </c>
      <c r="B2471" t="inlineStr">
        <is>
          <t>CLASICA ORIGINAL DAMA</t>
        </is>
      </c>
      <c r="C2471" t="inlineStr">
        <is>
          <t>Manufactura / Dama / P. Superiores</t>
        </is>
      </c>
      <c r="D2471" t="n">
        <v>80.81458112999999</v>
      </c>
      <c r="E2471" t="n">
        <v>1.978604167081162e-05</v>
      </c>
      <c r="F2471" t="n">
        <v>0.9916122202165273</v>
      </c>
      <c r="G2471" t="inlineStr">
        <is>
          <t>C</t>
        </is>
      </c>
      <c r="H2471" t="n">
        <v>0</v>
      </c>
      <c r="I2471" t="n">
        <v>3.923227589</v>
      </c>
      <c r="J2471" t="n">
        <v>0</v>
      </c>
      <c r="K2471" t="n">
        <v>0.8</v>
      </c>
      <c r="L2471" t="n">
        <v>0</v>
      </c>
      <c r="M2471" t="n">
        <v>4</v>
      </c>
      <c r="N2471" t="n">
        <v>3.2</v>
      </c>
      <c r="O2471" t="n">
        <v>0</v>
      </c>
      <c r="P2471" t="n">
        <v>0</v>
      </c>
      <c r="Q2471" t="n">
        <v>0</v>
      </c>
      <c r="R2471" t="inlineStr">
        <is>
          <t>Riesgo bajo stock</t>
        </is>
      </c>
    </row>
    <row r="2472">
      <c r="A2472" t="inlineStr">
        <is>
          <t>CLAMECA51TS</t>
        </is>
      </c>
      <c r="B2472" t="inlineStr">
        <is>
          <t>CLASICA SPORT CAB</t>
        </is>
      </c>
      <c r="C2472" t="inlineStr">
        <is>
          <t>Manufactura / Caballero / P. Superiores</t>
        </is>
      </c>
      <c r="D2472" t="n">
        <v>80.80885228</v>
      </c>
      <c r="E2472" t="n">
        <v>1.978463906173736e-05</v>
      </c>
      <c r="F2472" t="n">
        <v>0.991632004855589</v>
      </c>
      <c r="G2472" t="inlineStr">
        <is>
          <t>C</t>
        </is>
      </c>
      <c r="H2472" t="n">
        <v>0</v>
      </c>
      <c r="I2472" t="n">
        <v>10.3013454</v>
      </c>
      <c r="J2472" t="n">
        <v>0</v>
      </c>
      <c r="K2472" t="n">
        <v>0.2</v>
      </c>
      <c r="L2472" t="n">
        <v>0</v>
      </c>
      <c r="M2472" t="n">
        <v>4</v>
      </c>
      <c r="N2472" t="n">
        <v>0.8</v>
      </c>
      <c r="O2472" t="n">
        <v>0</v>
      </c>
      <c r="P2472" t="n">
        <v>0</v>
      </c>
      <c r="Q2472" t="n">
        <v>0</v>
      </c>
      <c r="R2472" t="inlineStr">
        <is>
          <t>Sin rotación</t>
        </is>
      </c>
    </row>
    <row r="2473">
      <c r="A2473" t="inlineStr">
        <is>
          <t>SABSTDA43TS</t>
        </is>
      </c>
      <c r="B2473" t="inlineStr">
        <is>
          <t>RETRO VZLA DAMA</t>
        </is>
      </c>
      <c r="C2473" t="inlineStr">
        <is>
          <t>Manufactura / Dama / P. Superiores</t>
        </is>
      </c>
      <c r="D2473" t="n">
        <v>80.44144817</v>
      </c>
      <c r="E2473" t="n">
        <v>1.969468656889707e-05</v>
      </c>
      <c r="F2473" t="n">
        <v>0.9916516995421579</v>
      </c>
      <c r="G2473" t="inlineStr">
        <is>
          <t>C</t>
        </is>
      </c>
      <c r="H2473" t="n">
        <v>3</v>
      </c>
      <c r="I2473" t="n">
        <v>11.23</v>
      </c>
      <c r="J2473" t="n">
        <v>33.69</v>
      </c>
      <c r="K2473" t="n">
        <v>0.2</v>
      </c>
      <c r="L2473" t="n">
        <v>15</v>
      </c>
      <c r="M2473" t="n">
        <v>4</v>
      </c>
      <c r="N2473" t="n">
        <v>0.8</v>
      </c>
      <c r="O2473" t="n">
        <v>2.2</v>
      </c>
      <c r="P2473" t="n">
        <v>24.706</v>
      </c>
      <c r="Q2473" t="n">
        <v>0.7333333333333335</v>
      </c>
      <c r="R2473" t="inlineStr">
        <is>
          <t>Sin rotación</t>
        </is>
      </c>
    </row>
    <row r="2474">
      <c r="A2474" t="inlineStr">
        <is>
          <t>201STCA30T2XL</t>
        </is>
      </c>
      <c r="B2474" t="inlineStr">
        <is>
          <t>RETRO VZLA CAB</t>
        </is>
      </c>
      <c r="C2474" t="inlineStr">
        <is>
          <t>Manufactura / Caballero / P. Superiores</t>
        </is>
      </c>
      <c r="D2474" t="n">
        <v>80.28255358</v>
      </c>
      <c r="E2474" t="n">
        <v>1.965578399791239e-05</v>
      </c>
      <c r="F2474" t="n">
        <v>0.9916713553261558</v>
      </c>
      <c r="G2474" t="inlineStr">
        <is>
          <t>C</t>
        </is>
      </c>
      <c r="H2474" t="n">
        <v>2</v>
      </c>
      <c r="I2474" t="n">
        <v>12.9</v>
      </c>
      <c r="J2474" t="n">
        <v>25.8</v>
      </c>
      <c r="K2474" t="n">
        <v>0.2</v>
      </c>
      <c r="L2474" t="n">
        <v>10</v>
      </c>
      <c r="M2474" t="n">
        <v>4</v>
      </c>
      <c r="N2474" t="n">
        <v>0.8</v>
      </c>
      <c r="O2474" t="n">
        <v>1.2</v>
      </c>
      <c r="P2474" t="n">
        <v>15.48</v>
      </c>
      <c r="Q2474" t="n">
        <v>0.6</v>
      </c>
      <c r="R2474" t="inlineStr">
        <is>
          <t>Sobrestock crítico</t>
        </is>
      </c>
    </row>
    <row r="2475">
      <c r="A2475" t="inlineStr">
        <is>
          <t>SHOUNKI57T1</t>
        </is>
      </c>
      <c r="B2475" t="inlineStr">
        <is>
          <t>SHORT PLAYA KIDS</t>
        </is>
      </c>
      <c r="C2475" t="inlineStr">
        <is>
          <t>Manufactura / Kids / P. Inferiores</t>
        </is>
      </c>
      <c r="D2475" t="n">
        <v>80.25858579</v>
      </c>
      <c r="E2475" t="n">
        <v>1.964991590226596e-05</v>
      </c>
      <c r="F2475" t="n">
        <v>0.991691005242058</v>
      </c>
      <c r="G2475" t="inlineStr">
        <is>
          <t>C</t>
        </is>
      </c>
      <c r="H2475" t="n">
        <v>21</v>
      </c>
      <c r="I2475" t="n">
        <v>6.09</v>
      </c>
      <c r="J2475" t="n">
        <v>127.89</v>
      </c>
      <c r="K2475" t="n">
        <v>0.2</v>
      </c>
      <c r="L2475" t="n">
        <v>105</v>
      </c>
      <c r="M2475" t="n">
        <v>4</v>
      </c>
      <c r="N2475" t="n">
        <v>0.8</v>
      </c>
      <c r="O2475" t="n">
        <v>20.2</v>
      </c>
      <c r="P2475" t="n">
        <v>123.018</v>
      </c>
      <c r="Q2475" t="n">
        <v>0.9619047619047618</v>
      </c>
      <c r="R2475" t="inlineStr">
        <is>
          <t>Sin rotación</t>
        </is>
      </c>
    </row>
    <row r="2476">
      <c r="A2476" t="inlineStr">
        <is>
          <t>SHOUNCA33T2XL</t>
        </is>
      </c>
      <c r="B2476" t="inlineStr">
        <is>
          <t>SHORT PLAYA CAB</t>
        </is>
      </c>
      <c r="C2476" t="inlineStr">
        <is>
          <t>Manufactura / Caballero / P. Inferiores</t>
        </is>
      </c>
      <c r="D2476" t="n">
        <v>80.18964263000001</v>
      </c>
      <c r="E2476" t="n">
        <v>1.963303637115161e-05</v>
      </c>
      <c r="F2476" t="n">
        <v>0.9917106382784292</v>
      </c>
      <c r="G2476" t="inlineStr">
        <is>
          <t>C</t>
        </is>
      </c>
      <c r="H2476" t="n">
        <v>0</v>
      </c>
      <c r="I2476" t="n">
        <v>9.99</v>
      </c>
      <c r="J2476" t="n">
        <v>0</v>
      </c>
      <c r="K2476" t="n">
        <v>0.3</v>
      </c>
      <c r="L2476" t="n">
        <v>0</v>
      </c>
      <c r="M2476" t="n">
        <v>4</v>
      </c>
      <c r="N2476" t="n">
        <v>1.2</v>
      </c>
      <c r="O2476" t="n">
        <v>0</v>
      </c>
      <c r="P2476" t="n">
        <v>0</v>
      </c>
      <c r="Q2476" t="n">
        <v>0</v>
      </c>
      <c r="R2476" t="inlineStr">
        <is>
          <t>Sin rotación</t>
        </is>
      </c>
    </row>
    <row r="2477">
      <c r="A2477" t="inlineStr">
        <is>
          <t>LMOFIDA10TXS</t>
        </is>
      </c>
      <c r="B2477" t="inlineStr">
        <is>
          <t>LEGGING MOVA</t>
        </is>
      </c>
      <c r="C2477" t="inlineStr">
        <is>
          <t>Manufactura / Dama / P. Inferiores</t>
        </is>
      </c>
      <c r="D2477" t="n">
        <v>80</v>
      </c>
      <c r="E2477" t="n">
        <v>1.958660567848111e-05</v>
      </c>
      <c r="F2477" t="n">
        <v>0.9917302248841077</v>
      </c>
      <c r="G2477" t="inlineStr">
        <is>
          <t>C</t>
        </is>
      </c>
      <c r="H2477" t="n">
        <v>27</v>
      </c>
      <c r="I2477" t="n">
        <v>17.7</v>
      </c>
      <c r="J2477" t="n">
        <v>477.9</v>
      </c>
      <c r="K2477" t="n">
        <v>0.2</v>
      </c>
      <c r="L2477" t="n">
        <v>135</v>
      </c>
      <c r="M2477" t="n">
        <v>4</v>
      </c>
      <c r="N2477" t="n">
        <v>0.8</v>
      </c>
      <c r="O2477" t="n">
        <v>26.2</v>
      </c>
      <c r="P2477" t="n">
        <v>463.74</v>
      </c>
      <c r="Q2477" t="n">
        <v>0.9703703703703703</v>
      </c>
      <c r="R2477" t="inlineStr">
        <is>
          <t>Sobrestock crítico</t>
        </is>
      </c>
    </row>
    <row r="2478">
      <c r="A2478" t="inlineStr">
        <is>
          <t>CLAMEDA13TXS</t>
        </is>
      </c>
      <c r="B2478" t="inlineStr">
        <is>
          <t>CLÁSICA SPORT DAMA</t>
        </is>
      </c>
      <c r="C2478" t="inlineStr">
        <is>
          <t>Manufactura / Dama / P. Superiores</t>
        </is>
      </c>
      <c r="D2478" t="n">
        <v>79.96960404000001</v>
      </c>
      <c r="E2478" t="n">
        <v>1.957916375744687e-05</v>
      </c>
      <c r="F2478" t="n">
        <v>0.9917498040478652</v>
      </c>
      <c r="G2478" t="inlineStr">
        <is>
          <t>C</t>
        </is>
      </c>
      <c r="H2478" t="n">
        <v>6</v>
      </c>
      <c r="I2478" t="n">
        <v>6.536105769</v>
      </c>
      <c r="J2478" t="n">
        <v>39.216634614</v>
      </c>
      <c r="K2478" t="n">
        <v>0.2</v>
      </c>
      <c r="L2478" t="n">
        <v>30</v>
      </c>
      <c r="M2478" t="n">
        <v>4</v>
      </c>
      <c r="N2478" t="n">
        <v>0.8</v>
      </c>
      <c r="O2478" t="n">
        <v>5.2</v>
      </c>
      <c r="P2478" t="n">
        <v>33.9877499988</v>
      </c>
      <c r="Q2478" t="n">
        <v>0.8666666666666666</v>
      </c>
      <c r="R2478" t="inlineStr">
        <is>
          <t>Sin rotación</t>
        </is>
      </c>
    </row>
    <row r="2479">
      <c r="A2479" t="inlineStr">
        <is>
          <t>RIOMIKI39T12</t>
        </is>
      </c>
      <c r="B2479" t="inlineStr">
        <is>
          <t>RIO ORIGINAL KIDS</t>
        </is>
      </c>
      <c r="C2479" t="inlineStr">
        <is>
          <t>Manufactura / Kids / P. Superiores</t>
        </is>
      </c>
      <c r="D2479" t="n">
        <v>79.73906426000001</v>
      </c>
      <c r="E2479" t="n">
        <v>1.952272011039607e-05</v>
      </c>
      <c r="F2479" t="n">
        <v>0.9917693267679756</v>
      </c>
      <c r="G2479" t="inlineStr">
        <is>
          <t>C</t>
        </is>
      </c>
      <c r="H2479" t="n">
        <v>0</v>
      </c>
      <c r="I2479" t="n">
        <v>3.617969464</v>
      </c>
      <c r="J2479" t="n">
        <v>0</v>
      </c>
      <c r="K2479" t="n">
        <v>0.2</v>
      </c>
      <c r="L2479" t="n">
        <v>0</v>
      </c>
      <c r="M2479" t="n">
        <v>4</v>
      </c>
      <c r="N2479" t="n">
        <v>0.8</v>
      </c>
      <c r="O2479" t="n">
        <v>0</v>
      </c>
      <c r="P2479" t="n">
        <v>0</v>
      </c>
      <c r="Q2479" t="n">
        <v>0</v>
      </c>
      <c r="R2479" t="inlineStr">
        <is>
          <t>Sin rotación</t>
        </is>
      </c>
    </row>
    <row r="2480">
      <c r="A2480" t="inlineStr">
        <is>
          <t>ZOEMIDA16TXL</t>
        </is>
      </c>
      <c r="B2480" t="inlineStr">
        <is>
          <t>ZOE ORIGINAL DAMA</t>
        </is>
      </c>
      <c r="C2480" t="inlineStr">
        <is>
          <t>Manufactura / Dama / P. Superiores</t>
        </is>
      </c>
      <c r="D2480" t="n">
        <v>79.67025221</v>
      </c>
      <c r="E2480" t="n">
        <v>1.95058726792801e-05</v>
      </c>
      <c r="F2480" t="n">
        <v>0.9917888326406548</v>
      </c>
      <c r="G2480" t="inlineStr">
        <is>
          <t>C</t>
        </is>
      </c>
      <c r="H2480" t="n">
        <v>1</v>
      </c>
      <c r="I2480" t="n">
        <v>4.116585696</v>
      </c>
      <c r="J2480" t="n">
        <v>4.116585696</v>
      </c>
      <c r="K2480" t="n">
        <v>0.2</v>
      </c>
      <c r="L2480" t="n">
        <v>5</v>
      </c>
      <c r="M2480" t="n">
        <v>4</v>
      </c>
      <c r="N2480" t="n">
        <v>0.8</v>
      </c>
      <c r="O2480" t="n">
        <v>0.2</v>
      </c>
      <c r="P2480" t="n">
        <v>0.8233171391999997</v>
      </c>
      <c r="Q2480" t="n">
        <v>0.2</v>
      </c>
      <c r="R2480" t="inlineStr">
        <is>
          <t>Sin rotación</t>
        </is>
      </c>
    </row>
    <row r="2481">
      <c r="A2481" t="inlineStr">
        <is>
          <t>CLAMEKI66T8</t>
        </is>
      </c>
      <c r="B2481" t="inlineStr">
        <is>
          <t>CLASICA SPORT KIDS</t>
        </is>
      </c>
      <c r="C2481" t="inlineStr">
        <is>
          <t>Manufactura / Kids / P. Superiores</t>
        </is>
      </c>
      <c r="D2481" t="n">
        <v>79.38936839</v>
      </c>
      <c r="E2481" t="n">
        <v>1.943710317148253e-05</v>
      </c>
      <c r="F2481" t="n">
        <v>0.9918082697438263</v>
      </c>
      <c r="G2481" t="inlineStr">
        <is>
          <t>C</t>
        </is>
      </c>
      <c r="H2481" t="n">
        <v>54</v>
      </c>
      <c r="I2481" t="n">
        <v>3.97</v>
      </c>
      <c r="J2481" t="n">
        <v>214.38</v>
      </c>
      <c r="K2481" t="n">
        <v>0.2</v>
      </c>
      <c r="L2481" t="n">
        <v>270</v>
      </c>
      <c r="M2481" t="n">
        <v>4</v>
      </c>
      <c r="N2481" t="n">
        <v>0.8</v>
      </c>
      <c r="O2481" t="n">
        <v>53.2</v>
      </c>
      <c r="P2481" t="n">
        <v>211.204</v>
      </c>
      <c r="Q2481" t="n">
        <v>0.9851851851851852</v>
      </c>
      <c r="R2481" t="inlineStr">
        <is>
          <t>Sobrestock crítico</t>
        </is>
      </c>
    </row>
    <row r="2482">
      <c r="A2482" t="inlineStr">
        <is>
          <t>SABSTKI30T6</t>
        </is>
      </c>
      <c r="B2482" t="inlineStr">
        <is>
          <t>RETRO VZLA KIDS</t>
        </is>
      </c>
      <c r="C2482" t="inlineStr">
        <is>
          <t>Manufactura / Dama / P. Superiores</t>
        </is>
      </c>
      <c r="D2482" t="n">
        <v>79.32877805</v>
      </c>
      <c r="E2482" t="n">
        <v>1.942226868276372e-05</v>
      </c>
      <c r="F2482" t="n">
        <v>0.9918276920125091</v>
      </c>
      <c r="G2482" t="inlineStr">
        <is>
          <t>C</t>
        </is>
      </c>
      <c r="H2482" t="n">
        <v>3</v>
      </c>
      <c r="I2482" t="n">
        <v>10.18</v>
      </c>
      <c r="J2482" t="n">
        <v>30.54</v>
      </c>
      <c r="K2482" t="n">
        <v>0.3</v>
      </c>
      <c r="L2482" t="n">
        <v>10</v>
      </c>
      <c r="M2482" t="n">
        <v>4</v>
      </c>
      <c r="N2482" t="n">
        <v>1.2</v>
      </c>
      <c r="O2482" t="n">
        <v>1.8</v>
      </c>
      <c r="P2482" t="n">
        <v>18.324</v>
      </c>
      <c r="Q2482" t="n">
        <v>0.6000000000000001</v>
      </c>
      <c r="R2482" t="inlineStr">
        <is>
          <t>Sobrestock crítico</t>
        </is>
      </c>
    </row>
    <row r="2483">
      <c r="A2483" t="inlineStr">
        <is>
          <t>RIOMIKI14T2</t>
        </is>
      </c>
      <c r="B2483" t="inlineStr">
        <is>
          <t>RIO ORIGINAL KIDS</t>
        </is>
      </c>
      <c r="C2483" t="inlineStr">
        <is>
          <t>Manufactura / Kids / P. Superiores</t>
        </is>
      </c>
      <c r="D2483" t="n">
        <v>79.27936386</v>
      </c>
      <c r="E2483" t="n">
        <v>1.941017047958308e-05</v>
      </c>
      <c r="F2483" t="n">
        <v>0.9918471021829888</v>
      </c>
      <c r="G2483" t="inlineStr">
        <is>
          <t>C</t>
        </is>
      </c>
      <c r="H2483" t="n">
        <v>0</v>
      </c>
      <c r="I2483" t="n">
        <v>3.617969464</v>
      </c>
      <c r="J2483" t="n">
        <v>0</v>
      </c>
      <c r="K2483" t="n">
        <v>0.2</v>
      </c>
      <c r="L2483" t="n">
        <v>0</v>
      </c>
      <c r="M2483" t="n">
        <v>4</v>
      </c>
      <c r="N2483" t="n">
        <v>0.8</v>
      </c>
      <c r="O2483" t="n">
        <v>0</v>
      </c>
      <c r="P2483" t="n">
        <v>0</v>
      </c>
      <c r="Q2483" t="n">
        <v>0</v>
      </c>
      <c r="R2483" t="inlineStr">
        <is>
          <t>Sin rotación</t>
        </is>
      </c>
    </row>
    <row r="2484">
      <c r="A2484" t="inlineStr">
        <is>
          <t>ANMSUDA15TXS</t>
        </is>
      </c>
      <c r="B2484" t="inlineStr">
        <is>
          <t>ANDRE MOTION DAMA</t>
        </is>
      </c>
      <c r="C2484" t="inlineStr">
        <is>
          <t>Manufactura / Dama / P. Superiores</t>
        </is>
      </c>
      <c r="D2484" t="n">
        <v>79.20980106</v>
      </c>
      <c r="E2484" t="n">
        <v>1.939313924041443e-05</v>
      </c>
      <c r="F2484" t="n">
        <v>0.991866495322229</v>
      </c>
      <c r="G2484" t="inlineStr">
        <is>
          <t>C</t>
        </is>
      </c>
      <c r="H2484" t="n">
        <v>16</v>
      </c>
      <c r="I2484" t="n">
        <v>10.6</v>
      </c>
      <c r="J2484" t="n">
        <v>169.6</v>
      </c>
      <c r="K2484" t="n">
        <v>0.2</v>
      </c>
      <c r="L2484" t="n">
        <v>80</v>
      </c>
      <c r="M2484" t="n">
        <v>4</v>
      </c>
      <c r="N2484" t="n">
        <v>0.8</v>
      </c>
      <c r="O2484" t="n">
        <v>15.2</v>
      </c>
      <c r="P2484" t="n">
        <v>161.12</v>
      </c>
      <c r="Q2484" t="n">
        <v>0.9499999999999998</v>
      </c>
      <c r="R2484" t="inlineStr">
        <is>
          <t>Sobrestock crítico</t>
        </is>
      </c>
    </row>
    <row r="2485">
      <c r="A2485" t="inlineStr">
        <is>
          <t>RIOMIKI30T4</t>
        </is>
      </c>
      <c r="B2485" t="inlineStr">
        <is>
          <t>RIO ORIGINAL KIDS</t>
        </is>
      </c>
      <c r="C2485" t="inlineStr">
        <is>
          <t>Manufactura / Kids / P. Superiores</t>
        </is>
      </c>
      <c r="D2485" t="n">
        <v>79.16884640000001</v>
      </c>
      <c r="E2485" t="n">
        <v>1.938311220571298e-05</v>
      </c>
      <c r="F2485" t="n">
        <v>0.9918858784344349</v>
      </c>
      <c r="G2485" t="inlineStr">
        <is>
          <t>C</t>
        </is>
      </c>
      <c r="H2485" t="n">
        <v>0</v>
      </c>
      <c r="I2485" t="n">
        <v>3.617969464</v>
      </c>
      <c r="J2485" t="n">
        <v>0</v>
      </c>
      <c r="K2485" t="n">
        <v>0.2</v>
      </c>
      <c r="L2485" t="n">
        <v>0</v>
      </c>
      <c r="M2485" t="n">
        <v>4</v>
      </c>
      <c r="N2485" t="n">
        <v>0.8</v>
      </c>
      <c r="O2485" t="n">
        <v>0</v>
      </c>
      <c r="P2485" t="n">
        <v>0</v>
      </c>
      <c r="Q2485" t="n">
        <v>0</v>
      </c>
      <c r="R2485" t="inlineStr">
        <is>
          <t>Sin rotación</t>
        </is>
      </c>
    </row>
    <row r="2486">
      <c r="A2486" t="inlineStr">
        <is>
          <t>SHOUNCA23TL</t>
        </is>
      </c>
      <c r="B2486" t="inlineStr">
        <is>
          <t>SHORT PLAYA CAB</t>
        </is>
      </c>
      <c r="C2486" t="inlineStr">
        <is>
          <t>Manufactura / Caballero / P. Inferiores</t>
        </is>
      </c>
      <c r="D2486" t="n">
        <v>79.04736170999999</v>
      </c>
      <c r="E2486" t="n">
        <v>1.935336879672545e-05</v>
      </c>
      <c r="F2486" t="n">
        <v>0.9919052318032315</v>
      </c>
      <c r="G2486" t="inlineStr">
        <is>
          <t>C</t>
        </is>
      </c>
      <c r="H2486" t="n">
        <v>0</v>
      </c>
      <c r="I2486" t="n">
        <v>9.99</v>
      </c>
      <c r="J2486" t="n">
        <v>0</v>
      </c>
      <c r="K2486" t="n">
        <v>0.2</v>
      </c>
      <c r="L2486" t="n">
        <v>0</v>
      </c>
      <c r="M2486" t="n">
        <v>4</v>
      </c>
      <c r="N2486" t="n">
        <v>0.8</v>
      </c>
      <c r="O2486" t="n">
        <v>0</v>
      </c>
      <c r="P2486" t="n">
        <v>0</v>
      </c>
      <c r="Q2486" t="n">
        <v>0</v>
      </c>
      <c r="R2486" t="inlineStr">
        <is>
          <t>Sin rotación</t>
        </is>
      </c>
    </row>
    <row r="2487">
      <c r="A2487" t="inlineStr">
        <is>
          <t>LARIMJDA16TL</t>
        </is>
      </c>
      <c r="B2487" t="inlineStr">
        <is>
          <t>LARISA ORIGINAL DAMA</t>
        </is>
      </c>
      <c r="C2487" t="inlineStr">
        <is>
          <t>Manufactura / Dama / P. Superiores</t>
        </is>
      </c>
      <c r="D2487" t="n">
        <v>78.95418735999999</v>
      </c>
      <c r="E2487" t="n">
        <v>1.933055668106546e-05</v>
      </c>
      <c r="F2487" t="n">
        <v>0.9919245623599127</v>
      </c>
      <c r="G2487" t="inlineStr">
        <is>
          <t>C</t>
        </is>
      </c>
      <c r="H2487" t="n">
        <v>14</v>
      </c>
      <c r="I2487" t="n">
        <v>1.765998491</v>
      </c>
      <c r="J2487" t="n">
        <v>24.723978874</v>
      </c>
      <c r="K2487" t="n">
        <v>0.2</v>
      </c>
      <c r="L2487" t="n">
        <v>70</v>
      </c>
      <c r="M2487" t="n">
        <v>4</v>
      </c>
      <c r="N2487" t="n">
        <v>0.8</v>
      </c>
      <c r="O2487" t="n">
        <v>13.2</v>
      </c>
      <c r="P2487" t="n">
        <v>23.3111800812</v>
      </c>
      <c r="Q2487" t="n">
        <v>0.9428571428571427</v>
      </c>
      <c r="R2487" t="inlineStr">
        <is>
          <t>Sobrestock crítico</t>
        </is>
      </c>
    </row>
    <row r="2488">
      <c r="A2488" t="inlineStr">
        <is>
          <t>RIOMIKI14T4</t>
        </is>
      </c>
      <c r="B2488" t="inlineStr">
        <is>
          <t>RIO ORIGINAL KIDS</t>
        </is>
      </c>
      <c r="C2488" t="inlineStr">
        <is>
          <t>Manufactura / Kids / P. Superiores</t>
        </is>
      </c>
      <c r="D2488" t="n">
        <v>78.85861973999999</v>
      </c>
      <c r="E2488" t="n">
        <v>1.930715861495833e-05</v>
      </c>
      <c r="F2488" t="n">
        <v>0.9919438695185276</v>
      </c>
      <c r="G2488" t="inlineStr">
        <is>
          <t>C</t>
        </is>
      </c>
      <c r="H2488" t="n">
        <v>0</v>
      </c>
      <c r="I2488" t="n">
        <v>3.617969464</v>
      </c>
      <c r="J2488" t="n">
        <v>0</v>
      </c>
      <c r="K2488" t="n">
        <v>0.2</v>
      </c>
      <c r="L2488" t="n">
        <v>0</v>
      </c>
      <c r="M2488" t="n">
        <v>4</v>
      </c>
      <c r="N2488" t="n">
        <v>0.8</v>
      </c>
      <c r="O2488" t="n">
        <v>0</v>
      </c>
      <c r="P2488" t="n">
        <v>0</v>
      </c>
      <c r="Q2488" t="n">
        <v>0</v>
      </c>
      <c r="R2488" t="inlineStr">
        <is>
          <t>Sin rotación</t>
        </is>
      </c>
    </row>
    <row r="2489">
      <c r="A2489" t="inlineStr">
        <is>
          <t>SABSTDA30TXS</t>
        </is>
      </c>
      <c r="B2489" t="inlineStr">
        <is>
          <t>RETRO VZLA DAMA</t>
        </is>
      </c>
      <c r="C2489" t="inlineStr">
        <is>
          <t>Manufactura / Dama / P. Superiores</t>
        </is>
      </c>
      <c r="D2489" t="n">
        <v>78.7910713</v>
      </c>
      <c r="E2489" t="n">
        <v>1.929062055672737e-05</v>
      </c>
      <c r="F2489" t="n">
        <v>0.9919631601390844</v>
      </c>
      <c r="G2489" t="inlineStr">
        <is>
          <t>C</t>
        </is>
      </c>
      <c r="H2489" t="n">
        <v>0</v>
      </c>
      <c r="I2489" t="n">
        <v>11.23</v>
      </c>
      <c r="J2489" t="n">
        <v>0</v>
      </c>
      <c r="K2489" t="n">
        <v>0.2</v>
      </c>
      <c r="L2489" t="n">
        <v>0</v>
      </c>
      <c r="M2489" t="n">
        <v>4</v>
      </c>
      <c r="N2489" t="n">
        <v>0.8</v>
      </c>
      <c r="O2489" t="n">
        <v>0</v>
      </c>
      <c r="P2489" t="n">
        <v>0</v>
      </c>
      <c r="Q2489" t="n">
        <v>0</v>
      </c>
      <c r="R2489" t="inlineStr">
        <is>
          <t>Riesgo bajo stock</t>
        </is>
      </c>
    </row>
    <row r="2490">
      <c r="A2490" t="inlineStr">
        <is>
          <t>SHOUNCA50TL</t>
        </is>
      </c>
      <c r="B2490" t="inlineStr">
        <is>
          <t>SHORT PLAYA CAB</t>
        </is>
      </c>
      <c r="C2490" t="inlineStr">
        <is>
          <t>Manufactura / Caballero / P. Inferiores</t>
        </is>
      </c>
      <c r="D2490" t="n">
        <v>78.51334897000001</v>
      </c>
      <c r="E2490" t="n">
        <v>1.922262508465464e-05</v>
      </c>
      <c r="F2490" t="n">
        <v>0.9919823827641691</v>
      </c>
      <c r="G2490" t="inlineStr">
        <is>
          <t>C</t>
        </is>
      </c>
      <c r="H2490" t="n">
        <v>0</v>
      </c>
      <c r="I2490" t="n">
        <v>9.99</v>
      </c>
      <c r="J2490" t="n">
        <v>0</v>
      </c>
      <c r="K2490" t="n">
        <v>0.2</v>
      </c>
      <c r="L2490" t="n">
        <v>0</v>
      </c>
      <c r="M2490" t="n">
        <v>4</v>
      </c>
      <c r="N2490" t="n">
        <v>0.8</v>
      </c>
      <c r="O2490" t="n">
        <v>0</v>
      </c>
      <c r="P2490" t="n">
        <v>0</v>
      </c>
      <c r="Q2490" t="n">
        <v>0</v>
      </c>
      <c r="R2490" t="inlineStr">
        <is>
          <t>Sin rotación</t>
        </is>
      </c>
    </row>
    <row r="2491">
      <c r="A2491" t="inlineStr">
        <is>
          <t>RUNTBMBFCA205T2XL</t>
        </is>
      </c>
      <c r="B2491" t="inlineStr">
        <is>
          <t>RUNNING TANK BIOMOVE CAB</t>
        </is>
      </c>
      <c r="C2491" t="inlineStr">
        <is>
          <t>Manufactura / Caballero / P. Superiores</t>
        </is>
      </c>
      <c r="D2491" t="n">
        <v>78.47483001000001</v>
      </c>
      <c r="E2491" t="n">
        <v>1.921319438864632e-05</v>
      </c>
      <c r="F2491" t="n">
        <v>0.9920015959585576</v>
      </c>
      <c r="G2491" t="inlineStr">
        <is>
          <t>C</t>
        </is>
      </c>
      <c r="H2491" t="n">
        <v>11</v>
      </c>
      <c r="I2491" t="n">
        <v>0.4823510284</v>
      </c>
      <c r="J2491" t="n">
        <v>5.3058613124</v>
      </c>
      <c r="K2491" t="n">
        <v>0.1</v>
      </c>
      <c r="L2491" t="n">
        <v>110</v>
      </c>
      <c r="M2491" t="n">
        <v>4</v>
      </c>
      <c r="N2491" t="n">
        <v>0.4</v>
      </c>
      <c r="O2491" t="n">
        <v>10.6</v>
      </c>
      <c r="P2491" t="n">
        <v>5.11292090104</v>
      </c>
      <c r="Q2491" t="n">
        <v>0.9636363636363635</v>
      </c>
      <c r="R2491" t="inlineStr">
        <is>
          <t>Sobrestock crítico</t>
        </is>
      </c>
    </row>
    <row r="2492">
      <c r="A2492" t="inlineStr">
        <is>
          <t>MAFMIDA30TL</t>
        </is>
      </c>
      <c r="B2492" t="inlineStr">
        <is>
          <t>MAFE ORIGINAL DAMA</t>
        </is>
      </c>
      <c r="C2492" t="inlineStr">
        <is>
          <t>Manufactura / Dama / P. Superiores</t>
        </is>
      </c>
      <c r="D2492" t="n">
        <v>78.39615229</v>
      </c>
      <c r="E2492" t="n">
        <v>1.91939315201798e-05</v>
      </c>
      <c r="F2492" t="n">
        <v>0.9920207898900777</v>
      </c>
      <c r="G2492" t="inlineStr">
        <is>
          <t>C</t>
        </is>
      </c>
      <c r="H2492" t="n">
        <v>0</v>
      </c>
      <c r="I2492" t="n">
        <v>4.54817671</v>
      </c>
      <c r="J2492" t="n">
        <v>0</v>
      </c>
      <c r="K2492" t="n">
        <v>0.3</v>
      </c>
      <c r="L2492" t="n">
        <v>0</v>
      </c>
      <c r="M2492" t="n">
        <v>4</v>
      </c>
      <c r="N2492" t="n">
        <v>1.2</v>
      </c>
      <c r="O2492" t="n">
        <v>0</v>
      </c>
      <c r="P2492" t="n">
        <v>0</v>
      </c>
      <c r="Q2492" t="n">
        <v>0</v>
      </c>
      <c r="R2492" t="inlineStr">
        <is>
          <t>Riesgo bajo stock</t>
        </is>
      </c>
    </row>
    <row r="2493">
      <c r="A2493" t="inlineStr">
        <is>
          <t>SABSTKI30T14</t>
        </is>
      </c>
      <c r="B2493" t="inlineStr">
        <is>
          <t>RETRO VZLA KIDS</t>
        </is>
      </c>
      <c r="C2493" t="inlineStr">
        <is>
          <t>Manufactura / Dama / P. Superiores</t>
        </is>
      </c>
      <c r="D2493" t="n">
        <v>78.15011058</v>
      </c>
      <c r="E2493" t="n">
        <v>1.913369249575193e-05</v>
      </c>
      <c r="F2493" t="n">
        <v>0.9920399235825735</v>
      </c>
      <c r="G2493" t="inlineStr">
        <is>
          <t>C</t>
        </is>
      </c>
      <c r="H2493" t="n">
        <v>2</v>
      </c>
      <c r="I2493" t="n">
        <v>10.18</v>
      </c>
      <c r="J2493" t="n">
        <v>20.36</v>
      </c>
      <c r="K2493" t="n">
        <v>0.2</v>
      </c>
      <c r="L2493" t="n">
        <v>10</v>
      </c>
      <c r="M2493" t="n">
        <v>4</v>
      </c>
      <c r="N2493" t="n">
        <v>0.8</v>
      </c>
      <c r="O2493" t="n">
        <v>1.2</v>
      </c>
      <c r="P2493" t="n">
        <v>12.216</v>
      </c>
      <c r="Q2493" t="n">
        <v>0.6</v>
      </c>
      <c r="R2493" t="inlineStr">
        <is>
          <t>Sin rotación</t>
        </is>
      </c>
    </row>
    <row r="2494">
      <c r="A2494" t="inlineStr">
        <is>
          <t>CRESTCA30TL</t>
        </is>
      </c>
      <c r="B2494" t="inlineStr">
        <is>
          <t>RETRO VZLA CAB</t>
        </is>
      </c>
      <c r="C2494" t="inlineStr">
        <is>
          <t>Manufactura / Caballero / P. Superiores</t>
        </is>
      </c>
      <c r="D2494" t="n">
        <v>78.04746398</v>
      </c>
      <c r="E2494" t="n">
        <v>1.910856126477147e-05</v>
      </c>
      <c r="F2494" t="n">
        <v>0.9920590321438383</v>
      </c>
      <c r="G2494" t="inlineStr">
        <is>
          <t>C</t>
        </is>
      </c>
      <c r="H2494" t="n">
        <v>0</v>
      </c>
      <c r="I2494" t="n">
        <v>12.9</v>
      </c>
      <c r="J2494" t="n">
        <v>0</v>
      </c>
      <c r="K2494" t="n">
        <v>0.2</v>
      </c>
      <c r="L2494" t="n">
        <v>0</v>
      </c>
      <c r="M2494" t="n">
        <v>4</v>
      </c>
      <c r="N2494" t="n">
        <v>0.8</v>
      </c>
      <c r="O2494" t="n">
        <v>0</v>
      </c>
      <c r="P2494" t="n">
        <v>0</v>
      </c>
      <c r="Q2494" t="n">
        <v>0</v>
      </c>
      <c r="R2494" t="inlineStr">
        <is>
          <t>Sin rotación</t>
        </is>
      </c>
    </row>
    <row r="2495">
      <c r="A2495" t="inlineStr">
        <is>
          <t>VIVMIDA04TS</t>
        </is>
      </c>
      <c r="B2495" t="inlineStr">
        <is>
          <t>VIVI ORIGINAL DAMA</t>
        </is>
      </c>
      <c r="C2495" t="inlineStr">
        <is>
          <t>Manufactura / Dama / P. Superiores</t>
        </is>
      </c>
      <c r="D2495" t="n">
        <v>77.97683062999999</v>
      </c>
      <c r="E2495" t="n">
        <v>1.909126792009397e-05</v>
      </c>
      <c r="F2495" t="n">
        <v>0.9920781234117584</v>
      </c>
      <c r="G2495" t="inlineStr">
        <is>
          <t>C</t>
        </is>
      </c>
      <c r="H2495" t="n">
        <v>0</v>
      </c>
      <c r="I2495" t="n">
        <v>4.303181706</v>
      </c>
      <c r="J2495" t="n">
        <v>0</v>
      </c>
      <c r="K2495" t="n">
        <v>0.2</v>
      </c>
      <c r="L2495" t="n">
        <v>0</v>
      </c>
      <c r="M2495" t="n">
        <v>4</v>
      </c>
      <c r="N2495" t="n">
        <v>0.8</v>
      </c>
      <c r="O2495" t="n">
        <v>0</v>
      </c>
      <c r="P2495" t="n">
        <v>0</v>
      </c>
      <c r="Q2495" t="n">
        <v>0</v>
      </c>
      <c r="R2495" t="inlineStr">
        <is>
          <t>Riesgo bajo stock</t>
        </is>
      </c>
    </row>
    <row r="2496">
      <c r="A2496" t="inlineStr">
        <is>
          <t>201STDA43TM</t>
        </is>
      </c>
      <c r="B2496" t="inlineStr">
        <is>
          <t>RETRO VZLA DAMA</t>
        </is>
      </c>
      <c r="C2496" t="inlineStr">
        <is>
          <t>Manufactura / Dama / P. Superiores</t>
        </is>
      </c>
      <c r="D2496" t="n">
        <v>77.96588399000001</v>
      </c>
      <c r="E2496" t="n">
        <v>1.908858782607917e-05</v>
      </c>
      <c r="F2496" t="n">
        <v>0.9920972119995846</v>
      </c>
      <c r="G2496" t="inlineStr">
        <is>
          <t>C</t>
        </is>
      </c>
      <c r="H2496" t="n">
        <v>1</v>
      </c>
      <c r="I2496" t="n">
        <v>11.23</v>
      </c>
      <c r="J2496" t="n">
        <v>11.23</v>
      </c>
      <c r="K2496" t="n">
        <v>0.2</v>
      </c>
      <c r="L2496" t="n">
        <v>5</v>
      </c>
      <c r="M2496" t="n">
        <v>4</v>
      </c>
      <c r="N2496" t="n">
        <v>0.8</v>
      </c>
      <c r="O2496" t="n">
        <v>0.2</v>
      </c>
      <c r="P2496" t="n">
        <v>2.246</v>
      </c>
      <c r="Q2496" t="n">
        <v>0.2</v>
      </c>
      <c r="R2496" t="inlineStr">
        <is>
          <t>Sobrestock</t>
        </is>
      </c>
    </row>
    <row r="2497">
      <c r="A2497" t="inlineStr">
        <is>
          <t>ZOEMIDA16TS</t>
        </is>
      </c>
      <c r="B2497" t="inlineStr">
        <is>
          <t>ZOE ORIGINAL DAMA</t>
        </is>
      </c>
      <c r="C2497" t="inlineStr">
        <is>
          <t>Manufactura / Dama / P. Superiores</t>
        </is>
      </c>
      <c r="D2497" t="n">
        <v>77.89840921000001</v>
      </c>
      <c r="E2497" t="n">
        <v>1.907206780221539e-05</v>
      </c>
      <c r="F2497" t="n">
        <v>0.9921162840673867</v>
      </c>
      <c r="G2497" t="inlineStr">
        <is>
          <t>C</t>
        </is>
      </c>
      <c r="H2497" t="n">
        <v>0</v>
      </c>
      <c r="I2497" t="n">
        <v>4.116585696</v>
      </c>
      <c r="J2497" t="n">
        <v>0</v>
      </c>
      <c r="K2497" t="n">
        <v>0.2</v>
      </c>
      <c r="L2497" t="n">
        <v>0</v>
      </c>
      <c r="M2497" t="n">
        <v>4</v>
      </c>
      <c r="N2497" t="n">
        <v>0.8</v>
      </c>
      <c r="O2497" t="n">
        <v>0</v>
      </c>
      <c r="P2497" t="n">
        <v>0</v>
      </c>
      <c r="Q2497" t="n">
        <v>0</v>
      </c>
      <c r="R2497" t="inlineStr">
        <is>
          <t>Sin rotación</t>
        </is>
      </c>
    </row>
    <row r="2498">
      <c r="A2498" t="inlineStr">
        <is>
          <t>MARMIDA28TM</t>
        </is>
      </c>
      <c r="B2498" t="inlineStr">
        <is>
          <t>MAR ORIGINAL DAMA</t>
        </is>
      </c>
      <c r="C2498" t="inlineStr">
        <is>
          <t>Manufactura / Dama / P. Superiores</t>
        </is>
      </c>
      <c r="D2498" t="n">
        <v>76.88869848</v>
      </c>
      <c r="E2498" t="n">
        <v>1.882485772824237e-05</v>
      </c>
      <c r="F2498" t="n">
        <v>0.9921351089251149</v>
      </c>
      <c r="G2498" t="inlineStr">
        <is>
          <t>C</t>
        </is>
      </c>
      <c r="H2498" t="n">
        <v>0</v>
      </c>
      <c r="I2498" t="n">
        <v>4.278324149</v>
      </c>
      <c r="J2498" t="n">
        <v>0</v>
      </c>
      <c r="K2498" t="n">
        <v>0.2</v>
      </c>
      <c r="L2498" t="n">
        <v>0</v>
      </c>
      <c r="M2498" t="n">
        <v>4</v>
      </c>
      <c r="N2498" t="n">
        <v>0.8</v>
      </c>
      <c r="O2498" t="n">
        <v>0</v>
      </c>
      <c r="P2498" t="n">
        <v>0</v>
      </c>
      <c r="Q2498" t="n">
        <v>0</v>
      </c>
      <c r="R2498" t="inlineStr">
        <is>
          <t>Sin rotación</t>
        </is>
      </c>
    </row>
    <row r="2499">
      <c r="A2499" t="inlineStr">
        <is>
          <t>RIOMIKI28T1</t>
        </is>
      </c>
      <c r="B2499" t="inlineStr">
        <is>
          <t>RIO ORIGINAL KIDS</t>
        </is>
      </c>
      <c r="C2499" t="inlineStr">
        <is>
          <t>Manufactura / Kids / P. Superiores</t>
        </is>
      </c>
      <c r="D2499" t="n">
        <v>76.84202372999999</v>
      </c>
      <c r="E2499" t="n">
        <v>1.881343022919997e-05</v>
      </c>
      <c r="F2499" t="n">
        <v>0.9921539223553441</v>
      </c>
      <c r="G2499" t="inlineStr">
        <is>
          <t>C</t>
        </is>
      </c>
      <c r="H2499" t="n">
        <v>0</v>
      </c>
      <c r="I2499" t="n">
        <v>3.617969464</v>
      </c>
      <c r="J2499" t="n">
        <v>0</v>
      </c>
      <c r="K2499" t="n">
        <v>0.2</v>
      </c>
      <c r="L2499" t="n">
        <v>0</v>
      </c>
      <c r="M2499" t="n">
        <v>4</v>
      </c>
      <c r="N2499" t="n">
        <v>0.8</v>
      </c>
      <c r="O2499" t="n">
        <v>0</v>
      </c>
      <c r="P2499" t="n">
        <v>0</v>
      </c>
      <c r="Q2499" t="n">
        <v>0</v>
      </c>
      <c r="R2499" t="inlineStr">
        <is>
          <t>Sin rotación</t>
        </is>
      </c>
    </row>
    <row r="2500">
      <c r="A2500" t="inlineStr">
        <is>
          <t>MLMMJDA14TS</t>
        </is>
      </c>
      <c r="B2500" t="inlineStr">
        <is>
          <t>MOTION LOOP MAFE DAMA</t>
        </is>
      </c>
      <c r="C2500" t="inlineStr">
        <is>
          <t>Manufactura / Dama / P. Superiores</t>
        </is>
      </c>
      <c r="D2500" t="n">
        <v>76.55000000000001</v>
      </c>
      <c r="E2500" t="n">
        <v>1.874193330859661e-05</v>
      </c>
      <c r="F2500" t="n">
        <v>0.9921726642886527</v>
      </c>
      <c r="G2500" t="inlineStr">
        <is>
          <t>C</t>
        </is>
      </c>
      <c r="H2500" t="n">
        <v>7</v>
      </c>
      <c r="I2500" t="n">
        <v>0.2661111111</v>
      </c>
      <c r="J2500" t="n">
        <v>1.8627777777</v>
      </c>
      <c r="K2500" t="n">
        <v>0.2</v>
      </c>
      <c r="L2500" t="n">
        <v>35</v>
      </c>
      <c r="M2500" t="n">
        <v>4</v>
      </c>
      <c r="N2500" t="n">
        <v>0.8</v>
      </c>
      <c r="O2500" t="n">
        <v>6.2</v>
      </c>
      <c r="P2500" t="n">
        <v>1.64988888882</v>
      </c>
      <c r="Q2500" t="n">
        <v>0.8857142857142857</v>
      </c>
      <c r="R2500" t="inlineStr">
        <is>
          <t>Sobrestock crítico</t>
        </is>
      </c>
    </row>
    <row r="2501">
      <c r="A2501" t="inlineStr">
        <is>
          <t>ACAMIDA121TM</t>
        </is>
      </c>
      <c r="B2501" t="inlineStr">
        <is>
          <t>ANDRE ACTIVE DAMA</t>
        </is>
      </c>
      <c r="C2501" t="inlineStr">
        <is>
          <t>Manufactura / Dama / P. Superiores</t>
        </is>
      </c>
      <c r="D2501" t="n">
        <v>76.50160932</v>
      </c>
      <c r="E2501" t="n">
        <v>1.873008569400069e-05</v>
      </c>
      <c r="F2501" t="n">
        <v>0.9921913943743468</v>
      </c>
      <c r="G2501" t="inlineStr">
        <is>
          <t>C</t>
        </is>
      </c>
      <c r="H2501" t="n">
        <v>1</v>
      </c>
      <c r="I2501" t="n">
        <v>7.89</v>
      </c>
      <c r="J2501" t="n">
        <v>7.89</v>
      </c>
      <c r="K2501" t="n">
        <v>0.2</v>
      </c>
      <c r="L2501" t="n">
        <v>5</v>
      </c>
      <c r="M2501" t="n">
        <v>4</v>
      </c>
      <c r="N2501" t="n">
        <v>0.8</v>
      </c>
      <c r="O2501" t="n">
        <v>0.2</v>
      </c>
      <c r="P2501" t="n">
        <v>1.578</v>
      </c>
      <c r="Q2501" t="n">
        <v>0.2</v>
      </c>
      <c r="R2501" t="inlineStr">
        <is>
          <t>Sin rotación</t>
        </is>
      </c>
    </row>
    <row r="2502">
      <c r="A2502" t="inlineStr">
        <is>
          <t>CAP25MC</t>
        </is>
      </c>
      <c r="B2502" t="inlineStr">
        <is>
          <t>MESH CAP</t>
        </is>
      </c>
      <c r="C2502" t="inlineStr">
        <is>
          <t>Equipamiento / Gorras</t>
        </is>
      </c>
      <c r="D2502" t="n">
        <v>76.31983228999999</v>
      </c>
      <c r="E2502" t="n">
        <v>1.868558075640049e-05</v>
      </c>
      <c r="F2502" t="n">
        <v>0.9922100799551031</v>
      </c>
      <c r="G2502" t="inlineStr">
        <is>
          <t>C</t>
        </is>
      </c>
      <c r="H2502" t="n">
        <v>0</v>
      </c>
      <c r="I2502" t="n">
        <v>3.36</v>
      </c>
      <c r="J2502" t="n">
        <v>0</v>
      </c>
      <c r="K2502" t="n">
        <v>0.3</v>
      </c>
      <c r="L2502" t="n">
        <v>0</v>
      </c>
      <c r="M2502" t="n">
        <v>4</v>
      </c>
      <c r="N2502" t="n">
        <v>1.2</v>
      </c>
      <c r="O2502" t="n">
        <v>0</v>
      </c>
      <c r="P2502" t="n">
        <v>0</v>
      </c>
      <c r="Q2502" t="n">
        <v>0</v>
      </c>
      <c r="R2502" t="inlineStr">
        <is>
          <t>Sin rotación</t>
        </is>
      </c>
    </row>
    <row r="2503">
      <c r="A2503" t="inlineStr">
        <is>
          <t>VIVMIDA30TL</t>
        </is>
      </c>
      <c r="B2503" t="inlineStr">
        <is>
          <t>VIVI ORIGINAL DAMA</t>
        </is>
      </c>
      <c r="C2503" t="inlineStr">
        <is>
          <t>Manufactura / Dama / P. Superiores</t>
        </is>
      </c>
      <c r="D2503" t="n">
        <v>76.23063993</v>
      </c>
      <c r="E2503" t="n">
        <v>1.866374356158983e-05</v>
      </c>
      <c r="F2503" t="n">
        <v>0.9922287436986647</v>
      </c>
      <c r="G2503" t="inlineStr">
        <is>
          <t>C</t>
        </is>
      </c>
      <c r="H2503" t="n">
        <v>1</v>
      </c>
      <c r="I2503" t="n">
        <v>4.303181706</v>
      </c>
      <c r="J2503" t="n">
        <v>4.303181706</v>
      </c>
      <c r="K2503" t="n">
        <v>0.2</v>
      </c>
      <c r="L2503" t="n">
        <v>5</v>
      </c>
      <c r="M2503" t="n">
        <v>4</v>
      </c>
      <c r="N2503" t="n">
        <v>0.8</v>
      </c>
      <c r="O2503" t="n">
        <v>0.2</v>
      </c>
      <c r="P2503" t="n">
        <v>0.8606363411999999</v>
      </c>
      <c r="Q2503" t="n">
        <v>0.2</v>
      </c>
      <c r="R2503" t="inlineStr">
        <is>
          <t>Sobrestock</t>
        </is>
      </c>
    </row>
    <row r="2504">
      <c r="A2504" t="inlineStr">
        <is>
          <t>EXPSTDA43TS</t>
        </is>
      </c>
      <c r="B2504" t="inlineStr">
        <is>
          <t>CLASICA RETRO 2.0 DAMA</t>
        </is>
      </c>
      <c r="C2504" t="inlineStr">
        <is>
          <t>Manufactura / Dama / P. Superiores</t>
        </is>
      </c>
      <c r="D2504" t="n">
        <v>76.17650943000001</v>
      </c>
      <c r="E2504" t="n">
        <v>1.865049065210635e-05</v>
      </c>
      <c r="F2504" t="n">
        <v>0.9922473941893168</v>
      </c>
      <c r="G2504" t="inlineStr">
        <is>
          <t>C</t>
        </is>
      </c>
      <c r="H2504" t="n">
        <v>0</v>
      </c>
      <c r="I2504" t="n">
        <v>11.23</v>
      </c>
      <c r="J2504" t="n">
        <v>0</v>
      </c>
      <c r="K2504" t="n">
        <v>0.2</v>
      </c>
      <c r="L2504" t="n">
        <v>0</v>
      </c>
      <c r="M2504" t="n">
        <v>4</v>
      </c>
      <c r="N2504" t="n">
        <v>0.8</v>
      </c>
      <c r="O2504" t="n">
        <v>0</v>
      </c>
      <c r="P2504" t="n">
        <v>0</v>
      </c>
      <c r="Q2504" t="n">
        <v>0</v>
      </c>
      <c r="R2504" t="inlineStr">
        <is>
          <t>Sin rotación</t>
        </is>
      </c>
    </row>
    <row r="2505">
      <c r="A2505" t="inlineStr">
        <is>
          <t>RIOMIKI30T6</t>
        </is>
      </c>
      <c r="B2505" t="inlineStr">
        <is>
          <t>RIO ORIGINAL KIDS</t>
        </is>
      </c>
      <c r="C2505" t="inlineStr">
        <is>
          <t>Manufactura / Kids / P. Superiores</t>
        </is>
      </c>
      <c r="D2505" t="n">
        <v>76.10425721999999</v>
      </c>
      <c r="E2505" t="n">
        <v>1.863280095777298e-05</v>
      </c>
      <c r="F2505" t="n">
        <v>0.9922660269902746</v>
      </c>
      <c r="G2505" t="inlineStr">
        <is>
          <t>C</t>
        </is>
      </c>
      <c r="H2505" t="n">
        <v>0</v>
      </c>
      <c r="I2505" t="n">
        <v>3.617969464</v>
      </c>
      <c r="J2505" t="n">
        <v>0</v>
      </c>
      <c r="K2505" t="n">
        <v>0.2</v>
      </c>
      <c r="L2505" t="n">
        <v>0</v>
      </c>
      <c r="M2505" t="n">
        <v>4</v>
      </c>
      <c r="N2505" t="n">
        <v>0.8</v>
      </c>
      <c r="O2505" t="n">
        <v>0</v>
      </c>
      <c r="P2505" t="n">
        <v>0</v>
      </c>
      <c r="Q2505" t="n">
        <v>0</v>
      </c>
      <c r="R2505" t="inlineStr">
        <is>
          <t>Sin rotación</t>
        </is>
      </c>
    </row>
    <row r="2506">
      <c r="A2506" t="inlineStr">
        <is>
          <t>SHOUNCA13TL</t>
        </is>
      </c>
      <c r="B2506" t="inlineStr">
        <is>
          <t>SHORT PLAYA CAB</t>
        </is>
      </c>
      <c r="C2506" t="inlineStr">
        <is>
          <t>Manufactura / Caballero / P. Inferiores</t>
        </is>
      </c>
      <c r="D2506" t="n">
        <v>76.02214305000001</v>
      </c>
      <c r="E2506" t="n">
        <v>1.861269673441792e-05</v>
      </c>
      <c r="F2506" t="n">
        <v>0.992284639687009</v>
      </c>
      <c r="G2506" t="inlineStr">
        <is>
          <t>C</t>
        </is>
      </c>
      <c r="H2506" t="n">
        <v>0</v>
      </c>
      <c r="I2506" t="n">
        <v>9.99</v>
      </c>
      <c r="J2506" t="n">
        <v>0</v>
      </c>
      <c r="K2506" t="n">
        <v>0.2</v>
      </c>
      <c r="L2506" t="n">
        <v>0</v>
      </c>
      <c r="M2506" t="n">
        <v>4</v>
      </c>
      <c r="N2506" t="n">
        <v>0.8</v>
      </c>
      <c r="O2506" t="n">
        <v>0</v>
      </c>
      <c r="P2506" t="n">
        <v>0</v>
      </c>
      <c r="Q2506" t="n">
        <v>0</v>
      </c>
      <c r="R2506" t="inlineStr">
        <is>
          <t>Sin rotación</t>
        </is>
      </c>
    </row>
    <row r="2507">
      <c r="A2507" t="inlineStr">
        <is>
          <t>ZOEMIKI70T4</t>
        </is>
      </c>
      <c r="B2507" t="inlineStr">
        <is>
          <t>ZOE ORIGINAL KIDS</t>
        </is>
      </c>
      <c r="C2507" t="inlineStr">
        <is>
          <t>Manufactura / Kids / P. Superiores</t>
        </is>
      </c>
      <c r="D2507" t="n">
        <v>76</v>
      </c>
      <c r="E2507" t="n">
        <v>1.860727539455705e-05</v>
      </c>
      <c r="F2507" t="n">
        <v>0.9923032469624035</v>
      </c>
      <c r="G2507" t="inlineStr">
        <is>
          <t>C</t>
        </is>
      </c>
      <c r="H2507" t="n">
        <v>12</v>
      </c>
      <c r="I2507" t="n">
        <v>4.12</v>
      </c>
      <c r="J2507" t="n">
        <v>49.44</v>
      </c>
      <c r="K2507" t="n">
        <v>0.2</v>
      </c>
      <c r="L2507" t="n">
        <v>60</v>
      </c>
      <c r="M2507" t="n">
        <v>4</v>
      </c>
      <c r="N2507" t="n">
        <v>0.8</v>
      </c>
      <c r="O2507" t="n">
        <v>11.2</v>
      </c>
      <c r="P2507" t="n">
        <v>46.144</v>
      </c>
      <c r="Q2507" t="n">
        <v>0.9333333333333333</v>
      </c>
      <c r="R2507" t="inlineStr">
        <is>
          <t>Sobrestock crítico</t>
        </is>
      </c>
    </row>
    <row r="2508">
      <c r="A2508" t="inlineStr">
        <is>
          <t>DANMIKI48T6</t>
        </is>
      </c>
      <c r="B2508" t="inlineStr">
        <is>
          <t>DANI ORIGINAL KIDS</t>
        </is>
      </c>
      <c r="C2508" t="inlineStr">
        <is>
          <t>Manufactura / Kids / P. Superiores</t>
        </is>
      </c>
      <c r="D2508" t="n">
        <v>75.83427286</v>
      </c>
      <c r="E2508" t="n">
        <v>1.856669999278952e-05</v>
      </c>
      <c r="F2508" t="n">
        <v>0.9923218136623962</v>
      </c>
      <c r="G2508" t="inlineStr">
        <is>
          <t>C</t>
        </is>
      </c>
      <c r="H2508" t="n">
        <v>0</v>
      </c>
      <c r="I2508" t="n">
        <v>3.549999999999999</v>
      </c>
      <c r="J2508" t="n">
        <v>0</v>
      </c>
      <c r="K2508" t="n">
        <v>0.3</v>
      </c>
      <c r="L2508" t="n">
        <v>0</v>
      </c>
      <c r="M2508" t="n">
        <v>4</v>
      </c>
      <c r="N2508" t="n">
        <v>1.2</v>
      </c>
      <c r="O2508" t="n">
        <v>0</v>
      </c>
      <c r="P2508" t="n">
        <v>0</v>
      </c>
      <c r="Q2508" t="n">
        <v>0</v>
      </c>
      <c r="R2508" t="inlineStr">
        <is>
          <t>Riesgo bajo stock</t>
        </is>
      </c>
    </row>
    <row r="2509">
      <c r="A2509" t="inlineStr">
        <is>
          <t>P04</t>
        </is>
      </c>
      <c r="B2509" t="inlineStr">
        <is>
          <t>PARCHES</t>
        </is>
      </c>
      <c r="C2509" t="inlineStr">
        <is>
          <t>Equipamiento / Accesorios</t>
        </is>
      </c>
      <c r="D2509" t="n">
        <v>74.657988899</v>
      </c>
      <c r="E2509" t="n">
        <v>1.827870736641416e-05</v>
      </c>
      <c r="F2509" t="n">
        <v>0.9923400923697627</v>
      </c>
      <c r="G2509" t="inlineStr">
        <is>
          <t>C</t>
        </is>
      </c>
      <c r="H2509" t="n">
        <v>16</v>
      </c>
      <c r="I2509" t="n">
        <v>0.98</v>
      </c>
      <c r="J2509" t="n">
        <v>15.68</v>
      </c>
      <c r="K2509" t="n">
        <v>1.6</v>
      </c>
      <c r="L2509" t="n">
        <v>10</v>
      </c>
      <c r="M2509" t="n">
        <v>4</v>
      </c>
      <c r="N2509" t="n">
        <v>6.4</v>
      </c>
      <c r="O2509" t="n">
        <v>9.6</v>
      </c>
      <c r="P2509" t="n">
        <v>9.407999999999999</v>
      </c>
      <c r="Q2509" t="n">
        <v>0.6</v>
      </c>
      <c r="R2509" t="inlineStr">
        <is>
          <t>Sobrestock crítico</t>
        </is>
      </c>
    </row>
    <row r="2510">
      <c r="A2510" t="inlineStr">
        <is>
          <t>MIKFNDA24T2XL</t>
        </is>
      </c>
      <c r="B2510" t="inlineStr">
        <is>
          <t>MIKA SPORT LITE DAMA</t>
        </is>
      </c>
      <c r="C2510" t="inlineStr">
        <is>
          <t>Manufactura / Dama / P. Superiores</t>
        </is>
      </c>
      <c r="D2510" t="n">
        <v>74.543075</v>
      </c>
      <c r="E2510" t="n">
        <v>1.825057270108054e-05</v>
      </c>
      <c r="F2510" t="n">
        <v>0.9923583429424637</v>
      </c>
      <c r="G2510" t="inlineStr">
        <is>
          <t>C</t>
        </is>
      </c>
      <c r="H2510" t="n">
        <v>19</v>
      </c>
      <c r="I2510" t="n">
        <v>5.484675344</v>
      </c>
      <c r="J2510" t="n">
        <v>104.208831536</v>
      </c>
      <c r="K2510" t="n">
        <v>0.2</v>
      </c>
      <c r="L2510" t="n">
        <v>95</v>
      </c>
      <c r="M2510" t="n">
        <v>4</v>
      </c>
      <c r="N2510" t="n">
        <v>0.8</v>
      </c>
      <c r="O2510" t="n">
        <v>18.2</v>
      </c>
      <c r="P2510" t="n">
        <v>99.8210912608</v>
      </c>
      <c r="Q2510" t="n">
        <v>0.9578947368421052</v>
      </c>
      <c r="R2510" t="inlineStr">
        <is>
          <t>Sin rotación</t>
        </is>
      </c>
    </row>
    <row r="2511">
      <c r="A2511" t="inlineStr">
        <is>
          <t>RIOMIKI28T6</t>
        </is>
      </c>
      <c r="B2511" t="inlineStr">
        <is>
          <t>RIO ORIGINAL KIDS</t>
        </is>
      </c>
      <c r="C2511" t="inlineStr">
        <is>
          <t>Manufactura / Kids / P. Superiores</t>
        </is>
      </c>
      <c r="D2511" t="n">
        <v>74.31284386999999</v>
      </c>
      <c r="E2511" t="n">
        <v>1.819420462160277e-05</v>
      </c>
      <c r="F2511" t="n">
        <v>0.9923765371470854</v>
      </c>
      <c r="G2511" t="inlineStr">
        <is>
          <t>C</t>
        </is>
      </c>
      <c r="H2511" t="n">
        <v>0</v>
      </c>
      <c r="I2511" t="n">
        <v>3.617969464</v>
      </c>
      <c r="J2511" t="n">
        <v>0</v>
      </c>
      <c r="K2511" t="n">
        <v>0.3</v>
      </c>
      <c r="L2511" t="n">
        <v>0</v>
      </c>
      <c r="M2511" t="n">
        <v>4</v>
      </c>
      <c r="N2511" t="n">
        <v>1.2</v>
      </c>
      <c r="O2511" t="n">
        <v>0</v>
      </c>
      <c r="P2511" t="n">
        <v>0</v>
      </c>
      <c r="Q2511" t="n">
        <v>0</v>
      </c>
      <c r="R2511" t="inlineStr">
        <is>
          <t>Riesgo bajo stock</t>
        </is>
      </c>
    </row>
    <row r="2512">
      <c r="A2512" t="inlineStr">
        <is>
          <t>DANMIKI50T6</t>
        </is>
      </c>
      <c r="B2512" t="inlineStr">
        <is>
          <t>DANI ORIGINAL KIDS</t>
        </is>
      </c>
      <c r="C2512" t="inlineStr">
        <is>
          <t>Manufactura / Kids / P. Superiores</t>
        </is>
      </c>
      <c r="D2512" t="n">
        <v>74.25559928</v>
      </c>
      <c r="E2512" t="n">
        <v>1.818018928145832e-05</v>
      </c>
      <c r="F2512" t="n">
        <v>0.9923947173363669</v>
      </c>
      <c r="G2512" t="inlineStr">
        <is>
          <t>C</t>
        </is>
      </c>
      <c r="H2512" t="n">
        <v>1</v>
      </c>
      <c r="I2512" t="n">
        <v>3.549999999999999</v>
      </c>
      <c r="J2512" t="n">
        <v>3.549999999999999</v>
      </c>
      <c r="K2512" t="n">
        <v>0.3</v>
      </c>
      <c r="L2512" t="n">
        <v>3.333333333333333</v>
      </c>
      <c r="M2512" t="n">
        <v>4</v>
      </c>
      <c r="N2512" t="n">
        <v>1.2</v>
      </c>
      <c r="O2512" t="n">
        <v>0</v>
      </c>
      <c r="P2512" t="n">
        <v>0</v>
      </c>
      <c r="Q2512" t="n">
        <v>0</v>
      </c>
      <c r="R2512" t="inlineStr">
        <is>
          <t>OK</t>
        </is>
      </c>
    </row>
    <row r="2513">
      <c r="A2513" t="inlineStr">
        <is>
          <t>CLAMIKI53T12</t>
        </is>
      </c>
      <c r="B2513" t="inlineStr">
        <is>
          <t>CLASICA ORIGINAL KIDS</t>
        </is>
      </c>
      <c r="C2513" t="inlineStr">
        <is>
          <t>Manufactura / Kids / P. Superiores</t>
        </is>
      </c>
      <c r="D2513" t="n">
        <v>74.22648627</v>
      </c>
      <c r="E2513" t="n">
        <v>1.817306146837102e-05</v>
      </c>
      <c r="F2513" t="n">
        <v>0.9924128903978352</v>
      </c>
      <c r="G2513" t="inlineStr">
        <is>
          <t>C</t>
        </is>
      </c>
      <c r="H2513" t="n">
        <v>5</v>
      </c>
      <c r="I2513" t="n">
        <v>2.053774806</v>
      </c>
      <c r="J2513" t="n">
        <v>10.26887403</v>
      </c>
      <c r="K2513" t="n">
        <v>0.2</v>
      </c>
      <c r="L2513" t="n">
        <v>25</v>
      </c>
      <c r="M2513" t="n">
        <v>4</v>
      </c>
      <c r="N2513" t="n">
        <v>0.8</v>
      </c>
      <c r="O2513" t="n">
        <v>4.2</v>
      </c>
      <c r="P2513" t="n">
        <v>8.6258541852</v>
      </c>
      <c r="Q2513" t="n">
        <v>0.8400000000000001</v>
      </c>
      <c r="R2513" t="inlineStr">
        <is>
          <t>Sobrestock crítico</t>
        </is>
      </c>
    </row>
    <row r="2514">
      <c r="A2514" t="inlineStr">
        <is>
          <t>201STCA30TXL</t>
        </is>
      </c>
      <c r="B2514" t="inlineStr">
        <is>
          <t>RETRO VZLA CAB</t>
        </is>
      </c>
      <c r="C2514" t="inlineStr">
        <is>
          <t>Manufactura / Caballero / P. Superiores</t>
        </is>
      </c>
      <c r="D2514" t="n">
        <v>74.10141705999999</v>
      </c>
      <c r="E2514" t="n">
        <v>1.814244045213616e-05</v>
      </c>
      <c r="F2514" t="n">
        <v>0.9924310328382874</v>
      </c>
      <c r="G2514" t="inlineStr">
        <is>
          <t>C</t>
        </is>
      </c>
      <c r="H2514" t="n">
        <v>0</v>
      </c>
      <c r="I2514" t="n">
        <v>12.9</v>
      </c>
      <c r="J2514" t="n">
        <v>0</v>
      </c>
      <c r="K2514" t="n">
        <v>0.2</v>
      </c>
      <c r="L2514" t="n">
        <v>0</v>
      </c>
      <c r="M2514" t="n">
        <v>4</v>
      </c>
      <c r="N2514" t="n">
        <v>0.8</v>
      </c>
      <c r="O2514" t="n">
        <v>0</v>
      </c>
      <c r="P2514" t="n">
        <v>0</v>
      </c>
      <c r="Q2514" t="n">
        <v>0</v>
      </c>
      <c r="R2514" t="inlineStr">
        <is>
          <t>Sin rotación</t>
        </is>
      </c>
    </row>
    <row r="2515">
      <c r="A2515" t="inlineStr">
        <is>
          <t>CLAMIKI12T4</t>
        </is>
      </c>
      <c r="B2515" t="inlineStr">
        <is>
          <t>CLASICA ORIGINAL KIDS</t>
        </is>
      </c>
      <c r="C2515" t="inlineStr">
        <is>
          <t>Manufactura / Kids / P. Superiores</t>
        </is>
      </c>
      <c r="D2515" t="n">
        <v>74</v>
      </c>
      <c r="E2515" t="n">
        <v>1.811761025259502e-05</v>
      </c>
      <c r="F2515" t="n">
        <v>0.9924491504485401</v>
      </c>
      <c r="G2515" t="inlineStr">
        <is>
          <t>C</t>
        </is>
      </c>
      <c r="H2515" t="n">
        <v>5</v>
      </c>
      <c r="I2515" t="n">
        <v>2.053774806</v>
      </c>
      <c r="J2515" t="n">
        <v>10.26887403</v>
      </c>
      <c r="K2515" t="n">
        <v>0.3</v>
      </c>
      <c r="L2515" t="n">
        <v>16.66666666666667</v>
      </c>
      <c r="M2515" t="n">
        <v>4</v>
      </c>
      <c r="N2515" t="n">
        <v>1.2</v>
      </c>
      <c r="O2515" t="n">
        <v>3.8</v>
      </c>
      <c r="P2515" t="n">
        <v>7.804344262799999</v>
      </c>
      <c r="Q2515" t="n">
        <v>0.76</v>
      </c>
      <c r="R2515" t="inlineStr">
        <is>
          <t>Sobrestock crítico</t>
        </is>
      </c>
    </row>
    <row r="2516">
      <c r="A2516" t="inlineStr">
        <is>
          <t>MANMIGE30TP</t>
        </is>
      </c>
      <c r="B2516" t="inlineStr">
        <is>
          <t>MANGAS GENERAL</t>
        </is>
      </c>
      <c r="C2516" t="inlineStr">
        <is>
          <t>Manufactura / General</t>
        </is>
      </c>
      <c r="D2516" t="n">
        <v>73.16619931</v>
      </c>
      <c r="E2516" t="n">
        <v>1.791346868597658e-05</v>
      </c>
      <c r="F2516" t="n">
        <v>0.9924670639172259</v>
      </c>
      <c r="G2516" t="inlineStr">
        <is>
          <t>C</t>
        </is>
      </c>
      <c r="H2516" t="n">
        <v>15</v>
      </c>
      <c r="I2516" t="n">
        <v>0.92</v>
      </c>
      <c r="J2516" t="n">
        <v>13.8</v>
      </c>
      <c r="K2516" t="n">
        <v>0.4</v>
      </c>
      <c r="L2516" t="n">
        <v>37.5</v>
      </c>
      <c r="M2516" t="n">
        <v>4</v>
      </c>
      <c r="N2516" t="n">
        <v>1.6</v>
      </c>
      <c r="O2516" t="n">
        <v>13.4</v>
      </c>
      <c r="P2516" t="n">
        <v>12.328</v>
      </c>
      <c r="Q2516" t="n">
        <v>0.8933333333333334</v>
      </c>
      <c r="R2516" t="inlineStr">
        <is>
          <t>Sobrestock crítico</t>
        </is>
      </c>
    </row>
    <row r="2517">
      <c r="A2517" t="inlineStr">
        <is>
          <t>MARMIKI14T6</t>
        </is>
      </c>
      <c r="B2517" t="inlineStr">
        <is>
          <t>MAR ORIGINAL KIDS</t>
        </is>
      </c>
      <c r="C2517" t="inlineStr">
        <is>
          <t>Manufactura / Kids / P. Superiores</t>
        </is>
      </c>
      <c r="D2517" t="n">
        <v>73.11648778</v>
      </c>
      <c r="E2517" t="n">
        <v>1.790129768427928e-05</v>
      </c>
      <c r="F2517" t="n">
        <v>0.9924849652149103</v>
      </c>
      <c r="G2517" t="inlineStr">
        <is>
          <t>C</t>
        </is>
      </c>
      <c r="H2517" t="n">
        <v>0</v>
      </c>
      <c r="I2517" t="n">
        <v>3.168013332</v>
      </c>
      <c r="J2517" t="n">
        <v>0</v>
      </c>
      <c r="K2517" t="n">
        <v>0.2</v>
      </c>
      <c r="L2517" t="n">
        <v>0</v>
      </c>
      <c r="M2517" t="n">
        <v>4</v>
      </c>
      <c r="N2517" t="n">
        <v>0.8</v>
      </c>
      <c r="O2517" t="n">
        <v>0</v>
      </c>
      <c r="P2517" t="n">
        <v>0</v>
      </c>
      <c r="Q2517" t="n">
        <v>0</v>
      </c>
      <c r="R2517" t="inlineStr">
        <is>
          <t>Sin rotación</t>
        </is>
      </c>
    </row>
    <row r="2518">
      <c r="A2518" t="inlineStr">
        <is>
          <t>RUNTBMBFCA205TL</t>
        </is>
      </c>
      <c r="B2518" t="inlineStr">
        <is>
          <t>RUNNING TANK BIOMOVE CAB</t>
        </is>
      </c>
      <c r="C2518" t="inlineStr">
        <is>
          <t>Manufactura / Caballero / P. Superiores</t>
        </is>
      </c>
      <c r="D2518" t="n">
        <v>73</v>
      </c>
      <c r="E2518" t="n">
        <v>1.787277768161401e-05</v>
      </c>
      <c r="F2518" t="n">
        <v>0.9925028379925919</v>
      </c>
      <c r="G2518" t="inlineStr">
        <is>
          <t>C</t>
        </is>
      </c>
      <c r="H2518" t="n">
        <v>26</v>
      </c>
      <c r="I2518" t="n">
        <v>0.4823510283999999</v>
      </c>
      <c r="J2518" t="n">
        <v>12.5411267384</v>
      </c>
      <c r="K2518" t="n">
        <v>0.3</v>
      </c>
      <c r="L2518" t="n">
        <v>86.66666666666667</v>
      </c>
      <c r="M2518" t="n">
        <v>4</v>
      </c>
      <c r="N2518" t="n">
        <v>1.2</v>
      </c>
      <c r="O2518" t="n">
        <v>24.8</v>
      </c>
      <c r="P2518" t="n">
        <v>11.96230550432</v>
      </c>
      <c r="Q2518" t="n">
        <v>0.9538461538461538</v>
      </c>
      <c r="R2518" t="inlineStr">
        <is>
          <t>Sobrestock crítico</t>
        </is>
      </c>
    </row>
    <row r="2519">
      <c r="A2519" t="inlineStr">
        <is>
          <t>SHOUNKI50T1</t>
        </is>
      </c>
      <c r="B2519" t="inlineStr">
        <is>
          <t>SHORT PLAYA KIDS</t>
        </is>
      </c>
      <c r="C2519" t="inlineStr">
        <is>
          <t>Manufactura / Kids / P. Inferiores</t>
        </is>
      </c>
      <c r="D2519" t="n">
        <v>72.98121433</v>
      </c>
      <c r="E2519" t="n">
        <v>1.786817833773031e-05</v>
      </c>
      <c r="F2519" t="n">
        <v>0.9925207061709297</v>
      </c>
      <c r="G2519" t="inlineStr">
        <is>
          <t>C</t>
        </is>
      </c>
      <c r="H2519" t="n">
        <v>17</v>
      </c>
      <c r="I2519" t="n">
        <v>6.09</v>
      </c>
      <c r="J2519" t="n">
        <v>103.53</v>
      </c>
      <c r="K2519" t="n">
        <v>0.2</v>
      </c>
      <c r="L2519" t="n">
        <v>85</v>
      </c>
      <c r="M2519" t="n">
        <v>4</v>
      </c>
      <c r="N2519" t="n">
        <v>0.8</v>
      </c>
      <c r="O2519" t="n">
        <v>16.2</v>
      </c>
      <c r="P2519" t="n">
        <v>98.65799999999999</v>
      </c>
      <c r="Q2519" t="n">
        <v>0.9529411764705881</v>
      </c>
      <c r="R2519" t="inlineStr">
        <is>
          <t>Sin rotación</t>
        </is>
      </c>
    </row>
    <row r="2520">
      <c r="A2520" t="inlineStr">
        <is>
          <t>TMOFIDA31TXL</t>
        </is>
      </c>
      <c r="B2520" t="inlineStr">
        <is>
          <t>TOP MOVA</t>
        </is>
      </c>
      <c r="C2520" t="inlineStr">
        <is>
          <t>Manufactura / Dama / P. Superiores</t>
        </is>
      </c>
      <c r="D2520" t="n">
        <v>72.83378798</v>
      </c>
      <c r="E2520" t="n">
        <v>1.783208356542946e-05</v>
      </c>
      <c r="F2520" t="n">
        <v>0.9925385382544951</v>
      </c>
      <c r="G2520" t="inlineStr">
        <is>
          <t>C</t>
        </is>
      </c>
      <c r="H2520" t="n">
        <v>9</v>
      </c>
      <c r="I2520" t="n">
        <v>9.942967033</v>
      </c>
      <c r="J2520" t="n">
        <v>89.48670329700001</v>
      </c>
      <c r="K2520" t="n">
        <v>0.1</v>
      </c>
      <c r="L2520" t="n">
        <v>90</v>
      </c>
      <c r="M2520" t="n">
        <v>4</v>
      </c>
      <c r="N2520" t="n">
        <v>0.4</v>
      </c>
      <c r="O2520" t="n">
        <v>8.6</v>
      </c>
      <c r="P2520" t="n">
        <v>85.5095164838</v>
      </c>
      <c r="Q2520" t="n">
        <v>0.9555555555555555</v>
      </c>
      <c r="R2520" t="inlineStr">
        <is>
          <t>Sin rotación</t>
        </is>
      </c>
    </row>
    <row r="2521">
      <c r="A2521" t="inlineStr">
        <is>
          <t>MARMIKI52T10</t>
        </is>
      </c>
      <c r="B2521" t="inlineStr">
        <is>
          <t>MAR ORIGINAL KIDS</t>
        </is>
      </c>
      <c r="C2521" t="inlineStr">
        <is>
          <t>Manufactura / Kids / P. Superiores</t>
        </is>
      </c>
      <c r="D2521" t="n">
        <v>72.82745558000001</v>
      </c>
      <c r="E2521" t="n">
        <v>1.783053318765698e-05</v>
      </c>
      <c r="F2521" t="n">
        <v>0.9925563687876827</v>
      </c>
      <c r="G2521" t="inlineStr">
        <is>
          <t>C</t>
        </is>
      </c>
      <c r="H2521" t="n">
        <v>0</v>
      </c>
      <c r="I2521" t="n">
        <v>3.168013332</v>
      </c>
      <c r="J2521" t="n">
        <v>0</v>
      </c>
      <c r="K2521" t="n">
        <v>0.2</v>
      </c>
      <c r="L2521" t="n">
        <v>0</v>
      </c>
      <c r="M2521" t="n">
        <v>4</v>
      </c>
      <c r="N2521" t="n">
        <v>0.8</v>
      </c>
      <c r="O2521" t="n">
        <v>0</v>
      </c>
      <c r="P2521" t="n">
        <v>0</v>
      </c>
      <c r="Q2521" t="n">
        <v>0</v>
      </c>
      <c r="R2521" t="inlineStr">
        <is>
          <t>Sin rotación</t>
        </is>
      </c>
    </row>
    <row r="2522">
      <c r="A2522" t="inlineStr">
        <is>
          <t>SABSTCA30TL</t>
        </is>
      </c>
      <c r="B2522" t="inlineStr">
        <is>
          <t>RETRO VZLA CAB</t>
        </is>
      </c>
      <c r="C2522" t="inlineStr">
        <is>
          <t>Manufactura / Caballero / P. Superiores</t>
        </is>
      </c>
      <c r="D2522" t="n">
        <v>72.59001918999999</v>
      </c>
      <c r="E2522" t="n">
        <v>1.777240102584883e-05</v>
      </c>
      <c r="F2522" t="n">
        <v>0.9925741411887086</v>
      </c>
      <c r="G2522" t="inlineStr">
        <is>
          <t>C</t>
        </is>
      </c>
      <c r="H2522" t="n">
        <v>0</v>
      </c>
      <c r="I2522" t="n">
        <v>12.9</v>
      </c>
      <c r="J2522" t="n">
        <v>0</v>
      </c>
      <c r="K2522" t="n">
        <v>0.2</v>
      </c>
      <c r="L2522" t="n">
        <v>0</v>
      </c>
      <c r="M2522" t="n">
        <v>4</v>
      </c>
      <c r="N2522" t="n">
        <v>0.8</v>
      </c>
      <c r="O2522" t="n">
        <v>0</v>
      </c>
      <c r="P2522" t="n">
        <v>0</v>
      </c>
      <c r="Q2522" t="n">
        <v>0</v>
      </c>
      <c r="R2522" t="inlineStr">
        <is>
          <t>Sin rotación</t>
        </is>
      </c>
    </row>
    <row r="2523">
      <c r="A2523" t="inlineStr">
        <is>
          <t>CLAMICA11T2XL</t>
        </is>
      </c>
      <c r="B2523" t="inlineStr">
        <is>
          <t>CLASICA ORIGINAL CAB</t>
        </is>
      </c>
      <c r="C2523" t="inlineStr">
        <is>
          <t>Manufactura / Caballero / P. Superiores</t>
        </is>
      </c>
      <c r="D2523" t="n">
        <v>72.43821224</v>
      </c>
      <c r="E2523" t="n">
        <v>1.773523373998755e-05</v>
      </c>
      <c r="F2523" t="n">
        <v>0.9925918764224485</v>
      </c>
      <c r="G2523" t="inlineStr">
        <is>
          <t>C</t>
        </is>
      </c>
      <c r="H2523" t="n">
        <v>1</v>
      </c>
      <c r="I2523" t="n">
        <v>4.598442536</v>
      </c>
      <c r="J2523" t="n">
        <v>4.598442536</v>
      </c>
      <c r="K2523" t="n">
        <v>0.5</v>
      </c>
      <c r="L2523" t="n">
        <v>2</v>
      </c>
      <c r="M2523" t="n">
        <v>4</v>
      </c>
      <c r="N2523" t="n">
        <v>2</v>
      </c>
      <c r="O2523" t="n">
        <v>0</v>
      </c>
      <c r="P2523" t="n">
        <v>0</v>
      </c>
      <c r="Q2523" t="n">
        <v>0</v>
      </c>
      <c r="R2523" t="inlineStr">
        <is>
          <t>OK</t>
        </is>
      </c>
    </row>
    <row r="2524">
      <c r="A2524" t="inlineStr">
        <is>
          <t>CLAMEDA13TS</t>
        </is>
      </c>
      <c r="B2524" t="inlineStr">
        <is>
          <t>CLÁSICA SPORT DAMA</t>
        </is>
      </c>
      <c r="C2524" t="inlineStr">
        <is>
          <t>Manufactura / Dama / P. Superiores</t>
        </is>
      </c>
      <c r="D2524" t="n">
        <v>72.39329845</v>
      </c>
      <c r="E2524" t="n">
        <v>1.772423738130934e-05</v>
      </c>
      <c r="F2524" t="n">
        <v>0.9926096006598297</v>
      </c>
      <c r="G2524" t="inlineStr">
        <is>
          <t>C</t>
        </is>
      </c>
      <c r="H2524" t="n">
        <v>0</v>
      </c>
      <c r="I2524" t="n">
        <v>6.536105769</v>
      </c>
      <c r="J2524" t="n">
        <v>0</v>
      </c>
      <c r="K2524" t="n">
        <v>0.3</v>
      </c>
      <c r="L2524" t="n">
        <v>0</v>
      </c>
      <c r="M2524" t="n">
        <v>4</v>
      </c>
      <c r="N2524" t="n">
        <v>1.2</v>
      </c>
      <c r="O2524" t="n">
        <v>0</v>
      </c>
      <c r="P2524" t="n">
        <v>0</v>
      </c>
      <c r="Q2524" t="n">
        <v>0</v>
      </c>
      <c r="R2524" t="inlineStr">
        <is>
          <t>Sin rotación</t>
        </is>
      </c>
    </row>
    <row r="2525">
      <c r="A2525" t="inlineStr">
        <is>
          <t>CLAMIKI11T6</t>
        </is>
      </c>
      <c r="B2525" t="inlineStr">
        <is>
          <t>CLASICA ORIGINAL KIDS</t>
        </is>
      </c>
      <c r="C2525" t="inlineStr">
        <is>
          <t>Manufactura / Kids / P. Superiores</t>
        </is>
      </c>
      <c r="D2525" t="n">
        <v>72.15000000000001</v>
      </c>
      <c r="E2525" t="n">
        <v>1.766466999628015e-05</v>
      </c>
      <c r="F2525" t="n">
        <v>0.9926272653298261</v>
      </c>
      <c r="G2525" t="inlineStr">
        <is>
          <t>C</t>
        </is>
      </c>
      <c r="H2525" t="n">
        <v>2</v>
      </c>
      <c r="I2525" t="n">
        <v>2.053774806</v>
      </c>
      <c r="J2525" t="n">
        <v>4.107549612</v>
      </c>
      <c r="K2525" t="n">
        <v>0.2</v>
      </c>
      <c r="L2525" t="n">
        <v>10</v>
      </c>
      <c r="M2525" t="n">
        <v>4</v>
      </c>
      <c r="N2525" t="n">
        <v>0.8</v>
      </c>
      <c r="O2525" t="n">
        <v>1.2</v>
      </c>
      <c r="P2525" t="n">
        <v>2.4645297672</v>
      </c>
      <c r="Q2525" t="n">
        <v>0.6</v>
      </c>
      <c r="R2525" t="inlineStr">
        <is>
          <t>Sobrestock crítico</t>
        </is>
      </c>
    </row>
    <row r="2526">
      <c r="A2526" t="inlineStr">
        <is>
          <t>GOOSTKI16T8</t>
        </is>
      </c>
      <c r="B2526" t="inlineStr">
        <is>
          <t>RETRO VZLA KIDS</t>
        </is>
      </c>
      <c r="C2526" t="inlineStr">
        <is>
          <t>Manufactura / Dama / P. Superiores</t>
        </is>
      </c>
      <c r="D2526" t="n">
        <v>72.078867</v>
      </c>
      <c r="E2526" t="n">
        <v>1.764725432100856e-05</v>
      </c>
      <c r="F2526" t="n">
        <v>0.9926449125841472</v>
      </c>
      <c r="G2526" t="inlineStr">
        <is>
          <t>C</t>
        </is>
      </c>
      <c r="H2526" t="n">
        <v>3</v>
      </c>
      <c r="I2526" t="n">
        <v>10.18</v>
      </c>
      <c r="J2526" t="n">
        <v>30.54</v>
      </c>
      <c r="K2526" t="n">
        <v>0.2</v>
      </c>
      <c r="L2526" t="n">
        <v>15</v>
      </c>
      <c r="M2526" t="n">
        <v>4</v>
      </c>
      <c r="N2526" t="n">
        <v>0.8</v>
      </c>
      <c r="O2526" t="n">
        <v>2.2</v>
      </c>
      <c r="P2526" t="n">
        <v>22.396</v>
      </c>
      <c r="Q2526" t="n">
        <v>0.7333333333333334</v>
      </c>
      <c r="R2526" t="inlineStr">
        <is>
          <t>Sobrestock crítico</t>
        </is>
      </c>
    </row>
    <row r="2527">
      <c r="A2527" t="inlineStr">
        <is>
          <t>DALSSTDA30TL</t>
        </is>
      </c>
      <c r="B2527" t="inlineStr">
        <is>
          <t>MANGA LARGA DAILY 2.0 DAMA</t>
        </is>
      </c>
      <c r="C2527" t="inlineStr">
        <is>
          <t>Manufactura / Dama / P. Superiores</t>
        </is>
      </c>
      <c r="D2527" t="n">
        <v>71.51969026</v>
      </c>
      <c r="E2527" t="n">
        <v>1.751034964212157e-05</v>
      </c>
      <c r="F2527" t="n">
        <v>0.9926624229337893</v>
      </c>
      <c r="G2527" t="inlineStr">
        <is>
          <t>C</t>
        </is>
      </c>
      <c r="H2527" t="n">
        <v>3</v>
      </c>
      <c r="I2527" t="n">
        <v>12.3</v>
      </c>
      <c r="J2527" t="n">
        <v>36.90000000000001</v>
      </c>
      <c r="K2527" t="n">
        <v>0.1</v>
      </c>
      <c r="L2527" t="n">
        <v>30</v>
      </c>
      <c r="M2527" t="n">
        <v>4</v>
      </c>
      <c r="N2527" t="n">
        <v>0.4</v>
      </c>
      <c r="O2527" t="n">
        <v>2.6</v>
      </c>
      <c r="P2527" t="n">
        <v>31.98</v>
      </c>
      <c r="Q2527" t="n">
        <v>0.8666666666666667</v>
      </c>
      <c r="R2527" t="inlineStr">
        <is>
          <t>Sobrestock crítico</t>
        </is>
      </c>
    </row>
    <row r="2528">
      <c r="A2528" t="inlineStr">
        <is>
          <t>GOOSTKI16T14</t>
        </is>
      </c>
      <c r="B2528" t="inlineStr">
        <is>
          <t>RETRO VZLA KIDS</t>
        </is>
      </c>
      <c r="C2528" t="inlineStr">
        <is>
          <t>Manufactura / Dama / P. Superiores</t>
        </is>
      </c>
      <c r="D2528" t="n">
        <v>71.28019302</v>
      </c>
      <c r="E2528" t="n">
        <v>1.745171291710952e-05</v>
      </c>
      <c r="F2528" t="n">
        <v>0.9926798746467064</v>
      </c>
      <c r="G2528" t="inlineStr">
        <is>
          <t>C</t>
        </is>
      </c>
      <c r="H2528" t="n">
        <v>3</v>
      </c>
      <c r="I2528" t="n">
        <v>10.18</v>
      </c>
      <c r="J2528" t="n">
        <v>30.54</v>
      </c>
      <c r="K2528" t="n">
        <v>0.4</v>
      </c>
      <c r="L2528" t="n">
        <v>7.5</v>
      </c>
      <c r="M2528" t="n">
        <v>4</v>
      </c>
      <c r="N2528" t="n">
        <v>1.6</v>
      </c>
      <c r="O2528" t="n">
        <v>1.4</v>
      </c>
      <c r="P2528" t="n">
        <v>14.252</v>
      </c>
      <c r="Q2528" t="n">
        <v>0.4666666666666666</v>
      </c>
      <c r="R2528" t="inlineStr">
        <is>
          <t>Sobrestock crítico</t>
        </is>
      </c>
    </row>
    <row r="2529">
      <c r="A2529" t="inlineStr">
        <is>
          <t>MARMIKI14T12</t>
        </is>
      </c>
      <c r="B2529" t="inlineStr">
        <is>
          <t>MAR ORIGINAL KIDS</t>
        </is>
      </c>
      <c r="C2529" t="inlineStr">
        <is>
          <t>Manufactura / Kids / P. Superiores</t>
        </is>
      </c>
      <c r="D2529" t="n">
        <v>71.24685645</v>
      </c>
      <c r="E2529" t="n">
        <v>1.744355103896873e-05</v>
      </c>
      <c r="F2529" t="n">
        <v>0.9926973181977453</v>
      </c>
      <c r="G2529" t="inlineStr">
        <is>
          <t>C</t>
        </is>
      </c>
      <c r="H2529" t="n">
        <v>0</v>
      </c>
      <c r="I2529" t="n">
        <v>3.168013332</v>
      </c>
      <c r="J2529" t="n">
        <v>0</v>
      </c>
      <c r="K2529" t="n">
        <v>0.2</v>
      </c>
      <c r="L2529" t="n">
        <v>0</v>
      </c>
      <c r="M2529" t="n">
        <v>4</v>
      </c>
      <c r="N2529" t="n">
        <v>0.8</v>
      </c>
      <c r="O2529" t="n">
        <v>0</v>
      </c>
      <c r="P2529" t="n">
        <v>0</v>
      </c>
      <c r="Q2529" t="n">
        <v>0</v>
      </c>
      <c r="R2529" t="inlineStr">
        <is>
          <t>Sin rotación</t>
        </is>
      </c>
    </row>
    <row r="2530">
      <c r="A2530" t="inlineStr">
        <is>
          <t>GEOMACADA43TXL</t>
        </is>
      </c>
      <c r="B2530" t="inlineStr">
        <is>
          <t>ADVANCE GEO MAYA DAMA</t>
        </is>
      </c>
      <c r="C2530" t="inlineStr">
        <is>
          <t>Manufactura / Dama / P. Superiores</t>
        </is>
      </c>
      <c r="D2530" t="n">
        <v>71.22450084</v>
      </c>
      <c r="E2530" t="n">
        <v>1.743807765749658e-05</v>
      </c>
      <c r="F2530" t="n">
        <v>0.9927147562754028</v>
      </c>
      <c r="G2530" t="inlineStr">
        <is>
          <t>C</t>
        </is>
      </c>
      <c r="H2530" t="n">
        <v>12</v>
      </c>
      <c r="I2530" t="n">
        <v>10.33</v>
      </c>
      <c r="J2530" t="n">
        <v>123.96</v>
      </c>
      <c r="K2530" t="n">
        <v>0.1</v>
      </c>
      <c r="L2530" t="n">
        <v>120</v>
      </c>
      <c r="M2530" t="n">
        <v>4</v>
      </c>
      <c r="N2530" t="n">
        <v>0.4</v>
      </c>
      <c r="O2530" t="n">
        <v>11.6</v>
      </c>
      <c r="P2530" t="n">
        <v>119.828</v>
      </c>
      <c r="Q2530" t="n">
        <v>0.9666666666666667</v>
      </c>
      <c r="R2530" t="inlineStr">
        <is>
          <t>Sobrestock crítico</t>
        </is>
      </c>
    </row>
    <row r="2531">
      <c r="A2531" t="inlineStr">
        <is>
          <t>MARMIKI24T4</t>
        </is>
      </c>
      <c r="B2531" t="inlineStr">
        <is>
          <t>MAR ORIGINAL KIDS</t>
        </is>
      </c>
      <c r="C2531" t="inlineStr">
        <is>
          <t>Manufactura / Kids / P. Superiores</t>
        </is>
      </c>
      <c r="D2531" t="n">
        <v>71.08190182</v>
      </c>
      <c r="E2531" t="n">
        <v>1.740316477281061e-05</v>
      </c>
      <c r="F2531" t="n">
        <v>0.9927321594401756</v>
      </c>
      <c r="G2531" t="inlineStr">
        <is>
          <t>C</t>
        </is>
      </c>
      <c r="H2531" t="n">
        <v>0</v>
      </c>
      <c r="I2531" t="n">
        <v>3.168013332</v>
      </c>
      <c r="J2531" t="n">
        <v>0</v>
      </c>
      <c r="K2531" t="n">
        <v>0.3</v>
      </c>
      <c r="L2531" t="n">
        <v>0</v>
      </c>
      <c r="M2531" t="n">
        <v>4</v>
      </c>
      <c r="N2531" t="n">
        <v>1.2</v>
      </c>
      <c r="O2531" t="n">
        <v>0</v>
      </c>
      <c r="P2531" t="n">
        <v>0</v>
      </c>
      <c r="Q2531" t="n">
        <v>0</v>
      </c>
      <c r="R2531" t="inlineStr">
        <is>
          <t>Riesgo bajo stock</t>
        </is>
      </c>
    </row>
    <row r="2532">
      <c r="A2532" t="inlineStr">
        <is>
          <t>201STDA43TS</t>
        </is>
      </c>
      <c r="B2532" t="inlineStr">
        <is>
          <t>RETRO VZLA DAMA</t>
        </is>
      </c>
      <c r="C2532" t="inlineStr">
        <is>
          <t>Manufactura / Dama / P. Superiores</t>
        </is>
      </c>
      <c r="D2532" t="n">
        <v>71.07542223999999</v>
      </c>
      <c r="E2532" t="n">
        <v>1.740157836058033e-05</v>
      </c>
      <c r="F2532" t="n">
        <v>0.9927495610185362</v>
      </c>
      <c r="G2532" t="inlineStr">
        <is>
          <t>C</t>
        </is>
      </c>
      <c r="H2532" t="n">
        <v>0</v>
      </c>
      <c r="I2532" t="n">
        <v>11.23</v>
      </c>
      <c r="J2532" t="n">
        <v>0</v>
      </c>
      <c r="K2532" t="n">
        <v>0.3</v>
      </c>
      <c r="L2532" t="n">
        <v>0</v>
      </c>
      <c r="M2532" t="n">
        <v>4</v>
      </c>
      <c r="N2532" t="n">
        <v>1.2</v>
      </c>
      <c r="O2532" t="n">
        <v>0</v>
      </c>
      <c r="P2532" t="n">
        <v>0</v>
      </c>
      <c r="Q2532" t="n">
        <v>0</v>
      </c>
      <c r="R2532" t="inlineStr">
        <is>
          <t>Riesgo bajo stock</t>
        </is>
      </c>
    </row>
    <row r="2533">
      <c r="A2533" t="inlineStr">
        <is>
          <t>MARMICA39TL</t>
        </is>
      </c>
      <c r="B2533" t="inlineStr">
        <is>
          <t>MAR ORIGINAL CAB</t>
        </is>
      </c>
      <c r="C2533" t="inlineStr">
        <is>
          <t>Manufactura / Caballero / P. Superiores</t>
        </is>
      </c>
      <c r="D2533" t="n">
        <v>71.00134180000001</v>
      </c>
      <c r="E2533" t="n">
        <v>1.738344105599573e-05</v>
      </c>
      <c r="F2533" t="n">
        <v>0.9927669444595922</v>
      </c>
      <c r="G2533" t="inlineStr">
        <is>
          <t>C</t>
        </is>
      </c>
      <c r="H2533" t="n">
        <v>0</v>
      </c>
      <c r="I2533" t="n">
        <v>4.946357428</v>
      </c>
      <c r="J2533" t="n">
        <v>0</v>
      </c>
      <c r="K2533" t="n">
        <v>1.4</v>
      </c>
      <c r="L2533" t="n">
        <v>0</v>
      </c>
      <c r="M2533" t="n">
        <v>4</v>
      </c>
      <c r="N2533" t="n">
        <v>5.6</v>
      </c>
      <c r="O2533" t="n">
        <v>0</v>
      </c>
      <c r="P2533" t="n">
        <v>0</v>
      </c>
      <c r="Q2533" t="n">
        <v>0</v>
      </c>
      <c r="R2533" t="inlineStr">
        <is>
          <t>Riesgo bajo stock</t>
        </is>
      </c>
    </row>
    <row r="2534">
      <c r="A2534" t="inlineStr">
        <is>
          <t>HELBFDA30TXL</t>
        </is>
      </c>
      <c r="B2534" t="inlineStr">
        <is>
          <t>HELEN BIO MOVE DAMA</t>
        </is>
      </c>
      <c r="C2534" t="inlineStr">
        <is>
          <t>Manufactura / Dama / P. Superiores</t>
        </is>
      </c>
      <c r="D2534" t="n">
        <v>70.66399903999999</v>
      </c>
      <c r="E2534" t="n">
        <v>1.730084856076309e-05</v>
      </c>
      <c r="F2534" t="n">
        <v>0.992784245308153</v>
      </c>
      <c r="G2534" t="inlineStr">
        <is>
          <t>C</t>
        </is>
      </c>
      <c r="H2534" t="n">
        <v>33</v>
      </c>
      <c r="I2534" t="n">
        <v>7.34081746</v>
      </c>
      <c r="J2534" t="n">
        <v>242.24697618</v>
      </c>
      <c r="K2534" t="n">
        <v>0.1</v>
      </c>
      <c r="L2534" t="n">
        <v>330</v>
      </c>
      <c r="M2534" t="n">
        <v>4</v>
      </c>
      <c r="N2534" t="n">
        <v>0.4</v>
      </c>
      <c r="O2534" t="n">
        <v>32.6</v>
      </c>
      <c r="P2534" t="n">
        <v>239.310649196</v>
      </c>
      <c r="Q2534" t="n">
        <v>0.9878787878787879</v>
      </c>
      <c r="R2534" t="inlineStr">
        <is>
          <t>Sobrestock crítico</t>
        </is>
      </c>
    </row>
    <row r="2535">
      <c r="A2535" t="inlineStr">
        <is>
          <t>DANMIKI43T6</t>
        </is>
      </c>
      <c r="B2535" t="inlineStr">
        <is>
          <t>DANI ORIGINAL KIDS</t>
        </is>
      </c>
      <c r="C2535" t="inlineStr">
        <is>
          <t>Manufactura / Kids / P. Superiores</t>
        </is>
      </c>
      <c r="D2535" t="n">
        <v>70.64533285</v>
      </c>
      <c r="E2535" t="n">
        <v>1.729627846947498e-05</v>
      </c>
      <c r="F2535" t="n">
        <v>0.9928015415866224</v>
      </c>
      <c r="G2535" t="inlineStr">
        <is>
          <t>C</t>
        </is>
      </c>
      <c r="H2535" t="n">
        <v>0</v>
      </c>
      <c r="I2535" t="n">
        <v>3.549999999999999</v>
      </c>
      <c r="J2535" t="n">
        <v>0</v>
      </c>
      <c r="K2535" t="n">
        <v>0.3</v>
      </c>
      <c r="L2535" t="n">
        <v>0</v>
      </c>
      <c r="M2535" t="n">
        <v>4</v>
      </c>
      <c r="N2535" t="n">
        <v>1.2</v>
      </c>
      <c r="O2535" t="n">
        <v>0</v>
      </c>
      <c r="P2535" t="n">
        <v>0</v>
      </c>
      <c r="Q2535" t="n">
        <v>0</v>
      </c>
      <c r="R2535" t="inlineStr">
        <is>
          <t>Riesgo bajo stock</t>
        </is>
      </c>
    </row>
    <row r="2536">
      <c r="A2536" t="inlineStr">
        <is>
          <t>MANMIGE09TG</t>
        </is>
      </c>
      <c r="B2536" t="inlineStr">
        <is>
          <t>MANGAS GENERAL</t>
        </is>
      </c>
      <c r="C2536" t="inlineStr">
        <is>
          <t>Manufactura / General</t>
        </is>
      </c>
      <c r="D2536" t="n">
        <v>70.56852871</v>
      </c>
      <c r="E2536" t="n">
        <v>1.727747431441679e-05</v>
      </c>
      <c r="F2536" t="n">
        <v>0.9928188190609368</v>
      </c>
      <c r="G2536" t="inlineStr">
        <is>
          <t>C</t>
        </is>
      </c>
      <c r="H2536" t="n">
        <v>3</v>
      </c>
      <c r="I2536" t="n">
        <v>0.9200000000000002</v>
      </c>
      <c r="J2536" t="n">
        <v>2.760000000000001</v>
      </c>
      <c r="K2536" t="n">
        <v>0.5</v>
      </c>
      <c r="L2536" t="n">
        <v>6</v>
      </c>
      <c r="M2536" t="n">
        <v>4</v>
      </c>
      <c r="N2536" t="n">
        <v>2</v>
      </c>
      <c r="O2536" t="n">
        <v>1</v>
      </c>
      <c r="P2536" t="n">
        <v>0.9200000000000002</v>
      </c>
      <c r="Q2536" t="n">
        <v>0.3333333333333333</v>
      </c>
      <c r="R2536" t="inlineStr">
        <is>
          <t>Sobrestock crítico</t>
        </is>
      </c>
    </row>
    <row r="2537">
      <c r="A2537" t="inlineStr">
        <is>
          <t>MARMIKI09T6</t>
        </is>
      </c>
      <c r="B2537" t="inlineStr">
        <is>
          <t>MAR ORIGINAL KIDS</t>
        </is>
      </c>
      <c r="C2537" t="inlineStr">
        <is>
          <t>Manufactura / Kids / P. Superiores</t>
        </is>
      </c>
      <c r="D2537" t="n">
        <v>70.54902138</v>
      </c>
      <c r="E2537" t="n">
        <v>1.727269828465991e-05</v>
      </c>
      <c r="F2537" t="n">
        <v>0.9928360917592215</v>
      </c>
      <c r="G2537" t="inlineStr">
        <is>
          <t>C</t>
        </is>
      </c>
      <c r="H2537" t="n">
        <v>0</v>
      </c>
      <c r="I2537" t="n">
        <v>3.168013332</v>
      </c>
      <c r="J2537" t="n">
        <v>0</v>
      </c>
      <c r="K2537" t="n">
        <v>0.2</v>
      </c>
      <c r="L2537" t="n">
        <v>0</v>
      </c>
      <c r="M2537" t="n">
        <v>4</v>
      </c>
      <c r="N2537" t="n">
        <v>0.8</v>
      </c>
      <c r="O2537" t="n">
        <v>0</v>
      </c>
      <c r="P2537" t="n">
        <v>0</v>
      </c>
      <c r="Q2537" t="n">
        <v>0</v>
      </c>
      <c r="R2537" t="inlineStr">
        <is>
          <t>Sin rotación</t>
        </is>
      </c>
    </row>
    <row r="2538">
      <c r="A2538" t="inlineStr">
        <is>
          <t>MARMIKI28T4</t>
        </is>
      </c>
      <c r="B2538" t="inlineStr">
        <is>
          <t>MAR ORIGINAL KIDS</t>
        </is>
      </c>
      <c r="C2538" t="inlineStr">
        <is>
          <t>Manufactura / Kids / P. Superiores</t>
        </is>
      </c>
      <c r="D2538" t="n">
        <v>70.49132831999999</v>
      </c>
      <c r="E2538" t="n">
        <v>1.725857314445235e-05</v>
      </c>
      <c r="F2538" t="n">
        <v>0.992853350332366</v>
      </c>
      <c r="G2538" t="inlineStr">
        <is>
          <t>C</t>
        </is>
      </c>
      <c r="H2538" t="n">
        <v>0</v>
      </c>
      <c r="I2538" t="n">
        <v>3.168013332</v>
      </c>
      <c r="J2538" t="n">
        <v>0</v>
      </c>
      <c r="K2538" t="n">
        <v>0.2</v>
      </c>
      <c r="L2538" t="n">
        <v>0</v>
      </c>
      <c r="M2538" t="n">
        <v>4</v>
      </c>
      <c r="N2538" t="n">
        <v>0.8</v>
      </c>
      <c r="O2538" t="n">
        <v>0</v>
      </c>
      <c r="P2538" t="n">
        <v>0</v>
      </c>
      <c r="Q2538" t="n">
        <v>0</v>
      </c>
      <c r="R2538" t="inlineStr">
        <is>
          <t>Sin rotación</t>
        </is>
      </c>
    </row>
    <row r="2539">
      <c r="A2539" t="inlineStr">
        <is>
          <t>RIOMIKI30T8</t>
        </is>
      </c>
      <c r="B2539" t="inlineStr">
        <is>
          <t>RIO ORIGINAL KIDS</t>
        </is>
      </c>
      <c r="C2539" t="inlineStr">
        <is>
          <t>Manufactura / Kids / P. Superiores</t>
        </is>
      </c>
      <c r="D2539" t="n">
        <v>70.39600039000001</v>
      </c>
      <c r="E2539" t="n">
        <v>1.723523376226415e-05</v>
      </c>
      <c r="F2539" t="n">
        <v>0.9928705855661283</v>
      </c>
      <c r="G2539" t="inlineStr">
        <is>
          <t>C</t>
        </is>
      </c>
      <c r="H2539" t="n">
        <v>0</v>
      </c>
      <c r="I2539" t="n">
        <v>3.617969464</v>
      </c>
      <c r="J2539" t="n">
        <v>0</v>
      </c>
      <c r="K2539" t="n">
        <v>0.2</v>
      </c>
      <c r="L2539" t="n">
        <v>0</v>
      </c>
      <c r="M2539" t="n">
        <v>4</v>
      </c>
      <c r="N2539" t="n">
        <v>0.8</v>
      </c>
      <c r="O2539" t="n">
        <v>0</v>
      </c>
      <c r="P2539" t="n">
        <v>0</v>
      </c>
      <c r="Q2539" t="n">
        <v>0</v>
      </c>
      <c r="R2539" t="inlineStr">
        <is>
          <t>Riesgo bajo stock</t>
        </is>
      </c>
    </row>
    <row r="2540">
      <c r="A2540" t="inlineStr">
        <is>
          <t>MARMIKI05T12</t>
        </is>
      </c>
      <c r="B2540" t="inlineStr">
        <is>
          <t>MAR ORIGINAL KIDS</t>
        </is>
      </c>
      <c r="C2540" t="inlineStr">
        <is>
          <t>Manufactura / Kids / P. Superiores</t>
        </is>
      </c>
      <c r="D2540" t="n">
        <v>70.25809149</v>
      </c>
      <c r="E2540" t="n">
        <v>1.720146917171599e-05</v>
      </c>
      <c r="F2540" t="n">
        <v>0.9928877870352999</v>
      </c>
      <c r="G2540" t="inlineStr">
        <is>
          <t>C</t>
        </is>
      </c>
      <c r="H2540" t="n">
        <v>0</v>
      </c>
      <c r="I2540" t="n">
        <v>3.168013332</v>
      </c>
      <c r="J2540" t="n">
        <v>0</v>
      </c>
      <c r="K2540" t="n">
        <v>0.2</v>
      </c>
      <c r="L2540" t="n">
        <v>0</v>
      </c>
      <c r="M2540" t="n">
        <v>4</v>
      </c>
      <c r="N2540" t="n">
        <v>0.8</v>
      </c>
      <c r="O2540" t="n">
        <v>0</v>
      </c>
      <c r="P2540" t="n">
        <v>0</v>
      </c>
      <c r="Q2540" t="n">
        <v>0</v>
      </c>
      <c r="R2540" t="inlineStr">
        <is>
          <t>Sin rotación</t>
        </is>
      </c>
    </row>
    <row r="2541">
      <c r="A2541" t="inlineStr">
        <is>
          <t>ZOEMIDA09TL</t>
        </is>
      </c>
      <c r="B2541" t="inlineStr">
        <is>
          <t>ZOE ORIGINAL DAMA</t>
        </is>
      </c>
      <c r="C2541" t="inlineStr">
        <is>
          <t>Manufactura / Dama / P. Superiores</t>
        </is>
      </c>
      <c r="D2541" t="n">
        <v>70.20605212999999</v>
      </c>
      <c r="E2541" t="n">
        <v>1.718872824141498e-05</v>
      </c>
      <c r="F2541" t="n">
        <v>0.9929049757635413</v>
      </c>
      <c r="G2541" t="inlineStr">
        <is>
          <t>C</t>
        </is>
      </c>
      <c r="H2541" t="n">
        <v>0</v>
      </c>
      <c r="I2541" t="n">
        <v>4.116585696</v>
      </c>
      <c r="J2541" t="n">
        <v>0</v>
      </c>
      <c r="K2541" t="n">
        <v>0.2</v>
      </c>
      <c r="L2541" t="n">
        <v>0</v>
      </c>
      <c r="M2541" t="n">
        <v>4</v>
      </c>
      <c r="N2541" t="n">
        <v>0.8</v>
      </c>
      <c r="O2541" t="n">
        <v>0</v>
      </c>
      <c r="P2541" t="n">
        <v>0</v>
      </c>
      <c r="Q2541" t="n">
        <v>0</v>
      </c>
      <c r="R2541" t="inlineStr">
        <is>
          <t>Sin rotación</t>
        </is>
      </c>
    </row>
    <row r="2542">
      <c r="A2542" t="inlineStr">
        <is>
          <t>AQUSTDA43TL</t>
        </is>
      </c>
      <c r="B2542" t="inlineStr">
        <is>
          <t>RETRO VZLA DAMA</t>
        </is>
      </c>
      <c r="C2542" t="inlineStr">
        <is>
          <t>Manufactura / Dama / P. Superiores</t>
        </is>
      </c>
      <c r="D2542" t="n">
        <v>70.05108143999999</v>
      </c>
      <c r="E2542" t="n">
        <v>1.715078636895558e-05</v>
      </c>
      <c r="F2542" t="n">
        <v>0.9929221265499103</v>
      </c>
      <c r="G2542" t="inlineStr">
        <is>
          <t>C</t>
        </is>
      </c>
      <c r="H2542" t="n">
        <v>0</v>
      </c>
      <c r="I2542" t="n">
        <v>11.23</v>
      </c>
      <c r="J2542" t="n">
        <v>0</v>
      </c>
      <c r="K2542" t="n">
        <v>0.2</v>
      </c>
      <c r="L2542" t="n">
        <v>0</v>
      </c>
      <c r="M2542" t="n">
        <v>4</v>
      </c>
      <c r="N2542" t="n">
        <v>0.8</v>
      </c>
      <c r="O2542" t="n">
        <v>0</v>
      </c>
      <c r="P2542" t="n">
        <v>0</v>
      </c>
      <c r="Q2542" t="n">
        <v>0</v>
      </c>
      <c r="R2542" t="inlineStr">
        <is>
          <t>Sin rotación</t>
        </is>
      </c>
    </row>
    <row r="2543">
      <c r="A2543" t="inlineStr">
        <is>
          <t>ANDMIDA30TM</t>
        </is>
      </c>
      <c r="B2543" t="inlineStr">
        <is>
          <t>ANDRE ORIGINAL DAMA</t>
        </is>
      </c>
      <c r="C2543" t="inlineStr">
        <is>
          <t>Manufactura / Dama / P. Superiores</t>
        </is>
      </c>
      <c r="D2543" t="n">
        <v>70.00138403</v>
      </c>
      <c r="E2543" t="n">
        <v>1.713861882429418e-05</v>
      </c>
      <c r="F2543" t="n">
        <v>0.9929392651687347</v>
      </c>
      <c r="G2543" t="inlineStr">
        <is>
          <t>C</t>
        </is>
      </c>
      <c r="H2543" t="n">
        <v>1</v>
      </c>
      <c r="I2543" t="n">
        <v>3.274295302</v>
      </c>
      <c r="J2543" t="n">
        <v>3.274295302</v>
      </c>
      <c r="K2543" t="n">
        <v>0.2</v>
      </c>
      <c r="L2543" t="n">
        <v>5</v>
      </c>
      <c r="M2543" t="n">
        <v>4</v>
      </c>
      <c r="N2543" t="n">
        <v>0.8</v>
      </c>
      <c r="O2543" t="n">
        <v>0.2</v>
      </c>
      <c r="P2543" t="n">
        <v>0.6548590603999999</v>
      </c>
      <c r="Q2543" t="n">
        <v>0.2</v>
      </c>
      <c r="R2543" t="inlineStr">
        <is>
          <t>Sobrestock</t>
        </is>
      </c>
    </row>
    <row r="2544">
      <c r="A2544" t="inlineStr">
        <is>
          <t>RUNTBMBFCA209TS</t>
        </is>
      </c>
      <c r="B2544" t="inlineStr">
        <is>
          <t>RUNNING TANK BIOMOVE CAB</t>
        </is>
      </c>
      <c r="C2544" t="inlineStr">
        <is>
          <t>Manufactura / Caballero / P. Superiores</t>
        </is>
      </c>
      <c r="D2544" t="n">
        <v>70</v>
      </c>
      <c r="E2544" t="n">
        <v>1.713827996867097e-05</v>
      </c>
      <c r="F2544" t="n">
        <v>0.9929735417286719</v>
      </c>
      <c r="G2544" t="inlineStr">
        <is>
          <t>C</t>
        </is>
      </c>
      <c r="H2544" t="n">
        <v>29</v>
      </c>
      <c r="I2544" t="n">
        <v>0.4823510283999999</v>
      </c>
      <c r="J2544" t="n">
        <v>13.9881798236</v>
      </c>
      <c r="K2544" t="n">
        <v>0.3</v>
      </c>
      <c r="L2544" t="n">
        <v>96.66666666666667</v>
      </c>
      <c r="M2544" t="n">
        <v>4</v>
      </c>
      <c r="N2544" t="n">
        <v>1.2</v>
      </c>
      <c r="O2544" t="n">
        <v>27.8</v>
      </c>
      <c r="P2544" t="n">
        <v>13.40935858952</v>
      </c>
      <c r="Q2544" t="n">
        <v>0.9586206896551724</v>
      </c>
      <c r="R2544" t="inlineStr">
        <is>
          <t>Sobrestock crítico</t>
        </is>
      </c>
    </row>
    <row r="2545">
      <c r="A2545" t="inlineStr">
        <is>
          <t>RUNTBMBFCA205TXL</t>
        </is>
      </c>
      <c r="B2545" t="inlineStr">
        <is>
          <t>RUNNING TANK BIOMOVE CAB</t>
        </is>
      </c>
      <c r="C2545" t="inlineStr">
        <is>
          <t>Manufactura / Caballero / P. Superiores</t>
        </is>
      </c>
      <c r="D2545" t="n">
        <v>70</v>
      </c>
      <c r="E2545" t="n">
        <v>1.713827996867097e-05</v>
      </c>
      <c r="F2545" t="n">
        <v>0.9929735417286719</v>
      </c>
      <c r="G2545" t="inlineStr">
        <is>
          <t>C</t>
        </is>
      </c>
      <c r="H2545" t="n">
        <v>15</v>
      </c>
      <c r="I2545" t="n">
        <v>0.4823510284</v>
      </c>
      <c r="J2545" t="n">
        <v>7.235265426</v>
      </c>
      <c r="K2545" t="n">
        <v>0.1</v>
      </c>
      <c r="L2545" t="n">
        <v>150</v>
      </c>
      <c r="M2545" t="n">
        <v>4</v>
      </c>
      <c r="N2545" t="n">
        <v>0.4</v>
      </c>
      <c r="O2545" t="n">
        <v>14.6</v>
      </c>
      <c r="P2545" t="n">
        <v>7.042325014639999</v>
      </c>
      <c r="Q2545" t="n">
        <v>0.9733333333333333</v>
      </c>
      <c r="R2545" t="inlineStr">
        <is>
          <t>Sobrestock crítico</t>
        </is>
      </c>
    </row>
    <row r="2546">
      <c r="A2546" t="inlineStr">
        <is>
          <t>BAN61EQ</t>
        </is>
      </c>
      <c r="B2546" t="inlineStr">
        <is>
          <t>CUADRO BAND</t>
        </is>
      </c>
      <c r="C2546" t="inlineStr">
        <is>
          <t>Equipamiento / Accesorios</t>
        </is>
      </c>
      <c r="D2546" t="n">
        <v>69.90985566400001</v>
      </c>
      <c r="E2546" t="n">
        <v>1.711620969912871e-05</v>
      </c>
      <c r="F2546" t="n">
        <v>0.992990657938371</v>
      </c>
      <c r="G2546" t="inlineStr">
        <is>
          <t>C</t>
        </is>
      </c>
      <c r="H2546" t="n">
        <v>0</v>
      </c>
      <c r="I2546" t="n">
        <v>0.3159183673</v>
      </c>
      <c r="J2546" t="n">
        <v>0</v>
      </c>
      <c r="K2546" t="n">
        <v>2.5</v>
      </c>
      <c r="L2546" t="n">
        <v>0</v>
      </c>
      <c r="M2546" t="n">
        <v>4</v>
      </c>
      <c r="N2546" t="n">
        <v>10</v>
      </c>
      <c r="O2546" t="n">
        <v>0</v>
      </c>
      <c r="P2546" t="n">
        <v>0</v>
      </c>
      <c r="Q2546" t="n">
        <v>0</v>
      </c>
      <c r="R2546" t="inlineStr">
        <is>
          <t>Riesgo bajo stock</t>
        </is>
      </c>
    </row>
    <row r="2547">
      <c r="A2547" t="inlineStr">
        <is>
          <t>MARMIKI39T12</t>
        </is>
      </c>
      <c r="B2547" t="inlineStr">
        <is>
          <t>MAR ORIGINAL KIDS</t>
        </is>
      </c>
      <c r="C2547" t="inlineStr">
        <is>
          <t>Manufactura / Kids / P. Superiores</t>
        </is>
      </c>
      <c r="D2547" t="n">
        <v>69.71110308999999</v>
      </c>
      <c r="E2547" t="n">
        <v>1.70675485954472e-05</v>
      </c>
      <c r="F2547" t="n">
        <v>0.9930077254869666</v>
      </c>
      <c r="G2547" t="inlineStr">
        <is>
          <t>C</t>
        </is>
      </c>
      <c r="H2547" t="n">
        <v>0</v>
      </c>
      <c r="I2547" t="n">
        <v>3.168013332</v>
      </c>
      <c r="J2547" t="n">
        <v>0</v>
      </c>
      <c r="K2547" t="n">
        <v>0.2</v>
      </c>
      <c r="L2547" t="n">
        <v>0</v>
      </c>
      <c r="M2547" t="n">
        <v>4</v>
      </c>
      <c r="N2547" t="n">
        <v>0.8</v>
      </c>
      <c r="O2547" t="n">
        <v>0</v>
      </c>
      <c r="P2547" t="n">
        <v>0</v>
      </c>
      <c r="Q2547" t="n">
        <v>0</v>
      </c>
      <c r="R2547" t="inlineStr">
        <is>
          <t>Sin rotación</t>
        </is>
      </c>
    </row>
    <row r="2548">
      <c r="A2548" t="inlineStr">
        <is>
          <t>MARMIKI70T10</t>
        </is>
      </c>
      <c r="B2548" t="inlineStr">
        <is>
          <t>MAR ORIGINAL KIDS</t>
        </is>
      </c>
      <c r="C2548" t="inlineStr">
        <is>
          <t>Manufactura / Kids / P. Superiores</t>
        </is>
      </c>
      <c r="D2548" t="n">
        <v>69.70380255000001</v>
      </c>
      <c r="E2548" t="n">
        <v>1.706576118546945e-05</v>
      </c>
      <c r="F2548" t="n">
        <v>0.993024791248152</v>
      </c>
      <c r="G2548" t="inlineStr">
        <is>
          <t>C</t>
        </is>
      </c>
      <c r="H2548" t="n">
        <v>0</v>
      </c>
      <c r="I2548" t="n">
        <v>3.168013332</v>
      </c>
      <c r="J2548" t="n">
        <v>0</v>
      </c>
      <c r="K2548" t="n">
        <v>0.2</v>
      </c>
      <c r="L2548" t="n">
        <v>0</v>
      </c>
      <c r="M2548" t="n">
        <v>4</v>
      </c>
      <c r="N2548" t="n">
        <v>0.8</v>
      </c>
      <c r="O2548" t="n">
        <v>0</v>
      </c>
      <c r="P2548" t="n">
        <v>0</v>
      </c>
      <c r="Q2548" t="n">
        <v>0</v>
      </c>
      <c r="R2548" t="inlineStr">
        <is>
          <t>Sin rotación</t>
        </is>
      </c>
    </row>
    <row r="2549">
      <c r="A2549" t="inlineStr">
        <is>
          <t>ZOEMIKI43T4</t>
        </is>
      </c>
      <c r="B2549" t="inlineStr">
        <is>
          <t>ZOE ORIGINAL KIDS</t>
        </is>
      </c>
      <c r="C2549" t="inlineStr">
        <is>
          <t>Manufactura / Kids / P. Superiores</t>
        </is>
      </c>
      <c r="D2549" t="n">
        <v>69.67763523000001</v>
      </c>
      <c r="E2549" t="n">
        <v>1.705935457323817e-05</v>
      </c>
      <c r="F2549" t="n">
        <v>0.9930418506027253</v>
      </c>
      <c r="G2549" t="inlineStr">
        <is>
          <t>C</t>
        </is>
      </c>
      <c r="H2549" t="n">
        <v>18</v>
      </c>
      <c r="I2549" t="n">
        <v>4.12</v>
      </c>
      <c r="J2549" t="n">
        <v>74.16</v>
      </c>
      <c r="K2549" t="n">
        <v>0.2</v>
      </c>
      <c r="L2549" t="n">
        <v>90</v>
      </c>
      <c r="M2549" t="n">
        <v>4</v>
      </c>
      <c r="N2549" t="n">
        <v>0.8</v>
      </c>
      <c r="O2549" t="n">
        <v>17.2</v>
      </c>
      <c r="P2549" t="n">
        <v>70.864</v>
      </c>
      <c r="Q2549" t="n">
        <v>0.9555555555555556</v>
      </c>
      <c r="R2549" t="inlineStr">
        <is>
          <t>Sobrestock crítico</t>
        </is>
      </c>
    </row>
    <row r="2550">
      <c r="A2550" t="inlineStr">
        <is>
          <t>ZOEMIDA09TS</t>
        </is>
      </c>
      <c r="B2550" t="inlineStr">
        <is>
          <t>ZOE ORIGINAL DAMA</t>
        </is>
      </c>
      <c r="C2550" t="inlineStr">
        <is>
          <t>Manufactura / Dama / P. Superiores</t>
        </is>
      </c>
      <c r="D2550" t="n">
        <v>69.51039141999999</v>
      </c>
      <c r="E2550" t="n">
        <v>1.70184078412552e-05</v>
      </c>
      <c r="F2550" t="n">
        <v>0.9930588690105666</v>
      </c>
      <c r="G2550" t="inlineStr">
        <is>
          <t>C</t>
        </is>
      </c>
      <c r="H2550" t="n">
        <v>0</v>
      </c>
      <c r="I2550" t="n">
        <v>4.116585696</v>
      </c>
      <c r="J2550" t="n">
        <v>0</v>
      </c>
      <c r="K2550" t="n">
        <v>0.2</v>
      </c>
      <c r="L2550" t="n">
        <v>0</v>
      </c>
      <c r="M2550" t="n">
        <v>4</v>
      </c>
      <c r="N2550" t="n">
        <v>0.8</v>
      </c>
      <c r="O2550" t="n">
        <v>0</v>
      </c>
      <c r="P2550" t="n">
        <v>0</v>
      </c>
      <c r="Q2550" t="n">
        <v>0</v>
      </c>
      <c r="R2550" t="inlineStr">
        <is>
          <t>Sin rotación</t>
        </is>
      </c>
    </row>
    <row r="2551">
      <c r="A2551" t="inlineStr">
        <is>
          <t>MARMIKI24T12</t>
        </is>
      </c>
      <c r="B2551" t="inlineStr">
        <is>
          <t>MAR ORIGINAL KIDS</t>
        </is>
      </c>
      <c r="C2551" t="inlineStr">
        <is>
          <t>Manufactura / Kids / P. Superiores</t>
        </is>
      </c>
      <c r="D2551" t="n">
        <v>69.38513574</v>
      </c>
      <c r="E2551" t="n">
        <v>1.698774117109083e-05</v>
      </c>
      <c r="F2551" t="n">
        <v>0.9930758567517377</v>
      </c>
      <c r="G2551" t="inlineStr">
        <is>
          <t>C</t>
        </is>
      </c>
      <c r="H2551" t="n">
        <v>0</v>
      </c>
      <c r="I2551" t="n">
        <v>3.168013332</v>
      </c>
      <c r="J2551" t="n">
        <v>0</v>
      </c>
      <c r="K2551" t="n">
        <v>0.2</v>
      </c>
      <c r="L2551" t="n">
        <v>0</v>
      </c>
      <c r="M2551" t="n">
        <v>4</v>
      </c>
      <c r="N2551" t="n">
        <v>0.8</v>
      </c>
      <c r="O2551" t="n">
        <v>0</v>
      </c>
      <c r="P2551" t="n">
        <v>0</v>
      </c>
      <c r="Q2551" t="n">
        <v>0</v>
      </c>
      <c r="R2551" t="inlineStr">
        <is>
          <t>Sin rotación</t>
        </is>
      </c>
    </row>
    <row r="2552">
      <c r="A2552" t="inlineStr">
        <is>
          <t>MIAMIDA66TS</t>
        </is>
      </c>
      <c r="B2552" t="inlineStr">
        <is>
          <t>MIA ORIGINAL DAMA</t>
        </is>
      </c>
      <c r="C2552" t="inlineStr">
        <is>
          <t>Manufactura / Dama / P. Superiores</t>
        </is>
      </c>
      <c r="D2552" t="n">
        <v>69.25994624</v>
      </c>
      <c r="E2552" t="n">
        <v>1.6957090703946e-05</v>
      </c>
      <c r="F2552" t="n">
        <v>0.9930928138424415</v>
      </c>
      <c r="G2552" t="inlineStr">
        <is>
          <t>C</t>
        </is>
      </c>
      <c r="H2552" t="n">
        <v>0</v>
      </c>
      <c r="I2552" t="n">
        <v>3.94</v>
      </c>
      <c r="J2552" t="n">
        <v>0</v>
      </c>
      <c r="K2552" t="n">
        <v>0.2</v>
      </c>
      <c r="L2552" t="n">
        <v>0</v>
      </c>
      <c r="M2552" t="n">
        <v>4</v>
      </c>
      <c r="N2552" t="n">
        <v>0.8</v>
      </c>
      <c r="O2552" t="n">
        <v>0</v>
      </c>
      <c r="P2552" t="n">
        <v>0</v>
      </c>
      <c r="Q2552" t="n">
        <v>0</v>
      </c>
      <c r="R2552" t="inlineStr">
        <is>
          <t>Sin rotación</t>
        </is>
      </c>
    </row>
    <row r="2553">
      <c r="A2553" t="inlineStr">
        <is>
          <t>CLAMIKI13T2</t>
        </is>
      </c>
      <c r="B2553" t="inlineStr">
        <is>
          <t>CLASICA ORIGINAL KIDS</t>
        </is>
      </c>
      <c r="C2553" t="inlineStr">
        <is>
          <t>Manufactura / Kids / P. Superiores</t>
        </is>
      </c>
      <c r="D2553" t="n">
        <v>68.86301245999999</v>
      </c>
      <c r="E2553" t="n">
        <v>1.685990838607939e-05</v>
      </c>
      <c r="F2553" t="n">
        <v>0.9931096737508276</v>
      </c>
      <c r="G2553" t="inlineStr">
        <is>
          <t>C</t>
        </is>
      </c>
      <c r="H2553" t="n">
        <v>12</v>
      </c>
      <c r="I2553" t="n">
        <v>2.053774806</v>
      </c>
      <c r="J2553" t="n">
        <v>24.645297672</v>
      </c>
      <c r="K2553" t="n">
        <v>0.2</v>
      </c>
      <c r="L2553" t="n">
        <v>60</v>
      </c>
      <c r="M2553" t="n">
        <v>4</v>
      </c>
      <c r="N2553" t="n">
        <v>0.8</v>
      </c>
      <c r="O2553" t="n">
        <v>11.2</v>
      </c>
      <c r="P2553" t="n">
        <v>23.0022778272</v>
      </c>
      <c r="Q2553" t="n">
        <v>0.9333333333333332</v>
      </c>
      <c r="R2553" t="inlineStr">
        <is>
          <t>Sobrestock crítico</t>
        </is>
      </c>
    </row>
    <row r="2554">
      <c r="A2554" t="inlineStr">
        <is>
          <t>DANMIKI43T8</t>
        </is>
      </c>
      <c r="B2554" t="inlineStr">
        <is>
          <t>DANI ORIGINAL KIDS</t>
        </is>
      </c>
      <c r="C2554" t="inlineStr">
        <is>
          <t>Manufactura / Kids / P. Superiores</t>
        </is>
      </c>
      <c r="D2554" t="n">
        <v>68.81587777</v>
      </c>
      <c r="E2554" t="n">
        <v>1.68483682787443e-05</v>
      </c>
      <c r="F2554" t="n">
        <v>0.9931265221191065</v>
      </c>
      <c r="G2554" t="inlineStr">
        <is>
          <t>C</t>
        </is>
      </c>
      <c r="H2554" t="n">
        <v>0</v>
      </c>
      <c r="I2554" t="n">
        <v>3.55</v>
      </c>
      <c r="J2554" t="n">
        <v>0</v>
      </c>
      <c r="K2554" t="n">
        <v>0.3</v>
      </c>
      <c r="L2554" t="n">
        <v>0</v>
      </c>
      <c r="M2554" t="n">
        <v>4</v>
      </c>
      <c r="N2554" t="n">
        <v>1.2</v>
      </c>
      <c r="O2554" t="n">
        <v>0</v>
      </c>
      <c r="P2554" t="n">
        <v>0</v>
      </c>
      <c r="Q2554" t="n">
        <v>0</v>
      </c>
      <c r="R2554" t="inlineStr">
        <is>
          <t>Riesgo bajo stock</t>
        </is>
      </c>
    </row>
    <row r="2555">
      <c r="A2555" t="inlineStr">
        <is>
          <t>ZOEMIKI12T12</t>
        </is>
      </c>
      <c r="B2555" t="inlineStr">
        <is>
          <t>ZOE ORIGINAL KIDS</t>
        </is>
      </c>
      <c r="C2555" t="inlineStr">
        <is>
          <t>Manufactura / Kids / P. Superiores</t>
        </is>
      </c>
      <c r="D2555" t="n">
        <v>68.63347247999999</v>
      </c>
      <c r="E2555" t="n">
        <v>1.680370952263306e-05</v>
      </c>
      <c r="F2555" t="n">
        <v>0.993143325828629</v>
      </c>
      <c r="G2555" t="inlineStr">
        <is>
          <t>C</t>
        </is>
      </c>
      <c r="H2555" t="n">
        <v>0</v>
      </c>
      <c r="I2555" t="n">
        <v>4.12</v>
      </c>
      <c r="J2555" t="n">
        <v>0</v>
      </c>
      <c r="K2555" t="n">
        <v>0.2</v>
      </c>
      <c r="L2555" t="n">
        <v>0</v>
      </c>
      <c r="M2555" t="n">
        <v>4</v>
      </c>
      <c r="N2555" t="n">
        <v>0.8</v>
      </c>
      <c r="O2555" t="n">
        <v>0</v>
      </c>
      <c r="P2555" t="n">
        <v>0</v>
      </c>
      <c r="Q2555" t="n">
        <v>0</v>
      </c>
      <c r="R2555" t="inlineStr">
        <is>
          <t>Sin rotación</t>
        </is>
      </c>
    </row>
    <row r="2556">
      <c r="A2556" t="inlineStr">
        <is>
          <t>ZOEMIKI11T8</t>
        </is>
      </c>
      <c r="B2556" t="inlineStr">
        <is>
          <t>ZOE ORIGINAL KIDS</t>
        </is>
      </c>
      <c r="C2556" t="inlineStr">
        <is>
          <t>Manufactura / Kids / P. Superiores</t>
        </is>
      </c>
      <c r="D2556" t="n">
        <v>68.48439759999999</v>
      </c>
      <c r="E2556" t="n">
        <v>1.676721113649397e-05</v>
      </c>
      <c r="F2556" t="n">
        <v>0.9931600930397655</v>
      </c>
      <c r="G2556" t="inlineStr">
        <is>
          <t>C</t>
        </is>
      </c>
      <c r="H2556" t="n">
        <v>12</v>
      </c>
      <c r="I2556" t="n">
        <v>4.12</v>
      </c>
      <c r="J2556" t="n">
        <v>49.44</v>
      </c>
      <c r="K2556" t="n">
        <v>0.2</v>
      </c>
      <c r="L2556" t="n">
        <v>60</v>
      </c>
      <c r="M2556" t="n">
        <v>4</v>
      </c>
      <c r="N2556" t="n">
        <v>0.8</v>
      </c>
      <c r="O2556" t="n">
        <v>11.2</v>
      </c>
      <c r="P2556" t="n">
        <v>46.144</v>
      </c>
      <c r="Q2556" t="n">
        <v>0.9333333333333333</v>
      </c>
      <c r="R2556" t="inlineStr">
        <is>
          <t>Sin rotación</t>
        </is>
      </c>
    </row>
    <row r="2557">
      <c r="A2557" t="inlineStr">
        <is>
          <t>MARMIKI52T6</t>
        </is>
      </c>
      <c r="B2557" t="inlineStr">
        <is>
          <t>MAR ORIGINAL KIDS</t>
        </is>
      </c>
      <c r="C2557" t="inlineStr">
        <is>
          <t>Manufactura / Kids / P. Superiores</t>
        </is>
      </c>
      <c r="D2557" t="n">
        <v>68.48251783000001</v>
      </c>
      <c r="E2557" t="n">
        <v>1.676675090757202e-05</v>
      </c>
      <c r="F2557" t="n">
        <v>0.9931768597906731</v>
      </c>
      <c r="G2557" t="inlineStr">
        <is>
          <t>C</t>
        </is>
      </c>
      <c r="H2557" t="n">
        <v>0</v>
      </c>
      <c r="I2557" t="n">
        <v>3.168013332</v>
      </c>
      <c r="J2557" t="n">
        <v>0</v>
      </c>
      <c r="K2557" t="n">
        <v>0.2</v>
      </c>
      <c r="L2557" t="n">
        <v>0</v>
      </c>
      <c r="M2557" t="n">
        <v>4</v>
      </c>
      <c r="N2557" t="n">
        <v>0.8</v>
      </c>
      <c r="O2557" t="n">
        <v>0</v>
      </c>
      <c r="P2557" t="n">
        <v>0</v>
      </c>
      <c r="Q2557" t="n">
        <v>0</v>
      </c>
      <c r="R2557" t="inlineStr">
        <is>
          <t>Sin rotación</t>
        </is>
      </c>
    </row>
    <row r="2558">
      <c r="A2558" t="inlineStr">
        <is>
          <t>SHONRKI16T10</t>
        </is>
      </c>
      <c r="B2558" t="inlineStr">
        <is>
          <t>SHORT SPORT KIDS</t>
        </is>
      </c>
      <c r="C2558" t="inlineStr">
        <is>
          <t>Manufactura / Kids / P. Inferiores</t>
        </is>
      </c>
      <c r="D2558" t="n">
        <v>68.34242449</v>
      </c>
      <c r="E2558" t="n">
        <v>1.67324514949625e-05</v>
      </c>
      <c r="F2558" t="n">
        <v>0.9931935922421681</v>
      </c>
      <c r="G2558" t="inlineStr">
        <is>
          <t>C</t>
        </is>
      </c>
      <c r="H2558" t="n">
        <v>9</v>
      </c>
      <c r="I2558" t="n">
        <v>6.465724382</v>
      </c>
      <c r="J2558" t="n">
        <v>58.191519438</v>
      </c>
      <c r="K2558" t="n">
        <v>0.2</v>
      </c>
      <c r="L2558" t="n">
        <v>45</v>
      </c>
      <c r="M2558" t="n">
        <v>4</v>
      </c>
      <c r="N2558" t="n">
        <v>0.8</v>
      </c>
      <c r="O2558" t="n">
        <v>8.199999999999999</v>
      </c>
      <c r="P2558" t="n">
        <v>53.0189399324</v>
      </c>
      <c r="Q2558" t="n">
        <v>0.911111111111111</v>
      </c>
      <c r="R2558" t="inlineStr">
        <is>
          <t>Sobrestock crítico</t>
        </is>
      </c>
    </row>
    <row r="2559">
      <c r="A2559" t="inlineStr">
        <is>
          <t>ZOEMIDA12TL</t>
        </is>
      </c>
      <c r="B2559" t="inlineStr">
        <is>
          <t>ZOE ORIGINAL DAMA</t>
        </is>
      </c>
      <c r="C2559" t="inlineStr">
        <is>
          <t>Manufactura / Dama / P. Superiores</t>
        </is>
      </c>
      <c r="D2559" t="n">
        <v>68.04302336000001</v>
      </c>
      <c r="E2559" t="n">
        <v>1.665914834654998e-05</v>
      </c>
      <c r="F2559" t="n">
        <v>0.9932102513905146</v>
      </c>
      <c r="G2559" t="inlineStr">
        <is>
          <t>C</t>
        </is>
      </c>
      <c r="H2559" t="n">
        <v>0</v>
      </c>
      <c r="I2559" t="n">
        <v>4.116585696</v>
      </c>
      <c r="J2559" t="n">
        <v>0</v>
      </c>
      <c r="K2559" t="n">
        <v>0.2</v>
      </c>
      <c r="L2559" t="n">
        <v>0</v>
      </c>
      <c r="M2559" t="n">
        <v>4</v>
      </c>
      <c r="N2559" t="n">
        <v>0.8</v>
      </c>
      <c r="O2559" t="n">
        <v>0</v>
      </c>
      <c r="P2559" t="n">
        <v>0</v>
      </c>
      <c r="Q2559" t="n">
        <v>0</v>
      </c>
      <c r="R2559" t="inlineStr">
        <is>
          <t>Sin rotación</t>
        </is>
      </c>
    </row>
    <row r="2560">
      <c r="A2560" t="inlineStr">
        <is>
          <t>SARSPKI31T14</t>
        </is>
      </c>
      <c r="B2560" t="inlineStr">
        <is>
          <t>FALDA SARA KIDS</t>
        </is>
      </c>
      <c r="C2560" t="inlineStr">
        <is>
          <t>Manufactura / Kids / P. Inferiores</t>
        </is>
      </c>
      <c r="D2560" t="n">
        <v>68.00442808</v>
      </c>
      <c r="E2560" t="n">
        <v>1.664969896491985e-05</v>
      </c>
      <c r="F2560" t="n">
        <v>0.9932269010894794</v>
      </c>
      <c r="G2560" t="inlineStr">
        <is>
          <t>C</t>
        </is>
      </c>
      <c r="H2560" t="n">
        <v>0</v>
      </c>
      <c r="I2560" t="n">
        <v>5.753743316</v>
      </c>
      <c r="J2560" t="n">
        <v>0</v>
      </c>
      <c r="K2560" t="n">
        <v>0.2</v>
      </c>
      <c r="L2560" t="n">
        <v>0</v>
      </c>
      <c r="M2560" t="n">
        <v>4</v>
      </c>
      <c r="N2560" t="n">
        <v>0.8</v>
      </c>
      <c r="O2560" t="n">
        <v>0</v>
      </c>
      <c r="P2560" t="n">
        <v>0</v>
      </c>
      <c r="Q2560" t="n">
        <v>0</v>
      </c>
      <c r="R2560" t="inlineStr">
        <is>
          <t>Riesgo bajo stock</t>
        </is>
      </c>
    </row>
    <row r="2561">
      <c r="A2561" t="inlineStr">
        <is>
          <t>GEOMACADA03TL</t>
        </is>
      </c>
      <c r="B2561" t="inlineStr">
        <is>
          <t>ADVANCE GEO MAYA DAMA</t>
        </is>
      </c>
      <c r="C2561" t="inlineStr">
        <is>
          <t>Manufactura / Dama / P. Superiores</t>
        </is>
      </c>
      <c r="D2561" t="n">
        <v>68</v>
      </c>
      <c r="E2561" t="n">
        <v>1.664861482670894e-05</v>
      </c>
      <c r="F2561" t="n">
        <v>0.9932435497043062</v>
      </c>
      <c r="G2561" t="inlineStr">
        <is>
          <t>C</t>
        </is>
      </c>
      <c r="H2561" t="n">
        <v>9</v>
      </c>
      <c r="I2561" t="n">
        <v>10.33</v>
      </c>
      <c r="J2561" t="n">
        <v>92.97</v>
      </c>
      <c r="K2561" t="n">
        <v>0.1</v>
      </c>
      <c r="L2561" t="n">
        <v>90</v>
      </c>
      <c r="M2561" t="n">
        <v>4</v>
      </c>
      <c r="N2561" t="n">
        <v>0.4</v>
      </c>
      <c r="O2561" t="n">
        <v>8.6</v>
      </c>
      <c r="P2561" t="n">
        <v>88.83799999999999</v>
      </c>
      <c r="Q2561" t="n">
        <v>0.9555555555555555</v>
      </c>
      <c r="R2561" t="inlineStr">
        <is>
          <t>Sobrestock crítico</t>
        </is>
      </c>
    </row>
    <row r="2562">
      <c r="A2562" t="inlineStr">
        <is>
          <t>GEODOCACA03T2XL</t>
        </is>
      </c>
      <c r="B2562" t="inlineStr">
        <is>
          <t>ADVANCE GEO DOMINIC CAB</t>
        </is>
      </c>
      <c r="C2562" t="inlineStr">
        <is>
          <t>Manufactura / Caballero / P. Superiores</t>
        </is>
      </c>
      <c r="D2562" t="n">
        <v>67.99999928619266</v>
      </c>
      <c r="E2562" t="n">
        <v>1.664861465194565e-05</v>
      </c>
      <c r="F2562" t="n">
        <v>0.9932601983189582</v>
      </c>
      <c r="G2562" t="inlineStr">
        <is>
          <t>C</t>
        </is>
      </c>
      <c r="H2562" t="n">
        <v>18</v>
      </c>
      <c r="I2562" t="n">
        <v>13.35</v>
      </c>
      <c r="J2562" t="n">
        <v>240.3</v>
      </c>
      <c r="K2562" t="n">
        <v>0.1</v>
      </c>
      <c r="L2562" t="n">
        <v>180</v>
      </c>
      <c r="M2562" t="n">
        <v>4</v>
      </c>
      <c r="N2562" t="n">
        <v>0.4</v>
      </c>
      <c r="O2562" t="n">
        <v>17.6</v>
      </c>
      <c r="P2562" t="n">
        <v>234.96</v>
      </c>
      <c r="Q2562" t="n">
        <v>0.9777777777777779</v>
      </c>
      <c r="R2562" t="inlineStr">
        <is>
          <t>Sobrestock crítico</t>
        </is>
      </c>
    </row>
    <row r="2563">
      <c r="A2563" t="inlineStr">
        <is>
          <t>GOOSTCA16TXL</t>
        </is>
      </c>
      <c r="B2563" t="inlineStr">
        <is>
          <t>RETRO VZLA CAB</t>
        </is>
      </c>
      <c r="C2563" t="inlineStr">
        <is>
          <t>Manufactura / Caballero / P. Superiores</t>
        </is>
      </c>
      <c r="D2563" t="n">
        <v>67.92689636</v>
      </c>
      <c r="E2563" t="n">
        <v>1.663071667457967e-05</v>
      </c>
      <c r="F2563" t="n">
        <v>0.9932768290356327</v>
      </c>
      <c r="G2563" t="inlineStr">
        <is>
          <t>C</t>
        </is>
      </c>
      <c r="H2563" t="n">
        <v>0</v>
      </c>
      <c r="I2563" t="n">
        <v>12.9</v>
      </c>
      <c r="J2563" t="n">
        <v>0</v>
      </c>
      <c r="K2563" t="n">
        <v>0.2</v>
      </c>
      <c r="L2563" t="n">
        <v>0</v>
      </c>
      <c r="M2563" t="n">
        <v>4</v>
      </c>
      <c r="N2563" t="n">
        <v>0.8</v>
      </c>
      <c r="O2563" t="n">
        <v>0</v>
      </c>
      <c r="P2563" t="n">
        <v>0</v>
      </c>
      <c r="Q2563" t="n">
        <v>0</v>
      </c>
      <c r="R2563" t="inlineStr">
        <is>
          <t>Sin rotación</t>
        </is>
      </c>
    </row>
    <row r="2564">
      <c r="A2564" t="inlineStr">
        <is>
          <t>CLAMIKI04T4</t>
        </is>
      </c>
      <c r="B2564" t="inlineStr">
        <is>
          <t>CLASICA ORIGINAL KIDS</t>
        </is>
      </c>
      <c r="C2564" t="inlineStr">
        <is>
          <t>Manufactura / Kids / P. Superiores</t>
        </is>
      </c>
      <c r="D2564" t="n">
        <v>67.16619145</v>
      </c>
      <c r="E2564" t="n">
        <v>1.644447133570649e-05</v>
      </c>
      <c r="F2564" t="n">
        <v>0.9932932735069684</v>
      </c>
      <c r="G2564" t="inlineStr">
        <is>
          <t>C</t>
        </is>
      </c>
      <c r="H2564" t="n">
        <v>0</v>
      </c>
      <c r="I2564" t="n">
        <v>2.053774806</v>
      </c>
      <c r="J2564" t="n">
        <v>0</v>
      </c>
      <c r="K2564" t="n">
        <v>0.2</v>
      </c>
      <c r="L2564" t="n">
        <v>0</v>
      </c>
      <c r="M2564" t="n">
        <v>4</v>
      </c>
      <c r="N2564" t="n">
        <v>0.8</v>
      </c>
      <c r="O2564" t="n">
        <v>0</v>
      </c>
      <c r="P2564" t="n">
        <v>0</v>
      </c>
      <c r="Q2564" t="n">
        <v>0</v>
      </c>
      <c r="R2564" t="inlineStr">
        <is>
          <t>Riesgo bajo stock</t>
        </is>
      </c>
    </row>
    <row r="2565">
      <c r="A2565" t="inlineStr">
        <is>
          <t>MAYFNDA13TXL</t>
        </is>
      </c>
      <c r="B2565" t="inlineStr">
        <is>
          <t>MAYA SPORT LITE DAMA</t>
        </is>
      </c>
      <c r="C2565" t="inlineStr">
        <is>
          <t>Manufactura / Dama / P. Superiores</t>
        </is>
      </c>
      <c r="D2565" t="n">
        <v>67.15420232</v>
      </c>
      <c r="E2565" t="n">
        <v>1.644153600618476e-05</v>
      </c>
      <c r="F2565" t="n">
        <v>0.9933097150429746</v>
      </c>
      <c r="G2565" t="inlineStr">
        <is>
          <t>C</t>
        </is>
      </c>
      <c r="H2565" t="n">
        <v>5</v>
      </c>
      <c r="I2565" t="n">
        <v>3.87</v>
      </c>
      <c r="J2565" t="n">
        <v>19.35</v>
      </c>
      <c r="K2565" t="n">
        <v>0.2</v>
      </c>
      <c r="L2565" t="n">
        <v>25</v>
      </c>
      <c r="M2565" t="n">
        <v>4</v>
      </c>
      <c r="N2565" t="n">
        <v>0.8</v>
      </c>
      <c r="O2565" t="n">
        <v>4.2</v>
      </c>
      <c r="P2565" t="n">
        <v>16.254</v>
      </c>
      <c r="Q2565" t="n">
        <v>0.84</v>
      </c>
      <c r="R2565" t="inlineStr">
        <is>
          <t>Sobrestock crítico</t>
        </is>
      </c>
    </row>
    <row r="2566">
      <c r="A2566" t="inlineStr">
        <is>
          <t>MARMIKI09T4</t>
        </is>
      </c>
      <c r="B2566" t="inlineStr">
        <is>
          <t>MAR ORIGINAL KIDS</t>
        </is>
      </c>
      <c r="C2566" t="inlineStr">
        <is>
          <t>Manufactura / Kids / P. Superiores</t>
        </is>
      </c>
      <c r="D2566" t="n">
        <v>67.11449988999999</v>
      </c>
      <c r="E2566" t="n">
        <v>1.643181555817367e-05</v>
      </c>
      <c r="F2566" t="n">
        <v>0.9933261468585327</v>
      </c>
      <c r="G2566" t="inlineStr">
        <is>
          <t>C</t>
        </is>
      </c>
      <c r="H2566" t="n">
        <v>0</v>
      </c>
      <c r="I2566" t="n">
        <v>3.168013332</v>
      </c>
      <c r="J2566" t="n">
        <v>0</v>
      </c>
      <c r="K2566" t="n">
        <v>0.2</v>
      </c>
      <c r="L2566" t="n">
        <v>0</v>
      </c>
      <c r="M2566" t="n">
        <v>4</v>
      </c>
      <c r="N2566" t="n">
        <v>0.8</v>
      </c>
      <c r="O2566" t="n">
        <v>0</v>
      </c>
      <c r="P2566" t="n">
        <v>0</v>
      </c>
      <c r="Q2566" t="n">
        <v>0</v>
      </c>
      <c r="R2566" t="inlineStr">
        <is>
          <t>Sin rotación</t>
        </is>
      </c>
    </row>
    <row r="2567">
      <c r="A2567" t="inlineStr">
        <is>
          <t>DALSTDA30TM</t>
        </is>
      </c>
      <c r="B2567" t="inlineStr">
        <is>
          <t>CLASICA DAILY 2.0 DAMA</t>
        </is>
      </c>
      <c r="C2567" t="inlineStr">
        <is>
          <t>Manufactura / Dama / P. Superiores</t>
        </is>
      </c>
      <c r="D2567" t="n">
        <v>67.00126992</v>
      </c>
      <c r="E2567" t="n">
        <v>1.640409317350647e-05</v>
      </c>
      <c r="F2567" t="n">
        <v>0.9933425509517063</v>
      </c>
      <c r="G2567" t="inlineStr">
        <is>
          <t>C</t>
        </is>
      </c>
      <c r="H2567" t="n">
        <v>0</v>
      </c>
      <c r="I2567" t="n">
        <v>10.02</v>
      </c>
      <c r="J2567" t="n">
        <v>0</v>
      </c>
      <c r="K2567" t="n">
        <v>0.1</v>
      </c>
      <c r="L2567" t="n">
        <v>0</v>
      </c>
      <c r="M2567" t="n">
        <v>4</v>
      </c>
      <c r="N2567" t="n">
        <v>0.4</v>
      </c>
      <c r="O2567" t="n">
        <v>0</v>
      </c>
      <c r="P2567" t="n">
        <v>0</v>
      </c>
      <c r="Q2567" t="n">
        <v>0</v>
      </c>
      <c r="R2567" t="inlineStr">
        <is>
          <t>Riesgo bajo stock</t>
        </is>
      </c>
    </row>
    <row r="2568">
      <c r="A2568" t="inlineStr">
        <is>
          <t>PANNTCA43T3XL</t>
        </is>
      </c>
      <c r="B2568" t="inlineStr">
        <is>
          <t>EXPLORE PANTS CAB</t>
        </is>
      </c>
      <c r="C2568" t="inlineStr">
        <is>
          <t>Manufactura / Caballero / P. Inferiores</t>
        </is>
      </c>
      <c r="D2568" t="n">
        <v>67</v>
      </c>
      <c r="E2568" t="n">
        <v>1.640378225572793e-05</v>
      </c>
      <c r="F2568" t="n">
        <v>0.9933753585162178</v>
      </c>
      <c r="G2568" t="inlineStr">
        <is>
          <t>C</t>
        </is>
      </c>
      <c r="H2568" t="n">
        <v>31</v>
      </c>
      <c r="I2568" t="n">
        <v>15.68994502</v>
      </c>
      <c r="J2568" t="n">
        <v>486.38829562</v>
      </c>
      <c r="K2568" t="n">
        <v>0.1</v>
      </c>
      <c r="L2568" t="n">
        <v>310</v>
      </c>
      <c r="M2568" t="n">
        <v>4</v>
      </c>
      <c r="N2568" t="n">
        <v>0.4</v>
      </c>
      <c r="O2568" t="n">
        <v>30.6</v>
      </c>
      <c r="P2568" t="n">
        <v>480.112317612</v>
      </c>
      <c r="Q2568" t="n">
        <v>0.9870967741935485</v>
      </c>
      <c r="R2568" t="inlineStr">
        <is>
          <t>Sobrestock crítico</t>
        </is>
      </c>
    </row>
    <row r="2569">
      <c r="A2569" t="inlineStr">
        <is>
          <t>PANNTCA66T3XL</t>
        </is>
      </c>
      <c r="B2569" t="inlineStr">
        <is>
          <t>EXPLORE PANTS CAB</t>
        </is>
      </c>
      <c r="C2569" t="inlineStr">
        <is>
          <t>Manufactura / Caballero / P. Inferiores</t>
        </is>
      </c>
      <c r="D2569" t="n">
        <v>67</v>
      </c>
      <c r="E2569" t="n">
        <v>1.640378225572793e-05</v>
      </c>
      <c r="F2569" t="n">
        <v>0.9933753585162178</v>
      </c>
      <c r="G2569" t="inlineStr">
        <is>
          <t>C</t>
        </is>
      </c>
      <c r="H2569" t="n">
        <v>5</v>
      </c>
      <c r="I2569" t="n">
        <v>15.68994502</v>
      </c>
      <c r="J2569" t="n">
        <v>78.44972509999999</v>
      </c>
      <c r="K2569" t="n">
        <v>0.1</v>
      </c>
      <c r="L2569" t="n">
        <v>50</v>
      </c>
      <c r="M2569" t="n">
        <v>4</v>
      </c>
      <c r="N2569" t="n">
        <v>0.4</v>
      </c>
      <c r="O2569" t="n">
        <v>4.6</v>
      </c>
      <c r="P2569" t="n">
        <v>72.173747092</v>
      </c>
      <c r="Q2569" t="n">
        <v>0.92</v>
      </c>
      <c r="R2569" t="inlineStr">
        <is>
          <t>Sobrestock crítico</t>
        </is>
      </c>
    </row>
    <row r="2570">
      <c r="A2570" t="inlineStr">
        <is>
          <t>MARMIKI30T1</t>
        </is>
      </c>
      <c r="B2570" t="inlineStr">
        <is>
          <t>MAR ORIGINAL KIDS</t>
        </is>
      </c>
      <c r="C2570" t="inlineStr">
        <is>
          <t>Manufactura / Kids / P. Superiores</t>
        </is>
      </c>
      <c r="D2570" t="n">
        <v>66.98822045999999</v>
      </c>
      <c r="E2570" t="n">
        <v>1.640089824066475e-05</v>
      </c>
      <c r="F2570" t="n">
        <v>0.9933917594144585</v>
      </c>
      <c r="G2570" t="inlineStr">
        <is>
          <t>C</t>
        </is>
      </c>
      <c r="H2570" t="n">
        <v>0</v>
      </c>
      <c r="I2570" t="n">
        <v>3.168013332</v>
      </c>
      <c r="J2570" t="n">
        <v>0</v>
      </c>
      <c r="K2570" t="n">
        <v>0.2</v>
      </c>
      <c r="L2570" t="n">
        <v>0</v>
      </c>
      <c r="M2570" t="n">
        <v>4</v>
      </c>
      <c r="N2570" t="n">
        <v>0.8</v>
      </c>
      <c r="O2570" t="n">
        <v>0</v>
      </c>
      <c r="P2570" t="n">
        <v>0</v>
      </c>
      <c r="Q2570" t="n">
        <v>0</v>
      </c>
      <c r="R2570" t="inlineStr">
        <is>
          <t>Sin rotación</t>
        </is>
      </c>
    </row>
    <row r="2571">
      <c r="A2571" t="inlineStr">
        <is>
          <t>GOOSTDA43TXL</t>
        </is>
      </c>
      <c r="B2571" t="inlineStr">
        <is>
          <t>RETRO VZLA DAMA</t>
        </is>
      </c>
      <c r="C2571" t="inlineStr">
        <is>
          <t>Manufactura / Dama / P. Superiores</t>
        </is>
      </c>
      <c r="D2571" t="n">
        <v>66.93561478999999</v>
      </c>
      <c r="E2571" t="n">
        <v>1.638801865923047e-05</v>
      </c>
      <c r="F2571" t="n">
        <v>0.9934081474331176</v>
      </c>
      <c r="G2571" t="inlineStr">
        <is>
          <t>C</t>
        </is>
      </c>
      <c r="H2571" t="n">
        <v>1</v>
      </c>
      <c r="I2571" t="n">
        <v>11.23</v>
      </c>
      <c r="J2571" t="n">
        <v>11.23</v>
      </c>
      <c r="K2571" t="n">
        <v>0.2</v>
      </c>
      <c r="L2571" t="n">
        <v>5</v>
      </c>
      <c r="M2571" t="n">
        <v>4</v>
      </c>
      <c r="N2571" t="n">
        <v>0.8</v>
      </c>
      <c r="O2571" t="n">
        <v>0.2</v>
      </c>
      <c r="P2571" t="n">
        <v>2.246</v>
      </c>
      <c r="Q2571" t="n">
        <v>0.2</v>
      </c>
      <c r="R2571" t="inlineStr">
        <is>
          <t>Sobrestock</t>
        </is>
      </c>
    </row>
    <row r="2572">
      <c r="A2572" t="inlineStr">
        <is>
          <t>SHOUNKI23T2</t>
        </is>
      </c>
      <c r="B2572" t="inlineStr">
        <is>
          <t>SHORT PLAYA KIDS</t>
        </is>
      </c>
      <c r="C2572" t="inlineStr">
        <is>
          <t>Manufactura / Kids / P. Inferiores</t>
        </is>
      </c>
      <c r="D2572" t="n">
        <v>66.82840193999999</v>
      </c>
      <c r="E2572" t="n">
        <v>1.636176946152277e-05</v>
      </c>
      <c r="F2572" t="n">
        <v>0.9934245092025791</v>
      </c>
      <c r="G2572" t="inlineStr">
        <is>
          <t>C</t>
        </is>
      </c>
      <c r="H2572" t="n">
        <v>1</v>
      </c>
      <c r="I2572" t="n">
        <v>6.09</v>
      </c>
      <c r="J2572" t="n">
        <v>6.09</v>
      </c>
      <c r="K2572" t="n">
        <v>0.2</v>
      </c>
      <c r="L2572" t="n">
        <v>5</v>
      </c>
      <c r="M2572" t="n">
        <v>4</v>
      </c>
      <c r="N2572" t="n">
        <v>0.8</v>
      </c>
      <c r="O2572" t="n">
        <v>0.2</v>
      </c>
      <c r="P2572" t="n">
        <v>1.218</v>
      </c>
      <c r="Q2572" t="n">
        <v>0.2</v>
      </c>
      <c r="R2572" t="inlineStr">
        <is>
          <t>Sobrestock</t>
        </is>
      </c>
    </row>
    <row r="2573">
      <c r="A2573" t="inlineStr">
        <is>
          <t>ZOEMIDA43TXL</t>
        </is>
      </c>
      <c r="B2573" t="inlineStr">
        <is>
          <t>ZOE ORIGINAL DAMA</t>
        </is>
      </c>
      <c r="C2573" t="inlineStr">
        <is>
          <t>Manufactura / Dama / P. Superiores</t>
        </is>
      </c>
      <c r="D2573" t="n">
        <v>66.8094317</v>
      </c>
      <c r="E2573" t="n">
        <v>1.635712492889145e-05</v>
      </c>
      <c r="F2573" t="n">
        <v>0.9934408663275079</v>
      </c>
      <c r="G2573" t="inlineStr">
        <is>
          <t>C</t>
        </is>
      </c>
      <c r="H2573" t="n">
        <v>0</v>
      </c>
      <c r="I2573" t="n">
        <v>4.116585696</v>
      </c>
      <c r="J2573" t="n">
        <v>0</v>
      </c>
      <c r="K2573" t="n">
        <v>0.3</v>
      </c>
      <c r="L2573" t="n">
        <v>0</v>
      </c>
      <c r="M2573" t="n">
        <v>4</v>
      </c>
      <c r="N2573" t="n">
        <v>1.2</v>
      </c>
      <c r="O2573" t="n">
        <v>0</v>
      </c>
      <c r="P2573" t="n">
        <v>0</v>
      </c>
      <c r="Q2573" t="n">
        <v>0</v>
      </c>
      <c r="R2573" t="inlineStr">
        <is>
          <t>Sin rotación</t>
        </is>
      </c>
    </row>
    <row r="2574">
      <c r="A2574" t="inlineStr">
        <is>
          <t>MAFMIDA01TXL</t>
        </is>
      </c>
      <c r="B2574" t="inlineStr">
        <is>
          <t>MAFE ORIGINAL DAMA</t>
        </is>
      </c>
      <c r="C2574" t="inlineStr">
        <is>
          <t>Manufactura / Dama / P. Superiores</t>
        </is>
      </c>
      <c r="D2574" t="n">
        <v>66.74251581999999</v>
      </c>
      <c r="E2574" t="n">
        <v>1.634074174195159e-05</v>
      </c>
      <c r="F2574" t="n">
        <v>0.99345720706925</v>
      </c>
      <c r="G2574" t="inlineStr">
        <is>
          <t>C</t>
        </is>
      </c>
      <c r="H2574" t="n">
        <v>6</v>
      </c>
      <c r="I2574" t="n">
        <v>4.54817671</v>
      </c>
      <c r="J2574" t="n">
        <v>27.28906026</v>
      </c>
      <c r="K2574" t="n">
        <v>0.2</v>
      </c>
      <c r="L2574" t="n">
        <v>30</v>
      </c>
      <c r="M2574" t="n">
        <v>4</v>
      </c>
      <c r="N2574" t="n">
        <v>0.8</v>
      </c>
      <c r="O2574" t="n">
        <v>5.2</v>
      </c>
      <c r="P2574" t="n">
        <v>23.650518892</v>
      </c>
      <c r="Q2574" t="n">
        <v>0.8666666666666667</v>
      </c>
      <c r="R2574" t="inlineStr">
        <is>
          <t>Sobrestock crítico</t>
        </is>
      </c>
    </row>
    <row r="2575">
      <c r="A2575" t="inlineStr">
        <is>
          <t>MARMIKI52T8</t>
        </is>
      </c>
      <c r="B2575" t="inlineStr">
        <is>
          <t>MAR ORIGINAL KIDS</t>
        </is>
      </c>
      <c r="C2575" t="inlineStr">
        <is>
          <t>Manufactura / Kids / P. Superiores</t>
        </is>
      </c>
      <c r="D2575" t="n">
        <v>66.68774239999999</v>
      </c>
      <c r="E2575" t="n">
        <v>1.632733142471156e-05</v>
      </c>
      <c r="F2575" t="n">
        <v>0.9934735344006747</v>
      </c>
      <c r="G2575" t="inlineStr">
        <is>
          <t>C</t>
        </is>
      </c>
      <c r="H2575" t="n">
        <v>0</v>
      </c>
      <c r="I2575" t="n">
        <v>3.168013332</v>
      </c>
      <c r="J2575" t="n">
        <v>0</v>
      </c>
      <c r="K2575" t="n">
        <v>0.2</v>
      </c>
      <c r="L2575" t="n">
        <v>0</v>
      </c>
      <c r="M2575" t="n">
        <v>4</v>
      </c>
      <c r="N2575" t="n">
        <v>0.8</v>
      </c>
      <c r="O2575" t="n">
        <v>0</v>
      </c>
      <c r="P2575" t="n">
        <v>0</v>
      </c>
      <c r="Q2575" t="n">
        <v>0</v>
      </c>
      <c r="R2575" t="inlineStr">
        <is>
          <t>Sin rotación</t>
        </is>
      </c>
    </row>
    <row r="2576">
      <c r="A2576" t="inlineStr">
        <is>
          <t>DANMIKI48T12</t>
        </is>
      </c>
      <c r="B2576" t="inlineStr">
        <is>
          <t>DANI ORIGINAL KIDS</t>
        </is>
      </c>
      <c r="C2576" t="inlineStr">
        <is>
          <t>Manufactura / Kids / P. Superiores</t>
        </is>
      </c>
      <c r="D2576" t="n">
        <v>66.61356335000001</v>
      </c>
      <c r="E2576" t="n">
        <v>1.630916997718714e-05</v>
      </c>
      <c r="F2576" t="n">
        <v>0.9934898435706518</v>
      </c>
      <c r="G2576" t="inlineStr">
        <is>
          <t>C</t>
        </is>
      </c>
      <c r="H2576" t="n">
        <v>0</v>
      </c>
      <c r="I2576" t="n">
        <v>3.549999999999999</v>
      </c>
      <c r="J2576" t="n">
        <v>0</v>
      </c>
      <c r="K2576" t="n">
        <v>0.3</v>
      </c>
      <c r="L2576" t="n">
        <v>0</v>
      </c>
      <c r="M2576" t="n">
        <v>4</v>
      </c>
      <c r="N2576" t="n">
        <v>1.2</v>
      </c>
      <c r="O2576" t="n">
        <v>0</v>
      </c>
      <c r="P2576" t="n">
        <v>0</v>
      </c>
      <c r="Q2576" t="n">
        <v>0</v>
      </c>
      <c r="R2576" t="inlineStr">
        <is>
          <t>Sin rotación</t>
        </is>
      </c>
    </row>
    <row r="2577">
      <c r="A2577" t="inlineStr">
        <is>
          <t>DALSSTKI43T4</t>
        </is>
      </c>
      <c r="B2577" t="inlineStr">
        <is>
          <t>MANGA LARGA DAILY 2.0 KIDS</t>
        </is>
      </c>
      <c r="C2577" t="inlineStr">
        <is>
          <t>Manufactura / Kids / P. Superiores</t>
        </is>
      </c>
      <c r="D2577" t="n">
        <v>66.51747933</v>
      </c>
      <c r="E2577" t="n">
        <v>1.628564547954035e-05</v>
      </c>
      <c r="F2577" t="n">
        <v>0.9935061292161315</v>
      </c>
      <c r="G2577" t="inlineStr">
        <is>
          <t>C</t>
        </is>
      </c>
      <c r="H2577" t="n">
        <v>1</v>
      </c>
      <c r="I2577" t="n">
        <v>10.1</v>
      </c>
      <c r="J2577" t="n">
        <v>10.1</v>
      </c>
      <c r="K2577" t="n">
        <v>0.1</v>
      </c>
      <c r="L2577" t="n">
        <v>10</v>
      </c>
      <c r="M2577" t="n">
        <v>4</v>
      </c>
      <c r="N2577" t="n">
        <v>0.4</v>
      </c>
      <c r="O2577" t="n">
        <v>0.6</v>
      </c>
      <c r="P2577" t="n">
        <v>6.06</v>
      </c>
      <c r="Q2577" t="n">
        <v>0.6</v>
      </c>
      <c r="R2577" t="inlineStr">
        <is>
          <t>Sobrestock crítico</t>
        </is>
      </c>
    </row>
    <row r="2578">
      <c r="A2578" t="inlineStr">
        <is>
          <t>SHONTCA12TXL</t>
        </is>
      </c>
      <c r="B2578" t="inlineStr">
        <is>
          <t>EXPLORE SHORT CAB</t>
        </is>
      </c>
      <c r="C2578" t="inlineStr">
        <is>
          <t>Manufactura / Caballero / P. Inferiores</t>
        </is>
      </c>
      <c r="D2578" t="n">
        <v>66.38872354999999</v>
      </c>
      <c r="E2578" t="n">
        <v>1.625412187089428e-05</v>
      </c>
      <c r="F2578" t="n">
        <v>0.9935223833380024</v>
      </c>
      <c r="G2578" t="inlineStr">
        <is>
          <t>C</t>
        </is>
      </c>
      <c r="H2578" t="n">
        <v>0</v>
      </c>
      <c r="I2578" t="n">
        <v>11.17</v>
      </c>
      <c r="J2578" t="n">
        <v>0</v>
      </c>
      <c r="K2578" t="n">
        <v>0.1</v>
      </c>
      <c r="L2578" t="n">
        <v>0</v>
      </c>
      <c r="M2578" t="n">
        <v>4</v>
      </c>
      <c r="N2578" t="n">
        <v>0.4</v>
      </c>
      <c r="O2578" t="n">
        <v>0</v>
      </c>
      <c r="P2578" t="n">
        <v>0</v>
      </c>
      <c r="Q2578" t="n">
        <v>0</v>
      </c>
      <c r="R2578" t="inlineStr">
        <is>
          <t>Riesgo bajo stock</t>
        </is>
      </c>
    </row>
    <row r="2579">
      <c r="A2579" t="inlineStr">
        <is>
          <t>DALSTKI30T6</t>
        </is>
      </c>
      <c r="B2579" t="inlineStr">
        <is>
          <t>CLASICA DAILY 2.0 KIDS</t>
        </is>
      </c>
      <c r="C2579" t="inlineStr">
        <is>
          <t>Manufactura / Kids / P. Superiores</t>
        </is>
      </c>
      <c r="D2579" t="n">
        <v>66.37148832</v>
      </c>
      <c r="E2579" t="n">
        <v>1.624990212522193e-05</v>
      </c>
      <c r="F2579" t="n">
        <v>0.9935386332401275</v>
      </c>
      <c r="G2579" t="inlineStr">
        <is>
          <t>C</t>
        </is>
      </c>
      <c r="H2579" t="n">
        <v>2</v>
      </c>
      <c r="I2579" t="n">
        <v>8.699999999999999</v>
      </c>
      <c r="J2579" t="n">
        <v>17.4</v>
      </c>
      <c r="K2579" t="n">
        <v>0.2</v>
      </c>
      <c r="L2579" t="n">
        <v>10</v>
      </c>
      <c r="M2579" t="n">
        <v>4</v>
      </c>
      <c r="N2579" t="n">
        <v>0.8</v>
      </c>
      <c r="O2579" t="n">
        <v>1.2</v>
      </c>
      <c r="P2579" t="n">
        <v>10.44</v>
      </c>
      <c r="Q2579" t="n">
        <v>0.6</v>
      </c>
      <c r="R2579" t="inlineStr">
        <is>
          <t>Sobrestock crítico</t>
        </is>
      </c>
    </row>
    <row r="2580">
      <c r="A2580" t="inlineStr">
        <is>
          <t>MARMIDA14TM</t>
        </is>
      </c>
      <c r="B2580" t="inlineStr">
        <is>
          <t>MAR ORIGINAL DAMA</t>
        </is>
      </c>
      <c r="C2580" t="inlineStr">
        <is>
          <t>Manufactura / Dama / P. Superiores</t>
        </is>
      </c>
      <c r="D2580" t="n">
        <v>66.32438892</v>
      </c>
      <c r="E2580" t="n">
        <v>1.623837065802827e-05</v>
      </c>
      <c r="F2580" t="n">
        <v>0.9935548716107856</v>
      </c>
      <c r="G2580" t="inlineStr">
        <is>
          <t>C</t>
        </is>
      </c>
      <c r="H2580" t="n">
        <v>0</v>
      </c>
      <c r="I2580" t="n">
        <v>4.278324149</v>
      </c>
      <c r="J2580" t="n">
        <v>0</v>
      </c>
      <c r="K2580" t="n">
        <v>0.2</v>
      </c>
      <c r="L2580" t="n">
        <v>0</v>
      </c>
      <c r="M2580" t="n">
        <v>4</v>
      </c>
      <c r="N2580" t="n">
        <v>0.8</v>
      </c>
      <c r="O2580" t="n">
        <v>0</v>
      </c>
      <c r="P2580" t="n">
        <v>0</v>
      </c>
      <c r="Q2580" t="n">
        <v>0</v>
      </c>
      <c r="R2580" t="inlineStr">
        <is>
          <t>Sin rotación</t>
        </is>
      </c>
    </row>
    <row r="2581">
      <c r="A2581" t="inlineStr">
        <is>
          <t>CGCSDA16TM</t>
        </is>
      </c>
      <c r="B2581" t="inlineStr">
        <is>
          <t>CLASICA GC SUBLIMADO DAMA</t>
        </is>
      </c>
      <c r="C2581" t="inlineStr">
        <is>
          <t>Manufactura / Dama / P. Superiores</t>
        </is>
      </c>
      <c r="D2581" t="n">
        <v>66.19827089699973</v>
      </c>
      <c r="E2581" t="n">
        <v>1.620749285821007e-05</v>
      </c>
      <c r="F2581" t="n">
        <v>0.9935710791036437</v>
      </c>
      <c r="G2581" t="inlineStr">
        <is>
          <t>C</t>
        </is>
      </c>
      <c r="H2581" t="n">
        <v>0</v>
      </c>
      <c r="I2581" t="n">
        <v>0</v>
      </c>
      <c r="J2581" t="n">
        <v>0</v>
      </c>
      <c r="K2581" t="n">
        <v>1.5</v>
      </c>
      <c r="L2581" t="n">
        <v>0</v>
      </c>
      <c r="M2581" t="n">
        <v>4</v>
      </c>
      <c r="N2581" t="n">
        <v>6</v>
      </c>
      <c r="O2581" t="n">
        <v>0</v>
      </c>
      <c r="P2581" t="n">
        <v>0</v>
      </c>
      <c r="Q2581" t="n">
        <v>0</v>
      </c>
      <c r="R2581" t="inlineStr">
        <is>
          <t>Riesgo bajo stock</t>
        </is>
      </c>
    </row>
    <row r="2582">
      <c r="A2582" t="inlineStr">
        <is>
          <t>ANDMIDA52TM</t>
        </is>
      </c>
      <c r="B2582" t="inlineStr">
        <is>
          <t>ANDRE ORIGINAL DAMA</t>
        </is>
      </c>
      <c r="C2582" t="inlineStr">
        <is>
          <t>Manufactura / Dama / P. Superiores</t>
        </is>
      </c>
      <c r="D2582" t="n">
        <v>66.00360782999999</v>
      </c>
      <c r="E2582" t="n">
        <v>1.615983299904147e-05</v>
      </c>
      <c r="F2582" t="n">
        <v>0.9935872389366428</v>
      </c>
      <c r="G2582" t="inlineStr">
        <is>
          <t>C</t>
        </is>
      </c>
      <c r="H2582" t="n">
        <v>0</v>
      </c>
      <c r="I2582" t="n">
        <v>3.274295302</v>
      </c>
      <c r="J2582" t="n">
        <v>0</v>
      </c>
      <c r="K2582" t="n">
        <v>0.3</v>
      </c>
      <c r="L2582" t="n">
        <v>0</v>
      </c>
      <c r="M2582" t="n">
        <v>4</v>
      </c>
      <c r="N2582" t="n">
        <v>1.2</v>
      </c>
      <c r="O2582" t="n">
        <v>0</v>
      </c>
      <c r="P2582" t="n">
        <v>0</v>
      </c>
      <c r="Q2582" t="n">
        <v>0</v>
      </c>
      <c r="R2582" t="inlineStr">
        <is>
          <t>Sin rotación</t>
        </is>
      </c>
    </row>
    <row r="2583">
      <c r="A2583" t="inlineStr">
        <is>
          <t>CLAMIKI43T2</t>
        </is>
      </c>
      <c r="B2583" t="inlineStr">
        <is>
          <t>CLASICA ORIGINAL KIDS</t>
        </is>
      </c>
      <c r="C2583" t="inlineStr">
        <is>
          <t>Manufactura / Kids / P. Superiores</t>
        </is>
      </c>
      <c r="D2583" t="n">
        <v>65.75306589</v>
      </c>
      <c r="E2583" t="n">
        <v>1.60984921717327e-05</v>
      </c>
      <c r="F2583" t="n">
        <v>0.9936033374288145</v>
      </c>
      <c r="G2583" t="inlineStr">
        <is>
          <t>C</t>
        </is>
      </c>
      <c r="H2583" t="n">
        <v>64</v>
      </c>
      <c r="I2583" t="n">
        <v>2.053774806</v>
      </c>
      <c r="J2583" t="n">
        <v>131.441587584</v>
      </c>
      <c r="K2583" t="n">
        <v>0.2</v>
      </c>
      <c r="L2583" t="n">
        <v>320</v>
      </c>
      <c r="M2583" t="n">
        <v>4</v>
      </c>
      <c r="N2583" t="n">
        <v>0.8</v>
      </c>
      <c r="O2583" t="n">
        <v>63.2</v>
      </c>
      <c r="P2583" t="n">
        <v>129.7985677392</v>
      </c>
      <c r="Q2583" t="n">
        <v>0.9875</v>
      </c>
      <c r="R2583" t="inlineStr">
        <is>
          <t>Sobrestock crítico</t>
        </is>
      </c>
    </row>
    <row r="2584">
      <c r="A2584" t="inlineStr">
        <is>
          <t>RUNTBMBFCA206TL</t>
        </is>
      </c>
      <c r="B2584" t="inlineStr">
        <is>
          <t>RUNNING TANK BIOMOVE CAB</t>
        </is>
      </c>
      <c r="C2584" t="inlineStr">
        <is>
          <t>Manufactura / Caballero / P. Superiores</t>
        </is>
      </c>
      <c r="D2584" t="n">
        <v>65.7</v>
      </c>
      <c r="E2584" t="n">
        <v>1.608549991345261e-05</v>
      </c>
      <c r="F2584" t="n">
        <v>0.993619422928728</v>
      </c>
      <c r="G2584" t="inlineStr">
        <is>
          <t>C</t>
        </is>
      </c>
      <c r="H2584" t="n">
        <v>27</v>
      </c>
      <c r="I2584" t="n">
        <v>0.4823510284</v>
      </c>
      <c r="J2584" t="n">
        <v>13.0234777668</v>
      </c>
      <c r="K2584" t="n">
        <v>0.2</v>
      </c>
      <c r="L2584" t="n">
        <v>135</v>
      </c>
      <c r="M2584" t="n">
        <v>4</v>
      </c>
      <c r="N2584" t="n">
        <v>0.8</v>
      </c>
      <c r="O2584" t="n">
        <v>26.2</v>
      </c>
      <c r="P2584" t="n">
        <v>12.63759694408</v>
      </c>
      <c r="Q2584" t="n">
        <v>0.9703703703703704</v>
      </c>
      <c r="R2584" t="inlineStr">
        <is>
          <t>Sobrestock crítico</t>
        </is>
      </c>
    </row>
    <row r="2585">
      <c r="A2585" t="inlineStr">
        <is>
          <t>ANDMIDA52TS</t>
        </is>
      </c>
      <c r="B2585" t="inlineStr">
        <is>
          <t>ANDRE ORIGINAL DAMA</t>
        </is>
      </c>
      <c r="C2585" t="inlineStr">
        <is>
          <t>Manufactura / Dama / P. Superiores</t>
        </is>
      </c>
      <c r="D2585" t="n">
        <v>65.64444845</v>
      </c>
      <c r="E2585" t="n">
        <v>1.607189908464413e-05</v>
      </c>
      <c r="F2585" t="n">
        <v>0.9936354948278125</v>
      </c>
      <c r="G2585" t="inlineStr">
        <is>
          <t>C</t>
        </is>
      </c>
      <c r="H2585" t="n">
        <v>0</v>
      </c>
      <c r="I2585" t="n">
        <v>3.274295302</v>
      </c>
      <c r="J2585" t="n">
        <v>0</v>
      </c>
      <c r="K2585" t="n">
        <v>0.2</v>
      </c>
      <c r="L2585" t="n">
        <v>0</v>
      </c>
      <c r="M2585" t="n">
        <v>4</v>
      </c>
      <c r="N2585" t="n">
        <v>0.8</v>
      </c>
      <c r="O2585" t="n">
        <v>0</v>
      </c>
      <c r="P2585" t="n">
        <v>0</v>
      </c>
      <c r="Q2585" t="n">
        <v>0</v>
      </c>
      <c r="R2585" t="inlineStr">
        <is>
          <t>Sin rotación</t>
        </is>
      </c>
    </row>
    <row r="2586">
      <c r="A2586" t="inlineStr">
        <is>
          <t>CLAMIKI11T8</t>
        </is>
      </c>
      <c r="B2586" t="inlineStr">
        <is>
          <t>CLASICA ORIGINAL KIDS</t>
        </is>
      </c>
      <c r="C2586" t="inlineStr">
        <is>
          <t>Manufactura / Kids / P. Superiores</t>
        </is>
      </c>
      <c r="D2586" t="n">
        <v>64.95868272999999</v>
      </c>
      <c r="E2586" t="n">
        <v>1.590400130032588e-05</v>
      </c>
      <c r="F2586" t="n">
        <v>0.993651398829113</v>
      </c>
      <c r="G2586" t="inlineStr">
        <is>
          <t>C</t>
        </is>
      </c>
      <c r="H2586" t="n">
        <v>3</v>
      </c>
      <c r="I2586" t="n">
        <v>2.053774806</v>
      </c>
      <c r="J2586" t="n">
        <v>6.161324418</v>
      </c>
      <c r="K2586" t="n">
        <v>0.3</v>
      </c>
      <c r="L2586" t="n">
        <v>10</v>
      </c>
      <c r="M2586" t="n">
        <v>4</v>
      </c>
      <c r="N2586" t="n">
        <v>1.2</v>
      </c>
      <c r="O2586" t="n">
        <v>1.8</v>
      </c>
      <c r="P2586" t="n">
        <v>3.6967946508</v>
      </c>
      <c r="Q2586" t="n">
        <v>0.6</v>
      </c>
      <c r="R2586" t="inlineStr">
        <is>
          <t>Sobrestock crítico</t>
        </is>
      </c>
    </row>
    <row r="2587">
      <c r="A2587" t="inlineStr">
        <is>
          <t>CLAMIDA53TXS</t>
        </is>
      </c>
      <c r="B2587" t="inlineStr">
        <is>
          <t>CLASICA ORIGINAL DAMA</t>
        </is>
      </c>
      <c r="C2587" t="inlineStr">
        <is>
          <t>Manufactura / Dama / P. Superiores</t>
        </is>
      </c>
      <c r="D2587" t="n">
        <v>64.43770116</v>
      </c>
      <c r="E2587" t="n">
        <v>1.577644804310906e-05</v>
      </c>
      <c r="F2587" t="n">
        <v>0.993667175277156</v>
      </c>
      <c r="G2587" t="inlineStr">
        <is>
          <t>C</t>
        </is>
      </c>
      <c r="H2587" t="n">
        <v>0</v>
      </c>
      <c r="I2587" t="n">
        <v>3.923227589</v>
      </c>
      <c r="J2587" t="n">
        <v>0</v>
      </c>
      <c r="K2587" t="n">
        <v>0.3</v>
      </c>
      <c r="L2587" t="n">
        <v>0</v>
      </c>
      <c r="M2587" t="n">
        <v>4</v>
      </c>
      <c r="N2587" t="n">
        <v>1.2</v>
      </c>
      <c r="O2587" t="n">
        <v>0</v>
      </c>
      <c r="P2587" t="n">
        <v>0</v>
      </c>
      <c r="Q2587" t="n">
        <v>0</v>
      </c>
      <c r="R2587" t="inlineStr">
        <is>
          <t>Riesgo bajo stock</t>
        </is>
      </c>
    </row>
    <row r="2588">
      <c r="A2588" t="inlineStr">
        <is>
          <t>DALSTKI30T10</t>
        </is>
      </c>
      <c r="B2588" t="inlineStr">
        <is>
          <t>CLASICA DAILY 2.0 KIDS</t>
        </is>
      </c>
      <c r="C2588" t="inlineStr">
        <is>
          <t>Manufactura / Kids / P. Superiores</t>
        </is>
      </c>
      <c r="D2588" t="n">
        <v>64.41490526999999</v>
      </c>
      <c r="E2588" t="n">
        <v>1.577086686675255e-05</v>
      </c>
      <c r="F2588" t="n">
        <v>0.9936829461440227</v>
      </c>
      <c r="G2588" t="inlineStr">
        <is>
          <t>C</t>
        </is>
      </c>
      <c r="H2588" t="n">
        <v>7</v>
      </c>
      <c r="I2588" t="n">
        <v>8.699999999999999</v>
      </c>
      <c r="J2588" t="n">
        <v>60.89999999999999</v>
      </c>
      <c r="K2588" t="n">
        <v>0.3</v>
      </c>
      <c r="L2588" t="n">
        <v>23.33333333333334</v>
      </c>
      <c r="M2588" t="n">
        <v>4</v>
      </c>
      <c r="N2588" t="n">
        <v>1.2</v>
      </c>
      <c r="O2588" t="n">
        <v>5.8</v>
      </c>
      <c r="P2588" t="n">
        <v>50.45999999999999</v>
      </c>
      <c r="Q2588" t="n">
        <v>0.8285714285714286</v>
      </c>
      <c r="R2588" t="inlineStr">
        <is>
          <t>Sobrestock crítico</t>
        </is>
      </c>
    </row>
    <row r="2589">
      <c r="A2589" t="inlineStr">
        <is>
          <t>WAVSTKI43T12</t>
        </is>
      </c>
      <c r="B2589" t="inlineStr">
        <is>
          <t>CLASICA RETRO 2.0 KIDS</t>
        </is>
      </c>
      <c r="C2589" t="inlineStr">
        <is>
          <t>Manufactura / Kids / P. Superiores</t>
        </is>
      </c>
      <c r="D2589" t="n">
        <v>63.97382991</v>
      </c>
      <c r="E2589" t="n">
        <v>1.566287725236738e-05</v>
      </c>
      <c r="F2589" t="n">
        <v>0.9936986090212752</v>
      </c>
      <c r="G2589" t="inlineStr">
        <is>
          <t>C</t>
        </is>
      </c>
      <c r="H2589" t="n">
        <v>0</v>
      </c>
      <c r="I2589" t="n">
        <v>1</v>
      </c>
      <c r="J2589" t="n">
        <v>0</v>
      </c>
      <c r="K2589" t="n">
        <v>0.2</v>
      </c>
      <c r="L2589" t="n">
        <v>0</v>
      </c>
      <c r="M2589" t="n">
        <v>4</v>
      </c>
      <c r="N2589" t="n">
        <v>0.8</v>
      </c>
      <c r="O2589" t="n">
        <v>0</v>
      </c>
      <c r="P2589" t="n">
        <v>0</v>
      </c>
      <c r="Q2589" t="n">
        <v>0</v>
      </c>
      <c r="R2589" t="inlineStr">
        <is>
          <t>Sin rotación</t>
        </is>
      </c>
    </row>
    <row r="2590">
      <c r="A2590" t="inlineStr">
        <is>
          <t>PETMIPE48TS</t>
        </is>
      </c>
      <c r="B2590" t="inlineStr">
        <is>
          <t>BANDANA PET</t>
        </is>
      </c>
      <c r="C2590" t="inlineStr">
        <is>
          <t>Manufactura / General</t>
        </is>
      </c>
      <c r="D2590" t="n">
        <v>63.88132263</v>
      </c>
      <c r="E2590" t="n">
        <v>1.564022845717052e-05</v>
      </c>
      <c r="F2590" t="n">
        <v>0.9937142492497323</v>
      </c>
      <c r="G2590" t="inlineStr">
        <is>
          <t>C</t>
        </is>
      </c>
      <c r="H2590" t="n">
        <v>2</v>
      </c>
      <c r="I2590" t="n">
        <v>0.3252662283</v>
      </c>
      <c r="J2590" t="n">
        <v>0.6505324566</v>
      </c>
      <c r="K2590" t="n">
        <v>0.5</v>
      </c>
      <c r="L2590" t="n">
        <v>4</v>
      </c>
      <c r="M2590" t="n">
        <v>4</v>
      </c>
      <c r="N2590" t="n">
        <v>2</v>
      </c>
      <c r="O2590" t="n">
        <v>0</v>
      </c>
      <c r="P2590" t="n">
        <v>0</v>
      </c>
      <c r="Q2590" t="n">
        <v>0</v>
      </c>
      <c r="R2590" t="inlineStr">
        <is>
          <t>OK</t>
        </is>
      </c>
    </row>
    <row r="2591">
      <c r="A2591" t="inlineStr">
        <is>
          <t>CLAMIKI11T2</t>
        </is>
      </c>
      <c r="B2591" t="inlineStr">
        <is>
          <t>CLASICA ORIGINAL KIDS</t>
        </is>
      </c>
      <c r="C2591" t="inlineStr">
        <is>
          <t>Manufactura / Kids / P. Superiores</t>
        </is>
      </c>
      <c r="D2591" t="n">
        <v>63.7192829</v>
      </c>
      <c r="E2591" t="n">
        <v>1.560055585347355e-05</v>
      </c>
      <c r="F2591" t="n">
        <v>0.9937298498055858</v>
      </c>
      <c r="G2591" t="inlineStr">
        <is>
          <t>C</t>
        </is>
      </c>
      <c r="H2591" t="n">
        <v>0</v>
      </c>
      <c r="I2591" t="n">
        <v>2.053774806</v>
      </c>
      <c r="J2591" t="n">
        <v>0</v>
      </c>
      <c r="K2591" t="n">
        <v>0.2</v>
      </c>
      <c r="L2591" t="n">
        <v>0</v>
      </c>
      <c r="M2591" t="n">
        <v>4</v>
      </c>
      <c r="N2591" t="n">
        <v>0.8</v>
      </c>
      <c r="O2591" t="n">
        <v>0</v>
      </c>
      <c r="P2591" t="n">
        <v>0</v>
      </c>
      <c r="Q2591" t="n">
        <v>0</v>
      </c>
      <c r="R2591" t="inlineStr">
        <is>
          <t>Riesgo bajo stock</t>
        </is>
      </c>
    </row>
    <row r="2592">
      <c r="A2592" t="inlineStr">
        <is>
          <t>CLAMIKI53T2</t>
        </is>
      </c>
      <c r="B2592" t="inlineStr">
        <is>
          <t>CLASICA ORIGINAL KIDS</t>
        </is>
      </c>
      <c r="C2592" t="inlineStr">
        <is>
          <t>Manufactura / Kids / P. Superiores</t>
        </is>
      </c>
      <c r="D2592" t="n">
        <v>63.63302852</v>
      </c>
      <c r="E2592" t="n">
        <v>1.557943797185978e-05</v>
      </c>
      <c r="F2592" t="n">
        <v>0.9937454292435577</v>
      </c>
      <c r="G2592" t="inlineStr">
        <is>
          <t>C</t>
        </is>
      </c>
      <c r="H2592" t="n">
        <v>2</v>
      </c>
      <c r="I2592" t="n">
        <v>2.053774806</v>
      </c>
      <c r="J2592" t="n">
        <v>4.107549612</v>
      </c>
      <c r="K2592" t="n">
        <v>0.3</v>
      </c>
      <c r="L2592" t="n">
        <v>6.666666666666667</v>
      </c>
      <c r="M2592" t="n">
        <v>4</v>
      </c>
      <c r="N2592" t="n">
        <v>1.2</v>
      </c>
      <c r="O2592" t="n">
        <v>0.8</v>
      </c>
      <c r="P2592" t="n">
        <v>1.6430198448</v>
      </c>
      <c r="Q2592" t="n">
        <v>0.4</v>
      </c>
      <c r="R2592" t="inlineStr">
        <is>
          <t>Sobrestock crítico</t>
        </is>
      </c>
    </row>
    <row r="2593">
      <c r="A2593" t="inlineStr">
        <is>
          <t>DALSSTDA16TL</t>
        </is>
      </c>
      <c r="B2593" t="inlineStr">
        <is>
          <t>MANGA LARGA DAILY 2.0 DAMA</t>
        </is>
      </c>
      <c r="C2593" t="inlineStr">
        <is>
          <t>Manufactura / Dama / P. Superiores</t>
        </is>
      </c>
      <c r="D2593" t="n">
        <v>63.17038856</v>
      </c>
      <c r="E2593" t="n">
        <v>1.546616864101442e-05</v>
      </c>
      <c r="F2593" t="n">
        <v>0.9937763615808397</v>
      </c>
      <c r="G2593" t="inlineStr">
        <is>
          <t>C</t>
        </is>
      </c>
      <c r="H2593" t="n">
        <v>3</v>
      </c>
      <c r="I2593" t="n">
        <v>12.3</v>
      </c>
      <c r="J2593" t="n">
        <v>36.90000000000001</v>
      </c>
      <c r="K2593" t="n">
        <v>0.1</v>
      </c>
      <c r="L2593" t="n">
        <v>30</v>
      </c>
      <c r="M2593" t="n">
        <v>4</v>
      </c>
      <c r="N2593" t="n">
        <v>0.4</v>
      </c>
      <c r="O2593" t="n">
        <v>2.6</v>
      </c>
      <c r="P2593" t="n">
        <v>31.98</v>
      </c>
      <c r="Q2593" t="n">
        <v>0.8666666666666667</v>
      </c>
      <c r="R2593" t="inlineStr">
        <is>
          <t>Sin rotación</t>
        </is>
      </c>
    </row>
    <row r="2594">
      <c r="A2594" t="inlineStr">
        <is>
          <t>DALSSTDA16TXL</t>
        </is>
      </c>
      <c r="B2594" t="inlineStr">
        <is>
          <t>MANGA LARGA DAILY 2.0 DAMA</t>
        </is>
      </c>
      <c r="C2594" t="inlineStr">
        <is>
          <t>Manufactura / Dama / P. Superiores</t>
        </is>
      </c>
      <c r="D2594" t="n">
        <v>63.17038856</v>
      </c>
      <c r="E2594" t="n">
        <v>1.546616864101442e-05</v>
      </c>
      <c r="F2594" t="n">
        <v>0.9937763615808397</v>
      </c>
      <c r="G2594" t="inlineStr">
        <is>
          <t>C</t>
        </is>
      </c>
      <c r="H2594" t="n">
        <v>8</v>
      </c>
      <c r="I2594" t="n">
        <v>12.3</v>
      </c>
      <c r="J2594" t="n">
        <v>98.40000000000001</v>
      </c>
      <c r="K2594" t="n">
        <v>0.1</v>
      </c>
      <c r="L2594" t="n">
        <v>80</v>
      </c>
      <c r="M2594" t="n">
        <v>4</v>
      </c>
      <c r="N2594" t="n">
        <v>0.4</v>
      </c>
      <c r="O2594" t="n">
        <v>7.6</v>
      </c>
      <c r="P2594" t="n">
        <v>93.48</v>
      </c>
      <c r="Q2594" t="n">
        <v>0.95</v>
      </c>
      <c r="R2594" t="inlineStr">
        <is>
          <t>Sin rotación</t>
        </is>
      </c>
    </row>
    <row r="2595">
      <c r="A2595" t="inlineStr">
        <is>
          <t>CLAMIKI11T4</t>
        </is>
      </c>
      <c r="B2595" t="inlineStr">
        <is>
          <t>CLASICA ORIGINAL KIDS</t>
        </is>
      </c>
      <c r="C2595" t="inlineStr">
        <is>
          <t>Manufactura / Kids / P. Superiores</t>
        </is>
      </c>
      <c r="D2595" t="n">
        <v>63.05730497</v>
      </c>
      <c r="E2595" t="n">
        <v>1.543848209493896e-05</v>
      </c>
      <c r="F2595" t="n">
        <v>0.9937918000629347</v>
      </c>
      <c r="G2595" t="inlineStr">
        <is>
          <t>C</t>
        </is>
      </c>
      <c r="H2595" t="n">
        <v>1</v>
      </c>
      <c r="I2595" t="n">
        <v>2.053774806</v>
      </c>
      <c r="J2595" t="n">
        <v>2.053774806</v>
      </c>
      <c r="K2595" t="n">
        <v>0.2</v>
      </c>
      <c r="L2595" t="n">
        <v>5</v>
      </c>
      <c r="M2595" t="n">
        <v>4</v>
      </c>
      <c r="N2595" t="n">
        <v>0.8</v>
      </c>
      <c r="O2595" t="n">
        <v>0.2</v>
      </c>
      <c r="P2595" t="n">
        <v>0.4107549611999999</v>
      </c>
      <c r="Q2595" t="n">
        <v>0.2</v>
      </c>
      <c r="R2595" t="inlineStr">
        <is>
          <t>Sobrestock</t>
        </is>
      </c>
    </row>
    <row r="2596">
      <c r="A2596" t="inlineStr">
        <is>
          <t>CAP69FC</t>
        </is>
      </c>
      <c r="B2596" t="inlineStr">
        <is>
          <t>FIT CAP</t>
        </is>
      </c>
      <c r="C2596" t="inlineStr">
        <is>
          <t>Equipamiento / Gorras</t>
        </is>
      </c>
      <c r="D2596" t="n">
        <v>63.01623576</v>
      </c>
      <c r="E2596" t="n">
        <v>1.54284270146665e-05</v>
      </c>
      <c r="F2596" t="n">
        <v>0.9938072284899493</v>
      </c>
      <c r="G2596" t="inlineStr">
        <is>
          <t>C</t>
        </is>
      </c>
      <c r="H2596" t="n">
        <v>0</v>
      </c>
      <c r="I2596" t="n">
        <v>4.11</v>
      </c>
      <c r="J2596" t="n">
        <v>0</v>
      </c>
      <c r="K2596" t="n">
        <v>0.2</v>
      </c>
      <c r="L2596" t="n">
        <v>0</v>
      </c>
      <c r="M2596" t="n">
        <v>4</v>
      </c>
      <c r="N2596" t="n">
        <v>0.8</v>
      </c>
      <c r="O2596" t="n">
        <v>0</v>
      </c>
      <c r="P2596" t="n">
        <v>0</v>
      </c>
      <c r="Q2596" t="n">
        <v>0</v>
      </c>
      <c r="R2596" t="inlineStr">
        <is>
          <t>Sin rotación</t>
        </is>
      </c>
    </row>
    <row r="2597">
      <c r="A2597" t="inlineStr">
        <is>
          <t>CLAMIKI30T10</t>
        </is>
      </c>
      <c r="B2597" t="inlineStr">
        <is>
          <t>CLASICA ORIGINAL KIDS</t>
        </is>
      </c>
      <c r="C2597" t="inlineStr">
        <is>
          <t>Manufactura / Kids / P. Superiores</t>
        </is>
      </c>
      <c r="D2597" t="n">
        <v>62.98851085</v>
      </c>
      <c r="E2597" t="n">
        <v>1.542163905367099e-05</v>
      </c>
      <c r="F2597" t="n">
        <v>0.9938226501290029</v>
      </c>
      <c r="G2597" t="inlineStr">
        <is>
          <t>C</t>
        </is>
      </c>
      <c r="H2597" t="n">
        <v>35</v>
      </c>
      <c r="I2597" t="n">
        <v>2.053774806</v>
      </c>
      <c r="J2597" t="n">
        <v>71.88211820999999</v>
      </c>
      <c r="K2597" t="n">
        <v>0.2</v>
      </c>
      <c r="L2597" t="n">
        <v>175</v>
      </c>
      <c r="M2597" t="n">
        <v>4</v>
      </c>
      <c r="N2597" t="n">
        <v>0.8</v>
      </c>
      <c r="O2597" t="n">
        <v>34.2</v>
      </c>
      <c r="P2597" t="n">
        <v>70.23909836520001</v>
      </c>
      <c r="Q2597" t="n">
        <v>0.9771428571428574</v>
      </c>
      <c r="R2597" t="inlineStr">
        <is>
          <t>Sobrestock crítico</t>
        </is>
      </c>
    </row>
    <row r="2598">
      <c r="A2598" t="inlineStr">
        <is>
          <t>RUNTBMBFCA209T2XL</t>
        </is>
      </c>
      <c r="B2598" t="inlineStr">
        <is>
          <t>RUNNING TANK BIOMOVE CAB</t>
        </is>
      </c>
      <c r="C2598" t="inlineStr">
        <is>
          <t>Manufactura / Caballero / P. Superiores</t>
        </is>
      </c>
      <c r="D2598" t="n">
        <v>62.93</v>
      </c>
      <c r="E2598" t="n">
        <v>1.54073136918352e-05</v>
      </c>
      <c r="F2598" t="n">
        <v>0.9938380574426948</v>
      </c>
      <c r="G2598" t="inlineStr">
        <is>
          <t>C</t>
        </is>
      </c>
      <c r="H2598" t="n">
        <v>15</v>
      </c>
      <c r="I2598" t="n">
        <v>0.4823510284</v>
      </c>
      <c r="J2598" t="n">
        <v>7.235265426</v>
      </c>
      <c r="K2598" t="n">
        <v>0.1</v>
      </c>
      <c r="L2598" t="n">
        <v>150</v>
      </c>
      <c r="M2598" t="n">
        <v>4</v>
      </c>
      <c r="N2598" t="n">
        <v>0.4</v>
      </c>
      <c r="O2598" t="n">
        <v>14.6</v>
      </c>
      <c r="P2598" t="n">
        <v>7.042325014639999</v>
      </c>
      <c r="Q2598" t="n">
        <v>0.9733333333333333</v>
      </c>
      <c r="R2598" t="inlineStr">
        <is>
          <t>Sobrestock crítico</t>
        </is>
      </c>
    </row>
    <row r="2599">
      <c r="A2599" t="inlineStr">
        <is>
          <t>MIAMIDA43TS</t>
        </is>
      </c>
      <c r="B2599" t="inlineStr">
        <is>
          <t>MIA ORIGINAL DAMA</t>
        </is>
      </c>
      <c r="C2599" t="inlineStr">
        <is>
          <t>Manufactura / Dama / P. Superiores</t>
        </is>
      </c>
      <c r="D2599" t="n">
        <v>62.92461399</v>
      </c>
      <c r="E2599" t="n">
        <v>1.540599502115957e-05</v>
      </c>
      <c r="F2599" t="n">
        <v>0.993853463437716</v>
      </c>
      <c r="G2599" t="inlineStr">
        <is>
          <t>C</t>
        </is>
      </c>
      <c r="H2599" t="n">
        <v>5</v>
      </c>
      <c r="I2599" t="n">
        <v>3.94</v>
      </c>
      <c r="J2599" t="n">
        <v>19.7</v>
      </c>
      <c r="K2599" t="n">
        <v>0.2</v>
      </c>
      <c r="L2599" t="n">
        <v>25</v>
      </c>
      <c r="M2599" t="n">
        <v>4</v>
      </c>
      <c r="N2599" t="n">
        <v>0.8</v>
      </c>
      <c r="O2599" t="n">
        <v>4.2</v>
      </c>
      <c r="P2599" t="n">
        <v>16.548</v>
      </c>
      <c r="Q2599" t="n">
        <v>0.8400000000000001</v>
      </c>
      <c r="R2599" t="inlineStr">
        <is>
          <t>Sin rotación</t>
        </is>
      </c>
    </row>
    <row r="2600">
      <c r="A2600" t="inlineStr">
        <is>
          <t>TOA05SP</t>
        </is>
      </c>
      <c r="B2600" t="inlineStr">
        <is>
          <t>TOALLA SPORT</t>
        </is>
      </c>
      <c r="C2600" t="inlineStr">
        <is>
          <t>Equipamiento / Toallas</t>
        </is>
      </c>
      <c r="D2600" t="n">
        <v>62.51851439000001</v>
      </c>
      <c r="E2600" t="n">
        <v>1.530656861201721e-05</v>
      </c>
      <c r="F2600" t="n">
        <v>0.993868770006328</v>
      </c>
      <c r="G2600" t="inlineStr">
        <is>
          <t>C</t>
        </is>
      </c>
      <c r="H2600" t="n">
        <v>0</v>
      </c>
      <c r="I2600" t="n">
        <v>1.8</v>
      </c>
      <c r="J2600" t="n">
        <v>0</v>
      </c>
      <c r="K2600" t="n">
        <v>0.3</v>
      </c>
      <c r="L2600" t="n">
        <v>0</v>
      </c>
      <c r="M2600" t="n">
        <v>4</v>
      </c>
      <c r="N2600" t="n">
        <v>1.2</v>
      </c>
      <c r="O2600" t="n">
        <v>0</v>
      </c>
      <c r="P2600" t="n">
        <v>0</v>
      </c>
      <c r="Q2600" t="n">
        <v>0</v>
      </c>
      <c r="R2600" t="inlineStr">
        <is>
          <t>Riesgo bajo stock</t>
        </is>
      </c>
    </row>
    <row r="2601">
      <c r="A2601" t="inlineStr">
        <is>
          <t>PANNTKI31T8</t>
        </is>
      </c>
      <c r="B2601" t="inlineStr">
        <is>
          <t>EXPLORE PANTS KIDS</t>
        </is>
      </c>
      <c r="C2601" t="inlineStr">
        <is>
          <t>Manufactura / Kids / P. Inferiores</t>
        </is>
      </c>
      <c r="D2601" t="n">
        <v>62.1950652</v>
      </c>
      <c r="E2601" t="n">
        <v>1.522737771524778e-05</v>
      </c>
      <c r="F2601" t="n">
        <v>0.9938839973840432</v>
      </c>
      <c r="G2601" t="inlineStr">
        <is>
          <t>C</t>
        </is>
      </c>
      <c r="H2601" t="n">
        <v>2</v>
      </c>
      <c r="I2601" t="n">
        <v>13.98</v>
      </c>
      <c r="J2601" t="n">
        <v>27.96</v>
      </c>
      <c r="K2601" t="n">
        <v>0.1</v>
      </c>
      <c r="L2601" t="n">
        <v>20</v>
      </c>
      <c r="M2601" t="n">
        <v>4</v>
      </c>
      <c r="N2601" t="n">
        <v>0.4</v>
      </c>
      <c r="O2601" t="n">
        <v>1.6</v>
      </c>
      <c r="P2601" t="n">
        <v>22.368</v>
      </c>
      <c r="Q2601" t="n">
        <v>0.8</v>
      </c>
      <c r="R2601" t="inlineStr">
        <is>
          <t>Sobrestock crítico</t>
        </is>
      </c>
    </row>
    <row r="2602">
      <c r="A2602" t="inlineStr">
        <is>
          <t>JACCA67T2XL</t>
        </is>
      </c>
      <c r="B2602" t="inlineStr">
        <is>
          <t>JACKET CAB</t>
        </is>
      </c>
      <c r="C2602" t="inlineStr">
        <is>
          <t>Equipamiento / Ropa</t>
        </is>
      </c>
      <c r="D2602" t="n">
        <v>62.19096128</v>
      </c>
      <c r="E2602" t="n">
        <v>1.522637294196308e-05</v>
      </c>
      <c r="F2602" t="n">
        <v>0.9938992237569851</v>
      </c>
      <c r="G2602" t="inlineStr">
        <is>
          <t>C</t>
        </is>
      </c>
      <c r="H2602" t="n">
        <v>1</v>
      </c>
      <c r="I2602" t="n">
        <v>20.25001933</v>
      </c>
      <c r="J2602" t="n">
        <v>20.25001933</v>
      </c>
      <c r="K2602" t="n">
        <v>0.1</v>
      </c>
      <c r="L2602" t="n">
        <v>10</v>
      </c>
      <c r="M2602" t="n">
        <v>4</v>
      </c>
      <c r="N2602" t="n">
        <v>0.4</v>
      </c>
      <c r="O2602" t="n">
        <v>0.6</v>
      </c>
      <c r="P2602" t="n">
        <v>12.150011598</v>
      </c>
      <c r="Q2602" t="n">
        <v>0.6</v>
      </c>
      <c r="R2602" t="inlineStr">
        <is>
          <t>Sin rotación</t>
        </is>
      </c>
    </row>
    <row r="2603">
      <c r="A2603" t="inlineStr">
        <is>
          <t>SHR2VICA66TL</t>
        </is>
      </c>
      <c r="B2603" t="inlineStr">
        <is>
          <t>SHORT R2 CAB</t>
        </is>
      </c>
      <c r="C2603" t="inlineStr">
        <is>
          <t>Manufactura / Dama / P. Inferiores</t>
        </is>
      </c>
      <c r="D2603" t="n">
        <v>62</v>
      </c>
      <c r="E2603" t="n">
        <v>1.517961940082286e-05</v>
      </c>
      <c r="F2603" t="n">
        <v>0.9939447626151876</v>
      </c>
      <c r="G2603" t="inlineStr">
        <is>
          <t>C</t>
        </is>
      </c>
      <c r="H2603" t="n">
        <v>7</v>
      </c>
      <c r="I2603" t="n">
        <v>9.119999999999999</v>
      </c>
      <c r="J2603" t="n">
        <v>63.84</v>
      </c>
      <c r="K2603" t="n">
        <v>0.1</v>
      </c>
      <c r="L2603" t="n">
        <v>70</v>
      </c>
      <c r="M2603" t="n">
        <v>4</v>
      </c>
      <c r="N2603" t="n">
        <v>0.4</v>
      </c>
      <c r="O2603" t="n">
        <v>6.6</v>
      </c>
      <c r="P2603" t="n">
        <v>60.19199999999999</v>
      </c>
      <c r="Q2603" t="n">
        <v>0.9428571428571428</v>
      </c>
      <c r="R2603" t="inlineStr">
        <is>
          <t>Sobrestock crítico</t>
        </is>
      </c>
    </row>
    <row r="2604">
      <c r="A2604" t="inlineStr">
        <is>
          <t>SRR2VIU123TS</t>
        </is>
      </c>
      <c r="B2604" t="inlineStr">
        <is>
          <t>R2 RUNNING 3,5"</t>
        </is>
      </c>
      <c r="C2604" t="inlineStr">
        <is>
          <t>Manufactura / General</t>
        </is>
      </c>
      <c r="D2604" t="n">
        <v>62</v>
      </c>
      <c r="E2604" t="n">
        <v>1.517961940082286e-05</v>
      </c>
      <c r="F2604" t="n">
        <v>0.9939447626151876</v>
      </c>
      <c r="G2604" t="inlineStr">
        <is>
          <t>C</t>
        </is>
      </c>
      <c r="H2604" t="n">
        <v>12</v>
      </c>
      <c r="I2604" t="n">
        <v>6.19</v>
      </c>
      <c r="J2604" t="n">
        <v>74.28</v>
      </c>
      <c r="K2604" t="n">
        <v>0.2</v>
      </c>
      <c r="L2604" t="n">
        <v>60</v>
      </c>
      <c r="M2604" t="n">
        <v>4</v>
      </c>
      <c r="N2604" t="n">
        <v>0.8</v>
      </c>
      <c r="O2604" t="n">
        <v>11.2</v>
      </c>
      <c r="P2604" t="n">
        <v>69.328</v>
      </c>
      <c r="Q2604" t="n">
        <v>0.9333333333333333</v>
      </c>
      <c r="R2604" t="inlineStr">
        <is>
          <t>Sobrestock crítico</t>
        </is>
      </c>
    </row>
    <row r="2605">
      <c r="A2605" t="inlineStr">
        <is>
          <t>SSR2VIU43TL</t>
        </is>
      </c>
      <c r="B2605" t="inlineStr">
        <is>
          <t>R2 SPORT  5"</t>
        </is>
      </c>
      <c r="C2605" t="inlineStr">
        <is>
          <t>Manufactura / General</t>
        </is>
      </c>
      <c r="D2605" t="n">
        <v>62</v>
      </c>
      <c r="E2605" t="n">
        <v>1.517961940082286e-05</v>
      </c>
      <c r="F2605" t="n">
        <v>0.9939447626151876</v>
      </c>
      <c r="G2605" t="inlineStr">
        <is>
          <t>C</t>
        </is>
      </c>
      <c r="H2605" t="n">
        <v>19</v>
      </c>
      <c r="I2605" t="n">
        <v>5.09</v>
      </c>
      <c r="J2605" t="n">
        <v>96.70999999999999</v>
      </c>
      <c r="K2605" t="n">
        <v>0.1</v>
      </c>
      <c r="L2605" t="n">
        <v>190</v>
      </c>
      <c r="M2605" t="n">
        <v>4</v>
      </c>
      <c r="N2605" t="n">
        <v>0.4</v>
      </c>
      <c r="O2605" t="n">
        <v>18.6</v>
      </c>
      <c r="P2605" t="n">
        <v>94.67400000000001</v>
      </c>
      <c r="Q2605" t="n">
        <v>0.9789473684210528</v>
      </c>
      <c r="R2605" t="inlineStr">
        <is>
          <t>Sobrestock crítico</t>
        </is>
      </c>
    </row>
    <row r="2606">
      <c r="A2606" t="inlineStr">
        <is>
          <t>MAYFNDA16TXL</t>
        </is>
      </c>
      <c r="B2606" t="inlineStr">
        <is>
          <t>MAYA SPORT LITE DAMA</t>
        </is>
      </c>
      <c r="C2606" t="inlineStr">
        <is>
          <t>Manufactura / Dama / P. Superiores</t>
        </is>
      </c>
      <c r="D2606" t="n">
        <v>61.90605791</v>
      </c>
      <c r="E2606" t="n">
        <v>1.515661931740483e-05</v>
      </c>
      <c r="F2606" t="n">
        <v>0.9939599192345051</v>
      </c>
      <c r="G2606" t="inlineStr">
        <is>
          <t>C</t>
        </is>
      </c>
      <c r="H2606" t="n">
        <v>1</v>
      </c>
      <c r="I2606" t="n">
        <v>3.87</v>
      </c>
      <c r="J2606" t="n">
        <v>3.87</v>
      </c>
      <c r="K2606" t="n">
        <v>0.2</v>
      </c>
      <c r="L2606" t="n">
        <v>5</v>
      </c>
      <c r="M2606" t="n">
        <v>4</v>
      </c>
      <c r="N2606" t="n">
        <v>0.8</v>
      </c>
      <c r="O2606" t="n">
        <v>0.2</v>
      </c>
      <c r="P2606" t="n">
        <v>0.7739999999999998</v>
      </c>
      <c r="Q2606" t="n">
        <v>0.2</v>
      </c>
      <c r="R2606" t="inlineStr">
        <is>
          <t>Sin rotación</t>
        </is>
      </c>
    </row>
    <row r="2607">
      <c r="A2607" t="inlineStr">
        <is>
          <t>201STDA30TM</t>
        </is>
      </c>
      <c r="B2607" t="inlineStr">
        <is>
          <t>RETRO VZLA DAMA</t>
        </is>
      </c>
      <c r="C2607" t="inlineStr">
        <is>
          <t>Manufactura / Dama / P. Superiores</t>
        </is>
      </c>
      <c r="D2607" t="n">
        <v>61.74378773000001</v>
      </c>
      <c r="E2607" t="n">
        <v>1.511689029204188e-05</v>
      </c>
      <c r="F2607" t="n">
        <v>0.9939750361247971</v>
      </c>
      <c r="G2607" t="inlineStr">
        <is>
          <t>C</t>
        </is>
      </c>
      <c r="H2607" t="n">
        <v>0</v>
      </c>
      <c r="I2607" t="n">
        <v>11.23</v>
      </c>
      <c r="J2607" t="n">
        <v>0</v>
      </c>
      <c r="K2607" t="n">
        <v>0.2</v>
      </c>
      <c r="L2607" t="n">
        <v>0</v>
      </c>
      <c r="M2607" t="n">
        <v>4</v>
      </c>
      <c r="N2607" t="n">
        <v>0.8</v>
      </c>
      <c r="O2607" t="n">
        <v>0</v>
      </c>
      <c r="P2607" t="n">
        <v>0</v>
      </c>
      <c r="Q2607" t="n">
        <v>0</v>
      </c>
      <c r="R2607" t="inlineStr">
        <is>
          <t>Riesgo bajo stock</t>
        </is>
      </c>
    </row>
    <row r="2608">
      <c r="A2608" t="inlineStr">
        <is>
          <t>SHOSUKI108T14</t>
        </is>
      </c>
      <c r="B2608" t="inlineStr">
        <is>
          <t>SHORT PLAYA ESTAMPADO KIDS</t>
        </is>
      </c>
      <c r="C2608" t="inlineStr">
        <is>
          <t>Manufactura / Kids / P. Superiores</t>
        </is>
      </c>
      <c r="D2608" t="n">
        <v>61.66579288</v>
      </c>
      <c r="E2608" t="n">
        <v>1.50977946123931e-05</v>
      </c>
      <c r="F2608" t="n">
        <v>0.9939901339194095</v>
      </c>
      <c r="G2608" t="inlineStr">
        <is>
          <t>C</t>
        </is>
      </c>
      <c r="H2608" t="n">
        <v>0</v>
      </c>
      <c r="I2608" t="n">
        <v>7.21</v>
      </c>
      <c r="J2608" t="n">
        <v>0</v>
      </c>
      <c r="K2608" t="n">
        <v>0.2</v>
      </c>
      <c r="L2608" t="n">
        <v>0</v>
      </c>
      <c r="M2608" t="n">
        <v>4</v>
      </c>
      <c r="N2608" t="n">
        <v>0.8</v>
      </c>
      <c r="O2608" t="n">
        <v>0</v>
      </c>
      <c r="P2608" t="n">
        <v>0</v>
      </c>
      <c r="Q2608" t="n">
        <v>0</v>
      </c>
      <c r="R2608" t="inlineStr">
        <is>
          <t>Sin rotación</t>
        </is>
      </c>
    </row>
    <row r="2609">
      <c r="A2609" t="inlineStr">
        <is>
          <t>DOMBFCA205T2XL</t>
        </is>
      </c>
      <c r="B2609" t="inlineStr">
        <is>
          <t>DOMINIC BIO MOVE CAB</t>
        </is>
      </c>
      <c r="C2609" t="inlineStr">
        <is>
          <t>Manufactura / Caballero / P. Superiores</t>
        </is>
      </c>
      <c r="D2609" t="n">
        <v>61.61810564</v>
      </c>
      <c r="E2609" t="n">
        <v>1.508611922282091e-05</v>
      </c>
      <c r="F2609" t="n">
        <v>0.9940052200386323</v>
      </c>
      <c r="G2609" t="inlineStr">
        <is>
          <t>C</t>
        </is>
      </c>
      <c r="H2609" t="n">
        <v>15</v>
      </c>
      <c r="I2609" t="n">
        <v>13.86</v>
      </c>
      <c r="J2609" t="n">
        <v>207.9</v>
      </c>
      <c r="K2609" t="n">
        <v>0.1</v>
      </c>
      <c r="L2609" t="n">
        <v>150</v>
      </c>
      <c r="M2609" t="n">
        <v>4</v>
      </c>
      <c r="N2609" t="n">
        <v>0.4</v>
      </c>
      <c r="O2609" t="n">
        <v>14.6</v>
      </c>
      <c r="P2609" t="n">
        <v>202.356</v>
      </c>
      <c r="Q2609" t="n">
        <v>0.9733333333333334</v>
      </c>
      <c r="R2609" t="inlineStr">
        <is>
          <t>Sobrestock crítico</t>
        </is>
      </c>
    </row>
    <row r="2610">
      <c r="A2610" t="inlineStr">
        <is>
          <t>DALSTKI43T4</t>
        </is>
      </c>
      <c r="B2610" t="inlineStr">
        <is>
          <t>CLASICA DAILY 2.0 KIDS</t>
        </is>
      </c>
      <c r="C2610" t="inlineStr">
        <is>
          <t>Manufactura / Kids / P. Superiores</t>
        </is>
      </c>
      <c r="D2610" t="n">
        <v>61.56531139</v>
      </c>
      <c r="E2610" t="n">
        <v>1.507319347086039e-05</v>
      </c>
      <c r="F2610" t="n">
        <v>0.9940202932321032</v>
      </c>
      <c r="G2610" t="inlineStr">
        <is>
          <t>C</t>
        </is>
      </c>
      <c r="H2610" t="n">
        <v>1</v>
      </c>
      <c r="I2610" t="n">
        <v>8.699999999999999</v>
      </c>
      <c r="J2610" t="n">
        <v>8.699999999999999</v>
      </c>
      <c r="K2610" t="n">
        <v>0.2</v>
      </c>
      <c r="L2610" t="n">
        <v>5</v>
      </c>
      <c r="M2610" t="n">
        <v>4</v>
      </c>
      <c r="N2610" t="n">
        <v>0.8</v>
      </c>
      <c r="O2610" t="n">
        <v>0.2</v>
      </c>
      <c r="P2610" t="n">
        <v>1.74</v>
      </c>
      <c r="Q2610" t="n">
        <v>0.2</v>
      </c>
      <c r="R2610" t="inlineStr">
        <is>
          <t>Sobrestock</t>
        </is>
      </c>
    </row>
    <row r="2611">
      <c r="A2611" t="inlineStr">
        <is>
          <t>SHOUNKI13T14</t>
        </is>
      </c>
      <c r="B2611" t="inlineStr">
        <is>
          <t>SHORT PLAYA KIDS</t>
        </is>
      </c>
      <c r="C2611" t="inlineStr">
        <is>
          <t>Manufactura / Kids / P. Inferiores</t>
        </is>
      </c>
      <c r="D2611" t="n">
        <v>61.4933033</v>
      </c>
      <c r="E2611" t="n">
        <v>1.505556354505426e-05</v>
      </c>
      <c r="F2611" t="n">
        <v>0.9940353487956484</v>
      </c>
      <c r="G2611" t="inlineStr">
        <is>
          <t>C</t>
        </is>
      </c>
      <c r="H2611" t="n">
        <v>0</v>
      </c>
      <c r="I2611" t="n">
        <v>6.09</v>
      </c>
      <c r="J2611" t="n">
        <v>0</v>
      </c>
      <c r="K2611" t="n">
        <v>0.2</v>
      </c>
      <c r="L2611" t="n">
        <v>0</v>
      </c>
      <c r="M2611" t="n">
        <v>4</v>
      </c>
      <c r="N2611" t="n">
        <v>0.8</v>
      </c>
      <c r="O2611" t="n">
        <v>0</v>
      </c>
      <c r="P2611" t="n">
        <v>0</v>
      </c>
      <c r="Q2611" t="n">
        <v>0</v>
      </c>
      <c r="R2611" t="inlineStr">
        <is>
          <t>Sin rotación</t>
        </is>
      </c>
    </row>
    <row r="2612">
      <c r="A2612" t="inlineStr">
        <is>
          <t>RIOMICA70T3XL</t>
        </is>
      </c>
      <c r="B2612" t="inlineStr">
        <is>
          <t>RIO ORIGINAL CAB</t>
        </is>
      </c>
      <c r="C2612" t="inlineStr">
        <is>
          <t>Manufactura / Caballero / P. Superiores</t>
        </is>
      </c>
      <c r="D2612" t="n">
        <v>61.24212292</v>
      </c>
      <c r="E2612" t="n">
        <v>1.499406640683887e-05</v>
      </c>
      <c r="F2612" t="n">
        <v>0.9940503428620551</v>
      </c>
      <c r="G2612" t="inlineStr">
        <is>
          <t>C</t>
        </is>
      </c>
      <c r="H2612" t="n">
        <v>4</v>
      </c>
      <c r="I2612" t="n">
        <v>5.939350288</v>
      </c>
      <c r="J2612" t="n">
        <v>23.757401152</v>
      </c>
      <c r="K2612" t="n">
        <v>0.1</v>
      </c>
      <c r="L2612" t="n">
        <v>40</v>
      </c>
      <c r="M2612" t="n">
        <v>4</v>
      </c>
      <c r="N2612" t="n">
        <v>0.4</v>
      </c>
      <c r="O2612" t="n">
        <v>3.6</v>
      </c>
      <c r="P2612" t="n">
        <v>21.3816610368</v>
      </c>
      <c r="Q2612" t="n">
        <v>0.9</v>
      </c>
      <c r="R2612" t="inlineStr">
        <is>
          <t>Sobrestock crítico</t>
        </is>
      </c>
    </row>
    <row r="2613">
      <c r="A2613" t="inlineStr">
        <is>
          <t>CLAMIKI13T12</t>
        </is>
      </c>
      <c r="B2613" t="inlineStr">
        <is>
          <t>CLASICA ORIGINAL KIDS</t>
        </is>
      </c>
      <c r="C2613" t="inlineStr">
        <is>
          <t>Manufactura / Kids / P. Superiores</t>
        </is>
      </c>
      <c r="D2613" t="n">
        <v>61.18541992</v>
      </c>
      <c r="E2613" t="n">
        <v>1.498018366556654e-05</v>
      </c>
      <c r="F2613" t="n">
        <v>0.9940653230457207</v>
      </c>
      <c r="G2613" t="inlineStr">
        <is>
          <t>C</t>
        </is>
      </c>
      <c r="H2613" t="n">
        <v>2</v>
      </c>
      <c r="I2613" t="n">
        <v>2.053774806</v>
      </c>
      <c r="J2613" t="n">
        <v>4.107549612</v>
      </c>
      <c r="K2613" t="n">
        <v>0.2</v>
      </c>
      <c r="L2613" t="n">
        <v>10</v>
      </c>
      <c r="M2613" t="n">
        <v>4</v>
      </c>
      <c r="N2613" t="n">
        <v>0.8</v>
      </c>
      <c r="O2613" t="n">
        <v>1.2</v>
      </c>
      <c r="P2613" t="n">
        <v>2.4645297672</v>
      </c>
      <c r="Q2613" t="n">
        <v>0.6</v>
      </c>
      <c r="R2613" t="inlineStr">
        <is>
          <t>Sobrestock crítico</t>
        </is>
      </c>
    </row>
    <row r="2614">
      <c r="A2614" t="inlineStr">
        <is>
          <t>VIVMIDA48TL</t>
        </is>
      </c>
      <c r="B2614" t="inlineStr">
        <is>
          <t>VIVI ORIGINAL DAMA</t>
        </is>
      </c>
      <c r="C2614" t="inlineStr">
        <is>
          <t>Manufactura / Dama / P. Superiores</t>
        </is>
      </c>
      <c r="D2614" t="n">
        <v>61.12435986</v>
      </c>
      <c r="E2614" t="n">
        <v>1.496523417409248e-05</v>
      </c>
      <c r="F2614" t="n">
        <v>0.9940802882798947</v>
      </c>
      <c r="G2614" t="inlineStr">
        <is>
          <t>C</t>
        </is>
      </c>
      <c r="H2614" t="n">
        <v>21</v>
      </c>
      <c r="I2614" t="n">
        <v>4.303181706</v>
      </c>
      <c r="J2614" t="n">
        <v>90.36681582600001</v>
      </c>
      <c r="K2614" t="n">
        <v>0.2</v>
      </c>
      <c r="L2614" t="n">
        <v>105</v>
      </c>
      <c r="M2614" t="n">
        <v>4</v>
      </c>
      <c r="N2614" t="n">
        <v>0.8</v>
      </c>
      <c r="O2614" t="n">
        <v>20.2</v>
      </c>
      <c r="P2614" t="n">
        <v>86.9242704612</v>
      </c>
      <c r="Q2614" t="n">
        <v>0.9619047619047618</v>
      </c>
      <c r="R2614" t="inlineStr">
        <is>
          <t>Sin rotación</t>
        </is>
      </c>
    </row>
    <row r="2615">
      <c r="A2615" t="inlineStr">
        <is>
          <t>CLAMIKI50T14</t>
        </is>
      </c>
      <c r="B2615" t="inlineStr">
        <is>
          <t>CLASICA ORIGINAL KIDS</t>
        </is>
      </c>
      <c r="C2615" t="inlineStr">
        <is>
          <t>Manufactura / Kids / P. Superiores</t>
        </is>
      </c>
      <c r="D2615" t="n">
        <v>60.93609825</v>
      </c>
      <c r="E2615" t="n">
        <v>1.491914160009916e-05</v>
      </c>
      <c r="F2615" t="n">
        <v>0.9940952074214948</v>
      </c>
      <c r="G2615" t="inlineStr">
        <is>
          <t>C</t>
        </is>
      </c>
      <c r="H2615" t="n">
        <v>2</v>
      </c>
      <c r="I2615" t="n">
        <v>2.053774806</v>
      </c>
      <c r="J2615" t="n">
        <v>4.107549612</v>
      </c>
      <c r="K2615" t="n">
        <v>0.2</v>
      </c>
      <c r="L2615" t="n">
        <v>10</v>
      </c>
      <c r="M2615" t="n">
        <v>4</v>
      </c>
      <c r="N2615" t="n">
        <v>0.8</v>
      </c>
      <c r="O2615" t="n">
        <v>1.2</v>
      </c>
      <c r="P2615" t="n">
        <v>2.4645297672</v>
      </c>
      <c r="Q2615" t="n">
        <v>0.6</v>
      </c>
      <c r="R2615" t="inlineStr">
        <is>
          <t>Sin rotación</t>
        </is>
      </c>
    </row>
    <row r="2616">
      <c r="A2616" t="inlineStr">
        <is>
          <t>DALSTDA16TS</t>
        </is>
      </c>
      <c r="B2616" t="inlineStr">
        <is>
          <t>CLASICA DAILY 2.0 DAMA</t>
        </is>
      </c>
      <c r="C2616" t="inlineStr">
        <is>
          <t>Manufactura / Dama / P. Superiores</t>
        </is>
      </c>
      <c r="D2616" t="n">
        <v>60.5739038</v>
      </c>
      <c r="E2616" t="n">
        <v>1.48304646017106e-05</v>
      </c>
      <c r="F2616" t="n">
        <v>0.9941100378860965</v>
      </c>
      <c r="G2616" t="inlineStr">
        <is>
          <t>C</t>
        </is>
      </c>
      <c r="H2616" t="n">
        <v>2</v>
      </c>
      <c r="I2616" t="n">
        <v>10.02</v>
      </c>
      <c r="J2616" t="n">
        <v>20.04</v>
      </c>
      <c r="K2616" t="n">
        <v>0.2</v>
      </c>
      <c r="L2616" t="n">
        <v>10</v>
      </c>
      <c r="M2616" t="n">
        <v>4</v>
      </c>
      <c r="N2616" t="n">
        <v>0.8</v>
      </c>
      <c r="O2616" t="n">
        <v>1.2</v>
      </c>
      <c r="P2616" t="n">
        <v>12.024</v>
      </c>
      <c r="Q2616" t="n">
        <v>0.6</v>
      </c>
      <c r="R2616" t="inlineStr">
        <is>
          <t>Sin rotación</t>
        </is>
      </c>
    </row>
    <row r="2617">
      <c r="A2617" t="inlineStr">
        <is>
          <t>DALSTDA43TS</t>
        </is>
      </c>
      <c r="B2617" t="inlineStr">
        <is>
          <t>CLASICA DAILY 2.0 DAMA</t>
        </is>
      </c>
      <c r="C2617" t="inlineStr">
        <is>
          <t>Manufactura / Dama / P. Superiores</t>
        </is>
      </c>
      <c r="D2617" t="n">
        <v>60.50461097</v>
      </c>
      <c r="E2617" t="n">
        <v>1.481349945999115e-05</v>
      </c>
      <c r="F2617" t="n">
        <v>0.9941248513855566</v>
      </c>
      <c r="G2617" t="inlineStr">
        <is>
          <t>C</t>
        </is>
      </c>
      <c r="H2617" t="n">
        <v>0</v>
      </c>
      <c r="I2617" t="n">
        <v>10.02</v>
      </c>
      <c r="J2617" t="n">
        <v>0</v>
      </c>
      <c r="K2617" t="n">
        <v>0.1</v>
      </c>
      <c r="L2617" t="n">
        <v>0</v>
      </c>
      <c r="M2617" t="n">
        <v>4</v>
      </c>
      <c r="N2617" t="n">
        <v>0.4</v>
      </c>
      <c r="O2617" t="n">
        <v>0</v>
      </c>
      <c r="P2617" t="n">
        <v>0</v>
      </c>
      <c r="Q2617" t="n">
        <v>0</v>
      </c>
      <c r="R2617" t="inlineStr">
        <is>
          <t>Riesgo bajo stock</t>
        </is>
      </c>
    </row>
    <row r="2618">
      <c r="A2618" t="inlineStr">
        <is>
          <t>ZOEMIDA05TXL</t>
        </is>
      </c>
      <c r="B2618" t="inlineStr">
        <is>
          <t>ZOE ORIGINAL DAMA</t>
        </is>
      </c>
      <c r="C2618" t="inlineStr">
        <is>
          <t>Manufactura / Dama / P. Superiores</t>
        </is>
      </c>
      <c r="D2618" t="n">
        <v>60.34463038</v>
      </c>
      <c r="E2618" t="n">
        <v>1.477433100083439e-05</v>
      </c>
      <c r="F2618" t="n">
        <v>0.9941396257165573</v>
      </c>
      <c r="G2618" t="inlineStr">
        <is>
          <t>C</t>
        </is>
      </c>
      <c r="H2618" t="n">
        <v>0</v>
      </c>
      <c r="I2618" t="n">
        <v>4.116585696</v>
      </c>
      <c r="J2618" t="n">
        <v>0</v>
      </c>
      <c r="K2618" t="n">
        <v>0.1</v>
      </c>
      <c r="L2618" t="n">
        <v>0</v>
      </c>
      <c r="M2618" t="n">
        <v>4</v>
      </c>
      <c r="N2618" t="n">
        <v>0.4</v>
      </c>
      <c r="O2618" t="n">
        <v>0</v>
      </c>
      <c r="P2618" t="n">
        <v>0</v>
      </c>
      <c r="Q2618" t="n">
        <v>0</v>
      </c>
      <c r="R2618" t="inlineStr">
        <is>
          <t>Riesgo bajo stock</t>
        </is>
      </c>
    </row>
    <row r="2619">
      <c r="A2619" t="inlineStr">
        <is>
          <t>DALSSTKI16T6</t>
        </is>
      </c>
      <c r="B2619" t="inlineStr">
        <is>
          <t>MANGA LARGA DAILY 2.0 KIDS</t>
        </is>
      </c>
      <c r="C2619" t="inlineStr">
        <is>
          <t>Manufactura / Kids / P. Superiores</t>
        </is>
      </c>
      <c r="D2619" t="n">
        <v>60.29900123</v>
      </c>
      <c r="E2619" t="n">
        <v>1.476315949872822e-05</v>
      </c>
      <c r="F2619" t="n">
        <v>0.9941543888760562</v>
      </c>
      <c r="G2619" t="inlineStr">
        <is>
          <t>C</t>
        </is>
      </c>
      <c r="H2619" t="n">
        <v>0</v>
      </c>
      <c r="I2619" t="n">
        <v>10.1</v>
      </c>
      <c r="J2619" t="n">
        <v>0</v>
      </c>
      <c r="K2619" t="n">
        <v>0.1</v>
      </c>
      <c r="L2619" t="n">
        <v>0</v>
      </c>
      <c r="M2619" t="n">
        <v>4</v>
      </c>
      <c r="N2619" t="n">
        <v>0.4</v>
      </c>
      <c r="O2619" t="n">
        <v>0</v>
      </c>
      <c r="P2619" t="n">
        <v>0</v>
      </c>
      <c r="Q2619" t="n">
        <v>0</v>
      </c>
      <c r="R2619" t="inlineStr">
        <is>
          <t>Sin rotación</t>
        </is>
      </c>
    </row>
    <row r="2620">
      <c r="A2620" t="inlineStr">
        <is>
          <t>SABMEDA51TS</t>
        </is>
      </c>
      <c r="B2620" t="inlineStr">
        <is>
          <t>SABRI SPORT DAMA</t>
        </is>
      </c>
      <c r="C2620" t="inlineStr">
        <is>
          <t>Manufactura / Dama / P. Superiores</t>
        </is>
      </c>
      <c r="D2620" t="n">
        <v>60.20651635</v>
      </c>
      <c r="E2620" t="n">
        <v>1.474051618778095e-05</v>
      </c>
      <c r="F2620" t="n">
        <v>0.9941691293922439</v>
      </c>
      <c r="G2620" t="inlineStr">
        <is>
          <t>C</t>
        </is>
      </c>
      <c r="H2620" t="n">
        <v>0</v>
      </c>
      <c r="I2620" t="n">
        <v>4.51</v>
      </c>
      <c r="J2620" t="n">
        <v>0</v>
      </c>
      <c r="K2620" t="n">
        <v>0.2</v>
      </c>
      <c r="L2620" t="n">
        <v>0</v>
      </c>
      <c r="M2620" t="n">
        <v>4</v>
      </c>
      <c r="N2620" t="n">
        <v>0.8</v>
      </c>
      <c r="O2620" t="n">
        <v>0</v>
      </c>
      <c r="P2620" t="n">
        <v>0</v>
      </c>
      <c r="Q2620" t="n">
        <v>0</v>
      </c>
      <c r="R2620" t="inlineStr">
        <is>
          <t>Sin rotación</t>
        </is>
      </c>
    </row>
    <row r="2621">
      <c r="A2621" t="inlineStr">
        <is>
          <t>SHR2VICA70TM</t>
        </is>
      </c>
      <c r="B2621" t="inlineStr">
        <is>
          <t>SHORT R2 CAB</t>
        </is>
      </c>
      <c r="C2621" t="inlineStr">
        <is>
          <t>Manufactura / Dama / P. Inferiores</t>
        </is>
      </c>
      <c r="D2621" t="n">
        <v>60.10318706</v>
      </c>
      <c r="E2621" t="n">
        <v>1.47152178120526e-05</v>
      </c>
      <c r="F2621" t="n">
        <v>0.9941838446100559</v>
      </c>
      <c r="G2621" t="inlineStr">
        <is>
          <t>C</t>
        </is>
      </c>
      <c r="H2621" t="n">
        <v>1</v>
      </c>
      <c r="I2621" t="n">
        <v>9.119999999999999</v>
      </c>
      <c r="J2621" t="n">
        <v>9.119999999999999</v>
      </c>
      <c r="K2621" t="n">
        <v>0.1</v>
      </c>
      <c r="L2621" t="n">
        <v>10</v>
      </c>
      <c r="M2621" t="n">
        <v>4</v>
      </c>
      <c r="N2621" t="n">
        <v>0.4</v>
      </c>
      <c r="O2621" t="n">
        <v>0.6</v>
      </c>
      <c r="P2621" t="n">
        <v>5.472</v>
      </c>
      <c r="Q2621" t="n">
        <v>0.6</v>
      </c>
      <c r="R2621" t="inlineStr">
        <is>
          <t>Sobrestock crítico</t>
        </is>
      </c>
    </row>
    <row r="2622">
      <c r="A2622" t="inlineStr">
        <is>
          <t>MAFMIDA13TM</t>
        </is>
      </c>
      <c r="B2622" t="inlineStr">
        <is>
          <t>MAFE ORIGINAL DAMA</t>
        </is>
      </c>
      <c r="C2622" t="inlineStr">
        <is>
          <t>Manufactura / Dama / P. Superiores</t>
        </is>
      </c>
      <c r="D2622" t="n">
        <v>60</v>
      </c>
      <c r="E2622" t="n">
        <v>1.468995425886083e-05</v>
      </c>
      <c r="F2622" t="n">
        <v>0.9941985345643148</v>
      </c>
      <c r="G2622" t="inlineStr">
        <is>
          <t>C</t>
        </is>
      </c>
      <c r="H2622" t="n">
        <v>0</v>
      </c>
      <c r="I2622" t="n">
        <v>4.54817671</v>
      </c>
      <c r="J2622" t="n">
        <v>0</v>
      </c>
      <c r="K2622" t="n">
        <v>0.2</v>
      </c>
      <c r="L2622" t="n">
        <v>0</v>
      </c>
      <c r="M2622" t="n">
        <v>4</v>
      </c>
      <c r="N2622" t="n">
        <v>0.8</v>
      </c>
      <c r="O2622" t="n">
        <v>0</v>
      </c>
      <c r="P2622" t="n">
        <v>0</v>
      </c>
      <c r="Q2622" t="n">
        <v>0</v>
      </c>
      <c r="R2622" t="inlineStr">
        <is>
          <t>Riesgo bajo stock</t>
        </is>
      </c>
    </row>
    <row r="2623">
      <c r="A2623" t="inlineStr">
        <is>
          <t>MAFMEDA30TM</t>
        </is>
      </c>
      <c r="B2623" t="inlineStr">
        <is>
          <t>MAFE SPORT DAMA</t>
        </is>
      </c>
      <c r="C2623" t="inlineStr">
        <is>
          <t>Manufactura / Dama / P. Superiores</t>
        </is>
      </c>
      <c r="D2623" t="n">
        <v>59.99999428754961</v>
      </c>
      <c r="E2623" t="n">
        <v>1.468995286026692e-05</v>
      </c>
      <c r="F2623" t="n">
        <v>0.9942132245171751</v>
      </c>
      <c r="G2623" t="inlineStr">
        <is>
          <t>C</t>
        </is>
      </c>
      <c r="H2623" t="n">
        <v>1</v>
      </c>
      <c r="I2623" t="n">
        <v>5.35</v>
      </c>
      <c r="J2623" t="n">
        <v>5.35</v>
      </c>
      <c r="K2623" t="n">
        <v>0.1</v>
      </c>
      <c r="L2623" t="n">
        <v>10</v>
      </c>
      <c r="M2623" t="n">
        <v>4</v>
      </c>
      <c r="N2623" t="n">
        <v>0.4</v>
      </c>
      <c r="O2623" t="n">
        <v>0.6</v>
      </c>
      <c r="P2623" t="n">
        <v>3.21</v>
      </c>
      <c r="Q2623" t="n">
        <v>0.6</v>
      </c>
      <c r="R2623" t="inlineStr">
        <is>
          <t>Sobrestock crítico</t>
        </is>
      </c>
    </row>
    <row r="2624">
      <c r="A2624" t="inlineStr">
        <is>
          <t>TOA09CL</t>
        </is>
      </c>
      <c r="B2624" t="inlineStr">
        <is>
          <t>TOALLA CLIP ORIGINAL</t>
        </is>
      </c>
      <c r="C2624" t="inlineStr">
        <is>
          <t>Equipamiento / Toallas</t>
        </is>
      </c>
      <c r="D2624" t="n">
        <v>59.98652819</v>
      </c>
      <c r="E2624" t="n">
        <v>1.468665592098276e-05</v>
      </c>
      <c r="F2624" t="n">
        <v>0.9942279111730961</v>
      </c>
      <c r="G2624" t="inlineStr">
        <is>
          <t>C</t>
        </is>
      </c>
      <c r="H2624" t="n">
        <v>0</v>
      </c>
      <c r="I2624" t="n">
        <v>5.11</v>
      </c>
      <c r="J2624" t="n">
        <v>0</v>
      </c>
      <c r="K2624" t="n">
        <v>0.3</v>
      </c>
      <c r="L2624" t="n">
        <v>0</v>
      </c>
      <c r="M2624" t="n">
        <v>4</v>
      </c>
      <c r="N2624" t="n">
        <v>1.2</v>
      </c>
      <c r="O2624" t="n">
        <v>0</v>
      </c>
      <c r="P2624" t="n">
        <v>0</v>
      </c>
      <c r="Q2624" t="n">
        <v>0</v>
      </c>
      <c r="R2624" t="inlineStr">
        <is>
          <t>Sin rotación</t>
        </is>
      </c>
    </row>
    <row r="2625">
      <c r="A2625" t="inlineStr">
        <is>
          <t>SABMEDA63TM</t>
        </is>
      </c>
      <c r="B2625" t="inlineStr">
        <is>
          <t>SABRI SPORT DAMA</t>
        </is>
      </c>
      <c r="C2625" t="inlineStr">
        <is>
          <t>Manufactura / Dama / P. Superiores</t>
        </is>
      </c>
      <c r="D2625" t="n">
        <v>59.75806495</v>
      </c>
      <c r="E2625" t="n">
        <v>1.463072067855891e-05</v>
      </c>
      <c r="F2625" t="n">
        <v>0.9942425418937746</v>
      </c>
      <c r="G2625" t="inlineStr">
        <is>
          <t>C</t>
        </is>
      </c>
      <c r="H2625" t="n">
        <v>2</v>
      </c>
      <c r="I2625" t="n">
        <v>4.51</v>
      </c>
      <c r="J2625" t="n">
        <v>9.02</v>
      </c>
      <c r="K2625" t="n">
        <v>0.2</v>
      </c>
      <c r="L2625" t="n">
        <v>10</v>
      </c>
      <c r="M2625" t="n">
        <v>4</v>
      </c>
      <c r="N2625" t="n">
        <v>0.8</v>
      </c>
      <c r="O2625" t="n">
        <v>1.2</v>
      </c>
      <c r="P2625" t="n">
        <v>5.412</v>
      </c>
      <c r="Q2625" t="n">
        <v>0.6</v>
      </c>
      <c r="R2625" t="inlineStr">
        <is>
          <t>Sin rotación</t>
        </is>
      </c>
    </row>
    <row r="2626">
      <c r="A2626" t="inlineStr">
        <is>
          <t>SHR2VICA70TS</t>
        </is>
      </c>
      <c r="B2626" t="inlineStr">
        <is>
          <t>SHORT R2 CAB</t>
        </is>
      </c>
      <c r="C2626" t="inlineStr">
        <is>
          <t>Manufactura / Dama / P. Inferiores</t>
        </is>
      </c>
      <c r="D2626" t="n">
        <v>59.74444024</v>
      </c>
      <c r="E2626" t="n">
        <v>1.462738490578074e-05</v>
      </c>
      <c r="F2626" t="n">
        <v>0.9942571692786805</v>
      </c>
      <c r="G2626" t="inlineStr">
        <is>
          <t>C</t>
        </is>
      </c>
      <c r="H2626" t="n">
        <v>1</v>
      </c>
      <c r="I2626" t="n">
        <v>9.119999999999999</v>
      </c>
      <c r="J2626" t="n">
        <v>9.119999999999999</v>
      </c>
      <c r="K2626" t="n">
        <v>0.1</v>
      </c>
      <c r="L2626" t="n">
        <v>10</v>
      </c>
      <c r="M2626" t="n">
        <v>4</v>
      </c>
      <c r="N2626" t="n">
        <v>0.4</v>
      </c>
      <c r="O2626" t="n">
        <v>0.6</v>
      </c>
      <c r="P2626" t="n">
        <v>5.472</v>
      </c>
      <c r="Q2626" t="n">
        <v>0.6</v>
      </c>
      <c r="R2626" t="inlineStr">
        <is>
          <t>Sobrestock crítico</t>
        </is>
      </c>
    </row>
    <row r="2627">
      <c r="A2627" t="inlineStr">
        <is>
          <t>DALSTKI43T12</t>
        </is>
      </c>
      <c r="B2627" t="inlineStr">
        <is>
          <t>CLASICA DAILY 2.0 KIDS</t>
        </is>
      </c>
      <c r="C2627" t="inlineStr">
        <is>
          <t>Manufactura / Kids / P. Superiores</t>
        </is>
      </c>
      <c r="D2627" t="n">
        <v>59.73415259</v>
      </c>
      <c r="E2627" t="n">
        <v>1.462486615398189e-05</v>
      </c>
      <c r="F2627" t="n">
        <v>0.9942717941448345</v>
      </c>
      <c r="G2627" t="inlineStr">
        <is>
          <t>C</t>
        </is>
      </c>
      <c r="H2627" t="n">
        <v>5</v>
      </c>
      <c r="I2627" t="n">
        <v>8.699999999999999</v>
      </c>
      <c r="J2627" t="n">
        <v>43.5</v>
      </c>
      <c r="K2627" t="n">
        <v>0.2</v>
      </c>
      <c r="L2627" t="n">
        <v>25</v>
      </c>
      <c r="M2627" t="n">
        <v>4</v>
      </c>
      <c r="N2627" t="n">
        <v>0.8</v>
      </c>
      <c r="O2627" t="n">
        <v>4.2</v>
      </c>
      <c r="P2627" t="n">
        <v>36.54</v>
      </c>
      <c r="Q2627" t="n">
        <v>0.84</v>
      </c>
      <c r="R2627" t="inlineStr">
        <is>
          <t>Sin rotación</t>
        </is>
      </c>
    </row>
    <row r="2628">
      <c r="A2628" t="inlineStr">
        <is>
          <t>PANNTDA12T2XL</t>
        </is>
      </c>
      <c r="B2628" t="inlineStr">
        <is>
          <t>EXPLORE PANTS DAMA</t>
        </is>
      </c>
      <c r="C2628" t="inlineStr">
        <is>
          <t>Manufactura / Dama / P. Inferiores</t>
        </is>
      </c>
      <c r="D2628" t="n">
        <v>59.36335348</v>
      </c>
      <c r="E2628" t="n">
        <v>1.453408245456312e-05</v>
      </c>
      <c r="F2628" t="n">
        <v>0.994286328227289</v>
      </c>
      <c r="G2628" t="inlineStr">
        <is>
          <t>C</t>
        </is>
      </c>
      <c r="H2628" t="n">
        <v>0</v>
      </c>
      <c r="I2628" t="n">
        <v>15.3928899</v>
      </c>
      <c r="J2628" t="n">
        <v>0</v>
      </c>
      <c r="K2628" t="n">
        <v>0.1</v>
      </c>
      <c r="L2628" t="n">
        <v>0</v>
      </c>
      <c r="M2628" t="n">
        <v>4</v>
      </c>
      <c r="N2628" t="n">
        <v>0.4</v>
      </c>
      <c r="O2628" t="n">
        <v>0</v>
      </c>
      <c r="P2628" t="n">
        <v>0</v>
      </c>
      <c r="Q2628" t="n">
        <v>0</v>
      </c>
      <c r="R2628" t="inlineStr">
        <is>
          <t>Sin rotación</t>
        </is>
      </c>
    </row>
    <row r="2629">
      <c r="A2629" t="inlineStr">
        <is>
          <t>SHR2VIDA43TXS</t>
        </is>
      </c>
      <c r="B2629" t="inlineStr">
        <is>
          <t>SHORT R2 DAMA</t>
        </is>
      </c>
      <c r="C2629" t="inlineStr">
        <is>
          <t>Manufactura / Dama / P. Inferiores</t>
        </is>
      </c>
      <c r="D2629" t="n">
        <v>59.32451346</v>
      </c>
      <c r="E2629" t="n">
        <v>1.452457315260956e-05</v>
      </c>
      <c r="F2629" t="n">
        <v>0.9943008528004417</v>
      </c>
      <c r="G2629" t="inlineStr">
        <is>
          <t>C</t>
        </is>
      </c>
      <c r="H2629" t="n">
        <v>1</v>
      </c>
      <c r="I2629" t="n">
        <v>13.86928571</v>
      </c>
      <c r="J2629" t="n">
        <v>13.86928571</v>
      </c>
      <c r="K2629" t="n">
        <v>0.1</v>
      </c>
      <c r="L2629" t="n">
        <v>10</v>
      </c>
      <c r="M2629" t="n">
        <v>4</v>
      </c>
      <c r="N2629" t="n">
        <v>0.4</v>
      </c>
      <c r="O2629" t="n">
        <v>0.6</v>
      </c>
      <c r="P2629" t="n">
        <v>8.321571426</v>
      </c>
      <c r="Q2629" t="n">
        <v>0.6</v>
      </c>
      <c r="R2629" t="inlineStr">
        <is>
          <t>Sobrestock crítico</t>
        </is>
      </c>
    </row>
    <row r="2630">
      <c r="A2630" t="inlineStr">
        <is>
          <t>CLAMIDA11TXS</t>
        </is>
      </c>
      <c r="B2630" t="inlineStr">
        <is>
          <t>CLASICA ORIGINAL DAMA</t>
        </is>
      </c>
      <c r="C2630" t="inlineStr">
        <is>
          <t>Manufactura / Dama / P. Superiores</t>
        </is>
      </c>
      <c r="D2630" t="n">
        <v>59.2321936</v>
      </c>
      <c r="E2630" t="n">
        <v>1.450197024393315e-05</v>
      </c>
      <c r="F2630" t="n">
        <v>0.9943153547706856</v>
      </c>
      <c r="G2630" t="inlineStr">
        <is>
          <t>C</t>
        </is>
      </c>
      <c r="H2630" t="n">
        <v>1</v>
      </c>
      <c r="I2630" t="n">
        <v>3.923227589</v>
      </c>
      <c r="J2630" t="n">
        <v>3.923227589</v>
      </c>
      <c r="K2630" t="n">
        <v>0.4</v>
      </c>
      <c r="L2630" t="n">
        <v>2.5</v>
      </c>
      <c r="M2630" t="n">
        <v>4</v>
      </c>
      <c r="N2630" t="n">
        <v>1.6</v>
      </c>
      <c r="O2630" t="n">
        <v>0</v>
      </c>
      <c r="P2630" t="n">
        <v>0</v>
      </c>
      <c r="Q2630" t="n">
        <v>0</v>
      </c>
      <c r="R2630" t="inlineStr">
        <is>
          <t>OK</t>
        </is>
      </c>
    </row>
    <row r="2631">
      <c r="A2631" t="inlineStr">
        <is>
          <t>CLAMEKI43T14</t>
        </is>
      </c>
      <c r="B2631" t="inlineStr">
        <is>
          <t>CLASICA SPORT KIDS</t>
        </is>
      </c>
      <c r="C2631" t="inlineStr">
        <is>
          <t>Manufactura / Kids / P. Superiores</t>
        </is>
      </c>
      <c r="D2631" t="n">
        <v>59.19945582</v>
      </c>
      <c r="E2631" t="n">
        <v>1.449395496908754e-05</v>
      </c>
      <c r="F2631" t="n">
        <v>0.9943298487256547</v>
      </c>
      <c r="G2631" t="inlineStr">
        <is>
          <t>C</t>
        </is>
      </c>
      <c r="H2631" t="n">
        <v>0</v>
      </c>
      <c r="I2631" t="n">
        <v>3.97</v>
      </c>
      <c r="J2631" t="n">
        <v>0</v>
      </c>
      <c r="K2631" t="n">
        <v>0.2</v>
      </c>
      <c r="L2631" t="n">
        <v>0</v>
      </c>
      <c r="M2631" t="n">
        <v>4</v>
      </c>
      <c r="N2631" t="n">
        <v>0.8</v>
      </c>
      <c r="O2631" t="n">
        <v>0</v>
      </c>
      <c r="P2631" t="n">
        <v>0</v>
      </c>
      <c r="Q2631" t="n">
        <v>0</v>
      </c>
      <c r="R2631" t="inlineStr">
        <is>
          <t>Sin rotación</t>
        </is>
      </c>
    </row>
    <row r="2632">
      <c r="A2632" t="inlineStr">
        <is>
          <t>MIKFNDA24TXL</t>
        </is>
      </c>
      <c r="B2632" t="inlineStr">
        <is>
          <t>MIKA SPORT LITE DAMA</t>
        </is>
      </c>
      <c r="C2632" t="inlineStr">
        <is>
          <t>Manufactura / Dama / P. Superiores</t>
        </is>
      </c>
      <c r="D2632" t="n">
        <v>59.11247407</v>
      </c>
      <c r="E2632" t="n">
        <v>1.447265900360661e-05</v>
      </c>
      <c r="F2632" t="n">
        <v>0.9943443213846582</v>
      </c>
      <c r="G2632" t="inlineStr">
        <is>
          <t>C</t>
        </is>
      </c>
      <c r="H2632" t="n">
        <v>28</v>
      </c>
      <c r="I2632" t="n">
        <v>5.484675344</v>
      </c>
      <c r="J2632" t="n">
        <v>153.570909632</v>
      </c>
      <c r="K2632" t="n">
        <v>0.2</v>
      </c>
      <c r="L2632" t="n">
        <v>140</v>
      </c>
      <c r="M2632" t="n">
        <v>4</v>
      </c>
      <c r="N2632" t="n">
        <v>0.8</v>
      </c>
      <c r="O2632" t="n">
        <v>27.2</v>
      </c>
      <c r="P2632" t="n">
        <v>149.1831693568</v>
      </c>
      <c r="Q2632" t="n">
        <v>0.9714285714285714</v>
      </c>
      <c r="R2632" t="inlineStr">
        <is>
          <t>Sin rotación</t>
        </is>
      </c>
    </row>
    <row r="2633">
      <c r="A2633" t="inlineStr">
        <is>
          <t>TOA63WA</t>
        </is>
      </c>
      <c r="B2633" t="inlineStr">
        <is>
          <t>TOALLA WAFFLE</t>
        </is>
      </c>
      <c r="C2633" t="inlineStr">
        <is>
          <t>Equipamiento / Toallas</t>
        </is>
      </c>
      <c r="D2633" t="n">
        <v>59.06324216</v>
      </c>
      <c r="E2633" t="n">
        <v>1.446060542850701e-05</v>
      </c>
      <c r="F2633" t="n">
        <v>0.9943587819900868</v>
      </c>
      <c r="G2633" t="inlineStr">
        <is>
          <t>C</t>
        </is>
      </c>
      <c r="H2633" t="n">
        <v>0</v>
      </c>
      <c r="I2633" t="n">
        <v>5.5</v>
      </c>
      <c r="J2633" t="n">
        <v>0</v>
      </c>
      <c r="K2633" t="n">
        <v>0.3</v>
      </c>
      <c r="L2633" t="n">
        <v>0</v>
      </c>
      <c r="M2633" t="n">
        <v>4</v>
      </c>
      <c r="N2633" t="n">
        <v>1.2</v>
      </c>
      <c r="O2633" t="n">
        <v>0</v>
      </c>
      <c r="P2633" t="n">
        <v>0</v>
      </c>
      <c r="Q2633" t="n">
        <v>0</v>
      </c>
      <c r="R2633" t="inlineStr">
        <is>
          <t>Sin rotación</t>
        </is>
      </c>
    </row>
    <row r="2634">
      <c r="A2634" t="inlineStr">
        <is>
          <t>CLAMEDA12TXL</t>
        </is>
      </c>
      <c r="B2634" t="inlineStr">
        <is>
          <t>CLÁSICA SPORT DAMA</t>
        </is>
      </c>
      <c r="C2634" t="inlineStr">
        <is>
          <t>Manufactura / Dama / P. Superiores</t>
        </is>
      </c>
      <c r="D2634" t="n">
        <v>59.06222822</v>
      </c>
      <c r="E2634" t="n">
        <v>1.446035718296999e-05</v>
      </c>
      <c r="F2634" t="n">
        <v>0.9943732423472698</v>
      </c>
      <c r="G2634" t="inlineStr">
        <is>
          <t>C</t>
        </is>
      </c>
      <c r="H2634" t="n">
        <v>0</v>
      </c>
      <c r="I2634" t="n">
        <v>6.536105769</v>
      </c>
      <c r="J2634" t="n">
        <v>0</v>
      </c>
      <c r="K2634" t="n">
        <v>0.1</v>
      </c>
      <c r="L2634" t="n">
        <v>0</v>
      </c>
      <c r="M2634" t="n">
        <v>4</v>
      </c>
      <c r="N2634" t="n">
        <v>0.4</v>
      </c>
      <c r="O2634" t="n">
        <v>0</v>
      </c>
      <c r="P2634" t="n">
        <v>0</v>
      </c>
      <c r="Q2634" t="n">
        <v>0</v>
      </c>
      <c r="R2634" t="inlineStr">
        <is>
          <t>Sin rotación</t>
        </is>
      </c>
    </row>
    <row r="2635">
      <c r="A2635" t="inlineStr">
        <is>
          <t>BUFMIGE53TUN</t>
        </is>
      </c>
      <c r="B2635" t="inlineStr">
        <is>
          <t>FLEX COVER</t>
        </is>
      </c>
      <c r="C2635" t="inlineStr">
        <is>
          <t>Manufactura / General</t>
        </is>
      </c>
      <c r="D2635" t="n">
        <v>58.960169911</v>
      </c>
      <c r="E2635" t="n">
        <v>1.443536998478754e-05</v>
      </c>
      <c r="F2635" t="n">
        <v>0.9943876777172546</v>
      </c>
      <c r="G2635" t="inlineStr">
        <is>
          <t>C</t>
        </is>
      </c>
      <c r="H2635" t="n">
        <v>29</v>
      </c>
      <c r="I2635" t="n">
        <v>2.21</v>
      </c>
      <c r="J2635" t="n">
        <v>64.09</v>
      </c>
      <c r="K2635" t="n">
        <v>0.5</v>
      </c>
      <c r="L2635" t="n">
        <v>58</v>
      </c>
      <c r="M2635" t="n">
        <v>4</v>
      </c>
      <c r="N2635" t="n">
        <v>2</v>
      </c>
      <c r="O2635" t="n">
        <v>27</v>
      </c>
      <c r="P2635" t="n">
        <v>59.67</v>
      </c>
      <c r="Q2635" t="n">
        <v>0.9310344827586207</v>
      </c>
      <c r="R2635" t="inlineStr">
        <is>
          <t>Sobrestock crítico</t>
        </is>
      </c>
    </row>
    <row r="2636">
      <c r="A2636" t="inlineStr">
        <is>
          <t>CLAMEKI13T6</t>
        </is>
      </c>
      <c r="B2636" t="inlineStr">
        <is>
          <t>CLASICA SPORT KIDS</t>
        </is>
      </c>
      <c r="C2636" t="inlineStr">
        <is>
          <t>Manufactura / Kids / P. Superiores</t>
        </is>
      </c>
      <c r="D2636" t="n">
        <v>58.89571419000001</v>
      </c>
      <c r="E2636" t="n">
        <v>1.441958912490068e-05</v>
      </c>
      <c r="F2636" t="n">
        <v>0.9944020973063794</v>
      </c>
      <c r="G2636" t="inlineStr">
        <is>
          <t>C</t>
        </is>
      </c>
      <c r="H2636" t="n">
        <v>3</v>
      </c>
      <c r="I2636" t="n">
        <v>3.97</v>
      </c>
      <c r="J2636" t="n">
        <v>11.91</v>
      </c>
      <c r="K2636" t="n">
        <v>0.2</v>
      </c>
      <c r="L2636" t="n">
        <v>15</v>
      </c>
      <c r="M2636" t="n">
        <v>4</v>
      </c>
      <c r="N2636" t="n">
        <v>0.8</v>
      </c>
      <c r="O2636" t="n">
        <v>2.2</v>
      </c>
      <c r="P2636" t="n">
        <v>8.734000000000002</v>
      </c>
      <c r="Q2636" t="n">
        <v>0.7333333333333335</v>
      </c>
      <c r="R2636" t="inlineStr">
        <is>
          <t>Sobrestock crítico</t>
        </is>
      </c>
    </row>
    <row r="2637">
      <c r="A2637" t="inlineStr">
        <is>
          <t>GEOMACADA03TM</t>
        </is>
      </c>
      <c r="B2637" t="inlineStr">
        <is>
          <t>ADVANCE GEO MAYA DAMA</t>
        </is>
      </c>
      <c r="C2637" t="inlineStr">
        <is>
          <t>Manufactura / Dama / P. Superiores</t>
        </is>
      </c>
      <c r="D2637" t="n">
        <v>58.62</v>
      </c>
      <c r="E2637" t="n">
        <v>1.435208531090703e-05</v>
      </c>
      <c r="F2637" t="n">
        <v>0.9944164493916904</v>
      </c>
      <c r="G2637" t="inlineStr">
        <is>
          <t>C</t>
        </is>
      </c>
      <c r="H2637" t="n">
        <v>29</v>
      </c>
      <c r="I2637" t="n">
        <v>10.33</v>
      </c>
      <c r="J2637" t="n">
        <v>299.57</v>
      </c>
      <c r="K2637" t="n">
        <v>0.4</v>
      </c>
      <c r="L2637" t="n">
        <v>72.5</v>
      </c>
      <c r="M2637" t="n">
        <v>4</v>
      </c>
      <c r="N2637" t="n">
        <v>1.6</v>
      </c>
      <c r="O2637" t="n">
        <v>27.4</v>
      </c>
      <c r="P2637" t="n">
        <v>283.042</v>
      </c>
      <c r="Q2637" t="n">
        <v>0.9448275862068964</v>
      </c>
      <c r="R2637" t="inlineStr">
        <is>
          <t>Sobrestock crítico</t>
        </is>
      </c>
    </row>
    <row r="2638">
      <c r="A2638" t="inlineStr">
        <is>
          <t>MIAMIDA16TL</t>
        </is>
      </c>
      <c r="B2638" t="inlineStr">
        <is>
          <t>MIA ORIGINAL DAMA</t>
        </is>
      </c>
      <c r="C2638" t="inlineStr">
        <is>
          <t>Manufactura / Dama / P. Superiores</t>
        </is>
      </c>
      <c r="D2638" t="n">
        <v>58.60241798</v>
      </c>
      <c r="E2638" t="n">
        <v>1.434778065974739e-05</v>
      </c>
      <c r="F2638" t="n">
        <v>0.9944307971723501</v>
      </c>
      <c r="G2638" t="inlineStr">
        <is>
          <t>C</t>
        </is>
      </c>
      <c r="H2638" t="n">
        <v>0</v>
      </c>
      <c r="I2638" t="n">
        <v>3.94</v>
      </c>
      <c r="J2638" t="n">
        <v>0</v>
      </c>
      <c r="K2638" t="n">
        <v>0.2</v>
      </c>
      <c r="L2638" t="n">
        <v>0</v>
      </c>
      <c r="M2638" t="n">
        <v>4</v>
      </c>
      <c r="N2638" t="n">
        <v>0.8</v>
      </c>
      <c r="O2638" t="n">
        <v>0</v>
      </c>
      <c r="P2638" t="n">
        <v>0</v>
      </c>
      <c r="Q2638" t="n">
        <v>0</v>
      </c>
      <c r="R2638" t="inlineStr">
        <is>
          <t>Sin rotación</t>
        </is>
      </c>
    </row>
    <row r="2639">
      <c r="A2639" t="inlineStr">
        <is>
          <t>SHOUNCA12T4XL</t>
        </is>
      </c>
      <c r="B2639" t="inlineStr">
        <is>
          <t>SHORT PLAYA CAB</t>
        </is>
      </c>
      <c r="C2639" t="inlineStr">
        <is>
          <t>Manufactura / Caballero / P. Inferiores</t>
        </is>
      </c>
      <c r="D2639" t="n">
        <v>58.49528352</v>
      </c>
      <c r="E2639" t="n">
        <v>1.432155065446493e-05</v>
      </c>
      <c r="F2639" t="n">
        <v>0.9944451187230045</v>
      </c>
      <c r="G2639" t="inlineStr">
        <is>
          <t>C</t>
        </is>
      </c>
      <c r="H2639" t="n">
        <v>0</v>
      </c>
      <c r="I2639" t="n">
        <v>9.99</v>
      </c>
      <c r="J2639" t="n">
        <v>0</v>
      </c>
      <c r="K2639" t="n">
        <v>0.1</v>
      </c>
      <c r="L2639" t="n">
        <v>0</v>
      </c>
      <c r="M2639" t="n">
        <v>4</v>
      </c>
      <c r="N2639" t="n">
        <v>0.4</v>
      </c>
      <c r="O2639" t="n">
        <v>0</v>
      </c>
      <c r="P2639" t="n">
        <v>0</v>
      </c>
      <c r="Q2639" t="n">
        <v>0</v>
      </c>
      <c r="R2639" t="inlineStr">
        <is>
          <t>Riesgo bajo stock</t>
        </is>
      </c>
    </row>
    <row r="2640">
      <c r="A2640" t="inlineStr">
        <is>
          <t>ZOEMIKI28T14</t>
        </is>
      </c>
      <c r="B2640" t="inlineStr">
        <is>
          <t>ZOE ORIGINAL KIDS</t>
        </is>
      </c>
      <c r="C2640" t="inlineStr">
        <is>
          <t>Manufactura / Kids / P. Superiores</t>
        </is>
      </c>
      <c r="D2640" t="n">
        <v>58.48764318</v>
      </c>
      <c r="E2640" t="n">
        <v>1.431968005037956e-05</v>
      </c>
      <c r="F2640" t="n">
        <v>0.994459438403055</v>
      </c>
      <c r="G2640" t="inlineStr">
        <is>
          <t>C</t>
        </is>
      </c>
      <c r="H2640" t="n">
        <v>0</v>
      </c>
      <c r="I2640" t="n">
        <v>4.12</v>
      </c>
      <c r="J2640" t="n">
        <v>0</v>
      </c>
      <c r="K2640" t="n">
        <v>0.2</v>
      </c>
      <c r="L2640" t="n">
        <v>0</v>
      </c>
      <c r="M2640" t="n">
        <v>4</v>
      </c>
      <c r="N2640" t="n">
        <v>0.8</v>
      </c>
      <c r="O2640" t="n">
        <v>0</v>
      </c>
      <c r="P2640" t="n">
        <v>0</v>
      </c>
      <c r="Q2640" t="n">
        <v>0</v>
      </c>
      <c r="R2640" t="inlineStr">
        <is>
          <t>Sin rotación</t>
        </is>
      </c>
    </row>
    <row r="2641">
      <c r="A2641" t="inlineStr">
        <is>
          <t>DALSSTCA30T2XL</t>
        </is>
      </c>
      <c r="B2641" t="inlineStr">
        <is>
          <t>MANGA LARGA DAILY 2.0 CAB</t>
        </is>
      </c>
      <c r="C2641" t="inlineStr">
        <is>
          <t>Manufactura / Caballero / P. Superiores</t>
        </is>
      </c>
      <c r="D2641" t="n">
        <v>58.44224272</v>
      </c>
      <c r="E2641" t="n">
        <v>1.430856453903404e-05</v>
      </c>
      <c r="F2641" t="n">
        <v>0.9944737469675939</v>
      </c>
      <c r="G2641" t="inlineStr">
        <is>
          <t>C</t>
        </is>
      </c>
      <c r="H2641" t="n">
        <v>0</v>
      </c>
      <c r="I2641" t="n">
        <v>14.21</v>
      </c>
      <c r="J2641" t="n">
        <v>0</v>
      </c>
      <c r="K2641" t="n">
        <v>0.1</v>
      </c>
      <c r="L2641" t="n">
        <v>0</v>
      </c>
      <c r="M2641" t="n">
        <v>4</v>
      </c>
      <c r="N2641" t="n">
        <v>0.4</v>
      </c>
      <c r="O2641" t="n">
        <v>0</v>
      </c>
      <c r="P2641" t="n">
        <v>0</v>
      </c>
      <c r="Q2641" t="n">
        <v>0</v>
      </c>
      <c r="R2641" t="inlineStr">
        <is>
          <t>Riesgo bajo stock</t>
        </is>
      </c>
    </row>
    <row r="2642">
      <c r="A2642" t="inlineStr">
        <is>
          <t>SHOSUKI54T1</t>
        </is>
      </c>
      <c r="B2642" t="inlineStr">
        <is>
          <t>SHORT PLAYA ESTAMPADO KIDS</t>
        </is>
      </c>
      <c r="C2642" t="inlineStr">
        <is>
          <t>Manufactura / Kids / P. Superiores</t>
        </is>
      </c>
      <c r="D2642" t="n">
        <v>58.12401953</v>
      </c>
      <c r="E2642" t="n">
        <v>1.423065313728056e-05</v>
      </c>
      <c r="F2642" t="n">
        <v>0.9944879776207313</v>
      </c>
      <c r="G2642" t="inlineStr">
        <is>
          <t>C</t>
        </is>
      </c>
      <c r="H2642" t="n">
        <v>0</v>
      </c>
      <c r="I2642" t="n">
        <v>7.21</v>
      </c>
      <c r="J2642" t="n">
        <v>0</v>
      </c>
      <c r="K2642" t="n">
        <v>0.2</v>
      </c>
      <c r="L2642" t="n">
        <v>0</v>
      </c>
      <c r="M2642" t="n">
        <v>4</v>
      </c>
      <c r="N2642" t="n">
        <v>0.8</v>
      </c>
      <c r="O2642" t="n">
        <v>0</v>
      </c>
      <c r="P2642" t="n">
        <v>0</v>
      </c>
      <c r="Q2642" t="n">
        <v>0</v>
      </c>
      <c r="R2642" t="inlineStr">
        <is>
          <t>Sin rotación</t>
        </is>
      </c>
    </row>
    <row r="2643">
      <c r="A2643" t="inlineStr">
        <is>
          <t>TALGTADA12TXL</t>
        </is>
      </c>
      <c r="B2643" t="inlineStr">
        <is>
          <t>URBAN COTTON TOP SAY YES DAMA</t>
        </is>
      </c>
      <c r="C2643" t="inlineStr">
        <is>
          <t>Manufactura / Dama / P. Superiores</t>
        </is>
      </c>
      <c r="D2643" t="n">
        <v>57.98071163</v>
      </c>
      <c r="E2643" t="n">
        <v>1.419556669568167e-05</v>
      </c>
      <c r="F2643" t="n">
        <v>0.9945021731874268</v>
      </c>
      <c r="G2643" t="inlineStr">
        <is>
          <t>C</t>
        </is>
      </c>
      <c r="H2643" t="n">
        <v>1</v>
      </c>
      <c r="I2643" t="n">
        <v>6.639983317</v>
      </c>
      <c r="J2643" t="n">
        <v>6.639983317</v>
      </c>
      <c r="K2643" t="n">
        <v>0.1</v>
      </c>
      <c r="L2643" t="n">
        <v>10</v>
      </c>
      <c r="M2643" t="n">
        <v>4</v>
      </c>
      <c r="N2643" t="n">
        <v>0.4</v>
      </c>
      <c r="O2643" t="n">
        <v>0.6</v>
      </c>
      <c r="P2643" t="n">
        <v>3.9839899902</v>
      </c>
      <c r="Q2643" t="n">
        <v>0.6</v>
      </c>
      <c r="R2643" t="inlineStr">
        <is>
          <t>Sobrestock crítico</t>
        </is>
      </c>
    </row>
    <row r="2644">
      <c r="A2644" t="inlineStr">
        <is>
          <t>RIOMICA48TL</t>
        </is>
      </c>
      <c r="B2644" t="inlineStr">
        <is>
          <t>RIO ORIGINAL CAB</t>
        </is>
      </c>
      <c r="C2644" t="inlineStr">
        <is>
          <t>Manufactura / Caballero / P. Superiores</t>
        </is>
      </c>
      <c r="D2644" t="n">
        <v>57.95552893</v>
      </c>
      <c r="E2644" t="n">
        <v>1.418940115049643e-05</v>
      </c>
      <c r="F2644" t="n">
        <v>0.9945163625885772</v>
      </c>
      <c r="G2644" t="inlineStr">
        <is>
          <t>C</t>
        </is>
      </c>
      <c r="H2644" t="n">
        <v>0</v>
      </c>
      <c r="I2644" t="n">
        <v>5.939350288</v>
      </c>
      <c r="J2644" t="n">
        <v>0</v>
      </c>
      <c r="K2644" t="n">
        <v>0.1</v>
      </c>
      <c r="L2644" t="n">
        <v>0</v>
      </c>
      <c r="M2644" t="n">
        <v>4</v>
      </c>
      <c r="N2644" t="n">
        <v>0.4</v>
      </c>
      <c r="O2644" t="n">
        <v>0</v>
      </c>
      <c r="P2644" t="n">
        <v>0</v>
      </c>
      <c r="Q2644" t="n">
        <v>0</v>
      </c>
      <c r="R2644" t="inlineStr">
        <is>
          <t>Riesgo bajo stock</t>
        </is>
      </c>
    </row>
    <row r="2645">
      <c r="A2645" t="inlineStr">
        <is>
          <t>TALGOTADA12TXL</t>
        </is>
      </c>
      <c r="B2645" t="inlineStr">
        <is>
          <t>URBAN COTTON TOP VINTAGE GRIS DAMA</t>
        </is>
      </c>
      <c r="C2645" t="inlineStr">
        <is>
          <t>Manufactura / Dama / P. Superiores</t>
        </is>
      </c>
      <c r="D2645" t="n">
        <v>57.77010624</v>
      </c>
      <c r="E2645" t="n">
        <v>1.414400363658551e-05</v>
      </c>
      <c r="F2645" t="n">
        <v>0.9945305065922139</v>
      </c>
      <c r="G2645" t="inlineStr">
        <is>
          <t>C</t>
        </is>
      </c>
      <c r="H2645" t="n">
        <v>1</v>
      </c>
      <c r="I2645" t="n">
        <v>7.819069274</v>
      </c>
      <c r="J2645" t="n">
        <v>7.819069274</v>
      </c>
      <c r="K2645" t="n">
        <v>0.1</v>
      </c>
      <c r="L2645" t="n">
        <v>10</v>
      </c>
      <c r="M2645" t="n">
        <v>4</v>
      </c>
      <c r="N2645" t="n">
        <v>0.4</v>
      </c>
      <c r="O2645" t="n">
        <v>0.6</v>
      </c>
      <c r="P2645" t="n">
        <v>4.6914415644</v>
      </c>
      <c r="Q2645" t="n">
        <v>0.6</v>
      </c>
      <c r="R2645" t="inlineStr">
        <is>
          <t>Sobrestock crítico</t>
        </is>
      </c>
    </row>
    <row r="2646">
      <c r="A2646" t="inlineStr">
        <is>
          <t>TALGOTACA167TL</t>
        </is>
      </c>
      <c r="B2646" t="inlineStr">
        <is>
          <t>URBAN COTTON OVERSIZED VINTAGE GRIS CAB</t>
        </is>
      </c>
      <c r="C2646" t="inlineStr">
        <is>
          <t>Manufactura / Caballero / P. Superiores</t>
        </is>
      </c>
      <c r="D2646" t="n">
        <v>57.74970648</v>
      </c>
      <c r="E2646" t="n">
        <v>1.413900911089732e-05</v>
      </c>
      <c r="F2646" t="n">
        <v>0.9945446456013248</v>
      </c>
      <c r="G2646" t="inlineStr">
        <is>
          <t>C</t>
        </is>
      </c>
      <c r="H2646" t="n">
        <v>24</v>
      </c>
      <c r="I2646" t="n">
        <v>12.16179793</v>
      </c>
      <c r="J2646" t="n">
        <v>291.88315032</v>
      </c>
      <c r="K2646" t="n">
        <v>0.5</v>
      </c>
      <c r="L2646" t="n">
        <v>48</v>
      </c>
      <c r="M2646" t="n">
        <v>4</v>
      </c>
      <c r="N2646" t="n">
        <v>2</v>
      </c>
      <c r="O2646" t="n">
        <v>22</v>
      </c>
      <c r="P2646" t="n">
        <v>267.55955446</v>
      </c>
      <c r="Q2646" t="n">
        <v>0.9166666666666666</v>
      </c>
      <c r="R2646" t="inlineStr">
        <is>
          <t>Sobrestock crítico</t>
        </is>
      </c>
    </row>
    <row r="2647">
      <c r="A2647" t="inlineStr">
        <is>
          <t>MAFMEDA16TL</t>
        </is>
      </c>
      <c r="B2647" t="inlineStr">
        <is>
          <t>MAFE SPORT DAMA</t>
        </is>
      </c>
      <c r="C2647" t="inlineStr">
        <is>
          <t>Manufactura / Dama / P. Superiores</t>
        </is>
      </c>
      <c r="D2647" t="n">
        <v>57.72111482</v>
      </c>
      <c r="E2647" t="n">
        <v>1.41320089412709e-05</v>
      </c>
      <c r="F2647" t="n">
        <v>0.9945587776102661</v>
      </c>
      <c r="G2647" t="inlineStr">
        <is>
          <t>C</t>
        </is>
      </c>
      <c r="H2647" t="n">
        <v>0</v>
      </c>
      <c r="I2647" t="n">
        <v>5.35</v>
      </c>
      <c r="J2647" t="n">
        <v>0</v>
      </c>
      <c r="K2647" t="n">
        <v>0.2</v>
      </c>
      <c r="L2647" t="n">
        <v>0</v>
      </c>
      <c r="M2647" t="n">
        <v>4</v>
      </c>
      <c r="N2647" t="n">
        <v>0.8</v>
      </c>
      <c r="O2647" t="n">
        <v>0</v>
      </c>
      <c r="P2647" t="n">
        <v>0</v>
      </c>
      <c r="Q2647" t="n">
        <v>0</v>
      </c>
      <c r="R2647" t="inlineStr">
        <is>
          <t>Sin rotación</t>
        </is>
      </c>
    </row>
    <row r="2648">
      <c r="A2648" t="inlineStr">
        <is>
          <t>NAHFNCA24T2XL</t>
        </is>
      </c>
      <c r="B2648" t="inlineStr">
        <is>
          <t>NOAH SPORT LITE CAB</t>
        </is>
      </c>
      <c r="C2648" t="inlineStr">
        <is>
          <t>Manufactura / Caballero / P. Superiores</t>
        </is>
      </c>
      <c r="D2648" t="n">
        <v>57.70585832</v>
      </c>
      <c r="E2648" t="n">
        <v>1.412827365315173e-05</v>
      </c>
      <c r="F2648" t="n">
        <v>0.9945729058839192</v>
      </c>
      <c r="G2648" t="inlineStr">
        <is>
          <t>C</t>
        </is>
      </c>
      <c r="H2648" t="n">
        <v>12</v>
      </c>
      <c r="I2648" t="n">
        <v>17.61141534</v>
      </c>
      <c r="J2648" t="n">
        <v>211.33698408</v>
      </c>
      <c r="K2648" t="n">
        <v>0.1</v>
      </c>
      <c r="L2648" t="n">
        <v>120</v>
      </c>
      <c r="M2648" t="n">
        <v>4</v>
      </c>
      <c r="N2648" t="n">
        <v>0.4</v>
      </c>
      <c r="O2648" t="n">
        <v>11.6</v>
      </c>
      <c r="P2648" t="n">
        <v>204.292417944</v>
      </c>
      <c r="Q2648" t="n">
        <v>0.9666666666666666</v>
      </c>
      <c r="R2648" t="inlineStr">
        <is>
          <t>Sobrestock crítico</t>
        </is>
      </c>
    </row>
    <row r="2649">
      <c r="A2649" t="inlineStr">
        <is>
          <t>ANDMIDA13TXS</t>
        </is>
      </c>
      <c r="B2649" t="inlineStr">
        <is>
          <t>ANDRE ORIGINAL DAMA</t>
        </is>
      </c>
      <c r="C2649" t="inlineStr">
        <is>
          <t>Manufactura / Dama / P. Superiores</t>
        </is>
      </c>
      <c r="D2649" t="n">
        <v>57.22860107</v>
      </c>
      <c r="E2649" t="n">
        <v>1.40114255336149e-05</v>
      </c>
      <c r="F2649" t="n">
        <v>0.9945869173094529</v>
      </c>
      <c r="G2649" t="inlineStr">
        <is>
          <t>C</t>
        </is>
      </c>
      <c r="H2649" t="n">
        <v>5</v>
      </c>
      <c r="I2649" t="n">
        <v>3.274295302</v>
      </c>
      <c r="J2649" t="n">
        <v>16.37147651</v>
      </c>
      <c r="K2649" t="n">
        <v>0.2</v>
      </c>
      <c r="L2649" t="n">
        <v>25</v>
      </c>
      <c r="M2649" t="n">
        <v>4</v>
      </c>
      <c r="N2649" t="n">
        <v>0.8</v>
      </c>
      <c r="O2649" t="n">
        <v>4.2</v>
      </c>
      <c r="P2649" t="n">
        <v>13.7520402684</v>
      </c>
      <c r="Q2649" t="n">
        <v>0.84</v>
      </c>
      <c r="R2649" t="inlineStr">
        <is>
          <t>Sin rotación</t>
        </is>
      </c>
    </row>
    <row r="2650">
      <c r="A2650" t="inlineStr">
        <is>
          <t>MARMIKI24T10</t>
        </is>
      </c>
      <c r="B2650" t="inlineStr">
        <is>
          <t>MAR ORIGINAL KIDS</t>
        </is>
      </c>
      <c r="C2650" t="inlineStr">
        <is>
          <t>Manufactura / Kids / P. Superiores</t>
        </is>
      </c>
      <c r="D2650" t="n">
        <v>57.20370704</v>
      </c>
      <c r="E2650" t="n">
        <v>1.400533066424792e-05</v>
      </c>
      <c r="F2650" t="n">
        <v>0.9946009226401171</v>
      </c>
      <c r="G2650" t="inlineStr">
        <is>
          <t>C</t>
        </is>
      </c>
      <c r="H2650" t="n">
        <v>0</v>
      </c>
      <c r="I2650" t="n">
        <v>3.168013332</v>
      </c>
      <c r="J2650" t="n">
        <v>0</v>
      </c>
      <c r="K2650" t="n">
        <v>0.2</v>
      </c>
      <c r="L2650" t="n">
        <v>0</v>
      </c>
      <c r="M2650" t="n">
        <v>4</v>
      </c>
      <c r="N2650" t="n">
        <v>0.8</v>
      </c>
      <c r="O2650" t="n">
        <v>0</v>
      </c>
      <c r="P2650" t="n">
        <v>0</v>
      </c>
      <c r="Q2650" t="n">
        <v>0</v>
      </c>
      <c r="R2650" t="inlineStr">
        <is>
          <t>Sin rotación</t>
        </is>
      </c>
    </row>
    <row r="2651">
      <c r="A2651" t="inlineStr">
        <is>
          <t>TALGTACA166T2XL</t>
        </is>
      </c>
      <c r="B2651" t="inlineStr">
        <is>
          <t>URBAN COTTON OVERSIZED VINTAGE VERDE CAB</t>
        </is>
      </c>
      <c r="C2651" t="inlineStr">
        <is>
          <t>Manufactura / Caballero / P. Superiores</t>
        </is>
      </c>
      <c r="D2651" t="n">
        <v>57.03882271</v>
      </c>
      <c r="E2651" t="n">
        <v>1.396496160981954e-05</v>
      </c>
      <c r="F2651" t="n">
        <v>0.9946148876017269</v>
      </c>
      <c r="G2651" t="inlineStr">
        <is>
          <t>C</t>
        </is>
      </c>
      <c r="H2651" t="n">
        <v>10</v>
      </c>
      <c r="I2651" t="n">
        <v>12.16396667</v>
      </c>
      <c r="J2651" t="n">
        <v>121.6396667</v>
      </c>
      <c r="K2651" t="n">
        <v>0.2</v>
      </c>
      <c r="L2651" t="n">
        <v>50</v>
      </c>
      <c r="M2651" t="n">
        <v>4</v>
      </c>
      <c r="N2651" t="n">
        <v>0.8</v>
      </c>
      <c r="O2651" t="n">
        <v>9.199999999999999</v>
      </c>
      <c r="P2651" t="n">
        <v>111.908493364</v>
      </c>
      <c r="Q2651" t="n">
        <v>0.9199999999999999</v>
      </c>
      <c r="R2651" t="inlineStr">
        <is>
          <t>Sobrestock crítico</t>
        </is>
      </c>
    </row>
    <row r="2652">
      <c r="A2652" t="inlineStr">
        <is>
          <t>MARMICA16T4XL</t>
        </is>
      </c>
      <c r="B2652" t="inlineStr">
        <is>
          <t>MAR ORIGINAL CAB</t>
        </is>
      </c>
      <c r="C2652" t="inlineStr">
        <is>
          <t>Manufactura / Caballero / P. Superiores</t>
        </is>
      </c>
      <c r="D2652" t="n">
        <v>57.00001437</v>
      </c>
      <c r="E2652" t="n">
        <v>1.395546006416183e-05</v>
      </c>
      <c r="F2652" t="n">
        <v>0.994628843061791</v>
      </c>
      <c r="G2652" t="inlineStr">
        <is>
          <t>C</t>
        </is>
      </c>
      <c r="H2652" t="n">
        <v>1</v>
      </c>
      <c r="I2652" t="n">
        <v>4.946357428</v>
      </c>
      <c r="J2652" t="n">
        <v>4.946357428</v>
      </c>
      <c r="K2652" t="n">
        <v>0.1</v>
      </c>
      <c r="L2652" t="n">
        <v>10</v>
      </c>
      <c r="M2652" t="n">
        <v>4</v>
      </c>
      <c r="N2652" t="n">
        <v>0.4</v>
      </c>
      <c r="O2652" t="n">
        <v>0.6</v>
      </c>
      <c r="P2652" t="n">
        <v>2.9678144568</v>
      </c>
      <c r="Q2652" t="n">
        <v>0.6</v>
      </c>
      <c r="R2652" t="inlineStr">
        <is>
          <t>Sobrestock crítico</t>
        </is>
      </c>
    </row>
    <row r="2653">
      <c r="A2653" t="inlineStr">
        <is>
          <t>RIOMICA66T4XL</t>
        </is>
      </c>
      <c r="B2653" t="inlineStr">
        <is>
          <t>RIO ORIGINAL CAB</t>
        </is>
      </c>
      <c r="C2653" t="inlineStr">
        <is>
          <t>Manufactura / Caballero / P. Superiores</t>
        </is>
      </c>
      <c r="D2653" t="n">
        <v>57</v>
      </c>
      <c r="E2653" t="n">
        <v>1.395545654591779e-05</v>
      </c>
      <c r="F2653" t="n">
        <v>0.9946846648879747</v>
      </c>
      <c r="G2653" t="inlineStr">
        <is>
          <t>C</t>
        </is>
      </c>
      <c r="H2653" t="n">
        <v>2</v>
      </c>
      <c r="I2653" t="n">
        <v>5.939350288</v>
      </c>
      <c r="J2653" t="n">
        <v>11.878700576</v>
      </c>
      <c r="K2653" t="n">
        <v>0.1</v>
      </c>
      <c r="L2653" t="n">
        <v>20</v>
      </c>
      <c r="M2653" t="n">
        <v>4</v>
      </c>
      <c r="N2653" t="n">
        <v>0.4</v>
      </c>
      <c r="O2653" t="n">
        <v>1.6</v>
      </c>
      <c r="P2653" t="n">
        <v>9.502960460800001</v>
      </c>
      <c r="Q2653" t="n">
        <v>0.8</v>
      </c>
      <c r="R2653" t="inlineStr">
        <is>
          <t>Sobrestock crítico</t>
        </is>
      </c>
    </row>
    <row r="2654">
      <c r="A2654" t="inlineStr">
        <is>
          <t>SHR2VIDA123TM</t>
        </is>
      </c>
      <c r="B2654" t="inlineStr">
        <is>
          <t>SHORT R2 DAMA</t>
        </is>
      </c>
      <c r="C2654" t="inlineStr">
        <is>
          <t>Manufactura / Dama / P. Inferiores</t>
        </is>
      </c>
      <c r="D2654" t="n">
        <v>57</v>
      </c>
      <c r="E2654" t="n">
        <v>1.395545654591779e-05</v>
      </c>
      <c r="F2654" t="n">
        <v>0.9946846648879747</v>
      </c>
      <c r="G2654" t="inlineStr">
        <is>
          <t>C</t>
        </is>
      </c>
      <c r="H2654" t="n">
        <v>2</v>
      </c>
      <c r="I2654" t="n">
        <v>13.86928571</v>
      </c>
      <c r="J2654" t="n">
        <v>27.73857142</v>
      </c>
      <c r="K2654" t="n">
        <v>0.2</v>
      </c>
      <c r="L2654" t="n">
        <v>10</v>
      </c>
      <c r="M2654" t="n">
        <v>4</v>
      </c>
      <c r="N2654" t="n">
        <v>0.8</v>
      </c>
      <c r="O2654" t="n">
        <v>1.2</v>
      </c>
      <c r="P2654" t="n">
        <v>16.643142852</v>
      </c>
      <c r="Q2654" t="n">
        <v>0.6</v>
      </c>
      <c r="R2654" t="inlineStr">
        <is>
          <t>Sobrestock crítico</t>
        </is>
      </c>
    </row>
    <row r="2655">
      <c r="A2655" t="inlineStr">
        <is>
          <t>RIOMICA34TXL</t>
        </is>
      </c>
      <c r="B2655" t="inlineStr">
        <is>
          <t>RIO ORIGINAL CAB</t>
        </is>
      </c>
      <c r="C2655" t="inlineStr">
        <is>
          <t>Manufactura / Caballero / P. Superiores</t>
        </is>
      </c>
      <c r="D2655" t="n">
        <v>57</v>
      </c>
      <c r="E2655" t="n">
        <v>1.395545654591779e-05</v>
      </c>
      <c r="F2655" t="n">
        <v>0.9946846648879747</v>
      </c>
      <c r="G2655" t="inlineStr">
        <is>
          <t>C</t>
        </is>
      </c>
      <c r="H2655" t="n">
        <v>0</v>
      </c>
      <c r="I2655" t="n">
        <v>5.939350288</v>
      </c>
      <c r="J2655" t="n">
        <v>0</v>
      </c>
      <c r="K2655" t="n">
        <v>0.1</v>
      </c>
      <c r="L2655" t="n">
        <v>0</v>
      </c>
      <c r="M2655" t="n">
        <v>4</v>
      </c>
      <c r="N2655" t="n">
        <v>0.4</v>
      </c>
      <c r="O2655" t="n">
        <v>0</v>
      </c>
      <c r="P2655" t="n">
        <v>0</v>
      </c>
      <c r="Q2655" t="n">
        <v>0</v>
      </c>
      <c r="R2655" t="inlineStr">
        <is>
          <t>Riesgo bajo stock</t>
        </is>
      </c>
    </row>
    <row r="2656">
      <c r="A2656" t="inlineStr">
        <is>
          <t>SHR2VICA70TL</t>
        </is>
      </c>
      <c r="B2656" t="inlineStr">
        <is>
          <t>SHORT R2 CAB</t>
        </is>
      </c>
      <c r="C2656" t="inlineStr">
        <is>
          <t>Manufactura / Dama / P. Inferiores</t>
        </is>
      </c>
      <c r="D2656" t="n">
        <v>57</v>
      </c>
      <c r="E2656" t="n">
        <v>1.395545654591779e-05</v>
      </c>
      <c r="F2656" t="n">
        <v>0.9946846648879747</v>
      </c>
      <c r="G2656" t="inlineStr">
        <is>
          <t>C</t>
        </is>
      </c>
      <c r="H2656" t="n">
        <v>1</v>
      </c>
      <c r="I2656" t="n">
        <v>9.119999999999999</v>
      </c>
      <c r="J2656" t="n">
        <v>9.119999999999999</v>
      </c>
      <c r="K2656" t="n">
        <v>0.1</v>
      </c>
      <c r="L2656" t="n">
        <v>10</v>
      </c>
      <c r="M2656" t="n">
        <v>4</v>
      </c>
      <c r="N2656" t="n">
        <v>0.4</v>
      </c>
      <c r="O2656" t="n">
        <v>0.6</v>
      </c>
      <c r="P2656" t="n">
        <v>5.472</v>
      </c>
      <c r="Q2656" t="n">
        <v>0.6</v>
      </c>
      <c r="R2656" t="inlineStr">
        <is>
          <t>Sobrestock crítico</t>
        </is>
      </c>
    </row>
    <row r="2657">
      <c r="A2657" t="inlineStr">
        <is>
          <t>SHOUNKI57T12</t>
        </is>
      </c>
      <c r="B2657" t="inlineStr">
        <is>
          <t>SHORT PLAYA KIDS</t>
        </is>
      </c>
      <c r="C2657" t="inlineStr">
        <is>
          <t>Manufactura / Kids / P. Inferiores</t>
        </is>
      </c>
      <c r="D2657" t="n">
        <v>56.68227573</v>
      </c>
      <c r="E2657" t="n">
        <v>1.387766729603062e-05</v>
      </c>
      <c r="F2657" t="n">
        <v>0.9946985425552708</v>
      </c>
      <c r="G2657" t="inlineStr">
        <is>
          <t>C</t>
        </is>
      </c>
      <c r="H2657" t="n">
        <v>0</v>
      </c>
      <c r="I2657" t="n">
        <v>6.09</v>
      </c>
      <c r="J2657" t="n">
        <v>0</v>
      </c>
      <c r="K2657" t="n">
        <v>0.1</v>
      </c>
      <c r="L2657" t="n">
        <v>0</v>
      </c>
      <c r="M2657" t="n">
        <v>4</v>
      </c>
      <c r="N2657" t="n">
        <v>0.4</v>
      </c>
      <c r="O2657" t="n">
        <v>0</v>
      </c>
      <c r="P2657" t="n">
        <v>0</v>
      </c>
      <c r="Q2657" t="n">
        <v>0</v>
      </c>
      <c r="R2657" t="inlineStr">
        <is>
          <t>Riesgo bajo stock</t>
        </is>
      </c>
    </row>
    <row r="2658">
      <c r="A2658" t="inlineStr">
        <is>
          <t>SHONRCA30T4XL</t>
        </is>
      </c>
      <c r="B2658" t="inlineStr">
        <is>
          <t>SHORT SPORT CAB</t>
        </is>
      </c>
      <c r="C2658" t="inlineStr">
        <is>
          <t>Manufactura / Caballero / P. Inferiores</t>
        </is>
      </c>
      <c r="D2658" t="n">
        <v>56.67444658</v>
      </c>
      <c r="E2658" t="n">
        <v>1.387575046510753e-05</v>
      </c>
      <c r="F2658" t="n">
        <v>0.9947124183057359</v>
      </c>
      <c r="G2658" t="inlineStr">
        <is>
          <t>C</t>
        </is>
      </c>
      <c r="H2658" t="n">
        <v>0</v>
      </c>
      <c r="I2658" t="n">
        <v>10.6514486</v>
      </c>
      <c r="J2658" t="n">
        <v>0</v>
      </c>
      <c r="K2658" t="n">
        <v>0.1</v>
      </c>
      <c r="L2658" t="n">
        <v>0</v>
      </c>
      <c r="M2658" t="n">
        <v>4</v>
      </c>
      <c r="N2658" t="n">
        <v>0.4</v>
      </c>
      <c r="O2658" t="n">
        <v>0</v>
      </c>
      <c r="P2658" t="n">
        <v>0</v>
      </c>
      <c r="Q2658" t="n">
        <v>0</v>
      </c>
      <c r="R2658" t="inlineStr">
        <is>
          <t>Riesgo bajo stock</t>
        </is>
      </c>
    </row>
    <row r="2659">
      <c r="A2659" t="inlineStr">
        <is>
          <t>MARMICA48T4XL</t>
        </is>
      </c>
      <c r="B2659" t="inlineStr">
        <is>
          <t>MAR ORIGINAL CAB</t>
        </is>
      </c>
      <c r="C2659" t="inlineStr">
        <is>
          <t>Manufactura / Caballero / P. Superiores</t>
        </is>
      </c>
      <c r="D2659" t="n">
        <v>56.53120882</v>
      </c>
      <c r="E2659" t="n">
        <v>1.384068119606517e-05</v>
      </c>
      <c r="F2659" t="n">
        <v>0.994726258986932</v>
      </c>
      <c r="G2659" t="inlineStr">
        <is>
          <t>C</t>
        </is>
      </c>
      <c r="H2659" t="n">
        <v>0</v>
      </c>
      <c r="I2659" t="n">
        <v>4.946357428</v>
      </c>
      <c r="J2659" t="n">
        <v>0</v>
      </c>
      <c r="K2659" t="n">
        <v>0.1</v>
      </c>
      <c r="L2659" t="n">
        <v>0</v>
      </c>
      <c r="M2659" t="n">
        <v>4</v>
      </c>
      <c r="N2659" t="n">
        <v>0.4</v>
      </c>
      <c r="O2659" t="n">
        <v>0</v>
      </c>
      <c r="P2659" t="n">
        <v>0</v>
      </c>
      <c r="Q2659" t="n">
        <v>0</v>
      </c>
      <c r="R2659" t="inlineStr">
        <is>
          <t>Riesgo bajo stock</t>
        </is>
      </c>
    </row>
    <row r="2660">
      <c r="A2660" t="inlineStr">
        <is>
          <t>MARMICA13T3XL</t>
        </is>
      </c>
      <c r="B2660" t="inlineStr">
        <is>
          <t>MAR ORIGINAL CAB</t>
        </is>
      </c>
      <c r="C2660" t="inlineStr">
        <is>
          <t>Manufactura / Caballero / P. Superiores</t>
        </is>
      </c>
      <c r="D2660" t="n">
        <v>56.48976944</v>
      </c>
      <c r="E2660" t="n">
        <v>1.383053548611991e-05</v>
      </c>
      <c r="F2660" t="n">
        <v>0.9947400895224182</v>
      </c>
      <c r="G2660" t="inlineStr">
        <is>
          <t>C</t>
        </is>
      </c>
      <c r="H2660" t="n">
        <v>2</v>
      </c>
      <c r="I2660" t="n">
        <v>4.946357428</v>
      </c>
      <c r="J2660" t="n">
        <v>9.892714856</v>
      </c>
      <c r="K2660" t="n">
        <v>0.1</v>
      </c>
      <c r="L2660" t="n">
        <v>20</v>
      </c>
      <c r="M2660" t="n">
        <v>4</v>
      </c>
      <c r="N2660" t="n">
        <v>0.4</v>
      </c>
      <c r="O2660" t="n">
        <v>1.6</v>
      </c>
      <c r="P2660" t="n">
        <v>7.9141718848</v>
      </c>
      <c r="Q2660" t="n">
        <v>0.8</v>
      </c>
      <c r="R2660" t="inlineStr">
        <is>
          <t>Sobrestock crítico</t>
        </is>
      </c>
    </row>
    <row r="2661">
      <c r="A2661" t="inlineStr">
        <is>
          <t>CLAMIKI43T6</t>
        </is>
      </c>
      <c r="B2661" t="inlineStr">
        <is>
          <t>CLASICA ORIGINAL KIDS</t>
        </is>
      </c>
      <c r="C2661" t="inlineStr">
        <is>
          <t>Manufactura / Kids / P. Superiores</t>
        </is>
      </c>
      <c r="D2661" t="n">
        <v>56.38365946</v>
      </c>
      <c r="E2661" t="n">
        <v>1.380455630690976e-05</v>
      </c>
      <c r="F2661" t="n">
        <v>0.9947538940787251</v>
      </c>
      <c r="G2661" t="inlineStr">
        <is>
          <t>C</t>
        </is>
      </c>
      <c r="H2661" t="n">
        <v>58</v>
      </c>
      <c r="I2661" t="n">
        <v>2.053774806</v>
      </c>
      <c r="J2661" t="n">
        <v>119.118938748</v>
      </c>
      <c r="K2661" t="n">
        <v>0.2</v>
      </c>
      <c r="L2661" t="n">
        <v>290</v>
      </c>
      <c r="M2661" t="n">
        <v>4</v>
      </c>
      <c r="N2661" t="n">
        <v>0.8</v>
      </c>
      <c r="O2661" t="n">
        <v>57.2</v>
      </c>
      <c r="P2661" t="n">
        <v>117.4759189032</v>
      </c>
      <c r="Q2661" t="n">
        <v>0.9862068965517242</v>
      </c>
      <c r="R2661" t="inlineStr">
        <is>
          <t>Sobrestock crítico</t>
        </is>
      </c>
    </row>
    <row r="2662">
      <c r="A2662" t="inlineStr">
        <is>
          <t>ZOEMIKI01T6</t>
        </is>
      </c>
      <c r="B2662" t="inlineStr">
        <is>
          <t>ZOE ORIGINAL KIDS</t>
        </is>
      </c>
      <c r="C2662" t="inlineStr">
        <is>
          <t>Manufactura / Kids / P. Superiores</t>
        </is>
      </c>
      <c r="D2662" t="n">
        <v>56.34166104</v>
      </c>
      <c r="E2662" t="n">
        <v>1.379427372576402e-05</v>
      </c>
      <c r="F2662" t="n">
        <v>0.9947676883524508</v>
      </c>
      <c r="G2662" t="inlineStr">
        <is>
          <t>C</t>
        </is>
      </c>
      <c r="H2662" t="n">
        <v>15</v>
      </c>
      <c r="I2662" t="n">
        <v>4.12</v>
      </c>
      <c r="J2662" t="n">
        <v>61.8</v>
      </c>
      <c r="K2662" t="n">
        <v>0.1</v>
      </c>
      <c r="L2662" t="n">
        <v>150</v>
      </c>
      <c r="M2662" t="n">
        <v>4</v>
      </c>
      <c r="N2662" t="n">
        <v>0.4</v>
      </c>
      <c r="O2662" t="n">
        <v>14.6</v>
      </c>
      <c r="P2662" t="n">
        <v>60.152</v>
      </c>
      <c r="Q2662" t="n">
        <v>0.9733333333333333</v>
      </c>
      <c r="R2662" t="inlineStr">
        <is>
          <t>Sin rotación</t>
        </is>
      </c>
    </row>
    <row r="2663">
      <c r="A2663" t="inlineStr">
        <is>
          <t>CLAMICA12T3XL</t>
        </is>
      </c>
      <c r="B2663" t="inlineStr">
        <is>
          <t>CLASICA ORIGINAL CAB</t>
        </is>
      </c>
      <c r="C2663" t="inlineStr">
        <is>
          <t>Manufactura / Caballero / P. Superiores</t>
        </is>
      </c>
      <c r="D2663" t="n">
        <v>56.30650581</v>
      </c>
      <c r="E2663" t="n">
        <v>1.378566658041969e-05</v>
      </c>
      <c r="F2663" t="n">
        <v>0.9947814740190313</v>
      </c>
      <c r="G2663" t="inlineStr">
        <is>
          <t>C</t>
        </is>
      </c>
      <c r="H2663" t="n">
        <v>0</v>
      </c>
      <c r="I2663" t="n">
        <v>4.598442536</v>
      </c>
      <c r="J2663" t="n">
        <v>0</v>
      </c>
      <c r="K2663" t="n">
        <v>0.3</v>
      </c>
      <c r="L2663" t="n">
        <v>0</v>
      </c>
      <c r="M2663" t="n">
        <v>4</v>
      </c>
      <c r="N2663" t="n">
        <v>1.2</v>
      </c>
      <c r="O2663" t="n">
        <v>0</v>
      </c>
      <c r="P2663" t="n">
        <v>0</v>
      </c>
      <c r="Q2663" t="n">
        <v>0</v>
      </c>
      <c r="R2663" t="inlineStr">
        <is>
          <t>Riesgo bajo stock</t>
        </is>
      </c>
    </row>
    <row r="2664">
      <c r="A2664" t="inlineStr">
        <is>
          <t>TOA43CL</t>
        </is>
      </c>
      <c r="B2664" t="inlineStr">
        <is>
          <t>TOALLA CLIP ORIGINAL</t>
        </is>
      </c>
      <c r="C2664" t="inlineStr">
        <is>
          <t>Equipamiento / Toallas</t>
        </is>
      </c>
      <c r="D2664" t="n">
        <v>55.94194071</v>
      </c>
      <c r="E2664" t="n">
        <v>1.369640916969674e-05</v>
      </c>
      <c r="F2664" t="n">
        <v>0.9947951704282009</v>
      </c>
      <c r="G2664" t="inlineStr">
        <is>
          <t>C</t>
        </is>
      </c>
      <c r="H2664" t="n">
        <v>0</v>
      </c>
      <c r="I2664" t="n">
        <v>5.11</v>
      </c>
      <c r="J2664" t="n">
        <v>0</v>
      </c>
      <c r="K2664" t="n">
        <v>0.3</v>
      </c>
      <c r="L2664" t="n">
        <v>0</v>
      </c>
      <c r="M2664" t="n">
        <v>4</v>
      </c>
      <c r="N2664" t="n">
        <v>1.2</v>
      </c>
      <c r="O2664" t="n">
        <v>0</v>
      </c>
      <c r="P2664" t="n">
        <v>0</v>
      </c>
      <c r="Q2664" t="n">
        <v>0</v>
      </c>
      <c r="R2664" t="inlineStr">
        <is>
          <t>Sin rotación</t>
        </is>
      </c>
    </row>
    <row r="2665">
      <c r="A2665" t="inlineStr">
        <is>
          <t>DAMSTCA30TL</t>
        </is>
      </c>
      <c r="B2665" t="inlineStr">
        <is>
          <t>MANGA LARGA DAILY CAB</t>
        </is>
      </c>
      <c r="C2665" t="inlineStr">
        <is>
          <t>Manufactura / Caballero / P. Superiores</t>
        </is>
      </c>
      <c r="D2665" t="n">
        <v>55.8</v>
      </c>
      <c r="E2665" t="n">
        <v>1.366165746074057e-05</v>
      </c>
      <c r="F2665" t="n">
        <v>0.9948088320856617</v>
      </c>
      <c r="G2665" t="inlineStr">
        <is>
          <t>C</t>
        </is>
      </c>
      <c r="H2665" t="n">
        <v>0</v>
      </c>
      <c r="I2665" t="n">
        <v>14.1</v>
      </c>
      <c r="J2665" t="n">
        <v>0</v>
      </c>
      <c r="K2665" t="n">
        <v>0.1</v>
      </c>
      <c r="L2665" t="n">
        <v>0</v>
      </c>
      <c r="M2665" t="n">
        <v>4</v>
      </c>
      <c r="N2665" t="n">
        <v>0.4</v>
      </c>
      <c r="O2665" t="n">
        <v>0</v>
      </c>
      <c r="P2665" t="n">
        <v>0</v>
      </c>
      <c r="Q2665" t="n">
        <v>0</v>
      </c>
      <c r="R2665" t="inlineStr">
        <is>
          <t>Riesgo bajo stock</t>
        </is>
      </c>
    </row>
    <row r="2666">
      <c r="A2666" t="inlineStr">
        <is>
          <t>RIOMICA11T4XL</t>
        </is>
      </c>
      <c r="B2666" t="inlineStr">
        <is>
          <t>RIO ORIGINAL CAB</t>
        </is>
      </c>
      <c r="C2666" t="inlineStr">
        <is>
          <t>Manufactura / Caballero / P. Superiores</t>
        </is>
      </c>
      <c r="D2666" t="n">
        <v>55.78949464</v>
      </c>
      <c r="E2666" t="n">
        <v>1.365908540644269e-05</v>
      </c>
      <c r="F2666" t="n">
        <v>0.9948224911710681</v>
      </c>
      <c r="G2666" t="inlineStr">
        <is>
          <t>C</t>
        </is>
      </c>
      <c r="H2666" t="n">
        <v>2</v>
      </c>
      <c r="I2666" t="n">
        <v>5.939350288</v>
      </c>
      <c r="J2666" t="n">
        <v>11.878700576</v>
      </c>
      <c r="K2666" t="n">
        <v>0.1</v>
      </c>
      <c r="L2666" t="n">
        <v>20</v>
      </c>
      <c r="M2666" t="n">
        <v>4</v>
      </c>
      <c r="N2666" t="n">
        <v>0.4</v>
      </c>
      <c r="O2666" t="n">
        <v>1.6</v>
      </c>
      <c r="P2666" t="n">
        <v>9.502960460800001</v>
      </c>
      <c r="Q2666" t="n">
        <v>0.8</v>
      </c>
      <c r="R2666" t="inlineStr">
        <is>
          <t>Sin rotación</t>
        </is>
      </c>
    </row>
    <row r="2667">
      <c r="A2667" t="inlineStr">
        <is>
          <t>HEA74EQ</t>
        </is>
      </c>
      <c r="B2667" t="inlineStr">
        <is>
          <t>HEADBAND</t>
        </is>
      </c>
      <c r="C2667" t="inlineStr">
        <is>
          <t>Equipamiento / Accesorios</t>
        </is>
      </c>
      <c r="D2667" t="n">
        <v>55.73170159999999</v>
      </c>
      <c r="E2667" t="n">
        <v>1.364493578787468e-05</v>
      </c>
      <c r="F2667" t="n">
        <v>0.9948361361068561</v>
      </c>
      <c r="G2667" t="inlineStr">
        <is>
          <t>C</t>
        </is>
      </c>
      <c r="H2667" t="n">
        <v>13</v>
      </c>
      <c r="I2667" t="n">
        <v>4.26</v>
      </c>
      <c r="J2667" t="n">
        <v>55.38</v>
      </c>
      <c r="K2667" t="n">
        <v>0.4</v>
      </c>
      <c r="L2667" t="n">
        <v>32.5</v>
      </c>
      <c r="M2667" t="n">
        <v>4</v>
      </c>
      <c r="N2667" t="n">
        <v>1.6</v>
      </c>
      <c r="O2667" t="n">
        <v>11.4</v>
      </c>
      <c r="P2667" t="n">
        <v>48.564</v>
      </c>
      <c r="Q2667" t="n">
        <v>0.876923076923077</v>
      </c>
      <c r="R2667" t="inlineStr">
        <is>
          <t>Sobrestock crítico</t>
        </is>
      </c>
    </row>
    <row r="2668">
      <c r="A2668" t="inlineStr">
        <is>
          <t>AVESTKI16T10</t>
        </is>
      </c>
      <c r="B2668" t="inlineStr">
        <is>
          <t>CLASICA RETRO KIDS</t>
        </is>
      </c>
      <c r="C2668" t="inlineStr">
        <is>
          <t>Manufactura / Dama / P. Superiores</t>
        </is>
      </c>
      <c r="D2668" t="n">
        <v>55.48998616</v>
      </c>
      <c r="E2668" t="n">
        <v>1.358575597525368e-05</v>
      </c>
      <c r="F2668" t="n">
        <v>0.9948497218628313</v>
      </c>
      <c r="G2668" t="inlineStr">
        <is>
          <t>C</t>
        </is>
      </c>
      <c r="H2668" t="n">
        <v>0</v>
      </c>
      <c r="I2668" t="n">
        <v>1</v>
      </c>
      <c r="J2668" t="n">
        <v>0</v>
      </c>
      <c r="K2668" t="n">
        <v>0.2</v>
      </c>
      <c r="L2668" t="n">
        <v>0</v>
      </c>
      <c r="M2668" t="n">
        <v>4</v>
      </c>
      <c r="N2668" t="n">
        <v>0.8</v>
      </c>
      <c r="O2668" t="n">
        <v>0</v>
      </c>
      <c r="P2668" t="n">
        <v>0</v>
      </c>
      <c r="Q2668" t="n">
        <v>0</v>
      </c>
      <c r="R2668" t="inlineStr">
        <is>
          <t>Sin rotación</t>
        </is>
      </c>
    </row>
    <row r="2669">
      <c r="A2669" t="inlineStr">
        <is>
          <t>TALGTADA170TXL</t>
        </is>
      </c>
      <c r="B2669" t="inlineStr">
        <is>
          <t>URBAN COTTON TOP GRAY BLOCK DAMA</t>
        </is>
      </c>
      <c r="C2669" t="inlineStr">
        <is>
          <t>Manufactura / Dama / P. Superiores</t>
        </is>
      </c>
      <c r="D2669" t="n">
        <v>55.30829213</v>
      </c>
      <c r="E2669" t="n">
        <v>1.354127135875687e-05</v>
      </c>
      <c r="F2669" t="n">
        <v>0.9948768044055488</v>
      </c>
      <c r="G2669" t="inlineStr">
        <is>
          <t>C</t>
        </is>
      </c>
      <c r="H2669" t="n">
        <v>1</v>
      </c>
      <c r="I2669" t="n">
        <v>7.811820557</v>
      </c>
      <c r="J2669" t="n">
        <v>7.811820557</v>
      </c>
      <c r="K2669" t="n">
        <v>0.1</v>
      </c>
      <c r="L2669" t="n">
        <v>10</v>
      </c>
      <c r="M2669" t="n">
        <v>4</v>
      </c>
      <c r="N2669" t="n">
        <v>0.4</v>
      </c>
      <c r="O2669" t="n">
        <v>0.6</v>
      </c>
      <c r="P2669" t="n">
        <v>4.6870923342</v>
      </c>
      <c r="Q2669" t="n">
        <v>0.6</v>
      </c>
      <c r="R2669" t="inlineStr">
        <is>
          <t>Sin rotación</t>
        </is>
      </c>
    </row>
    <row r="2670">
      <c r="A2670" t="inlineStr">
        <is>
          <t>TALGOTADA12TL</t>
        </is>
      </c>
      <c r="B2670" t="inlineStr">
        <is>
          <t>URBAN COTTON TOP VINTAGE GRIS DAMA</t>
        </is>
      </c>
      <c r="C2670" t="inlineStr">
        <is>
          <t>Manufactura / Dama / P. Superiores</t>
        </is>
      </c>
      <c r="D2670" t="n">
        <v>55.30829213</v>
      </c>
      <c r="E2670" t="n">
        <v>1.354127135875687e-05</v>
      </c>
      <c r="F2670" t="n">
        <v>0.9948768044055488</v>
      </c>
      <c r="G2670" t="inlineStr">
        <is>
          <t>C</t>
        </is>
      </c>
      <c r="H2670" t="n">
        <v>1</v>
      </c>
      <c r="I2670" t="n">
        <v>7.819069274</v>
      </c>
      <c r="J2670" t="n">
        <v>7.819069274</v>
      </c>
      <c r="K2670" t="n">
        <v>0.2</v>
      </c>
      <c r="L2670" t="n">
        <v>5</v>
      </c>
      <c r="M2670" t="n">
        <v>4</v>
      </c>
      <c r="N2670" t="n">
        <v>0.8</v>
      </c>
      <c r="O2670" t="n">
        <v>0.2</v>
      </c>
      <c r="P2670" t="n">
        <v>1.5638138548</v>
      </c>
      <c r="Q2670" t="n">
        <v>0.2</v>
      </c>
      <c r="R2670" t="inlineStr">
        <is>
          <t>Sobrestock</t>
        </is>
      </c>
    </row>
    <row r="2671">
      <c r="A2671" t="inlineStr">
        <is>
          <t>RIOMICA30T3XL</t>
        </is>
      </c>
      <c r="B2671" t="inlineStr">
        <is>
          <t>RIO ORIGINAL CAB</t>
        </is>
      </c>
      <c r="C2671" t="inlineStr">
        <is>
          <t>Manufactura / Caballero / P. Superiores</t>
        </is>
      </c>
      <c r="D2671" t="n">
        <v>55.10531904</v>
      </c>
      <c r="E2671" t="n">
        <v>1.349157693529221e-05</v>
      </c>
      <c r="F2671" t="n">
        <v>0.994890295982484</v>
      </c>
      <c r="G2671" t="inlineStr">
        <is>
          <t>C</t>
        </is>
      </c>
      <c r="H2671" t="n">
        <v>1</v>
      </c>
      <c r="I2671" t="n">
        <v>5.939350288</v>
      </c>
      <c r="J2671" t="n">
        <v>5.939350288</v>
      </c>
      <c r="K2671" t="n">
        <v>0.1</v>
      </c>
      <c r="L2671" t="n">
        <v>10</v>
      </c>
      <c r="M2671" t="n">
        <v>4</v>
      </c>
      <c r="N2671" t="n">
        <v>0.4</v>
      </c>
      <c r="O2671" t="n">
        <v>0.6</v>
      </c>
      <c r="P2671" t="n">
        <v>3.5636101728</v>
      </c>
      <c r="Q2671" t="n">
        <v>0.6</v>
      </c>
      <c r="R2671" t="inlineStr">
        <is>
          <t>Sin rotación</t>
        </is>
      </c>
    </row>
    <row r="2672">
      <c r="A2672" t="inlineStr">
        <is>
          <t>MANSPGE43TG</t>
        </is>
      </c>
      <c r="B2672" t="inlineStr">
        <is>
          <t>MANGAS SPORT</t>
        </is>
      </c>
      <c r="C2672" t="inlineStr">
        <is>
          <t>Manufactura / General</t>
        </is>
      </c>
      <c r="D2672" t="n">
        <v>55.07308123999999</v>
      </c>
      <c r="E2672" t="n">
        <v>1.348368407183544e-05</v>
      </c>
      <c r="F2672" t="n">
        <v>0.9949037796665559</v>
      </c>
      <c r="G2672" t="inlineStr">
        <is>
          <t>C</t>
        </is>
      </c>
      <c r="H2672" t="n">
        <v>0</v>
      </c>
      <c r="I2672" t="n">
        <v>1</v>
      </c>
      <c r="J2672" t="n">
        <v>0</v>
      </c>
      <c r="K2672" t="n">
        <v>0.4</v>
      </c>
      <c r="L2672" t="n">
        <v>0</v>
      </c>
      <c r="M2672" t="n">
        <v>4</v>
      </c>
      <c r="N2672" t="n">
        <v>1.6</v>
      </c>
      <c r="O2672" t="n">
        <v>0</v>
      </c>
      <c r="P2672" t="n">
        <v>0</v>
      </c>
      <c r="Q2672" t="n">
        <v>0</v>
      </c>
      <c r="R2672" t="inlineStr">
        <is>
          <t>Riesgo bajo stock</t>
        </is>
      </c>
    </row>
    <row r="2673">
      <c r="A2673" t="inlineStr">
        <is>
          <t>MLAALDA170TM</t>
        </is>
      </c>
      <c r="B2673" t="inlineStr">
        <is>
          <t>MANGA LARGA ALGODON DAMA</t>
        </is>
      </c>
      <c r="C2673" t="inlineStr">
        <is>
          <t>Manufactura / Dama / P. Superiores</t>
        </is>
      </c>
      <c r="D2673" t="n">
        <v>55.06798014</v>
      </c>
      <c r="E2673" t="n">
        <v>1.348243515640761e-05</v>
      </c>
      <c r="F2673" t="n">
        <v>0.9949172621017123</v>
      </c>
      <c r="G2673" t="inlineStr">
        <is>
          <t>C</t>
        </is>
      </c>
      <c r="H2673" t="n">
        <v>0</v>
      </c>
      <c r="I2673" t="n">
        <v>12.3</v>
      </c>
      <c r="J2673" t="n">
        <v>0</v>
      </c>
      <c r="K2673" t="n">
        <v>0.1</v>
      </c>
      <c r="L2673" t="n">
        <v>0</v>
      </c>
      <c r="M2673" t="n">
        <v>4</v>
      </c>
      <c r="N2673" t="n">
        <v>0.4</v>
      </c>
      <c r="O2673" t="n">
        <v>0</v>
      </c>
      <c r="P2673" t="n">
        <v>0</v>
      </c>
      <c r="Q2673" t="n">
        <v>0</v>
      </c>
      <c r="R2673" t="inlineStr">
        <is>
          <t>Sin rotación</t>
        </is>
      </c>
    </row>
    <row r="2674">
      <c r="A2674" t="inlineStr">
        <is>
          <t>CLAMEKI66T6</t>
        </is>
      </c>
      <c r="B2674" t="inlineStr">
        <is>
          <t>CLASICA SPORT KIDS</t>
        </is>
      </c>
      <c r="C2674" t="inlineStr">
        <is>
          <t>Manufactura / Kids / P. Superiores</t>
        </is>
      </c>
      <c r="D2674" t="n">
        <v>55.00287016</v>
      </c>
      <c r="E2674" t="n">
        <v>1.346649411260769e-05</v>
      </c>
      <c r="F2674" t="n">
        <v>0.994930728595825</v>
      </c>
      <c r="G2674" t="inlineStr">
        <is>
          <t>C</t>
        </is>
      </c>
      <c r="H2674" t="n">
        <v>3</v>
      </c>
      <c r="I2674" t="n">
        <v>3.97</v>
      </c>
      <c r="J2674" t="n">
        <v>11.91</v>
      </c>
      <c r="K2674" t="n">
        <v>0.2</v>
      </c>
      <c r="L2674" t="n">
        <v>15</v>
      </c>
      <c r="M2674" t="n">
        <v>4</v>
      </c>
      <c r="N2674" t="n">
        <v>0.8</v>
      </c>
      <c r="O2674" t="n">
        <v>2.2</v>
      </c>
      <c r="P2674" t="n">
        <v>8.734000000000002</v>
      </c>
      <c r="Q2674" t="n">
        <v>0.7333333333333335</v>
      </c>
      <c r="R2674" t="inlineStr">
        <is>
          <t>Sobrestock crítico</t>
        </is>
      </c>
    </row>
    <row r="2675">
      <c r="A2675" t="inlineStr">
        <is>
          <t>TMOFIDA12TXS</t>
        </is>
      </c>
      <c r="B2675" t="inlineStr">
        <is>
          <t>TOP MOVA</t>
        </is>
      </c>
      <c r="C2675" t="inlineStr">
        <is>
          <t>Manufactura / Dama / P. Superiores</t>
        </is>
      </c>
      <c r="D2675" t="n">
        <v>55</v>
      </c>
      <c r="E2675" t="n">
        <v>1.346579140395576e-05</v>
      </c>
      <c r="F2675" t="n">
        <v>0.9949576601786329</v>
      </c>
      <c r="G2675" t="inlineStr">
        <is>
          <t>C</t>
        </is>
      </c>
      <c r="H2675" t="n">
        <v>26</v>
      </c>
      <c r="I2675" t="n">
        <v>9.942967033</v>
      </c>
      <c r="J2675" t="n">
        <v>258.517142858</v>
      </c>
      <c r="K2675" t="n">
        <v>0.4</v>
      </c>
      <c r="L2675" t="n">
        <v>65</v>
      </c>
      <c r="M2675" t="n">
        <v>4</v>
      </c>
      <c r="N2675" t="n">
        <v>1.6</v>
      </c>
      <c r="O2675" t="n">
        <v>24.4</v>
      </c>
      <c r="P2675" t="n">
        <v>242.6083956052</v>
      </c>
      <c r="Q2675" t="n">
        <v>0.9384615384615385</v>
      </c>
      <c r="R2675" t="inlineStr">
        <is>
          <t>Sobrestock crítico</t>
        </is>
      </c>
    </row>
    <row r="2676">
      <c r="A2676" t="inlineStr">
        <is>
          <t>TMOFIDA09TM</t>
        </is>
      </c>
      <c r="B2676" t="inlineStr">
        <is>
          <t>TOP MOVA</t>
        </is>
      </c>
      <c r="C2676" t="inlineStr">
        <is>
          <t>Manufactura / Dama / P. Superiores</t>
        </is>
      </c>
      <c r="D2676" t="n">
        <v>55</v>
      </c>
      <c r="E2676" t="n">
        <v>1.346579140395576e-05</v>
      </c>
      <c r="F2676" t="n">
        <v>0.9949576601786329</v>
      </c>
      <c r="G2676" t="inlineStr">
        <is>
          <t>C</t>
        </is>
      </c>
      <c r="H2676" t="n">
        <v>2</v>
      </c>
      <c r="I2676" t="n">
        <v>9.942967033</v>
      </c>
      <c r="J2676" t="n">
        <v>19.885934066</v>
      </c>
      <c r="K2676" t="n">
        <v>0.1</v>
      </c>
      <c r="L2676" t="n">
        <v>20</v>
      </c>
      <c r="M2676" t="n">
        <v>4</v>
      </c>
      <c r="N2676" t="n">
        <v>0.4</v>
      </c>
      <c r="O2676" t="n">
        <v>1.6</v>
      </c>
      <c r="P2676" t="n">
        <v>15.9087472528</v>
      </c>
      <c r="Q2676" t="n">
        <v>0.8</v>
      </c>
      <c r="R2676" t="inlineStr">
        <is>
          <t>Sobrestock crítico</t>
        </is>
      </c>
    </row>
    <row r="2677">
      <c r="A2677" t="inlineStr">
        <is>
          <t>SHONRCA43T4XL</t>
        </is>
      </c>
      <c r="B2677" t="inlineStr">
        <is>
          <t>SHORT SPORT CAB</t>
        </is>
      </c>
      <c r="C2677" t="inlineStr">
        <is>
          <t>Manufactura / Caballero / P. Inferiores</t>
        </is>
      </c>
      <c r="D2677" t="n">
        <v>54.9501129</v>
      </c>
      <c r="E2677" t="n">
        <v>1.345357741700397e-05</v>
      </c>
      <c r="F2677" t="n">
        <v>0.9949711137560499</v>
      </c>
      <c r="G2677" t="inlineStr">
        <is>
          <t>C</t>
        </is>
      </c>
      <c r="H2677" t="n">
        <v>0</v>
      </c>
      <c r="I2677" t="n">
        <v>10.6514486</v>
      </c>
      <c r="J2677" t="n">
        <v>0</v>
      </c>
      <c r="K2677" t="n">
        <v>0.1</v>
      </c>
      <c r="L2677" t="n">
        <v>0</v>
      </c>
      <c r="M2677" t="n">
        <v>4</v>
      </c>
      <c r="N2677" t="n">
        <v>0.4</v>
      </c>
      <c r="O2677" t="n">
        <v>0</v>
      </c>
      <c r="P2677" t="n">
        <v>0</v>
      </c>
      <c r="Q2677" t="n">
        <v>0</v>
      </c>
      <c r="R2677" t="inlineStr">
        <is>
          <t>Riesgo bajo stock</t>
        </is>
      </c>
    </row>
    <row r="2678">
      <c r="A2678" t="inlineStr">
        <is>
          <t>POLPLCA50TS</t>
        </is>
      </c>
      <c r="B2678" t="inlineStr">
        <is>
          <t>CLASSIC POLO</t>
        </is>
      </c>
      <c r="C2678" t="inlineStr">
        <is>
          <t>Manufactura / Caballero / P. Superiores</t>
        </is>
      </c>
      <c r="D2678" t="n">
        <v>54.81642134</v>
      </c>
      <c r="E2678" t="n">
        <v>1.342084536865071e-05</v>
      </c>
      <c r="F2678" t="n">
        <v>0.9949845346014186</v>
      </c>
      <c r="G2678" t="inlineStr">
        <is>
          <t>C</t>
        </is>
      </c>
      <c r="H2678" t="n">
        <v>73</v>
      </c>
      <c r="I2678" t="n">
        <v>7.34</v>
      </c>
      <c r="J2678" t="n">
        <v>535.8199999999999</v>
      </c>
      <c r="K2678" t="n">
        <v>0.4</v>
      </c>
      <c r="L2678" t="n">
        <v>182.5</v>
      </c>
      <c r="M2678" t="n">
        <v>4</v>
      </c>
      <c r="N2678" t="n">
        <v>1.6</v>
      </c>
      <c r="O2678" t="n">
        <v>71.40000000000001</v>
      </c>
      <c r="P2678" t="n">
        <v>524.076</v>
      </c>
      <c r="Q2678" t="n">
        <v>0.9780821917808221</v>
      </c>
      <c r="R2678" t="inlineStr">
        <is>
          <t>Sobrestock crítico</t>
        </is>
      </c>
    </row>
    <row r="2679">
      <c r="A2679" t="inlineStr">
        <is>
          <t>MARMIDA31TM</t>
        </is>
      </c>
      <c r="B2679" t="inlineStr">
        <is>
          <t>MAR ORIGINAL DAMA</t>
        </is>
      </c>
      <c r="C2679" t="inlineStr">
        <is>
          <t>Manufactura / Dama / P. Superiores</t>
        </is>
      </c>
      <c r="D2679" t="n">
        <v>54.78960105</v>
      </c>
      <c r="E2679" t="n">
        <v>1.341427888809556e-05</v>
      </c>
      <c r="F2679" t="n">
        <v>0.9949979488803066</v>
      </c>
      <c r="G2679" t="inlineStr">
        <is>
          <t>C</t>
        </is>
      </c>
      <c r="H2679" t="n">
        <v>0</v>
      </c>
      <c r="I2679" t="n">
        <v>4.278324149</v>
      </c>
      <c r="J2679" t="n">
        <v>0</v>
      </c>
      <c r="K2679" t="n">
        <v>0.1</v>
      </c>
      <c r="L2679" t="n">
        <v>0</v>
      </c>
      <c r="M2679" t="n">
        <v>4</v>
      </c>
      <c r="N2679" t="n">
        <v>0.4</v>
      </c>
      <c r="O2679" t="n">
        <v>0</v>
      </c>
      <c r="P2679" t="n">
        <v>0</v>
      </c>
      <c r="Q2679" t="n">
        <v>0</v>
      </c>
      <c r="R2679" t="inlineStr">
        <is>
          <t>Riesgo bajo stock</t>
        </is>
      </c>
    </row>
    <row r="2680">
      <c r="A2680" t="inlineStr">
        <is>
          <t>CLAMECA12TL</t>
        </is>
      </c>
      <c r="B2680" t="inlineStr">
        <is>
          <t>CLASICA SPORT CAB</t>
        </is>
      </c>
      <c r="C2680" t="inlineStr">
        <is>
          <t>Manufactura / Caballero / P. Superiores</t>
        </is>
      </c>
      <c r="D2680" t="n">
        <v>54.49820536</v>
      </c>
      <c r="E2680" t="n">
        <v>1.334293573214007e-05</v>
      </c>
      <c r="F2680" t="n">
        <v>0.9950112918160388</v>
      </c>
      <c r="G2680" t="inlineStr">
        <is>
          <t>C</t>
        </is>
      </c>
      <c r="H2680" t="n">
        <v>0</v>
      </c>
      <c r="I2680" t="n">
        <v>10.3013454</v>
      </c>
      <c r="J2680" t="n">
        <v>0</v>
      </c>
      <c r="K2680" t="n">
        <v>0.1</v>
      </c>
      <c r="L2680" t="n">
        <v>0</v>
      </c>
      <c r="M2680" t="n">
        <v>4</v>
      </c>
      <c r="N2680" t="n">
        <v>0.4</v>
      </c>
      <c r="O2680" t="n">
        <v>0</v>
      </c>
      <c r="P2680" t="n">
        <v>0</v>
      </c>
      <c r="Q2680" t="n">
        <v>0</v>
      </c>
      <c r="R2680" t="inlineStr">
        <is>
          <t>Riesgo bajo stock</t>
        </is>
      </c>
    </row>
    <row r="2681">
      <c r="A2681" t="inlineStr">
        <is>
          <t>RIOMIDA05TXL</t>
        </is>
      </c>
      <c r="B2681" t="inlineStr">
        <is>
          <t>RIO ORIGINAL DAMA</t>
        </is>
      </c>
      <c r="C2681" t="inlineStr">
        <is>
          <t>Manufactura / Dama / P. Superiores</t>
        </is>
      </c>
      <c r="D2681" t="n">
        <v>54.4641472</v>
      </c>
      <c r="E2681" t="n">
        <v>1.333459718526439e-05</v>
      </c>
      <c r="F2681" t="n">
        <v>0.995024626413224</v>
      </c>
      <c r="G2681" t="inlineStr">
        <is>
          <t>C</t>
        </is>
      </c>
      <c r="H2681" t="n">
        <v>0</v>
      </c>
      <c r="I2681" t="n">
        <v>5.538832275</v>
      </c>
      <c r="J2681" t="n">
        <v>0</v>
      </c>
      <c r="K2681" t="n">
        <v>0.1</v>
      </c>
      <c r="L2681" t="n">
        <v>0</v>
      </c>
      <c r="M2681" t="n">
        <v>4</v>
      </c>
      <c r="N2681" t="n">
        <v>0.4</v>
      </c>
      <c r="O2681" t="n">
        <v>0</v>
      </c>
      <c r="P2681" t="n">
        <v>0</v>
      </c>
      <c r="Q2681" t="n">
        <v>0</v>
      </c>
      <c r="R2681" t="inlineStr">
        <is>
          <t>Sin rotación</t>
        </is>
      </c>
    </row>
    <row r="2682">
      <c r="A2682" t="inlineStr">
        <is>
          <t>MLAALDA170TL</t>
        </is>
      </c>
      <c r="B2682" t="inlineStr">
        <is>
          <t>MANGA LARGA ALGODON DAMA</t>
        </is>
      </c>
      <c r="C2682" t="inlineStr">
        <is>
          <t>Manufactura / Dama / P. Superiores</t>
        </is>
      </c>
      <c r="D2682" t="n">
        <v>54.19685745</v>
      </c>
      <c r="E2682" t="n">
        <v>1.326915594857501e-05</v>
      </c>
      <c r="F2682" t="n">
        <v>0.9950378955691725</v>
      </c>
      <c r="G2682" t="inlineStr">
        <is>
          <t>C</t>
        </is>
      </c>
      <c r="H2682" t="n">
        <v>0</v>
      </c>
      <c r="I2682" t="n">
        <v>12.3</v>
      </c>
      <c r="J2682" t="n">
        <v>0</v>
      </c>
      <c r="K2682" t="n">
        <v>0.1</v>
      </c>
      <c r="L2682" t="n">
        <v>0</v>
      </c>
      <c r="M2682" t="n">
        <v>4</v>
      </c>
      <c r="N2682" t="n">
        <v>0.4</v>
      </c>
      <c r="O2682" t="n">
        <v>0</v>
      </c>
      <c r="P2682" t="n">
        <v>0</v>
      </c>
      <c r="Q2682" t="n">
        <v>0</v>
      </c>
      <c r="R2682" t="inlineStr">
        <is>
          <t>Sin rotación</t>
        </is>
      </c>
    </row>
    <row r="2683">
      <c r="A2683" t="inlineStr">
        <is>
          <t>DALSSTDA30TS</t>
        </is>
      </c>
      <c r="B2683" t="inlineStr">
        <is>
          <t>MANGA LARGA DAILY 2.0 DAMA</t>
        </is>
      </c>
      <c r="C2683" t="inlineStr">
        <is>
          <t>Manufactura / Dama / P. Superiores</t>
        </is>
      </c>
      <c r="D2683" t="n">
        <v>54.15107784</v>
      </c>
      <c r="E2683" t="n">
        <v>1.32579476089602e-05</v>
      </c>
      <c r="F2683" t="n">
        <v>0.9950644114643905</v>
      </c>
      <c r="G2683" t="inlineStr">
        <is>
          <t>C</t>
        </is>
      </c>
      <c r="H2683" t="n">
        <v>2</v>
      </c>
      <c r="I2683" t="n">
        <v>12.3</v>
      </c>
      <c r="J2683" t="n">
        <v>24.6</v>
      </c>
      <c r="K2683" t="n">
        <v>0.1</v>
      </c>
      <c r="L2683" t="n">
        <v>20</v>
      </c>
      <c r="M2683" t="n">
        <v>4</v>
      </c>
      <c r="N2683" t="n">
        <v>0.4</v>
      </c>
      <c r="O2683" t="n">
        <v>1.6</v>
      </c>
      <c r="P2683" t="n">
        <v>19.68</v>
      </c>
      <c r="Q2683" t="n">
        <v>0.8</v>
      </c>
      <c r="R2683" t="inlineStr">
        <is>
          <t>Sin rotación</t>
        </is>
      </c>
    </row>
    <row r="2684">
      <c r="A2684" t="inlineStr">
        <is>
          <t>DAMSTDA43TM</t>
        </is>
      </c>
      <c r="B2684" t="inlineStr">
        <is>
          <t>MANGA LARGA DAILY DAMA</t>
        </is>
      </c>
      <c r="C2684" t="inlineStr">
        <is>
          <t>Manufactura / Dama / P. Superiores</t>
        </is>
      </c>
      <c r="D2684" t="n">
        <v>54.15107784</v>
      </c>
      <c r="E2684" t="n">
        <v>1.32579476089602e-05</v>
      </c>
      <c r="F2684" t="n">
        <v>0.9950644114643905</v>
      </c>
      <c r="G2684" t="inlineStr">
        <is>
          <t>C</t>
        </is>
      </c>
      <c r="H2684" t="n">
        <v>0</v>
      </c>
      <c r="I2684" t="n">
        <v>12.3</v>
      </c>
      <c r="J2684" t="n">
        <v>0</v>
      </c>
      <c r="K2684" t="n">
        <v>0.1</v>
      </c>
      <c r="L2684" t="n">
        <v>0</v>
      </c>
      <c r="M2684" t="n">
        <v>4</v>
      </c>
      <c r="N2684" t="n">
        <v>0.4</v>
      </c>
      <c r="O2684" t="n">
        <v>0</v>
      </c>
      <c r="P2684" t="n">
        <v>0</v>
      </c>
      <c r="Q2684" t="n">
        <v>0</v>
      </c>
      <c r="R2684" t="inlineStr">
        <is>
          <t>Sin rotación</t>
        </is>
      </c>
    </row>
    <row r="2685">
      <c r="A2685" t="inlineStr">
        <is>
          <t>ANTIVIBRADOR</t>
        </is>
      </c>
      <c r="B2685" t="inlineStr">
        <is>
          <t>ANTIVIBRADOR</t>
        </is>
      </c>
      <c r="C2685" t="inlineStr">
        <is>
          <t>Equipamiento / Accesorios</t>
        </is>
      </c>
      <c r="D2685" t="n">
        <v>54.070707752</v>
      </c>
      <c r="E2685" t="n">
        <v>1.32382703936852e-05</v>
      </c>
      <c r="F2685" t="n">
        <v>0.9950776497347842</v>
      </c>
      <c r="G2685" t="inlineStr">
        <is>
          <t>C</t>
        </is>
      </c>
      <c r="H2685" t="n">
        <v>10</v>
      </c>
      <c r="I2685" t="n">
        <v>4.66</v>
      </c>
      <c r="J2685" t="n">
        <v>46.6</v>
      </c>
      <c r="K2685" t="n">
        <v>0.5</v>
      </c>
      <c r="L2685" t="n">
        <v>20</v>
      </c>
      <c r="M2685" t="n">
        <v>4</v>
      </c>
      <c r="N2685" t="n">
        <v>2</v>
      </c>
      <c r="O2685" t="n">
        <v>8</v>
      </c>
      <c r="P2685" t="n">
        <v>37.28</v>
      </c>
      <c r="Q2685" t="n">
        <v>0.8</v>
      </c>
      <c r="R2685" t="inlineStr">
        <is>
          <t>Sobrestock crítico</t>
        </is>
      </c>
    </row>
    <row r="2686">
      <c r="A2686" t="inlineStr">
        <is>
          <t>TALGTADA166TL</t>
        </is>
      </c>
      <c r="B2686" t="inlineStr">
        <is>
          <t>URBAN COTTON TOP SAY YES DAMA</t>
        </is>
      </c>
      <c r="C2686" t="inlineStr">
        <is>
          <t>Manufactura / Dama / P. Superiores</t>
        </is>
      </c>
      <c r="D2686" t="n">
        <v>54.02281623</v>
      </c>
      <c r="E2686" t="n">
        <v>1.322654498922574e-05</v>
      </c>
      <c r="F2686" t="n">
        <v>0.9950908762797733</v>
      </c>
      <c r="G2686" t="inlineStr">
        <is>
          <t>C</t>
        </is>
      </c>
      <c r="H2686" t="n">
        <v>1</v>
      </c>
      <c r="I2686" t="n">
        <v>6.639983317</v>
      </c>
      <c r="J2686" t="n">
        <v>6.639983317</v>
      </c>
      <c r="K2686" t="n">
        <v>0.1</v>
      </c>
      <c r="L2686" t="n">
        <v>10</v>
      </c>
      <c r="M2686" t="n">
        <v>4</v>
      </c>
      <c r="N2686" t="n">
        <v>0.4</v>
      </c>
      <c r="O2686" t="n">
        <v>0.6</v>
      </c>
      <c r="P2686" t="n">
        <v>3.9839899902</v>
      </c>
      <c r="Q2686" t="n">
        <v>0.6</v>
      </c>
      <c r="R2686" t="inlineStr">
        <is>
          <t>Sobrestock crítico</t>
        </is>
      </c>
    </row>
    <row r="2687">
      <c r="A2687" t="inlineStr">
        <is>
          <t>DALSTDA30TL</t>
        </is>
      </c>
      <c r="B2687" t="inlineStr">
        <is>
          <t>CLASICA DAILY 2.0 DAMA</t>
        </is>
      </c>
      <c r="C2687" t="inlineStr">
        <is>
          <t>Manufactura / Dama / P. Superiores</t>
        </is>
      </c>
      <c r="D2687" t="n">
        <v>54</v>
      </c>
      <c r="E2687" t="n">
        <v>1.322095883297475e-05</v>
      </c>
      <c r="F2687" t="n">
        <v>0.9951040972386064</v>
      </c>
      <c r="G2687" t="inlineStr">
        <is>
          <t>C</t>
        </is>
      </c>
      <c r="H2687" t="n">
        <v>2</v>
      </c>
      <c r="I2687" t="n">
        <v>10.02</v>
      </c>
      <c r="J2687" t="n">
        <v>20.04</v>
      </c>
      <c r="K2687" t="n">
        <v>0.1</v>
      </c>
      <c r="L2687" t="n">
        <v>20</v>
      </c>
      <c r="M2687" t="n">
        <v>4</v>
      </c>
      <c r="N2687" t="n">
        <v>0.4</v>
      </c>
      <c r="O2687" t="n">
        <v>1.6</v>
      </c>
      <c r="P2687" t="n">
        <v>16.032</v>
      </c>
      <c r="Q2687" t="n">
        <v>0.8</v>
      </c>
      <c r="R2687" t="inlineStr">
        <is>
          <t>Sobrestock crítico</t>
        </is>
      </c>
    </row>
    <row r="2688">
      <c r="A2688" t="inlineStr">
        <is>
          <t>SHR2VICA43TS</t>
        </is>
      </c>
      <c r="B2688" t="inlineStr">
        <is>
          <t>SHORT R2 CAB</t>
        </is>
      </c>
      <c r="C2688" t="inlineStr">
        <is>
          <t>Manufactura / Dama / P. Inferiores</t>
        </is>
      </c>
      <c r="D2688" t="n">
        <v>53.76999802</v>
      </c>
      <c r="E2688" t="n">
        <v>1.316464685688062e-05</v>
      </c>
      <c r="F2688" t="n">
        <v>0.9951172618854632</v>
      </c>
      <c r="G2688" t="inlineStr">
        <is>
          <t>C</t>
        </is>
      </c>
      <c r="H2688" t="n">
        <v>1</v>
      </c>
      <c r="I2688" t="n">
        <v>9.119999999999999</v>
      </c>
      <c r="J2688" t="n">
        <v>9.119999999999999</v>
      </c>
      <c r="K2688" t="n">
        <v>0.1</v>
      </c>
      <c r="L2688" t="n">
        <v>10</v>
      </c>
      <c r="M2688" t="n">
        <v>4</v>
      </c>
      <c r="N2688" t="n">
        <v>0.4</v>
      </c>
      <c r="O2688" t="n">
        <v>0.6</v>
      </c>
      <c r="P2688" t="n">
        <v>5.472</v>
      </c>
      <c r="Q2688" t="n">
        <v>0.6</v>
      </c>
      <c r="R2688" t="inlineStr">
        <is>
          <t>Sobrestock crítico</t>
        </is>
      </c>
    </row>
    <row r="2689">
      <c r="A2689" t="inlineStr">
        <is>
          <t>SABMEDA51TL</t>
        </is>
      </c>
      <c r="B2689" t="inlineStr">
        <is>
          <t>SABRI SPORT DAMA</t>
        </is>
      </c>
      <c r="C2689" t="inlineStr">
        <is>
          <t>Manufactura / Dama / P. Superiores</t>
        </is>
      </c>
      <c r="D2689" t="n">
        <v>53.75863557</v>
      </c>
      <c r="E2689" t="n">
        <v>1.316186495903448e-05</v>
      </c>
      <c r="F2689" t="n">
        <v>0.9951304237504223</v>
      </c>
      <c r="G2689" t="inlineStr">
        <is>
          <t>C</t>
        </is>
      </c>
      <c r="H2689" t="n">
        <v>0</v>
      </c>
      <c r="I2689" t="n">
        <v>4.51</v>
      </c>
      <c r="J2689" t="n">
        <v>0</v>
      </c>
      <c r="K2689" t="n">
        <v>0.2</v>
      </c>
      <c r="L2689" t="n">
        <v>0</v>
      </c>
      <c r="M2689" t="n">
        <v>4</v>
      </c>
      <c r="N2689" t="n">
        <v>0.8</v>
      </c>
      <c r="O2689" t="n">
        <v>0</v>
      </c>
      <c r="P2689" t="n">
        <v>0</v>
      </c>
      <c r="Q2689" t="n">
        <v>0</v>
      </c>
      <c r="R2689" t="inlineStr">
        <is>
          <t>Sin rotación</t>
        </is>
      </c>
    </row>
    <row r="2690">
      <c r="A2690" t="inlineStr">
        <is>
          <t>CLAMIKI05T14</t>
        </is>
      </c>
      <c r="B2690" t="inlineStr">
        <is>
          <t>CLASICA ORIGINAL KIDS</t>
        </is>
      </c>
      <c r="C2690" t="inlineStr">
        <is>
          <t>Manufactura / Kids / P. Superiores</t>
        </is>
      </c>
      <c r="D2690" t="n">
        <v>53.61803386</v>
      </c>
      <c r="E2690" t="n">
        <v>1.312744108089085e-05</v>
      </c>
      <c r="F2690" t="n">
        <v>0.9951435511915032</v>
      </c>
      <c r="G2690" t="inlineStr">
        <is>
          <t>C</t>
        </is>
      </c>
      <c r="H2690" t="n">
        <v>0</v>
      </c>
      <c r="I2690" t="n">
        <v>2.053774806</v>
      </c>
      <c r="J2690" t="n">
        <v>0</v>
      </c>
      <c r="K2690" t="n">
        <v>0.2</v>
      </c>
      <c r="L2690" t="n">
        <v>0</v>
      </c>
      <c r="M2690" t="n">
        <v>4</v>
      </c>
      <c r="N2690" t="n">
        <v>0.8</v>
      </c>
      <c r="O2690" t="n">
        <v>0</v>
      </c>
      <c r="P2690" t="n">
        <v>0</v>
      </c>
      <c r="Q2690" t="n">
        <v>0</v>
      </c>
      <c r="R2690" t="inlineStr">
        <is>
          <t>Sin rotación</t>
        </is>
      </c>
    </row>
    <row r="2691">
      <c r="A2691" t="inlineStr">
        <is>
          <t>CLAMIKI48T1</t>
        </is>
      </c>
      <c r="B2691" t="inlineStr">
        <is>
          <t>CLASICA ORIGINAL KIDS</t>
        </is>
      </c>
      <c r="C2691" t="inlineStr">
        <is>
          <t>Manufactura / Kids / P. Superiores</t>
        </is>
      </c>
      <c r="D2691" t="n">
        <v>53.55427864</v>
      </c>
      <c r="E2691" t="n">
        <v>1.311183172646479e-05</v>
      </c>
      <c r="F2691" t="n">
        <v>0.9951566630232297</v>
      </c>
      <c r="G2691" t="inlineStr">
        <is>
          <t>C</t>
        </is>
      </c>
      <c r="H2691" t="n">
        <v>0</v>
      </c>
      <c r="I2691" t="n">
        <v>2.053774806</v>
      </c>
      <c r="J2691" t="n">
        <v>0</v>
      </c>
      <c r="K2691" t="n">
        <v>0.2</v>
      </c>
      <c r="L2691" t="n">
        <v>0</v>
      </c>
      <c r="M2691" t="n">
        <v>4</v>
      </c>
      <c r="N2691" t="n">
        <v>0.8</v>
      </c>
      <c r="O2691" t="n">
        <v>0</v>
      </c>
      <c r="P2691" t="n">
        <v>0</v>
      </c>
      <c r="Q2691" t="n">
        <v>0</v>
      </c>
      <c r="R2691" t="inlineStr">
        <is>
          <t>Sin rotación</t>
        </is>
      </c>
    </row>
    <row r="2692">
      <c r="A2692" t="inlineStr">
        <is>
          <t>MARMICA34T4XL</t>
        </is>
      </c>
      <c r="B2692" t="inlineStr">
        <is>
          <t>MAR ORIGINAL CAB</t>
        </is>
      </c>
      <c r="C2692" t="inlineStr">
        <is>
          <t>Manufactura / Caballero / P. Superiores</t>
        </is>
      </c>
      <c r="D2692" t="n">
        <v>53.49548341</v>
      </c>
      <c r="E2692" t="n">
        <v>1.309743673914247e-05</v>
      </c>
      <c r="F2692" t="n">
        <v>0.9951697604599689</v>
      </c>
      <c r="G2692" t="inlineStr">
        <is>
          <t>C</t>
        </is>
      </c>
      <c r="H2692" t="n">
        <v>0</v>
      </c>
      <c r="I2692" t="n">
        <v>4.946357428</v>
      </c>
      <c r="J2692" t="n">
        <v>0</v>
      </c>
      <c r="K2692" t="n">
        <v>0.1</v>
      </c>
      <c r="L2692" t="n">
        <v>0</v>
      </c>
      <c r="M2692" t="n">
        <v>4</v>
      </c>
      <c r="N2692" t="n">
        <v>0.4</v>
      </c>
      <c r="O2692" t="n">
        <v>0</v>
      </c>
      <c r="P2692" t="n">
        <v>0</v>
      </c>
      <c r="Q2692" t="n">
        <v>0</v>
      </c>
      <c r="R2692" t="inlineStr">
        <is>
          <t>Riesgo bajo stock</t>
        </is>
      </c>
    </row>
    <row r="2693">
      <c r="A2693" t="inlineStr">
        <is>
          <t>SRR2VIU123TL</t>
        </is>
      </c>
      <c r="B2693" t="inlineStr">
        <is>
          <t>R2 RUNNING 3,5"</t>
        </is>
      </c>
      <c r="C2693" t="inlineStr">
        <is>
          <t>Manufactura / General</t>
        </is>
      </c>
      <c r="D2693" t="n">
        <v>53.45</v>
      </c>
      <c r="E2693" t="n">
        <v>1.308630091893519e-05</v>
      </c>
      <c r="F2693" t="n">
        <v>0.9952744508673204</v>
      </c>
      <c r="G2693" t="inlineStr">
        <is>
          <t>C</t>
        </is>
      </c>
      <c r="H2693" t="n">
        <v>6</v>
      </c>
      <c r="I2693" t="n">
        <v>6.19</v>
      </c>
      <c r="J2693" t="n">
        <v>37.14</v>
      </c>
      <c r="K2693" t="n">
        <v>0.1</v>
      </c>
      <c r="L2693" t="n">
        <v>60</v>
      </c>
      <c r="M2693" t="n">
        <v>4</v>
      </c>
      <c r="N2693" t="n">
        <v>0.4</v>
      </c>
      <c r="O2693" t="n">
        <v>5.6</v>
      </c>
      <c r="P2693" t="n">
        <v>34.664</v>
      </c>
      <c r="Q2693" t="n">
        <v>0.9333333333333333</v>
      </c>
      <c r="R2693" t="inlineStr">
        <is>
          <t>Sobrestock crítico</t>
        </is>
      </c>
    </row>
    <row r="2694">
      <c r="A2694" t="inlineStr">
        <is>
          <t>SRR2VIU123TXS</t>
        </is>
      </c>
      <c r="B2694" t="inlineStr">
        <is>
          <t>R2 RUNNING 3,5"</t>
        </is>
      </c>
      <c r="C2694" t="inlineStr">
        <is>
          <t>Manufactura / General</t>
        </is>
      </c>
      <c r="D2694" t="n">
        <v>53.45</v>
      </c>
      <c r="E2694" t="n">
        <v>1.308630091893519e-05</v>
      </c>
      <c r="F2694" t="n">
        <v>0.9952744508673204</v>
      </c>
      <c r="G2694" t="inlineStr">
        <is>
          <t>C</t>
        </is>
      </c>
      <c r="H2694" t="n">
        <v>1</v>
      </c>
      <c r="I2694" t="n">
        <v>6.19</v>
      </c>
      <c r="J2694" t="n">
        <v>6.19</v>
      </c>
      <c r="K2694" t="n">
        <v>0.1</v>
      </c>
      <c r="L2694" t="n">
        <v>10</v>
      </c>
      <c r="M2694" t="n">
        <v>4</v>
      </c>
      <c r="N2694" t="n">
        <v>0.4</v>
      </c>
      <c r="O2694" t="n">
        <v>0.6</v>
      </c>
      <c r="P2694" t="n">
        <v>3.714</v>
      </c>
      <c r="Q2694" t="n">
        <v>0.6</v>
      </c>
      <c r="R2694" t="inlineStr">
        <is>
          <t>Sobrestock crítico</t>
        </is>
      </c>
    </row>
    <row r="2695">
      <c r="A2695" t="inlineStr">
        <is>
          <t>SSR2VIU66TXL</t>
        </is>
      </c>
      <c r="B2695" t="inlineStr">
        <is>
          <t>R2 SPORT  5"</t>
        </is>
      </c>
      <c r="C2695" t="inlineStr">
        <is>
          <t>Manufactura / General</t>
        </is>
      </c>
      <c r="D2695" t="n">
        <v>53.45</v>
      </c>
      <c r="E2695" t="n">
        <v>1.308630091893519e-05</v>
      </c>
      <c r="F2695" t="n">
        <v>0.9952744508673204</v>
      </c>
      <c r="G2695" t="inlineStr">
        <is>
          <t>C</t>
        </is>
      </c>
      <c r="H2695" t="n">
        <v>14</v>
      </c>
      <c r="I2695" t="n">
        <v>5.09</v>
      </c>
      <c r="J2695" t="n">
        <v>71.25999999999999</v>
      </c>
      <c r="K2695" t="n">
        <v>0.1</v>
      </c>
      <c r="L2695" t="n">
        <v>140</v>
      </c>
      <c r="M2695" t="n">
        <v>4</v>
      </c>
      <c r="N2695" t="n">
        <v>0.4</v>
      </c>
      <c r="O2695" t="n">
        <v>13.6</v>
      </c>
      <c r="P2695" t="n">
        <v>69.22399999999999</v>
      </c>
      <c r="Q2695" t="n">
        <v>0.9714285714285714</v>
      </c>
      <c r="R2695" t="inlineStr">
        <is>
          <t>Sobrestock crítico</t>
        </is>
      </c>
    </row>
    <row r="2696">
      <c r="A2696" t="inlineStr">
        <is>
          <t>SSR2VIU70TXL</t>
        </is>
      </c>
      <c r="B2696" t="inlineStr">
        <is>
          <t>R2 SPORT  5"</t>
        </is>
      </c>
      <c r="C2696" t="inlineStr">
        <is>
          <t>Manufactura / General</t>
        </is>
      </c>
      <c r="D2696" t="n">
        <v>53.45</v>
      </c>
      <c r="E2696" t="n">
        <v>1.308630091893519e-05</v>
      </c>
      <c r="F2696" t="n">
        <v>0.9952744508673204</v>
      </c>
      <c r="G2696" t="inlineStr">
        <is>
          <t>C</t>
        </is>
      </c>
      <c r="H2696" t="n">
        <v>1</v>
      </c>
      <c r="I2696" t="n">
        <v>5.09</v>
      </c>
      <c r="J2696" t="n">
        <v>5.09</v>
      </c>
      <c r="K2696" t="n">
        <v>0.1</v>
      </c>
      <c r="L2696" t="n">
        <v>10</v>
      </c>
      <c r="M2696" t="n">
        <v>4</v>
      </c>
      <c r="N2696" t="n">
        <v>0.4</v>
      </c>
      <c r="O2696" t="n">
        <v>0.6</v>
      </c>
      <c r="P2696" t="n">
        <v>3.054</v>
      </c>
      <c r="Q2696" t="n">
        <v>0.6</v>
      </c>
      <c r="R2696" t="inlineStr">
        <is>
          <t>Sobrestock crítico</t>
        </is>
      </c>
    </row>
    <row r="2697">
      <c r="A2697" t="inlineStr">
        <is>
          <t>SRR2VIU43TXS</t>
        </is>
      </c>
      <c r="B2697" t="inlineStr">
        <is>
          <t>R2 RUNNING 3,5"</t>
        </is>
      </c>
      <c r="C2697" t="inlineStr">
        <is>
          <t>Manufactura / General</t>
        </is>
      </c>
      <c r="D2697" t="n">
        <v>53.45</v>
      </c>
      <c r="E2697" t="n">
        <v>1.308630091893519e-05</v>
      </c>
      <c r="F2697" t="n">
        <v>0.9952744508673204</v>
      </c>
      <c r="G2697" t="inlineStr">
        <is>
          <t>C</t>
        </is>
      </c>
      <c r="H2697" t="n">
        <v>1</v>
      </c>
      <c r="I2697" t="n">
        <v>6.19</v>
      </c>
      <c r="J2697" t="n">
        <v>6.19</v>
      </c>
      <c r="K2697" t="n">
        <v>0.1</v>
      </c>
      <c r="L2697" t="n">
        <v>10</v>
      </c>
      <c r="M2697" t="n">
        <v>4</v>
      </c>
      <c r="N2697" t="n">
        <v>0.4</v>
      </c>
      <c r="O2697" t="n">
        <v>0.6</v>
      </c>
      <c r="P2697" t="n">
        <v>3.714</v>
      </c>
      <c r="Q2697" t="n">
        <v>0.6</v>
      </c>
      <c r="R2697" t="inlineStr">
        <is>
          <t>Sobrestock crítico</t>
        </is>
      </c>
    </row>
    <row r="2698">
      <c r="A2698" t="inlineStr">
        <is>
          <t>SSR2VIU66TS</t>
        </is>
      </c>
      <c r="B2698" t="inlineStr">
        <is>
          <t>R2 SPORT  5"</t>
        </is>
      </c>
      <c r="C2698" t="inlineStr">
        <is>
          <t>Manufactura / General</t>
        </is>
      </c>
      <c r="D2698" t="n">
        <v>53.45</v>
      </c>
      <c r="E2698" t="n">
        <v>1.308630091893519e-05</v>
      </c>
      <c r="F2698" t="n">
        <v>0.9952744508673204</v>
      </c>
      <c r="G2698" t="inlineStr">
        <is>
          <t>C</t>
        </is>
      </c>
      <c r="H2698" t="n">
        <v>16</v>
      </c>
      <c r="I2698" t="n">
        <v>5.09</v>
      </c>
      <c r="J2698" t="n">
        <v>81.44</v>
      </c>
      <c r="K2698" t="n">
        <v>0.2</v>
      </c>
      <c r="L2698" t="n">
        <v>80</v>
      </c>
      <c r="M2698" t="n">
        <v>4</v>
      </c>
      <c r="N2698" t="n">
        <v>0.8</v>
      </c>
      <c r="O2698" t="n">
        <v>15.2</v>
      </c>
      <c r="P2698" t="n">
        <v>77.36799999999999</v>
      </c>
      <c r="Q2698" t="n">
        <v>0.95</v>
      </c>
      <c r="R2698" t="inlineStr">
        <is>
          <t>Sobrestock crítico</t>
        </is>
      </c>
    </row>
    <row r="2699">
      <c r="A2699" t="inlineStr">
        <is>
          <t>SSR2VIU70TL</t>
        </is>
      </c>
      <c r="B2699" t="inlineStr">
        <is>
          <t>R2 SPORT  5"</t>
        </is>
      </c>
      <c r="C2699" t="inlineStr">
        <is>
          <t>Manufactura / General</t>
        </is>
      </c>
      <c r="D2699" t="n">
        <v>53.45</v>
      </c>
      <c r="E2699" t="n">
        <v>1.308630091893519e-05</v>
      </c>
      <c r="F2699" t="n">
        <v>0.9952744508673204</v>
      </c>
      <c r="G2699" t="inlineStr">
        <is>
          <t>C</t>
        </is>
      </c>
      <c r="H2699" t="n">
        <v>2</v>
      </c>
      <c r="I2699" t="n">
        <v>5.09</v>
      </c>
      <c r="J2699" t="n">
        <v>10.18</v>
      </c>
      <c r="K2699" t="n">
        <v>0.1</v>
      </c>
      <c r="L2699" t="n">
        <v>20</v>
      </c>
      <c r="M2699" t="n">
        <v>4</v>
      </c>
      <c r="N2699" t="n">
        <v>0.4</v>
      </c>
      <c r="O2699" t="n">
        <v>1.6</v>
      </c>
      <c r="P2699" t="n">
        <v>8.144</v>
      </c>
      <c r="Q2699" t="n">
        <v>0.8</v>
      </c>
      <c r="R2699" t="inlineStr">
        <is>
          <t>Sobrestock crítico</t>
        </is>
      </c>
    </row>
    <row r="2700">
      <c r="A2700" t="inlineStr">
        <is>
          <t>SRR2VIU13TM</t>
        </is>
      </c>
      <c r="B2700" t="inlineStr">
        <is>
          <t>R2 RUNNING 3,5"</t>
        </is>
      </c>
      <c r="C2700" t="inlineStr">
        <is>
          <t>Manufactura / General</t>
        </is>
      </c>
      <c r="D2700" t="n">
        <v>53.45</v>
      </c>
      <c r="E2700" t="n">
        <v>1.308630091893519e-05</v>
      </c>
      <c r="F2700" t="n">
        <v>0.9952744508673204</v>
      </c>
      <c r="G2700" t="inlineStr">
        <is>
          <t>C</t>
        </is>
      </c>
      <c r="H2700" t="n">
        <v>2</v>
      </c>
      <c r="I2700" t="n">
        <v>6.19</v>
      </c>
      <c r="J2700" t="n">
        <v>12.38</v>
      </c>
      <c r="K2700" t="n">
        <v>0.1</v>
      </c>
      <c r="L2700" t="n">
        <v>20</v>
      </c>
      <c r="M2700" t="n">
        <v>4</v>
      </c>
      <c r="N2700" t="n">
        <v>0.4</v>
      </c>
      <c r="O2700" t="n">
        <v>1.6</v>
      </c>
      <c r="P2700" t="n">
        <v>9.904000000000002</v>
      </c>
      <c r="Q2700" t="n">
        <v>0.8</v>
      </c>
      <c r="R2700" t="inlineStr">
        <is>
          <t>Sobrestock crítico</t>
        </is>
      </c>
    </row>
    <row r="2701">
      <c r="A2701" t="inlineStr">
        <is>
          <t>OVEFTGE43TL</t>
        </is>
      </c>
      <c r="B2701" t="inlineStr">
        <is>
          <t>UNIHOODIE</t>
        </is>
      </c>
      <c r="C2701" t="inlineStr">
        <is>
          <t>Manufactura / General</t>
        </is>
      </c>
      <c r="D2701" t="n">
        <v>53.22917854</v>
      </c>
      <c r="E2701" t="n">
        <v>1.303223663315561e-05</v>
      </c>
      <c r="F2701" t="n">
        <v>0.9952874831039535</v>
      </c>
      <c r="G2701" t="inlineStr">
        <is>
          <t>C</t>
        </is>
      </c>
      <c r="H2701" t="n">
        <v>0</v>
      </c>
      <c r="I2701" t="n">
        <v>20.27</v>
      </c>
      <c r="J2701" t="n">
        <v>0</v>
      </c>
      <c r="K2701" t="n">
        <v>0.1</v>
      </c>
      <c r="L2701" t="n">
        <v>0</v>
      </c>
      <c r="M2701" t="n">
        <v>4</v>
      </c>
      <c r="N2701" t="n">
        <v>0.4</v>
      </c>
      <c r="O2701" t="n">
        <v>0</v>
      </c>
      <c r="P2701" t="n">
        <v>0</v>
      </c>
      <c r="Q2701" t="n">
        <v>0</v>
      </c>
      <c r="R2701" t="inlineStr">
        <is>
          <t>Sin rotación</t>
        </is>
      </c>
    </row>
    <row r="2702">
      <c r="A2702" t="inlineStr">
        <is>
          <t>ZOEMIDA50TXL</t>
        </is>
      </c>
      <c r="B2702" t="inlineStr">
        <is>
          <t>ZOE ORIGINAL DAMA</t>
        </is>
      </c>
      <c r="C2702" t="inlineStr">
        <is>
          <t>Manufactura / Dama / P. Superiores</t>
        </is>
      </c>
      <c r="D2702" t="n">
        <v>53.17171376</v>
      </c>
      <c r="E2702" t="n">
        <v>1.301816738332735e-05</v>
      </c>
      <c r="F2702" t="n">
        <v>0.9953005012713368</v>
      </c>
      <c r="G2702" t="inlineStr">
        <is>
          <t>C</t>
        </is>
      </c>
      <c r="H2702" t="n">
        <v>0</v>
      </c>
      <c r="I2702" t="n">
        <v>4.116585696</v>
      </c>
      <c r="J2702" t="n">
        <v>0</v>
      </c>
      <c r="K2702" t="n">
        <v>0.1</v>
      </c>
      <c r="L2702" t="n">
        <v>0</v>
      </c>
      <c r="M2702" t="n">
        <v>4</v>
      </c>
      <c r="N2702" t="n">
        <v>0.4</v>
      </c>
      <c r="O2702" t="n">
        <v>0</v>
      </c>
      <c r="P2702" t="n">
        <v>0</v>
      </c>
      <c r="Q2702" t="n">
        <v>0</v>
      </c>
      <c r="R2702" t="inlineStr">
        <is>
          <t>Riesgo bajo stock</t>
        </is>
      </c>
    </row>
    <row r="2703">
      <c r="A2703" t="inlineStr">
        <is>
          <t>DACSTCA43T2XL</t>
        </is>
      </c>
      <c r="B2703" t="inlineStr">
        <is>
          <t>CLASICA DAILY CAB</t>
        </is>
      </c>
      <c r="C2703" t="inlineStr">
        <is>
          <t>Manufactura / Caballero / P. Superiores</t>
        </is>
      </c>
      <c r="D2703" t="n">
        <v>53.02118126</v>
      </c>
      <c r="E2703" t="n">
        <v>1.298131212433615e-05</v>
      </c>
      <c r="F2703" t="n">
        <v>0.9953134825834611</v>
      </c>
      <c r="G2703" t="inlineStr">
        <is>
          <t>C</t>
        </is>
      </c>
      <c r="H2703" t="n">
        <v>0</v>
      </c>
      <c r="I2703" t="n">
        <v>9.27</v>
      </c>
      <c r="J2703" t="n">
        <v>0</v>
      </c>
      <c r="K2703" t="n">
        <v>0.1</v>
      </c>
      <c r="L2703" t="n">
        <v>0</v>
      </c>
      <c r="M2703" t="n">
        <v>4</v>
      </c>
      <c r="N2703" t="n">
        <v>0.4</v>
      </c>
      <c r="O2703" t="n">
        <v>0</v>
      </c>
      <c r="P2703" t="n">
        <v>0</v>
      </c>
      <c r="Q2703" t="n">
        <v>0</v>
      </c>
      <c r="R2703" t="inlineStr">
        <is>
          <t>Riesgo bajo stock</t>
        </is>
      </c>
    </row>
    <row r="2704">
      <c r="A2704" t="inlineStr">
        <is>
          <t>SHOUNCA68TXL</t>
        </is>
      </c>
      <c r="B2704" t="inlineStr">
        <is>
          <t>SHORT PLAYA CAB</t>
        </is>
      </c>
      <c r="C2704" t="inlineStr">
        <is>
          <t>Manufactura / Caballero / P. Inferiores</t>
        </is>
      </c>
      <c r="D2704" t="n">
        <v>53.00001029507543</v>
      </c>
      <c r="E2704" t="n">
        <v>1.297612878256352e-05</v>
      </c>
      <c r="F2704" t="n">
        <v>0.9953264587122438</v>
      </c>
      <c r="G2704" t="inlineStr">
        <is>
          <t>C</t>
        </is>
      </c>
      <c r="H2704" t="n">
        <v>0</v>
      </c>
      <c r="I2704" t="n">
        <v>9.99</v>
      </c>
      <c r="J2704" t="n">
        <v>0</v>
      </c>
      <c r="K2704" t="n">
        <v>0.1</v>
      </c>
      <c r="L2704" t="n">
        <v>0</v>
      </c>
      <c r="M2704" t="n">
        <v>4</v>
      </c>
      <c r="N2704" t="n">
        <v>0.4</v>
      </c>
      <c r="O2704" t="n">
        <v>0</v>
      </c>
      <c r="P2704" t="n">
        <v>0</v>
      </c>
      <c r="Q2704" t="n">
        <v>0</v>
      </c>
      <c r="R2704" t="inlineStr">
        <is>
          <t>Riesgo bajo stock</t>
        </is>
      </c>
    </row>
    <row r="2705">
      <c r="A2705" t="inlineStr">
        <is>
          <t>PANNTKI33T6</t>
        </is>
      </c>
      <c r="B2705" t="inlineStr">
        <is>
          <t>EXPLORE PANTS KIDS</t>
        </is>
      </c>
      <c r="C2705" t="inlineStr">
        <is>
          <t>Manufactura / Kids / P. Inferiores</t>
        </is>
      </c>
      <c r="D2705" t="n">
        <v>53</v>
      </c>
      <c r="E2705" t="n">
        <v>1.297612626199373e-05</v>
      </c>
      <c r="F2705" t="n">
        <v>0.9953394348385057</v>
      </c>
      <c r="G2705" t="inlineStr">
        <is>
          <t>C</t>
        </is>
      </c>
      <c r="H2705" t="n">
        <v>16</v>
      </c>
      <c r="I2705" t="n">
        <v>13.98</v>
      </c>
      <c r="J2705" t="n">
        <v>223.68</v>
      </c>
      <c r="K2705" t="n">
        <v>0.3</v>
      </c>
      <c r="L2705" t="n">
        <v>53.33333333333334</v>
      </c>
      <c r="M2705" t="n">
        <v>4</v>
      </c>
      <c r="N2705" t="n">
        <v>1.2</v>
      </c>
      <c r="O2705" t="n">
        <v>14.8</v>
      </c>
      <c r="P2705" t="n">
        <v>206.904</v>
      </c>
      <c r="Q2705" t="n">
        <v>0.925</v>
      </c>
      <c r="R2705" t="inlineStr">
        <is>
          <t>Sobrestock crítico</t>
        </is>
      </c>
    </row>
    <row r="2706">
      <c r="A2706" t="inlineStr">
        <is>
          <t>RIOMICA13T3XL</t>
        </is>
      </c>
      <c r="B2706" t="inlineStr">
        <is>
          <t>RIO ORIGINAL CAB</t>
        </is>
      </c>
      <c r="C2706" t="inlineStr">
        <is>
          <t>Manufactura / Caballero / P. Superiores</t>
        </is>
      </c>
      <c r="D2706" t="n">
        <v>52.61221996</v>
      </c>
      <c r="E2706" t="n">
        <v>1.288118507782541e-05</v>
      </c>
      <c r="F2706" t="n">
        <v>0.9953523160235834</v>
      </c>
      <c r="G2706" t="inlineStr">
        <is>
          <t>C</t>
        </is>
      </c>
      <c r="H2706" t="n">
        <v>1</v>
      </c>
      <c r="I2706" t="n">
        <v>5.939350288</v>
      </c>
      <c r="J2706" t="n">
        <v>5.939350288</v>
      </c>
      <c r="K2706" t="n">
        <v>0.1</v>
      </c>
      <c r="L2706" t="n">
        <v>10</v>
      </c>
      <c r="M2706" t="n">
        <v>4</v>
      </c>
      <c r="N2706" t="n">
        <v>0.4</v>
      </c>
      <c r="O2706" t="n">
        <v>0.6</v>
      </c>
      <c r="P2706" t="n">
        <v>3.5636101728</v>
      </c>
      <c r="Q2706" t="n">
        <v>0.6</v>
      </c>
      <c r="R2706" t="inlineStr">
        <is>
          <t>Sobrestock crítico</t>
        </is>
      </c>
    </row>
    <row r="2707">
      <c r="A2707" t="inlineStr">
        <is>
          <t>SHOUNCA01TXL</t>
        </is>
      </c>
      <c r="B2707" t="inlineStr">
        <is>
          <t>SHORT PLAYA CAB</t>
        </is>
      </c>
      <c r="C2707" t="inlineStr">
        <is>
          <t>Manufactura / Caballero / P. Inferiores</t>
        </is>
      </c>
      <c r="D2707" t="n">
        <v>52.43441617</v>
      </c>
      <c r="E2707" t="n">
        <v>1.283765291878954e-05</v>
      </c>
      <c r="F2707" t="n">
        <v>0.9953779913294212</v>
      </c>
      <c r="G2707" t="inlineStr">
        <is>
          <t>C</t>
        </is>
      </c>
      <c r="H2707" t="n">
        <v>0</v>
      </c>
      <c r="I2707" t="n">
        <v>9.99</v>
      </c>
      <c r="J2707" t="n">
        <v>0</v>
      </c>
      <c r="K2707" t="n">
        <v>0.1</v>
      </c>
      <c r="L2707" t="n">
        <v>0</v>
      </c>
      <c r="M2707" t="n">
        <v>4</v>
      </c>
      <c r="N2707" t="n">
        <v>0.4</v>
      </c>
      <c r="O2707" t="n">
        <v>0</v>
      </c>
      <c r="P2707" t="n">
        <v>0</v>
      </c>
      <c r="Q2707" t="n">
        <v>0</v>
      </c>
      <c r="R2707" t="inlineStr">
        <is>
          <t>Sin rotación</t>
        </is>
      </c>
    </row>
    <row r="2708">
      <c r="A2708" t="inlineStr">
        <is>
          <t>SHOUNCA50TXL</t>
        </is>
      </c>
      <c r="B2708" t="inlineStr">
        <is>
          <t>SHORT PLAYA CAB</t>
        </is>
      </c>
      <c r="C2708" t="inlineStr">
        <is>
          <t>Manufactura / Caballero / P. Inferiores</t>
        </is>
      </c>
      <c r="D2708" t="n">
        <v>52.43441617</v>
      </c>
      <c r="E2708" t="n">
        <v>1.283765291878954e-05</v>
      </c>
      <c r="F2708" t="n">
        <v>0.9953779913294212</v>
      </c>
      <c r="G2708" t="inlineStr">
        <is>
          <t>C</t>
        </is>
      </c>
      <c r="H2708" t="n">
        <v>0</v>
      </c>
      <c r="I2708" t="n">
        <v>9.99</v>
      </c>
      <c r="J2708" t="n">
        <v>0</v>
      </c>
      <c r="K2708" t="n">
        <v>0.1</v>
      </c>
      <c r="L2708" t="n">
        <v>0</v>
      </c>
      <c r="M2708" t="n">
        <v>4</v>
      </c>
      <c r="N2708" t="n">
        <v>0.4</v>
      </c>
      <c r="O2708" t="n">
        <v>0</v>
      </c>
      <c r="P2708" t="n">
        <v>0</v>
      </c>
      <c r="Q2708" t="n">
        <v>0</v>
      </c>
      <c r="R2708" t="inlineStr">
        <is>
          <t>Sin rotación</t>
        </is>
      </c>
    </row>
    <row r="2709">
      <c r="A2709" t="inlineStr">
        <is>
          <t>DALSTDA16TXL</t>
        </is>
      </c>
      <c r="B2709" t="inlineStr">
        <is>
          <t>CLASICA DAILY 2.0 DAMA</t>
        </is>
      </c>
      <c r="C2709" t="inlineStr">
        <is>
          <t>Manufactura / Dama / P. Superiores</t>
        </is>
      </c>
      <c r="D2709" t="n">
        <v>52.36968971</v>
      </c>
      <c r="E2709" t="n">
        <v>1.282180577317725e-05</v>
      </c>
      <c r="F2709" t="n">
        <v>0.9953908131351943</v>
      </c>
      <c r="G2709" t="inlineStr">
        <is>
          <t>C</t>
        </is>
      </c>
      <c r="H2709" t="n">
        <v>2</v>
      </c>
      <c r="I2709" t="n">
        <v>10.02</v>
      </c>
      <c r="J2709" t="n">
        <v>20.04</v>
      </c>
      <c r="K2709" t="n">
        <v>0.1</v>
      </c>
      <c r="L2709" t="n">
        <v>20</v>
      </c>
      <c r="M2709" t="n">
        <v>4</v>
      </c>
      <c r="N2709" t="n">
        <v>0.4</v>
      </c>
      <c r="O2709" t="n">
        <v>1.6</v>
      </c>
      <c r="P2709" t="n">
        <v>16.032</v>
      </c>
      <c r="Q2709" t="n">
        <v>0.8</v>
      </c>
      <c r="R2709" t="inlineStr">
        <is>
          <t>Sobrestock crítico</t>
        </is>
      </c>
    </row>
    <row r="2710">
      <c r="A2710" t="inlineStr">
        <is>
          <t>RIOMICA09TXL</t>
        </is>
      </c>
      <c r="B2710" t="inlineStr">
        <is>
          <t>RIO ORIGINAL CAB</t>
        </is>
      </c>
      <c r="C2710" t="inlineStr">
        <is>
          <t>Manufactura / Caballero / P. Superiores</t>
        </is>
      </c>
      <c r="D2710" t="n">
        <v>52.21714621</v>
      </c>
      <c r="E2710" t="n">
        <v>1.27844581558858e-05</v>
      </c>
      <c r="F2710" t="n">
        <v>0.9954163820515061</v>
      </c>
      <c r="G2710" t="inlineStr">
        <is>
          <t>C</t>
        </is>
      </c>
      <c r="H2710" t="n">
        <v>0</v>
      </c>
      <c r="I2710" t="n">
        <v>5.939350288</v>
      </c>
      <c r="J2710" t="n">
        <v>0</v>
      </c>
      <c r="K2710" t="n">
        <v>0.1</v>
      </c>
      <c r="L2710" t="n">
        <v>0</v>
      </c>
      <c r="M2710" t="n">
        <v>4</v>
      </c>
      <c r="N2710" t="n">
        <v>0.4</v>
      </c>
      <c r="O2710" t="n">
        <v>0</v>
      </c>
      <c r="P2710" t="n">
        <v>0</v>
      </c>
      <c r="Q2710" t="n">
        <v>0</v>
      </c>
      <c r="R2710" t="inlineStr">
        <is>
          <t>Sin rotación</t>
        </is>
      </c>
    </row>
    <row r="2711">
      <c r="A2711" t="inlineStr">
        <is>
          <t>RIOMICA24TL</t>
        </is>
      </c>
      <c r="B2711" t="inlineStr">
        <is>
          <t>RIO ORIGINAL CAB</t>
        </is>
      </c>
      <c r="C2711" t="inlineStr">
        <is>
          <t>Manufactura / Caballero / P. Superiores</t>
        </is>
      </c>
      <c r="D2711" t="n">
        <v>52.21714621</v>
      </c>
      <c r="E2711" t="n">
        <v>1.27844581558858e-05</v>
      </c>
      <c r="F2711" t="n">
        <v>0.9954163820515061</v>
      </c>
      <c r="G2711" t="inlineStr">
        <is>
          <t>C</t>
        </is>
      </c>
      <c r="H2711" t="n">
        <v>0</v>
      </c>
      <c r="I2711" t="n">
        <v>5.939350288</v>
      </c>
      <c r="J2711" t="n">
        <v>0</v>
      </c>
      <c r="K2711" t="n">
        <v>0.1</v>
      </c>
      <c r="L2711" t="n">
        <v>0</v>
      </c>
      <c r="M2711" t="n">
        <v>4</v>
      </c>
      <c r="N2711" t="n">
        <v>0.4</v>
      </c>
      <c r="O2711" t="n">
        <v>0</v>
      </c>
      <c r="P2711" t="n">
        <v>0</v>
      </c>
      <c r="Q2711" t="n">
        <v>0</v>
      </c>
      <c r="R2711" t="inlineStr">
        <is>
          <t>Sin rotación</t>
        </is>
      </c>
    </row>
    <row r="2712">
      <c r="A2712" t="inlineStr">
        <is>
          <t>VIVMIDA12TXS</t>
        </is>
      </c>
      <c r="B2712" t="inlineStr">
        <is>
          <t>VIVI ORIGINAL DAMA</t>
        </is>
      </c>
      <c r="C2712" t="inlineStr">
        <is>
          <t>Manufactura / Dama / P. Superiores</t>
        </is>
      </c>
      <c r="D2712" t="n">
        <v>52.09052981000001</v>
      </c>
      <c r="E2712" t="n">
        <v>1.275345833714544e-05</v>
      </c>
      <c r="F2712" t="n">
        <v>0.9954291355098432</v>
      </c>
      <c r="G2712" t="inlineStr">
        <is>
          <t>C</t>
        </is>
      </c>
      <c r="H2712" t="n">
        <v>1</v>
      </c>
      <c r="I2712" t="n">
        <v>4.303181706</v>
      </c>
      <c r="J2712" t="n">
        <v>4.303181706</v>
      </c>
      <c r="K2712" t="n">
        <v>0.4</v>
      </c>
      <c r="L2712" t="n">
        <v>2.5</v>
      </c>
      <c r="M2712" t="n">
        <v>4</v>
      </c>
      <c r="N2712" t="n">
        <v>1.6</v>
      </c>
      <c r="O2712" t="n">
        <v>0</v>
      </c>
      <c r="P2712" t="n">
        <v>0</v>
      </c>
      <c r="Q2712" t="n">
        <v>0</v>
      </c>
      <c r="R2712" t="inlineStr">
        <is>
          <t>OK</t>
        </is>
      </c>
    </row>
    <row r="2713">
      <c r="A2713" t="inlineStr">
        <is>
          <t>OVEFTGE31TXL</t>
        </is>
      </c>
      <c r="B2713" t="inlineStr">
        <is>
          <t>UNIHOODIE</t>
        </is>
      </c>
      <c r="C2713" t="inlineStr">
        <is>
          <t>Manufactura / General</t>
        </is>
      </c>
      <c r="D2713" t="n">
        <v>52.06772406</v>
      </c>
      <c r="E2713" t="n">
        <v>1.274787474673979e-05</v>
      </c>
      <c r="F2713" t="n">
        <v>0.9954418833845899</v>
      </c>
      <c r="G2713" t="inlineStr">
        <is>
          <t>C</t>
        </is>
      </c>
      <c r="H2713" t="n">
        <v>3</v>
      </c>
      <c r="I2713" t="n">
        <v>20.27</v>
      </c>
      <c r="J2713" t="n">
        <v>60.81</v>
      </c>
      <c r="K2713" t="n">
        <v>0.2</v>
      </c>
      <c r="L2713" t="n">
        <v>15</v>
      </c>
      <c r="M2713" t="n">
        <v>4</v>
      </c>
      <c r="N2713" t="n">
        <v>0.8</v>
      </c>
      <c r="O2713" t="n">
        <v>2.2</v>
      </c>
      <c r="P2713" t="n">
        <v>44.594</v>
      </c>
      <c r="Q2713" t="n">
        <v>0.7333333333333333</v>
      </c>
      <c r="R2713" t="inlineStr">
        <is>
          <t>Sin rotación</t>
        </is>
      </c>
    </row>
    <row r="2714">
      <c r="A2714" t="inlineStr">
        <is>
          <t>PETMIPE09TS</t>
        </is>
      </c>
      <c r="B2714" t="inlineStr">
        <is>
          <t>BANDANA PET</t>
        </is>
      </c>
      <c r="C2714" t="inlineStr">
        <is>
          <t>Manufactura / General</t>
        </is>
      </c>
      <c r="D2714" t="n">
        <v>52.035239075</v>
      </c>
      <c r="E2714" t="n">
        <v>1.273992136434396e-05</v>
      </c>
      <c r="F2714" t="n">
        <v>0.9954546233059542</v>
      </c>
      <c r="G2714" t="inlineStr">
        <is>
          <t>C</t>
        </is>
      </c>
      <c r="H2714" t="n">
        <v>4</v>
      </c>
      <c r="I2714" t="n">
        <v>0.3252662283</v>
      </c>
      <c r="J2714" t="n">
        <v>1.3010649132</v>
      </c>
      <c r="K2714" t="n">
        <v>0.9</v>
      </c>
      <c r="L2714" t="n">
        <v>4.444444444444445</v>
      </c>
      <c r="M2714" t="n">
        <v>4</v>
      </c>
      <c r="N2714" t="n">
        <v>3.6</v>
      </c>
      <c r="O2714" t="n">
        <v>0.3999999999999999</v>
      </c>
      <c r="P2714" t="n">
        <v>0.13010649132</v>
      </c>
      <c r="Q2714" t="n">
        <v>0.09999999999999999</v>
      </c>
      <c r="R2714" t="inlineStr">
        <is>
          <t>Sobrestock</t>
        </is>
      </c>
    </row>
    <row r="2715">
      <c r="A2715" t="inlineStr">
        <is>
          <t>MANMIGE66TG</t>
        </is>
      </c>
      <c r="B2715" t="inlineStr">
        <is>
          <t>MANGAS GENERAL</t>
        </is>
      </c>
      <c r="C2715" t="inlineStr">
        <is>
          <t>Manufactura / General</t>
        </is>
      </c>
      <c r="D2715" t="n">
        <v>51.98985471</v>
      </c>
      <c r="E2715" t="n">
        <v>1.272880979357867e-05</v>
      </c>
      <c r="F2715" t="n">
        <v>0.9954673521157479</v>
      </c>
      <c r="G2715" t="inlineStr">
        <is>
          <t>C</t>
        </is>
      </c>
      <c r="H2715" t="n">
        <v>2</v>
      </c>
      <c r="I2715" t="n">
        <v>0.92</v>
      </c>
      <c r="J2715" t="n">
        <v>1.84</v>
      </c>
      <c r="K2715" t="n">
        <v>0.3</v>
      </c>
      <c r="L2715" t="n">
        <v>6.666666666666667</v>
      </c>
      <c r="M2715" t="n">
        <v>4</v>
      </c>
      <c r="N2715" t="n">
        <v>1.2</v>
      </c>
      <c r="O2715" t="n">
        <v>0.8</v>
      </c>
      <c r="P2715" t="n">
        <v>0.7360000000000001</v>
      </c>
      <c r="Q2715" t="n">
        <v>0.4</v>
      </c>
      <c r="R2715" t="inlineStr">
        <is>
          <t>Sobrestock crítico</t>
        </is>
      </c>
    </row>
    <row r="2716">
      <c r="A2716" t="inlineStr">
        <is>
          <t>DAMSTDA16TM</t>
        </is>
      </c>
      <c r="B2716" t="inlineStr">
        <is>
          <t>MANGA LARGA DAILY DAMA</t>
        </is>
      </c>
      <c r="C2716" t="inlineStr">
        <is>
          <t>Manufactura / Dama / P. Superiores</t>
        </is>
      </c>
      <c r="D2716" t="n">
        <v>51.87323944</v>
      </c>
      <c r="E2716" t="n">
        <v>1.270025857720893e-05</v>
      </c>
      <c r="F2716" t="n">
        <v>0.995480052374325</v>
      </c>
      <c r="G2716" t="inlineStr">
        <is>
          <t>C</t>
        </is>
      </c>
      <c r="H2716" t="n">
        <v>0</v>
      </c>
      <c r="I2716" t="n">
        <v>12.3</v>
      </c>
      <c r="J2716" t="n">
        <v>0</v>
      </c>
      <c r="K2716" t="n">
        <v>0.1</v>
      </c>
      <c r="L2716" t="n">
        <v>0</v>
      </c>
      <c r="M2716" t="n">
        <v>4</v>
      </c>
      <c r="N2716" t="n">
        <v>0.4</v>
      </c>
      <c r="O2716" t="n">
        <v>0</v>
      </c>
      <c r="P2716" t="n">
        <v>0</v>
      </c>
      <c r="Q2716" t="n">
        <v>0</v>
      </c>
      <c r="R2716" t="inlineStr">
        <is>
          <t>Sin rotación</t>
        </is>
      </c>
    </row>
    <row r="2717">
      <c r="A2717" t="inlineStr">
        <is>
          <t>ZOEMIDA11TS</t>
        </is>
      </c>
      <c r="B2717" t="inlineStr">
        <is>
          <t>ZOE ORIGINAL DAMA</t>
        </is>
      </c>
      <c r="C2717" t="inlineStr">
        <is>
          <t>Manufactura / Dama / P. Superiores</t>
        </is>
      </c>
      <c r="D2717" t="n">
        <v>51.85644835</v>
      </c>
      <c r="E2717" t="n">
        <v>1.269614757147465e-05</v>
      </c>
      <c r="F2717" t="n">
        <v>0.995505444669468</v>
      </c>
      <c r="G2717" t="inlineStr">
        <is>
          <t>C</t>
        </is>
      </c>
      <c r="H2717" t="n">
        <v>0</v>
      </c>
      <c r="I2717" t="n">
        <v>4.116585696</v>
      </c>
      <c r="J2717" t="n">
        <v>0</v>
      </c>
      <c r="K2717" t="n">
        <v>0.1</v>
      </c>
      <c r="L2717" t="n">
        <v>0</v>
      </c>
      <c r="M2717" t="n">
        <v>4</v>
      </c>
      <c r="N2717" t="n">
        <v>0.4</v>
      </c>
      <c r="O2717" t="n">
        <v>0</v>
      </c>
      <c r="P2717" t="n">
        <v>0</v>
      </c>
      <c r="Q2717" t="n">
        <v>0</v>
      </c>
      <c r="R2717" t="inlineStr">
        <is>
          <t>Sin rotación</t>
        </is>
      </c>
    </row>
    <row r="2718">
      <c r="A2718" t="inlineStr">
        <is>
          <t>ZOEMIDA53TXS</t>
        </is>
      </c>
      <c r="B2718" t="inlineStr">
        <is>
          <t>ZOE ORIGINAL DAMA</t>
        </is>
      </c>
      <c r="C2718" t="inlineStr">
        <is>
          <t>Manufactura / Dama / P. Superiores</t>
        </is>
      </c>
      <c r="D2718" t="n">
        <v>51.85644835</v>
      </c>
      <c r="E2718" t="n">
        <v>1.269614757147465e-05</v>
      </c>
      <c r="F2718" t="n">
        <v>0.995505444669468</v>
      </c>
      <c r="G2718" t="inlineStr">
        <is>
          <t>C</t>
        </is>
      </c>
      <c r="H2718" t="n">
        <v>0</v>
      </c>
      <c r="I2718" t="n">
        <v>4.116585696</v>
      </c>
      <c r="J2718" t="n">
        <v>0</v>
      </c>
      <c r="K2718" t="n">
        <v>0.1</v>
      </c>
      <c r="L2718" t="n">
        <v>0</v>
      </c>
      <c r="M2718" t="n">
        <v>4</v>
      </c>
      <c r="N2718" t="n">
        <v>0.4</v>
      </c>
      <c r="O2718" t="n">
        <v>0</v>
      </c>
      <c r="P2718" t="n">
        <v>0</v>
      </c>
      <c r="Q2718" t="n">
        <v>0</v>
      </c>
      <c r="R2718" t="inlineStr">
        <is>
          <t>Sin rotación</t>
        </is>
      </c>
    </row>
    <row r="2719">
      <c r="A2719" t="inlineStr">
        <is>
          <t>CLAMIKI05T12</t>
        </is>
      </c>
      <c r="B2719" t="inlineStr">
        <is>
          <t>CLASICA ORIGINAL KIDS</t>
        </is>
      </c>
      <c r="C2719" t="inlineStr">
        <is>
          <t>Manufactura / Kids / P. Superiores</t>
        </is>
      </c>
      <c r="D2719" t="n">
        <v>51.72392364</v>
      </c>
      <c r="E2719" t="n">
        <v>1.266370120600684e-05</v>
      </c>
      <c r="F2719" t="n">
        <v>0.9955181083706741</v>
      </c>
      <c r="G2719" t="inlineStr">
        <is>
          <t>C</t>
        </is>
      </c>
      <c r="H2719" t="n">
        <v>0</v>
      </c>
      <c r="I2719" t="n">
        <v>2.053774806</v>
      </c>
      <c r="J2719" t="n">
        <v>0</v>
      </c>
      <c r="K2719" t="n">
        <v>0.2</v>
      </c>
      <c r="L2719" t="n">
        <v>0</v>
      </c>
      <c r="M2719" t="n">
        <v>4</v>
      </c>
      <c r="N2719" t="n">
        <v>0.8</v>
      </c>
      <c r="O2719" t="n">
        <v>0</v>
      </c>
      <c r="P2719" t="n">
        <v>0</v>
      </c>
      <c r="Q2719" t="n">
        <v>0</v>
      </c>
      <c r="R2719" t="inlineStr">
        <is>
          <t>Sin rotación</t>
        </is>
      </c>
    </row>
    <row r="2720">
      <c r="A2720" t="inlineStr">
        <is>
          <t>MLAALDA167TL</t>
        </is>
      </c>
      <c r="B2720" t="inlineStr">
        <is>
          <t>MANGA LARGA ALGODON DAMA</t>
        </is>
      </c>
      <c r="C2720" t="inlineStr">
        <is>
          <t>Manufactura / Dama / P. Superiores</t>
        </is>
      </c>
      <c r="D2720" t="n">
        <v>51.57127738</v>
      </c>
      <c r="E2720" t="n">
        <v>1.26263284297204e-05</v>
      </c>
      <c r="F2720" t="n">
        <v>0.9955307346991038</v>
      </c>
      <c r="G2720" t="inlineStr">
        <is>
          <t>C</t>
        </is>
      </c>
      <c r="H2720" t="n">
        <v>0</v>
      </c>
      <c r="I2720" t="n">
        <v>12.3</v>
      </c>
      <c r="J2720" t="n">
        <v>0</v>
      </c>
      <c r="K2720" t="n">
        <v>0.1</v>
      </c>
      <c r="L2720" t="n">
        <v>0</v>
      </c>
      <c r="M2720" t="n">
        <v>4</v>
      </c>
      <c r="N2720" t="n">
        <v>0.4</v>
      </c>
      <c r="O2720" t="n">
        <v>0</v>
      </c>
      <c r="P2720" t="n">
        <v>0</v>
      </c>
      <c r="Q2720" t="n">
        <v>0</v>
      </c>
      <c r="R2720" t="inlineStr">
        <is>
          <t>Sin rotación</t>
        </is>
      </c>
    </row>
    <row r="2721">
      <c r="A2721" t="inlineStr">
        <is>
          <t>MLAALDA12TL</t>
        </is>
      </c>
      <c r="B2721" t="inlineStr">
        <is>
          <t>MANGA LARGA ALGODON DAMA</t>
        </is>
      </c>
      <c r="C2721" t="inlineStr">
        <is>
          <t>Manufactura / Dama / P. Superiores</t>
        </is>
      </c>
      <c r="D2721" t="n">
        <v>51.54685337</v>
      </c>
      <c r="E2721" t="n">
        <v>1.262034863655844e-05</v>
      </c>
      <c r="F2721" t="n">
        <v>0.9955685957450133</v>
      </c>
      <c r="G2721" t="inlineStr">
        <is>
          <t>C</t>
        </is>
      </c>
      <c r="H2721" t="n">
        <v>0</v>
      </c>
      <c r="I2721" t="n">
        <v>12.3</v>
      </c>
      <c r="J2721" t="n">
        <v>0</v>
      </c>
      <c r="K2721" t="n">
        <v>0.1</v>
      </c>
      <c r="L2721" t="n">
        <v>0</v>
      </c>
      <c r="M2721" t="n">
        <v>4</v>
      </c>
      <c r="N2721" t="n">
        <v>0.4</v>
      </c>
      <c r="O2721" t="n">
        <v>0</v>
      </c>
      <c r="P2721" t="n">
        <v>0</v>
      </c>
      <c r="Q2721" t="n">
        <v>0</v>
      </c>
      <c r="R2721" t="inlineStr">
        <is>
          <t>Sin rotación</t>
        </is>
      </c>
    </row>
    <row r="2722">
      <c r="A2722" t="inlineStr">
        <is>
          <t>MLAALDA167TM</t>
        </is>
      </c>
      <c r="B2722" t="inlineStr">
        <is>
          <t>MANGA LARGA ALGODON DAMA</t>
        </is>
      </c>
      <c r="C2722" t="inlineStr">
        <is>
          <t>Manufactura / Dama / P. Superiores</t>
        </is>
      </c>
      <c r="D2722" t="n">
        <v>51.54685337</v>
      </c>
      <c r="E2722" t="n">
        <v>1.262034863655844e-05</v>
      </c>
      <c r="F2722" t="n">
        <v>0.9955685957450133</v>
      </c>
      <c r="G2722" t="inlineStr">
        <is>
          <t>C</t>
        </is>
      </c>
      <c r="H2722" t="n">
        <v>0</v>
      </c>
      <c r="I2722" t="n">
        <v>12.3</v>
      </c>
      <c r="J2722" t="n">
        <v>0</v>
      </c>
      <c r="K2722" t="n">
        <v>0.1</v>
      </c>
      <c r="L2722" t="n">
        <v>0</v>
      </c>
      <c r="M2722" t="n">
        <v>4</v>
      </c>
      <c r="N2722" t="n">
        <v>0.4</v>
      </c>
      <c r="O2722" t="n">
        <v>0</v>
      </c>
      <c r="P2722" t="n">
        <v>0</v>
      </c>
      <c r="Q2722" t="n">
        <v>0</v>
      </c>
      <c r="R2722" t="inlineStr">
        <is>
          <t>Sin rotación</t>
        </is>
      </c>
    </row>
    <row r="2723">
      <c r="A2723" t="inlineStr">
        <is>
          <t>MLAALDA166TL</t>
        </is>
      </c>
      <c r="B2723" t="inlineStr">
        <is>
          <t>MANGA LARGA ALGODON DAMA</t>
        </is>
      </c>
      <c r="C2723" t="inlineStr">
        <is>
          <t>Manufactura / Dama / P. Superiores</t>
        </is>
      </c>
      <c r="D2723" t="n">
        <v>51.54685337</v>
      </c>
      <c r="E2723" t="n">
        <v>1.262034863655844e-05</v>
      </c>
      <c r="F2723" t="n">
        <v>0.9955685957450133</v>
      </c>
      <c r="G2723" t="inlineStr">
        <is>
          <t>C</t>
        </is>
      </c>
      <c r="H2723" t="n">
        <v>0</v>
      </c>
      <c r="I2723" t="n">
        <v>12.3</v>
      </c>
      <c r="J2723" t="n">
        <v>0</v>
      </c>
      <c r="K2723" t="n">
        <v>0.1</v>
      </c>
      <c r="L2723" t="n">
        <v>0</v>
      </c>
      <c r="M2723" t="n">
        <v>4</v>
      </c>
      <c r="N2723" t="n">
        <v>0.4</v>
      </c>
      <c r="O2723" t="n">
        <v>0</v>
      </c>
      <c r="P2723" t="n">
        <v>0</v>
      </c>
      <c r="Q2723" t="n">
        <v>0</v>
      </c>
      <c r="R2723" t="inlineStr">
        <is>
          <t>Sin rotación</t>
        </is>
      </c>
    </row>
    <row r="2724">
      <c r="A2724" t="inlineStr">
        <is>
          <t>DANMIKI11T10</t>
        </is>
      </c>
      <c r="B2724" t="inlineStr">
        <is>
          <t>DANI ORIGINAL KIDS</t>
        </is>
      </c>
      <c r="C2724" t="inlineStr">
        <is>
          <t>Manufactura / Kids / P. Superiores</t>
        </is>
      </c>
      <c r="D2724" t="n">
        <v>51.46895494</v>
      </c>
      <c r="E2724" t="n">
        <v>1.260127656366615e-05</v>
      </c>
      <c r="F2724" t="n">
        <v>0.995581197021577</v>
      </c>
      <c r="G2724" t="inlineStr">
        <is>
          <t>C</t>
        </is>
      </c>
      <c r="H2724" t="n">
        <v>0</v>
      </c>
      <c r="I2724" t="n">
        <v>3.55</v>
      </c>
      <c r="J2724" t="n">
        <v>0</v>
      </c>
      <c r="K2724" t="n">
        <v>0.2</v>
      </c>
      <c r="L2724" t="n">
        <v>0</v>
      </c>
      <c r="M2724" t="n">
        <v>4</v>
      </c>
      <c r="N2724" t="n">
        <v>0.8</v>
      </c>
      <c r="O2724" t="n">
        <v>0</v>
      </c>
      <c r="P2724" t="n">
        <v>0</v>
      </c>
      <c r="Q2724" t="n">
        <v>0</v>
      </c>
      <c r="R2724" t="inlineStr">
        <is>
          <t>Riesgo bajo stock</t>
        </is>
      </c>
    </row>
    <row r="2725">
      <c r="A2725" t="inlineStr">
        <is>
          <t>TMOFIDA10TS</t>
        </is>
      </c>
      <c r="B2725" t="inlineStr">
        <is>
          <t>TOP MOVA</t>
        </is>
      </c>
      <c r="C2725" t="inlineStr">
        <is>
          <t>Manufactura / Dama / P. Superiores</t>
        </is>
      </c>
      <c r="D2725" t="n">
        <v>51.31455885</v>
      </c>
      <c r="E2725" t="n">
        <v>1.256347537200204e-05</v>
      </c>
      <c r="F2725" t="n">
        <v>0.995593760496949</v>
      </c>
      <c r="G2725" t="inlineStr">
        <is>
          <t>C</t>
        </is>
      </c>
      <c r="H2725" t="n">
        <v>24</v>
      </c>
      <c r="I2725" t="n">
        <v>9.942967033</v>
      </c>
      <c r="J2725" t="n">
        <v>238.631208792</v>
      </c>
      <c r="K2725" t="n">
        <v>0.5</v>
      </c>
      <c r="L2725" t="n">
        <v>48</v>
      </c>
      <c r="M2725" t="n">
        <v>4</v>
      </c>
      <c r="N2725" t="n">
        <v>2</v>
      </c>
      <c r="O2725" t="n">
        <v>22</v>
      </c>
      <c r="P2725" t="n">
        <v>218.745274726</v>
      </c>
      <c r="Q2725" t="n">
        <v>0.9166666666666667</v>
      </c>
      <c r="R2725" t="inlineStr">
        <is>
          <t>Sobrestock crítico</t>
        </is>
      </c>
    </row>
    <row r="2726">
      <c r="A2726" t="inlineStr">
        <is>
          <t>RIOMICA01T3XL</t>
        </is>
      </c>
      <c r="B2726" t="inlineStr">
        <is>
          <t>RIO ORIGINAL CAB</t>
        </is>
      </c>
      <c r="C2726" t="inlineStr">
        <is>
          <t>Manufactura / Caballero / P. Superiores</t>
        </is>
      </c>
      <c r="D2726" t="n">
        <v>51.21164427</v>
      </c>
      <c r="E2726" t="n">
        <v>1.253827853078921e-05</v>
      </c>
      <c r="F2726" t="n">
        <v>0.9956062987754798</v>
      </c>
      <c r="G2726" t="inlineStr">
        <is>
          <t>C</t>
        </is>
      </c>
      <c r="H2726" t="n">
        <v>1</v>
      </c>
      <c r="I2726" t="n">
        <v>5.939350288</v>
      </c>
      <c r="J2726" t="n">
        <v>5.939350288</v>
      </c>
      <c r="K2726" t="n">
        <v>0.1</v>
      </c>
      <c r="L2726" t="n">
        <v>10</v>
      </c>
      <c r="M2726" t="n">
        <v>4</v>
      </c>
      <c r="N2726" t="n">
        <v>0.4</v>
      </c>
      <c r="O2726" t="n">
        <v>0.6</v>
      </c>
      <c r="P2726" t="n">
        <v>3.5636101728</v>
      </c>
      <c r="Q2726" t="n">
        <v>0.6</v>
      </c>
      <c r="R2726" t="inlineStr">
        <is>
          <t>Sin rotación</t>
        </is>
      </c>
    </row>
    <row r="2727">
      <c r="A2727" t="inlineStr">
        <is>
          <t>DANMIKI13T8</t>
        </is>
      </c>
      <c r="B2727" t="inlineStr">
        <is>
          <t>DANI ORIGINAL KIDS</t>
        </is>
      </c>
      <c r="C2727" t="inlineStr">
        <is>
          <t>Manufactura / Kids / P. Superiores</t>
        </is>
      </c>
      <c r="D2727" t="n">
        <v>51.17225188</v>
      </c>
      <c r="E2727" t="n">
        <v>1.252863399066842e-05</v>
      </c>
      <c r="F2727" t="n">
        <v>0.9956188274094705</v>
      </c>
      <c r="G2727" t="inlineStr">
        <is>
          <t>C</t>
        </is>
      </c>
      <c r="H2727" t="n">
        <v>0</v>
      </c>
      <c r="I2727" t="n">
        <v>3.55</v>
      </c>
      <c r="J2727" t="n">
        <v>0</v>
      </c>
      <c r="K2727" t="n">
        <v>0.2</v>
      </c>
      <c r="L2727" t="n">
        <v>0</v>
      </c>
      <c r="M2727" t="n">
        <v>4</v>
      </c>
      <c r="N2727" t="n">
        <v>0.8</v>
      </c>
      <c r="O2727" t="n">
        <v>0</v>
      </c>
      <c r="P2727" t="n">
        <v>0</v>
      </c>
      <c r="Q2727" t="n">
        <v>0</v>
      </c>
      <c r="R2727" t="inlineStr">
        <is>
          <t>Riesgo bajo stock</t>
        </is>
      </c>
    </row>
    <row r="2728">
      <c r="A2728" t="inlineStr">
        <is>
          <t>CLAMICA11TXL</t>
        </is>
      </c>
      <c r="B2728" t="inlineStr">
        <is>
          <t>CLASICA ORIGINAL CAB</t>
        </is>
      </c>
      <c r="C2728" t="inlineStr">
        <is>
          <t>Manufactura / Caballero / P. Superiores</t>
        </is>
      </c>
      <c r="D2728" t="n">
        <v>51.09397092</v>
      </c>
      <c r="E2728" t="n">
        <v>1.250946826197276e-05</v>
      </c>
      <c r="F2728" t="n">
        <v>0.9956313368777325</v>
      </c>
      <c r="G2728" t="inlineStr">
        <is>
          <t>C</t>
        </is>
      </c>
      <c r="H2728" t="n">
        <v>0</v>
      </c>
      <c r="I2728" t="n">
        <v>4.598442536</v>
      </c>
      <c r="J2728" t="n">
        <v>0</v>
      </c>
      <c r="K2728" t="n">
        <v>3.1</v>
      </c>
      <c r="L2728" t="n">
        <v>0</v>
      </c>
      <c r="M2728" t="n">
        <v>4</v>
      </c>
      <c r="N2728" t="n">
        <v>12.4</v>
      </c>
      <c r="O2728" t="n">
        <v>0</v>
      </c>
      <c r="P2728" t="n">
        <v>0</v>
      </c>
      <c r="Q2728" t="n">
        <v>0</v>
      </c>
      <c r="R2728" t="inlineStr">
        <is>
          <t>Riesgo bajo stock</t>
        </is>
      </c>
    </row>
    <row r="2729">
      <c r="A2729" t="inlineStr">
        <is>
          <t>DANMIKI66T12</t>
        </is>
      </c>
      <c r="B2729" t="inlineStr">
        <is>
          <t>DANI ORIGINAL KIDS</t>
        </is>
      </c>
      <c r="C2729" t="inlineStr">
        <is>
          <t>Manufactura / Kids / P. Superiores</t>
        </is>
      </c>
      <c r="D2729" t="n">
        <v>51.07933769</v>
      </c>
      <c r="E2729" t="n">
        <v>1.25058855706501e-05</v>
      </c>
      <c r="F2729" t="n">
        <v>0.9956438427633032</v>
      </c>
      <c r="G2729" t="inlineStr">
        <is>
          <t>C</t>
        </is>
      </c>
      <c r="H2729" t="n">
        <v>1</v>
      </c>
      <c r="I2729" t="n">
        <v>3.55</v>
      </c>
      <c r="J2729" t="n">
        <v>3.55</v>
      </c>
      <c r="K2729" t="n">
        <v>0.2</v>
      </c>
      <c r="L2729" t="n">
        <v>5</v>
      </c>
      <c r="M2729" t="n">
        <v>4</v>
      </c>
      <c r="N2729" t="n">
        <v>0.8</v>
      </c>
      <c r="O2729" t="n">
        <v>0.2</v>
      </c>
      <c r="P2729" t="n">
        <v>0.7099999999999999</v>
      </c>
      <c r="Q2729" t="n">
        <v>0.2</v>
      </c>
      <c r="R2729" t="inlineStr">
        <is>
          <t>Sin rotación</t>
        </is>
      </c>
    </row>
    <row r="2730">
      <c r="A2730" t="inlineStr">
        <is>
          <t>CLAMIKI28T6</t>
        </is>
      </c>
      <c r="B2730" t="inlineStr">
        <is>
          <t>CLASICA ORIGINAL KIDS</t>
        </is>
      </c>
      <c r="C2730" t="inlineStr">
        <is>
          <t>Manufactura / Kids / P. Superiores</t>
        </is>
      </c>
      <c r="D2730" t="n">
        <v>50.68347086</v>
      </c>
      <c r="E2730" t="n">
        <v>1.24089644768951e-05</v>
      </c>
      <c r="F2730" t="n">
        <v>0.9956562517277801</v>
      </c>
      <c r="G2730" t="inlineStr">
        <is>
          <t>C</t>
        </is>
      </c>
      <c r="H2730" t="n">
        <v>0</v>
      </c>
      <c r="I2730" t="n">
        <v>2.053774806</v>
      </c>
      <c r="J2730" t="n">
        <v>0</v>
      </c>
      <c r="K2730" t="n">
        <v>0.3</v>
      </c>
      <c r="L2730" t="n">
        <v>0</v>
      </c>
      <c r="M2730" t="n">
        <v>4</v>
      </c>
      <c r="N2730" t="n">
        <v>1.2</v>
      </c>
      <c r="O2730" t="n">
        <v>0</v>
      </c>
      <c r="P2730" t="n">
        <v>0</v>
      </c>
      <c r="Q2730" t="n">
        <v>0</v>
      </c>
      <c r="R2730" t="inlineStr">
        <is>
          <t>Riesgo bajo stock</t>
        </is>
      </c>
    </row>
    <row r="2731">
      <c r="A2731" t="inlineStr">
        <is>
          <t>MLASTDA43TL</t>
        </is>
      </c>
      <c r="B2731" t="inlineStr">
        <is>
          <t>MANGA LARGA ALGODON STRETCH DAMA</t>
        </is>
      </c>
      <c r="C2731" t="inlineStr">
        <is>
          <t>Manufactura / Dama / P. Superiores</t>
        </is>
      </c>
      <c r="D2731" t="n">
        <v>50.59643484</v>
      </c>
      <c r="E2731" t="n">
        <v>1.238765522435054e-05</v>
      </c>
      <c r="F2731" t="n">
        <v>0.9956810270382288</v>
      </c>
      <c r="G2731" t="inlineStr">
        <is>
          <t>C</t>
        </is>
      </c>
      <c r="H2731" t="n">
        <v>0</v>
      </c>
      <c r="I2731" t="n">
        <v>12.3</v>
      </c>
      <c r="J2731" t="n">
        <v>0</v>
      </c>
      <c r="K2731" t="n">
        <v>0.1</v>
      </c>
      <c r="L2731" t="n">
        <v>0</v>
      </c>
      <c r="M2731" t="n">
        <v>4</v>
      </c>
      <c r="N2731" t="n">
        <v>0.4</v>
      </c>
      <c r="O2731" t="n">
        <v>0</v>
      </c>
      <c r="P2731" t="n">
        <v>0</v>
      </c>
      <c r="Q2731" t="n">
        <v>0</v>
      </c>
      <c r="R2731" t="inlineStr">
        <is>
          <t>Sin rotación</t>
        </is>
      </c>
    </row>
    <row r="2732">
      <c r="A2732" t="inlineStr">
        <is>
          <t>CLASTDA43TL</t>
        </is>
      </c>
      <c r="B2732" t="inlineStr">
        <is>
          <t>CLASICA ALGODON STRETCH DAMA</t>
        </is>
      </c>
      <c r="C2732" t="inlineStr">
        <is>
          <t>Manufactura / Dama / P. Superiores</t>
        </is>
      </c>
      <c r="D2732" t="n">
        <v>50.59643484</v>
      </c>
      <c r="E2732" t="n">
        <v>1.238765522435054e-05</v>
      </c>
      <c r="F2732" t="n">
        <v>0.9956810270382288</v>
      </c>
      <c r="G2732" t="inlineStr">
        <is>
          <t>C</t>
        </is>
      </c>
      <c r="H2732" t="n">
        <v>0</v>
      </c>
      <c r="I2732" t="n">
        <v>9.27</v>
      </c>
      <c r="J2732" t="n">
        <v>0</v>
      </c>
      <c r="K2732" t="n">
        <v>0.3</v>
      </c>
      <c r="L2732" t="n">
        <v>0</v>
      </c>
      <c r="M2732" t="n">
        <v>4</v>
      </c>
      <c r="N2732" t="n">
        <v>1.2</v>
      </c>
      <c r="O2732" t="n">
        <v>0</v>
      </c>
      <c r="P2732" t="n">
        <v>0</v>
      </c>
      <c r="Q2732" t="n">
        <v>0</v>
      </c>
      <c r="R2732" t="inlineStr">
        <is>
          <t>Sin rotación</t>
        </is>
      </c>
    </row>
    <row r="2733">
      <c r="A2733" t="inlineStr">
        <is>
          <t>CLAMICA05TS</t>
        </is>
      </c>
      <c r="B2733" t="inlineStr">
        <is>
          <t>CLASICA ORIGINAL CAB</t>
        </is>
      </c>
      <c r="C2733" t="inlineStr">
        <is>
          <t>Manufactura / Caballero / P. Superiores</t>
        </is>
      </c>
      <c r="D2733" t="n">
        <v>50.51168042</v>
      </c>
      <c r="E2733" t="n">
        <v>1.236690458179994e-05</v>
      </c>
      <c r="F2733" t="n">
        <v>0.9956933939428106</v>
      </c>
      <c r="G2733" t="inlineStr">
        <is>
          <t>C</t>
        </is>
      </c>
      <c r="H2733" t="n">
        <v>0</v>
      </c>
      <c r="I2733" t="n">
        <v>4.598442536</v>
      </c>
      <c r="J2733" t="n">
        <v>0</v>
      </c>
      <c r="K2733" t="n">
        <v>0.1</v>
      </c>
      <c r="L2733" t="n">
        <v>0</v>
      </c>
      <c r="M2733" t="n">
        <v>4</v>
      </c>
      <c r="N2733" t="n">
        <v>0.4</v>
      </c>
      <c r="O2733" t="n">
        <v>0</v>
      </c>
      <c r="P2733" t="n">
        <v>0</v>
      </c>
      <c r="Q2733" t="n">
        <v>0</v>
      </c>
      <c r="R2733" t="inlineStr">
        <is>
          <t>Riesgo bajo stock</t>
        </is>
      </c>
    </row>
    <row r="2734">
      <c r="A2734" t="inlineStr">
        <is>
          <t>MARMIKI52T12</t>
        </is>
      </c>
      <c r="B2734" t="inlineStr">
        <is>
          <t>MAR ORIGINAL KIDS</t>
        </is>
      </c>
      <c r="C2734" t="inlineStr">
        <is>
          <t>Manufactura / Kids / P. Superiores</t>
        </is>
      </c>
      <c r="D2734" t="n">
        <v>50.42345582999999</v>
      </c>
      <c r="E2734" t="n">
        <v>1.234530432860649e-05</v>
      </c>
      <c r="F2734" t="n">
        <v>0.9957057392471391</v>
      </c>
      <c r="G2734" t="inlineStr">
        <is>
          <t>C</t>
        </is>
      </c>
      <c r="H2734" t="n">
        <v>0</v>
      </c>
      <c r="I2734" t="n">
        <v>3.168013332</v>
      </c>
      <c r="J2734" t="n">
        <v>0</v>
      </c>
      <c r="K2734" t="n">
        <v>0.2</v>
      </c>
      <c r="L2734" t="n">
        <v>0</v>
      </c>
      <c r="M2734" t="n">
        <v>4</v>
      </c>
      <c r="N2734" t="n">
        <v>0.8</v>
      </c>
      <c r="O2734" t="n">
        <v>0</v>
      </c>
      <c r="P2734" t="n">
        <v>0</v>
      </c>
      <c r="Q2734" t="n">
        <v>0</v>
      </c>
      <c r="R2734" t="inlineStr">
        <is>
          <t>Sin rotación</t>
        </is>
      </c>
    </row>
    <row r="2735">
      <c r="A2735" t="inlineStr">
        <is>
          <t>MARMICA24T3XL</t>
        </is>
      </c>
      <c r="B2735" t="inlineStr">
        <is>
          <t>MAR ORIGINAL CAB</t>
        </is>
      </c>
      <c r="C2735" t="inlineStr">
        <is>
          <t>Manufactura / Caballero / P. Superiores</t>
        </is>
      </c>
      <c r="D2735" t="n">
        <v>50.3824288</v>
      </c>
      <c r="E2735" t="n">
        <v>1.233525957537188e-05</v>
      </c>
      <c r="F2735" t="n">
        <v>0.9957180745067146</v>
      </c>
      <c r="G2735" t="inlineStr">
        <is>
          <t>C</t>
        </is>
      </c>
      <c r="H2735" t="n">
        <v>0</v>
      </c>
      <c r="I2735" t="n">
        <v>4.946357428</v>
      </c>
      <c r="J2735" t="n">
        <v>0</v>
      </c>
      <c r="K2735" t="n">
        <v>0.1</v>
      </c>
      <c r="L2735" t="n">
        <v>0</v>
      </c>
      <c r="M2735" t="n">
        <v>4</v>
      </c>
      <c r="N2735" t="n">
        <v>0.4</v>
      </c>
      <c r="O2735" t="n">
        <v>0</v>
      </c>
      <c r="P2735" t="n">
        <v>0</v>
      </c>
      <c r="Q2735" t="n">
        <v>0</v>
      </c>
      <c r="R2735" t="inlineStr">
        <is>
          <t>Riesgo bajo stock</t>
        </is>
      </c>
    </row>
    <row r="2736">
      <c r="A2736" t="inlineStr">
        <is>
          <t>CLAMICA30T2XL</t>
        </is>
      </c>
      <c r="B2736" t="inlineStr">
        <is>
          <t>CLASICA ORIGINAL CAB</t>
        </is>
      </c>
      <c r="C2736" t="inlineStr">
        <is>
          <t>Manufactura / Caballero / P. Superiores</t>
        </is>
      </c>
      <c r="D2736" t="n">
        <v>50.25038513</v>
      </c>
      <c r="E2736" t="n">
        <v>1.230293098416401e-05</v>
      </c>
      <c r="F2736" t="n">
        <v>0.9957426803686829</v>
      </c>
      <c r="G2736" t="inlineStr">
        <is>
          <t>C</t>
        </is>
      </c>
      <c r="H2736" t="n">
        <v>1</v>
      </c>
      <c r="I2736" t="n">
        <v>4.598442536</v>
      </c>
      <c r="J2736" t="n">
        <v>4.598442536</v>
      </c>
      <c r="K2736" t="n">
        <v>0.1</v>
      </c>
      <c r="L2736" t="n">
        <v>10</v>
      </c>
      <c r="M2736" t="n">
        <v>4</v>
      </c>
      <c r="N2736" t="n">
        <v>0.4</v>
      </c>
      <c r="O2736" t="n">
        <v>0.6</v>
      </c>
      <c r="P2736" t="n">
        <v>2.7590655216</v>
      </c>
      <c r="Q2736" t="n">
        <v>0.6</v>
      </c>
      <c r="R2736" t="inlineStr">
        <is>
          <t>Sobrestock crítico</t>
        </is>
      </c>
    </row>
    <row r="2737">
      <c r="A2737" t="inlineStr">
        <is>
          <t>CLAMICA50TM</t>
        </is>
      </c>
      <c r="B2737" t="inlineStr">
        <is>
          <t>CLASICA ORIGINAL CAB</t>
        </is>
      </c>
      <c r="C2737" t="inlineStr">
        <is>
          <t>Manufactura / Caballero / P. Superiores</t>
        </is>
      </c>
      <c r="D2737" t="n">
        <v>50.25038513</v>
      </c>
      <c r="E2737" t="n">
        <v>1.230293098416401e-05</v>
      </c>
      <c r="F2737" t="n">
        <v>0.9957426803686829</v>
      </c>
      <c r="G2737" t="inlineStr">
        <is>
          <t>C</t>
        </is>
      </c>
      <c r="H2737" t="n">
        <v>0</v>
      </c>
      <c r="I2737" t="n">
        <v>4.598442536</v>
      </c>
      <c r="J2737" t="n">
        <v>0</v>
      </c>
      <c r="K2737" t="n">
        <v>0.2</v>
      </c>
      <c r="L2737" t="n">
        <v>0</v>
      </c>
      <c r="M2737" t="n">
        <v>4</v>
      </c>
      <c r="N2737" t="n">
        <v>0.8</v>
      </c>
      <c r="O2737" t="n">
        <v>0</v>
      </c>
      <c r="P2737" t="n">
        <v>0</v>
      </c>
      <c r="Q2737" t="n">
        <v>0</v>
      </c>
      <c r="R2737" t="inlineStr">
        <is>
          <t>Riesgo bajo stock</t>
        </is>
      </c>
    </row>
    <row r="2738">
      <c r="A2738" t="inlineStr">
        <is>
          <t>RIOMIDA14TXL</t>
        </is>
      </c>
      <c r="B2738" t="inlineStr">
        <is>
          <t>RIO ORIGINAL DAMA</t>
        </is>
      </c>
      <c r="C2738" t="inlineStr">
        <is>
          <t>Manufactura / Dama / P. Superiores</t>
        </is>
      </c>
      <c r="D2738" t="n">
        <v>50.22347961</v>
      </c>
      <c r="E2738" t="n">
        <v>1.229634363652883e-05</v>
      </c>
      <c r="F2738" t="n">
        <v>0.9957672730559558</v>
      </c>
      <c r="G2738" t="inlineStr">
        <is>
          <t>C</t>
        </is>
      </c>
      <c r="H2738" t="n">
        <v>0</v>
      </c>
      <c r="I2738" t="n">
        <v>5.538832275</v>
      </c>
      <c r="J2738" t="n">
        <v>0</v>
      </c>
      <c r="K2738" t="n">
        <v>0.1</v>
      </c>
      <c r="L2738" t="n">
        <v>0</v>
      </c>
      <c r="M2738" t="n">
        <v>4</v>
      </c>
      <c r="N2738" t="n">
        <v>0.4</v>
      </c>
      <c r="O2738" t="n">
        <v>0</v>
      </c>
      <c r="P2738" t="n">
        <v>0</v>
      </c>
      <c r="Q2738" t="n">
        <v>0</v>
      </c>
      <c r="R2738" t="inlineStr">
        <is>
          <t>Sin rotación</t>
        </is>
      </c>
    </row>
    <row r="2739">
      <c r="A2739" t="inlineStr">
        <is>
          <t>RIOMIDA24TXS</t>
        </is>
      </c>
      <c r="B2739" t="inlineStr">
        <is>
          <t>RIO ORIGINAL DAMA</t>
        </is>
      </c>
      <c r="C2739" t="inlineStr">
        <is>
          <t>Manufactura / Dama / P. Superiores</t>
        </is>
      </c>
      <c r="D2739" t="n">
        <v>50.22347961</v>
      </c>
      <c r="E2739" t="n">
        <v>1.229634363652883e-05</v>
      </c>
      <c r="F2739" t="n">
        <v>0.9957672730559558</v>
      </c>
      <c r="G2739" t="inlineStr">
        <is>
          <t>C</t>
        </is>
      </c>
      <c r="H2739" t="n">
        <v>0</v>
      </c>
      <c r="I2739" t="n">
        <v>5.538832275</v>
      </c>
      <c r="J2739" t="n">
        <v>0</v>
      </c>
      <c r="K2739" t="n">
        <v>0.1</v>
      </c>
      <c r="L2739" t="n">
        <v>0</v>
      </c>
      <c r="M2739" t="n">
        <v>4</v>
      </c>
      <c r="N2739" t="n">
        <v>0.4</v>
      </c>
      <c r="O2739" t="n">
        <v>0</v>
      </c>
      <c r="P2739" t="n">
        <v>0</v>
      </c>
      <c r="Q2739" t="n">
        <v>0</v>
      </c>
      <c r="R2739" t="inlineStr">
        <is>
          <t>Sin rotación</t>
        </is>
      </c>
    </row>
    <row r="2740">
      <c r="A2740" t="inlineStr">
        <is>
          <t>MARMIDA31TXS</t>
        </is>
      </c>
      <c r="B2740" t="inlineStr">
        <is>
          <t>MAR ORIGINAL DAMA</t>
        </is>
      </c>
      <c r="C2740" t="inlineStr">
        <is>
          <t>Manufactura / Dama / P. Superiores</t>
        </is>
      </c>
      <c r="D2740" t="n">
        <v>50.19189037</v>
      </c>
      <c r="E2740" t="n">
        <v>1.228860956168429e-05</v>
      </c>
      <c r="F2740" t="n">
        <v>0.9957795616655175</v>
      </c>
      <c r="G2740" t="inlineStr">
        <is>
          <t>C</t>
        </is>
      </c>
      <c r="H2740" t="n">
        <v>0</v>
      </c>
      <c r="I2740" t="n">
        <v>4.278324149</v>
      </c>
      <c r="J2740" t="n">
        <v>0</v>
      </c>
      <c r="K2740" t="n">
        <v>0.1</v>
      </c>
      <c r="L2740" t="n">
        <v>0</v>
      </c>
      <c r="M2740" t="n">
        <v>4</v>
      </c>
      <c r="N2740" t="n">
        <v>0.4</v>
      </c>
      <c r="O2740" t="n">
        <v>0</v>
      </c>
      <c r="P2740" t="n">
        <v>0</v>
      </c>
      <c r="Q2740" t="n">
        <v>0</v>
      </c>
      <c r="R2740" t="inlineStr">
        <is>
          <t>Sin rotación</t>
        </is>
      </c>
    </row>
    <row r="2741">
      <c r="A2741" t="inlineStr">
        <is>
          <t>DANMIKI30T10</t>
        </is>
      </c>
      <c r="B2741" t="inlineStr">
        <is>
          <t>DANI ORIGINAL KIDS</t>
        </is>
      </c>
      <c r="C2741" t="inlineStr">
        <is>
          <t>Manufactura / Kids / P. Superiores</t>
        </is>
      </c>
      <c r="D2741" t="n">
        <v>50</v>
      </c>
      <c r="E2741" t="n">
        <v>1.224162854905069e-05</v>
      </c>
      <c r="F2741" t="n">
        <v>0.9957918032940666</v>
      </c>
      <c r="G2741" t="inlineStr">
        <is>
          <t>C</t>
        </is>
      </c>
      <c r="H2741" t="n">
        <v>0</v>
      </c>
      <c r="I2741" t="n">
        <v>3.55</v>
      </c>
      <c r="J2741" t="n">
        <v>0</v>
      </c>
      <c r="K2741" t="n">
        <v>0.2</v>
      </c>
      <c r="L2741" t="n">
        <v>0</v>
      </c>
      <c r="M2741" t="n">
        <v>4</v>
      </c>
      <c r="N2741" t="n">
        <v>0.8</v>
      </c>
      <c r="O2741" t="n">
        <v>0</v>
      </c>
      <c r="P2741" t="n">
        <v>0</v>
      </c>
      <c r="Q2741" t="n">
        <v>0</v>
      </c>
      <c r="R2741" t="inlineStr">
        <is>
          <t>Riesgo bajo stock</t>
        </is>
      </c>
    </row>
    <row r="2742">
      <c r="A2742" t="inlineStr">
        <is>
          <t>CLAMIDA34TS</t>
        </is>
      </c>
      <c r="B2742" t="inlineStr">
        <is>
          <t>CLASICA ORIGINAL DAMA</t>
        </is>
      </c>
      <c r="C2742" t="inlineStr">
        <is>
          <t>Manufactura / Dama / P. Superiores</t>
        </is>
      </c>
      <c r="D2742" t="n">
        <v>49.93578408</v>
      </c>
      <c r="E2742" t="n">
        <v>1.222590640025918e-05</v>
      </c>
      <c r="F2742" t="n">
        <v>0.9958040292004668</v>
      </c>
      <c r="G2742" t="inlineStr">
        <is>
          <t>C</t>
        </is>
      </c>
      <c r="H2742" t="n">
        <v>0</v>
      </c>
      <c r="I2742" t="n">
        <v>3.923227589</v>
      </c>
      <c r="J2742" t="n">
        <v>0</v>
      </c>
      <c r="K2742" t="n">
        <v>0.7</v>
      </c>
      <c r="L2742" t="n">
        <v>0</v>
      </c>
      <c r="M2742" t="n">
        <v>4</v>
      </c>
      <c r="N2742" t="n">
        <v>2.8</v>
      </c>
      <c r="O2742" t="n">
        <v>0</v>
      </c>
      <c r="P2742" t="n">
        <v>0</v>
      </c>
      <c r="Q2742" t="n">
        <v>0</v>
      </c>
      <c r="R2742" t="inlineStr">
        <is>
          <t>Riesgo bajo stock</t>
        </is>
      </c>
    </row>
    <row r="2743">
      <c r="A2743" t="inlineStr">
        <is>
          <t>DAMSTDA43TS</t>
        </is>
      </c>
      <c r="B2743" t="inlineStr">
        <is>
          <t>MANGA LARGA DAILY DAMA</t>
        </is>
      </c>
      <c r="C2743" t="inlineStr">
        <is>
          <t>Manufactura / Dama / P. Superiores</t>
        </is>
      </c>
      <c r="D2743" t="n">
        <v>49.81397132</v>
      </c>
      <c r="E2743" t="n">
        <v>1.219608266905009e-05</v>
      </c>
      <c r="F2743" t="n">
        <v>0.9958162252831358</v>
      </c>
      <c r="G2743" t="inlineStr">
        <is>
          <t>C</t>
        </is>
      </c>
      <c r="H2743" t="n">
        <v>0</v>
      </c>
      <c r="I2743" t="n">
        <v>12.3</v>
      </c>
      <c r="J2743" t="n">
        <v>0</v>
      </c>
      <c r="K2743" t="n">
        <v>0.1</v>
      </c>
      <c r="L2743" t="n">
        <v>0</v>
      </c>
      <c r="M2743" t="n">
        <v>4</v>
      </c>
      <c r="N2743" t="n">
        <v>0.4</v>
      </c>
      <c r="O2743" t="n">
        <v>0</v>
      </c>
      <c r="P2743" t="n">
        <v>0</v>
      </c>
      <c r="Q2743" t="n">
        <v>0</v>
      </c>
      <c r="R2743" t="inlineStr">
        <is>
          <t>Sin rotación</t>
        </is>
      </c>
    </row>
    <row r="2744">
      <c r="A2744" t="inlineStr">
        <is>
          <t>MARMIDA16T2XL</t>
        </is>
      </c>
      <c r="B2744" t="inlineStr">
        <is>
          <t>MAR ORIGINAL DAMA</t>
        </is>
      </c>
      <c r="C2744" t="inlineStr">
        <is>
          <t>Manufactura / Dama / P. Superiores</t>
        </is>
      </c>
      <c r="D2744" t="n">
        <v>49.68371105</v>
      </c>
      <c r="E2744" t="n">
        <v>1.216419071224931e-05</v>
      </c>
      <c r="F2744" t="n">
        <v>0.9958283894738481</v>
      </c>
      <c r="G2744" t="inlineStr">
        <is>
          <t>C</t>
        </is>
      </c>
      <c r="H2744" t="n">
        <v>0</v>
      </c>
      <c r="I2744" t="n">
        <v>4.278324149</v>
      </c>
      <c r="J2744" t="n">
        <v>0</v>
      </c>
      <c r="K2744" t="n">
        <v>0.1</v>
      </c>
      <c r="L2744" t="n">
        <v>0</v>
      </c>
      <c r="M2744" t="n">
        <v>4</v>
      </c>
      <c r="N2744" t="n">
        <v>0.4</v>
      </c>
      <c r="O2744" t="n">
        <v>0</v>
      </c>
      <c r="P2744" t="n">
        <v>0</v>
      </c>
      <c r="Q2744" t="n">
        <v>0</v>
      </c>
      <c r="R2744" t="inlineStr">
        <is>
          <t>Sin rotación</t>
        </is>
      </c>
    </row>
    <row r="2745">
      <c r="A2745" t="inlineStr">
        <is>
          <t>RIOMICA14T3XL</t>
        </is>
      </c>
      <c r="B2745" t="inlineStr">
        <is>
          <t>RIO ORIGINAL CAB</t>
        </is>
      </c>
      <c r="C2745" t="inlineStr">
        <is>
          <t>Manufactura / Caballero / P. Superiores</t>
        </is>
      </c>
      <c r="D2745" t="n">
        <v>49.61698385</v>
      </c>
      <c r="E2745" t="n">
        <v>1.214785372031894e-05</v>
      </c>
      <c r="F2745" t="n">
        <v>0.9958648330350091</v>
      </c>
      <c r="G2745" t="inlineStr">
        <is>
          <t>C</t>
        </is>
      </c>
      <c r="H2745" t="n">
        <v>0</v>
      </c>
      <c r="I2745" t="n">
        <v>5.939350288</v>
      </c>
      <c r="J2745" t="n">
        <v>0</v>
      </c>
      <c r="K2745" t="n">
        <v>0.1</v>
      </c>
      <c r="L2745" t="n">
        <v>0</v>
      </c>
      <c r="M2745" t="n">
        <v>4</v>
      </c>
      <c r="N2745" t="n">
        <v>0.4</v>
      </c>
      <c r="O2745" t="n">
        <v>0</v>
      </c>
      <c r="P2745" t="n">
        <v>0</v>
      </c>
      <c r="Q2745" t="n">
        <v>0</v>
      </c>
      <c r="R2745" t="inlineStr">
        <is>
          <t>Sin rotación</t>
        </is>
      </c>
    </row>
    <row r="2746">
      <c r="A2746" t="inlineStr">
        <is>
          <t>RIOMIDA52TL</t>
        </is>
      </c>
      <c r="B2746" t="inlineStr">
        <is>
          <t>RIO ORIGINAL DAMA</t>
        </is>
      </c>
      <c r="C2746" t="inlineStr">
        <is>
          <t>Manufactura / Dama / P. Superiores</t>
        </is>
      </c>
      <c r="D2746" t="n">
        <v>49.61698385</v>
      </c>
      <c r="E2746" t="n">
        <v>1.214785372031894e-05</v>
      </c>
      <c r="F2746" t="n">
        <v>0.9958648330350091</v>
      </c>
      <c r="G2746" t="inlineStr">
        <is>
          <t>C</t>
        </is>
      </c>
      <c r="H2746" t="n">
        <v>0</v>
      </c>
      <c r="I2746" t="n">
        <v>5.538832275</v>
      </c>
      <c r="J2746" t="n">
        <v>0</v>
      </c>
      <c r="K2746" t="n">
        <v>0.1</v>
      </c>
      <c r="L2746" t="n">
        <v>0</v>
      </c>
      <c r="M2746" t="n">
        <v>4</v>
      </c>
      <c r="N2746" t="n">
        <v>0.4</v>
      </c>
      <c r="O2746" t="n">
        <v>0</v>
      </c>
      <c r="P2746" t="n">
        <v>0</v>
      </c>
      <c r="Q2746" t="n">
        <v>0</v>
      </c>
      <c r="R2746" t="inlineStr">
        <is>
          <t>Sin rotación</t>
        </is>
      </c>
    </row>
    <row r="2747">
      <c r="A2747" t="inlineStr">
        <is>
          <t>RIOMIDA09TXS</t>
        </is>
      </c>
      <c r="B2747" t="inlineStr">
        <is>
          <t>RIO ORIGINAL DAMA</t>
        </is>
      </c>
      <c r="C2747" t="inlineStr">
        <is>
          <t>Manufactura / Dama / P. Superiores</t>
        </is>
      </c>
      <c r="D2747" t="n">
        <v>49.61698385</v>
      </c>
      <c r="E2747" t="n">
        <v>1.214785372031894e-05</v>
      </c>
      <c r="F2747" t="n">
        <v>0.9958648330350091</v>
      </c>
      <c r="G2747" t="inlineStr">
        <is>
          <t>C</t>
        </is>
      </c>
      <c r="H2747" t="n">
        <v>0</v>
      </c>
      <c r="I2747" t="n">
        <v>5.538832275</v>
      </c>
      <c r="J2747" t="n">
        <v>0</v>
      </c>
      <c r="K2747" t="n">
        <v>0.1</v>
      </c>
      <c r="L2747" t="n">
        <v>0</v>
      </c>
      <c r="M2747" t="n">
        <v>4</v>
      </c>
      <c r="N2747" t="n">
        <v>0.4</v>
      </c>
      <c r="O2747" t="n">
        <v>0</v>
      </c>
      <c r="P2747" t="n">
        <v>0</v>
      </c>
      <c r="Q2747" t="n">
        <v>0</v>
      </c>
      <c r="R2747" t="inlineStr">
        <is>
          <t>Sin rotación</t>
        </is>
      </c>
    </row>
    <row r="2748">
      <c r="A2748" t="inlineStr">
        <is>
          <t>RIOMIKI34T1</t>
        </is>
      </c>
      <c r="B2748" t="inlineStr">
        <is>
          <t>RIO ORIGINAL KIDS</t>
        </is>
      </c>
      <c r="C2748" t="inlineStr">
        <is>
          <t>Manufactura / Kids / P. Superiores</t>
        </is>
      </c>
      <c r="D2748" t="n">
        <v>49.60256583</v>
      </c>
      <c r="E2748" t="n">
        <v>1.214432371941389e-05</v>
      </c>
      <c r="F2748" t="n">
        <v>0.9958769773587285</v>
      </c>
      <c r="G2748" t="inlineStr">
        <is>
          <t>C</t>
        </is>
      </c>
      <c r="H2748" t="n">
        <v>0</v>
      </c>
      <c r="I2748" t="n">
        <v>3.617969464</v>
      </c>
      <c r="J2748" t="n">
        <v>0</v>
      </c>
      <c r="K2748" t="n">
        <v>0.2</v>
      </c>
      <c r="L2748" t="n">
        <v>0</v>
      </c>
      <c r="M2748" t="n">
        <v>4</v>
      </c>
      <c r="N2748" t="n">
        <v>0.8</v>
      </c>
      <c r="O2748" t="n">
        <v>0</v>
      </c>
      <c r="P2748" t="n">
        <v>0</v>
      </c>
      <c r="Q2748" t="n">
        <v>0</v>
      </c>
      <c r="R2748" t="inlineStr">
        <is>
          <t>Sin rotación</t>
        </is>
      </c>
    </row>
    <row r="2749">
      <c r="A2749" t="inlineStr">
        <is>
          <t>BUFMIGE66TUN</t>
        </is>
      </c>
      <c r="B2749" t="inlineStr">
        <is>
          <t>FLEX COVER</t>
        </is>
      </c>
      <c r="C2749" t="inlineStr">
        <is>
          <t>Manufactura / General</t>
        </is>
      </c>
      <c r="D2749" t="n">
        <v>49.48970662</v>
      </c>
      <c r="E2749" t="n">
        <v>1.21166921088707e-05</v>
      </c>
      <c r="F2749" t="n">
        <v>0.9958890940508373</v>
      </c>
      <c r="G2749" t="inlineStr">
        <is>
          <t>C</t>
        </is>
      </c>
      <c r="H2749" t="n">
        <v>16</v>
      </c>
      <c r="I2749" t="n">
        <v>2.21</v>
      </c>
      <c r="J2749" t="n">
        <v>35.36</v>
      </c>
      <c r="K2749" t="n">
        <v>0.5</v>
      </c>
      <c r="L2749" t="n">
        <v>32</v>
      </c>
      <c r="M2749" t="n">
        <v>4</v>
      </c>
      <c r="N2749" t="n">
        <v>2</v>
      </c>
      <c r="O2749" t="n">
        <v>14</v>
      </c>
      <c r="P2749" t="n">
        <v>30.94</v>
      </c>
      <c r="Q2749" t="n">
        <v>0.875</v>
      </c>
      <c r="R2749" t="inlineStr">
        <is>
          <t>Sobrestock crítico</t>
        </is>
      </c>
    </row>
    <row r="2750">
      <c r="A2750" t="inlineStr">
        <is>
          <t>MARMIDA09TXL</t>
        </is>
      </c>
      <c r="B2750" t="inlineStr">
        <is>
          <t>MAR ORIGINAL DAMA</t>
        </is>
      </c>
      <c r="C2750" t="inlineStr">
        <is>
          <t>Manufactura / Dama / P. Superiores</t>
        </is>
      </c>
      <c r="D2750" t="n">
        <v>49.42116894</v>
      </c>
      <c r="E2750" t="n">
        <v>1.209991185246723e-05</v>
      </c>
      <c r="F2750" t="n">
        <v>0.9959011939626898</v>
      </c>
      <c r="G2750" t="inlineStr">
        <is>
          <t>C</t>
        </is>
      </c>
      <c r="H2750" t="n">
        <v>0</v>
      </c>
      <c r="I2750" t="n">
        <v>4.278324149</v>
      </c>
      <c r="J2750" t="n">
        <v>0</v>
      </c>
      <c r="K2750" t="n">
        <v>0.1</v>
      </c>
      <c r="L2750" t="n">
        <v>0</v>
      </c>
      <c r="M2750" t="n">
        <v>4</v>
      </c>
      <c r="N2750" t="n">
        <v>0.4</v>
      </c>
      <c r="O2750" t="n">
        <v>0</v>
      </c>
      <c r="P2750" t="n">
        <v>0</v>
      </c>
      <c r="Q2750" t="n">
        <v>0</v>
      </c>
      <c r="R2750" t="inlineStr">
        <is>
          <t>Sin rotación</t>
        </is>
      </c>
    </row>
    <row r="2751">
      <c r="A2751" t="inlineStr">
        <is>
          <t>SABMEDA43TXL</t>
        </is>
      </c>
      <c r="B2751" t="inlineStr">
        <is>
          <t>SABRI SPORT DAMA</t>
        </is>
      </c>
      <c r="C2751" t="inlineStr">
        <is>
          <t>Manufactura / Dama / P. Superiores</t>
        </is>
      </c>
      <c r="D2751" t="n">
        <v>49.31065053</v>
      </c>
      <c r="E2751" t="n">
        <v>1.207285334600619e-05</v>
      </c>
      <c r="F2751" t="n">
        <v>0.9959132668160358</v>
      </c>
      <c r="G2751" t="inlineStr">
        <is>
          <t>C</t>
        </is>
      </c>
      <c r="H2751" t="n">
        <v>21</v>
      </c>
      <c r="I2751" t="n">
        <v>4.51</v>
      </c>
      <c r="J2751" t="n">
        <v>94.70999999999999</v>
      </c>
      <c r="K2751" t="n">
        <v>0.1</v>
      </c>
      <c r="L2751" t="n">
        <v>210</v>
      </c>
      <c r="M2751" t="n">
        <v>4</v>
      </c>
      <c r="N2751" t="n">
        <v>0.4</v>
      </c>
      <c r="O2751" t="n">
        <v>20.6</v>
      </c>
      <c r="P2751" t="n">
        <v>92.90600000000001</v>
      </c>
      <c r="Q2751" t="n">
        <v>0.9809523809523811</v>
      </c>
      <c r="R2751" t="inlineStr">
        <is>
          <t>Sobrestock crítico</t>
        </is>
      </c>
    </row>
    <row r="2752">
      <c r="A2752" t="inlineStr">
        <is>
          <t>RIOMIDA30TS</t>
        </is>
      </c>
      <c r="B2752" t="inlineStr">
        <is>
          <t>RIO ORIGINAL DAMA</t>
        </is>
      </c>
      <c r="C2752" t="inlineStr">
        <is>
          <t>Manufactura / Dama / P. Superiores</t>
        </is>
      </c>
      <c r="D2752" t="n">
        <v>49.16095416</v>
      </c>
      <c r="E2752" t="n">
        <v>1.203620279887257e-05</v>
      </c>
      <c r="F2752" t="n">
        <v>0.9959253030188346</v>
      </c>
      <c r="G2752" t="inlineStr">
        <is>
          <t>C</t>
        </is>
      </c>
      <c r="H2752" t="n">
        <v>0</v>
      </c>
      <c r="I2752" t="n">
        <v>5.538832275</v>
      </c>
      <c r="J2752" t="n">
        <v>0</v>
      </c>
      <c r="K2752" t="n">
        <v>0.1</v>
      </c>
      <c r="L2752" t="n">
        <v>0</v>
      </c>
      <c r="M2752" t="n">
        <v>4</v>
      </c>
      <c r="N2752" t="n">
        <v>0.4</v>
      </c>
      <c r="O2752" t="n">
        <v>0</v>
      </c>
      <c r="P2752" t="n">
        <v>0</v>
      </c>
      <c r="Q2752" t="n">
        <v>0</v>
      </c>
      <c r="R2752" t="inlineStr">
        <is>
          <t>Sin rotación</t>
        </is>
      </c>
    </row>
    <row r="2753">
      <c r="A2753" t="inlineStr">
        <is>
          <t>RIOMICA09T3XL</t>
        </is>
      </c>
      <c r="B2753" t="inlineStr">
        <is>
          <t>RIO ORIGINAL CAB</t>
        </is>
      </c>
      <c r="C2753" t="inlineStr">
        <is>
          <t>Manufactura / Caballero / P. Superiores</t>
        </is>
      </c>
      <c r="D2753" t="n">
        <v>49.06282132</v>
      </c>
      <c r="E2753" t="n">
        <v>1.20121766833577e-05</v>
      </c>
      <c r="F2753" t="n">
        <v>0.9959373151955181</v>
      </c>
      <c r="G2753" t="inlineStr">
        <is>
          <t>C</t>
        </is>
      </c>
      <c r="H2753" t="n">
        <v>0</v>
      </c>
      <c r="I2753" t="n">
        <v>5.939350288</v>
      </c>
      <c r="J2753" t="n">
        <v>0</v>
      </c>
      <c r="K2753" t="n">
        <v>0.1</v>
      </c>
      <c r="L2753" t="n">
        <v>0</v>
      </c>
      <c r="M2753" t="n">
        <v>4</v>
      </c>
      <c r="N2753" t="n">
        <v>0.4</v>
      </c>
      <c r="O2753" t="n">
        <v>0</v>
      </c>
      <c r="P2753" t="n">
        <v>0</v>
      </c>
      <c r="Q2753" t="n">
        <v>0</v>
      </c>
      <c r="R2753" t="inlineStr">
        <is>
          <t>Sin rotación</t>
        </is>
      </c>
    </row>
    <row r="2754">
      <c r="A2754" t="inlineStr">
        <is>
          <t>PETMIPE01TM</t>
        </is>
      </c>
      <c r="B2754" t="inlineStr">
        <is>
          <t>BANDANA PET</t>
        </is>
      </c>
      <c r="C2754" t="inlineStr">
        <is>
          <t>Manufactura / General</t>
        </is>
      </c>
      <c r="D2754" t="n">
        <v>48.938399066</v>
      </c>
      <c r="E2754" t="n">
        <v>1.198171406302363e-05</v>
      </c>
      <c r="F2754" t="n">
        <v>0.995949296909581</v>
      </c>
      <c r="G2754" t="inlineStr">
        <is>
          <t>C</t>
        </is>
      </c>
      <c r="H2754" t="n">
        <v>47</v>
      </c>
      <c r="I2754" t="n">
        <v>0.3252662283</v>
      </c>
      <c r="J2754" t="n">
        <v>15.2875127301</v>
      </c>
      <c r="K2754" t="n">
        <v>0.5</v>
      </c>
      <c r="L2754" t="n">
        <v>94</v>
      </c>
      <c r="M2754" t="n">
        <v>4</v>
      </c>
      <c r="N2754" t="n">
        <v>2</v>
      </c>
      <c r="O2754" t="n">
        <v>45</v>
      </c>
      <c r="P2754" t="n">
        <v>14.6369802735</v>
      </c>
      <c r="Q2754" t="n">
        <v>0.9574468085106382</v>
      </c>
      <c r="R2754" t="inlineStr">
        <is>
          <t>Sobrestock crítico</t>
        </is>
      </c>
    </row>
    <row r="2755">
      <c r="A2755" t="inlineStr">
        <is>
          <t>DANMIKI11T6</t>
        </is>
      </c>
      <c r="B2755" t="inlineStr">
        <is>
          <t>DANI ORIGINAL KIDS</t>
        </is>
      </c>
      <c r="C2755" t="inlineStr">
        <is>
          <t>Manufactura / Kids / P. Superiores</t>
        </is>
      </c>
      <c r="D2755" t="n">
        <v>48.83803803</v>
      </c>
      <c r="E2755" t="n">
        <v>1.195714241255343e-05</v>
      </c>
      <c r="F2755" t="n">
        <v>0.9959612540519936</v>
      </c>
      <c r="G2755" t="inlineStr">
        <is>
          <t>C</t>
        </is>
      </c>
      <c r="H2755" t="n">
        <v>6</v>
      </c>
      <c r="I2755" t="n">
        <v>3.55</v>
      </c>
      <c r="J2755" t="n">
        <v>21.3</v>
      </c>
      <c r="K2755" t="n">
        <v>0.2</v>
      </c>
      <c r="L2755" t="n">
        <v>30</v>
      </c>
      <c r="M2755" t="n">
        <v>4</v>
      </c>
      <c r="N2755" t="n">
        <v>0.8</v>
      </c>
      <c r="O2755" t="n">
        <v>5.2</v>
      </c>
      <c r="P2755" t="n">
        <v>18.46</v>
      </c>
      <c r="Q2755" t="n">
        <v>0.8666666666666668</v>
      </c>
      <c r="R2755" t="inlineStr">
        <is>
          <t>Sobrestock crítico</t>
        </is>
      </c>
    </row>
    <row r="2756">
      <c r="A2756" t="inlineStr">
        <is>
          <t>ANDMIDA01TXS</t>
        </is>
      </c>
      <c r="B2756" t="inlineStr">
        <is>
          <t>ANDRE ORIGINAL DAMA</t>
        </is>
      </c>
      <c r="C2756" t="inlineStr">
        <is>
          <t>Manufactura / Dama / P. Superiores</t>
        </is>
      </c>
      <c r="D2756" t="n">
        <v>48.61050641</v>
      </c>
      <c r="E2756" t="n">
        <v>1.190143526104935e-05</v>
      </c>
      <c r="F2756" t="n">
        <v>0.9959731554872547</v>
      </c>
      <c r="G2756" t="inlineStr">
        <is>
          <t>C</t>
        </is>
      </c>
      <c r="H2756" t="n">
        <v>1</v>
      </c>
      <c r="I2756" t="n">
        <v>3.274295302</v>
      </c>
      <c r="J2756" t="n">
        <v>3.274295302</v>
      </c>
      <c r="K2756" t="n">
        <v>0.1</v>
      </c>
      <c r="L2756" t="n">
        <v>10</v>
      </c>
      <c r="M2756" t="n">
        <v>4</v>
      </c>
      <c r="N2756" t="n">
        <v>0.4</v>
      </c>
      <c r="O2756" t="n">
        <v>0.6</v>
      </c>
      <c r="P2756" t="n">
        <v>1.9645771812</v>
      </c>
      <c r="Q2756" t="n">
        <v>0.6</v>
      </c>
      <c r="R2756" t="inlineStr">
        <is>
          <t>Sin rotación</t>
        </is>
      </c>
    </row>
    <row r="2757">
      <c r="A2757" t="inlineStr">
        <is>
          <t>DALSSTCA30TXL</t>
        </is>
      </c>
      <c r="B2757" t="inlineStr">
        <is>
          <t>MANGA LARGA DAILY 2.0 CAB</t>
        </is>
      </c>
      <c r="C2757" t="inlineStr">
        <is>
          <t>Manufactura / Caballero / P. Superiores</t>
        </is>
      </c>
      <c r="D2757" t="n">
        <v>48.58667785</v>
      </c>
      <c r="E2757" t="n">
        <v>1.189560125344178e-05</v>
      </c>
      <c r="F2757" t="n">
        <v>0.9959850510885081</v>
      </c>
      <c r="G2757" t="inlineStr">
        <is>
          <t>C</t>
        </is>
      </c>
      <c r="H2757" t="n">
        <v>2</v>
      </c>
      <c r="I2757" t="n">
        <v>14.21</v>
      </c>
      <c r="J2757" t="n">
        <v>28.42</v>
      </c>
      <c r="K2757" t="n">
        <v>0.1</v>
      </c>
      <c r="L2757" t="n">
        <v>20</v>
      </c>
      <c r="M2757" t="n">
        <v>4</v>
      </c>
      <c r="N2757" t="n">
        <v>0.4</v>
      </c>
      <c r="O2757" t="n">
        <v>1.6</v>
      </c>
      <c r="P2757" t="n">
        <v>22.736</v>
      </c>
      <c r="Q2757" t="n">
        <v>0.8000000000000002</v>
      </c>
      <c r="R2757" t="inlineStr">
        <is>
          <t>Sobrestock crítico</t>
        </is>
      </c>
    </row>
    <row r="2758">
      <c r="A2758" t="inlineStr">
        <is>
          <t>CAP40SC</t>
        </is>
      </c>
      <c r="B2758" t="inlineStr">
        <is>
          <t>CAP SOLID</t>
        </is>
      </c>
      <c r="C2758" t="inlineStr">
        <is>
          <t>Equipamiento / Gorras</t>
        </is>
      </c>
      <c r="D2758" t="n">
        <v>48.18485613</v>
      </c>
      <c r="E2758" t="n">
        <v>1.179722220865817e-05</v>
      </c>
      <c r="F2758" t="n">
        <v>0.9959968483107168</v>
      </c>
      <c r="G2758" t="inlineStr">
        <is>
          <t>C</t>
        </is>
      </c>
      <c r="H2758" t="n">
        <v>0</v>
      </c>
      <c r="I2758" t="n">
        <v>0</v>
      </c>
      <c r="J2758" t="n">
        <v>0</v>
      </c>
      <c r="K2758" t="n">
        <v>0.2</v>
      </c>
      <c r="L2758" t="n">
        <v>0</v>
      </c>
      <c r="M2758" t="n">
        <v>4</v>
      </c>
      <c r="N2758" t="n">
        <v>0.8</v>
      </c>
      <c r="O2758" t="n">
        <v>0</v>
      </c>
      <c r="P2758" t="n">
        <v>0</v>
      </c>
      <c r="Q2758" t="n">
        <v>0</v>
      </c>
      <c r="R2758" t="inlineStr">
        <is>
          <t>Sin rotación</t>
        </is>
      </c>
    </row>
    <row r="2759">
      <c r="A2759" t="inlineStr">
        <is>
          <t>CLADFCA30TM</t>
        </is>
      </c>
      <c r="B2759" t="inlineStr">
        <is>
          <t>CLASICA ADVANCE CAB</t>
        </is>
      </c>
      <c r="C2759" t="inlineStr">
        <is>
          <t>Manufactura / Caballero / P. Superiores</t>
        </is>
      </c>
      <c r="D2759" t="n">
        <v>47.97587683</v>
      </c>
      <c r="E2759" t="n">
        <v>1.174605726935735e-05</v>
      </c>
      <c r="F2759" t="n">
        <v>0.9960085943679861</v>
      </c>
      <c r="G2759" t="inlineStr">
        <is>
          <t>C</t>
        </is>
      </c>
      <c r="H2759" t="n">
        <v>0</v>
      </c>
      <c r="I2759" t="n">
        <v>15.51</v>
      </c>
      <c r="J2759" t="n">
        <v>0</v>
      </c>
      <c r="K2759" t="n">
        <v>0.1</v>
      </c>
      <c r="L2759" t="n">
        <v>0</v>
      </c>
      <c r="M2759" t="n">
        <v>4</v>
      </c>
      <c r="N2759" t="n">
        <v>0.4</v>
      </c>
      <c r="O2759" t="n">
        <v>0</v>
      </c>
      <c r="P2759" t="n">
        <v>0</v>
      </c>
      <c r="Q2759" t="n">
        <v>0</v>
      </c>
      <c r="R2759" t="inlineStr">
        <is>
          <t>Sin rotación</t>
        </is>
      </c>
    </row>
    <row r="2760">
      <c r="A2760" t="inlineStr">
        <is>
          <t>ZOEMIKI12T14</t>
        </is>
      </c>
      <c r="B2760" t="inlineStr">
        <is>
          <t>ZOE ORIGINAL KIDS</t>
        </is>
      </c>
      <c r="C2760" t="inlineStr">
        <is>
          <t>Manufactura / Kids / P. Superiores</t>
        </is>
      </c>
      <c r="D2760" t="n">
        <v>47.78023509</v>
      </c>
      <c r="E2760" t="n">
        <v>1.169815779916195e-05</v>
      </c>
      <c r="F2760" t="n">
        <v>0.9960202925257854</v>
      </c>
      <c r="G2760" t="inlineStr">
        <is>
          <t>C</t>
        </is>
      </c>
      <c r="H2760" t="n">
        <v>1</v>
      </c>
      <c r="I2760" t="n">
        <v>4.12</v>
      </c>
      <c r="J2760" t="n">
        <v>4.12</v>
      </c>
      <c r="K2760" t="n">
        <v>0.1</v>
      </c>
      <c r="L2760" t="n">
        <v>10</v>
      </c>
      <c r="M2760" t="n">
        <v>4</v>
      </c>
      <c r="N2760" t="n">
        <v>0.4</v>
      </c>
      <c r="O2760" t="n">
        <v>0.6</v>
      </c>
      <c r="P2760" t="n">
        <v>2.472</v>
      </c>
      <c r="Q2760" t="n">
        <v>0.6</v>
      </c>
      <c r="R2760" t="inlineStr">
        <is>
          <t>Sobrestock crítico</t>
        </is>
      </c>
    </row>
    <row r="2761">
      <c r="A2761" t="inlineStr">
        <is>
          <t>TALGTADA166TS</t>
        </is>
      </c>
      <c r="B2761" t="inlineStr">
        <is>
          <t>URBAN COTTON TOP SAY YES DAMA</t>
        </is>
      </c>
      <c r="C2761" t="inlineStr">
        <is>
          <t>Manufactura / Dama / P. Superiores</t>
        </is>
      </c>
      <c r="D2761" t="n">
        <v>47.61961656</v>
      </c>
      <c r="E2761" t="n">
        <v>1.165883315151486e-05</v>
      </c>
      <c r="F2761" t="n">
        <v>0.9960319513589367</v>
      </c>
      <c r="G2761" t="inlineStr">
        <is>
          <t>C</t>
        </is>
      </c>
      <c r="H2761" t="n">
        <v>21</v>
      </c>
      <c r="I2761" t="n">
        <v>6.639983317</v>
      </c>
      <c r="J2761" t="n">
        <v>139.439649657</v>
      </c>
      <c r="K2761" t="n">
        <v>0.3</v>
      </c>
      <c r="L2761" t="n">
        <v>70</v>
      </c>
      <c r="M2761" t="n">
        <v>4</v>
      </c>
      <c r="N2761" t="n">
        <v>1.2</v>
      </c>
      <c r="O2761" t="n">
        <v>19.8</v>
      </c>
      <c r="P2761" t="n">
        <v>131.4716696766</v>
      </c>
      <c r="Q2761" t="n">
        <v>0.9428571428571428</v>
      </c>
      <c r="R2761" t="inlineStr">
        <is>
          <t>Sobrestock crítico</t>
        </is>
      </c>
    </row>
    <row r="2762">
      <c r="A2762" t="inlineStr">
        <is>
          <t>CLAMICA01TXL</t>
        </is>
      </c>
      <c r="B2762" t="inlineStr">
        <is>
          <t>CLASICA ORIGINAL CAB</t>
        </is>
      </c>
      <c r="C2762" t="inlineStr">
        <is>
          <t>Manufactura / Caballero / P. Superiores</t>
        </is>
      </c>
      <c r="D2762" t="n">
        <v>47.56015363</v>
      </c>
      <c r="E2762" t="n">
        <v>1.16442746894849e-05</v>
      </c>
      <c r="F2762" t="n">
        <v>0.9960435956336263</v>
      </c>
      <c r="G2762" t="inlineStr">
        <is>
          <t>C</t>
        </is>
      </c>
      <c r="H2762" t="n">
        <v>4</v>
      </c>
      <c r="I2762" t="n">
        <v>4.598442536</v>
      </c>
      <c r="J2762" t="n">
        <v>18.393770144</v>
      </c>
      <c r="K2762" t="n">
        <v>0.1</v>
      </c>
      <c r="L2762" t="n">
        <v>40</v>
      </c>
      <c r="M2762" t="n">
        <v>4</v>
      </c>
      <c r="N2762" t="n">
        <v>0.4</v>
      </c>
      <c r="O2762" t="n">
        <v>3.6</v>
      </c>
      <c r="P2762" t="n">
        <v>16.5543931296</v>
      </c>
      <c r="Q2762" t="n">
        <v>0.9</v>
      </c>
      <c r="R2762" t="inlineStr">
        <is>
          <t>Sobrestock crítico</t>
        </is>
      </c>
    </row>
    <row r="2763">
      <c r="A2763" t="inlineStr">
        <is>
          <t>SHR2VICA43TXL</t>
        </is>
      </c>
      <c r="B2763" t="inlineStr">
        <is>
          <t>SHORT R2 CAB</t>
        </is>
      </c>
      <c r="C2763" t="inlineStr">
        <is>
          <t>Manufactura / Dama / P. Inferiores</t>
        </is>
      </c>
      <c r="D2763" t="n">
        <v>47.50976661</v>
      </c>
      <c r="E2763" t="n">
        <v>1.163193830583423e-05</v>
      </c>
      <c r="F2763" t="n">
        <v>0.9960552275719322</v>
      </c>
      <c r="G2763" t="inlineStr">
        <is>
          <t>C</t>
        </is>
      </c>
      <c r="H2763" t="n">
        <v>1</v>
      </c>
      <c r="I2763" t="n">
        <v>9.119999999999999</v>
      </c>
      <c r="J2763" t="n">
        <v>9.119999999999999</v>
      </c>
      <c r="K2763" t="n">
        <v>0.1</v>
      </c>
      <c r="L2763" t="n">
        <v>10</v>
      </c>
      <c r="M2763" t="n">
        <v>4</v>
      </c>
      <c r="N2763" t="n">
        <v>0.4</v>
      </c>
      <c r="O2763" t="n">
        <v>0.6</v>
      </c>
      <c r="P2763" t="n">
        <v>5.472</v>
      </c>
      <c r="Q2763" t="n">
        <v>0.6</v>
      </c>
      <c r="R2763" t="inlineStr">
        <is>
          <t>Sobrestock crítico</t>
        </is>
      </c>
    </row>
    <row r="2764">
      <c r="A2764" t="inlineStr">
        <is>
          <t>MARMIDA05TS</t>
        </is>
      </c>
      <c r="B2764" t="inlineStr">
        <is>
          <t>MAR ORIGINAL DAMA</t>
        </is>
      </c>
      <c r="C2764" t="inlineStr">
        <is>
          <t>Manufactura / Dama / P. Superiores</t>
        </is>
      </c>
      <c r="D2764" t="n">
        <v>47.42233168</v>
      </c>
      <c r="E2764" t="n">
        <v>1.161053138712878e-05</v>
      </c>
      <c r="F2764" t="n">
        <v>0.9960668381033192</v>
      </c>
      <c r="G2764" t="inlineStr">
        <is>
          <t>C</t>
        </is>
      </c>
      <c r="H2764" t="n">
        <v>0</v>
      </c>
      <c r="I2764" t="n">
        <v>4.278324149</v>
      </c>
      <c r="J2764" t="n">
        <v>0</v>
      </c>
      <c r="K2764" t="n">
        <v>0.1</v>
      </c>
      <c r="L2764" t="n">
        <v>0</v>
      </c>
      <c r="M2764" t="n">
        <v>4</v>
      </c>
      <c r="N2764" t="n">
        <v>0.4</v>
      </c>
      <c r="O2764" t="n">
        <v>0</v>
      </c>
      <c r="P2764" t="n">
        <v>0</v>
      </c>
      <c r="Q2764" t="n">
        <v>0</v>
      </c>
      <c r="R2764" t="inlineStr">
        <is>
          <t>Sin rotación</t>
        </is>
      </c>
    </row>
    <row r="2765">
      <c r="A2765" t="inlineStr">
        <is>
          <t>SMLBLIDA16TXS</t>
        </is>
      </c>
      <c r="B2765" t="inlineStr">
        <is>
          <t>SPOTS MANGA LARGA DAMA</t>
        </is>
      </c>
      <c r="C2765" t="inlineStr">
        <is>
          <t>Manufactura / Dama / P. Superiores</t>
        </is>
      </c>
      <c r="D2765" t="n">
        <v>47.41</v>
      </c>
      <c r="E2765" t="n">
        <v>1.160751219020987e-05</v>
      </c>
      <c r="F2765" t="n">
        <v>0.9960900531276997</v>
      </c>
      <c r="G2765" t="inlineStr">
        <is>
          <t>C</t>
        </is>
      </c>
      <c r="H2765" t="n">
        <v>10</v>
      </c>
      <c r="I2765" t="n">
        <v>12.89</v>
      </c>
      <c r="J2765" t="n">
        <v>128.9</v>
      </c>
      <c r="K2765" t="n">
        <v>0.2</v>
      </c>
      <c r="L2765" t="n">
        <v>50</v>
      </c>
      <c r="M2765" t="n">
        <v>4</v>
      </c>
      <c r="N2765" t="n">
        <v>0.8</v>
      </c>
      <c r="O2765" t="n">
        <v>9.199999999999999</v>
      </c>
      <c r="P2765" t="n">
        <v>118.588</v>
      </c>
      <c r="Q2765" t="n">
        <v>0.9199999999999999</v>
      </c>
      <c r="R2765" t="inlineStr">
        <is>
          <t>Sobrestock crítico</t>
        </is>
      </c>
    </row>
    <row r="2766">
      <c r="A2766" t="inlineStr">
        <is>
          <t>SMLBLICA16TL</t>
        </is>
      </c>
      <c r="B2766" t="inlineStr">
        <is>
          <t>SPOTS MANGA LARGA CAB</t>
        </is>
      </c>
      <c r="C2766" t="inlineStr">
        <is>
          <t>Manufactura / Caballero / P. Superiores</t>
        </is>
      </c>
      <c r="D2766" t="n">
        <v>47.41</v>
      </c>
      <c r="E2766" t="n">
        <v>1.160751219020987e-05</v>
      </c>
      <c r="F2766" t="n">
        <v>0.9960900531276997</v>
      </c>
      <c r="G2766" t="inlineStr">
        <is>
          <t>C</t>
        </is>
      </c>
      <c r="H2766" t="n">
        <v>18</v>
      </c>
      <c r="I2766" t="n">
        <v>12.89</v>
      </c>
      <c r="J2766" t="n">
        <v>232.02</v>
      </c>
      <c r="K2766" t="n">
        <v>0.2</v>
      </c>
      <c r="L2766" t="n">
        <v>90</v>
      </c>
      <c r="M2766" t="n">
        <v>4</v>
      </c>
      <c r="N2766" t="n">
        <v>0.8</v>
      </c>
      <c r="O2766" t="n">
        <v>17.2</v>
      </c>
      <c r="P2766" t="n">
        <v>221.708</v>
      </c>
      <c r="Q2766" t="n">
        <v>0.9555555555555555</v>
      </c>
      <c r="R2766" t="inlineStr">
        <is>
          <t>Sobrestock crítico</t>
        </is>
      </c>
    </row>
    <row r="2767">
      <c r="A2767" t="inlineStr">
        <is>
          <t>COTFTKI43T6</t>
        </is>
      </c>
      <c r="B2767" t="inlineStr">
        <is>
          <t>COTTON SWEATER KIDS</t>
        </is>
      </c>
      <c r="C2767" t="inlineStr">
        <is>
          <t>Manufactura / Kids / P. Superiores</t>
        </is>
      </c>
      <c r="D2767" t="n">
        <v>47.39060675</v>
      </c>
      <c r="E2767" t="n">
        <v>1.160276409095269e-05</v>
      </c>
      <c r="F2767" t="n">
        <v>0.9961016558917907</v>
      </c>
      <c r="G2767" t="inlineStr">
        <is>
          <t>C</t>
        </is>
      </c>
      <c r="H2767" t="n">
        <v>0</v>
      </c>
      <c r="I2767" t="n">
        <v>0</v>
      </c>
      <c r="J2767" t="n">
        <v>0</v>
      </c>
      <c r="K2767" t="n">
        <v>0.2</v>
      </c>
      <c r="L2767" t="n">
        <v>0</v>
      </c>
      <c r="M2767" t="n">
        <v>4</v>
      </c>
      <c r="N2767" t="n">
        <v>0.8</v>
      </c>
      <c r="O2767" t="n">
        <v>0</v>
      </c>
      <c r="P2767" t="n">
        <v>0</v>
      </c>
      <c r="Q2767" t="n">
        <v>0</v>
      </c>
      <c r="R2767" t="inlineStr">
        <is>
          <t>Riesgo bajo stock</t>
        </is>
      </c>
    </row>
    <row r="2768">
      <c r="A2768" t="inlineStr">
        <is>
          <t>TRISTDA43TXS</t>
        </is>
      </c>
      <c r="B2768" t="inlineStr">
        <is>
          <t>RETRO VZLA DAMA</t>
        </is>
      </c>
      <c r="C2768" t="inlineStr">
        <is>
          <t>Manufactura / Dama / P. Superiores</t>
        </is>
      </c>
      <c r="D2768" t="n">
        <v>47.3895352</v>
      </c>
      <c r="E2768" t="n">
        <v>1.160250174061125e-05</v>
      </c>
      <c r="F2768" t="n">
        <v>0.9961132583935313</v>
      </c>
      <c r="G2768" t="inlineStr">
        <is>
          <t>C</t>
        </is>
      </c>
      <c r="H2768" t="n">
        <v>2</v>
      </c>
      <c r="I2768" t="n">
        <v>11.23</v>
      </c>
      <c r="J2768" t="n">
        <v>22.46</v>
      </c>
      <c r="K2768" t="n">
        <v>0.1</v>
      </c>
      <c r="L2768" t="n">
        <v>20</v>
      </c>
      <c r="M2768" t="n">
        <v>4</v>
      </c>
      <c r="N2768" t="n">
        <v>0.4</v>
      </c>
      <c r="O2768" t="n">
        <v>1.6</v>
      </c>
      <c r="P2768" t="n">
        <v>17.968</v>
      </c>
      <c r="Q2768" t="n">
        <v>0.7999999999999999</v>
      </c>
      <c r="R2768" t="inlineStr">
        <is>
          <t>Sobrestock crítico</t>
        </is>
      </c>
    </row>
    <row r="2769">
      <c r="A2769" t="inlineStr">
        <is>
          <t>MARMIDA05TXL</t>
        </is>
      </c>
      <c r="B2769" t="inlineStr">
        <is>
          <t>MAR ORIGINAL DAMA</t>
        </is>
      </c>
      <c r="C2769" t="inlineStr">
        <is>
          <t>Manufactura / Dama / P. Superiores</t>
        </is>
      </c>
      <c r="D2769" t="n">
        <v>47.38220438</v>
      </c>
      <c r="E2769" t="n">
        <v>1.160070691710325e-05</v>
      </c>
      <c r="F2769" t="n">
        <v>0.9961480605142826</v>
      </c>
      <c r="G2769" t="inlineStr">
        <is>
          <t>C</t>
        </is>
      </c>
      <c r="H2769" t="n">
        <v>0</v>
      </c>
      <c r="I2769" t="n">
        <v>4.278324149</v>
      </c>
      <c r="J2769" t="n">
        <v>0</v>
      </c>
      <c r="K2769" t="n">
        <v>0.2</v>
      </c>
      <c r="L2769" t="n">
        <v>0</v>
      </c>
      <c r="M2769" t="n">
        <v>4</v>
      </c>
      <c r="N2769" t="n">
        <v>0.8</v>
      </c>
      <c r="O2769" t="n">
        <v>0</v>
      </c>
      <c r="P2769" t="n">
        <v>0</v>
      </c>
      <c r="Q2769" t="n">
        <v>0</v>
      </c>
      <c r="R2769" t="inlineStr">
        <is>
          <t>Sin rotación</t>
        </is>
      </c>
    </row>
    <row r="2770">
      <c r="A2770" t="inlineStr">
        <is>
          <t>SHONTDA33TXS</t>
        </is>
      </c>
      <c r="B2770" t="inlineStr">
        <is>
          <t>EXPLORE SHORT DAMA</t>
        </is>
      </c>
      <c r="C2770" t="inlineStr">
        <is>
          <t>Manufactura / Dama / P. Inferiores</t>
        </is>
      </c>
      <c r="D2770" t="n">
        <v>47.38220438</v>
      </c>
      <c r="E2770" t="n">
        <v>1.160070691710325e-05</v>
      </c>
      <c r="F2770" t="n">
        <v>0.9961480605142826</v>
      </c>
      <c r="G2770" t="inlineStr">
        <is>
          <t>C</t>
        </is>
      </c>
      <c r="H2770" t="n">
        <v>11</v>
      </c>
      <c r="I2770" t="n">
        <v>10.22113744</v>
      </c>
      <c r="J2770" t="n">
        <v>112.43251184</v>
      </c>
      <c r="K2770" t="n">
        <v>0.1</v>
      </c>
      <c r="L2770" t="n">
        <v>110</v>
      </c>
      <c r="M2770" t="n">
        <v>4</v>
      </c>
      <c r="N2770" t="n">
        <v>0.4</v>
      </c>
      <c r="O2770" t="n">
        <v>10.6</v>
      </c>
      <c r="P2770" t="n">
        <v>108.344056864</v>
      </c>
      <c r="Q2770" t="n">
        <v>0.9636363636363637</v>
      </c>
      <c r="R2770" t="inlineStr">
        <is>
          <t>Sin rotación</t>
        </is>
      </c>
    </row>
    <row r="2771">
      <c r="A2771" t="inlineStr">
        <is>
          <t>SHONTCA33TXL</t>
        </is>
      </c>
      <c r="B2771" t="inlineStr">
        <is>
          <t>EXPLORE SHORT CAB</t>
        </is>
      </c>
      <c r="C2771" t="inlineStr">
        <is>
          <t>Manufactura / Caballero / P. Inferiores</t>
        </is>
      </c>
      <c r="D2771" t="n">
        <v>47.38220438</v>
      </c>
      <c r="E2771" t="n">
        <v>1.160070691710325e-05</v>
      </c>
      <c r="F2771" t="n">
        <v>0.9961480605142826</v>
      </c>
      <c r="G2771" t="inlineStr">
        <is>
          <t>C</t>
        </is>
      </c>
      <c r="H2771" t="n">
        <v>0</v>
      </c>
      <c r="I2771" t="n">
        <v>11.17</v>
      </c>
      <c r="J2771" t="n">
        <v>0</v>
      </c>
      <c r="K2771" t="n">
        <v>0.1</v>
      </c>
      <c r="L2771" t="n">
        <v>0</v>
      </c>
      <c r="M2771" t="n">
        <v>4</v>
      </c>
      <c r="N2771" t="n">
        <v>0.4</v>
      </c>
      <c r="O2771" t="n">
        <v>0</v>
      </c>
      <c r="P2771" t="n">
        <v>0</v>
      </c>
      <c r="Q2771" t="n">
        <v>0</v>
      </c>
      <c r="R2771" t="inlineStr">
        <is>
          <t>Sin rotación</t>
        </is>
      </c>
    </row>
    <row r="2772">
      <c r="A2772" t="inlineStr">
        <is>
          <t>CGCSKI16T10</t>
        </is>
      </c>
      <c r="B2772" t="inlineStr">
        <is>
          <t>CLASICA GC SUBLIMADO KIDS</t>
        </is>
      </c>
      <c r="C2772" t="inlineStr">
        <is>
          <t>Manufactura / Kids / P. Superiores</t>
        </is>
      </c>
      <c r="D2772" t="n">
        <v>47.11308912</v>
      </c>
      <c r="E2772" t="n">
        <v>1.153481873610723e-05</v>
      </c>
      <c r="F2772" t="n">
        <v>0.996182664970491</v>
      </c>
      <c r="G2772" t="inlineStr">
        <is>
          <t>C</t>
        </is>
      </c>
      <c r="H2772" t="n">
        <v>0</v>
      </c>
      <c r="I2772" t="n">
        <v>0</v>
      </c>
      <c r="J2772" t="n">
        <v>0</v>
      </c>
      <c r="K2772" t="n">
        <v>0.1</v>
      </c>
      <c r="L2772" t="n">
        <v>0</v>
      </c>
      <c r="M2772" t="n">
        <v>4</v>
      </c>
      <c r="N2772" t="n">
        <v>0.4</v>
      </c>
      <c r="O2772" t="n">
        <v>0</v>
      </c>
      <c r="P2772" t="n">
        <v>0</v>
      </c>
      <c r="Q2772" t="n">
        <v>0</v>
      </c>
      <c r="R2772" t="inlineStr">
        <is>
          <t>Riesgo bajo stock</t>
        </is>
      </c>
    </row>
    <row r="2773">
      <c r="A2773" t="inlineStr">
        <is>
          <t>CGCSKI16T12</t>
        </is>
      </c>
      <c r="B2773" t="inlineStr">
        <is>
          <t>CLASICA GC SUBLIMADO KIDS</t>
        </is>
      </c>
      <c r="C2773" t="inlineStr">
        <is>
          <t>Manufactura / Kids / P. Superiores</t>
        </is>
      </c>
      <c r="D2773" t="n">
        <v>47.11308912</v>
      </c>
      <c r="E2773" t="n">
        <v>1.153481873610723e-05</v>
      </c>
      <c r="F2773" t="n">
        <v>0.996182664970491</v>
      </c>
      <c r="G2773" t="inlineStr">
        <is>
          <t>C</t>
        </is>
      </c>
      <c r="H2773" t="n">
        <v>0</v>
      </c>
      <c r="I2773" t="n">
        <v>0</v>
      </c>
      <c r="J2773" t="n">
        <v>0</v>
      </c>
      <c r="K2773" t="n">
        <v>0.1</v>
      </c>
      <c r="L2773" t="n">
        <v>0</v>
      </c>
      <c r="M2773" t="n">
        <v>4</v>
      </c>
      <c r="N2773" t="n">
        <v>0.4</v>
      </c>
      <c r="O2773" t="n">
        <v>0</v>
      </c>
      <c r="P2773" t="n">
        <v>0</v>
      </c>
      <c r="Q2773" t="n">
        <v>0</v>
      </c>
      <c r="R2773" t="inlineStr">
        <is>
          <t>Riesgo bajo stock</t>
        </is>
      </c>
    </row>
    <row r="2774">
      <c r="A2774" t="inlineStr">
        <is>
          <t>CGCSKI16T8</t>
        </is>
      </c>
      <c r="B2774" t="inlineStr">
        <is>
          <t>CLASICA GC SUBLIMADO KIDS</t>
        </is>
      </c>
      <c r="C2774" t="inlineStr">
        <is>
          <t>Manufactura / Kids / P. Superiores</t>
        </is>
      </c>
      <c r="D2774" t="n">
        <v>47.11308912</v>
      </c>
      <c r="E2774" t="n">
        <v>1.153481873610723e-05</v>
      </c>
      <c r="F2774" t="n">
        <v>0.996182664970491</v>
      </c>
      <c r="G2774" t="inlineStr">
        <is>
          <t>C</t>
        </is>
      </c>
      <c r="H2774" t="n">
        <v>0</v>
      </c>
      <c r="I2774" t="n">
        <v>0</v>
      </c>
      <c r="J2774" t="n">
        <v>0</v>
      </c>
      <c r="K2774" t="n">
        <v>0.1</v>
      </c>
      <c r="L2774" t="n">
        <v>0</v>
      </c>
      <c r="M2774" t="n">
        <v>4</v>
      </c>
      <c r="N2774" t="n">
        <v>0.4</v>
      </c>
      <c r="O2774" t="n">
        <v>0</v>
      </c>
      <c r="P2774" t="n">
        <v>0</v>
      </c>
      <c r="Q2774" t="n">
        <v>0</v>
      </c>
      <c r="R2774" t="inlineStr">
        <is>
          <t>Riesgo bajo stock</t>
        </is>
      </c>
    </row>
    <row r="2775">
      <c r="A2775" t="inlineStr">
        <is>
          <t>RIOMIKI70T6</t>
        </is>
      </c>
      <c r="B2775" t="inlineStr">
        <is>
          <t>RIO ORIGINAL KIDS</t>
        </is>
      </c>
      <c r="C2775" t="inlineStr">
        <is>
          <t>Manufactura / Kids / P. Superiores</t>
        </is>
      </c>
      <c r="D2775" t="n">
        <v>47.10933269</v>
      </c>
      <c r="E2775" t="n">
        <v>1.153389903969262e-05</v>
      </c>
      <c r="F2775" t="n">
        <v>0.9961941988695306</v>
      </c>
      <c r="G2775" t="inlineStr">
        <is>
          <t>C</t>
        </is>
      </c>
      <c r="H2775" t="n">
        <v>1</v>
      </c>
      <c r="I2775" t="n">
        <v>3.617969464</v>
      </c>
      <c r="J2775" t="n">
        <v>3.617969464</v>
      </c>
      <c r="K2775" t="n">
        <v>0.1</v>
      </c>
      <c r="L2775" t="n">
        <v>10</v>
      </c>
      <c r="M2775" t="n">
        <v>4</v>
      </c>
      <c r="N2775" t="n">
        <v>0.4</v>
      </c>
      <c r="O2775" t="n">
        <v>0.6</v>
      </c>
      <c r="P2775" t="n">
        <v>2.1707816784</v>
      </c>
      <c r="Q2775" t="n">
        <v>0.6</v>
      </c>
      <c r="R2775" t="inlineStr">
        <is>
          <t>Sobrestock crítico</t>
        </is>
      </c>
    </row>
    <row r="2776">
      <c r="A2776" t="inlineStr">
        <is>
          <t>OVEFTGE30TS</t>
        </is>
      </c>
      <c r="B2776" t="inlineStr">
        <is>
          <t>UNIHOODIE</t>
        </is>
      </c>
      <c r="C2776" t="inlineStr">
        <is>
          <t>Manufactura / General</t>
        </is>
      </c>
      <c r="D2776" t="n">
        <v>46.9452512</v>
      </c>
      <c r="E2776" t="n">
        <v>1.149372654664553e-05</v>
      </c>
      <c r="F2776" t="n">
        <v>0.9962056925960773</v>
      </c>
      <c r="G2776" t="inlineStr">
        <is>
          <t>C</t>
        </is>
      </c>
      <c r="H2776" t="n">
        <v>0</v>
      </c>
      <c r="I2776" t="n">
        <v>20.27</v>
      </c>
      <c r="J2776" t="n">
        <v>0</v>
      </c>
      <c r="K2776" t="n">
        <v>0.1</v>
      </c>
      <c r="L2776" t="n">
        <v>0</v>
      </c>
      <c r="M2776" t="n">
        <v>4</v>
      </c>
      <c r="N2776" t="n">
        <v>0.4</v>
      </c>
      <c r="O2776" t="n">
        <v>0</v>
      </c>
      <c r="P2776" t="n">
        <v>0</v>
      </c>
      <c r="Q2776" t="n">
        <v>0</v>
      </c>
      <c r="R2776" t="inlineStr">
        <is>
          <t>Sin rotación</t>
        </is>
      </c>
    </row>
    <row r="2777">
      <c r="A2777" t="inlineStr">
        <is>
          <t>P05</t>
        </is>
      </c>
      <c r="B2777" t="inlineStr">
        <is>
          <t>PARCHES</t>
        </is>
      </c>
      <c r="C2777" t="inlineStr">
        <is>
          <t>Equipamiento / Accesorios</t>
        </is>
      </c>
      <c r="D2777" t="n">
        <v>46.93163441913494</v>
      </c>
      <c r="E2777" t="n">
        <v>1.149039271517785e-05</v>
      </c>
      <c r="F2777" t="n">
        <v>0.9962171829887925</v>
      </c>
      <c r="G2777" t="inlineStr">
        <is>
          <t>C</t>
        </is>
      </c>
      <c r="H2777" t="n">
        <v>605</v>
      </c>
      <c r="I2777" t="n">
        <v>0.98</v>
      </c>
      <c r="J2777" t="n">
        <v>592.9</v>
      </c>
      <c r="K2777" t="n">
        <v>1.1</v>
      </c>
      <c r="L2777" t="n">
        <v>550</v>
      </c>
      <c r="M2777" t="n">
        <v>4</v>
      </c>
      <c r="N2777" t="n">
        <v>4.4</v>
      </c>
      <c r="O2777" t="n">
        <v>600.6</v>
      </c>
      <c r="P2777" t="n">
        <v>588.588</v>
      </c>
      <c r="Q2777" t="n">
        <v>0.9927272727272727</v>
      </c>
      <c r="R2777" t="inlineStr">
        <is>
          <t>Sobrestock crítico</t>
        </is>
      </c>
    </row>
    <row r="2778">
      <c r="A2778" t="inlineStr">
        <is>
          <t>GOOSTDA16TM</t>
        </is>
      </c>
      <c r="B2778" t="inlineStr">
        <is>
          <t>RETRO VZLA DAMA</t>
        </is>
      </c>
      <c r="C2778" t="inlineStr">
        <is>
          <t>Manufactura / Dama / P. Superiores</t>
        </is>
      </c>
      <c r="D2778" t="n">
        <v>46.91089857</v>
      </c>
      <c r="E2778" t="n">
        <v>1.148531590392267e-05</v>
      </c>
      <c r="F2778" t="n">
        <v>0.9962286683046964</v>
      </c>
      <c r="G2778" t="inlineStr">
        <is>
          <t>C</t>
        </is>
      </c>
      <c r="H2778" t="n">
        <v>1</v>
      </c>
      <c r="I2778" t="n">
        <v>11.23</v>
      </c>
      <c r="J2778" t="n">
        <v>11.23</v>
      </c>
      <c r="K2778" t="n">
        <v>0.1</v>
      </c>
      <c r="L2778" t="n">
        <v>10</v>
      </c>
      <c r="M2778" t="n">
        <v>4</v>
      </c>
      <c r="N2778" t="n">
        <v>0.4</v>
      </c>
      <c r="O2778" t="n">
        <v>0.6</v>
      </c>
      <c r="P2778" t="n">
        <v>6.738</v>
      </c>
      <c r="Q2778" t="n">
        <v>0.6</v>
      </c>
      <c r="R2778" t="inlineStr">
        <is>
          <t>Sobrestock crítico</t>
        </is>
      </c>
    </row>
    <row r="2779">
      <c r="A2779" t="inlineStr">
        <is>
          <t>CLASTCA16T4XL</t>
        </is>
      </c>
      <c r="B2779" t="inlineStr">
        <is>
          <t>CLASICA ALGODON STRETCH CAB</t>
        </is>
      </c>
      <c r="C2779" t="inlineStr">
        <is>
          <t>Manufactura / Caballero / P. Superiores</t>
        </is>
      </c>
      <c r="D2779" t="n">
        <v>46.61930487</v>
      </c>
      <c r="E2779" t="n">
        <v>1.14139242686698e-05</v>
      </c>
      <c r="F2779" t="n">
        <v>0.996240082228965</v>
      </c>
      <c r="G2779" t="inlineStr">
        <is>
          <t>C</t>
        </is>
      </c>
      <c r="H2779" t="n">
        <v>0</v>
      </c>
      <c r="I2779" t="n">
        <v>9.27</v>
      </c>
      <c r="J2779" t="n">
        <v>0</v>
      </c>
      <c r="K2779" t="n">
        <v>0.1</v>
      </c>
      <c r="L2779" t="n">
        <v>0</v>
      </c>
      <c r="M2779" t="n">
        <v>4</v>
      </c>
      <c r="N2779" t="n">
        <v>0.4</v>
      </c>
      <c r="O2779" t="n">
        <v>0</v>
      </c>
      <c r="P2779" t="n">
        <v>0</v>
      </c>
      <c r="Q2779" t="n">
        <v>0</v>
      </c>
      <c r="R2779" t="inlineStr">
        <is>
          <t>Riesgo bajo stock</t>
        </is>
      </c>
    </row>
    <row r="2780">
      <c r="A2780" t="inlineStr">
        <is>
          <t>SHOUNCA29T3XL</t>
        </is>
      </c>
      <c r="B2780" t="inlineStr">
        <is>
          <t>SHORT PLAYA CAB</t>
        </is>
      </c>
      <c r="C2780" t="inlineStr">
        <is>
          <t>Manufactura / Caballero / P. Inferiores</t>
        </is>
      </c>
      <c r="D2780" t="n">
        <v>46.56719514</v>
      </c>
      <c r="E2780" t="n">
        <v>1.140116610950077e-05</v>
      </c>
      <c r="F2780" t="n">
        <v>0.9962514833950746</v>
      </c>
      <c r="G2780" t="inlineStr">
        <is>
          <t>C</t>
        </is>
      </c>
      <c r="H2780" t="n">
        <v>0</v>
      </c>
      <c r="I2780" t="n">
        <v>9.99</v>
      </c>
      <c r="J2780" t="n">
        <v>0</v>
      </c>
      <c r="K2780" t="n">
        <v>0.1</v>
      </c>
      <c r="L2780" t="n">
        <v>0</v>
      </c>
      <c r="M2780" t="n">
        <v>4</v>
      </c>
      <c r="N2780" t="n">
        <v>0.4</v>
      </c>
      <c r="O2780" t="n">
        <v>0</v>
      </c>
      <c r="P2780" t="n">
        <v>0</v>
      </c>
      <c r="Q2780" t="n">
        <v>0</v>
      </c>
      <c r="R2780" t="inlineStr">
        <is>
          <t>Riesgo bajo stock</t>
        </is>
      </c>
    </row>
    <row r="2781">
      <c r="A2781" t="inlineStr">
        <is>
          <t>AQUSTDA16TM</t>
        </is>
      </c>
      <c r="B2781" t="inlineStr">
        <is>
          <t>RETRO VZLA DAMA</t>
        </is>
      </c>
      <c r="C2781" t="inlineStr">
        <is>
          <t>Manufactura / Dama / P. Superiores</t>
        </is>
      </c>
      <c r="D2781" t="n">
        <v>46.49676477</v>
      </c>
      <c r="E2781" t="n">
        <v>1.138392246093853e-05</v>
      </c>
      <c r="F2781" t="n">
        <v>0.9962742512399965</v>
      </c>
      <c r="G2781" t="inlineStr">
        <is>
          <t>C</t>
        </is>
      </c>
      <c r="H2781" t="n">
        <v>0</v>
      </c>
      <c r="I2781" t="n">
        <v>11.23</v>
      </c>
      <c r="J2781" t="n">
        <v>0</v>
      </c>
      <c r="K2781" t="n">
        <v>0.1</v>
      </c>
      <c r="L2781" t="n">
        <v>0</v>
      </c>
      <c r="M2781" t="n">
        <v>4</v>
      </c>
      <c r="N2781" t="n">
        <v>0.4</v>
      </c>
      <c r="O2781" t="n">
        <v>0</v>
      </c>
      <c r="P2781" t="n">
        <v>0</v>
      </c>
      <c r="Q2781" t="n">
        <v>0</v>
      </c>
      <c r="R2781" t="inlineStr">
        <is>
          <t>Sin rotación</t>
        </is>
      </c>
    </row>
    <row r="2782">
      <c r="A2782" t="inlineStr">
        <is>
          <t>CRESTDA30TS</t>
        </is>
      </c>
      <c r="B2782" t="inlineStr">
        <is>
          <t>RETRO VZLA DAMA</t>
        </is>
      </c>
      <c r="C2782" t="inlineStr">
        <is>
          <t>Manufactura / Dama / P. Superiores</t>
        </is>
      </c>
      <c r="D2782" t="n">
        <v>46.49676477</v>
      </c>
      <c r="E2782" t="n">
        <v>1.138392246093853e-05</v>
      </c>
      <c r="F2782" t="n">
        <v>0.9962742512399965</v>
      </c>
      <c r="G2782" t="inlineStr">
        <is>
          <t>C</t>
        </is>
      </c>
      <c r="H2782" t="n">
        <v>1</v>
      </c>
      <c r="I2782" t="n">
        <v>11.23</v>
      </c>
      <c r="J2782" t="n">
        <v>11.23</v>
      </c>
      <c r="K2782" t="n">
        <v>0.1</v>
      </c>
      <c r="L2782" t="n">
        <v>10</v>
      </c>
      <c r="M2782" t="n">
        <v>4</v>
      </c>
      <c r="N2782" t="n">
        <v>0.4</v>
      </c>
      <c r="O2782" t="n">
        <v>0.6</v>
      </c>
      <c r="P2782" t="n">
        <v>6.738</v>
      </c>
      <c r="Q2782" t="n">
        <v>0.6</v>
      </c>
      <c r="R2782" t="inlineStr">
        <is>
          <t>Sin rotación</t>
        </is>
      </c>
    </row>
    <row r="2783">
      <c r="A2783" t="inlineStr">
        <is>
          <t>TALGOTACA12TL</t>
        </is>
      </c>
      <c r="B2783" t="inlineStr">
        <is>
          <t>URBAN COTTON OVERSIZED SUNSET CAB</t>
        </is>
      </c>
      <c r="C2783" t="inlineStr">
        <is>
          <t>Manufactura / Caballero / P. Superiores</t>
        </is>
      </c>
      <c r="D2783" t="n">
        <v>46.49676287</v>
      </c>
      <c r="E2783" t="n">
        <v>1.138392199575664e-05</v>
      </c>
      <c r="F2783" t="n">
        <v>0.9962856351619922</v>
      </c>
      <c r="G2783" t="inlineStr">
        <is>
          <t>C</t>
        </is>
      </c>
      <c r="H2783" t="n">
        <v>18</v>
      </c>
      <c r="I2783" t="n">
        <v>12.16112582</v>
      </c>
      <c r="J2783" t="n">
        <v>218.90026476</v>
      </c>
      <c r="K2783" t="n">
        <v>0.4</v>
      </c>
      <c r="L2783" t="n">
        <v>45</v>
      </c>
      <c r="M2783" t="n">
        <v>4</v>
      </c>
      <c r="N2783" t="n">
        <v>1.6</v>
      </c>
      <c r="O2783" t="n">
        <v>16.4</v>
      </c>
      <c r="P2783" t="n">
        <v>199.442463448</v>
      </c>
      <c r="Q2783" t="n">
        <v>0.9111111111111111</v>
      </c>
      <c r="R2783" t="inlineStr">
        <is>
          <t>Sobrestock crítico</t>
        </is>
      </c>
    </row>
    <row r="2784">
      <c r="A2784" t="inlineStr">
        <is>
          <t>DALSSTCA43TM</t>
        </is>
      </c>
      <c r="B2784" t="inlineStr">
        <is>
          <t>MANGA LARGA DAILY 2.0 CAB</t>
        </is>
      </c>
      <c r="C2784" t="inlineStr">
        <is>
          <t>Manufactura / Caballero / P. Superiores</t>
        </is>
      </c>
      <c r="D2784" t="n">
        <v>46.44223724</v>
      </c>
      <c r="E2784" t="n">
        <v>1.137057234557938e-05</v>
      </c>
      <c r="F2784" t="n">
        <v>0.9962970057343378</v>
      </c>
      <c r="G2784" t="inlineStr">
        <is>
          <t>C</t>
        </is>
      </c>
      <c r="H2784" t="n">
        <v>1</v>
      </c>
      <c r="I2784" t="n">
        <v>14.21</v>
      </c>
      <c r="J2784" t="n">
        <v>14.21</v>
      </c>
      <c r="K2784" t="n">
        <v>0.1</v>
      </c>
      <c r="L2784" t="n">
        <v>10</v>
      </c>
      <c r="M2784" t="n">
        <v>4</v>
      </c>
      <c r="N2784" t="n">
        <v>0.4</v>
      </c>
      <c r="O2784" t="n">
        <v>0.6</v>
      </c>
      <c r="P2784" t="n">
        <v>8.526</v>
      </c>
      <c r="Q2784" t="n">
        <v>0.6</v>
      </c>
      <c r="R2784" t="inlineStr">
        <is>
          <t>Sin rotación</t>
        </is>
      </c>
    </row>
    <row r="2785">
      <c r="A2785" t="inlineStr">
        <is>
          <t>SHONTDA12TXS</t>
        </is>
      </c>
      <c r="B2785" t="inlineStr">
        <is>
          <t>EXPLORE SHORT DAMA</t>
        </is>
      </c>
      <c r="C2785" t="inlineStr">
        <is>
          <t>Manufactura / Dama / P. Inferiores</t>
        </is>
      </c>
      <c r="D2785" t="n">
        <v>46.39605672</v>
      </c>
      <c r="E2785" t="n">
        <v>1.135926585013854e-05</v>
      </c>
      <c r="F2785" t="n">
        <v>0.9963197242660381</v>
      </c>
      <c r="G2785" t="inlineStr">
        <is>
          <t>C</t>
        </is>
      </c>
      <c r="H2785" t="n">
        <v>43</v>
      </c>
      <c r="I2785" t="n">
        <v>10.22113744</v>
      </c>
      <c r="J2785" t="n">
        <v>439.50890992</v>
      </c>
      <c r="K2785" t="n">
        <v>0.3</v>
      </c>
      <c r="L2785" t="n">
        <v>143.3333333333333</v>
      </c>
      <c r="M2785" t="n">
        <v>4</v>
      </c>
      <c r="N2785" t="n">
        <v>1.2</v>
      </c>
      <c r="O2785" t="n">
        <v>41.8</v>
      </c>
      <c r="P2785" t="n">
        <v>427.243544992</v>
      </c>
      <c r="Q2785" t="n">
        <v>0.9720930232558138</v>
      </c>
      <c r="R2785" t="inlineStr">
        <is>
          <t>Sobrestock crítico</t>
        </is>
      </c>
    </row>
    <row r="2786">
      <c r="A2786" t="inlineStr">
        <is>
          <t>SHONTDA66TXS</t>
        </is>
      </c>
      <c r="B2786" t="inlineStr">
        <is>
          <t>EXPLORE SHORT DAMA</t>
        </is>
      </c>
      <c r="C2786" t="inlineStr">
        <is>
          <t>Manufactura / Dama / P. Inferiores</t>
        </is>
      </c>
      <c r="D2786" t="n">
        <v>46.39605672</v>
      </c>
      <c r="E2786" t="n">
        <v>1.135926585013854e-05</v>
      </c>
      <c r="F2786" t="n">
        <v>0.9963197242660381</v>
      </c>
      <c r="G2786" t="inlineStr">
        <is>
          <t>C</t>
        </is>
      </c>
      <c r="H2786" t="n">
        <v>40</v>
      </c>
      <c r="I2786" t="n">
        <v>10.22113744</v>
      </c>
      <c r="J2786" t="n">
        <v>408.8454976</v>
      </c>
      <c r="K2786" t="n">
        <v>0.4</v>
      </c>
      <c r="L2786" t="n">
        <v>100</v>
      </c>
      <c r="M2786" t="n">
        <v>4</v>
      </c>
      <c r="N2786" t="n">
        <v>1.6</v>
      </c>
      <c r="O2786" t="n">
        <v>38.4</v>
      </c>
      <c r="P2786" t="n">
        <v>392.491677696</v>
      </c>
      <c r="Q2786" t="n">
        <v>0.96</v>
      </c>
      <c r="R2786" t="inlineStr">
        <is>
          <t>Sobrestock crítico</t>
        </is>
      </c>
    </row>
    <row r="2787">
      <c r="A2787" t="inlineStr">
        <is>
          <t>CRESTDA30TL</t>
        </is>
      </c>
      <c r="B2787" t="inlineStr">
        <is>
          <t>RETRO VZLA DAMA</t>
        </is>
      </c>
      <c r="C2787" t="inlineStr">
        <is>
          <t>Manufactura / Dama / P. Superiores</t>
        </is>
      </c>
      <c r="D2787" t="n">
        <v>46.33793796</v>
      </c>
      <c r="E2787" t="n">
        <v>1.134503648470551e-05</v>
      </c>
      <c r="F2787" t="n">
        <v>0.9963424143390074</v>
      </c>
      <c r="G2787" t="inlineStr">
        <is>
          <t>C</t>
        </is>
      </c>
      <c r="H2787" t="n">
        <v>0</v>
      </c>
      <c r="I2787" t="n">
        <v>11.23</v>
      </c>
      <c r="J2787" t="n">
        <v>0</v>
      </c>
      <c r="K2787" t="n">
        <v>0.1</v>
      </c>
      <c r="L2787" t="n">
        <v>0</v>
      </c>
      <c r="M2787" t="n">
        <v>4</v>
      </c>
      <c r="N2787" t="n">
        <v>0.4</v>
      </c>
      <c r="O2787" t="n">
        <v>0</v>
      </c>
      <c r="P2787" t="n">
        <v>0</v>
      </c>
      <c r="Q2787" t="n">
        <v>0</v>
      </c>
      <c r="R2787" t="inlineStr">
        <is>
          <t>Riesgo bajo stock</t>
        </is>
      </c>
    </row>
    <row r="2788">
      <c r="A2788" t="inlineStr">
        <is>
          <t>CRESTDA30TXL</t>
        </is>
      </c>
      <c r="B2788" t="inlineStr">
        <is>
          <t>RETRO VZLA DAMA</t>
        </is>
      </c>
      <c r="C2788" t="inlineStr">
        <is>
          <t>Manufactura / Dama / P. Superiores</t>
        </is>
      </c>
      <c r="D2788" t="n">
        <v>46.33793796</v>
      </c>
      <c r="E2788" t="n">
        <v>1.134503648470551e-05</v>
      </c>
      <c r="F2788" t="n">
        <v>0.9963424143390074</v>
      </c>
      <c r="G2788" t="inlineStr">
        <is>
          <t>C</t>
        </is>
      </c>
      <c r="H2788" t="n">
        <v>0</v>
      </c>
      <c r="I2788" t="n">
        <v>11.23</v>
      </c>
      <c r="J2788" t="n">
        <v>0</v>
      </c>
      <c r="K2788" t="n">
        <v>0.1</v>
      </c>
      <c r="L2788" t="n">
        <v>0</v>
      </c>
      <c r="M2788" t="n">
        <v>4</v>
      </c>
      <c r="N2788" t="n">
        <v>0.4</v>
      </c>
      <c r="O2788" t="n">
        <v>0</v>
      </c>
      <c r="P2788" t="n">
        <v>0</v>
      </c>
      <c r="Q2788" t="n">
        <v>0</v>
      </c>
      <c r="R2788" t="inlineStr">
        <is>
          <t>Riesgo bajo stock</t>
        </is>
      </c>
    </row>
    <row r="2789">
      <c r="A2789" t="inlineStr">
        <is>
          <t>TRISTDA16TS</t>
        </is>
      </c>
      <c r="B2789" t="inlineStr">
        <is>
          <t>RETRO VZLA DAMA</t>
        </is>
      </c>
      <c r="C2789" t="inlineStr">
        <is>
          <t>Manufactura / Dama / P. Superiores</t>
        </is>
      </c>
      <c r="D2789" t="n">
        <v>46.27908498</v>
      </c>
      <c r="E2789" t="n">
        <v>1.133062735830222e-05</v>
      </c>
      <c r="F2789" t="n">
        <v>0.9963537449663658</v>
      </c>
      <c r="G2789" t="inlineStr">
        <is>
          <t>C</t>
        </is>
      </c>
      <c r="H2789" t="n">
        <v>2</v>
      </c>
      <c r="I2789" t="n">
        <v>11.23</v>
      </c>
      <c r="J2789" t="n">
        <v>22.46</v>
      </c>
      <c r="K2789" t="n">
        <v>0.1</v>
      </c>
      <c r="L2789" t="n">
        <v>20</v>
      </c>
      <c r="M2789" t="n">
        <v>4</v>
      </c>
      <c r="N2789" t="n">
        <v>0.4</v>
      </c>
      <c r="O2789" t="n">
        <v>1.6</v>
      </c>
      <c r="P2789" t="n">
        <v>17.968</v>
      </c>
      <c r="Q2789" t="n">
        <v>0.7999999999999999</v>
      </c>
      <c r="R2789" t="inlineStr">
        <is>
          <t>Sobrestock crítico</t>
        </is>
      </c>
    </row>
    <row r="2790">
      <c r="A2790" t="inlineStr">
        <is>
          <t>DANMIKI13T6</t>
        </is>
      </c>
      <c r="B2790" t="inlineStr">
        <is>
          <t>DANI ORIGINAL KIDS</t>
        </is>
      </c>
      <c r="C2790" t="inlineStr">
        <is>
          <t>Manufactura / Kids / P. Superiores</t>
        </is>
      </c>
      <c r="D2790" t="n">
        <v>46.14264857</v>
      </c>
      <c r="E2790" t="n">
        <v>1.12972232812665e-05</v>
      </c>
      <c r="F2790" t="n">
        <v>0.9963650421896471</v>
      </c>
      <c r="G2790" t="inlineStr">
        <is>
          <t>C</t>
        </is>
      </c>
      <c r="H2790" t="n">
        <v>1</v>
      </c>
      <c r="I2790" t="n">
        <v>3.55</v>
      </c>
      <c r="J2790" t="n">
        <v>3.55</v>
      </c>
      <c r="K2790" t="n">
        <v>0.2</v>
      </c>
      <c r="L2790" t="n">
        <v>5</v>
      </c>
      <c r="M2790" t="n">
        <v>4</v>
      </c>
      <c r="N2790" t="n">
        <v>0.8</v>
      </c>
      <c r="O2790" t="n">
        <v>0.2</v>
      </c>
      <c r="P2790" t="n">
        <v>0.7099999999999999</v>
      </c>
      <c r="Q2790" t="n">
        <v>0.2</v>
      </c>
      <c r="R2790" t="inlineStr">
        <is>
          <t>Sobrestock</t>
        </is>
      </c>
    </row>
    <row r="2791">
      <c r="A2791" t="inlineStr">
        <is>
          <t>DALSTCA30T2XL</t>
        </is>
      </c>
      <c r="B2791" t="inlineStr">
        <is>
          <t>CLASICA DAILY 2.0 CAB</t>
        </is>
      </c>
      <c r="C2791" t="inlineStr">
        <is>
          <t>Manufactura / Caballero / P. Superiores</t>
        </is>
      </c>
      <c r="D2791" t="n">
        <v>45.93400139</v>
      </c>
      <c r="E2791" t="n">
        <v>1.124613965575916e-05</v>
      </c>
      <c r="F2791" t="n">
        <v>0.9963875344689586</v>
      </c>
      <c r="G2791" t="inlineStr">
        <is>
          <t>C</t>
        </is>
      </c>
      <c r="H2791" t="n">
        <v>0</v>
      </c>
      <c r="I2791" t="n">
        <v>11.7</v>
      </c>
      <c r="J2791" t="n">
        <v>0</v>
      </c>
      <c r="K2791" t="n">
        <v>0.1</v>
      </c>
      <c r="L2791" t="n">
        <v>0</v>
      </c>
      <c r="M2791" t="n">
        <v>4</v>
      </c>
      <c r="N2791" t="n">
        <v>0.4</v>
      </c>
      <c r="O2791" t="n">
        <v>0</v>
      </c>
      <c r="P2791" t="n">
        <v>0</v>
      </c>
      <c r="Q2791" t="n">
        <v>0</v>
      </c>
      <c r="R2791" t="inlineStr">
        <is>
          <t>Sin rotación</t>
        </is>
      </c>
    </row>
    <row r="2792">
      <c r="A2792" t="inlineStr">
        <is>
          <t>RIOMICA53TM</t>
        </is>
      </c>
      <c r="B2792" t="inlineStr">
        <is>
          <t>RIO ORIGINAL CAB</t>
        </is>
      </c>
      <c r="C2792" t="inlineStr">
        <is>
          <t>Manufactura / Caballero / P. Superiores</t>
        </is>
      </c>
      <c r="D2792" t="n">
        <v>45.93400139</v>
      </c>
      <c r="E2792" t="n">
        <v>1.124613965575916e-05</v>
      </c>
      <c r="F2792" t="n">
        <v>0.9963875344689586</v>
      </c>
      <c r="G2792" t="inlineStr">
        <is>
          <t>C</t>
        </is>
      </c>
      <c r="H2792" t="n">
        <v>0</v>
      </c>
      <c r="I2792" t="n">
        <v>5.939350288</v>
      </c>
      <c r="J2792" t="n">
        <v>0</v>
      </c>
      <c r="K2792" t="n">
        <v>0.1</v>
      </c>
      <c r="L2792" t="n">
        <v>0</v>
      </c>
      <c r="M2792" t="n">
        <v>4</v>
      </c>
      <c r="N2792" t="n">
        <v>0.4</v>
      </c>
      <c r="O2792" t="n">
        <v>0</v>
      </c>
      <c r="P2792" t="n">
        <v>0</v>
      </c>
      <c r="Q2792" t="n">
        <v>0</v>
      </c>
      <c r="R2792" t="inlineStr">
        <is>
          <t>Sin rotación</t>
        </is>
      </c>
    </row>
    <row r="2793">
      <c r="A2793" t="inlineStr">
        <is>
          <t>PETMIPE09TXS</t>
        </is>
      </c>
      <c r="B2793" t="inlineStr">
        <is>
          <t>BANDANA PET</t>
        </is>
      </c>
      <c r="C2793" t="inlineStr">
        <is>
          <t>Manufactura / General</t>
        </is>
      </c>
      <c r="D2793" t="n">
        <v>45.904036571</v>
      </c>
      <c r="E2793" t="n">
        <v>1.123880329208441e-05</v>
      </c>
      <c r="F2793" t="n">
        <v>0.9963987732722506</v>
      </c>
      <c r="G2793" t="inlineStr">
        <is>
          <t>C</t>
        </is>
      </c>
      <c r="H2793" t="n">
        <v>12</v>
      </c>
      <c r="I2793" t="n">
        <v>0.3252662283</v>
      </c>
      <c r="J2793" t="n">
        <v>3.9031947396</v>
      </c>
      <c r="K2793" t="n">
        <v>0.6</v>
      </c>
      <c r="L2793" t="n">
        <v>20</v>
      </c>
      <c r="M2793" t="n">
        <v>4</v>
      </c>
      <c r="N2793" t="n">
        <v>2.4</v>
      </c>
      <c r="O2793" t="n">
        <v>9.6</v>
      </c>
      <c r="P2793" t="n">
        <v>3.12255579168</v>
      </c>
      <c r="Q2793" t="n">
        <v>0.8</v>
      </c>
      <c r="R2793" t="inlineStr">
        <is>
          <t>Sobrestock crítico</t>
        </is>
      </c>
    </row>
    <row r="2794">
      <c r="A2794" t="inlineStr">
        <is>
          <t>201STDA30TXL</t>
        </is>
      </c>
      <c r="B2794" t="inlineStr">
        <is>
          <t>RETRO VZLA DAMA</t>
        </is>
      </c>
      <c r="C2794" t="inlineStr">
        <is>
          <t>Manufactura / Dama / P. Superiores</t>
        </is>
      </c>
      <c r="D2794" t="n">
        <v>45.73997319</v>
      </c>
      <c r="E2794" t="n">
        <v>1.119863523271034e-05</v>
      </c>
      <c r="F2794" t="n">
        <v>0.9964211705427161</v>
      </c>
      <c r="G2794" t="inlineStr">
        <is>
          <t>C</t>
        </is>
      </c>
      <c r="H2794" t="n">
        <v>1</v>
      </c>
      <c r="I2794" t="n">
        <v>11.23</v>
      </c>
      <c r="J2794" t="n">
        <v>11.23</v>
      </c>
      <c r="K2794" t="n">
        <v>0.1</v>
      </c>
      <c r="L2794" t="n">
        <v>10</v>
      </c>
      <c r="M2794" t="n">
        <v>4</v>
      </c>
      <c r="N2794" t="n">
        <v>0.4</v>
      </c>
      <c r="O2794" t="n">
        <v>0.6</v>
      </c>
      <c r="P2794" t="n">
        <v>6.738</v>
      </c>
      <c r="Q2794" t="n">
        <v>0.6</v>
      </c>
      <c r="R2794" t="inlineStr">
        <is>
          <t>Sobrestock crítico</t>
        </is>
      </c>
    </row>
    <row r="2795">
      <c r="A2795" t="inlineStr">
        <is>
          <t>AQUSTDA16TXL</t>
        </is>
      </c>
      <c r="B2795" t="inlineStr">
        <is>
          <t>RETRO VZLA DAMA</t>
        </is>
      </c>
      <c r="C2795" t="inlineStr">
        <is>
          <t>Manufactura / Dama / P. Superiores</t>
        </is>
      </c>
      <c r="D2795" t="n">
        <v>45.73997319</v>
      </c>
      <c r="E2795" t="n">
        <v>1.119863523271034e-05</v>
      </c>
      <c r="F2795" t="n">
        <v>0.9964211705427161</v>
      </c>
      <c r="G2795" t="inlineStr">
        <is>
          <t>C</t>
        </is>
      </c>
      <c r="H2795" t="n">
        <v>0</v>
      </c>
      <c r="I2795" t="n">
        <v>11.23</v>
      </c>
      <c r="J2795" t="n">
        <v>0</v>
      </c>
      <c r="K2795" t="n">
        <v>0.1</v>
      </c>
      <c r="L2795" t="n">
        <v>0</v>
      </c>
      <c r="M2795" t="n">
        <v>4</v>
      </c>
      <c r="N2795" t="n">
        <v>0.4</v>
      </c>
      <c r="O2795" t="n">
        <v>0</v>
      </c>
      <c r="P2795" t="n">
        <v>0</v>
      </c>
      <c r="Q2795" t="n">
        <v>0</v>
      </c>
      <c r="R2795" t="inlineStr">
        <is>
          <t>Riesgo bajo stock</t>
        </is>
      </c>
    </row>
    <row r="2796">
      <c r="A2796" t="inlineStr">
        <is>
          <t>GOOSTDA43TM</t>
        </is>
      </c>
      <c r="B2796" t="inlineStr">
        <is>
          <t>RETRO VZLA DAMA</t>
        </is>
      </c>
      <c r="C2796" t="inlineStr">
        <is>
          <t>Manufactura / Dama / P. Superiores</t>
        </is>
      </c>
      <c r="D2796" t="n">
        <v>45.72625991</v>
      </c>
      <c r="E2796" t="n">
        <v>1.119527777511136e-05</v>
      </c>
      <c r="F2796" t="n">
        <v>0.9964323658204911</v>
      </c>
      <c r="G2796" t="inlineStr">
        <is>
          <t>C</t>
        </is>
      </c>
      <c r="H2796" t="n">
        <v>1</v>
      </c>
      <c r="I2796" t="n">
        <v>11.23</v>
      </c>
      <c r="J2796" t="n">
        <v>11.23</v>
      </c>
      <c r="K2796" t="n">
        <v>0.1</v>
      </c>
      <c r="L2796" t="n">
        <v>10</v>
      </c>
      <c r="M2796" t="n">
        <v>4</v>
      </c>
      <c r="N2796" t="n">
        <v>0.4</v>
      </c>
      <c r="O2796" t="n">
        <v>0.6</v>
      </c>
      <c r="P2796" t="n">
        <v>6.738</v>
      </c>
      <c r="Q2796" t="n">
        <v>0.6</v>
      </c>
      <c r="R2796" t="inlineStr">
        <is>
          <t>Sobrestock crítico</t>
        </is>
      </c>
    </row>
    <row r="2797">
      <c r="A2797" t="inlineStr">
        <is>
          <t>201STCA30TM</t>
        </is>
      </c>
      <c r="B2797" t="inlineStr">
        <is>
          <t>RETRO VZLA CAB</t>
        </is>
      </c>
      <c r="C2797" t="inlineStr">
        <is>
          <t>Manufactura / Caballero / P. Superiores</t>
        </is>
      </c>
      <c r="D2797" t="n">
        <v>45.61392782</v>
      </c>
      <c r="E2797" t="n">
        <v>1.116777522071299e-05</v>
      </c>
      <c r="F2797" t="n">
        <v>0.9964547013709325</v>
      </c>
      <c r="G2797" t="inlineStr">
        <is>
          <t>C</t>
        </is>
      </c>
      <c r="H2797" t="n">
        <v>0</v>
      </c>
      <c r="I2797" t="n">
        <v>12.9</v>
      </c>
      <c r="J2797" t="n">
        <v>0</v>
      </c>
      <c r="K2797" t="n">
        <v>0.1</v>
      </c>
      <c r="L2797" t="n">
        <v>0</v>
      </c>
      <c r="M2797" t="n">
        <v>4</v>
      </c>
      <c r="N2797" t="n">
        <v>0.4</v>
      </c>
      <c r="O2797" t="n">
        <v>0</v>
      </c>
      <c r="P2797" t="n">
        <v>0</v>
      </c>
      <c r="Q2797" t="n">
        <v>0</v>
      </c>
      <c r="R2797" t="inlineStr">
        <is>
          <t>Riesgo bajo stock</t>
        </is>
      </c>
    </row>
    <row r="2798">
      <c r="A2798" t="inlineStr">
        <is>
          <t>SABSTCA30TS</t>
        </is>
      </c>
      <c r="B2798" t="inlineStr">
        <is>
          <t>RETRO VZLA CAB</t>
        </is>
      </c>
      <c r="C2798" t="inlineStr">
        <is>
          <t>Manufactura / Caballero / P. Superiores</t>
        </is>
      </c>
      <c r="D2798" t="n">
        <v>45.61392782</v>
      </c>
      <c r="E2798" t="n">
        <v>1.116777522071299e-05</v>
      </c>
      <c r="F2798" t="n">
        <v>0.9964547013709325</v>
      </c>
      <c r="G2798" t="inlineStr">
        <is>
          <t>C</t>
        </is>
      </c>
      <c r="H2798" t="n">
        <v>0</v>
      </c>
      <c r="I2798" t="n">
        <v>12.9</v>
      </c>
      <c r="J2798" t="n">
        <v>0</v>
      </c>
      <c r="K2798" t="n">
        <v>0.1</v>
      </c>
      <c r="L2798" t="n">
        <v>0</v>
      </c>
      <c r="M2798" t="n">
        <v>4</v>
      </c>
      <c r="N2798" t="n">
        <v>0.4</v>
      </c>
      <c r="O2798" t="n">
        <v>0</v>
      </c>
      <c r="P2798" t="n">
        <v>0</v>
      </c>
      <c r="Q2798" t="n">
        <v>0</v>
      </c>
      <c r="R2798" t="inlineStr">
        <is>
          <t>Riesgo bajo stock</t>
        </is>
      </c>
    </row>
    <row r="2799">
      <c r="A2799" t="inlineStr">
        <is>
          <t>MARMICA28TXL</t>
        </is>
      </c>
      <c r="B2799" t="inlineStr">
        <is>
          <t>MAR ORIGINAL CAB</t>
        </is>
      </c>
      <c r="C2799" t="inlineStr">
        <is>
          <t>Manufactura / Caballero / P. Superiores</t>
        </is>
      </c>
      <c r="D2799" t="n">
        <v>45.57314988</v>
      </c>
      <c r="E2799" t="n">
        <v>1.115779145282348e-05</v>
      </c>
      <c r="F2799" t="n">
        <v>0.9964770169538383</v>
      </c>
      <c r="G2799" t="inlineStr">
        <is>
          <t>C</t>
        </is>
      </c>
      <c r="H2799" t="n">
        <v>0</v>
      </c>
      <c r="I2799" t="n">
        <v>4.946357428</v>
      </c>
      <c r="J2799" t="n">
        <v>0</v>
      </c>
      <c r="K2799" t="n">
        <v>0.1</v>
      </c>
      <c r="L2799" t="n">
        <v>0</v>
      </c>
      <c r="M2799" t="n">
        <v>4</v>
      </c>
      <c r="N2799" t="n">
        <v>0.4</v>
      </c>
      <c r="O2799" t="n">
        <v>0</v>
      </c>
      <c r="P2799" t="n">
        <v>0</v>
      </c>
      <c r="Q2799" t="n">
        <v>0</v>
      </c>
      <c r="R2799" t="inlineStr">
        <is>
          <t>Sin rotación</t>
        </is>
      </c>
    </row>
    <row r="2800">
      <c r="A2800" t="inlineStr">
        <is>
          <t>MARMIDA52TL</t>
        </is>
      </c>
      <c r="B2800" t="inlineStr">
        <is>
          <t>MAR ORIGINAL DAMA</t>
        </is>
      </c>
      <c r="C2800" t="inlineStr">
        <is>
          <t>Manufactura / Dama / P. Superiores</t>
        </is>
      </c>
      <c r="D2800" t="n">
        <v>45.57314988</v>
      </c>
      <c r="E2800" t="n">
        <v>1.115779145282348e-05</v>
      </c>
      <c r="F2800" t="n">
        <v>0.9964770169538383</v>
      </c>
      <c r="G2800" t="inlineStr">
        <is>
          <t>C</t>
        </is>
      </c>
      <c r="H2800" t="n">
        <v>0</v>
      </c>
      <c r="I2800" t="n">
        <v>4.278324149</v>
      </c>
      <c r="J2800" t="n">
        <v>0</v>
      </c>
      <c r="K2800" t="n">
        <v>0.1</v>
      </c>
      <c r="L2800" t="n">
        <v>0</v>
      </c>
      <c r="M2800" t="n">
        <v>4</v>
      </c>
      <c r="N2800" t="n">
        <v>0.4</v>
      </c>
      <c r="O2800" t="n">
        <v>0</v>
      </c>
      <c r="P2800" t="n">
        <v>0</v>
      </c>
      <c r="Q2800" t="n">
        <v>0</v>
      </c>
      <c r="R2800" t="inlineStr">
        <is>
          <t>Sin rotación</t>
        </is>
      </c>
    </row>
    <row r="2801">
      <c r="A2801" t="inlineStr">
        <is>
          <t>DANMIKI16T6</t>
        </is>
      </c>
      <c r="B2801" t="inlineStr">
        <is>
          <t>DANI ORIGINAL KIDS</t>
        </is>
      </c>
      <c r="C2801" t="inlineStr">
        <is>
          <t>Manufactura / Kids / P. Superiores</t>
        </is>
      </c>
      <c r="D2801" t="n">
        <v>45.53739016</v>
      </c>
      <c r="E2801" t="n">
        <v>1.114903630863832e-05</v>
      </c>
      <c r="F2801" t="n">
        <v>0.9964881659901469</v>
      </c>
      <c r="G2801" t="inlineStr">
        <is>
          <t>C</t>
        </is>
      </c>
      <c r="H2801" t="n">
        <v>2</v>
      </c>
      <c r="I2801" t="n">
        <v>3.55</v>
      </c>
      <c r="J2801" t="n">
        <v>7.1</v>
      </c>
      <c r="K2801" t="n">
        <v>0.2</v>
      </c>
      <c r="L2801" t="n">
        <v>10</v>
      </c>
      <c r="M2801" t="n">
        <v>4</v>
      </c>
      <c r="N2801" t="n">
        <v>0.8</v>
      </c>
      <c r="O2801" t="n">
        <v>1.2</v>
      </c>
      <c r="P2801" t="n">
        <v>4.26</v>
      </c>
      <c r="Q2801" t="n">
        <v>0.6</v>
      </c>
      <c r="R2801" t="inlineStr">
        <is>
          <t>Sin rotación</t>
        </is>
      </c>
    </row>
    <row r="2802">
      <c r="A2802" t="inlineStr">
        <is>
          <t>SHONTDA33TL</t>
        </is>
      </c>
      <c r="B2802" t="inlineStr">
        <is>
          <t>EXPLORE SHORT DAMA</t>
        </is>
      </c>
      <c r="C2802" t="inlineStr">
        <is>
          <t>Manufactura / Dama / P. Inferiores</t>
        </is>
      </c>
      <c r="D2802" t="n">
        <v>45.45435843</v>
      </c>
      <c r="E2802" t="n">
        <v>1.112870743670942e-05</v>
      </c>
      <c r="F2802" t="n">
        <v>0.9964992946975836</v>
      </c>
      <c r="G2802" t="inlineStr">
        <is>
          <t>C</t>
        </is>
      </c>
      <c r="H2802" t="n">
        <v>9</v>
      </c>
      <c r="I2802" t="n">
        <v>10.22113744</v>
      </c>
      <c r="J2802" t="n">
        <v>91.99023696</v>
      </c>
      <c r="K2802" t="n">
        <v>0.1</v>
      </c>
      <c r="L2802" t="n">
        <v>90</v>
      </c>
      <c r="M2802" t="n">
        <v>4</v>
      </c>
      <c r="N2802" t="n">
        <v>0.4</v>
      </c>
      <c r="O2802" t="n">
        <v>8.6</v>
      </c>
      <c r="P2802" t="n">
        <v>87.901781984</v>
      </c>
      <c r="Q2802" t="n">
        <v>0.9555555555555555</v>
      </c>
      <c r="R2802" t="inlineStr">
        <is>
          <t>Sin rotación</t>
        </is>
      </c>
    </row>
    <row r="2803">
      <c r="A2803" t="inlineStr">
        <is>
          <t>MARMICA14TXL</t>
        </is>
      </c>
      <c r="B2803" t="inlineStr">
        <is>
          <t>MAR ORIGINAL CAB</t>
        </is>
      </c>
      <c r="C2803" t="inlineStr">
        <is>
          <t>Manufactura / Caballero / P. Superiores</t>
        </is>
      </c>
      <c r="D2803" t="n">
        <v>45.45003157</v>
      </c>
      <c r="E2803" t="n">
        <v>1.112764808045134e-05</v>
      </c>
      <c r="F2803" t="n">
        <v>0.996510422345664</v>
      </c>
      <c r="G2803" t="inlineStr">
        <is>
          <t>C</t>
        </is>
      </c>
      <c r="H2803" t="n">
        <v>0</v>
      </c>
      <c r="I2803" t="n">
        <v>4.946357428</v>
      </c>
      <c r="J2803" t="n">
        <v>0</v>
      </c>
      <c r="K2803" t="n">
        <v>0.1</v>
      </c>
      <c r="L2803" t="n">
        <v>0</v>
      </c>
      <c r="M2803" t="n">
        <v>4</v>
      </c>
      <c r="N2803" t="n">
        <v>0.4</v>
      </c>
      <c r="O2803" t="n">
        <v>0</v>
      </c>
      <c r="P2803" t="n">
        <v>0</v>
      </c>
      <c r="Q2803" t="n">
        <v>0</v>
      </c>
      <c r="R2803" t="inlineStr">
        <is>
          <t>Sin rotación</t>
        </is>
      </c>
    </row>
    <row r="2804">
      <c r="A2804" t="inlineStr">
        <is>
          <t>RIOMICA24TM</t>
        </is>
      </c>
      <c r="B2804" t="inlineStr">
        <is>
          <t>RIO ORIGINAL CAB</t>
        </is>
      </c>
      <c r="C2804" t="inlineStr">
        <is>
          <t>Manufactura / Caballero / P. Superiores</t>
        </is>
      </c>
      <c r="D2804" t="n">
        <v>45.14977</v>
      </c>
      <c r="E2804" t="n">
        <v>1.105413426830145e-05</v>
      </c>
      <c r="F2804" t="n">
        <v>0.9965325306142006</v>
      </c>
      <c r="G2804" t="inlineStr">
        <is>
          <t>C</t>
        </is>
      </c>
      <c r="H2804" t="n">
        <v>0</v>
      </c>
      <c r="I2804" t="n">
        <v>5.939350288</v>
      </c>
      <c r="J2804" t="n">
        <v>0</v>
      </c>
      <c r="K2804" t="n">
        <v>0.1</v>
      </c>
      <c r="L2804" t="n">
        <v>0</v>
      </c>
      <c r="M2804" t="n">
        <v>4</v>
      </c>
      <c r="N2804" t="n">
        <v>0.4</v>
      </c>
      <c r="O2804" t="n">
        <v>0</v>
      </c>
      <c r="P2804" t="n">
        <v>0</v>
      </c>
      <c r="Q2804" t="n">
        <v>0</v>
      </c>
      <c r="R2804" t="inlineStr">
        <is>
          <t>Sin rotación</t>
        </is>
      </c>
    </row>
    <row r="2805">
      <c r="A2805" t="inlineStr">
        <is>
          <t>RIOMICA39TXL</t>
        </is>
      </c>
      <c r="B2805" t="inlineStr">
        <is>
          <t>RIO ORIGINAL CAB</t>
        </is>
      </c>
      <c r="C2805" t="inlineStr">
        <is>
          <t>Manufactura / Caballero / P. Superiores</t>
        </is>
      </c>
      <c r="D2805" t="n">
        <v>45.14977</v>
      </c>
      <c r="E2805" t="n">
        <v>1.105413426830145e-05</v>
      </c>
      <c r="F2805" t="n">
        <v>0.9965325306142006</v>
      </c>
      <c r="G2805" t="inlineStr">
        <is>
          <t>C</t>
        </is>
      </c>
      <c r="H2805" t="n">
        <v>0</v>
      </c>
      <c r="I2805" t="n">
        <v>5.939350288</v>
      </c>
      <c r="J2805" t="n">
        <v>0</v>
      </c>
      <c r="K2805" t="n">
        <v>0.1</v>
      </c>
      <c r="L2805" t="n">
        <v>0</v>
      </c>
      <c r="M2805" t="n">
        <v>4</v>
      </c>
      <c r="N2805" t="n">
        <v>0.4</v>
      </c>
      <c r="O2805" t="n">
        <v>0</v>
      </c>
      <c r="P2805" t="n">
        <v>0</v>
      </c>
      <c r="Q2805" t="n">
        <v>0</v>
      </c>
      <c r="R2805" t="inlineStr">
        <is>
          <t>Sin rotación</t>
        </is>
      </c>
    </row>
    <row r="2806">
      <c r="A2806" t="inlineStr">
        <is>
          <t>GOOSTDA16TXS</t>
        </is>
      </c>
      <c r="B2806" t="inlineStr">
        <is>
          <t>RETRO VZLA DAMA</t>
        </is>
      </c>
      <c r="C2806" t="inlineStr">
        <is>
          <t>Manufactura / Dama / P. Superiores</t>
        </is>
      </c>
      <c r="D2806" t="n">
        <v>45.13431465</v>
      </c>
      <c r="E2806" t="n">
        <v>1.105035029522554e-05</v>
      </c>
      <c r="F2806" t="n">
        <v>0.9965435809644958</v>
      </c>
      <c r="G2806" t="inlineStr">
        <is>
          <t>C</t>
        </is>
      </c>
      <c r="H2806" t="n">
        <v>0</v>
      </c>
      <c r="I2806" t="n">
        <v>11.23</v>
      </c>
      <c r="J2806" t="n">
        <v>0</v>
      </c>
      <c r="K2806" t="n">
        <v>0.1</v>
      </c>
      <c r="L2806" t="n">
        <v>0</v>
      </c>
      <c r="M2806" t="n">
        <v>4</v>
      </c>
      <c r="N2806" t="n">
        <v>0.4</v>
      </c>
      <c r="O2806" t="n">
        <v>0</v>
      </c>
      <c r="P2806" t="n">
        <v>0</v>
      </c>
      <c r="Q2806" t="n">
        <v>0</v>
      </c>
      <c r="R2806" t="inlineStr">
        <is>
          <t>Sin rotación</t>
        </is>
      </c>
    </row>
    <row r="2807">
      <c r="A2807" t="inlineStr">
        <is>
          <t>OVEFTGE43TM</t>
        </is>
      </c>
      <c r="B2807" t="inlineStr">
        <is>
          <t>UNIHOODIE</t>
        </is>
      </c>
      <c r="C2807" t="inlineStr">
        <is>
          <t>Manufactura / General</t>
        </is>
      </c>
      <c r="D2807" t="n">
        <v>45.13229585</v>
      </c>
      <c r="E2807" t="n">
        <v>1.104985602723124e-05</v>
      </c>
      <c r="F2807" t="n">
        <v>0.9965546308205231</v>
      </c>
      <c r="G2807" t="inlineStr">
        <is>
          <t>C</t>
        </is>
      </c>
      <c r="H2807" t="n">
        <v>0</v>
      </c>
      <c r="I2807" t="n">
        <v>20.27</v>
      </c>
      <c r="J2807" t="n">
        <v>0</v>
      </c>
      <c r="K2807" t="n">
        <v>0.1</v>
      </c>
      <c r="L2807" t="n">
        <v>0</v>
      </c>
      <c r="M2807" t="n">
        <v>4</v>
      </c>
      <c r="N2807" t="n">
        <v>0.4</v>
      </c>
      <c r="O2807" t="n">
        <v>0</v>
      </c>
      <c r="P2807" t="n">
        <v>0</v>
      </c>
      <c r="Q2807" t="n">
        <v>0</v>
      </c>
      <c r="R2807" t="inlineStr">
        <is>
          <t>Sin rotación</t>
        </is>
      </c>
    </row>
    <row r="2808">
      <c r="A2808" t="inlineStr">
        <is>
          <t>MANMIGE66TP</t>
        </is>
      </c>
      <c r="B2808" t="inlineStr">
        <is>
          <t>MANGAS GENERAL</t>
        </is>
      </c>
      <c r="C2808" t="inlineStr">
        <is>
          <t>Manufactura / General</t>
        </is>
      </c>
      <c r="D2808" t="n">
        <v>45.07104289</v>
      </c>
      <c r="E2808" t="n">
        <v>1.103485930755424e-05</v>
      </c>
      <c r="F2808" t="n">
        <v>0.9965656656798305</v>
      </c>
      <c r="G2808" t="inlineStr">
        <is>
          <t>C</t>
        </is>
      </c>
      <c r="H2808" t="n">
        <v>31</v>
      </c>
      <c r="I2808" t="n">
        <v>0.92</v>
      </c>
      <c r="J2808" t="n">
        <v>28.52</v>
      </c>
      <c r="K2808" t="n">
        <v>0.3</v>
      </c>
      <c r="L2808" t="n">
        <v>103.3333333333333</v>
      </c>
      <c r="M2808" t="n">
        <v>4</v>
      </c>
      <c r="N2808" t="n">
        <v>1.2</v>
      </c>
      <c r="O2808" t="n">
        <v>29.8</v>
      </c>
      <c r="P2808" t="n">
        <v>27.416</v>
      </c>
      <c r="Q2808" t="n">
        <v>0.9612903225806452</v>
      </c>
      <c r="R2808" t="inlineStr">
        <is>
          <t>Sobrestock crítico</t>
        </is>
      </c>
    </row>
    <row r="2809">
      <c r="A2809" t="inlineStr">
        <is>
          <t>MARMICA09T3XL</t>
        </is>
      </c>
      <c r="B2809" t="inlineStr">
        <is>
          <t>MAR ORIGINAL CAB</t>
        </is>
      </c>
      <c r="C2809" t="inlineStr">
        <is>
          <t>Manufactura / Caballero / P. Superiores</t>
        </is>
      </c>
      <c r="D2809" t="n">
        <v>45.02281952</v>
      </c>
      <c r="E2809" t="n">
        <v>1.102305265589577e-05</v>
      </c>
      <c r="F2809" t="n">
        <v>0.9965766887324864</v>
      </c>
      <c r="G2809" t="inlineStr">
        <is>
          <t>C</t>
        </is>
      </c>
      <c r="H2809" t="n">
        <v>0</v>
      </c>
      <c r="I2809" t="n">
        <v>4.946357428</v>
      </c>
      <c r="J2809" t="n">
        <v>0</v>
      </c>
      <c r="K2809" t="n">
        <v>0.1</v>
      </c>
      <c r="L2809" t="n">
        <v>0</v>
      </c>
      <c r="M2809" t="n">
        <v>4</v>
      </c>
      <c r="N2809" t="n">
        <v>0.4</v>
      </c>
      <c r="O2809" t="n">
        <v>0</v>
      </c>
      <c r="P2809" t="n">
        <v>0</v>
      </c>
      <c r="Q2809" t="n">
        <v>0</v>
      </c>
      <c r="R2809" t="inlineStr">
        <is>
          <t>Sin rotación</t>
        </is>
      </c>
    </row>
    <row r="2810">
      <c r="A2810" t="inlineStr">
        <is>
          <t>CCBHMCA151T2XL</t>
        </is>
      </c>
      <c r="B2810" t="inlineStr">
        <is>
          <t>CLUB CLASICA CABALLERO</t>
        </is>
      </c>
      <c r="C2810" t="inlineStr">
        <is>
          <t>Manufactura / Caballero / P. Superiores</t>
        </is>
      </c>
      <c r="D2810" t="n">
        <v>45</v>
      </c>
      <c r="E2810" t="n">
        <v>1.101746569414562e-05</v>
      </c>
      <c r="F2810" t="n">
        <v>0.9965987236638747</v>
      </c>
      <c r="G2810" t="inlineStr">
        <is>
          <t>C</t>
        </is>
      </c>
      <c r="H2810" t="n">
        <v>16</v>
      </c>
      <c r="I2810" t="n">
        <v>1</v>
      </c>
      <c r="J2810" t="n">
        <v>16</v>
      </c>
      <c r="K2810" t="n">
        <v>0.2</v>
      </c>
      <c r="L2810" t="n">
        <v>80</v>
      </c>
      <c r="M2810" t="n">
        <v>4</v>
      </c>
      <c r="N2810" t="n">
        <v>0.8</v>
      </c>
      <c r="O2810" t="n">
        <v>15.2</v>
      </c>
      <c r="P2810" t="n">
        <v>15.2</v>
      </c>
      <c r="Q2810" t="n">
        <v>0.95</v>
      </c>
      <c r="R2810" t="inlineStr">
        <is>
          <t>Sobrestock crítico</t>
        </is>
      </c>
    </row>
    <row r="2811">
      <c r="A2811" t="inlineStr">
        <is>
          <t>ZOEMIDA66TXL</t>
        </is>
      </c>
      <c r="B2811" t="inlineStr">
        <is>
          <t>ZOE ORIGINAL DAMA</t>
        </is>
      </c>
      <c r="C2811" t="inlineStr">
        <is>
          <t>Manufactura / Dama / P. Superiores</t>
        </is>
      </c>
      <c r="D2811" t="n">
        <v>45</v>
      </c>
      <c r="E2811" t="n">
        <v>1.101746569414562e-05</v>
      </c>
      <c r="F2811" t="n">
        <v>0.9965987236638747</v>
      </c>
      <c r="G2811" t="inlineStr">
        <is>
          <t>C</t>
        </is>
      </c>
      <c r="H2811" t="n">
        <v>0</v>
      </c>
      <c r="I2811" t="n">
        <v>4.116585696</v>
      </c>
      <c r="J2811" t="n">
        <v>0</v>
      </c>
      <c r="K2811" t="n">
        <v>0.1</v>
      </c>
      <c r="L2811" t="n">
        <v>0</v>
      </c>
      <c r="M2811" t="n">
        <v>4</v>
      </c>
      <c r="N2811" t="n">
        <v>0.4</v>
      </c>
      <c r="O2811" t="n">
        <v>0</v>
      </c>
      <c r="P2811" t="n">
        <v>0</v>
      </c>
      <c r="Q2811" t="n">
        <v>0</v>
      </c>
      <c r="R2811" t="inlineStr">
        <is>
          <t>Riesgo bajo stock</t>
        </is>
      </c>
    </row>
    <row r="2812">
      <c r="A2812" t="inlineStr">
        <is>
          <t>CLAMICA39T2XL</t>
        </is>
      </c>
      <c r="B2812" t="inlineStr">
        <is>
          <t>CLASICA ORIGINAL CAB</t>
        </is>
      </c>
      <c r="C2812" t="inlineStr">
        <is>
          <t>Manufactura / Caballero / P. Superiores</t>
        </is>
      </c>
      <c r="D2812" t="n">
        <v>44.98496864</v>
      </c>
      <c r="E2812" t="n">
        <v>1.101378552763148e-05</v>
      </c>
      <c r="F2812" t="n">
        <v>0.996653792591513</v>
      </c>
      <c r="G2812" t="inlineStr">
        <is>
          <t>C</t>
        </is>
      </c>
      <c r="H2812" t="n">
        <v>0</v>
      </c>
      <c r="I2812" t="n">
        <v>4.598442536</v>
      </c>
      <c r="J2812" t="n">
        <v>0</v>
      </c>
      <c r="K2812" t="n">
        <v>0.1</v>
      </c>
      <c r="L2812" t="n">
        <v>0</v>
      </c>
      <c r="M2812" t="n">
        <v>4</v>
      </c>
      <c r="N2812" t="n">
        <v>0.4</v>
      </c>
      <c r="O2812" t="n">
        <v>0</v>
      </c>
      <c r="P2812" t="n">
        <v>0</v>
      </c>
      <c r="Q2812" t="n">
        <v>0</v>
      </c>
      <c r="R2812" t="inlineStr">
        <is>
          <t>Sin rotación</t>
        </is>
      </c>
    </row>
    <row r="2813">
      <c r="A2813" t="inlineStr">
        <is>
          <t>CRESTCA16TXL</t>
        </is>
      </c>
      <c r="B2813" t="inlineStr">
        <is>
          <t>RETRO VZLA CAB</t>
        </is>
      </c>
      <c r="C2813" t="inlineStr">
        <is>
          <t>Manufactura / Caballero / P. Superiores</t>
        </is>
      </c>
      <c r="D2813" t="n">
        <v>44.98496864</v>
      </c>
      <c r="E2813" t="n">
        <v>1.101378552763148e-05</v>
      </c>
      <c r="F2813" t="n">
        <v>0.996653792591513</v>
      </c>
      <c r="G2813" t="inlineStr">
        <is>
          <t>C</t>
        </is>
      </c>
      <c r="H2813" t="n">
        <v>0</v>
      </c>
      <c r="I2813" t="n">
        <v>12.9</v>
      </c>
      <c r="J2813" t="n">
        <v>0</v>
      </c>
      <c r="K2813" t="n">
        <v>0.1</v>
      </c>
      <c r="L2813" t="n">
        <v>0</v>
      </c>
      <c r="M2813" t="n">
        <v>4</v>
      </c>
      <c r="N2813" t="n">
        <v>0.4</v>
      </c>
      <c r="O2813" t="n">
        <v>0</v>
      </c>
      <c r="P2813" t="n">
        <v>0</v>
      </c>
      <c r="Q2813" t="n">
        <v>0</v>
      </c>
      <c r="R2813" t="inlineStr">
        <is>
          <t>Sin rotación</t>
        </is>
      </c>
    </row>
    <row r="2814">
      <c r="A2814" t="inlineStr">
        <is>
          <t>TRISTDA43TM</t>
        </is>
      </c>
      <c r="B2814" t="inlineStr">
        <is>
          <t>RETRO VZLA DAMA</t>
        </is>
      </c>
      <c r="C2814" t="inlineStr">
        <is>
          <t>Manufactura / Dama / P. Superiores</t>
        </is>
      </c>
      <c r="D2814" t="n">
        <v>44.98496864</v>
      </c>
      <c r="E2814" t="n">
        <v>1.101378552763148e-05</v>
      </c>
      <c r="F2814" t="n">
        <v>0.996653792591513</v>
      </c>
      <c r="G2814" t="inlineStr">
        <is>
          <t>C</t>
        </is>
      </c>
      <c r="H2814" t="n">
        <v>1</v>
      </c>
      <c r="I2814" t="n">
        <v>11.23</v>
      </c>
      <c r="J2814" t="n">
        <v>11.23</v>
      </c>
      <c r="K2814" t="n">
        <v>0.1</v>
      </c>
      <c r="L2814" t="n">
        <v>10</v>
      </c>
      <c r="M2814" t="n">
        <v>4</v>
      </c>
      <c r="N2814" t="n">
        <v>0.4</v>
      </c>
      <c r="O2814" t="n">
        <v>0.6</v>
      </c>
      <c r="P2814" t="n">
        <v>6.738</v>
      </c>
      <c r="Q2814" t="n">
        <v>0.6</v>
      </c>
      <c r="R2814" t="inlineStr">
        <is>
          <t>Sin rotación</t>
        </is>
      </c>
    </row>
    <row r="2815">
      <c r="A2815" t="inlineStr">
        <is>
          <t>CRESTCA30TXL</t>
        </is>
      </c>
      <c r="B2815" t="inlineStr">
        <is>
          <t>RETRO VZLA CAB</t>
        </is>
      </c>
      <c r="C2815" t="inlineStr">
        <is>
          <t>Manufactura / Caballero / P. Superiores</t>
        </is>
      </c>
      <c r="D2815" t="n">
        <v>44.98496864</v>
      </c>
      <c r="E2815" t="n">
        <v>1.101378552763148e-05</v>
      </c>
      <c r="F2815" t="n">
        <v>0.996653792591513</v>
      </c>
      <c r="G2815" t="inlineStr">
        <is>
          <t>C</t>
        </is>
      </c>
      <c r="H2815" t="n">
        <v>1</v>
      </c>
      <c r="I2815" t="n">
        <v>12.9</v>
      </c>
      <c r="J2815" t="n">
        <v>12.9</v>
      </c>
      <c r="K2815" t="n">
        <v>0.1</v>
      </c>
      <c r="L2815" t="n">
        <v>10</v>
      </c>
      <c r="M2815" t="n">
        <v>4</v>
      </c>
      <c r="N2815" t="n">
        <v>0.4</v>
      </c>
      <c r="O2815" t="n">
        <v>0.6</v>
      </c>
      <c r="P2815" t="n">
        <v>7.74</v>
      </c>
      <c r="Q2815" t="n">
        <v>0.6</v>
      </c>
      <c r="R2815" t="inlineStr">
        <is>
          <t>Sin rotación</t>
        </is>
      </c>
    </row>
    <row r="2816">
      <c r="A2816" t="inlineStr">
        <is>
          <t>AQUSTDA16TS</t>
        </is>
      </c>
      <c r="B2816" t="inlineStr">
        <is>
          <t>RETRO VZLA DAMA</t>
        </is>
      </c>
      <c r="C2816" t="inlineStr">
        <is>
          <t>Manufactura / Dama / P. Superiores</t>
        </is>
      </c>
      <c r="D2816" t="n">
        <v>44.98496864</v>
      </c>
      <c r="E2816" t="n">
        <v>1.101378552763148e-05</v>
      </c>
      <c r="F2816" t="n">
        <v>0.996653792591513</v>
      </c>
      <c r="G2816" t="inlineStr">
        <is>
          <t>C</t>
        </is>
      </c>
      <c r="H2816" t="n">
        <v>1</v>
      </c>
      <c r="I2816" t="n">
        <v>11.23</v>
      </c>
      <c r="J2816" t="n">
        <v>11.23</v>
      </c>
      <c r="K2816" t="n">
        <v>0.1</v>
      </c>
      <c r="L2816" t="n">
        <v>10</v>
      </c>
      <c r="M2816" t="n">
        <v>4</v>
      </c>
      <c r="N2816" t="n">
        <v>0.4</v>
      </c>
      <c r="O2816" t="n">
        <v>0.6</v>
      </c>
      <c r="P2816" t="n">
        <v>6.738</v>
      </c>
      <c r="Q2816" t="n">
        <v>0.6</v>
      </c>
      <c r="R2816" t="inlineStr">
        <is>
          <t>Sin rotación</t>
        </is>
      </c>
    </row>
    <row r="2817">
      <c r="A2817" t="inlineStr">
        <is>
          <t>CLAMICA43T4XL</t>
        </is>
      </c>
      <c r="B2817" t="inlineStr">
        <is>
          <t>CLASICA ORIGINAL CAB</t>
        </is>
      </c>
      <c r="C2817" t="inlineStr">
        <is>
          <t>Manufactura / Caballero / P. Superiores</t>
        </is>
      </c>
      <c r="D2817" t="n">
        <v>44.94606041</v>
      </c>
      <c r="E2817" t="n">
        <v>1.100425952564826e-05</v>
      </c>
      <c r="F2817" t="n">
        <v>0.9966758011105642</v>
      </c>
      <c r="G2817" t="inlineStr">
        <is>
          <t>C</t>
        </is>
      </c>
      <c r="H2817" t="n">
        <v>0</v>
      </c>
      <c r="I2817" t="n">
        <v>4.598442536</v>
      </c>
      <c r="J2817" t="n">
        <v>0</v>
      </c>
      <c r="K2817" t="n">
        <v>0.1</v>
      </c>
      <c r="L2817" t="n">
        <v>0</v>
      </c>
      <c r="M2817" t="n">
        <v>4</v>
      </c>
      <c r="N2817" t="n">
        <v>0.4</v>
      </c>
      <c r="O2817" t="n">
        <v>0</v>
      </c>
      <c r="P2817" t="n">
        <v>0</v>
      </c>
      <c r="Q2817" t="n">
        <v>0</v>
      </c>
      <c r="R2817" t="inlineStr">
        <is>
          <t>Riesgo bajo stock</t>
        </is>
      </c>
    </row>
    <row r="2818">
      <c r="A2818" t="inlineStr">
        <is>
          <t>CLAMICA66T4XL</t>
        </is>
      </c>
      <c r="B2818" t="inlineStr">
        <is>
          <t>CLASICA ORIGINAL CAB</t>
        </is>
      </c>
      <c r="C2818" t="inlineStr">
        <is>
          <t>Manufactura / Caballero / P. Superiores</t>
        </is>
      </c>
      <c r="D2818" t="n">
        <v>44.94606041</v>
      </c>
      <c r="E2818" t="n">
        <v>1.100425952564826e-05</v>
      </c>
      <c r="F2818" t="n">
        <v>0.9966758011105642</v>
      </c>
      <c r="G2818" t="inlineStr">
        <is>
          <t>C</t>
        </is>
      </c>
      <c r="H2818" t="n">
        <v>0</v>
      </c>
      <c r="I2818" t="n">
        <v>4.598442536</v>
      </c>
      <c r="J2818" t="n">
        <v>0</v>
      </c>
      <c r="K2818" t="n">
        <v>0.1</v>
      </c>
      <c r="L2818" t="n">
        <v>0</v>
      </c>
      <c r="M2818" t="n">
        <v>4</v>
      </c>
      <c r="N2818" t="n">
        <v>0.4</v>
      </c>
      <c r="O2818" t="n">
        <v>0</v>
      </c>
      <c r="P2818" t="n">
        <v>0</v>
      </c>
      <c r="Q2818" t="n">
        <v>0</v>
      </c>
      <c r="R2818" t="inlineStr">
        <is>
          <t>Riesgo bajo stock</t>
        </is>
      </c>
    </row>
    <row r="2819">
      <c r="A2819" t="inlineStr">
        <is>
          <t>MLCMJCA50TL</t>
        </is>
      </c>
      <c r="B2819" t="inlineStr">
        <is>
          <t>MOTION LOOP CLASICA CAB</t>
        </is>
      </c>
      <c r="C2819" t="inlineStr">
        <is>
          <t>Manufactura / Caballero / P. Superiores</t>
        </is>
      </c>
      <c r="D2819" t="n">
        <v>44.83</v>
      </c>
      <c r="E2819" t="n">
        <v>1.097584415707885e-05</v>
      </c>
      <c r="F2819" t="n">
        <v>0.9967526320196637</v>
      </c>
      <c r="G2819" t="inlineStr">
        <is>
          <t>C</t>
        </is>
      </c>
      <c r="H2819" t="n">
        <v>3</v>
      </c>
      <c r="I2819" t="n">
        <v>2.002702703</v>
      </c>
      <c r="J2819" t="n">
        <v>6.008108109</v>
      </c>
      <c r="K2819" t="n">
        <v>0.2</v>
      </c>
      <c r="L2819" t="n">
        <v>15</v>
      </c>
      <c r="M2819" t="n">
        <v>4</v>
      </c>
      <c r="N2819" t="n">
        <v>0.8</v>
      </c>
      <c r="O2819" t="n">
        <v>2.2</v>
      </c>
      <c r="P2819" t="n">
        <v>4.405945946600001</v>
      </c>
      <c r="Q2819" t="n">
        <v>0.7333333333333335</v>
      </c>
      <c r="R2819" t="inlineStr">
        <is>
          <t>Sobrestock crítico</t>
        </is>
      </c>
    </row>
    <row r="2820">
      <c r="A2820" t="inlineStr">
        <is>
          <t>MLCMJCA66TXL</t>
        </is>
      </c>
      <c r="B2820" t="inlineStr">
        <is>
          <t>MOTION LOOP CLASICA CAB</t>
        </is>
      </c>
      <c r="C2820" t="inlineStr">
        <is>
          <t>Manufactura / Caballero / P. Superiores</t>
        </is>
      </c>
      <c r="D2820" t="n">
        <v>44.83</v>
      </c>
      <c r="E2820" t="n">
        <v>1.097584415707885e-05</v>
      </c>
      <c r="F2820" t="n">
        <v>0.9967526320196637</v>
      </c>
      <c r="G2820" t="inlineStr">
        <is>
          <t>C</t>
        </is>
      </c>
      <c r="H2820" t="n">
        <v>5</v>
      </c>
      <c r="I2820" t="n">
        <v>2.002702703</v>
      </c>
      <c r="J2820" t="n">
        <v>10.013513515</v>
      </c>
      <c r="K2820" t="n">
        <v>0.1</v>
      </c>
      <c r="L2820" t="n">
        <v>50</v>
      </c>
      <c r="M2820" t="n">
        <v>4</v>
      </c>
      <c r="N2820" t="n">
        <v>0.4</v>
      </c>
      <c r="O2820" t="n">
        <v>4.6</v>
      </c>
      <c r="P2820" t="n">
        <v>9.2124324338</v>
      </c>
      <c r="Q2820" t="n">
        <v>0.9199999999999999</v>
      </c>
      <c r="R2820" t="inlineStr">
        <is>
          <t>Sobrestock crítico</t>
        </is>
      </c>
    </row>
    <row r="2821">
      <c r="A2821" t="inlineStr">
        <is>
          <t>MLCMJCA14TL</t>
        </is>
      </c>
      <c r="B2821" t="inlineStr">
        <is>
          <t>MOTION LOOP CLASICA CAB</t>
        </is>
      </c>
      <c r="C2821" t="inlineStr">
        <is>
          <t>Manufactura / Caballero / P. Superiores</t>
        </is>
      </c>
      <c r="D2821" t="n">
        <v>44.83</v>
      </c>
      <c r="E2821" t="n">
        <v>1.097584415707885e-05</v>
      </c>
      <c r="F2821" t="n">
        <v>0.9967526320196637</v>
      </c>
      <c r="G2821" t="inlineStr">
        <is>
          <t>C</t>
        </is>
      </c>
      <c r="H2821" t="n">
        <v>5</v>
      </c>
      <c r="I2821" t="n">
        <v>2.002702703</v>
      </c>
      <c r="J2821" t="n">
        <v>10.013513515</v>
      </c>
      <c r="K2821" t="n">
        <v>0.1</v>
      </c>
      <c r="L2821" t="n">
        <v>50</v>
      </c>
      <c r="M2821" t="n">
        <v>4</v>
      </c>
      <c r="N2821" t="n">
        <v>0.4</v>
      </c>
      <c r="O2821" t="n">
        <v>4.6</v>
      </c>
      <c r="P2821" t="n">
        <v>9.2124324338</v>
      </c>
      <c r="Q2821" t="n">
        <v>0.9199999999999999</v>
      </c>
      <c r="R2821" t="inlineStr">
        <is>
          <t>Sobrestock crítico</t>
        </is>
      </c>
    </row>
    <row r="2822">
      <c r="A2822" t="inlineStr">
        <is>
          <t>SHOSUKI23T14</t>
        </is>
      </c>
      <c r="B2822" t="inlineStr">
        <is>
          <t>SHORT PLAYA ESTAMPADO KIDS</t>
        </is>
      </c>
      <c r="C2822" t="inlineStr">
        <is>
          <t>Manufactura / Kids / P. Superiores</t>
        </is>
      </c>
      <c r="D2822" t="n">
        <v>44.83</v>
      </c>
      <c r="E2822" t="n">
        <v>1.097584415707885e-05</v>
      </c>
      <c r="F2822" t="n">
        <v>0.9967526320196637</v>
      </c>
      <c r="G2822" t="inlineStr">
        <is>
          <t>C</t>
        </is>
      </c>
      <c r="H2822" t="n">
        <v>0</v>
      </c>
      <c r="I2822" t="n">
        <v>7.21</v>
      </c>
      <c r="J2822" t="n">
        <v>0</v>
      </c>
      <c r="K2822" t="n">
        <v>0.1</v>
      </c>
      <c r="L2822" t="n">
        <v>0</v>
      </c>
      <c r="M2822" t="n">
        <v>4</v>
      </c>
      <c r="N2822" t="n">
        <v>0.4</v>
      </c>
      <c r="O2822" t="n">
        <v>0</v>
      </c>
      <c r="P2822" t="n">
        <v>0</v>
      </c>
      <c r="Q2822" t="n">
        <v>0</v>
      </c>
      <c r="R2822" t="inlineStr">
        <is>
          <t>Riesgo bajo stock</t>
        </is>
      </c>
    </row>
    <row r="2823">
      <c r="A2823" t="inlineStr">
        <is>
          <t>MLCMJCA50T2XL</t>
        </is>
      </c>
      <c r="B2823" t="inlineStr">
        <is>
          <t>MOTION LOOP CLASICA CAB</t>
        </is>
      </c>
      <c r="C2823" t="inlineStr">
        <is>
          <t>Manufactura / Caballero / P. Superiores</t>
        </is>
      </c>
      <c r="D2823" t="n">
        <v>44.83</v>
      </c>
      <c r="E2823" t="n">
        <v>1.097584415707885e-05</v>
      </c>
      <c r="F2823" t="n">
        <v>0.9967526320196637</v>
      </c>
      <c r="G2823" t="inlineStr">
        <is>
          <t>C</t>
        </is>
      </c>
      <c r="H2823" t="n">
        <v>1</v>
      </c>
      <c r="I2823" t="n">
        <v>2.002702703</v>
      </c>
      <c r="J2823" t="n">
        <v>2.002702703</v>
      </c>
      <c r="K2823" t="n">
        <v>0.1</v>
      </c>
      <c r="L2823" t="n">
        <v>10</v>
      </c>
      <c r="M2823" t="n">
        <v>4</v>
      </c>
      <c r="N2823" t="n">
        <v>0.4</v>
      </c>
      <c r="O2823" t="n">
        <v>0.6</v>
      </c>
      <c r="P2823" t="n">
        <v>1.2016216218</v>
      </c>
      <c r="Q2823" t="n">
        <v>0.6</v>
      </c>
      <c r="R2823" t="inlineStr">
        <is>
          <t>Sobrestock crítico</t>
        </is>
      </c>
    </row>
    <row r="2824">
      <c r="A2824" t="inlineStr">
        <is>
          <t>MLCMJCA12TXL</t>
        </is>
      </c>
      <c r="B2824" t="inlineStr">
        <is>
          <t>MOTION LOOP CLASICA CAB</t>
        </is>
      </c>
      <c r="C2824" t="inlineStr">
        <is>
          <t>Manufactura / Caballero / P. Superiores</t>
        </is>
      </c>
      <c r="D2824" t="n">
        <v>44.83</v>
      </c>
      <c r="E2824" t="n">
        <v>1.097584415707885e-05</v>
      </c>
      <c r="F2824" t="n">
        <v>0.9967526320196637</v>
      </c>
      <c r="G2824" t="inlineStr">
        <is>
          <t>C</t>
        </is>
      </c>
      <c r="H2824" t="n">
        <v>5</v>
      </c>
      <c r="I2824" t="n">
        <v>2.002702703</v>
      </c>
      <c r="J2824" t="n">
        <v>10.013513515</v>
      </c>
      <c r="K2824" t="n">
        <v>0.1</v>
      </c>
      <c r="L2824" t="n">
        <v>50</v>
      </c>
      <c r="M2824" t="n">
        <v>4</v>
      </c>
      <c r="N2824" t="n">
        <v>0.4</v>
      </c>
      <c r="O2824" t="n">
        <v>4.6</v>
      </c>
      <c r="P2824" t="n">
        <v>9.2124324338</v>
      </c>
      <c r="Q2824" t="n">
        <v>0.9199999999999999</v>
      </c>
      <c r="R2824" t="inlineStr">
        <is>
          <t>Sobrestock crítico</t>
        </is>
      </c>
    </row>
    <row r="2825">
      <c r="A2825" t="inlineStr">
        <is>
          <t>MLCMJCA14TS</t>
        </is>
      </c>
      <c r="B2825" t="inlineStr">
        <is>
          <t>MOTION LOOP CLASICA CAB</t>
        </is>
      </c>
      <c r="C2825" t="inlineStr">
        <is>
          <t>Manufactura / Caballero / P. Superiores</t>
        </is>
      </c>
      <c r="D2825" t="n">
        <v>44.83</v>
      </c>
      <c r="E2825" t="n">
        <v>1.097584415707885e-05</v>
      </c>
      <c r="F2825" t="n">
        <v>0.9967526320196637</v>
      </c>
      <c r="G2825" t="inlineStr">
        <is>
          <t>C</t>
        </is>
      </c>
      <c r="H2825" t="n">
        <v>9</v>
      </c>
      <c r="I2825" t="n">
        <v>2.002702703</v>
      </c>
      <c r="J2825" t="n">
        <v>18.024324327</v>
      </c>
      <c r="K2825" t="n">
        <v>0.1</v>
      </c>
      <c r="L2825" t="n">
        <v>90</v>
      </c>
      <c r="M2825" t="n">
        <v>4</v>
      </c>
      <c r="N2825" t="n">
        <v>0.4</v>
      </c>
      <c r="O2825" t="n">
        <v>8.6</v>
      </c>
      <c r="P2825" t="n">
        <v>17.2232432458</v>
      </c>
      <c r="Q2825" t="n">
        <v>0.9555555555555556</v>
      </c>
      <c r="R2825" t="inlineStr">
        <is>
          <t>Sobrestock crítico</t>
        </is>
      </c>
    </row>
    <row r="2826">
      <c r="A2826" t="inlineStr">
        <is>
          <t>CLAMIDA50TXS</t>
        </is>
      </c>
      <c r="B2826" t="inlineStr">
        <is>
          <t>CLASICA ORIGINAL DAMA</t>
        </is>
      </c>
      <c r="C2826" t="inlineStr">
        <is>
          <t>Manufactura / Dama / P. Superiores</t>
        </is>
      </c>
      <c r="D2826" t="n">
        <v>44.75335596</v>
      </c>
      <c r="E2826" t="n">
        <v>1.095707919971528e-05</v>
      </c>
      <c r="F2826" t="n">
        <v>0.9967635890988634</v>
      </c>
      <c r="G2826" t="inlineStr">
        <is>
          <t>C</t>
        </is>
      </c>
      <c r="H2826" t="n">
        <v>0</v>
      </c>
      <c r="I2826" t="n">
        <v>3.923227589</v>
      </c>
      <c r="J2826" t="n">
        <v>0</v>
      </c>
      <c r="K2826" t="n">
        <v>0.2</v>
      </c>
      <c r="L2826" t="n">
        <v>0</v>
      </c>
      <c r="M2826" t="n">
        <v>4</v>
      </c>
      <c r="N2826" t="n">
        <v>0.8</v>
      </c>
      <c r="O2826" t="n">
        <v>0</v>
      </c>
      <c r="P2826" t="n">
        <v>0</v>
      </c>
      <c r="Q2826" t="n">
        <v>0</v>
      </c>
      <c r="R2826" t="inlineStr">
        <is>
          <t>Riesgo bajo stock</t>
        </is>
      </c>
    </row>
    <row r="2827">
      <c r="A2827" t="inlineStr">
        <is>
          <t>GOOSTDA43TS</t>
        </is>
      </c>
      <c r="B2827" t="inlineStr">
        <is>
          <t>RETRO VZLA DAMA</t>
        </is>
      </c>
      <c r="C2827" t="inlineStr">
        <is>
          <t>Manufactura / Dama / P. Superiores</t>
        </is>
      </c>
      <c r="D2827" t="n">
        <v>44.63704325</v>
      </c>
      <c r="E2827" t="n">
        <v>1.092860205988821e-05</v>
      </c>
      <c r="F2827" t="n">
        <v>0.9967745177009234</v>
      </c>
      <c r="G2827" t="inlineStr">
        <is>
          <t>C</t>
        </is>
      </c>
      <c r="H2827" t="n">
        <v>0</v>
      </c>
      <c r="I2827" t="n">
        <v>11.23</v>
      </c>
      <c r="J2827" t="n">
        <v>0</v>
      </c>
      <c r="K2827" t="n">
        <v>0.1</v>
      </c>
      <c r="L2827" t="n">
        <v>0</v>
      </c>
      <c r="M2827" t="n">
        <v>4</v>
      </c>
      <c r="N2827" t="n">
        <v>0.4</v>
      </c>
      <c r="O2827" t="n">
        <v>0</v>
      </c>
      <c r="P2827" t="n">
        <v>0</v>
      </c>
      <c r="Q2827" t="n">
        <v>0</v>
      </c>
      <c r="R2827" t="inlineStr">
        <is>
          <t>Riesgo bajo stock</t>
        </is>
      </c>
    </row>
    <row r="2828">
      <c r="A2828" t="inlineStr">
        <is>
          <t>MARMIDA24TXL</t>
        </is>
      </c>
      <c r="B2828" t="inlineStr">
        <is>
          <t>MAR ORIGINAL DAMA</t>
        </is>
      </c>
      <c r="C2828" t="inlineStr">
        <is>
          <t>Manufactura / Dama / P. Superiores</t>
        </is>
      </c>
      <c r="D2828" t="n">
        <v>44.60901246</v>
      </c>
      <c r="E2828" t="n">
        <v>1.092173920950588e-05</v>
      </c>
      <c r="F2828" t="n">
        <v>0.9967854394401329</v>
      </c>
      <c r="G2828" t="inlineStr">
        <is>
          <t>C</t>
        </is>
      </c>
      <c r="H2828" t="n">
        <v>0</v>
      </c>
      <c r="I2828" t="n">
        <v>4.278324149</v>
      </c>
      <c r="J2828" t="n">
        <v>0</v>
      </c>
      <c r="K2828" t="n">
        <v>0.1</v>
      </c>
      <c r="L2828" t="n">
        <v>0</v>
      </c>
      <c r="M2828" t="n">
        <v>4</v>
      </c>
      <c r="N2828" t="n">
        <v>0.4</v>
      </c>
      <c r="O2828" t="n">
        <v>0</v>
      </c>
      <c r="P2828" t="n">
        <v>0</v>
      </c>
      <c r="Q2828" t="n">
        <v>0</v>
      </c>
      <c r="R2828" t="inlineStr">
        <is>
          <t>Sin rotación</t>
        </is>
      </c>
    </row>
    <row r="2829">
      <c r="A2829" t="inlineStr">
        <is>
          <t>RIOMIDA24TM</t>
        </is>
      </c>
      <c r="B2829" t="inlineStr">
        <is>
          <t>RIO ORIGINAL DAMA</t>
        </is>
      </c>
      <c r="C2829" t="inlineStr">
        <is>
          <t>Manufactura / Dama / P. Superiores</t>
        </is>
      </c>
      <c r="D2829" t="n">
        <v>44.59903491</v>
      </c>
      <c r="E2829" t="n">
        <v>1.091929638028729e-05</v>
      </c>
      <c r="F2829" t="n">
        <v>0.9968072780328935</v>
      </c>
      <c r="G2829" t="inlineStr">
        <is>
          <t>C</t>
        </is>
      </c>
      <c r="H2829" t="n">
        <v>0</v>
      </c>
      <c r="I2829" t="n">
        <v>5.538832275</v>
      </c>
      <c r="J2829" t="n">
        <v>0</v>
      </c>
      <c r="K2829" t="n">
        <v>0.1</v>
      </c>
      <c r="L2829" t="n">
        <v>0</v>
      </c>
      <c r="M2829" t="n">
        <v>4</v>
      </c>
      <c r="N2829" t="n">
        <v>0.4</v>
      </c>
      <c r="O2829" t="n">
        <v>0</v>
      </c>
      <c r="P2829" t="n">
        <v>0</v>
      </c>
      <c r="Q2829" t="n">
        <v>0</v>
      </c>
      <c r="R2829" t="inlineStr">
        <is>
          <t>Sin rotación</t>
        </is>
      </c>
    </row>
    <row r="2830">
      <c r="A2830" t="inlineStr">
        <is>
          <t>RIOMIDA09TM</t>
        </is>
      </c>
      <c r="B2830" t="inlineStr">
        <is>
          <t>RIO ORIGINAL DAMA</t>
        </is>
      </c>
      <c r="C2830" t="inlineStr">
        <is>
          <t>Manufactura / Dama / P. Superiores</t>
        </is>
      </c>
      <c r="D2830" t="n">
        <v>44.59903491</v>
      </c>
      <c r="E2830" t="n">
        <v>1.091929638028729e-05</v>
      </c>
      <c r="F2830" t="n">
        <v>0.9968072780328935</v>
      </c>
      <c r="G2830" t="inlineStr">
        <is>
          <t>C</t>
        </is>
      </c>
      <c r="H2830" t="n">
        <v>0</v>
      </c>
      <c r="I2830" t="n">
        <v>5.538832275</v>
      </c>
      <c r="J2830" t="n">
        <v>0</v>
      </c>
      <c r="K2830" t="n">
        <v>0.1</v>
      </c>
      <c r="L2830" t="n">
        <v>0</v>
      </c>
      <c r="M2830" t="n">
        <v>4</v>
      </c>
      <c r="N2830" t="n">
        <v>0.4</v>
      </c>
      <c r="O2830" t="n">
        <v>0</v>
      </c>
      <c r="P2830" t="n">
        <v>0</v>
      </c>
      <c r="Q2830" t="n">
        <v>0</v>
      </c>
      <c r="R2830" t="inlineStr">
        <is>
          <t>Sin rotación</t>
        </is>
      </c>
    </row>
    <row r="2831">
      <c r="A2831" t="inlineStr">
        <is>
          <t>MARMIDA39TXL</t>
        </is>
      </c>
      <c r="B2831" t="inlineStr">
        <is>
          <t>MAR ORIGINAL DAMA</t>
        </is>
      </c>
      <c r="C2831" t="inlineStr">
        <is>
          <t>Manufactura / Dama / P. Superiores</t>
        </is>
      </c>
      <c r="D2831" t="n">
        <v>44.53937942</v>
      </c>
      <c r="E2831" t="n">
        <v>1.090469077329746e-05</v>
      </c>
      <c r="F2831" t="n">
        <v>0.9968181827236667</v>
      </c>
      <c r="G2831" t="inlineStr">
        <is>
          <t>C</t>
        </is>
      </c>
      <c r="H2831" t="n">
        <v>0</v>
      </c>
      <c r="I2831" t="n">
        <v>4.278324149</v>
      </c>
      <c r="J2831" t="n">
        <v>0</v>
      </c>
      <c r="K2831" t="n">
        <v>0.1</v>
      </c>
      <c r="L2831" t="n">
        <v>0</v>
      </c>
      <c r="M2831" t="n">
        <v>4</v>
      </c>
      <c r="N2831" t="n">
        <v>0.4</v>
      </c>
      <c r="O2831" t="n">
        <v>0</v>
      </c>
      <c r="P2831" t="n">
        <v>0</v>
      </c>
      <c r="Q2831" t="n">
        <v>0</v>
      </c>
      <c r="R2831" t="inlineStr">
        <is>
          <t>Riesgo bajo stock</t>
        </is>
      </c>
    </row>
    <row r="2832">
      <c r="A2832" t="inlineStr">
        <is>
          <t>DALSTCA16T2XL</t>
        </is>
      </c>
      <c r="B2832" t="inlineStr">
        <is>
          <t>CLASICA DAILY 2.0 CAB</t>
        </is>
      </c>
      <c r="C2832" t="inlineStr">
        <is>
          <t>Manufactura / Caballero / P. Superiores</t>
        </is>
      </c>
      <c r="D2832" t="n">
        <v>44.48259614</v>
      </c>
      <c r="E2832" t="n">
        <v>1.089078837686632e-05</v>
      </c>
      <c r="F2832" t="n">
        <v>0.9968290735120436</v>
      </c>
      <c r="G2832" t="inlineStr">
        <is>
          <t>C</t>
        </is>
      </c>
      <c r="H2832" t="n">
        <v>3</v>
      </c>
      <c r="I2832" t="n">
        <v>11.7</v>
      </c>
      <c r="J2832" t="n">
        <v>35.09999999999999</v>
      </c>
      <c r="K2832" t="n">
        <v>0.1</v>
      </c>
      <c r="L2832" t="n">
        <v>30</v>
      </c>
      <c r="M2832" t="n">
        <v>4</v>
      </c>
      <c r="N2832" t="n">
        <v>0.4</v>
      </c>
      <c r="O2832" t="n">
        <v>2.6</v>
      </c>
      <c r="P2832" t="n">
        <v>30.42</v>
      </c>
      <c r="Q2832" t="n">
        <v>0.8666666666666668</v>
      </c>
      <c r="R2832" t="inlineStr">
        <is>
          <t>Sin rotación</t>
        </is>
      </c>
    </row>
    <row r="2833">
      <c r="A2833" t="inlineStr">
        <is>
          <t>AQUSTDA43TXS</t>
        </is>
      </c>
      <c r="B2833" t="inlineStr">
        <is>
          <t>RETRO VZLA DAMA</t>
        </is>
      </c>
      <c r="C2833" t="inlineStr">
        <is>
          <t>Manufactura / Dama / P. Superiores</t>
        </is>
      </c>
      <c r="D2833" t="n">
        <v>44.28278423</v>
      </c>
      <c r="E2833" t="n">
        <v>1.084186791322839e-05</v>
      </c>
      <c r="F2833" t="n">
        <v>0.9968399153799569</v>
      </c>
      <c r="G2833" t="inlineStr">
        <is>
          <t>C</t>
        </is>
      </c>
      <c r="H2833" t="n">
        <v>1</v>
      </c>
      <c r="I2833" t="n">
        <v>11.23</v>
      </c>
      <c r="J2833" t="n">
        <v>11.23</v>
      </c>
      <c r="K2833" t="n">
        <v>0.1</v>
      </c>
      <c r="L2833" t="n">
        <v>10</v>
      </c>
      <c r="M2833" t="n">
        <v>4</v>
      </c>
      <c r="N2833" t="n">
        <v>0.4</v>
      </c>
      <c r="O2833" t="n">
        <v>0.6</v>
      </c>
      <c r="P2833" t="n">
        <v>6.738</v>
      </c>
      <c r="Q2833" t="n">
        <v>0.6</v>
      </c>
      <c r="R2833" t="inlineStr">
        <is>
          <t>Sobrestock crítico</t>
        </is>
      </c>
    </row>
    <row r="2834">
      <c r="A2834" t="inlineStr">
        <is>
          <t>TOA63CL</t>
        </is>
      </c>
      <c r="B2834" t="inlineStr">
        <is>
          <t>TOALLA CLIP ORIGINAL</t>
        </is>
      </c>
      <c r="C2834" t="inlineStr">
        <is>
          <t>Equipamiento / Toallas</t>
        </is>
      </c>
      <c r="D2834" t="n">
        <v>44.24942762</v>
      </c>
      <c r="E2834" t="n">
        <v>1.083370112864288e-05</v>
      </c>
      <c r="F2834" t="n">
        <v>0.9968507490810855</v>
      </c>
      <c r="G2834" t="inlineStr">
        <is>
          <t>C</t>
        </is>
      </c>
      <c r="H2834" t="n">
        <v>1</v>
      </c>
      <c r="I2834" t="n">
        <v>5.11</v>
      </c>
      <c r="J2834" t="n">
        <v>5.11</v>
      </c>
      <c r="K2834" t="n">
        <v>0.2</v>
      </c>
      <c r="L2834" t="n">
        <v>5</v>
      </c>
      <c r="M2834" t="n">
        <v>4</v>
      </c>
      <c r="N2834" t="n">
        <v>0.8</v>
      </c>
      <c r="O2834" t="n">
        <v>0.2</v>
      </c>
      <c r="P2834" t="n">
        <v>1.022</v>
      </c>
      <c r="Q2834" t="n">
        <v>0.2</v>
      </c>
      <c r="R2834" t="inlineStr">
        <is>
          <t>Sin rotación</t>
        </is>
      </c>
    </row>
    <row r="2835">
      <c r="A2835" t="inlineStr">
        <is>
          <t>CLAMICA34TL</t>
        </is>
      </c>
      <c r="B2835" t="inlineStr">
        <is>
          <t>CLASICA ORIGINAL CAB</t>
        </is>
      </c>
      <c r="C2835" t="inlineStr">
        <is>
          <t>Manufactura / Caballero / P. Superiores</t>
        </is>
      </c>
      <c r="D2835" t="n">
        <v>44.05912997</v>
      </c>
      <c r="E2835" t="n">
        <v>1.078711006574174e-05</v>
      </c>
      <c r="F2835" t="n">
        <v>0.996872323301217</v>
      </c>
      <c r="G2835" t="inlineStr">
        <is>
          <t>C</t>
        </is>
      </c>
      <c r="H2835" t="n">
        <v>0</v>
      </c>
      <c r="I2835" t="n">
        <v>4.598442536</v>
      </c>
      <c r="J2835" t="n">
        <v>0</v>
      </c>
      <c r="K2835" t="n">
        <v>0.1</v>
      </c>
      <c r="L2835" t="n">
        <v>0</v>
      </c>
      <c r="M2835" t="n">
        <v>4</v>
      </c>
      <c r="N2835" t="n">
        <v>0.4</v>
      </c>
      <c r="O2835" t="n">
        <v>0</v>
      </c>
      <c r="P2835" t="n">
        <v>0</v>
      </c>
      <c r="Q2835" t="n">
        <v>0</v>
      </c>
      <c r="R2835" t="inlineStr">
        <is>
          <t>Sin rotación</t>
        </is>
      </c>
    </row>
    <row r="2836">
      <c r="A2836" t="inlineStr">
        <is>
          <t>AQUSTCA16TXL</t>
        </is>
      </c>
      <c r="B2836" t="inlineStr">
        <is>
          <t>RETRO VZLA CAB</t>
        </is>
      </c>
      <c r="C2836" t="inlineStr">
        <is>
          <t>Manufactura / Caballero / P. Superiores</t>
        </is>
      </c>
      <c r="D2836" t="n">
        <v>44.05912997</v>
      </c>
      <c r="E2836" t="n">
        <v>1.078711006574174e-05</v>
      </c>
      <c r="F2836" t="n">
        <v>0.996872323301217</v>
      </c>
      <c r="G2836" t="inlineStr">
        <is>
          <t>C</t>
        </is>
      </c>
      <c r="H2836" t="n">
        <v>0</v>
      </c>
      <c r="I2836" t="n">
        <v>12.9</v>
      </c>
      <c r="J2836" t="n">
        <v>0</v>
      </c>
      <c r="K2836" t="n">
        <v>0.1</v>
      </c>
      <c r="L2836" t="n">
        <v>0</v>
      </c>
      <c r="M2836" t="n">
        <v>4</v>
      </c>
      <c r="N2836" t="n">
        <v>0.4</v>
      </c>
      <c r="O2836" t="n">
        <v>0</v>
      </c>
      <c r="P2836" t="n">
        <v>0</v>
      </c>
      <c r="Q2836" t="n">
        <v>0</v>
      </c>
      <c r="R2836" t="inlineStr">
        <is>
          <t>Sin rotación</t>
        </is>
      </c>
    </row>
    <row r="2837">
      <c r="A2837" t="inlineStr">
        <is>
          <t>CLAMECA43T3XL</t>
        </is>
      </c>
      <c r="B2837" t="inlineStr">
        <is>
          <t>CLASICA SPORT CAB</t>
        </is>
      </c>
      <c r="C2837" t="inlineStr">
        <is>
          <t>Manufactura / Caballero / P. Superiores</t>
        </is>
      </c>
      <c r="D2837" t="n">
        <v>44.00175039</v>
      </c>
      <c r="E2837" t="n">
        <v>1.077306167564853e-05</v>
      </c>
      <c r="F2837" t="n">
        <v>0.9968830963628926</v>
      </c>
      <c r="G2837" t="inlineStr">
        <is>
          <t>C</t>
        </is>
      </c>
      <c r="H2837" t="n">
        <v>0</v>
      </c>
      <c r="I2837" t="n">
        <v>10.3013454</v>
      </c>
      <c r="J2837" t="n">
        <v>0</v>
      </c>
      <c r="K2837" t="n">
        <v>0.1</v>
      </c>
      <c r="L2837" t="n">
        <v>0</v>
      </c>
      <c r="M2837" t="n">
        <v>4</v>
      </c>
      <c r="N2837" t="n">
        <v>0.4</v>
      </c>
      <c r="O2837" t="n">
        <v>0</v>
      </c>
      <c r="P2837" t="n">
        <v>0</v>
      </c>
      <c r="Q2837" t="n">
        <v>0</v>
      </c>
      <c r="R2837" t="inlineStr">
        <is>
          <t>Sin rotación</t>
        </is>
      </c>
    </row>
    <row r="2838">
      <c r="A2838" t="inlineStr">
        <is>
          <t>PETMIPE66TXS</t>
        </is>
      </c>
      <c r="B2838" t="inlineStr">
        <is>
          <t>BANDANA PET</t>
        </is>
      </c>
      <c r="C2838" t="inlineStr">
        <is>
          <t>Manufactura / General</t>
        </is>
      </c>
      <c r="D2838" t="n">
        <v>43.89303826</v>
      </c>
      <c r="E2838" t="n">
        <v>1.074644540536381e-05</v>
      </c>
      <c r="F2838" t="n">
        <v>0.996893842808298</v>
      </c>
      <c r="G2838" t="inlineStr">
        <is>
          <t>C</t>
        </is>
      </c>
      <c r="H2838" t="n">
        <v>19</v>
      </c>
      <c r="I2838" t="n">
        <v>0.3252662283</v>
      </c>
      <c r="J2838" t="n">
        <v>6.1800583377</v>
      </c>
      <c r="K2838" t="n">
        <v>0.6</v>
      </c>
      <c r="L2838" t="n">
        <v>31.66666666666667</v>
      </c>
      <c r="M2838" t="n">
        <v>4</v>
      </c>
      <c r="N2838" t="n">
        <v>2.4</v>
      </c>
      <c r="O2838" t="n">
        <v>16.6</v>
      </c>
      <c r="P2838" t="n">
        <v>5.399419389780001</v>
      </c>
      <c r="Q2838" t="n">
        <v>0.873684210526316</v>
      </c>
      <c r="R2838" t="inlineStr">
        <is>
          <t>Sobrestock crítico</t>
        </is>
      </c>
    </row>
    <row r="2839">
      <c r="A2839" t="inlineStr">
        <is>
          <t>TALGOTADA170TL</t>
        </is>
      </c>
      <c r="B2839" t="inlineStr">
        <is>
          <t>URBAN COTTON TOP VINTAGE GRIS DAMA</t>
        </is>
      </c>
      <c r="C2839" t="inlineStr">
        <is>
          <t>Manufactura / Dama / P. Superiores</t>
        </is>
      </c>
      <c r="D2839" t="n">
        <v>43.80441455</v>
      </c>
      <c r="E2839" t="n">
        <v>1.072474743459463e-05</v>
      </c>
      <c r="F2839" t="n">
        <v>0.9969045675557325</v>
      </c>
      <c r="G2839" t="inlineStr">
        <is>
          <t>C</t>
        </is>
      </c>
      <c r="H2839" t="n">
        <v>0</v>
      </c>
      <c r="I2839" t="n">
        <v>7.819069274</v>
      </c>
      <c r="J2839" t="n">
        <v>0</v>
      </c>
      <c r="K2839" t="n">
        <v>0.3</v>
      </c>
      <c r="L2839" t="n">
        <v>0</v>
      </c>
      <c r="M2839" t="n">
        <v>4</v>
      </c>
      <c r="N2839" t="n">
        <v>1.2</v>
      </c>
      <c r="O2839" t="n">
        <v>0</v>
      </c>
      <c r="P2839" t="n">
        <v>0</v>
      </c>
      <c r="Q2839" t="n">
        <v>0</v>
      </c>
      <c r="R2839" t="inlineStr">
        <is>
          <t>Riesgo bajo stock</t>
        </is>
      </c>
    </row>
    <row r="2840">
      <c r="A2840" t="inlineStr">
        <is>
          <t>TRISTDA43TS</t>
        </is>
      </c>
      <c r="B2840" t="inlineStr">
        <is>
          <t>RETRO VZLA DAMA</t>
        </is>
      </c>
      <c r="C2840" t="inlineStr">
        <is>
          <t>Manufactura / Dama / P. Superiores</t>
        </is>
      </c>
      <c r="D2840" t="n">
        <v>43.77800407</v>
      </c>
      <c r="E2840" t="n">
        <v>1.071828128887539e-05</v>
      </c>
      <c r="F2840" t="n">
        <v>0.9969152858370214</v>
      </c>
      <c r="G2840" t="inlineStr">
        <is>
          <t>C</t>
        </is>
      </c>
      <c r="H2840" t="n">
        <v>4</v>
      </c>
      <c r="I2840" t="n">
        <v>11.23</v>
      </c>
      <c r="J2840" t="n">
        <v>44.92</v>
      </c>
      <c r="K2840" t="n">
        <v>0.1</v>
      </c>
      <c r="L2840" t="n">
        <v>40</v>
      </c>
      <c r="M2840" t="n">
        <v>4</v>
      </c>
      <c r="N2840" t="n">
        <v>0.4</v>
      </c>
      <c r="O2840" t="n">
        <v>3.6</v>
      </c>
      <c r="P2840" t="n">
        <v>40.428</v>
      </c>
      <c r="Q2840" t="n">
        <v>0.9</v>
      </c>
      <c r="R2840" t="inlineStr">
        <is>
          <t>Sobrestock crítico</t>
        </is>
      </c>
    </row>
    <row r="2841">
      <c r="A2841" t="inlineStr">
        <is>
          <t>CLAMIDA04TL</t>
        </is>
      </c>
      <c r="B2841" t="inlineStr">
        <is>
          <t>CLASICA ORIGINAL DAMA</t>
        </is>
      </c>
      <c r="C2841" t="inlineStr">
        <is>
          <t>Manufactura / Dama / P. Superiores</t>
        </is>
      </c>
      <c r="D2841" t="n">
        <v>43.62614996</v>
      </c>
      <c r="E2841" t="n">
        <v>1.068110245671005e-05</v>
      </c>
      <c r="F2841" t="n">
        <v>0.9969259669394781</v>
      </c>
      <c r="G2841" t="inlineStr">
        <is>
          <t>C</t>
        </is>
      </c>
      <c r="H2841" t="n">
        <v>0</v>
      </c>
      <c r="I2841" t="n">
        <v>3.923227589</v>
      </c>
      <c r="J2841" t="n">
        <v>0</v>
      </c>
      <c r="K2841" t="n">
        <v>0.1</v>
      </c>
      <c r="L2841" t="n">
        <v>0</v>
      </c>
      <c r="M2841" t="n">
        <v>4</v>
      </c>
      <c r="N2841" t="n">
        <v>0.4</v>
      </c>
      <c r="O2841" t="n">
        <v>0</v>
      </c>
      <c r="P2841" t="n">
        <v>0</v>
      </c>
      <c r="Q2841" t="n">
        <v>0</v>
      </c>
      <c r="R2841" t="inlineStr">
        <is>
          <t>Sin rotación</t>
        </is>
      </c>
    </row>
    <row r="2842">
      <c r="A2842" t="inlineStr">
        <is>
          <t>CLAMICA04T2XL</t>
        </is>
      </c>
      <c r="B2842" t="inlineStr">
        <is>
          <t>CLASICA ORIGINAL CAB</t>
        </is>
      </c>
      <c r="C2842" t="inlineStr">
        <is>
          <t>Manufactura / Caballero / P. Superiores</t>
        </is>
      </c>
      <c r="D2842" t="n">
        <v>43.27041439</v>
      </c>
      <c r="E2842" t="n">
        <v>1.059400680251756e-05</v>
      </c>
      <c r="F2842" t="n">
        <v>0.9969365609462807</v>
      </c>
      <c r="G2842" t="inlineStr">
        <is>
          <t>C</t>
        </is>
      </c>
      <c r="H2842" t="n">
        <v>13</v>
      </c>
      <c r="I2842" t="n">
        <v>4.598442536</v>
      </c>
      <c r="J2842" t="n">
        <v>59.779752968</v>
      </c>
      <c r="K2842" t="n">
        <v>0.1</v>
      </c>
      <c r="L2842" t="n">
        <v>130</v>
      </c>
      <c r="M2842" t="n">
        <v>4</v>
      </c>
      <c r="N2842" t="n">
        <v>0.4</v>
      </c>
      <c r="O2842" t="n">
        <v>12.6</v>
      </c>
      <c r="P2842" t="n">
        <v>57.9403759536</v>
      </c>
      <c r="Q2842" t="n">
        <v>0.9692307692307692</v>
      </c>
      <c r="R2842" t="inlineStr">
        <is>
          <t>Sin rotación</t>
        </is>
      </c>
    </row>
    <row r="2843">
      <c r="A2843" t="inlineStr">
        <is>
          <t>MARMIDA14TXL</t>
        </is>
      </c>
      <c r="B2843" t="inlineStr">
        <is>
          <t>MAR ORIGINAL DAMA</t>
        </is>
      </c>
      <c r="C2843" t="inlineStr">
        <is>
          <t>Manufactura / Dama / P. Superiores</t>
        </is>
      </c>
      <c r="D2843" t="n">
        <v>43.14607198</v>
      </c>
      <c r="E2843" t="n">
        <v>1.056356373059528e-05</v>
      </c>
      <c r="F2843" t="n">
        <v>0.9969471245100112</v>
      </c>
      <c r="G2843" t="inlineStr">
        <is>
          <t>C</t>
        </is>
      </c>
      <c r="H2843" t="n">
        <v>0</v>
      </c>
      <c r="I2843" t="n">
        <v>4.278324149</v>
      </c>
      <c r="J2843" t="n">
        <v>0</v>
      </c>
      <c r="K2843" t="n">
        <v>0.2</v>
      </c>
      <c r="L2843" t="n">
        <v>0</v>
      </c>
      <c r="M2843" t="n">
        <v>4</v>
      </c>
      <c r="N2843" t="n">
        <v>0.8</v>
      </c>
      <c r="O2843" t="n">
        <v>0</v>
      </c>
      <c r="P2843" t="n">
        <v>0</v>
      </c>
      <c r="Q2843" t="n">
        <v>0</v>
      </c>
      <c r="R2843" t="inlineStr">
        <is>
          <t>Sin rotación</t>
        </is>
      </c>
    </row>
    <row r="2844">
      <c r="A2844" t="inlineStr">
        <is>
          <t>MARMICA53TS</t>
        </is>
      </c>
      <c r="B2844" t="inlineStr">
        <is>
          <t>MAR ORIGINAL CAB</t>
        </is>
      </c>
      <c r="C2844" t="inlineStr">
        <is>
          <t>Manufactura / Caballero / P. Superiores</t>
        </is>
      </c>
      <c r="D2844" t="n">
        <v>43.14020257</v>
      </c>
      <c r="E2844" t="n">
        <v>1.056212670785484e-05</v>
      </c>
      <c r="F2844" t="n">
        <v>0.9969576866367191</v>
      </c>
      <c r="G2844" t="inlineStr">
        <is>
          <t>C</t>
        </is>
      </c>
      <c r="H2844" t="n">
        <v>0</v>
      </c>
      <c r="I2844" t="n">
        <v>4.946357428</v>
      </c>
      <c r="J2844" t="n">
        <v>0</v>
      </c>
      <c r="K2844" t="n">
        <v>0.1</v>
      </c>
      <c r="L2844" t="n">
        <v>0</v>
      </c>
      <c r="M2844" t="n">
        <v>4</v>
      </c>
      <c r="N2844" t="n">
        <v>0.4</v>
      </c>
      <c r="O2844" t="n">
        <v>0</v>
      </c>
      <c r="P2844" t="n">
        <v>0</v>
      </c>
      <c r="Q2844" t="n">
        <v>0</v>
      </c>
      <c r="R2844" t="inlineStr">
        <is>
          <t>Sin rotación</t>
        </is>
      </c>
    </row>
    <row r="2845">
      <c r="A2845" t="inlineStr">
        <is>
          <t>MAYFNDA16T2XL</t>
        </is>
      </c>
      <c r="B2845" t="inlineStr">
        <is>
          <t>MAYA SPORT LITE DAMA</t>
        </is>
      </c>
      <c r="C2845" t="inlineStr">
        <is>
          <t>Manufactura / Dama / P. Superiores</t>
        </is>
      </c>
      <c r="D2845" t="n">
        <v>43.1245717</v>
      </c>
      <c r="E2845" t="n">
        <v>1.055829976176607e-05</v>
      </c>
      <c r="F2845" t="n">
        <v>0.996968244936481</v>
      </c>
      <c r="G2845" t="inlineStr">
        <is>
          <t>C</t>
        </is>
      </c>
      <c r="H2845" t="n">
        <v>0</v>
      </c>
      <c r="I2845" t="n">
        <v>3.87</v>
      </c>
      <c r="J2845" t="n">
        <v>0</v>
      </c>
      <c r="K2845" t="n">
        <v>0.1</v>
      </c>
      <c r="L2845" t="n">
        <v>0</v>
      </c>
      <c r="M2845" t="n">
        <v>4</v>
      </c>
      <c r="N2845" t="n">
        <v>0.4</v>
      </c>
      <c r="O2845" t="n">
        <v>0</v>
      </c>
      <c r="P2845" t="n">
        <v>0</v>
      </c>
      <c r="Q2845" t="n">
        <v>0</v>
      </c>
      <c r="R2845" t="inlineStr">
        <is>
          <t>Riesgo bajo stock</t>
        </is>
      </c>
    </row>
    <row r="2846">
      <c r="A2846" t="inlineStr">
        <is>
          <t>VIVMIDA34TXL</t>
        </is>
      </c>
      <c r="B2846" t="inlineStr">
        <is>
          <t>VIVI ORIGINAL DAMA</t>
        </is>
      </c>
      <c r="C2846" t="inlineStr">
        <is>
          <t>Manufactura / Dama / P. Superiores</t>
        </is>
      </c>
      <c r="D2846" t="n">
        <v>43.01325686</v>
      </c>
      <c r="E2846" t="n">
        <v>1.053104626330053e-05</v>
      </c>
      <c r="F2846" t="n">
        <v>0.9969787759827442</v>
      </c>
      <c r="G2846" t="inlineStr">
        <is>
          <t>C</t>
        </is>
      </c>
      <c r="H2846" t="n">
        <v>0</v>
      </c>
      <c r="I2846" t="n">
        <v>4.303181706</v>
      </c>
      <c r="J2846" t="n">
        <v>0</v>
      </c>
      <c r="K2846" t="n">
        <v>0.1</v>
      </c>
      <c r="L2846" t="n">
        <v>0</v>
      </c>
      <c r="M2846" t="n">
        <v>4</v>
      </c>
      <c r="N2846" t="n">
        <v>0.4</v>
      </c>
      <c r="O2846" t="n">
        <v>0</v>
      </c>
      <c r="P2846" t="n">
        <v>0</v>
      </c>
      <c r="Q2846" t="n">
        <v>0</v>
      </c>
      <c r="R2846" t="inlineStr">
        <is>
          <t>Riesgo bajo stock</t>
        </is>
      </c>
    </row>
    <row r="2847">
      <c r="A2847" t="inlineStr">
        <is>
          <t>CLAMICA13T2XL</t>
        </is>
      </c>
      <c r="B2847" t="inlineStr">
        <is>
          <t>CLASICA ORIGINAL CAB</t>
        </is>
      </c>
      <c r="C2847" t="inlineStr">
        <is>
          <t>Manufactura / Caballero / P. Superiores</t>
        </is>
      </c>
      <c r="D2847" t="n">
        <v>43</v>
      </c>
      <c r="E2847" t="n">
        <v>1.052780055218359e-05</v>
      </c>
      <c r="F2847" t="n">
        <v>0.9969998315838485</v>
      </c>
      <c r="G2847" t="inlineStr">
        <is>
          <t>C</t>
        </is>
      </c>
      <c r="H2847" t="n">
        <v>0</v>
      </c>
      <c r="I2847" t="n">
        <v>4.598442536</v>
      </c>
      <c r="J2847" t="n">
        <v>0</v>
      </c>
      <c r="K2847" t="n">
        <v>0.1</v>
      </c>
      <c r="L2847" t="n">
        <v>0</v>
      </c>
      <c r="M2847" t="n">
        <v>4</v>
      </c>
      <c r="N2847" t="n">
        <v>0.4</v>
      </c>
      <c r="O2847" t="n">
        <v>0</v>
      </c>
      <c r="P2847" t="n">
        <v>0</v>
      </c>
      <c r="Q2847" t="n">
        <v>0</v>
      </c>
      <c r="R2847" t="inlineStr">
        <is>
          <t>Riesgo bajo stock</t>
        </is>
      </c>
    </row>
    <row r="2848">
      <c r="A2848" t="inlineStr">
        <is>
          <t>CLAMICA50TXL</t>
        </is>
      </c>
      <c r="B2848" t="inlineStr">
        <is>
          <t>CLASICA ORIGINAL CAB</t>
        </is>
      </c>
      <c r="C2848" t="inlineStr">
        <is>
          <t>Manufactura / Caballero / P. Superiores</t>
        </is>
      </c>
      <c r="D2848" t="n">
        <v>43</v>
      </c>
      <c r="E2848" t="n">
        <v>1.052780055218359e-05</v>
      </c>
      <c r="F2848" t="n">
        <v>0.9969998315838485</v>
      </c>
      <c r="G2848" t="inlineStr">
        <is>
          <t>C</t>
        </is>
      </c>
      <c r="H2848" t="n">
        <v>4</v>
      </c>
      <c r="I2848" t="n">
        <v>4.598442536</v>
      </c>
      <c r="J2848" t="n">
        <v>18.393770144</v>
      </c>
      <c r="K2848" t="n">
        <v>0.1</v>
      </c>
      <c r="L2848" t="n">
        <v>40</v>
      </c>
      <c r="M2848" t="n">
        <v>4</v>
      </c>
      <c r="N2848" t="n">
        <v>0.4</v>
      </c>
      <c r="O2848" t="n">
        <v>3.6</v>
      </c>
      <c r="P2848" t="n">
        <v>16.5543931296</v>
      </c>
      <c r="Q2848" t="n">
        <v>0.9</v>
      </c>
      <c r="R2848" t="inlineStr">
        <is>
          <t>Sobrestock crítico</t>
        </is>
      </c>
    </row>
    <row r="2849">
      <c r="A2849" t="inlineStr">
        <is>
          <t>CLAMIDA09TXS</t>
        </is>
      </c>
      <c r="B2849" t="inlineStr">
        <is>
          <t>CLASICA ORIGINAL DAMA</t>
        </is>
      </c>
      <c r="C2849" t="inlineStr">
        <is>
          <t>Manufactura / Dama / P. Superiores</t>
        </is>
      </c>
      <c r="D2849" t="n">
        <v>42.98995197</v>
      </c>
      <c r="E2849" t="n">
        <v>1.05253404671654e-05</v>
      </c>
      <c r="F2849" t="n">
        <v>0.9970103569243157</v>
      </c>
      <c r="G2849" t="inlineStr">
        <is>
          <t>C</t>
        </is>
      </c>
      <c r="H2849" t="n">
        <v>0</v>
      </c>
      <c r="I2849" t="n">
        <v>3.923227589</v>
      </c>
      <c r="J2849" t="n">
        <v>0</v>
      </c>
      <c r="K2849" t="n">
        <v>1.6</v>
      </c>
      <c r="L2849" t="n">
        <v>0</v>
      </c>
      <c r="M2849" t="n">
        <v>4</v>
      </c>
      <c r="N2849" t="n">
        <v>6.4</v>
      </c>
      <c r="O2849" t="n">
        <v>0</v>
      </c>
      <c r="P2849" t="n">
        <v>0</v>
      </c>
      <c r="Q2849" t="n">
        <v>0</v>
      </c>
      <c r="R2849" t="inlineStr">
        <is>
          <t>Riesgo bajo stock</t>
        </is>
      </c>
    </row>
    <row r="2850">
      <c r="A2850" t="inlineStr">
        <is>
          <t>RIOMIKI39T4</t>
        </is>
      </c>
      <c r="B2850" t="inlineStr">
        <is>
          <t>RIO ORIGINAL KIDS</t>
        </is>
      </c>
      <c r="C2850" t="inlineStr">
        <is>
          <t>Manufactura / Kids / P. Superiores</t>
        </is>
      </c>
      <c r="D2850" t="n">
        <v>42.9346983</v>
      </c>
      <c r="E2850" t="n">
        <v>1.051181256908316e-05</v>
      </c>
      <c r="F2850" t="n">
        <v>0.9970313805494541</v>
      </c>
      <c r="G2850" t="inlineStr">
        <is>
          <t>C</t>
        </is>
      </c>
      <c r="H2850" t="n">
        <v>0</v>
      </c>
      <c r="I2850" t="n">
        <v>3.617969464</v>
      </c>
      <c r="J2850" t="n">
        <v>0</v>
      </c>
      <c r="K2850" t="n">
        <v>0.1</v>
      </c>
      <c r="L2850" t="n">
        <v>0</v>
      </c>
      <c r="M2850" t="n">
        <v>4</v>
      </c>
      <c r="N2850" t="n">
        <v>0.4</v>
      </c>
      <c r="O2850" t="n">
        <v>0</v>
      </c>
      <c r="P2850" t="n">
        <v>0</v>
      </c>
      <c r="Q2850" t="n">
        <v>0</v>
      </c>
      <c r="R2850" t="inlineStr">
        <is>
          <t>Sin rotación</t>
        </is>
      </c>
    </row>
    <row r="2851">
      <c r="A2851" t="inlineStr">
        <is>
          <t>RIOMIKI05T12</t>
        </is>
      </c>
      <c r="B2851" t="inlineStr">
        <is>
          <t>RIO ORIGINAL KIDS</t>
        </is>
      </c>
      <c r="C2851" t="inlineStr">
        <is>
          <t>Manufactura / Kids / P. Superiores</t>
        </is>
      </c>
      <c r="D2851" t="n">
        <v>42.9346983</v>
      </c>
      <c r="E2851" t="n">
        <v>1.051181256908316e-05</v>
      </c>
      <c r="F2851" t="n">
        <v>0.9970313805494541</v>
      </c>
      <c r="G2851" t="inlineStr">
        <is>
          <t>C</t>
        </is>
      </c>
      <c r="H2851" t="n">
        <v>0</v>
      </c>
      <c r="I2851" t="n">
        <v>3.617969464</v>
      </c>
      <c r="J2851" t="n">
        <v>0</v>
      </c>
      <c r="K2851" t="n">
        <v>0.1</v>
      </c>
      <c r="L2851" t="n">
        <v>0</v>
      </c>
      <c r="M2851" t="n">
        <v>4</v>
      </c>
      <c r="N2851" t="n">
        <v>0.4</v>
      </c>
      <c r="O2851" t="n">
        <v>0</v>
      </c>
      <c r="P2851" t="n">
        <v>0</v>
      </c>
      <c r="Q2851" t="n">
        <v>0</v>
      </c>
      <c r="R2851" t="inlineStr">
        <is>
          <t>Sin rotación</t>
        </is>
      </c>
    </row>
    <row r="2852">
      <c r="A2852" t="inlineStr">
        <is>
          <t>ZOEMIKI11T6</t>
        </is>
      </c>
      <c r="B2852" t="inlineStr">
        <is>
          <t>ZOE ORIGINAL KIDS</t>
        </is>
      </c>
      <c r="C2852" t="inlineStr">
        <is>
          <t>Manufactura / Kids / P. Superiores</t>
        </is>
      </c>
      <c r="D2852" t="n">
        <v>42.9185336</v>
      </c>
      <c r="E2852" t="n">
        <v>1.050785492402303e-05</v>
      </c>
      <c r="F2852" t="n">
        <v>0.997041888404378</v>
      </c>
      <c r="G2852" t="inlineStr">
        <is>
          <t>C</t>
        </is>
      </c>
      <c r="H2852" t="n">
        <v>14</v>
      </c>
      <c r="I2852" t="n">
        <v>4.12</v>
      </c>
      <c r="J2852" t="n">
        <v>57.68</v>
      </c>
      <c r="K2852" t="n">
        <v>0.1</v>
      </c>
      <c r="L2852" t="n">
        <v>140</v>
      </c>
      <c r="M2852" t="n">
        <v>4</v>
      </c>
      <c r="N2852" t="n">
        <v>0.4</v>
      </c>
      <c r="O2852" t="n">
        <v>13.6</v>
      </c>
      <c r="P2852" t="n">
        <v>56.032</v>
      </c>
      <c r="Q2852" t="n">
        <v>0.9714285714285714</v>
      </c>
      <c r="R2852" t="inlineStr">
        <is>
          <t>Sobrestock crítico</t>
        </is>
      </c>
    </row>
    <row r="2853">
      <c r="A2853" t="inlineStr">
        <is>
          <t>MARMICA14TS</t>
        </is>
      </c>
      <c r="B2853" t="inlineStr">
        <is>
          <t>MAR ORIGINAL CAB</t>
        </is>
      </c>
      <c r="C2853" t="inlineStr">
        <is>
          <t>Manufactura / Caballero / P. Superiores</t>
        </is>
      </c>
      <c r="D2853" t="n">
        <v>42.7152521</v>
      </c>
      <c r="E2853" t="n">
        <v>1.045808499174515e-05</v>
      </c>
      <c r="F2853" t="n">
        <v>0.9970523464893698</v>
      </c>
      <c r="G2853" t="inlineStr">
        <is>
          <t>C</t>
        </is>
      </c>
      <c r="H2853" t="n">
        <v>0</v>
      </c>
      <c r="I2853" t="n">
        <v>4.946357428</v>
      </c>
      <c r="J2853" t="n">
        <v>0</v>
      </c>
      <c r="K2853" t="n">
        <v>0.2</v>
      </c>
      <c r="L2853" t="n">
        <v>0</v>
      </c>
      <c r="M2853" t="n">
        <v>4</v>
      </c>
      <c r="N2853" t="n">
        <v>0.8</v>
      </c>
      <c r="O2853" t="n">
        <v>0</v>
      </c>
      <c r="P2853" t="n">
        <v>0</v>
      </c>
      <c r="Q2853" t="n">
        <v>0</v>
      </c>
      <c r="R2853" t="inlineStr">
        <is>
          <t>Riesgo bajo stock</t>
        </is>
      </c>
    </row>
    <row r="2854">
      <c r="A2854" t="inlineStr">
        <is>
          <t>SHOUNCA13TXL</t>
        </is>
      </c>
      <c r="B2854" t="inlineStr">
        <is>
          <t>SHORT PLAYA CAB</t>
        </is>
      </c>
      <c r="C2854" t="inlineStr">
        <is>
          <t>Manufactura / Caballero / P. Inferiores</t>
        </is>
      </c>
      <c r="D2854" t="n">
        <v>42.67479931</v>
      </c>
      <c r="E2854" t="n">
        <v>1.04481808311661e-05</v>
      </c>
      <c r="F2854" t="n">
        <v>0.997062794670201</v>
      </c>
      <c r="G2854" t="inlineStr">
        <is>
          <t>C</t>
        </is>
      </c>
      <c r="H2854" t="n">
        <v>0</v>
      </c>
      <c r="I2854" t="n">
        <v>9.99</v>
      </c>
      <c r="J2854" t="n">
        <v>0</v>
      </c>
      <c r="K2854" t="n">
        <v>0.1</v>
      </c>
      <c r="L2854" t="n">
        <v>0</v>
      </c>
      <c r="M2854" t="n">
        <v>4</v>
      </c>
      <c r="N2854" t="n">
        <v>0.4</v>
      </c>
      <c r="O2854" t="n">
        <v>0</v>
      </c>
      <c r="P2854" t="n">
        <v>0</v>
      </c>
      <c r="Q2854" t="n">
        <v>0</v>
      </c>
      <c r="R2854" t="inlineStr">
        <is>
          <t>Sin rotación</t>
        </is>
      </c>
    </row>
    <row r="2855">
      <c r="A2855" t="inlineStr">
        <is>
          <t>GEMBADA16TS</t>
        </is>
      </c>
      <c r="B2855" t="inlineStr">
        <is>
          <t>VESTIDO GEMMA DAMA</t>
        </is>
      </c>
      <c r="C2855" t="inlineStr">
        <is>
          <t>Manufactura / Dama / Conjuntos</t>
        </is>
      </c>
      <c r="D2855" t="n">
        <v>42.61565517</v>
      </c>
      <c r="E2855" t="n">
        <v>1.043370041931143e-05</v>
      </c>
      <c r="F2855" t="n">
        <v>0.9970732283706202</v>
      </c>
      <c r="G2855" t="inlineStr">
        <is>
          <t>C</t>
        </is>
      </c>
      <c r="H2855" t="n">
        <v>11</v>
      </c>
      <c r="I2855" t="n">
        <v>23.99</v>
      </c>
      <c r="J2855" t="n">
        <v>263.89</v>
      </c>
      <c r="K2855" t="n">
        <v>0.2</v>
      </c>
      <c r="L2855" t="n">
        <v>55</v>
      </c>
      <c r="M2855" t="n">
        <v>4</v>
      </c>
      <c r="N2855" t="n">
        <v>0.8</v>
      </c>
      <c r="O2855" t="n">
        <v>10.2</v>
      </c>
      <c r="P2855" t="n">
        <v>244.698</v>
      </c>
      <c r="Q2855" t="n">
        <v>0.9272727272727272</v>
      </c>
      <c r="R2855" t="inlineStr">
        <is>
          <t>Sobrestock crítico</t>
        </is>
      </c>
    </row>
    <row r="2856">
      <c r="A2856" t="inlineStr">
        <is>
          <t>RIOMIKI14T12</t>
        </is>
      </c>
      <c r="B2856" t="inlineStr">
        <is>
          <t>RIO ORIGINAL KIDS</t>
        </is>
      </c>
      <c r="C2856" t="inlineStr">
        <is>
          <t>Manufactura / Kids / P. Superiores</t>
        </is>
      </c>
      <c r="D2856" t="n">
        <v>42.54884098</v>
      </c>
      <c r="E2856" t="n">
        <v>1.041734212939572e-05</v>
      </c>
      <c r="F2856" t="n">
        <v>0.9970836457127497</v>
      </c>
      <c r="G2856" t="inlineStr">
        <is>
          <t>C</t>
        </is>
      </c>
      <c r="H2856" t="n">
        <v>0</v>
      </c>
      <c r="I2856" t="n">
        <v>3.617969464</v>
      </c>
      <c r="J2856" t="n">
        <v>0</v>
      </c>
      <c r="K2856" t="n">
        <v>0.1</v>
      </c>
      <c r="L2856" t="n">
        <v>0</v>
      </c>
      <c r="M2856" t="n">
        <v>4</v>
      </c>
      <c r="N2856" t="n">
        <v>0.4</v>
      </c>
      <c r="O2856" t="n">
        <v>0</v>
      </c>
      <c r="P2856" t="n">
        <v>0</v>
      </c>
      <c r="Q2856" t="n">
        <v>0</v>
      </c>
      <c r="R2856" t="inlineStr">
        <is>
          <t>Sin rotación</t>
        </is>
      </c>
    </row>
    <row r="2857">
      <c r="A2857" t="inlineStr">
        <is>
          <t>RIOMIKI09T12</t>
        </is>
      </c>
      <c r="B2857" t="inlineStr">
        <is>
          <t>RIO ORIGINAL KIDS</t>
        </is>
      </c>
      <c r="C2857" t="inlineStr">
        <is>
          <t>Manufactura / Kids / P. Superiores</t>
        </is>
      </c>
      <c r="D2857" t="n">
        <v>42.54730766</v>
      </c>
      <c r="E2857" t="n">
        <v>1.041696672271798e-05</v>
      </c>
      <c r="F2857" t="n">
        <v>0.9971148966129177</v>
      </c>
      <c r="G2857" t="inlineStr">
        <is>
          <t>C</t>
        </is>
      </c>
      <c r="H2857" t="n">
        <v>0</v>
      </c>
      <c r="I2857" t="n">
        <v>3.617969464</v>
      </c>
      <c r="J2857" t="n">
        <v>0</v>
      </c>
      <c r="K2857" t="n">
        <v>0.1</v>
      </c>
      <c r="L2857" t="n">
        <v>0</v>
      </c>
      <c r="M2857" t="n">
        <v>4</v>
      </c>
      <c r="N2857" t="n">
        <v>0.4</v>
      </c>
      <c r="O2857" t="n">
        <v>0</v>
      </c>
      <c r="P2857" t="n">
        <v>0</v>
      </c>
      <c r="Q2857" t="n">
        <v>0</v>
      </c>
      <c r="R2857" t="inlineStr">
        <is>
          <t>Sin rotación</t>
        </is>
      </c>
    </row>
    <row r="2858">
      <c r="A2858" t="inlineStr">
        <is>
          <t>CLAMICA13T3XL</t>
        </is>
      </c>
      <c r="B2858" t="inlineStr">
        <is>
          <t>CLASICA ORIGINAL CAB</t>
        </is>
      </c>
      <c r="C2858" t="inlineStr">
        <is>
          <t>Manufactura / Caballero / P. Superiores</t>
        </is>
      </c>
      <c r="D2858" t="n">
        <v>42.54730766</v>
      </c>
      <c r="E2858" t="n">
        <v>1.041696672271798e-05</v>
      </c>
      <c r="F2858" t="n">
        <v>0.9971148966129177</v>
      </c>
      <c r="G2858" t="inlineStr">
        <is>
          <t>C</t>
        </is>
      </c>
      <c r="H2858" t="n">
        <v>2</v>
      </c>
      <c r="I2858" t="n">
        <v>4.598442536</v>
      </c>
      <c r="J2858" t="n">
        <v>9.196885072000001</v>
      </c>
      <c r="K2858" t="n">
        <v>0.1</v>
      </c>
      <c r="L2858" t="n">
        <v>20</v>
      </c>
      <c r="M2858" t="n">
        <v>4</v>
      </c>
      <c r="N2858" t="n">
        <v>0.4</v>
      </c>
      <c r="O2858" t="n">
        <v>1.6</v>
      </c>
      <c r="P2858" t="n">
        <v>7.3575080576</v>
      </c>
      <c r="Q2858" t="n">
        <v>0.8</v>
      </c>
      <c r="R2858" t="inlineStr">
        <is>
          <t>Sin rotación</t>
        </is>
      </c>
    </row>
    <row r="2859">
      <c r="A2859" t="inlineStr">
        <is>
          <t>CLAMIDA09TM</t>
        </is>
      </c>
      <c r="B2859" t="inlineStr">
        <is>
          <t>CLASICA ORIGINAL DAMA</t>
        </is>
      </c>
      <c r="C2859" t="inlineStr">
        <is>
          <t>Manufactura / Dama / P. Superiores</t>
        </is>
      </c>
      <c r="D2859" t="n">
        <v>42.54730766</v>
      </c>
      <c r="E2859" t="n">
        <v>1.041696672271798e-05</v>
      </c>
      <c r="F2859" t="n">
        <v>0.9971148966129177</v>
      </c>
      <c r="G2859" t="inlineStr">
        <is>
          <t>C</t>
        </is>
      </c>
      <c r="H2859" t="n">
        <v>0</v>
      </c>
      <c r="I2859" t="n">
        <v>3.923227589</v>
      </c>
      <c r="J2859" t="n">
        <v>0</v>
      </c>
      <c r="K2859" t="n">
        <v>2.6</v>
      </c>
      <c r="L2859" t="n">
        <v>0</v>
      </c>
      <c r="M2859" t="n">
        <v>4</v>
      </c>
      <c r="N2859" t="n">
        <v>10.4</v>
      </c>
      <c r="O2859" t="n">
        <v>0</v>
      </c>
      <c r="P2859" t="n">
        <v>0</v>
      </c>
      <c r="Q2859" t="n">
        <v>0</v>
      </c>
      <c r="R2859" t="inlineStr">
        <is>
          <t>Riesgo bajo stock</t>
        </is>
      </c>
    </row>
    <row r="2860">
      <c r="A2860" t="inlineStr">
        <is>
          <t>CLAMIDA53TL</t>
        </is>
      </c>
      <c r="B2860" t="inlineStr">
        <is>
          <t>CLASICA ORIGINAL DAMA</t>
        </is>
      </c>
      <c r="C2860" t="inlineStr">
        <is>
          <t>Manufactura / Dama / P. Superiores</t>
        </is>
      </c>
      <c r="D2860" t="n">
        <v>42.4200521</v>
      </c>
      <c r="E2860" t="n">
        <v>1.038581041679155e-05</v>
      </c>
      <c r="F2860" t="n">
        <v>0.9971252824233345</v>
      </c>
      <c r="G2860" t="inlineStr">
        <is>
          <t>C</t>
        </is>
      </c>
      <c r="H2860" t="n">
        <v>0</v>
      </c>
      <c r="I2860" t="n">
        <v>3.923227589</v>
      </c>
      <c r="J2860" t="n">
        <v>0</v>
      </c>
      <c r="K2860" t="n">
        <v>0.1</v>
      </c>
      <c r="L2860" t="n">
        <v>0</v>
      </c>
      <c r="M2860" t="n">
        <v>4</v>
      </c>
      <c r="N2860" t="n">
        <v>0.4</v>
      </c>
      <c r="O2860" t="n">
        <v>0</v>
      </c>
      <c r="P2860" t="n">
        <v>0</v>
      </c>
      <c r="Q2860" t="n">
        <v>0</v>
      </c>
      <c r="R2860" t="inlineStr">
        <is>
          <t>Sin rotación</t>
        </is>
      </c>
    </row>
    <row r="2861">
      <c r="A2861" t="inlineStr">
        <is>
          <t>VIVMIDA66TM</t>
        </is>
      </c>
      <c r="B2861" t="inlineStr">
        <is>
          <t>VIVI ORIGINAL DAMA</t>
        </is>
      </c>
      <c r="C2861" t="inlineStr">
        <is>
          <t>Manufactura / Dama / P. Superiores</t>
        </is>
      </c>
      <c r="D2861" t="n">
        <v>42.41694022</v>
      </c>
      <c r="E2861" t="n">
        <v>1.038504852721057e-05</v>
      </c>
      <c r="F2861" t="n">
        <v>0.9971356674718618</v>
      </c>
      <c r="G2861" t="inlineStr">
        <is>
          <t>C</t>
        </is>
      </c>
      <c r="H2861" t="n">
        <v>31</v>
      </c>
      <c r="I2861" t="n">
        <v>4.303181706</v>
      </c>
      <c r="J2861" t="n">
        <v>133.398632886</v>
      </c>
      <c r="K2861" t="n">
        <v>0.1</v>
      </c>
      <c r="L2861" t="n">
        <v>310</v>
      </c>
      <c r="M2861" t="n">
        <v>4</v>
      </c>
      <c r="N2861" t="n">
        <v>0.4</v>
      </c>
      <c r="O2861" t="n">
        <v>30.6</v>
      </c>
      <c r="P2861" t="n">
        <v>131.6773602036</v>
      </c>
      <c r="Q2861" t="n">
        <v>0.9870967741935485</v>
      </c>
      <c r="R2861" t="inlineStr">
        <is>
          <t>Sobrestock crítico</t>
        </is>
      </c>
    </row>
    <row r="2862">
      <c r="A2862" t="inlineStr">
        <is>
          <t>CLAMICA30T3XL</t>
        </is>
      </c>
      <c r="B2862" t="inlineStr">
        <is>
          <t>CLASICA ORIGINAL CAB</t>
        </is>
      </c>
      <c r="C2862" t="inlineStr">
        <is>
          <t>Manufactura / Caballero / P. Superiores</t>
        </is>
      </c>
      <c r="D2862" t="n">
        <v>42.39428148</v>
      </c>
      <c r="E2862" t="n">
        <v>1.037950092964118e-05</v>
      </c>
      <c r="F2862" t="n">
        <v>0.9971460469727915</v>
      </c>
      <c r="G2862" t="inlineStr">
        <is>
          <t>C</t>
        </is>
      </c>
      <c r="H2862" t="n">
        <v>0</v>
      </c>
      <c r="I2862" t="n">
        <v>4.598442536</v>
      </c>
      <c r="J2862" t="n">
        <v>0</v>
      </c>
      <c r="K2862" t="n">
        <v>0.1</v>
      </c>
      <c r="L2862" t="n">
        <v>0</v>
      </c>
      <c r="M2862" t="n">
        <v>4</v>
      </c>
      <c r="N2862" t="n">
        <v>0.4</v>
      </c>
      <c r="O2862" t="n">
        <v>0</v>
      </c>
      <c r="P2862" t="n">
        <v>0</v>
      </c>
      <c r="Q2862" t="n">
        <v>0</v>
      </c>
      <c r="R2862" t="inlineStr">
        <is>
          <t>Riesgo bajo stock</t>
        </is>
      </c>
    </row>
    <row r="2863">
      <c r="A2863" t="inlineStr">
        <is>
          <t>SHOUNCA68T3XL</t>
        </is>
      </c>
      <c r="B2863" t="inlineStr">
        <is>
          <t>SHORT PLAYA CAB</t>
        </is>
      </c>
      <c r="C2863" t="inlineStr">
        <is>
          <t>Manufactura / Caballero / P. Inferiores</t>
        </is>
      </c>
      <c r="D2863" t="n">
        <v>42.32304812</v>
      </c>
      <c r="E2863" t="n">
        <v>1.036206068297276e-05</v>
      </c>
      <c r="F2863" t="n">
        <v>0.9971564090334745</v>
      </c>
      <c r="G2863" t="inlineStr">
        <is>
          <t>C</t>
        </is>
      </c>
      <c r="H2863" t="n">
        <v>0</v>
      </c>
      <c r="I2863" t="n">
        <v>9.99</v>
      </c>
      <c r="J2863" t="n">
        <v>0</v>
      </c>
      <c r="K2863" t="n">
        <v>0.1</v>
      </c>
      <c r="L2863" t="n">
        <v>0</v>
      </c>
      <c r="M2863" t="n">
        <v>4</v>
      </c>
      <c r="N2863" t="n">
        <v>0.4</v>
      </c>
      <c r="O2863" t="n">
        <v>0</v>
      </c>
      <c r="P2863" t="n">
        <v>0</v>
      </c>
      <c r="Q2863" t="n">
        <v>0</v>
      </c>
      <c r="R2863" t="inlineStr">
        <is>
          <t>Sin rotación</t>
        </is>
      </c>
    </row>
    <row r="2864">
      <c r="A2864" t="inlineStr">
        <is>
          <t>CLAMECA16T3XL</t>
        </is>
      </c>
      <c r="B2864" t="inlineStr">
        <is>
          <t>CLASICA SPORT CAB</t>
        </is>
      </c>
      <c r="C2864" t="inlineStr">
        <is>
          <t>Manufactura / Caballero / P. Superiores</t>
        </is>
      </c>
      <c r="D2864" t="n">
        <v>42.16478759</v>
      </c>
      <c r="E2864" t="n">
        <v>1.032331335052805e-05</v>
      </c>
      <c r="F2864" t="n">
        <v>0.997166732346825</v>
      </c>
      <c r="G2864" t="inlineStr">
        <is>
          <t>C</t>
        </is>
      </c>
      <c r="H2864" t="n">
        <v>0</v>
      </c>
      <c r="I2864" t="n">
        <v>10.3013454</v>
      </c>
      <c r="J2864" t="n">
        <v>0</v>
      </c>
      <c r="K2864" t="n">
        <v>0.1</v>
      </c>
      <c r="L2864" t="n">
        <v>0</v>
      </c>
      <c r="M2864" t="n">
        <v>4</v>
      </c>
      <c r="N2864" t="n">
        <v>0.4</v>
      </c>
      <c r="O2864" t="n">
        <v>0</v>
      </c>
      <c r="P2864" t="n">
        <v>0</v>
      </c>
      <c r="Q2864" t="n">
        <v>0</v>
      </c>
      <c r="R2864" t="inlineStr">
        <is>
          <t>Sin rotación</t>
        </is>
      </c>
    </row>
    <row r="2865">
      <c r="A2865" t="inlineStr">
        <is>
          <t>CLAMIDA52TL</t>
        </is>
      </c>
      <c r="B2865" t="inlineStr">
        <is>
          <t>CLASICA ORIGINAL DAMA</t>
        </is>
      </c>
      <c r="C2865" t="inlineStr">
        <is>
          <t>Manufactura / Dama / P. Superiores</t>
        </is>
      </c>
      <c r="D2865" t="n">
        <v>42.16325426</v>
      </c>
      <c r="E2865" t="n">
        <v>1.032293794140198e-05</v>
      </c>
      <c r="F2865" t="n">
        <v>0.9971770552847663</v>
      </c>
      <c r="G2865" t="inlineStr">
        <is>
          <t>C</t>
        </is>
      </c>
      <c r="H2865" t="n">
        <v>0</v>
      </c>
      <c r="I2865" t="n">
        <v>3.923227589</v>
      </c>
      <c r="J2865" t="n">
        <v>0</v>
      </c>
      <c r="K2865" t="n">
        <v>1.7</v>
      </c>
      <c r="L2865" t="n">
        <v>0</v>
      </c>
      <c r="M2865" t="n">
        <v>4</v>
      </c>
      <c r="N2865" t="n">
        <v>6.8</v>
      </c>
      <c r="O2865" t="n">
        <v>0</v>
      </c>
      <c r="P2865" t="n">
        <v>0</v>
      </c>
      <c r="Q2865" t="n">
        <v>0</v>
      </c>
      <c r="R2865" t="inlineStr">
        <is>
          <t>Riesgo bajo stock</t>
        </is>
      </c>
    </row>
    <row r="2866">
      <c r="A2866" t="inlineStr">
        <is>
          <t>ZOEMIDA01TXL</t>
        </is>
      </c>
      <c r="B2866" t="inlineStr">
        <is>
          <t>ZOE ORIGINAL DAMA</t>
        </is>
      </c>
      <c r="C2866" t="inlineStr">
        <is>
          <t>Manufactura / Dama / P. Superiores</t>
        </is>
      </c>
      <c r="D2866" t="n">
        <v>42.11358131</v>
      </c>
      <c r="E2866" t="n">
        <v>1.031077638534527e-05</v>
      </c>
      <c r="F2866" t="n">
        <v>0.9971873660611517</v>
      </c>
      <c r="G2866" t="inlineStr">
        <is>
          <t>C</t>
        </is>
      </c>
      <c r="H2866" t="n">
        <v>0</v>
      </c>
      <c r="I2866" t="n">
        <v>4.116585696</v>
      </c>
      <c r="J2866" t="n">
        <v>0</v>
      </c>
      <c r="K2866" t="n">
        <v>0.1</v>
      </c>
      <c r="L2866" t="n">
        <v>0</v>
      </c>
      <c r="M2866" t="n">
        <v>4</v>
      </c>
      <c r="N2866" t="n">
        <v>0.4</v>
      </c>
      <c r="O2866" t="n">
        <v>0</v>
      </c>
      <c r="P2866" t="n">
        <v>0</v>
      </c>
      <c r="Q2866" t="n">
        <v>0</v>
      </c>
      <c r="R2866" t="inlineStr">
        <is>
          <t>Sin rotación</t>
        </is>
      </c>
    </row>
    <row r="2867">
      <c r="A2867" t="inlineStr">
        <is>
          <t>CLAMICA50T4XL</t>
        </is>
      </c>
      <c r="B2867" t="inlineStr">
        <is>
          <t>CLASICA ORIGINAL CAB</t>
        </is>
      </c>
      <c r="C2867" t="inlineStr">
        <is>
          <t>Manufactura / Caballero / P. Superiores</t>
        </is>
      </c>
      <c r="D2867" t="n">
        <v>42.06769519</v>
      </c>
      <c r="E2867" t="n">
        <v>1.029954196861333e-05</v>
      </c>
      <c r="F2867" t="n">
        <v>0.9971976656031203</v>
      </c>
      <c r="G2867" t="inlineStr">
        <is>
          <t>C</t>
        </is>
      </c>
      <c r="H2867" t="n">
        <v>0</v>
      </c>
      <c r="I2867" t="n">
        <v>4.598442536</v>
      </c>
      <c r="J2867" t="n">
        <v>0</v>
      </c>
      <c r="K2867" t="n">
        <v>0.1</v>
      </c>
      <c r="L2867" t="n">
        <v>0</v>
      </c>
      <c r="M2867" t="n">
        <v>4</v>
      </c>
      <c r="N2867" t="n">
        <v>0.4</v>
      </c>
      <c r="O2867" t="n">
        <v>0</v>
      </c>
      <c r="P2867" t="n">
        <v>0</v>
      </c>
      <c r="Q2867" t="n">
        <v>0</v>
      </c>
      <c r="R2867" t="inlineStr">
        <is>
          <t>Sin rotación</t>
        </is>
      </c>
    </row>
    <row r="2868">
      <c r="A2868" t="inlineStr">
        <is>
          <t>SABMIDA43TXL</t>
        </is>
      </c>
      <c r="B2868" t="inlineStr">
        <is>
          <t>SABRI ORIGINAL DAMA</t>
        </is>
      </c>
      <c r="C2868" t="inlineStr">
        <is>
          <t>Manufactura / Dama / P. Superiores</t>
        </is>
      </c>
      <c r="D2868" t="n">
        <v>42</v>
      </c>
      <c r="E2868" t="n">
        <v>1.028296798120258e-05</v>
      </c>
      <c r="F2868" t="n">
        <v>0.9972079485711015</v>
      </c>
      <c r="G2868" t="inlineStr">
        <is>
          <t>C</t>
        </is>
      </c>
      <c r="H2868" t="n">
        <v>0</v>
      </c>
      <c r="I2868" t="n">
        <v>4.51</v>
      </c>
      <c r="J2868" t="n">
        <v>0</v>
      </c>
      <c r="K2868" t="n">
        <v>0.1</v>
      </c>
      <c r="L2868" t="n">
        <v>0</v>
      </c>
      <c r="M2868" t="n">
        <v>4</v>
      </c>
      <c r="N2868" t="n">
        <v>0.4</v>
      </c>
      <c r="O2868" t="n">
        <v>0</v>
      </c>
      <c r="P2868" t="n">
        <v>0</v>
      </c>
      <c r="Q2868" t="n">
        <v>0</v>
      </c>
      <c r="R2868" t="inlineStr">
        <is>
          <t>Riesgo bajo stock</t>
        </is>
      </c>
    </row>
    <row r="2869">
      <c r="A2869" t="inlineStr">
        <is>
          <t>SHOUNCA187T3XL</t>
        </is>
      </c>
      <c r="B2869" t="inlineStr">
        <is>
          <t>SHORT PLAYA CAB</t>
        </is>
      </c>
      <c r="C2869" t="inlineStr">
        <is>
          <t>Manufactura / Caballero / P. Inferiores</t>
        </is>
      </c>
      <c r="D2869" t="n">
        <v>41.91512003</v>
      </c>
      <c r="E2869" t="n">
        <v>1.026218659992269e-05</v>
      </c>
      <c r="F2869" t="n">
        <v>0.9972182107577013</v>
      </c>
      <c r="G2869" t="inlineStr">
        <is>
          <t>C</t>
        </is>
      </c>
      <c r="H2869" t="n">
        <v>0</v>
      </c>
      <c r="I2869" t="n">
        <v>9.99</v>
      </c>
      <c r="J2869" t="n">
        <v>0</v>
      </c>
      <c r="K2869" t="n">
        <v>0.1</v>
      </c>
      <c r="L2869" t="n">
        <v>0</v>
      </c>
      <c r="M2869" t="n">
        <v>4</v>
      </c>
      <c r="N2869" t="n">
        <v>0.4</v>
      </c>
      <c r="O2869" t="n">
        <v>0</v>
      </c>
      <c r="P2869" t="n">
        <v>0</v>
      </c>
      <c r="Q2869" t="n">
        <v>0</v>
      </c>
      <c r="R2869" t="inlineStr">
        <is>
          <t>Riesgo bajo stock</t>
        </is>
      </c>
    </row>
    <row r="2870">
      <c r="A2870" t="inlineStr">
        <is>
          <t>CLAMIKI53T4</t>
        </is>
      </c>
      <c r="B2870" t="inlineStr">
        <is>
          <t>CLASICA ORIGINAL KIDS</t>
        </is>
      </c>
      <c r="C2870" t="inlineStr">
        <is>
          <t>Manufactura / Kids / P. Superiores</t>
        </is>
      </c>
      <c r="D2870" t="n">
        <v>41.83957626</v>
      </c>
      <c r="E2870" t="n">
        <v>1.024369102449199e-05</v>
      </c>
      <c r="F2870" t="n">
        <v>0.9972284544487259</v>
      </c>
      <c r="G2870" t="inlineStr">
        <is>
          <t>C</t>
        </is>
      </c>
      <c r="H2870" t="n">
        <v>0</v>
      </c>
      <c r="I2870" t="n">
        <v>2.053774806</v>
      </c>
      <c r="J2870" t="n">
        <v>0</v>
      </c>
      <c r="K2870" t="n">
        <v>0.1</v>
      </c>
      <c r="L2870" t="n">
        <v>0</v>
      </c>
      <c r="M2870" t="n">
        <v>4</v>
      </c>
      <c r="N2870" t="n">
        <v>0.4</v>
      </c>
      <c r="O2870" t="n">
        <v>0</v>
      </c>
      <c r="P2870" t="n">
        <v>0</v>
      </c>
      <c r="Q2870" t="n">
        <v>0</v>
      </c>
      <c r="R2870" t="inlineStr">
        <is>
          <t>Riesgo bajo stock</t>
        </is>
      </c>
    </row>
    <row r="2871">
      <c r="A2871" t="inlineStr">
        <is>
          <t>MANMIGE11TG</t>
        </is>
      </c>
      <c r="B2871" t="inlineStr">
        <is>
          <t>MANGAS GENERAL</t>
        </is>
      </c>
      <c r="C2871" t="inlineStr">
        <is>
          <t>Manufactura / General</t>
        </is>
      </c>
      <c r="D2871" t="n">
        <v>41.82834552</v>
      </c>
      <c r="E2871" t="n">
        <v>1.024094137354377e-05</v>
      </c>
      <c r="F2871" t="n">
        <v>0.9972386953900995</v>
      </c>
      <c r="G2871" t="inlineStr">
        <is>
          <t>C</t>
        </is>
      </c>
      <c r="H2871" t="n">
        <v>2</v>
      </c>
      <c r="I2871" t="n">
        <v>0.92</v>
      </c>
      <c r="J2871" t="n">
        <v>1.84</v>
      </c>
      <c r="K2871" t="n">
        <v>0.3</v>
      </c>
      <c r="L2871" t="n">
        <v>6.666666666666667</v>
      </c>
      <c r="M2871" t="n">
        <v>4</v>
      </c>
      <c r="N2871" t="n">
        <v>1.2</v>
      </c>
      <c r="O2871" t="n">
        <v>0.8</v>
      </c>
      <c r="P2871" t="n">
        <v>0.7360000000000001</v>
      </c>
      <c r="Q2871" t="n">
        <v>0.4</v>
      </c>
      <c r="R2871" t="inlineStr">
        <is>
          <t>Sobrestock crítico</t>
        </is>
      </c>
    </row>
    <row r="2872">
      <c r="A2872" t="inlineStr">
        <is>
          <t>PCLMECA43TM</t>
        </is>
      </c>
      <c r="B2872" t="inlineStr">
        <is>
          <t>CLASICA PADEL SPORT CAB</t>
        </is>
      </c>
      <c r="C2872" t="inlineStr">
        <is>
          <t>Manufactura / Caballero / P. Superiores</t>
        </is>
      </c>
      <c r="D2872" t="n">
        <v>41.80535763</v>
      </c>
      <c r="E2872" t="n">
        <v>1.023531318933364e-05</v>
      </c>
      <c r="F2872" t="n">
        <v>0.9972489307032888</v>
      </c>
      <c r="G2872" t="inlineStr">
        <is>
          <t>C</t>
        </is>
      </c>
      <c r="H2872" t="n">
        <v>0</v>
      </c>
      <c r="I2872" t="n">
        <v>0</v>
      </c>
      <c r="J2872" t="n">
        <v>0</v>
      </c>
      <c r="K2872" t="n">
        <v>0.1</v>
      </c>
      <c r="L2872" t="n">
        <v>0</v>
      </c>
      <c r="M2872" t="n">
        <v>4</v>
      </c>
      <c r="N2872" t="n">
        <v>0.4</v>
      </c>
      <c r="O2872" t="n">
        <v>0</v>
      </c>
      <c r="P2872" t="n">
        <v>0</v>
      </c>
      <c r="Q2872" t="n">
        <v>0</v>
      </c>
      <c r="R2872" t="inlineStr">
        <is>
          <t>Sin rotación</t>
        </is>
      </c>
    </row>
    <row r="2873">
      <c r="A2873" t="inlineStr">
        <is>
          <t>DALSSTDA43TXL</t>
        </is>
      </c>
      <c r="B2873" t="inlineStr">
        <is>
          <t>MANGA LARGA DAILY 2.0 DAMA</t>
        </is>
      </c>
      <c r="C2873" t="inlineStr">
        <is>
          <t>Manufactura / Dama / P. Superiores</t>
        </is>
      </c>
      <c r="D2873" t="n">
        <v>41.57688812999999</v>
      </c>
      <c r="E2873" t="n">
        <v>1.01793764142579e-05</v>
      </c>
      <c r="F2873" t="n">
        <v>0.997259110079703</v>
      </c>
      <c r="G2873" t="inlineStr">
        <is>
          <t>C</t>
        </is>
      </c>
      <c r="H2873" t="n">
        <v>6</v>
      </c>
      <c r="I2873" t="n">
        <v>12.3</v>
      </c>
      <c r="J2873" t="n">
        <v>73.80000000000001</v>
      </c>
      <c r="K2873" t="n">
        <v>0.1</v>
      </c>
      <c r="L2873" t="n">
        <v>60</v>
      </c>
      <c r="M2873" t="n">
        <v>4</v>
      </c>
      <c r="N2873" t="n">
        <v>0.4</v>
      </c>
      <c r="O2873" t="n">
        <v>5.6</v>
      </c>
      <c r="P2873" t="n">
        <v>68.88000000000001</v>
      </c>
      <c r="Q2873" t="n">
        <v>0.9333333333333333</v>
      </c>
      <c r="R2873" t="inlineStr">
        <is>
          <t>Sin rotación</t>
        </is>
      </c>
    </row>
    <row r="2874">
      <c r="A2874" t="inlineStr">
        <is>
          <t>SHOSUKI36T1</t>
        </is>
      </c>
      <c r="B2874" t="inlineStr">
        <is>
          <t>SHORT PLAYA ESTAMPADO KIDS</t>
        </is>
      </c>
      <c r="C2874" t="inlineStr">
        <is>
          <t>Manufactura / Kids / P. Superiores</t>
        </is>
      </c>
      <c r="D2874" t="n">
        <v>41.38</v>
      </c>
      <c r="E2874" t="n">
        <v>1.013117178719435e-05</v>
      </c>
      <c r="F2874" t="n">
        <v>0.9973401594540006</v>
      </c>
      <c r="G2874" t="inlineStr">
        <is>
          <t>C</t>
        </is>
      </c>
      <c r="H2874" t="n">
        <v>0</v>
      </c>
      <c r="I2874" t="n">
        <v>7.21</v>
      </c>
      <c r="J2874" t="n">
        <v>0</v>
      </c>
      <c r="K2874" t="n">
        <v>0.1</v>
      </c>
      <c r="L2874" t="n">
        <v>0</v>
      </c>
      <c r="M2874" t="n">
        <v>4</v>
      </c>
      <c r="N2874" t="n">
        <v>0.4</v>
      </c>
      <c r="O2874" t="n">
        <v>0</v>
      </c>
      <c r="P2874" t="n">
        <v>0</v>
      </c>
      <c r="Q2874" t="n">
        <v>0</v>
      </c>
      <c r="R2874" t="inlineStr">
        <is>
          <t>Riesgo bajo stock</t>
        </is>
      </c>
    </row>
    <row r="2875">
      <c r="A2875" t="inlineStr">
        <is>
          <t>MLMMJDA12TXS</t>
        </is>
      </c>
      <c r="B2875" t="inlineStr">
        <is>
          <t>MOTION LOOP MAFE DAMA</t>
        </is>
      </c>
      <c r="C2875" t="inlineStr">
        <is>
          <t>Manufactura / Dama / P. Superiores</t>
        </is>
      </c>
      <c r="D2875" t="n">
        <v>41.38</v>
      </c>
      <c r="E2875" t="n">
        <v>1.013117178719435e-05</v>
      </c>
      <c r="F2875" t="n">
        <v>0.9973401594540006</v>
      </c>
      <c r="G2875" t="inlineStr">
        <is>
          <t>C</t>
        </is>
      </c>
      <c r="H2875" t="n">
        <v>5</v>
      </c>
      <c r="I2875" t="n">
        <v>0.2661111111</v>
      </c>
      <c r="J2875" t="n">
        <v>1.3305555555</v>
      </c>
      <c r="K2875" t="n">
        <v>0.1</v>
      </c>
      <c r="L2875" t="n">
        <v>50</v>
      </c>
      <c r="M2875" t="n">
        <v>4</v>
      </c>
      <c r="N2875" t="n">
        <v>0.4</v>
      </c>
      <c r="O2875" t="n">
        <v>4.6</v>
      </c>
      <c r="P2875" t="n">
        <v>1.22411111106</v>
      </c>
      <c r="Q2875" t="n">
        <v>0.9199999999999999</v>
      </c>
      <c r="R2875" t="inlineStr">
        <is>
          <t>Sobrestock crítico</t>
        </is>
      </c>
    </row>
    <row r="2876">
      <c r="A2876" t="inlineStr">
        <is>
          <t>MLMMJDA14TL</t>
        </is>
      </c>
      <c r="B2876" t="inlineStr">
        <is>
          <t>MOTION LOOP MAFE DAMA</t>
        </is>
      </c>
      <c r="C2876" t="inlineStr">
        <is>
          <t>Manufactura / Dama / P. Superiores</t>
        </is>
      </c>
      <c r="D2876" t="n">
        <v>41.38</v>
      </c>
      <c r="E2876" t="n">
        <v>1.013117178719435e-05</v>
      </c>
      <c r="F2876" t="n">
        <v>0.9973401594540006</v>
      </c>
      <c r="G2876" t="inlineStr">
        <is>
          <t>C</t>
        </is>
      </c>
      <c r="H2876" t="n">
        <v>3</v>
      </c>
      <c r="I2876" t="n">
        <v>0.2661111111</v>
      </c>
      <c r="J2876" t="n">
        <v>0.7983333333</v>
      </c>
      <c r="K2876" t="n">
        <v>0.1</v>
      </c>
      <c r="L2876" t="n">
        <v>30</v>
      </c>
      <c r="M2876" t="n">
        <v>4</v>
      </c>
      <c r="N2876" t="n">
        <v>0.4</v>
      </c>
      <c r="O2876" t="n">
        <v>2.6</v>
      </c>
      <c r="P2876" t="n">
        <v>0.6918888888600001</v>
      </c>
      <c r="Q2876" t="n">
        <v>0.8666666666666668</v>
      </c>
      <c r="R2876" t="inlineStr">
        <is>
          <t>Sobrestock crítico</t>
        </is>
      </c>
    </row>
    <row r="2877">
      <c r="A2877" t="inlineStr">
        <is>
          <t>SHOSUKI112T4</t>
        </is>
      </c>
      <c r="B2877" t="inlineStr">
        <is>
          <t>SHORT PLAYA ESTAMPADO KIDS</t>
        </is>
      </c>
      <c r="C2877" t="inlineStr">
        <is>
          <t>Manufactura / Kids / P. Superiores</t>
        </is>
      </c>
      <c r="D2877" t="n">
        <v>41.38</v>
      </c>
      <c r="E2877" t="n">
        <v>1.013117178719435e-05</v>
      </c>
      <c r="F2877" t="n">
        <v>0.9973401594540006</v>
      </c>
      <c r="G2877" t="inlineStr">
        <is>
          <t>C</t>
        </is>
      </c>
      <c r="H2877" t="n">
        <v>0</v>
      </c>
      <c r="I2877" t="n">
        <v>7.21</v>
      </c>
      <c r="J2877" t="n">
        <v>0</v>
      </c>
      <c r="K2877" t="n">
        <v>0.1</v>
      </c>
      <c r="L2877" t="n">
        <v>0</v>
      </c>
      <c r="M2877" t="n">
        <v>4</v>
      </c>
      <c r="N2877" t="n">
        <v>0.4</v>
      </c>
      <c r="O2877" t="n">
        <v>0</v>
      </c>
      <c r="P2877" t="n">
        <v>0</v>
      </c>
      <c r="Q2877" t="n">
        <v>0</v>
      </c>
      <c r="R2877" t="inlineStr">
        <is>
          <t>Riesgo bajo stock</t>
        </is>
      </c>
    </row>
    <row r="2878">
      <c r="A2878" t="inlineStr">
        <is>
          <t>SHOSUKI111T14</t>
        </is>
      </c>
      <c r="B2878" t="inlineStr">
        <is>
          <t>SHORT PLAYA ESTAMPADO KIDS</t>
        </is>
      </c>
      <c r="C2878" t="inlineStr">
        <is>
          <t>Manufactura / Kids / P. Superiores</t>
        </is>
      </c>
      <c r="D2878" t="n">
        <v>41.38</v>
      </c>
      <c r="E2878" t="n">
        <v>1.013117178719435e-05</v>
      </c>
      <c r="F2878" t="n">
        <v>0.9973401594540006</v>
      </c>
      <c r="G2878" t="inlineStr">
        <is>
          <t>C</t>
        </is>
      </c>
      <c r="H2878" t="n">
        <v>0</v>
      </c>
      <c r="I2878" t="n">
        <v>7.21</v>
      </c>
      <c r="J2878" t="n">
        <v>0</v>
      </c>
      <c r="K2878" t="n">
        <v>0.1</v>
      </c>
      <c r="L2878" t="n">
        <v>0</v>
      </c>
      <c r="M2878" t="n">
        <v>4</v>
      </c>
      <c r="N2878" t="n">
        <v>0.4</v>
      </c>
      <c r="O2878" t="n">
        <v>0</v>
      </c>
      <c r="P2878" t="n">
        <v>0</v>
      </c>
      <c r="Q2878" t="n">
        <v>0</v>
      </c>
      <c r="R2878" t="inlineStr">
        <is>
          <t>Riesgo bajo stock</t>
        </is>
      </c>
    </row>
    <row r="2879">
      <c r="A2879" t="inlineStr">
        <is>
          <t>MLMMJDA12TM</t>
        </is>
      </c>
      <c r="B2879" t="inlineStr">
        <is>
          <t>MOTION LOOP MAFE DAMA</t>
        </is>
      </c>
      <c r="C2879" t="inlineStr">
        <is>
          <t>Manufactura / Dama / P. Superiores</t>
        </is>
      </c>
      <c r="D2879" t="n">
        <v>41.38</v>
      </c>
      <c r="E2879" t="n">
        <v>1.013117178719435e-05</v>
      </c>
      <c r="F2879" t="n">
        <v>0.9973401594540006</v>
      </c>
      <c r="G2879" t="inlineStr">
        <is>
          <t>C</t>
        </is>
      </c>
      <c r="H2879" t="n">
        <v>10</v>
      </c>
      <c r="I2879" t="n">
        <v>0.2661111111</v>
      </c>
      <c r="J2879" t="n">
        <v>2.661111111</v>
      </c>
      <c r="K2879" t="n">
        <v>0.1</v>
      </c>
      <c r="L2879" t="n">
        <v>100</v>
      </c>
      <c r="M2879" t="n">
        <v>4</v>
      </c>
      <c r="N2879" t="n">
        <v>0.4</v>
      </c>
      <c r="O2879" t="n">
        <v>9.6</v>
      </c>
      <c r="P2879" t="n">
        <v>2.55466666656</v>
      </c>
      <c r="Q2879" t="n">
        <v>0.96</v>
      </c>
      <c r="R2879" t="inlineStr">
        <is>
          <t>Sobrestock crítico</t>
        </is>
      </c>
    </row>
    <row r="2880">
      <c r="A2880" t="inlineStr">
        <is>
          <t>ACDMIDA120TL</t>
        </is>
      </c>
      <c r="B2880" t="inlineStr">
        <is>
          <t>DANI ACTIVE DAMA</t>
        </is>
      </c>
      <c r="C2880" t="inlineStr">
        <is>
          <t>Manufactura / Dama / P. Superiores</t>
        </is>
      </c>
      <c r="D2880" t="n">
        <v>41.38</v>
      </c>
      <c r="E2880" t="n">
        <v>1.013117178719435e-05</v>
      </c>
      <c r="F2880" t="n">
        <v>0.9973401594540006</v>
      </c>
      <c r="G2880" t="inlineStr">
        <is>
          <t>C</t>
        </is>
      </c>
      <c r="H2880" t="n">
        <v>0</v>
      </c>
      <c r="I2880" t="n">
        <v>9.82</v>
      </c>
      <c r="J2880" t="n">
        <v>0</v>
      </c>
      <c r="K2880" t="n">
        <v>0.1</v>
      </c>
      <c r="L2880" t="n">
        <v>0</v>
      </c>
      <c r="M2880" t="n">
        <v>4</v>
      </c>
      <c r="N2880" t="n">
        <v>0.4</v>
      </c>
      <c r="O2880" t="n">
        <v>0</v>
      </c>
      <c r="P2880" t="n">
        <v>0</v>
      </c>
      <c r="Q2880" t="n">
        <v>0</v>
      </c>
      <c r="R2880" t="inlineStr">
        <is>
          <t>Riesgo bajo stock</t>
        </is>
      </c>
    </row>
    <row r="2881">
      <c r="A2881" t="inlineStr">
        <is>
          <t>MLMMJDA14TXS</t>
        </is>
      </c>
      <c r="B2881" t="inlineStr">
        <is>
          <t>MOTION LOOP MAFE DAMA</t>
        </is>
      </c>
      <c r="C2881" t="inlineStr">
        <is>
          <t>Manufactura / Dama / P. Superiores</t>
        </is>
      </c>
      <c r="D2881" t="n">
        <v>41.38</v>
      </c>
      <c r="E2881" t="n">
        <v>1.013117178719435e-05</v>
      </c>
      <c r="F2881" t="n">
        <v>0.9973401594540006</v>
      </c>
      <c r="G2881" t="inlineStr">
        <is>
          <t>C</t>
        </is>
      </c>
      <c r="H2881" t="n">
        <v>3</v>
      </c>
      <c r="I2881" t="n">
        <v>0.2661111111</v>
      </c>
      <c r="J2881" t="n">
        <v>0.7983333333</v>
      </c>
      <c r="K2881" t="n">
        <v>0.2</v>
      </c>
      <c r="L2881" t="n">
        <v>15</v>
      </c>
      <c r="M2881" t="n">
        <v>4</v>
      </c>
      <c r="N2881" t="n">
        <v>0.8</v>
      </c>
      <c r="O2881" t="n">
        <v>2.2</v>
      </c>
      <c r="P2881" t="n">
        <v>0.5854444444200001</v>
      </c>
      <c r="Q2881" t="n">
        <v>0.7333333333333335</v>
      </c>
      <c r="R2881" t="inlineStr">
        <is>
          <t>Sobrestock crítico</t>
        </is>
      </c>
    </row>
    <row r="2882">
      <c r="A2882" t="inlineStr">
        <is>
          <t>ADUMMDA16TXL</t>
        </is>
      </c>
      <c r="B2882" t="inlineStr">
        <is>
          <t>ACTIVE DUO DAMA</t>
        </is>
      </c>
      <c r="C2882" t="inlineStr">
        <is>
          <t>Manufactura / Caballero / P. Superiores</t>
        </is>
      </c>
      <c r="D2882" t="n">
        <v>41.34747903</v>
      </c>
      <c r="E2882" t="n">
        <v>1.012320959449846e-05</v>
      </c>
      <c r="F2882" t="n">
        <v>0.997350282663595</v>
      </c>
      <c r="G2882" t="inlineStr">
        <is>
          <t>C</t>
        </is>
      </c>
      <c r="H2882" t="n">
        <v>16</v>
      </c>
      <c r="I2882" t="n">
        <v>3.19128</v>
      </c>
      <c r="J2882" t="n">
        <v>51.06048</v>
      </c>
      <c r="K2882" t="n">
        <v>0.1</v>
      </c>
      <c r="L2882" t="n">
        <v>160</v>
      </c>
      <c r="M2882" t="n">
        <v>4</v>
      </c>
      <c r="N2882" t="n">
        <v>0.4</v>
      </c>
      <c r="O2882" t="n">
        <v>15.6</v>
      </c>
      <c r="P2882" t="n">
        <v>49.78396799999999</v>
      </c>
      <c r="Q2882" t="n">
        <v>0.975</v>
      </c>
      <c r="R2882" t="inlineStr">
        <is>
          <t>Sin rotación</t>
        </is>
      </c>
    </row>
    <row r="2883">
      <c r="A2883" t="inlineStr">
        <is>
          <t>ACAMIDA120TM</t>
        </is>
      </c>
      <c r="B2883" t="inlineStr">
        <is>
          <t>ANDRE ACTIVE DAMA</t>
        </is>
      </c>
      <c r="C2883" t="inlineStr">
        <is>
          <t>Manufactura / Dama / P. Superiores</t>
        </is>
      </c>
      <c r="D2883" t="n">
        <v>41.25250293</v>
      </c>
      <c r="E2883" t="n">
        <v>1.009995635175371e-05</v>
      </c>
      <c r="F2883" t="n">
        <v>0.9973603826199468</v>
      </c>
      <c r="G2883" t="inlineStr">
        <is>
          <t>C</t>
        </is>
      </c>
      <c r="H2883" t="n">
        <v>0</v>
      </c>
      <c r="I2883" t="n">
        <v>7.89</v>
      </c>
      <c r="J2883" t="n">
        <v>0</v>
      </c>
      <c r="K2883" t="n">
        <v>0.1</v>
      </c>
      <c r="L2883" t="n">
        <v>0</v>
      </c>
      <c r="M2883" t="n">
        <v>4</v>
      </c>
      <c r="N2883" t="n">
        <v>0.4</v>
      </c>
      <c r="O2883" t="n">
        <v>0</v>
      </c>
      <c r="P2883" t="n">
        <v>0</v>
      </c>
      <c r="Q2883" t="n">
        <v>0</v>
      </c>
      <c r="R2883" t="inlineStr">
        <is>
          <t>Sin rotación</t>
        </is>
      </c>
    </row>
    <row r="2884">
      <c r="A2884" t="inlineStr">
        <is>
          <t>ZOEMIDA66TS</t>
        </is>
      </c>
      <c r="B2884" t="inlineStr">
        <is>
          <t>ZOE ORIGINAL DAMA</t>
        </is>
      </c>
      <c r="C2884" t="inlineStr">
        <is>
          <t>Manufactura / Dama / P. Superiores</t>
        </is>
      </c>
      <c r="D2884" t="n">
        <v>41.15303174</v>
      </c>
      <c r="E2884" t="n">
        <v>1.007560256456747e-05</v>
      </c>
      <c r="F2884" t="n">
        <v>0.9973704582225114</v>
      </c>
      <c r="G2884" t="inlineStr">
        <is>
          <t>C</t>
        </is>
      </c>
      <c r="H2884" t="n">
        <v>0</v>
      </c>
      <c r="I2884" t="n">
        <v>4.116585696</v>
      </c>
      <c r="J2884" t="n">
        <v>0</v>
      </c>
      <c r="K2884" t="n">
        <v>0.1</v>
      </c>
      <c r="L2884" t="n">
        <v>0</v>
      </c>
      <c r="M2884" t="n">
        <v>4</v>
      </c>
      <c r="N2884" t="n">
        <v>0.4</v>
      </c>
      <c r="O2884" t="n">
        <v>0</v>
      </c>
      <c r="P2884" t="n">
        <v>0</v>
      </c>
      <c r="Q2884" t="n">
        <v>0</v>
      </c>
      <c r="R2884" t="inlineStr">
        <is>
          <t>Sin rotación</t>
        </is>
      </c>
    </row>
    <row r="2885">
      <c r="A2885" t="inlineStr">
        <is>
          <t>PANNTKI12T1</t>
        </is>
      </c>
      <c r="B2885" t="inlineStr">
        <is>
          <t>EXPLORE PANTS KIDS</t>
        </is>
      </c>
      <c r="C2885" t="inlineStr">
        <is>
          <t>Manufactura / Kids / P. Inferiores</t>
        </is>
      </c>
      <c r="D2885" t="n">
        <v>40.9704158</v>
      </c>
      <c r="E2885" t="n">
        <v>1.003089223447515e-05</v>
      </c>
      <c r="F2885" t="n">
        <v>0.9973804891147459</v>
      </c>
      <c r="G2885" t="inlineStr">
        <is>
          <t>C</t>
        </is>
      </c>
      <c r="H2885" t="n">
        <v>0</v>
      </c>
      <c r="I2885" t="n">
        <v>13.98</v>
      </c>
      <c r="J2885" t="n">
        <v>0</v>
      </c>
      <c r="K2885" t="n">
        <v>0.1</v>
      </c>
      <c r="L2885" t="n">
        <v>0</v>
      </c>
      <c r="M2885" t="n">
        <v>4</v>
      </c>
      <c r="N2885" t="n">
        <v>0.4</v>
      </c>
      <c r="O2885" t="n">
        <v>0</v>
      </c>
      <c r="P2885" t="n">
        <v>0</v>
      </c>
      <c r="Q2885" t="n">
        <v>0</v>
      </c>
      <c r="R2885" t="inlineStr">
        <is>
          <t>Sin rotación</t>
        </is>
      </c>
    </row>
    <row r="2886">
      <c r="A2886" t="inlineStr">
        <is>
          <t>RIOMIKI39T10</t>
        </is>
      </c>
      <c r="B2886" t="inlineStr">
        <is>
          <t>RIO ORIGINAL KIDS</t>
        </is>
      </c>
      <c r="C2886" t="inlineStr">
        <is>
          <t>Manufactura / Kids / P. Superiores</t>
        </is>
      </c>
      <c r="D2886" t="n">
        <v>40.92282016</v>
      </c>
      <c r="E2886" t="n">
        <v>1.001923927156646e-05</v>
      </c>
      <c r="F2886" t="n">
        <v>0.997420566071832</v>
      </c>
      <c r="G2886" t="inlineStr">
        <is>
          <t>C</t>
        </is>
      </c>
      <c r="H2886" t="n">
        <v>0</v>
      </c>
      <c r="I2886" t="n">
        <v>3.617969464</v>
      </c>
      <c r="J2886" t="n">
        <v>0</v>
      </c>
      <c r="K2886" t="n">
        <v>0.1</v>
      </c>
      <c r="L2886" t="n">
        <v>0</v>
      </c>
      <c r="M2886" t="n">
        <v>4</v>
      </c>
      <c r="N2886" t="n">
        <v>0.4</v>
      </c>
      <c r="O2886" t="n">
        <v>0</v>
      </c>
      <c r="P2886" t="n">
        <v>0</v>
      </c>
      <c r="Q2886" t="n">
        <v>0</v>
      </c>
      <c r="R2886" t="inlineStr">
        <is>
          <t>Sin rotación</t>
        </is>
      </c>
    </row>
    <row r="2887">
      <c r="A2887" t="inlineStr">
        <is>
          <t>CLAMECA66TXL</t>
        </is>
      </c>
      <c r="B2887" t="inlineStr">
        <is>
          <t>CLASICA SPORT CAB</t>
        </is>
      </c>
      <c r="C2887" t="inlineStr">
        <is>
          <t>Manufactura / Caballero / P. Superiores</t>
        </is>
      </c>
      <c r="D2887" t="n">
        <v>40.92282016</v>
      </c>
      <c r="E2887" t="n">
        <v>1.001923927156646e-05</v>
      </c>
      <c r="F2887" t="n">
        <v>0.997420566071832</v>
      </c>
      <c r="G2887" t="inlineStr">
        <is>
          <t>C</t>
        </is>
      </c>
      <c r="H2887" t="n">
        <v>0</v>
      </c>
      <c r="I2887" t="n">
        <v>10.3013454</v>
      </c>
      <c r="J2887" t="n">
        <v>0</v>
      </c>
      <c r="K2887" t="n">
        <v>0.1</v>
      </c>
      <c r="L2887" t="n">
        <v>0</v>
      </c>
      <c r="M2887" t="n">
        <v>4</v>
      </c>
      <c r="N2887" t="n">
        <v>0.4</v>
      </c>
      <c r="O2887" t="n">
        <v>0</v>
      </c>
      <c r="P2887" t="n">
        <v>0</v>
      </c>
      <c r="Q2887" t="n">
        <v>0</v>
      </c>
      <c r="R2887" t="inlineStr">
        <is>
          <t>Sin rotación</t>
        </is>
      </c>
    </row>
    <row r="2888">
      <c r="A2888" t="inlineStr">
        <is>
          <t>CLAMEDA13TM</t>
        </is>
      </c>
      <c r="B2888" t="inlineStr">
        <is>
          <t>CLÁSICA SPORT DAMA</t>
        </is>
      </c>
      <c r="C2888" t="inlineStr">
        <is>
          <t>Manufactura / Dama / P. Superiores</t>
        </is>
      </c>
      <c r="D2888" t="n">
        <v>40.92282016</v>
      </c>
      <c r="E2888" t="n">
        <v>1.001923927156646e-05</v>
      </c>
      <c r="F2888" t="n">
        <v>0.997420566071832</v>
      </c>
      <c r="G2888" t="inlineStr">
        <is>
          <t>C</t>
        </is>
      </c>
      <c r="H2888" t="n">
        <v>0</v>
      </c>
      <c r="I2888" t="n">
        <v>6.536105769</v>
      </c>
      <c r="J2888" t="n">
        <v>0</v>
      </c>
      <c r="K2888" t="n">
        <v>0.1</v>
      </c>
      <c r="L2888" t="n">
        <v>0</v>
      </c>
      <c r="M2888" t="n">
        <v>4</v>
      </c>
      <c r="N2888" t="n">
        <v>0.4</v>
      </c>
      <c r="O2888" t="n">
        <v>0</v>
      </c>
      <c r="P2888" t="n">
        <v>0</v>
      </c>
      <c r="Q2888" t="n">
        <v>0</v>
      </c>
      <c r="R2888" t="inlineStr">
        <is>
          <t>Sin rotación</t>
        </is>
      </c>
    </row>
    <row r="2889">
      <c r="A2889" t="inlineStr">
        <is>
          <t>CLAMICA39TL</t>
        </is>
      </c>
      <c r="B2889" t="inlineStr">
        <is>
          <t>CLASICA ORIGINAL CAB</t>
        </is>
      </c>
      <c r="C2889" t="inlineStr">
        <is>
          <t>Manufactura / Caballero / P. Superiores</t>
        </is>
      </c>
      <c r="D2889" t="n">
        <v>40.92282016</v>
      </c>
      <c r="E2889" t="n">
        <v>1.001923927156646e-05</v>
      </c>
      <c r="F2889" t="n">
        <v>0.997420566071832</v>
      </c>
      <c r="G2889" t="inlineStr">
        <is>
          <t>C</t>
        </is>
      </c>
      <c r="H2889" t="n">
        <v>0</v>
      </c>
      <c r="I2889" t="n">
        <v>4.598442536</v>
      </c>
      <c r="J2889" t="n">
        <v>0</v>
      </c>
      <c r="K2889" t="n">
        <v>0.2</v>
      </c>
      <c r="L2889" t="n">
        <v>0</v>
      </c>
      <c r="M2889" t="n">
        <v>4</v>
      </c>
      <c r="N2889" t="n">
        <v>0.8</v>
      </c>
      <c r="O2889" t="n">
        <v>0</v>
      </c>
      <c r="P2889" t="n">
        <v>0</v>
      </c>
      <c r="Q2889" t="n">
        <v>0</v>
      </c>
      <c r="R2889" t="inlineStr">
        <is>
          <t>Sin rotación</t>
        </is>
      </c>
    </row>
    <row r="2890">
      <c r="A2890" t="inlineStr">
        <is>
          <t>ACCMICA120TS</t>
        </is>
      </c>
      <c r="B2890" t="inlineStr">
        <is>
          <t>CLASICA ACTIVE CAB</t>
        </is>
      </c>
      <c r="C2890" t="inlineStr">
        <is>
          <t>Manufactura / Caballero / P. Superiores</t>
        </is>
      </c>
      <c r="D2890" t="n">
        <v>40.81617281</v>
      </c>
      <c r="E2890" t="n">
        <v>9.993128526677652e-06</v>
      </c>
      <c r="F2890" t="n">
        <v>0.9974305592003588</v>
      </c>
      <c r="G2890" t="inlineStr">
        <is>
          <t>C</t>
        </is>
      </c>
      <c r="H2890" t="n">
        <v>5</v>
      </c>
      <c r="I2890" t="n">
        <v>12.74</v>
      </c>
      <c r="J2890" t="n">
        <v>63.7</v>
      </c>
      <c r="K2890" t="n">
        <v>0.2</v>
      </c>
      <c r="L2890" t="n">
        <v>25</v>
      </c>
      <c r="M2890" t="n">
        <v>4</v>
      </c>
      <c r="N2890" t="n">
        <v>0.8</v>
      </c>
      <c r="O2890" t="n">
        <v>4.2</v>
      </c>
      <c r="P2890" t="n">
        <v>53.508</v>
      </c>
      <c r="Q2890" t="n">
        <v>0.84</v>
      </c>
      <c r="R2890" t="inlineStr">
        <is>
          <t>Sin rotación</t>
        </is>
      </c>
    </row>
    <row r="2891">
      <c r="A2891" t="inlineStr">
        <is>
          <t>RIOMIKI09T10</t>
        </is>
      </c>
      <c r="B2891" t="inlineStr">
        <is>
          <t>RIO ORIGINAL KIDS</t>
        </is>
      </c>
      <c r="C2891" t="inlineStr">
        <is>
          <t>Manufactura / Kids / P. Superiores</t>
        </is>
      </c>
      <c r="D2891" t="n">
        <v>40.8123027</v>
      </c>
      <c r="E2891" t="n">
        <v>9.992180997696372e-06</v>
      </c>
      <c r="F2891" t="n">
        <v>0.9974405513813565</v>
      </c>
      <c r="G2891" t="inlineStr">
        <is>
          <t>C</t>
        </is>
      </c>
      <c r="H2891" t="n">
        <v>0</v>
      </c>
      <c r="I2891" t="n">
        <v>3.617969464</v>
      </c>
      <c r="J2891" t="n">
        <v>0</v>
      </c>
      <c r="K2891" t="n">
        <v>0.1</v>
      </c>
      <c r="L2891" t="n">
        <v>0</v>
      </c>
      <c r="M2891" t="n">
        <v>4</v>
      </c>
      <c r="N2891" t="n">
        <v>0.4</v>
      </c>
      <c r="O2891" t="n">
        <v>0</v>
      </c>
      <c r="P2891" t="n">
        <v>0</v>
      </c>
      <c r="Q2891" t="n">
        <v>0</v>
      </c>
      <c r="R2891" t="inlineStr">
        <is>
          <t>Sin rotación</t>
        </is>
      </c>
    </row>
    <row r="2892">
      <c r="A2892" t="inlineStr">
        <is>
          <t>CLAMIDA48TXS</t>
        </is>
      </c>
      <c r="B2892" t="inlineStr">
        <is>
          <t>CLASICA ORIGINAL DAMA</t>
        </is>
      </c>
      <c r="C2892" t="inlineStr">
        <is>
          <t>Manufactura / Dama / P. Superiores</t>
        </is>
      </c>
      <c r="D2892" t="n">
        <v>40.80915299</v>
      </c>
      <c r="E2892" t="n">
        <v>9.991409846099229e-06</v>
      </c>
      <c r="F2892" t="n">
        <v>0.9974505427912026</v>
      </c>
      <c r="G2892" t="inlineStr">
        <is>
          <t>C</t>
        </is>
      </c>
      <c r="H2892" t="n">
        <v>0</v>
      </c>
      <c r="I2892" t="n">
        <v>3.923227589</v>
      </c>
      <c r="J2892" t="n">
        <v>0</v>
      </c>
      <c r="K2892" t="n">
        <v>0.1</v>
      </c>
      <c r="L2892" t="n">
        <v>0</v>
      </c>
      <c r="M2892" t="n">
        <v>4</v>
      </c>
      <c r="N2892" t="n">
        <v>0.4</v>
      </c>
      <c r="O2892" t="n">
        <v>0</v>
      </c>
      <c r="P2892" t="n">
        <v>0</v>
      </c>
      <c r="Q2892" t="n">
        <v>0</v>
      </c>
      <c r="R2892" t="inlineStr">
        <is>
          <t>Riesgo bajo stock</t>
        </is>
      </c>
    </row>
    <row r="2893">
      <c r="A2893" t="inlineStr">
        <is>
          <t>MARMICA70T3XL</t>
        </is>
      </c>
      <c r="B2893" t="inlineStr">
        <is>
          <t>MAR ORIGINAL CAB</t>
        </is>
      </c>
      <c r="C2893" t="inlineStr">
        <is>
          <t>Manufactura / Caballero / P. Superiores</t>
        </is>
      </c>
      <c r="D2893" t="n">
        <v>40.72216009</v>
      </c>
      <c r="E2893" t="n">
        <v>9.970111150735135e-06</v>
      </c>
      <c r="F2893" t="n">
        <v>0.9974605129023533</v>
      </c>
      <c r="G2893" t="inlineStr">
        <is>
          <t>C</t>
        </is>
      </c>
      <c r="H2893" t="n">
        <v>0</v>
      </c>
      <c r="I2893" t="n">
        <v>4.946357428</v>
      </c>
      <c r="J2893" t="n">
        <v>0</v>
      </c>
      <c r="K2893" t="n">
        <v>0.1</v>
      </c>
      <c r="L2893" t="n">
        <v>0</v>
      </c>
      <c r="M2893" t="n">
        <v>4</v>
      </c>
      <c r="N2893" t="n">
        <v>0.4</v>
      </c>
      <c r="O2893" t="n">
        <v>0</v>
      </c>
      <c r="P2893" t="n">
        <v>0</v>
      </c>
      <c r="Q2893" t="n">
        <v>0</v>
      </c>
      <c r="R2893" t="inlineStr">
        <is>
          <t>Riesgo bajo stock</t>
        </is>
      </c>
    </row>
    <row r="2894">
      <c r="A2894" t="inlineStr">
        <is>
          <t>CLAMEKI30T6</t>
        </is>
      </c>
      <c r="B2894" t="inlineStr">
        <is>
          <t>CLASICA SPORT KIDS</t>
        </is>
      </c>
      <c r="C2894" t="inlineStr">
        <is>
          <t>Manufactura / Kids / P. Superiores</t>
        </is>
      </c>
      <c r="D2894" t="n">
        <v>40.63298701</v>
      </c>
      <c r="E2894" t="n">
        <v>9.948278676296439e-06</v>
      </c>
      <c r="F2894" t="n">
        <v>0.9974704611810297</v>
      </c>
      <c r="G2894" t="inlineStr">
        <is>
          <t>C</t>
        </is>
      </c>
      <c r="H2894" t="n">
        <v>2</v>
      </c>
      <c r="I2894" t="n">
        <v>3.97</v>
      </c>
      <c r="J2894" t="n">
        <v>7.94</v>
      </c>
      <c r="K2894" t="n">
        <v>0.1</v>
      </c>
      <c r="L2894" t="n">
        <v>20</v>
      </c>
      <c r="M2894" t="n">
        <v>4</v>
      </c>
      <c r="N2894" t="n">
        <v>0.4</v>
      </c>
      <c r="O2894" t="n">
        <v>1.6</v>
      </c>
      <c r="P2894" t="n">
        <v>6.352</v>
      </c>
      <c r="Q2894" t="n">
        <v>0.8</v>
      </c>
      <c r="R2894" t="inlineStr">
        <is>
          <t>Sobrestock crítico</t>
        </is>
      </c>
    </row>
    <row r="2895">
      <c r="A2895" t="inlineStr">
        <is>
          <t>ETN95E500ML</t>
        </is>
      </c>
      <c r="B2895" t="inlineStr">
        <is>
          <t>KAMBUKKA ETNA 500 ML</t>
        </is>
      </c>
      <c r="C2895" t="inlineStr">
        <is>
          <t>Equipamiento / Cava</t>
        </is>
      </c>
      <c r="D2895" t="n">
        <v>40.61333093</v>
      </c>
      <c r="E2895" t="n">
        <v>9.943466227694629e-06</v>
      </c>
      <c r="F2895" t="n">
        <v>0.9974804046472574</v>
      </c>
      <c r="G2895" t="inlineStr">
        <is>
          <t>C</t>
        </is>
      </c>
      <c r="H2895" t="n">
        <v>44</v>
      </c>
      <c r="I2895" t="n">
        <v>24.5</v>
      </c>
      <c r="J2895" t="n">
        <v>1078</v>
      </c>
      <c r="K2895" t="n">
        <v>0.2</v>
      </c>
      <c r="L2895" t="n">
        <v>220</v>
      </c>
      <c r="M2895" t="n">
        <v>4</v>
      </c>
      <c r="N2895" t="n">
        <v>0.8</v>
      </c>
      <c r="O2895" t="n">
        <v>43.2</v>
      </c>
      <c r="P2895" t="n">
        <v>1058.4</v>
      </c>
      <c r="Q2895" t="n">
        <v>0.9818181818181819</v>
      </c>
      <c r="R2895" t="inlineStr">
        <is>
          <t>Sin rotación</t>
        </is>
      </c>
    </row>
    <row r="2896">
      <c r="A2896" t="inlineStr">
        <is>
          <t>SHPEUNCA211TS</t>
        </is>
      </c>
      <c r="B2896" t="inlineStr">
        <is>
          <t>SHORT PLAYA ESTAMPADO CAB</t>
        </is>
      </c>
      <c r="C2896" t="inlineStr">
        <is>
          <t>Manufactura / Caballero / P. Inferiores</t>
        </is>
      </c>
      <c r="D2896" t="n">
        <v>40.61025176</v>
      </c>
      <c r="E2896" t="n">
        <v>9.942712346587041e-06</v>
      </c>
      <c r="F2896" t="n">
        <v>0.9974903473596038</v>
      </c>
      <c r="G2896" t="inlineStr">
        <is>
          <t>C</t>
        </is>
      </c>
      <c r="H2896" t="n">
        <v>0</v>
      </c>
      <c r="I2896" t="n">
        <v>12.11</v>
      </c>
      <c r="J2896" t="n">
        <v>0</v>
      </c>
      <c r="K2896" t="n">
        <v>0.1</v>
      </c>
      <c r="L2896" t="n">
        <v>0</v>
      </c>
      <c r="M2896" t="n">
        <v>4</v>
      </c>
      <c r="N2896" t="n">
        <v>0.4</v>
      </c>
      <c r="O2896" t="n">
        <v>0</v>
      </c>
      <c r="P2896" t="n">
        <v>0</v>
      </c>
      <c r="Q2896" t="n">
        <v>0</v>
      </c>
      <c r="R2896" t="inlineStr">
        <is>
          <t>Riesgo bajo stock</t>
        </is>
      </c>
    </row>
    <row r="2897">
      <c r="A2897" t="inlineStr">
        <is>
          <t>MARMICA39TS</t>
        </is>
      </c>
      <c r="B2897" t="inlineStr">
        <is>
          <t>MAR ORIGINAL CAB</t>
        </is>
      </c>
      <c r="C2897" t="inlineStr">
        <is>
          <t>Manufactura / Caballero / P. Superiores</t>
        </is>
      </c>
      <c r="D2897" t="n">
        <v>40.51747022</v>
      </c>
      <c r="E2897" t="n">
        <v>9.919996403609264e-06</v>
      </c>
      <c r="F2897" t="n">
        <v>0.9975002673560075</v>
      </c>
      <c r="G2897" t="inlineStr">
        <is>
          <t>C</t>
        </is>
      </c>
      <c r="H2897" t="n">
        <v>0</v>
      </c>
      <c r="I2897" t="n">
        <v>4.946357428</v>
      </c>
      <c r="J2897" t="n">
        <v>0</v>
      </c>
      <c r="K2897" t="n">
        <v>0.2</v>
      </c>
      <c r="L2897" t="n">
        <v>0</v>
      </c>
      <c r="M2897" t="n">
        <v>4</v>
      </c>
      <c r="N2897" t="n">
        <v>0.8</v>
      </c>
      <c r="O2897" t="n">
        <v>0</v>
      </c>
      <c r="P2897" t="n">
        <v>0</v>
      </c>
      <c r="Q2897" t="n">
        <v>0</v>
      </c>
      <c r="R2897" t="inlineStr">
        <is>
          <t>Riesgo bajo stock</t>
        </is>
      </c>
    </row>
    <row r="2898">
      <c r="A2898" t="inlineStr">
        <is>
          <t>CLASTDA30TM</t>
        </is>
      </c>
      <c r="B2898" t="inlineStr">
        <is>
          <t>CLASICA ALGODON STRETCH DAMA</t>
        </is>
      </c>
      <c r="C2898" t="inlineStr">
        <is>
          <t>Manufactura / Dama / P. Superiores</t>
        </is>
      </c>
      <c r="D2898" t="n">
        <v>40.50207604</v>
      </c>
      <c r="E2898" t="n">
        <v>9.91622740694172e-06</v>
      </c>
      <c r="F2898" t="n">
        <v>0.9975200998108213</v>
      </c>
      <c r="G2898" t="inlineStr">
        <is>
          <t>C</t>
        </is>
      </c>
      <c r="H2898" t="n">
        <v>0</v>
      </c>
      <c r="I2898" t="n">
        <v>9.27</v>
      </c>
      <c r="J2898" t="n">
        <v>0</v>
      </c>
      <c r="K2898" t="n">
        <v>0.1</v>
      </c>
      <c r="L2898" t="n">
        <v>0</v>
      </c>
      <c r="M2898" t="n">
        <v>4</v>
      </c>
      <c r="N2898" t="n">
        <v>0.4</v>
      </c>
      <c r="O2898" t="n">
        <v>0</v>
      </c>
      <c r="P2898" t="n">
        <v>0</v>
      </c>
      <c r="Q2898" t="n">
        <v>0</v>
      </c>
      <c r="R2898" t="inlineStr">
        <is>
          <t>Sin rotación</t>
        </is>
      </c>
    </row>
    <row r="2899">
      <c r="A2899" t="inlineStr">
        <is>
          <t>CLAMIDA09TS</t>
        </is>
      </c>
      <c r="B2899" t="inlineStr">
        <is>
          <t>CLASICA ORIGINAL DAMA</t>
        </is>
      </c>
      <c r="C2899" t="inlineStr">
        <is>
          <t>Manufactura / Dama / P. Superiores</t>
        </is>
      </c>
      <c r="D2899" t="n">
        <v>40.50207604</v>
      </c>
      <c r="E2899" t="n">
        <v>9.91622740694172e-06</v>
      </c>
      <c r="F2899" t="n">
        <v>0.9975200998108213</v>
      </c>
      <c r="G2899" t="inlineStr">
        <is>
          <t>C</t>
        </is>
      </c>
      <c r="H2899" t="n">
        <v>0</v>
      </c>
      <c r="I2899" t="n">
        <v>3.923227589</v>
      </c>
      <c r="J2899" t="n">
        <v>0</v>
      </c>
      <c r="K2899" t="n">
        <v>2.6</v>
      </c>
      <c r="L2899" t="n">
        <v>0</v>
      </c>
      <c r="M2899" t="n">
        <v>4</v>
      </c>
      <c r="N2899" t="n">
        <v>10.4</v>
      </c>
      <c r="O2899" t="n">
        <v>0</v>
      </c>
      <c r="P2899" t="n">
        <v>0</v>
      </c>
      <c r="Q2899" t="n">
        <v>0</v>
      </c>
      <c r="R2899" t="inlineStr">
        <is>
          <t>Riesgo bajo stock</t>
        </is>
      </c>
    </row>
    <row r="2900">
      <c r="A2900" t="inlineStr">
        <is>
          <t>MARMICA14T3XL</t>
        </is>
      </c>
      <c r="B2900" t="inlineStr">
        <is>
          <t>MAR ORIGINAL CAB</t>
        </is>
      </c>
      <c r="C2900" t="inlineStr">
        <is>
          <t>Manufactura / Caballero / P. Superiores</t>
        </is>
      </c>
      <c r="D2900" t="n">
        <v>40.46951385</v>
      </c>
      <c r="E2900" t="n">
        <v>9.908255122247247e-06</v>
      </c>
      <c r="F2900" t="n">
        <v>0.9975300080659436</v>
      </c>
      <c r="G2900" t="inlineStr">
        <is>
          <t>C</t>
        </is>
      </c>
      <c r="H2900" t="n">
        <v>0</v>
      </c>
      <c r="I2900" t="n">
        <v>4.946357428</v>
      </c>
      <c r="J2900" t="n">
        <v>0</v>
      </c>
      <c r="K2900" t="n">
        <v>0.1</v>
      </c>
      <c r="L2900" t="n">
        <v>0</v>
      </c>
      <c r="M2900" t="n">
        <v>4</v>
      </c>
      <c r="N2900" t="n">
        <v>0.4</v>
      </c>
      <c r="O2900" t="n">
        <v>0</v>
      </c>
      <c r="P2900" t="n">
        <v>0</v>
      </c>
      <c r="Q2900" t="n">
        <v>0</v>
      </c>
      <c r="R2900" t="inlineStr">
        <is>
          <t>Sin rotación</t>
        </is>
      </c>
    </row>
    <row r="2901">
      <c r="A2901" t="inlineStr">
        <is>
          <t>RIOMIKI05T6</t>
        </is>
      </c>
      <c r="B2901" t="inlineStr">
        <is>
          <t>RIO ORIGINAL KIDS</t>
        </is>
      </c>
      <c r="C2901" t="inlineStr">
        <is>
          <t>Manufactura / Kids / P. Superiores</t>
        </is>
      </c>
      <c r="D2901" t="n">
        <v>40.42865518</v>
      </c>
      <c r="E2901" t="n">
        <v>9.898251589024283e-06</v>
      </c>
      <c r="F2901" t="n">
        <v>0.9975399063175326</v>
      </c>
      <c r="G2901" t="inlineStr">
        <is>
          <t>C</t>
        </is>
      </c>
      <c r="H2901" t="n">
        <v>0</v>
      </c>
      <c r="I2901" t="n">
        <v>3.617969464</v>
      </c>
      <c r="J2901" t="n">
        <v>0</v>
      </c>
      <c r="K2901" t="n">
        <v>0.1</v>
      </c>
      <c r="L2901" t="n">
        <v>0</v>
      </c>
      <c r="M2901" t="n">
        <v>4</v>
      </c>
      <c r="N2901" t="n">
        <v>0.4</v>
      </c>
      <c r="O2901" t="n">
        <v>0</v>
      </c>
      <c r="P2901" t="n">
        <v>0</v>
      </c>
      <c r="Q2901" t="n">
        <v>0</v>
      </c>
      <c r="R2901" t="inlineStr">
        <is>
          <t>Sin rotación</t>
        </is>
      </c>
    </row>
    <row r="2902">
      <c r="A2902" t="inlineStr">
        <is>
          <t>VIVMIDA70TL</t>
        </is>
      </c>
      <c r="B2902" t="inlineStr">
        <is>
          <t>VIVI ORIGINAL DAMA</t>
        </is>
      </c>
      <c r="C2902" t="inlineStr">
        <is>
          <t>Manufactura / Dama / P. Superiores</t>
        </is>
      </c>
      <c r="D2902" t="n">
        <v>40.12930949</v>
      </c>
      <c r="E2902" t="n">
        <v>9.824962014129497e-06</v>
      </c>
      <c r="F2902" t="n">
        <v>0.9975497312795467</v>
      </c>
      <c r="G2902" t="inlineStr">
        <is>
          <t>C</t>
        </is>
      </c>
      <c r="H2902" t="n">
        <v>9</v>
      </c>
      <c r="I2902" t="n">
        <v>4.303181706</v>
      </c>
      <c r="J2902" t="n">
        <v>38.72863535400001</v>
      </c>
      <c r="K2902" t="n">
        <v>0.1</v>
      </c>
      <c r="L2902" t="n">
        <v>90</v>
      </c>
      <c r="M2902" t="n">
        <v>4</v>
      </c>
      <c r="N2902" t="n">
        <v>0.4</v>
      </c>
      <c r="O2902" t="n">
        <v>8.6</v>
      </c>
      <c r="P2902" t="n">
        <v>37.0073626716</v>
      </c>
      <c r="Q2902" t="n">
        <v>0.9555555555555554</v>
      </c>
      <c r="R2902" t="inlineStr">
        <is>
          <t>Sin rotación</t>
        </is>
      </c>
    </row>
    <row r="2903">
      <c r="A2903" t="inlineStr">
        <is>
          <t>P06</t>
        </is>
      </c>
      <c r="B2903" t="inlineStr">
        <is>
          <t>PARCHES</t>
        </is>
      </c>
      <c r="C2903" t="inlineStr">
        <is>
          <t>Equipamiento / Accesorios</t>
        </is>
      </c>
      <c r="D2903" t="n">
        <v>40.072486493</v>
      </c>
      <c r="E2903" t="n">
        <v>9.81104989368314e-06</v>
      </c>
      <c r="F2903" t="n">
        <v>0.9975595423294404</v>
      </c>
      <c r="G2903" t="inlineStr">
        <is>
          <t>C</t>
        </is>
      </c>
      <c r="H2903" t="n">
        <v>21</v>
      </c>
      <c r="I2903" t="n">
        <v>0.98</v>
      </c>
      <c r="J2903" t="n">
        <v>20.58</v>
      </c>
      <c r="K2903" t="n">
        <v>0.9</v>
      </c>
      <c r="L2903" t="n">
        <v>23.33333333333333</v>
      </c>
      <c r="M2903" t="n">
        <v>4</v>
      </c>
      <c r="N2903" t="n">
        <v>3.6</v>
      </c>
      <c r="O2903" t="n">
        <v>17.4</v>
      </c>
      <c r="P2903" t="n">
        <v>17.052</v>
      </c>
      <c r="Q2903" t="n">
        <v>0.8285714285714286</v>
      </c>
      <c r="R2903" t="inlineStr">
        <is>
          <t>Sobrestock crítico</t>
        </is>
      </c>
    </row>
    <row r="2904">
      <c r="A2904" t="inlineStr">
        <is>
          <t>MARMIDA52TXS</t>
        </is>
      </c>
      <c r="B2904" t="inlineStr">
        <is>
          <t>MAR ORIGINAL DAMA</t>
        </is>
      </c>
      <c r="C2904" t="inlineStr">
        <is>
          <t>Manufactura / Dama / P. Superiores</t>
        </is>
      </c>
      <c r="D2904" t="n">
        <v>40.06439975</v>
      </c>
      <c r="E2904" t="n">
        <v>9.809069995603588e-06</v>
      </c>
      <c r="F2904" t="n">
        <v>0.997569351399436</v>
      </c>
      <c r="G2904" t="inlineStr">
        <is>
          <t>C</t>
        </is>
      </c>
      <c r="H2904" t="n">
        <v>0</v>
      </c>
      <c r="I2904" t="n">
        <v>4.278324149</v>
      </c>
      <c r="J2904" t="n">
        <v>0</v>
      </c>
      <c r="K2904" t="n">
        <v>0.1</v>
      </c>
      <c r="L2904" t="n">
        <v>0</v>
      </c>
      <c r="M2904" t="n">
        <v>4</v>
      </c>
      <c r="N2904" t="n">
        <v>0.4</v>
      </c>
      <c r="O2904" t="n">
        <v>0</v>
      </c>
      <c r="P2904" t="n">
        <v>0</v>
      </c>
      <c r="Q2904" t="n">
        <v>0</v>
      </c>
      <c r="R2904" t="inlineStr">
        <is>
          <t>Sin rotación</t>
        </is>
      </c>
    </row>
    <row r="2905">
      <c r="A2905" t="inlineStr">
        <is>
          <t>CLAMIDA24TL</t>
        </is>
      </c>
      <c r="B2905" t="inlineStr">
        <is>
          <t>CLASICA ORIGINAL DAMA</t>
        </is>
      </c>
      <c r="C2905" t="inlineStr">
        <is>
          <t>Manufactura / Dama / P. Superiores</t>
        </is>
      </c>
      <c r="D2905" t="n">
        <v>40.05707075</v>
      </c>
      <c r="E2905" t="n">
        <v>9.807275617690869e-06</v>
      </c>
      <c r="F2905" t="n">
        <v>0.9975791586750538</v>
      </c>
      <c r="G2905" t="inlineStr">
        <is>
          <t>C</t>
        </is>
      </c>
      <c r="H2905" t="n">
        <v>0</v>
      </c>
      <c r="I2905" t="n">
        <v>3.923227589</v>
      </c>
      <c r="J2905" t="n">
        <v>0</v>
      </c>
      <c r="K2905" t="n">
        <v>0.1</v>
      </c>
      <c r="L2905" t="n">
        <v>0</v>
      </c>
      <c r="M2905" t="n">
        <v>4</v>
      </c>
      <c r="N2905" t="n">
        <v>0.4</v>
      </c>
      <c r="O2905" t="n">
        <v>0</v>
      </c>
      <c r="P2905" t="n">
        <v>0</v>
      </c>
      <c r="Q2905" t="n">
        <v>0</v>
      </c>
      <c r="R2905" t="inlineStr">
        <is>
          <t>Sin rotación</t>
        </is>
      </c>
    </row>
    <row r="2906">
      <c r="A2906" t="inlineStr">
        <is>
          <t>SABSTCA30T2XL</t>
        </is>
      </c>
      <c r="B2906" t="inlineStr">
        <is>
          <t>RETRO VZLA CAB</t>
        </is>
      </c>
      <c r="C2906" t="inlineStr">
        <is>
          <t>Manufactura / Caballero / P. Superiores</t>
        </is>
      </c>
      <c r="D2906" t="n">
        <v>40.00158756</v>
      </c>
      <c r="E2906" t="n">
        <v>9.793691525636939e-06</v>
      </c>
      <c r="F2906" t="n">
        <v>0.9975889523665794</v>
      </c>
      <c r="G2906" t="inlineStr">
        <is>
          <t>C</t>
        </is>
      </c>
      <c r="H2906" t="n">
        <v>1</v>
      </c>
      <c r="I2906" t="n">
        <v>12.9</v>
      </c>
      <c r="J2906" t="n">
        <v>12.9</v>
      </c>
      <c r="K2906" t="n">
        <v>0.1</v>
      </c>
      <c r="L2906" t="n">
        <v>10</v>
      </c>
      <c r="M2906" t="n">
        <v>4</v>
      </c>
      <c r="N2906" t="n">
        <v>0.4</v>
      </c>
      <c r="O2906" t="n">
        <v>0.6</v>
      </c>
      <c r="P2906" t="n">
        <v>7.74</v>
      </c>
      <c r="Q2906" t="n">
        <v>0.6</v>
      </c>
      <c r="R2906" t="inlineStr">
        <is>
          <t>Sin rotación</t>
        </is>
      </c>
    </row>
    <row r="2907">
      <c r="A2907" t="inlineStr">
        <is>
          <t>SABSTCA43TXL</t>
        </is>
      </c>
      <c r="B2907" t="inlineStr">
        <is>
          <t>RETRO VZLA CAB</t>
        </is>
      </c>
      <c r="C2907" t="inlineStr">
        <is>
          <t>Manufactura / Caballero / P. Superiores</t>
        </is>
      </c>
      <c r="D2907" t="n">
        <v>40.00067647</v>
      </c>
      <c r="E2907" t="n">
        <v>9.793468461129845e-06</v>
      </c>
      <c r="F2907" t="n">
        <v>0.9975987458350405</v>
      </c>
      <c r="G2907" t="inlineStr">
        <is>
          <t>C</t>
        </is>
      </c>
      <c r="H2907" t="n">
        <v>0</v>
      </c>
      <c r="I2907" t="n">
        <v>12.9</v>
      </c>
      <c r="J2907" t="n">
        <v>0</v>
      </c>
      <c r="K2907" t="n">
        <v>0.1</v>
      </c>
      <c r="L2907" t="n">
        <v>0</v>
      </c>
      <c r="M2907" t="n">
        <v>4</v>
      </c>
      <c r="N2907" t="n">
        <v>0.4</v>
      </c>
      <c r="O2907" t="n">
        <v>0</v>
      </c>
      <c r="P2907" t="n">
        <v>0</v>
      </c>
      <c r="Q2907" t="n">
        <v>0</v>
      </c>
      <c r="R2907" t="inlineStr">
        <is>
          <t>Sin rotación</t>
        </is>
      </c>
    </row>
    <row r="2908">
      <c r="A2908" t="inlineStr">
        <is>
          <t>RIOMIKI09T2</t>
        </is>
      </c>
      <c r="B2908" t="inlineStr">
        <is>
          <t>RIO ORIGINAL KIDS</t>
        </is>
      </c>
      <c r="C2908" t="inlineStr">
        <is>
          <t>Manufactura / Kids / P. Superiores</t>
        </is>
      </c>
      <c r="D2908" t="n">
        <v>39.97713538</v>
      </c>
      <c r="E2908" t="n">
        <v>9.78770483554145e-06</v>
      </c>
      <c r="F2908" t="n">
        <v>0.9976085335398761</v>
      </c>
      <c r="G2908" t="inlineStr">
        <is>
          <t>C</t>
        </is>
      </c>
      <c r="H2908" t="n">
        <v>4</v>
      </c>
      <c r="I2908" t="n">
        <v>3.617969464</v>
      </c>
      <c r="J2908" t="n">
        <v>14.471877856</v>
      </c>
      <c r="K2908" t="n">
        <v>0.1</v>
      </c>
      <c r="L2908" t="n">
        <v>40</v>
      </c>
      <c r="M2908" t="n">
        <v>4</v>
      </c>
      <c r="N2908" t="n">
        <v>0.4</v>
      </c>
      <c r="O2908" t="n">
        <v>3.6</v>
      </c>
      <c r="P2908" t="n">
        <v>13.0246900704</v>
      </c>
      <c r="Q2908" t="n">
        <v>0.8999999999999999</v>
      </c>
      <c r="R2908" t="inlineStr">
        <is>
          <t>Sin rotación</t>
        </is>
      </c>
    </row>
    <row r="2909">
      <c r="A2909" t="inlineStr">
        <is>
          <t>CRESTCA30TS</t>
        </is>
      </c>
      <c r="B2909" t="inlineStr">
        <is>
          <t>RETRO VZLA CAB</t>
        </is>
      </c>
      <c r="C2909" t="inlineStr">
        <is>
          <t>Manufactura / Caballero / P. Superiores</t>
        </is>
      </c>
      <c r="D2909" t="n">
        <v>39.83562648</v>
      </c>
      <c r="E2909" t="n">
        <v>9.753058847737755e-06</v>
      </c>
      <c r="F2909" t="n">
        <v>0.9976182865987239</v>
      </c>
      <c r="G2909" t="inlineStr">
        <is>
          <t>C</t>
        </is>
      </c>
      <c r="H2909" t="n">
        <v>0</v>
      </c>
      <c r="I2909" t="n">
        <v>12.9</v>
      </c>
      <c r="J2909" t="n">
        <v>0</v>
      </c>
      <c r="K2909" t="n">
        <v>0.1</v>
      </c>
      <c r="L2909" t="n">
        <v>0</v>
      </c>
      <c r="M2909" t="n">
        <v>4</v>
      </c>
      <c r="N2909" t="n">
        <v>0.4</v>
      </c>
      <c r="O2909" t="n">
        <v>0</v>
      </c>
      <c r="P2909" t="n">
        <v>0</v>
      </c>
      <c r="Q2909" t="n">
        <v>0</v>
      </c>
      <c r="R2909" t="inlineStr">
        <is>
          <t>Sin rotación</t>
        </is>
      </c>
    </row>
    <row r="2910">
      <c r="A2910" t="inlineStr">
        <is>
          <t>MAFMEDA63TXL</t>
        </is>
      </c>
      <c r="B2910" t="inlineStr">
        <is>
          <t>MAFE SPORT DAMA</t>
        </is>
      </c>
      <c r="C2910" t="inlineStr">
        <is>
          <t>Manufactura / Dama / P. Superiores</t>
        </is>
      </c>
      <c r="D2910" t="n">
        <v>39.73437863</v>
      </c>
      <c r="E2910" t="n">
        <v>9.728270076315955e-06</v>
      </c>
      <c r="F2910" t="n">
        <v>0.9976280148688002</v>
      </c>
      <c r="G2910" t="inlineStr">
        <is>
          <t>C</t>
        </is>
      </c>
      <c r="H2910" t="n">
        <v>2</v>
      </c>
      <c r="I2910" t="n">
        <v>5.35</v>
      </c>
      <c r="J2910" t="n">
        <v>10.7</v>
      </c>
      <c r="K2910" t="n">
        <v>0.1</v>
      </c>
      <c r="L2910" t="n">
        <v>20</v>
      </c>
      <c r="M2910" t="n">
        <v>4</v>
      </c>
      <c r="N2910" t="n">
        <v>0.4</v>
      </c>
      <c r="O2910" t="n">
        <v>1.6</v>
      </c>
      <c r="P2910" t="n">
        <v>8.56</v>
      </c>
      <c r="Q2910" t="n">
        <v>0.8</v>
      </c>
      <c r="R2910" t="inlineStr">
        <is>
          <t>Sobrestock crítico</t>
        </is>
      </c>
    </row>
    <row r="2911">
      <c r="A2911" t="inlineStr">
        <is>
          <t>TRISTCA43TL</t>
        </is>
      </c>
      <c r="B2911" t="inlineStr">
        <is>
          <t>RETRO VZLA CAB</t>
        </is>
      </c>
      <c r="C2911" t="inlineStr">
        <is>
          <t>Manufactura / Caballero / P. Superiores</t>
        </is>
      </c>
      <c r="D2911" t="n">
        <v>39.66014003</v>
      </c>
      <c r="E2911" t="n">
        <v>9.710094049011924e-06</v>
      </c>
      <c r="F2911" t="n">
        <v>0.9976377249628492</v>
      </c>
      <c r="G2911" t="inlineStr">
        <is>
          <t>C</t>
        </is>
      </c>
      <c r="H2911" t="n">
        <v>0</v>
      </c>
      <c r="I2911" t="n">
        <v>12.9</v>
      </c>
      <c r="J2911" t="n">
        <v>0</v>
      </c>
      <c r="K2911" t="n">
        <v>0.1</v>
      </c>
      <c r="L2911" t="n">
        <v>0</v>
      </c>
      <c r="M2911" t="n">
        <v>4</v>
      </c>
      <c r="N2911" t="n">
        <v>0.4</v>
      </c>
      <c r="O2911" t="n">
        <v>0</v>
      </c>
      <c r="P2911" t="n">
        <v>0</v>
      </c>
      <c r="Q2911" t="n">
        <v>0</v>
      </c>
      <c r="R2911" t="inlineStr">
        <is>
          <t>Sin rotación</t>
        </is>
      </c>
    </row>
    <row r="2912">
      <c r="A2912" t="inlineStr">
        <is>
          <t>SHOUNCA29TS</t>
        </is>
      </c>
      <c r="B2912" t="inlineStr">
        <is>
          <t>SHORT PLAYA CAB</t>
        </is>
      </c>
      <c r="C2912" t="inlineStr">
        <is>
          <t>Manufactura / Caballero / P. Inferiores</t>
        </is>
      </c>
      <c r="D2912" t="n">
        <v>39.57918837</v>
      </c>
      <c r="E2912" t="n">
        <v>9.690274445968942e-06</v>
      </c>
      <c r="F2912" t="n">
        <v>0.9976474152372951</v>
      </c>
      <c r="G2912" t="inlineStr">
        <is>
          <t>C</t>
        </is>
      </c>
      <c r="H2912" t="n">
        <v>0</v>
      </c>
      <c r="I2912" t="n">
        <v>9.99</v>
      </c>
      <c r="J2912" t="n">
        <v>0</v>
      </c>
      <c r="K2912" t="n">
        <v>0.1</v>
      </c>
      <c r="L2912" t="n">
        <v>0</v>
      </c>
      <c r="M2912" t="n">
        <v>4</v>
      </c>
      <c r="N2912" t="n">
        <v>0.4</v>
      </c>
      <c r="O2912" t="n">
        <v>0</v>
      </c>
      <c r="P2912" t="n">
        <v>0</v>
      </c>
      <c r="Q2912" t="n">
        <v>0</v>
      </c>
      <c r="R2912" t="inlineStr">
        <is>
          <t>Sin rotación</t>
        </is>
      </c>
    </row>
    <row r="2913">
      <c r="A2913" t="inlineStr">
        <is>
          <t>DANMIKI43T10</t>
        </is>
      </c>
      <c r="B2913" t="inlineStr">
        <is>
          <t>DANI ORIGINAL KIDS</t>
        </is>
      </c>
      <c r="C2913" t="inlineStr">
        <is>
          <t>Manufactura / Kids / P. Superiores</t>
        </is>
      </c>
      <c r="D2913" t="n">
        <v>39.54934898</v>
      </c>
      <c r="E2913" t="n">
        <v>9.682968791398737e-06</v>
      </c>
      <c r="F2913" t="n">
        <v>0.9976570982060865</v>
      </c>
      <c r="G2913" t="inlineStr">
        <is>
          <t>C</t>
        </is>
      </c>
      <c r="H2913" t="n">
        <v>0</v>
      </c>
      <c r="I2913" t="n">
        <v>3.55</v>
      </c>
      <c r="J2913" t="n">
        <v>0</v>
      </c>
      <c r="K2913" t="n">
        <v>0.2</v>
      </c>
      <c r="L2913" t="n">
        <v>0</v>
      </c>
      <c r="M2913" t="n">
        <v>4</v>
      </c>
      <c r="N2913" t="n">
        <v>0.8</v>
      </c>
      <c r="O2913" t="n">
        <v>0</v>
      </c>
      <c r="P2913" t="n">
        <v>0</v>
      </c>
      <c r="Q2913" t="n">
        <v>0</v>
      </c>
      <c r="R2913" t="inlineStr">
        <is>
          <t>Riesgo bajo stock</t>
        </is>
      </c>
    </row>
    <row r="2914">
      <c r="A2914" t="inlineStr">
        <is>
          <t>DALSTKI30T4</t>
        </is>
      </c>
      <c r="B2914" t="inlineStr">
        <is>
          <t>CLASICA DAILY 2.0 KIDS</t>
        </is>
      </c>
      <c r="C2914" t="inlineStr">
        <is>
          <t>Manufactura / Kids / P. Superiores</t>
        </is>
      </c>
      <c r="D2914" t="n">
        <v>39.54793509</v>
      </c>
      <c r="E2914" t="n">
        <v>9.682622625074953e-06</v>
      </c>
      <c r="F2914" t="n">
        <v>0.9976667808287115</v>
      </c>
      <c r="G2914" t="inlineStr">
        <is>
          <t>C</t>
        </is>
      </c>
      <c r="H2914" t="n">
        <v>0</v>
      </c>
      <c r="I2914" t="n">
        <v>8.699999999999999</v>
      </c>
      <c r="J2914" t="n">
        <v>0</v>
      </c>
      <c r="K2914" t="n">
        <v>0.1</v>
      </c>
      <c r="L2914" t="n">
        <v>0</v>
      </c>
      <c r="M2914" t="n">
        <v>4</v>
      </c>
      <c r="N2914" t="n">
        <v>0.4</v>
      </c>
      <c r="O2914" t="n">
        <v>0</v>
      </c>
      <c r="P2914" t="n">
        <v>0</v>
      </c>
      <c r="Q2914" t="n">
        <v>0</v>
      </c>
      <c r="R2914" t="inlineStr">
        <is>
          <t>Riesgo bajo stock</t>
        </is>
      </c>
    </row>
    <row r="2915">
      <c r="A2915" t="inlineStr">
        <is>
          <t>SABMEDA63TXL</t>
        </is>
      </c>
      <c r="B2915" t="inlineStr">
        <is>
          <t>SABRI SPORT DAMA</t>
        </is>
      </c>
      <c r="C2915" t="inlineStr">
        <is>
          <t>Manufactura / Dama / P. Superiores</t>
        </is>
      </c>
      <c r="D2915" t="n">
        <v>39.44852043</v>
      </c>
      <c r="E2915" t="n">
        <v>9.658282678273949e-06</v>
      </c>
      <c r="F2915" t="n">
        <v>0.9976764391113899</v>
      </c>
      <c r="G2915" t="inlineStr">
        <is>
          <t>C</t>
        </is>
      </c>
      <c r="H2915" t="n">
        <v>1</v>
      </c>
      <c r="I2915" t="n">
        <v>4.51</v>
      </c>
      <c r="J2915" t="n">
        <v>4.51</v>
      </c>
      <c r="K2915" t="n">
        <v>0.1</v>
      </c>
      <c r="L2915" t="n">
        <v>10</v>
      </c>
      <c r="M2915" t="n">
        <v>4</v>
      </c>
      <c r="N2915" t="n">
        <v>0.4</v>
      </c>
      <c r="O2915" t="n">
        <v>0.6</v>
      </c>
      <c r="P2915" t="n">
        <v>2.706</v>
      </c>
      <c r="Q2915" t="n">
        <v>0.6</v>
      </c>
      <c r="R2915" t="inlineStr">
        <is>
          <t>Sobrestock crítico</t>
        </is>
      </c>
    </row>
    <row r="2916">
      <c r="A2916" t="inlineStr">
        <is>
          <t>AQUSTCA16TS</t>
        </is>
      </c>
      <c r="B2916" t="inlineStr">
        <is>
          <t>RETRO VZLA CAB</t>
        </is>
      </c>
      <c r="C2916" t="inlineStr">
        <is>
          <t>Manufactura / Caballero / P. Superiores</t>
        </is>
      </c>
      <c r="D2916" t="n">
        <v>39.33534153</v>
      </c>
      <c r="E2916" t="n">
        <v>9.630572797206147e-06</v>
      </c>
      <c r="F2916" t="n">
        <v>0.9976957002569843</v>
      </c>
      <c r="G2916" t="inlineStr">
        <is>
          <t>C</t>
        </is>
      </c>
      <c r="H2916" t="n">
        <v>0</v>
      </c>
      <c r="I2916" t="n">
        <v>12.9</v>
      </c>
      <c r="J2916" t="n">
        <v>0</v>
      </c>
      <c r="K2916" t="n">
        <v>0.1</v>
      </c>
      <c r="L2916" t="n">
        <v>0</v>
      </c>
      <c r="M2916" t="n">
        <v>4</v>
      </c>
      <c r="N2916" t="n">
        <v>0.4</v>
      </c>
      <c r="O2916" t="n">
        <v>0</v>
      </c>
      <c r="P2916" t="n">
        <v>0</v>
      </c>
      <c r="Q2916" t="n">
        <v>0</v>
      </c>
      <c r="R2916" t="inlineStr">
        <is>
          <t>Sin rotación</t>
        </is>
      </c>
    </row>
    <row r="2917">
      <c r="A2917" t="inlineStr">
        <is>
          <t>TRISTDA16TM</t>
        </is>
      </c>
      <c r="B2917" t="inlineStr">
        <is>
          <t>RETRO VZLA DAMA</t>
        </is>
      </c>
      <c r="C2917" t="inlineStr">
        <is>
          <t>Manufactura / Dama / P. Superiores</t>
        </is>
      </c>
      <c r="D2917" t="n">
        <v>39.33534153</v>
      </c>
      <c r="E2917" t="n">
        <v>9.630572797206147e-06</v>
      </c>
      <c r="F2917" t="n">
        <v>0.9976957002569843</v>
      </c>
      <c r="G2917" t="inlineStr">
        <is>
          <t>C</t>
        </is>
      </c>
      <c r="H2917" t="n">
        <v>0</v>
      </c>
      <c r="I2917" t="n">
        <v>11.23</v>
      </c>
      <c r="J2917" t="n">
        <v>0</v>
      </c>
      <c r="K2917" t="n">
        <v>0.1</v>
      </c>
      <c r="L2917" t="n">
        <v>0</v>
      </c>
      <c r="M2917" t="n">
        <v>4</v>
      </c>
      <c r="N2917" t="n">
        <v>0.4</v>
      </c>
      <c r="O2917" t="n">
        <v>0</v>
      </c>
      <c r="P2917" t="n">
        <v>0</v>
      </c>
      <c r="Q2917" t="n">
        <v>0</v>
      </c>
      <c r="R2917" t="inlineStr">
        <is>
          <t>Sin rotación</t>
        </is>
      </c>
    </row>
    <row r="2918">
      <c r="A2918" t="inlineStr">
        <is>
          <t>MAMSUDA15TXS</t>
        </is>
      </c>
      <c r="B2918" t="inlineStr">
        <is>
          <t>MAFE MOTION DAMA</t>
        </is>
      </c>
      <c r="C2918" t="inlineStr">
        <is>
          <t>Manufactura / Dama / P. Superiores</t>
        </is>
      </c>
      <c r="D2918" t="n">
        <v>39.24222716</v>
      </c>
      <c r="E2918" t="n">
        <v>9.607775366603769e-06</v>
      </c>
      <c r="F2918" t="n">
        <v>0.9977149158077174</v>
      </c>
      <c r="G2918" t="inlineStr">
        <is>
          <t>C</t>
        </is>
      </c>
      <c r="H2918" t="n">
        <v>0</v>
      </c>
      <c r="I2918" t="n">
        <v>0</v>
      </c>
      <c r="J2918" t="n">
        <v>0</v>
      </c>
      <c r="K2918" t="n">
        <v>0.1</v>
      </c>
      <c r="L2918" t="n">
        <v>0</v>
      </c>
      <c r="M2918" t="n">
        <v>4</v>
      </c>
      <c r="N2918" t="n">
        <v>0.4</v>
      </c>
      <c r="O2918" t="n">
        <v>0</v>
      </c>
      <c r="P2918" t="n">
        <v>0</v>
      </c>
      <c r="Q2918" t="n">
        <v>0</v>
      </c>
      <c r="R2918" t="inlineStr">
        <is>
          <t>Sin rotación</t>
        </is>
      </c>
    </row>
    <row r="2919">
      <c r="A2919" t="inlineStr">
        <is>
          <t>SHOUNKI50T12</t>
        </is>
      </c>
      <c r="B2919" t="inlineStr">
        <is>
          <t>SHORT PLAYA KIDS</t>
        </is>
      </c>
      <c r="C2919" t="inlineStr">
        <is>
          <t>Manufactura / Kids / P. Inferiores</t>
        </is>
      </c>
      <c r="D2919" t="n">
        <v>39.24222716</v>
      </c>
      <c r="E2919" t="n">
        <v>9.607775366603769e-06</v>
      </c>
      <c r="F2919" t="n">
        <v>0.9977149158077174</v>
      </c>
      <c r="G2919" t="inlineStr">
        <is>
          <t>C</t>
        </is>
      </c>
      <c r="H2919" t="n">
        <v>0</v>
      </c>
      <c r="I2919" t="n">
        <v>6.09</v>
      </c>
      <c r="J2919" t="n">
        <v>0</v>
      </c>
      <c r="K2919" t="n">
        <v>0.1</v>
      </c>
      <c r="L2919" t="n">
        <v>0</v>
      </c>
      <c r="M2919" t="n">
        <v>4</v>
      </c>
      <c r="N2919" t="n">
        <v>0.4</v>
      </c>
      <c r="O2919" t="n">
        <v>0</v>
      </c>
      <c r="P2919" t="n">
        <v>0</v>
      </c>
      <c r="Q2919" t="n">
        <v>0</v>
      </c>
      <c r="R2919" t="inlineStr">
        <is>
          <t>Sin rotación</t>
        </is>
      </c>
    </row>
    <row r="2920">
      <c r="A2920" t="inlineStr">
        <is>
          <t>SUC50EQV</t>
        </is>
      </c>
      <c r="B2920" t="inlineStr">
        <is>
          <t>SUNNY CORD ORIGINAL</t>
        </is>
      </c>
      <c r="C2920" t="inlineStr">
        <is>
          <t>Equipamiento / Accesorios</t>
        </is>
      </c>
      <c r="D2920" t="n">
        <v>39.201910488</v>
      </c>
      <c r="E2920" t="n">
        <v>9.597904532144611e-06</v>
      </c>
      <c r="F2920" t="n">
        <v>0.9977245137122497</v>
      </c>
      <c r="G2920" t="inlineStr">
        <is>
          <t>C</t>
        </is>
      </c>
      <c r="H2920" t="n">
        <v>0</v>
      </c>
      <c r="I2920" t="n">
        <v>0.51</v>
      </c>
      <c r="J2920" t="n">
        <v>0</v>
      </c>
      <c r="K2920" t="n">
        <v>1.3</v>
      </c>
      <c r="L2920" t="n">
        <v>0</v>
      </c>
      <c r="M2920" t="n">
        <v>4</v>
      </c>
      <c r="N2920" t="n">
        <v>5.2</v>
      </c>
      <c r="O2920" t="n">
        <v>0</v>
      </c>
      <c r="P2920" t="n">
        <v>0</v>
      </c>
      <c r="Q2920" t="n">
        <v>0</v>
      </c>
      <c r="R2920" t="inlineStr">
        <is>
          <t>Riesgo bajo stock</t>
        </is>
      </c>
    </row>
    <row r="2921">
      <c r="A2921" t="inlineStr">
        <is>
          <t>RIOMIKI39T6</t>
        </is>
      </c>
      <c r="B2921" t="inlineStr">
        <is>
          <t>RIO ORIGINAL KIDS</t>
        </is>
      </c>
      <c r="C2921" t="inlineStr">
        <is>
          <t>Manufactura / Kids / P. Superiores</t>
        </is>
      </c>
      <c r="D2921" t="n">
        <v>39.13957788</v>
      </c>
      <c r="E2921" t="n">
        <v>9.582643479472019e-06</v>
      </c>
      <c r="F2921" t="n">
        <v>0.9977436789992087</v>
      </c>
      <c r="G2921" t="inlineStr">
        <is>
          <t>C</t>
        </is>
      </c>
      <c r="H2921" t="n">
        <v>0</v>
      </c>
      <c r="I2921" t="n">
        <v>3.617969464</v>
      </c>
      <c r="J2921" t="n">
        <v>0</v>
      </c>
      <c r="K2921" t="n">
        <v>0.1</v>
      </c>
      <c r="L2921" t="n">
        <v>0</v>
      </c>
      <c r="M2921" t="n">
        <v>4</v>
      </c>
      <c r="N2921" t="n">
        <v>0.4</v>
      </c>
      <c r="O2921" t="n">
        <v>0</v>
      </c>
      <c r="P2921" t="n">
        <v>0</v>
      </c>
      <c r="Q2921" t="n">
        <v>0</v>
      </c>
      <c r="R2921" t="inlineStr">
        <is>
          <t>Sin rotación</t>
        </is>
      </c>
    </row>
    <row r="2922">
      <c r="A2922" t="inlineStr">
        <is>
          <t>CLAMICA09TS</t>
        </is>
      </c>
      <c r="B2922" t="inlineStr">
        <is>
          <t>CLASICA ORIGINAL CAB</t>
        </is>
      </c>
      <c r="C2922" t="inlineStr">
        <is>
          <t>Manufactura / Caballero / P. Superiores</t>
        </is>
      </c>
      <c r="D2922" t="n">
        <v>39.13957788</v>
      </c>
      <c r="E2922" t="n">
        <v>9.582643479472019e-06</v>
      </c>
      <c r="F2922" t="n">
        <v>0.9977436789992087</v>
      </c>
      <c r="G2922" t="inlineStr">
        <is>
          <t>C</t>
        </is>
      </c>
      <c r="H2922" t="n">
        <v>0</v>
      </c>
      <c r="I2922" t="n">
        <v>4.598442536</v>
      </c>
      <c r="J2922" t="n">
        <v>0</v>
      </c>
      <c r="K2922" t="n">
        <v>1.3</v>
      </c>
      <c r="L2922" t="n">
        <v>0</v>
      </c>
      <c r="M2922" t="n">
        <v>4</v>
      </c>
      <c r="N2922" t="n">
        <v>5.2</v>
      </c>
      <c r="O2922" t="n">
        <v>0</v>
      </c>
      <c r="P2922" t="n">
        <v>0</v>
      </c>
      <c r="Q2922" t="n">
        <v>0</v>
      </c>
      <c r="R2922" t="inlineStr">
        <is>
          <t>Riesgo bajo stock</t>
        </is>
      </c>
    </row>
    <row r="2923">
      <c r="A2923" t="inlineStr">
        <is>
          <t>CLMSUCA151TM</t>
        </is>
      </c>
      <c r="B2923" t="inlineStr">
        <is>
          <t>CLASICA MOTION CAB</t>
        </is>
      </c>
      <c r="C2923" t="inlineStr">
        <is>
          <t>Manufactura / Caballero / P. Superiores</t>
        </is>
      </c>
      <c r="D2923" t="n">
        <v>39.09148223</v>
      </c>
      <c r="E2923" t="n">
        <v>9.570868097829515e-06</v>
      </c>
      <c r="F2923" t="n">
        <v>0.9977532498673065</v>
      </c>
      <c r="G2923" t="inlineStr">
        <is>
          <t>C</t>
        </is>
      </c>
      <c r="H2923" t="n">
        <v>0</v>
      </c>
      <c r="I2923" t="n">
        <v>12.26</v>
      </c>
      <c r="J2923" t="n">
        <v>0</v>
      </c>
      <c r="K2923" t="n">
        <v>0.1</v>
      </c>
      <c r="L2923" t="n">
        <v>0</v>
      </c>
      <c r="M2923" t="n">
        <v>4</v>
      </c>
      <c r="N2923" t="n">
        <v>0.4</v>
      </c>
      <c r="O2923" t="n">
        <v>0</v>
      </c>
      <c r="P2923" t="n">
        <v>0</v>
      </c>
      <c r="Q2923" t="n">
        <v>0</v>
      </c>
      <c r="R2923" t="inlineStr">
        <is>
          <t>Sin rotación</t>
        </is>
      </c>
    </row>
    <row r="2924">
      <c r="A2924" t="inlineStr">
        <is>
          <t>DALSTDA43TL</t>
        </is>
      </c>
      <c r="B2924" t="inlineStr">
        <is>
          <t>CLASICA DAILY 2.0 DAMA</t>
        </is>
      </c>
      <c r="C2924" t="inlineStr">
        <is>
          <t>Manufactura / Dama / P. Superiores</t>
        </is>
      </c>
      <c r="D2924" t="n">
        <v>38.93973991</v>
      </c>
      <c r="E2924" t="n">
        <v>9.533716635497292e-06</v>
      </c>
      <c r="F2924" t="n">
        <v>0.997762783583942</v>
      </c>
      <c r="G2924" t="inlineStr">
        <is>
          <t>C</t>
        </is>
      </c>
      <c r="H2924" t="n">
        <v>1</v>
      </c>
      <c r="I2924" t="n">
        <v>10.02</v>
      </c>
      <c r="J2924" t="n">
        <v>10.02</v>
      </c>
      <c r="K2924" t="n">
        <v>0.1</v>
      </c>
      <c r="L2924" t="n">
        <v>10</v>
      </c>
      <c r="M2924" t="n">
        <v>4</v>
      </c>
      <c r="N2924" t="n">
        <v>0.4</v>
      </c>
      <c r="O2924" t="n">
        <v>0.6</v>
      </c>
      <c r="P2924" t="n">
        <v>6.012</v>
      </c>
      <c r="Q2924" t="n">
        <v>0.6</v>
      </c>
      <c r="R2924" t="inlineStr">
        <is>
          <t>Sobrestock crítico</t>
        </is>
      </c>
    </row>
    <row r="2925">
      <c r="A2925" t="inlineStr">
        <is>
          <t>SHOUNKI69T10</t>
        </is>
      </c>
      <c r="B2925" t="inlineStr">
        <is>
          <t>SHORT PLAYA KIDS</t>
        </is>
      </c>
      <c r="C2925" t="inlineStr">
        <is>
          <t>Manufactura / Kids / P. Inferiores</t>
        </is>
      </c>
      <c r="D2925" t="n">
        <v>38.79</v>
      </c>
      <c r="E2925" t="n">
        <v>9.497055428353526e-06</v>
      </c>
      <c r="F2925" t="n">
        <v>0.9978007718056553</v>
      </c>
      <c r="G2925" t="inlineStr">
        <is>
          <t>C</t>
        </is>
      </c>
      <c r="H2925" t="n">
        <v>36</v>
      </c>
      <c r="I2925" t="n">
        <v>6.09</v>
      </c>
      <c r="J2925" t="n">
        <v>219.24</v>
      </c>
      <c r="K2925" t="n">
        <v>0.1</v>
      </c>
      <c r="L2925" t="n">
        <v>360</v>
      </c>
      <c r="M2925" t="n">
        <v>4</v>
      </c>
      <c r="N2925" t="n">
        <v>0.4</v>
      </c>
      <c r="O2925" t="n">
        <v>35.6</v>
      </c>
      <c r="P2925" t="n">
        <v>216.804</v>
      </c>
      <c r="Q2925" t="n">
        <v>0.9888888888888888</v>
      </c>
      <c r="R2925" t="inlineStr">
        <is>
          <t>Sobrestock crítico</t>
        </is>
      </c>
    </row>
    <row r="2926">
      <c r="A2926" t="inlineStr">
        <is>
          <t>SHOUNKI186T4</t>
        </is>
      </c>
      <c r="B2926" t="inlineStr">
        <is>
          <t>SHORT PLAYA KIDS</t>
        </is>
      </c>
      <c r="C2926" t="inlineStr">
        <is>
          <t>Manufactura / Kids / P. Inferiores</t>
        </is>
      </c>
      <c r="D2926" t="n">
        <v>38.79</v>
      </c>
      <c r="E2926" t="n">
        <v>9.497055428353526e-06</v>
      </c>
      <c r="F2926" t="n">
        <v>0.9978007718056553</v>
      </c>
      <c r="G2926" t="inlineStr">
        <is>
          <t>C</t>
        </is>
      </c>
      <c r="H2926" t="n">
        <v>19</v>
      </c>
      <c r="I2926" t="n">
        <v>6.09</v>
      </c>
      <c r="J2926" t="n">
        <v>115.71</v>
      </c>
      <c r="K2926" t="n">
        <v>0.1</v>
      </c>
      <c r="L2926" t="n">
        <v>190</v>
      </c>
      <c r="M2926" t="n">
        <v>4</v>
      </c>
      <c r="N2926" t="n">
        <v>0.4</v>
      </c>
      <c r="O2926" t="n">
        <v>18.6</v>
      </c>
      <c r="P2926" t="n">
        <v>113.274</v>
      </c>
      <c r="Q2926" t="n">
        <v>0.9789473684210527</v>
      </c>
      <c r="R2926" t="inlineStr">
        <is>
          <t>Sobrestock crítico</t>
        </is>
      </c>
    </row>
    <row r="2927">
      <c r="A2927" t="inlineStr">
        <is>
          <t>SHOUNKI38T2</t>
        </is>
      </c>
      <c r="B2927" t="inlineStr">
        <is>
          <t>SHORT PLAYA KIDS</t>
        </is>
      </c>
      <c r="C2927" t="inlineStr">
        <is>
          <t>Manufactura / Kids / P. Inferiores</t>
        </is>
      </c>
      <c r="D2927" t="n">
        <v>38.79</v>
      </c>
      <c r="E2927" t="n">
        <v>9.497055428353526e-06</v>
      </c>
      <c r="F2927" t="n">
        <v>0.9978007718056553</v>
      </c>
      <c r="G2927" t="inlineStr">
        <is>
          <t>C</t>
        </is>
      </c>
      <c r="H2927" t="n">
        <v>19</v>
      </c>
      <c r="I2927" t="n">
        <v>6.09</v>
      </c>
      <c r="J2927" t="n">
        <v>115.71</v>
      </c>
      <c r="K2927" t="n">
        <v>0.1</v>
      </c>
      <c r="L2927" t="n">
        <v>190</v>
      </c>
      <c r="M2927" t="n">
        <v>4</v>
      </c>
      <c r="N2927" t="n">
        <v>0.4</v>
      </c>
      <c r="O2927" t="n">
        <v>18.6</v>
      </c>
      <c r="P2927" t="n">
        <v>113.274</v>
      </c>
      <c r="Q2927" t="n">
        <v>0.9789473684210527</v>
      </c>
      <c r="R2927" t="inlineStr">
        <is>
          <t>Sobrestock crítico</t>
        </is>
      </c>
    </row>
    <row r="2928">
      <c r="A2928" t="inlineStr">
        <is>
          <t>SHOUNKI170T10</t>
        </is>
      </c>
      <c r="B2928" t="inlineStr">
        <is>
          <t>SHORT PLAYA KIDS</t>
        </is>
      </c>
      <c r="C2928" t="inlineStr">
        <is>
          <t>Manufactura / Kids / P. Inferiores</t>
        </is>
      </c>
      <c r="D2928" t="n">
        <v>38.79</v>
      </c>
      <c r="E2928" t="n">
        <v>9.497055428353526e-06</v>
      </c>
      <c r="F2928" t="n">
        <v>0.9978007718056553</v>
      </c>
      <c r="G2928" t="inlineStr">
        <is>
          <t>C</t>
        </is>
      </c>
      <c r="H2928" t="n">
        <v>29</v>
      </c>
      <c r="I2928" t="n">
        <v>6.09</v>
      </c>
      <c r="J2928" t="n">
        <v>176.61</v>
      </c>
      <c r="K2928" t="n">
        <v>0.1</v>
      </c>
      <c r="L2928" t="n">
        <v>290</v>
      </c>
      <c r="M2928" t="n">
        <v>4</v>
      </c>
      <c r="N2928" t="n">
        <v>0.4</v>
      </c>
      <c r="O2928" t="n">
        <v>28.6</v>
      </c>
      <c r="P2928" t="n">
        <v>174.174</v>
      </c>
      <c r="Q2928" t="n">
        <v>0.9862068965517242</v>
      </c>
      <c r="R2928" t="inlineStr">
        <is>
          <t>Sobrestock crítico</t>
        </is>
      </c>
    </row>
    <row r="2929">
      <c r="A2929" t="inlineStr">
        <is>
          <t>DAMSTKI43T14</t>
        </is>
      </c>
      <c r="B2929" t="inlineStr">
        <is>
          <t>MANGA LARGA DAILY KIDS</t>
        </is>
      </c>
      <c r="C2929" t="inlineStr">
        <is>
          <t>Manufactura / Kids / P. Superiores</t>
        </is>
      </c>
      <c r="D2929" t="n">
        <v>38.73859338</v>
      </c>
      <c r="E2929" t="n">
        <v>9.484469413413482e-06</v>
      </c>
      <c r="F2929" t="n">
        <v>0.9978102562750688</v>
      </c>
      <c r="G2929" t="inlineStr">
        <is>
          <t>C</t>
        </is>
      </c>
      <c r="H2929" t="n">
        <v>0</v>
      </c>
      <c r="I2929" t="n">
        <v>10.1</v>
      </c>
      <c r="J2929" t="n">
        <v>0</v>
      </c>
      <c r="K2929" t="n">
        <v>0.2</v>
      </c>
      <c r="L2929" t="n">
        <v>0</v>
      </c>
      <c r="M2929" t="n">
        <v>4</v>
      </c>
      <c r="N2929" t="n">
        <v>0.8</v>
      </c>
      <c r="O2929" t="n">
        <v>0</v>
      </c>
      <c r="P2929" t="n">
        <v>0</v>
      </c>
      <c r="Q2929" t="n">
        <v>0</v>
      </c>
      <c r="R2929" t="inlineStr">
        <is>
          <t>Sin rotación</t>
        </is>
      </c>
    </row>
    <row r="2930">
      <c r="A2930" t="inlineStr">
        <is>
          <t>SABSTKI30T8</t>
        </is>
      </c>
      <c r="B2930" t="inlineStr">
        <is>
          <t>RETRO VZLA KIDS</t>
        </is>
      </c>
      <c r="C2930" t="inlineStr">
        <is>
          <t>Manufactura / Dama / P. Superiores</t>
        </is>
      </c>
      <c r="D2930" t="n">
        <v>38.72409249</v>
      </c>
      <c r="E2930" t="n">
        <v>9.48091912323327e-06</v>
      </c>
      <c r="F2930" t="n">
        <v>0.9978197371941919</v>
      </c>
      <c r="G2930" t="inlineStr">
        <is>
          <t>C</t>
        </is>
      </c>
      <c r="H2930" t="n">
        <v>4</v>
      </c>
      <c r="I2930" t="n">
        <v>10.18</v>
      </c>
      <c r="J2930" t="n">
        <v>40.72</v>
      </c>
      <c r="K2930" t="n">
        <v>0.1</v>
      </c>
      <c r="L2930" t="n">
        <v>40</v>
      </c>
      <c r="M2930" t="n">
        <v>4</v>
      </c>
      <c r="N2930" t="n">
        <v>0.4</v>
      </c>
      <c r="O2930" t="n">
        <v>3.6</v>
      </c>
      <c r="P2930" t="n">
        <v>36.648</v>
      </c>
      <c r="Q2930" t="n">
        <v>0.9000000000000001</v>
      </c>
      <c r="R2930" t="inlineStr">
        <is>
          <t>Sobrestock crítico</t>
        </is>
      </c>
    </row>
    <row r="2931">
      <c r="A2931" t="inlineStr">
        <is>
          <t>GOOSTCA16T2XL</t>
        </is>
      </c>
      <c r="B2931" t="inlineStr">
        <is>
          <t>RETRO VZLA CAB</t>
        </is>
      </c>
      <c r="C2931" t="inlineStr">
        <is>
          <t>Manufactura / Caballero / P. Superiores</t>
        </is>
      </c>
      <c r="D2931" t="n">
        <v>38.71212245</v>
      </c>
      <c r="E2931" t="n">
        <v>9.477988467565325e-06</v>
      </c>
      <c r="F2931" t="n">
        <v>0.9978292151826595</v>
      </c>
      <c r="G2931" t="inlineStr">
        <is>
          <t>C</t>
        </is>
      </c>
      <c r="H2931" t="n">
        <v>0</v>
      </c>
      <c r="I2931" t="n">
        <v>12.9</v>
      </c>
      <c r="J2931" t="n">
        <v>0</v>
      </c>
      <c r="K2931" t="n">
        <v>0.1</v>
      </c>
      <c r="L2931" t="n">
        <v>0</v>
      </c>
      <c r="M2931" t="n">
        <v>4</v>
      </c>
      <c r="N2931" t="n">
        <v>0.4</v>
      </c>
      <c r="O2931" t="n">
        <v>0</v>
      </c>
      <c r="P2931" t="n">
        <v>0</v>
      </c>
      <c r="Q2931" t="n">
        <v>0</v>
      </c>
      <c r="R2931" t="inlineStr">
        <is>
          <t>Sin rotación</t>
        </is>
      </c>
    </row>
    <row r="2932">
      <c r="A2932" t="inlineStr">
        <is>
          <t>SABSTCA43TL</t>
        </is>
      </c>
      <c r="B2932" t="inlineStr">
        <is>
          <t>RETRO VZLA CAB</t>
        </is>
      </c>
      <c r="C2932" t="inlineStr">
        <is>
          <t>Manufactura / Caballero / P. Superiores</t>
        </is>
      </c>
      <c r="D2932" t="n">
        <v>38.56370594</v>
      </c>
      <c r="E2932" t="n">
        <v>9.441651271845994e-06</v>
      </c>
      <c r="F2932" t="n">
        <v>0.9978386568339314</v>
      </c>
      <c r="G2932" t="inlineStr">
        <is>
          <t>C</t>
        </is>
      </c>
      <c r="H2932" t="n">
        <v>0</v>
      </c>
      <c r="I2932" t="n">
        <v>12.9</v>
      </c>
      <c r="J2932" t="n">
        <v>0</v>
      </c>
      <c r="K2932" t="n">
        <v>0.1</v>
      </c>
      <c r="L2932" t="n">
        <v>0</v>
      </c>
      <c r="M2932" t="n">
        <v>4</v>
      </c>
      <c r="N2932" t="n">
        <v>0.4</v>
      </c>
      <c r="O2932" t="n">
        <v>0</v>
      </c>
      <c r="P2932" t="n">
        <v>0</v>
      </c>
      <c r="Q2932" t="n">
        <v>0</v>
      </c>
      <c r="R2932" t="inlineStr">
        <is>
          <t>Sin rotación</t>
        </is>
      </c>
    </row>
    <row r="2933">
      <c r="A2933" t="inlineStr">
        <is>
          <t>RIOMIKI70T4</t>
        </is>
      </c>
      <c r="B2933" t="inlineStr">
        <is>
          <t>RIO ORIGINAL KIDS</t>
        </is>
      </c>
      <c r="C2933" t="inlineStr">
        <is>
          <t>Manufactura / Kids / P. Superiores</t>
        </is>
      </c>
      <c r="D2933" t="n">
        <v>38.3565437</v>
      </c>
      <c r="E2933" t="n">
        <v>9.390931208016609e-06</v>
      </c>
      <c r="F2933" t="n">
        <v>0.9978574386963474</v>
      </c>
      <c r="G2933" t="inlineStr">
        <is>
          <t>C</t>
        </is>
      </c>
      <c r="H2933" t="n">
        <v>0</v>
      </c>
      <c r="I2933" t="n">
        <v>3.617969464</v>
      </c>
      <c r="J2933" t="n">
        <v>0</v>
      </c>
      <c r="K2933" t="n">
        <v>0.1</v>
      </c>
      <c r="L2933" t="n">
        <v>0</v>
      </c>
      <c r="M2933" t="n">
        <v>4</v>
      </c>
      <c r="N2933" t="n">
        <v>0.4</v>
      </c>
      <c r="O2933" t="n">
        <v>0</v>
      </c>
      <c r="P2933" t="n">
        <v>0</v>
      </c>
      <c r="Q2933" t="n">
        <v>0</v>
      </c>
      <c r="R2933" t="inlineStr">
        <is>
          <t>Sin rotación</t>
        </is>
      </c>
    </row>
    <row r="2934">
      <c r="A2934" t="inlineStr">
        <is>
          <t>CLAMECA51T2XL</t>
        </is>
      </c>
      <c r="B2934" t="inlineStr">
        <is>
          <t>CLASICA SPORT CAB</t>
        </is>
      </c>
      <c r="C2934" t="inlineStr">
        <is>
          <t>Manufactura / Caballero / P. Superiores</t>
        </is>
      </c>
      <c r="D2934" t="n">
        <v>38.3565437</v>
      </c>
      <c r="E2934" t="n">
        <v>9.390931208016609e-06</v>
      </c>
      <c r="F2934" t="n">
        <v>0.9978574386963474</v>
      </c>
      <c r="G2934" t="inlineStr">
        <is>
          <t>C</t>
        </is>
      </c>
      <c r="H2934" t="n">
        <v>0</v>
      </c>
      <c r="I2934" t="n">
        <v>10.3013454</v>
      </c>
      <c r="J2934" t="n">
        <v>0</v>
      </c>
      <c r="K2934" t="n">
        <v>0.1</v>
      </c>
      <c r="L2934" t="n">
        <v>0</v>
      </c>
      <c r="M2934" t="n">
        <v>4</v>
      </c>
      <c r="N2934" t="n">
        <v>0.4</v>
      </c>
      <c r="O2934" t="n">
        <v>0</v>
      </c>
      <c r="P2934" t="n">
        <v>0</v>
      </c>
      <c r="Q2934" t="n">
        <v>0</v>
      </c>
      <c r="R2934" t="inlineStr">
        <is>
          <t>Sin rotación</t>
        </is>
      </c>
    </row>
    <row r="2935">
      <c r="A2935" t="inlineStr">
        <is>
          <t>TOA64CL</t>
        </is>
      </c>
      <c r="B2935" t="inlineStr">
        <is>
          <t>TOALLA CLIP ORIGINAL</t>
        </is>
      </c>
      <c r="C2935" t="inlineStr">
        <is>
          <t>Equipamiento / Toallas</t>
        </is>
      </c>
      <c r="D2935" t="n">
        <v>38.35190769</v>
      </c>
      <c r="E2935" t="n">
        <v>9.389796161769217e-06</v>
      </c>
      <c r="F2935" t="n">
        <v>0.9978668284925092</v>
      </c>
      <c r="G2935" t="inlineStr">
        <is>
          <t>C</t>
        </is>
      </c>
      <c r="H2935" t="n">
        <v>0</v>
      </c>
      <c r="I2935" t="n">
        <v>5.11</v>
      </c>
      <c r="J2935" t="n">
        <v>0</v>
      </c>
      <c r="K2935" t="n">
        <v>0.2</v>
      </c>
      <c r="L2935" t="n">
        <v>0</v>
      </c>
      <c r="M2935" t="n">
        <v>4</v>
      </c>
      <c r="N2935" t="n">
        <v>0.8</v>
      </c>
      <c r="O2935" t="n">
        <v>0</v>
      </c>
      <c r="P2935" t="n">
        <v>0</v>
      </c>
      <c r="Q2935" t="n">
        <v>0</v>
      </c>
      <c r="R2935" t="inlineStr">
        <is>
          <t>Riesgo bajo stock</t>
        </is>
      </c>
    </row>
    <row r="2936">
      <c r="A2936" t="inlineStr">
        <is>
          <t>AQUSTCA16TM</t>
        </is>
      </c>
      <c r="B2936" t="inlineStr">
        <is>
          <t>RETRO VZLA CAB</t>
        </is>
      </c>
      <c r="C2936" t="inlineStr">
        <is>
          <t>Manufactura / Caballero / P. Superiores</t>
        </is>
      </c>
      <c r="D2936" t="n">
        <v>38.24334446</v>
      </c>
      <c r="E2936" t="n">
        <v>9.363216347054312e-06</v>
      </c>
      <c r="F2936" t="n">
        <v>0.9978761917088562</v>
      </c>
      <c r="G2936" t="inlineStr">
        <is>
          <t>C</t>
        </is>
      </c>
      <c r="H2936" t="n">
        <v>1</v>
      </c>
      <c r="I2936" t="n">
        <v>12.9</v>
      </c>
      <c r="J2936" t="n">
        <v>12.9</v>
      </c>
      <c r="K2936" t="n">
        <v>0.2</v>
      </c>
      <c r="L2936" t="n">
        <v>5</v>
      </c>
      <c r="M2936" t="n">
        <v>4</v>
      </c>
      <c r="N2936" t="n">
        <v>0.8</v>
      </c>
      <c r="O2936" t="n">
        <v>0.2</v>
      </c>
      <c r="P2936" t="n">
        <v>2.58</v>
      </c>
      <c r="Q2936" t="n">
        <v>0.2</v>
      </c>
      <c r="R2936" t="inlineStr">
        <is>
          <t>Sin rotación</t>
        </is>
      </c>
    </row>
    <row r="2937">
      <c r="A2937" t="inlineStr">
        <is>
          <t>MLCMJCA50TM</t>
        </is>
      </c>
      <c r="B2937" t="inlineStr">
        <is>
          <t>MOTION LOOP CLASICA CAB</t>
        </is>
      </c>
      <c r="C2937" t="inlineStr">
        <is>
          <t>Manufactura / Caballero / P. Superiores</t>
        </is>
      </c>
      <c r="D2937" t="n">
        <v>38.11</v>
      </c>
      <c r="E2937" t="n">
        <v>9.330569280086437e-06</v>
      </c>
      <c r="F2937" t="n">
        <v>0.9978948528474164</v>
      </c>
      <c r="G2937" t="inlineStr">
        <is>
          <t>C</t>
        </is>
      </c>
      <c r="H2937" t="n">
        <v>8</v>
      </c>
      <c r="I2937" t="n">
        <v>2.002702703</v>
      </c>
      <c r="J2937" t="n">
        <v>16.021621624</v>
      </c>
      <c r="K2937" t="n">
        <v>0.1</v>
      </c>
      <c r="L2937" t="n">
        <v>80</v>
      </c>
      <c r="M2937" t="n">
        <v>4</v>
      </c>
      <c r="N2937" t="n">
        <v>0.4</v>
      </c>
      <c r="O2937" t="n">
        <v>7.6</v>
      </c>
      <c r="P2937" t="n">
        <v>15.2205405428</v>
      </c>
      <c r="Q2937" t="n">
        <v>0.95</v>
      </c>
      <c r="R2937" t="inlineStr">
        <is>
          <t>Sobrestock crítico</t>
        </is>
      </c>
    </row>
    <row r="2938">
      <c r="A2938" t="inlineStr">
        <is>
          <t>MLCMJCA14TM</t>
        </is>
      </c>
      <c r="B2938" t="inlineStr">
        <is>
          <t>MOTION LOOP CLASICA CAB</t>
        </is>
      </c>
      <c r="C2938" t="inlineStr">
        <is>
          <t>Manufactura / Caballero / P. Superiores</t>
        </is>
      </c>
      <c r="D2938" t="n">
        <v>38.11</v>
      </c>
      <c r="E2938" t="n">
        <v>9.330569280086437e-06</v>
      </c>
      <c r="F2938" t="n">
        <v>0.9978948528474164</v>
      </c>
      <c r="G2938" t="inlineStr">
        <is>
          <t>C</t>
        </is>
      </c>
      <c r="H2938" t="n">
        <v>9</v>
      </c>
      <c r="I2938" t="n">
        <v>2.002702703</v>
      </c>
      <c r="J2938" t="n">
        <v>18.024324327</v>
      </c>
      <c r="K2938" t="n">
        <v>0.1</v>
      </c>
      <c r="L2938" t="n">
        <v>90</v>
      </c>
      <c r="M2938" t="n">
        <v>4</v>
      </c>
      <c r="N2938" t="n">
        <v>0.4</v>
      </c>
      <c r="O2938" t="n">
        <v>8.6</v>
      </c>
      <c r="P2938" t="n">
        <v>17.2232432458</v>
      </c>
      <c r="Q2938" t="n">
        <v>0.9555555555555556</v>
      </c>
      <c r="R2938" t="inlineStr">
        <is>
          <t>Sobrestock crítico</t>
        </is>
      </c>
    </row>
    <row r="2939">
      <c r="A2939" t="inlineStr">
        <is>
          <t>SHOUNCA23TS</t>
        </is>
      </c>
      <c r="B2939" t="inlineStr">
        <is>
          <t>SHORT PLAYA CAB</t>
        </is>
      </c>
      <c r="C2939" t="inlineStr">
        <is>
          <t>Manufactura / Caballero / P. Inferiores</t>
        </is>
      </c>
      <c r="D2939" t="n">
        <v>38.05677407</v>
      </c>
      <c r="E2939" t="n">
        <v>9.317537838801682e-06</v>
      </c>
      <c r="F2939" t="n">
        <v>0.9979041703852553</v>
      </c>
      <c r="G2939" t="inlineStr">
        <is>
          <t>C</t>
        </is>
      </c>
      <c r="H2939" t="n">
        <v>0</v>
      </c>
      <c r="I2939" t="n">
        <v>9.99</v>
      </c>
      <c r="J2939" t="n">
        <v>0</v>
      </c>
      <c r="K2939" t="n">
        <v>0.1</v>
      </c>
      <c r="L2939" t="n">
        <v>0</v>
      </c>
      <c r="M2939" t="n">
        <v>4</v>
      </c>
      <c r="N2939" t="n">
        <v>0.4</v>
      </c>
      <c r="O2939" t="n">
        <v>0</v>
      </c>
      <c r="P2939" t="n">
        <v>0</v>
      </c>
      <c r="Q2939" t="n">
        <v>0</v>
      </c>
      <c r="R2939" t="inlineStr">
        <is>
          <t>Sin rotación</t>
        </is>
      </c>
    </row>
    <row r="2940">
      <c r="A2940" t="inlineStr">
        <is>
          <t>CLAMIDA11TXL</t>
        </is>
      </c>
      <c r="B2940" t="inlineStr">
        <is>
          <t>CLASICA ORIGINAL DAMA</t>
        </is>
      </c>
      <c r="C2940" t="inlineStr">
        <is>
          <t>Manufactura / Dama / P. Superiores</t>
        </is>
      </c>
      <c r="D2940" t="n">
        <v>38</v>
      </c>
      <c r="E2940" t="n">
        <v>9.303637697278526e-06</v>
      </c>
      <c r="F2940" t="n">
        <v>0.9979320812983471</v>
      </c>
      <c r="G2940" t="inlineStr">
        <is>
          <t>C</t>
        </is>
      </c>
      <c r="H2940" t="n">
        <v>0</v>
      </c>
      <c r="I2940" t="n">
        <v>3.923227589</v>
      </c>
      <c r="J2940" t="n">
        <v>0</v>
      </c>
      <c r="K2940" t="n">
        <v>0.1</v>
      </c>
      <c r="L2940" t="n">
        <v>0</v>
      </c>
      <c r="M2940" t="n">
        <v>4</v>
      </c>
      <c r="N2940" t="n">
        <v>0.4</v>
      </c>
      <c r="O2940" t="n">
        <v>0</v>
      </c>
      <c r="P2940" t="n">
        <v>0</v>
      </c>
      <c r="Q2940" t="n">
        <v>0</v>
      </c>
      <c r="R2940" t="inlineStr">
        <is>
          <t>Riesgo bajo stock</t>
        </is>
      </c>
    </row>
    <row r="2941">
      <c r="A2941" t="inlineStr">
        <is>
          <t>ZOEMIKI70T6</t>
        </is>
      </c>
      <c r="B2941" t="inlineStr">
        <is>
          <t>ZOE ORIGINAL KIDS</t>
        </is>
      </c>
      <c r="C2941" t="inlineStr">
        <is>
          <t>Manufactura / Kids / P. Superiores</t>
        </is>
      </c>
      <c r="D2941" t="n">
        <v>38</v>
      </c>
      <c r="E2941" t="n">
        <v>9.303637697278526e-06</v>
      </c>
      <c r="F2941" t="n">
        <v>0.9979320812983471</v>
      </c>
      <c r="G2941" t="inlineStr">
        <is>
          <t>C</t>
        </is>
      </c>
      <c r="H2941" t="n">
        <v>12</v>
      </c>
      <c r="I2941" t="n">
        <v>4.12</v>
      </c>
      <c r="J2941" t="n">
        <v>49.44</v>
      </c>
      <c r="K2941" t="n">
        <v>0.1</v>
      </c>
      <c r="L2941" t="n">
        <v>120</v>
      </c>
      <c r="M2941" t="n">
        <v>4</v>
      </c>
      <c r="N2941" t="n">
        <v>0.4</v>
      </c>
      <c r="O2941" t="n">
        <v>11.6</v>
      </c>
      <c r="P2941" t="n">
        <v>47.792</v>
      </c>
      <c r="Q2941" t="n">
        <v>0.9666666666666668</v>
      </c>
      <c r="R2941" t="inlineStr">
        <is>
          <t>Sobrestock crítico</t>
        </is>
      </c>
    </row>
    <row r="2942">
      <c r="A2942" t="inlineStr">
        <is>
          <t>CLAMIDA30TXS</t>
        </is>
      </c>
      <c r="B2942" t="inlineStr">
        <is>
          <t>CLASICA ORIGINAL DAMA</t>
        </is>
      </c>
      <c r="C2942" t="inlineStr">
        <is>
          <t>Manufactura / Dama / P. Superiores</t>
        </is>
      </c>
      <c r="D2942" t="n">
        <v>38</v>
      </c>
      <c r="E2942" t="n">
        <v>9.303637697278526e-06</v>
      </c>
      <c r="F2942" t="n">
        <v>0.9979320812983471</v>
      </c>
      <c r="G2942" t="inlineStr">
        <is>
          <t>C</t>
        </is>
      </c>
      <c r="H2942" t="n">
        <v>17</v>
      </c>
      <c r="I2942" t="n">
        <v>3.923227589</v>
      </c>
      <c r="J2942" t="n">
        <v>66.694869013</v>
      </c>
      <c r="K2942" t="n">
        <v>0.2</v>
      </c>
      <c r="L2942" t="n">
        <v>85</v>
      </c>
      <c r="M2942" t="n">
        <v>4</v>
      </c>
      <c r="N2942" t="n">
        <v>0.8</v>
      </c>
      <c r="O2942" t="n">
        <v>16.2</v>
      </c>
      <c r="P2942" t="n">
        <v>63.5562869418</v>
      </c>
      <c r="Q2942" t="n">
        <v>0.9529411764705882</v>
      </c>
      <c r="R2942" t="inlineStr">
        <is>
          <t>Sobrestock crítico</t>
        </is>
      </c>
    </row>
    <row r="2943">
      <c r="A2943" t="inlineStr">
        <is>
          <t>RIOMIKI52T1</t>
        </is>
      </c>
      <c r="B2943" t="inlineStr">
        <is>
          <t>RIO ORIGINAL KIDS</t>
        </is>
      </c>
      <c r="C2943" t="inlineStr">
        <is>
          <t>Manufactura / Kids / P. Superiores</t>
        </is>
      </c>
      <c r="D2943" t="n">
        <v>37.97289618</v>
      </c>
      <c r="E2943" t="n">
        <v>9.297001799344518e-06</v>
      </c>
      <c r="F2943" t="n">
        <v>0.9979413783001464</v>
      </c>
      <c r="G2943" t="inlineStr">
        <is>
          <t>C</t>
        </is>
      </c>
      <c r="H2943" t="n">
        <v>0</v>
      </c>
      <c r="I2943" t="n">
        <v>3.617969464</v>
      </c>
      <c r="J2943" t="n">
        <v>0</v>
      </c>
      <c r="K2943" t="n">
        <v>0.1</v>
      </c>
      <c r="L2943" t="n">
        <v>0</v>
      </c>
      <c r="M2943" t="n">
        <v>4</v>
      </c>
      <c r="N2943" t="n">
        <v>0.4</v>
      </c>
      <c r="O2943" t="n">
        <v>0</v>
      </c>
      <c r="P2943" t="n">
        <v>0</v>
      </c>
      <c r="Q2943" t="n">
        <v>0</v>
      </c>
      <c r="R2943" t="inlineStr">
        <is>
          <t>Sin rotación</t>
        </is>
      </c>
    </row>
    <row r="2944">
      <c r="A2944" t="inlineStr">
        <is>
          <t>TRISTCA16TL</t>
        </is>
      </c>
      <c r="B2944" t="inlineStr">
        <is>
          <t>RETRO VZLA CAB</t>
        </is>
      </c>
      <c r="C2944" t="inlineStr">
        <is>
          <t>Manufactura / Caballero / P. Superiores</t>
        </is>
      </c>
      <c r="D2944" t="n">
        <v>37.94606367</v>
      </c>
      <c r="E2944" t="n">
        <v>9.290432326935345e-06</v>
      </c>
      <c r="F2944" t="n">
        <v>0.9979506687324734</v>
      </c>
      <c r="G2944" t="inlineStr">
        <is>
          <t>C</t>
        </is>
      </c>
      <c r="H2944" t="n">
        <v>0</v>
      </c>
      <c r="I2944" t="n">
        <v>12.9</v>
      </c>
      <c r="J2944" t="n">
        <v>0</v>
      </c>
      <c r="K2944" t="n">
        <v>0.1</v>
      </c>
      <c r="L2944" t="n">
        <v>0</v>
      </c>
      <c r="M2944" t="n">
        <v>4</v>
      </c>
      <c r="N2944" t="n">
        <v>0.4</v>
      </c>
      <c r="O2944" t="n">
        <v>0</v>
      </c>
      <c r="P2944" t="n">
        <v>0</v>
      </c>
      <c r="Q2944" t="n">
        <v>0</v>
      </c>
      <c r="R2944" t="inlineStr">
        <is>
          <t>Sin rotación</t>
        </is>
      </c>
    </row>
    <row r="2945">
      <c r="A2945" t="inlineStr">
        <is>
          <t>MANMIGE05TP</t>
        </is>
      </c>
      <c r="B2945" t="inlineStr">
        <is>
          <t>MANGAS GENERAL</t>
        </is>
      </c>
      <c r="C2945" t="inlineStr">
        <is>
          <t>Manufactura / General</t>
        </is>
      </c>
      <c r="D2945" t="n">
        <v>37.94524664</v>
      </c>
      <c r="E2945" t="n">
        <v>9.290232291379876e-06</v>
      </c>
      <c r="F2945" t="n">
        <v>0.9979599589647646</v>
      </c>
      <c r="G2945" t="inlineStr">
        <is>
          <t>C</t>
        </is>
      </c>
      <c r="H2945" t="n">
        <v>12</v>
      </c>
      <c r="I2945" t="n">
        <v>0.92</v>
      </c>
      <c r="J2945" t="n">
        <v>11.04</v>
      </c>
      <c r="K2945" t="n">
        <v>0.2</v>
      </c>
      <c r="L2945" t="n">
        <v>60</v>
      </c>
      <c r="M2945" t="n">
        <v>4</v>
      </c>
      <c r="N2945" t="n">
        <v>0.8</v>
      </c>
      <c r="O2945" t="n">
        <v>11.2</v>
      </c>
      <c r="P2945" t="n">
        <v>10.304</v>
      </c>
      <c r="Q2945" t="n">
        <v>0.9333333333333332</v>
      </c>
      <c r="R2945" t="inlineStr">
        <is>
          <t>Sin rotación</t>
        </is>
      </c>
    </row>
    <row r="2946">
      <c r="A2946" t="inlineStr">
        <is>
          <t>CLAMIKI30T8</t>
        </is>
      </c>
      <c r="B2946" t="inlineStr">
        <is>
          <t>CLASICA ORIGINAL KIDS</t>
        </is>
      </c>
      <c r="C2946" t="inlineStr">
        <is>
          <t>Manufactura / Kids / P. Superiores</t>
        </is>
      </c>
      <c r="D2946" t="n">
        <v>37.94306935</v>
      </c>
      <c r="E2946" t="n">
        <v>9.289699219871405e-06</v>
      </c>
      <c r="F2946" t="n">
        <v>0.9979692486639845</v>
      </c>
      <c r="G2946" t="inlineStr">
        <is>
          <t>C</t>
        </is>
      </c>
      <c r="H2946" t="n">
        <v>1</v>
      </c>
      <c r="I2946" t="n">
        <v>2.053774806</v>
      </c>
      <c r="J2946" t="n">
        <v>2.053774806</v>
      </c>
      <c r="K2946" t="n">
        <v>0.1</v>
      </c>
      <c r="L2946" t="n">
        <v>10</v>
      </c>
      <c r="M2946" t="n">
        <v>4</v>
      </c>
      <c r="N2946" t="n">
        <v>0.4</v>
      </c>
      <c r="O2946" t="n">
        <v>0.6</v>
      </c>
      <c r="P2946" t="n">
        <v>1.2322648836</v>
      </c>
      <c r="Q2946" t="n">
        <v>0.6</v>
      </c>
      <c r="R2946" t="inlineStr">
        <is>
          <t>Sobrestock crítico</t>
        </is>
      </c>
    </row>
    <row r="2947">
      <c r="A2947" t="inlineStr">
        <is>
          <t>SHONTDA33TXL</t>
        </is>
      </c>
      <c r="B2947" t="inlineStr">
        <is>
          <t>EXPLORE SHORT DAMA</t>
        </is>
      </c>
      <c r="C2947" t="inlineStr">
        <is>
          <t>Manufactura / Dama / P. Inferiores</t>
        </is>
      </c>
      <c r="D2947" t="n">
        <v>37.93</v>
      </c>
      <c r="E2947" t="n">
        <v>9.286499417309856e-06</v>
      </c>
      <c r="F2947" t="n">
        <v>0.9979878216628191</v>
      </c>
      <c r="G2947" t="inlineStr">
        <is>
          <t>C</t>
        </is>
      </c>
      <c r="H2947" t="n">
        <v>16</v>
      </c>
      <c r="I2947" t="n">
        <v>10.22113744</v>
      </c>
      <c r="J2947" t="n">
        <v>163.53819904</v>
      </c>
      <c r="K2947" t="n">
        <v>0.1</v>
      </c>
      <c r="L2947" t="n">
        <v>160</v>
      </c>
      <c r="M2947" t="n">
        <v>4</v>
      </c>
      <c r="N2947" t="n">
        <v>0.4</v>
      </c>
      <c r="O2947" t="n">
        <v>15.6</v>
      </c>
      <c r="P2947" t="n">
        <v>159.449744064</v>
      </c>
      <c r="Q2947" t="n">
        <v>0.975</v>
      </c>
      <c r="R2947" t="inlineStr">
        <is>
          <t>Sobrestock crítico</t>
        </is>
      </c>
    </row>
    <row r="2948">
      <c r="A2948" t="inlineStr">
        <is>
          <t>MLMMJDA14TXL</t>
        </is>
      </c>
      <c r="B2948" t="inlineStr">
        <is>
          <t>MOTION LOOP MAFE DAMA</t>
        </is>
      </c>
      <c r="C2948" t="inlineStr">
        <is>
          <t>Manufactura / Dama / P. Superiores</t>
        </is>
      </c>
      <c r="D2948" t="n">
        <v>37.93</v>
      </c>
      <c r="E2948" t="n">
        <v>9.286499417309856e-06</v>
      </c>
      <c r="F2948" t="n">
        <v>0.9979878216628191</v>
      </c>
      <c r="G2948" t="inlineStr">
        <is>
          <t>C</t>
        </is>
      </c>
      <c r="H2948" t="n">
        <v>0</v>
      </c>
      <c r="I2948" t="n">
        <v>0.2661111111</v>
      </c>
      <c r="J2948" t="n">
        <v>0</v>
      </c>
      <c r="K2948" t="n">
        <v>0.1</v>
      </c>
      <c r="L2948" t="n">
        <v>0</v>
      </c>
      <c r="M2948" t="n">
        <v>4</v>
      </c>
      <c r="N2948" t="n">
        <v>0.4</v>
      </c>
      <c r="O2948" t="n">
        <v>0</v>
      </c>
      <c r="P2948" t="n">
        <v>0</v>
      </c>
      <c r="Q2948" t="n">
        <v>0</v>
      </c>
      <c r="R2948" t="inlineStr">
        <is>
          <t>Riesgo bajo stock</t>
        </is>
      </c>
    </row>
    <row r="2949">
      <c r="A2949" t="inlineStr">
        <is>
          <t>MARMICA48TL</t>
        </is>
      </c>
      <c r="B2949" t="inlineStr">
        <is>
          <t>MAR ORIGINAL CAB</t>
        </is>
      </c>
      <c r="C2949" t="inlineStr">
        <is>
          <t>Manufactura / Caballero / P. Superiores</t>
        </is>
      </c>
      <c r="D2949" t="n">
        <v>37.79378002</v>
      </c>
      <c r="E2949" t="n">
        <v>9.253148329387472e-06</v>
      </c>
      <c r="F2949" t="n">
        <v>0.9979970748111485</v>
      </c>
      <c r="G2949" t="inlineStr">
        <is>
          <t>C</t>
        </is>
      </c>
      <c r="H2949" t="n">
        <v>0</v>
      </c>
      <c r="I2949" t="n">
        <v>4.946357428</v>
      </c>
      <c r="J2949" t="n">
        <v>0</v>
      </c>
      <c r="K2949" t="n">
        <v>1</v>
      </c>
      <c r="L2949" t="n">
        <v>0</v>
      </c>
      <c r="M2949" t="n">
        <v>4</v>
      </c>
      <c r="N2949" t="n">
        <v>4</v>
      </c>
      <c r="O2949" t="n">
        <v>0</v>
      </c>
      <c r="P2949" t="n">
        <v>0</v>
      </c>
      <c r="Q2949" t="n">
        <v>0</v>
      </c>
      <c r="R2949" t="inlineStr">
        <is>
          <t>Riesgo bajo stock</t>
        </is>
      </c>
    </row>
    <row r="2950">
      <c r="A2950" t="inlineStr">
        <is>
          <t>MARMIKI14T2</t>
        </is>
      </c>
      <c r="B2950" t="inlineStr">
        <is>
          <t>MAR ORIGINAL KIDS</t>
        </is>
      </c>
      <c r="C2950" t="inlineStr">
        <is>
          <t>Manufactura / Kids / P. Superiores</t>
        </is>
      </c>
      <c r="D2950" t="n">
        <v>37.68016596</v>
      </c>
      <c r="E2950" t="n">
        <v>9.22533190697808e-06</v>
      </c>
      <c r="F2950" t="n">
        <v>0.9980063001430555</v>
      </c>
      <c r="G2950" t="inlineStr">
        <is>
          <t>C</t>
        </is>
      </c>
      <c r="H2950" t="n">
        <v>0</v>
      </c>
      <c r="I2950" t="n">
        <v>3.168013332</v>
      </c>
      <c r="J2950" t="n">
        <v>0</v>
      </c>
      <c r="K2950" t="n">
        <v>0.1</v>
      </c>
      <c r="L2950" t="n">
        <v>0</v>
      </c>
      <c r="M2950" t="n">
        <v>4</v>
      </c>
      <c r="N2950" t="n">
        <v>0.4</v>
      </c>
      <c r="O2950" t="n">
        <v>0</v>
      </c>
      <c r="P2950" t="n">
        <v>0</v>
      </c>
      <c r="Q2950" t="n">
        <v>0</v>
      </c>
      <c r="R2950" t="inlineStr">
        <is>
          <t>Sin rotación</t>
        </is>
      </c>
    </row>
    <row r="2951">
      <c r="A2951" t="inlineStr">
        <is>
          <t>ANMSUDA152TXL</t>
        </is>
      </c>
      <c r="B2951" t="inlineStr">
        <is>
          <t>ANDRE MOTION DAMA</t>
        </is>
      </c>
      <c r="C2951" t="inlineStr">
        <is>
          <t>Manufactura / Dama / P. Superiores</t>
        </is>
      </c>
      <c r="D2951" t="n">
        <v>37.56466964</v>
      </c>
      <c r="E2951" t="n">
        <v>9.197054646013634e-06</v>
      </c>
      <c r="F2951" t="n">
        <v>0.9980154971977016</v>
      </c>
      <c r="G2951" t="inlineStr">
        <is>
          <t>C</t>
        </is>
      </c>
      <c r="H2951" t="n">
        <v>12</v>
      </c>
      <c r="I2951" t="n">
        <v>10.6</v>
      </c>
      <c r="J2951" t="n">
        <v>127.2</v>
      </c>
      <c r="K2951" t="n">
        <v>0.1</v>
      </c>
      <c r="L2951" t="n">
        <v>120</v>
      </c>
      <c r="M2951" t="n">
        <v>4</v>
      </c>
      <c r="N2951" t="n">
        <v>0.4</v>
      </c>
      <c r="O2951" t="n">
        <v>11.6</v>
      </c>
      <c r="P2951" t="n">
        <v>122.96</v>
      </c>
      <c r="Q2951" t="n">
        <v>0.9666666666666667</v>
      </c>
      <c r="R2951" t="inlineStr">
        <is>
          <t>Sobrestock crítico</t>
        </is>
      </c>
    </row>
    <row r="2952">
      <c r="A2952" t="inlineStr">
        <is>
          <t>BAN43EL</t>
        </is>
      </c>
      <c r="B2952" t="inlineStr">
        <is>
          <t>CUADRO BAND ELASTIC</t>
        </is>
      </c>
      <c r="C2952" t="inlineStr">
        <is>
          <t>Equipamiento / Accesorios</t>
        </is>
      </c>
      <c r="D2952" t="n">
        <v>37.540696184</v>
      </c>
      <c r="E2952" t="n">
        <v>9.191185163145856e-06</v>
      </c>
      <c r="F2952" t="n">
        <v>0.9980246883828646</v>
      </c>
      <c r="G2952" t="inlineStr">
        <is>
          <t>C</t>
        </is>
      </c>
      <c r="H2952" t="n">
        <v>33</v>
      </c>
      <c r="I2952" t="n">
        <v>0.3</v>
      </c>
      <c r="J2952" t="n">
        <v>9.9</v>
      </c>
      <c r="K2952" t="n">
        <v>1.5</v>
      </c>
      <c r="L2952" t="n">
        <v>22</v>
      </c>
      <c r="M2952" t="n">
        <v>4</v>
      </c>
      <c r="N2952" t="n">
        <v>6</v>
      </c>
      <c r="O2952" t="n">
        <v>27</v>
      </c>
      <c r="P2952" t="n">
        <v>8.1</v>
      </c>
      <c r="Q2952" t="n">
        <v>0.8181818181818181</v>
      </c>
      <c r="R2952" t="inlineStr">
        <is>
          <t>Sobrestock crítico</t>
        </is>
      </c>
    </row>
    <row r="2953">
      <c r="A2953" t="inlineStr">
        <is>
          <t>SHONRCA66T4XL</t>
        </is>
      </c>
      <c r="B2953" t="inlineStr">
        <is>
          <t>SHORT SPORT CAB</t>
        </is>
      </c>
      <c r="C2953" t="inlineStr">
        <is>
          <t>Manufactura / Caballero / P. Inferiores</t>
        </is>
      </c>
      <c r="D2953" t="n">
        <v>37.21106945</v>
      </c>
      <c r="E2953" t="n">
        <v>9.110481802396559e-06</v>
      </c>
      <c r="F2953" t="n">
        <v>0.998033798864667</v>
      </c>
      <c r="G2953" t="inlineStr">
        <is>
          <t>C</t>
        </is>
      </c>
      <c r="H2953" t="n">
        <v>0</v>
      </c>
      <c r="I2953" t="n">
        <v>10.6514486</v>
      </c>
      <c r="J2953" t="n">
        <v>0</v>
      </c>
      <c r="K2953" t="n">
        <v>0.1</v>
      </c>
      <c r="L2953" t="n">
        <v>0</v>
      </c>
      <c r="M2953" t="n">
        <v>4</v>
      </c>
      <c r="N2953" t="n">
        <v>0.4</v>
      </c>
      <c r="O2953" t="n">
        <v>0</v>
      </c>
      <c r="P2953" t="n">
        <v>0</v>
      </c>
      <c r="Q2953" t="n">
        <v>0</v>
      </c>
      <c r="R2953" t="inlineStr">
        <is>
          <t>Sin rotación</t>
        </is>
      </c>
    </row>
    <row r="2954">
      <c r="A2954" t="inlineStr">
        <is>
          <t>LARIMJDA43TXL</t>
        </is>
      </c>
      <c r="B2954" t="inlineStr">
        <is>
          <t>LARISA ORIGINAL DAMA</t>
        </is>
      </c>
      <c r="C2954" t="inlineStr">
        <is>
          <t>Manufactura / Dama / P. Superiores</t>
        </is>
      </c>
      <c r="D2954" t="n">
        <v>37.07</v>
      </c>
      <c r="E2954" t="n">
        <v>9.075943406266183e-06</v>
      </c>
      <c r="F2954" t="n">
        <v>0.9980519507514797</v>
      </c>
      <c r="G2954" t="inlineStr">
        <is>
          <t>C</t>
        </is>
      </c>
      <c r="H2954" t="n">
        <v>15</v>
      </c>
      <c r="I2954" t="n">
        <v>1.765998491</v>
      </c>
      <c r="J2954" t="n">
        <v>26.489977365</v>
      </c>
      <c r="K2954" t="n">
        <v>0.1</v>
      </c>
      <c r="L2954" t="n">
        <v>150</v>
      </c>
      <c r="M2954" t="n">
        <v>4</v>
      </c>
      <c r="N2954" t="n">
        <v>0.4</v>
      </c>
      <c r="O2954" t="n">
        <v>14.6</v>
      </c>
      <c r="P2954" t="n">
        <v>25.7835779686</v>
      </c>
      <c r="Q2954" t="n">
        <v>0.9733333333333334</v>
      </c>
      <c r="R2954" t="inlineStr">
        <is>
          <t>Sobrestock crítico</t>
        </is>
      </c>
    </row>
    <row r="2955">
      <c r="A2955" t="inlineStr">
        <is>
          <t>LARIMJDA12TL</t>
        </is>
      </c>
      <c r="B2955" t="inlineStr">
        <is>
          <t>LARISA ORIGINAL DAMA</t>
        </is>
      </c>
      <c r="C2955" t="inlineStr">
        <is>
          <t>Manufactura / Dama / P. Superiores</t>
        </is>
      </c>
      <c r="D2955" t="n">
        <v>37.07</v>
      </c>
      <c r="E2955" t="n">
        <v>9.075943406266183e-06</v>
      </c>
      <c r="F2955" t="n">
        <v>0.9980519507514797</v>
      </c>
      <c r="G2955" t="inlineStr">
        <is>
          <t>C</t>
        </is>
      </c>
      <c r="H2955" t="n">
        <v>15</v>
      </c>
      <c r="I2955" t="n">
        <v>1.765998491</v>
      </c>
      <c r="J2955" t="n">
        <v>26.489977365</v>
      </c>
      <c r="K2955" t="n">
        <v>0.1</v>
      </c>
      <c r="L2955" t="n">
        <v>150</v>
      </c>
      <c r="M2955" t="n">
        <v>4</v>
      </c>
      <c r="N2955" t="n">
        <v>0.4</v>
      </c>
      <c r="O2955" t="n">
        <v>14.6</v>
      </c>
      <c r="P2955" t="n">
        <v>25.7835779686</v>
      </c>
      <c r="Q2955" t="n">
        <v>0.9733333333333334</v>
      </c>
      <c r="R2955" t="inlineStr">
        <is>
          <t>Sobrestock crítico</t>
        </is>
      </c>
    </row>
    <row r="2956">
      <c r="A2956" t="inlineStr">
        <is>
          <t>CLAMIKI13T10</t>
        </is>
      </c>
      <c r="B2956" t="inlineStr">
        <is>
          <t>CLASICA ORIGINAL KIDS</t>
        </is>
      </c>
      <c r="C2956" t="inlineStr">
        <is>
          <t>Manufactura / Kids / P. Superiores</t>
        </is>
      </c>
      <c r="D2956" t="n">
        <v>37</v>
      </c>
      <c r="E2956" t="n">
        <v>9.058805126297512e-06</v>
      </c>
      <c r="F2956" t="n">
        <v>0.9980610095566059</v>
      </c>
      <c r="G2956" t="inlineStr">
        <is>
          <t>C</t>
        </is>
      </c>
      <c r="H2956" t="n">
        <v>3</v>
      </c>
      <c r="I2956" t="n">
        <v>2.053774806</v>
      </c>
      <c r="J2956" t="n">
        <v>6.161324418</v>
      </c>
      <c r="K2956" t="n">
        <v>0.3</v>
      </c>
      <c r="L2956" t="n">
        <v>10</v>
      </c>
      <c r="M2956" t="n">
        <v>4</v>
      </c>
      <c r="N2956" t="n">
        <v>1.2</v>
      </c>
      <c r="O2956" t="n">
        <v>1.8</v>
      </c>
      <c r="P2956" t="n">
        <v>3.6967946508</v>
      </c>
      <c r="Q2956" t="n">
        <v>0.6</v>
      </c>
      <c r="R2956" t="inlineStr">
        <is>
          <t>Sobrestock crítico</t>
        </is>
      </c>
    </row>
    <row r="2957">
      <c r="A2957" t="inlineStr">
        <is>
          <t>WAVSTKI16T6</t>
        </is>
      </c>
      <c r="B2957" t="inlineStr">
        <is>
          <t>CLASICA RETRO 2.0 KIDS</t>
        </is>
      </c>
      <c r="C2957" t="inlineStr">
        <is>
          <t>Manufactura / Kids / P. Superiores</t>
        </is>
      </c>
      <c r="D2957" t="n">
        <v>36.9658929</v>
      </c>
      <c r="E2957" t="n">
        <v>9.050454597315805e-06</v>
      </c>
      <c r="F2957" t="n">
        <v>0.9980700600112032</v>
      </c>
      <c r="G2957" t="inlineStr">
        <is>
          <t>C</t>
        </is>
      </c>
      <c r="H2957" t="n">
        <v>0</v>
      </c>
      <c r="I2957" t="n">
        <v>1</v>
      </c>
      <c r="J2957" t="n">
        <v>0</v>
      </c>
      <c r="K2957" t="n">
        <v>0.1</v>
      </c>
      <c r="L2957" t="n">
        <v>0</v>
      </c>
      <c r="M2957" t="n">
        <v>4</v>
      </c>
      <c r="N2957" t="n">
        <v>0.4</v>
      </c>
      <c r="O2957" t="n">
        <v>0</v>
      </c>
      <c r="P2957" t="n">
        <v>0</v>
      </c>
      <c r="Q2957" t="n">
        <v>0</v>
      </c>
      <c r="R2957" t="inlineStr">
        <is>
          <t>Riesgo bajo stock</t>
        </is>
      </c>
    </row>
    <row r="2958">
      <c r="A2958" t="inlineStr">
        <is>
          <t>EXPSTKI16T8</t>
        </is>
      </c>
      <c r="B2958" t="inlineStr">
        <is>
          <t>CLASICA RETRO 2.0 KIDS</t>
        </is>
      </c>
      <c r="C2958" t="inlineStr">
        <is>
          <t>Manufactura / Kids / P. Superiores</t>
        </is>
      </c>
      <c r="D2958" t="n">
        <v>36.9646123</v>
      </c>
      <c r="E2958" t="n">
        <v>9.050141064725406e-06</v>
      </c>
      <c r="F2958" t="n">
        <v>0.9980791101522679</v>
      </c>
      <c r="G2958" t="inlineStr">
        <is>
          <t>C</t>
        </is>
      </c>
      <c r="H2958" t="n">
        <v>0</v>
      </c>
      <c r="I2958" t="n">
        <v>1</v>
      </c>
      <c r="J2958" t="n">
        <v>0</v>
      </c>
      <c r="K2958" t="n">
        <v>0.1</v>
      </c>
      <c r="L2958" t="n">
        <v>0</v>
      </c>
      <c r="M2958" t="n">
        <v>4</v>
      </c>
      <c r="N2958" t="n">
        <v>0.4</v>
      </c>
      <c r="O2958" t="n">
        <v>0</v>
      </c>
      <c r="P2958" t="n">
        <v>0</v>
      </c>
      <c r="Q2958" t="n">
        <v>0</v>
      </c>
      <c r="R2958" t="inlineStr">
        <is>
          <t>Riesgo bajo stock</t>
        </is>
      </c>
    </row>
    <row r="2959">
      <c r="A2959" t="inlineStr">
        <is>
          <t>P02</t>
        </is>
      </c>
      <c r="B2959" t="inlineStr">
        <is>
          <t>PARCHES</t>
        </is>
      </c>
      <c r="C2959" t="inlineStr">
        <is>
          <t>Equipamiento / Accesorios</t>
        </is>
      </c>
      <c r="D2959" t="n">
        <v>36.941851338</v>
      </c>
      <c r="E2959" t="n">
        <v>9.044568439880946e-06</v>
      </c>
      <c r="F2959" t="n">
        <v>0.9980881547207078</v>
      </c>
      <c r="G2959" t="inlineStr">
        <is>
          <t>C</t>
        </is>
      </c>
      <c r="H2959" t="n">
        <v>14</v>
      </c>
      <c r="I2959" t="n">
        <v>0.98</v>
      </c>
      <c r="J2959" t="n">
        <v>13.72</v>
      </c>
      <c r="K2959" t="n">
        <v>0.7</v>
      </c>
      <c r="L2959" t="n">
        <v>20</v>
      </c>
      <c r="M2959" t="n">
        <v>4</v>
      </c>
      <c r="N2959" t="n">
        <v>2.8</v>
      </c>
      <c r="O2959" t="n">
        <v>11.2</v>
      </c>
      <c r="P2959" t="n">
        <v>10.976</v>
      </c>
      <c r="Q2959" t="n">
        <v>0.8</v>
      </c>
      <c r="R2959" t="inlineStr">
        <is>
          <t>Sobrestock crítico</t>
        </is>
      </c>
    </row>
    <row r="2960">
      <c r="A2960" t="inlineStr">
        <is>
          <t>CLMSUCA15TS</t>
        </is>
      </c>
      <c r="B2960" t="inlineStr">
        <is>
          <t>CLASICA MOTION CAB</t>
        </is>
      </c>
      <c r="C2960" t="inlineStr">
        <is>
          <t>Manufactura / Caballero / P. Superiores</t>
        </is>
      </c>
      <c r="D2960" t="n">
        <v>36.90097938</v>
      </c>
      <c r="E2960" t="n">
        <v>9.034561653322778e-06</v>
      </c>
      <c r="F2960" t="n">
        <v>0.9980971892823611</v>
      </c>
      <c r="G2960" t="inlineStr">
        <is>
          <t>C</t>
        </is>
      </c>
      <c r="H2960" t="n">
        <v>1</v>
      </c>
      <c r="I2960" t="n">
        <v>12.26</v>
      </c>
      <c r="J2960" t="n">
        <v>12.26</v>
      </c>
      <c r="K2960" t="n">
        <v>0.1</v>
      </c>
      <c r="L2960" t="n">
        <v>10</v>
      </c>
      <c r="M2960" t="n">
        <v>4</v>
      </c>
      <c r="N2960" t="n">
        <v>0.4</v>
      </c>
      <c r="O2960" t="n">
        <v>0.6</v>
      </c>
      <c r="P2960" t="n">
        <v>7.356</v>
      </c>
      <c r="Q2960" t="n">
        <v>0.6</v>
      </c>
      <c r="R2960" t="inlineStr">
        <is>
          <t>Sobrestock crítico</t>
        </is>
      </c>
    </row>
    <row r="2961">
      <c r="A2961" t="inlineStr">
        <is>
          <t>CLAMEDA13TXL</t>
        </is>
      </c>
      <c r="B2961" t="inlineStr">
        <is>
          <t>CLÁSICA SPORT DAMA</t>
        </is>
      </c>
      <c r="C2961" t="inlineStr">
        <is>
          <t>Manufactura / Dama / P. Superiores</t>
        </is>
      </c>
      <c r="D2961" t="n">
        <v>36.78871651</v>
      </c>
      <c r="E2961" t="n">
        <v>9.007076046234971e-06</v>
      </c>
      <c r="F2961" t="n">
        <v>0.9981152034344536</v>
      </c>
      <c r="G2961" t="inlineStr">
        <is>
          <t>C</t>
        </is>
      </c>
      <c r="H2961" t="n">
        <v>0</v>
      </c>
      <c r="I2961" t="n">
        <v>6.536105769</v>
      </c>
      <c r="J2961" t="n">
        <v>0</v>
      </c>
      <c r="K2961" t="n">
        <v>0.1</v>
      </c>
      <c r="L2961" t="n">
        <v>0</v>
      </c>
      <c r="M2961" t="n">
        <v>4</v>
      </c>
      <c r="N2961" t="n">
        <v>0.4</v>
      </c>
      <c r="O2961" t="n">
        <v>0</v>
      </c>
      <c r="P2961" t="n">
        <v>0</v>
      </c>
      <c r="Q2961" t="n">
        <v>0</v>
      </c>
      <c r="R2961" t="inlineStr">
        <is>
          <t>Sin rotación</t>
        </is>
      </c>
    </row>
    <row r="2962">
      <c r="A2962" t="inlineStr">
        <is>
          <t>CLAMIDA04TM</t>
        </is>
      </c>
      <c r="B2962" t="inlineStr">
        <is>
          <t>CLASICA ORIGINAL DAMA</t>
        </is>
      </c>
      <c r="C2962" t="inlineStr">
        <is>
          <t>Manufactura / Dama / P. Superiores</t>
        </is>
      </c>
      <c r="D2962" t="n">
        <v>36.78871651</v>
      </c>
      <c r="E2962" t="n">
        <v>9.007076046234971e-06</v>
      </c>
      <c r="F2962" t="n">
        <v>0.9981152034344536</v>
      </c>
      <c r="G2962" t="inlineStr">
        <is>
          <t>C</t>
        </is>
      </c>
      <c r="H2962" t="n">
        <v>1</v>
      </c>
      <c r="I2962" t="n">
        <v>3.923227589</v>
      </c>
      <c r="J2962" t="n">
        <v>3.923227589</v>
      </c>
      <c r="K2962" t="n">
        <v>0.1</v>
      </c>
      <c r="L2962" t="n">
        <v>10</v>
      </c>
      <c r="M2962" t="n">
        <v>4</v>
      </c>
      <c r="N2962" t="n">
        <v>0.4</v>
      </c>
      <c r="O2962" t="n">
        <v>0.6</v>
      </c>
      <c r="P2962" t="n">
        <v>2.3539365534</v>
      </c>
      <c r="Q2962" t="n">
        <v>0.6</v>
      </c>
      <c r="R2962" t="inlineStr">
        <is>
          <t>Sin rotación</t>
        </is>
      </c>
    </row>
    <row r="2963">
      <c r="A2963" t="inlineStr">
        <is>
          <t>ZOEMIDA28TXS</t>
        </is>
      </c>
      <c r="B2963" t="inlineStr">
        <is>
          <t>ZOE ORIGINAL DAMA</t>
        </is>
      </c>
      <c r="C2963" t="inlineStr">
        <is>
          <t>Manufactura / Dama / P. Superiores</t>
        </is>
      </c>
      <c r="D2963" t="n">
        <v>36.74537747</v>
      </c>
      <c r="E2963" t="n">
        <v>8.996465237647921e-06</v>
      </c>
      <c r="F2963" t="n">
        <v>0.9981421928301666</v>
      </c>
      <c r="G2963" t="inlineStr">
        <is>
          <t>C</t>
        </is>
      </c>
      <c r="H2963" t="n">
        <v>0</v>
      </c>
      <c r="I2963" t="n">
        <v>4.116585696</v>
      </c>
      <c r="J2963" t="n">
        <v>0</v>
      </c>
      <c r="K2963" t="n">
        <v>0.1</v>
      </c>
      <c r="L2963" t="n">
        <v>0</v>
      </c>
      <c r="M2963" t="n">
        <v>4</v>
      </c>
      <c r="N2963" t="n">
        <v>0.4</v>
      </c>
      <c r="O2963" t="n">
        <v>0</v>
      </c>
      <c r="P2963" t="n">
        <v>0</v>
      </c>
      <c r="Q2963" t="n">
        <v>0</v>
      </c>
      <c r="R2963" t="inlineStr">
        <is>
          <t>Sin rotación</t>
        </is>
      </c>
    </row>
    <row r="2964">
      <c r="A2964" t="inlineStr">
        <is>
          <t>MARMIKI24T8</t>
        </is>
      </c>
      <c r="B2964" t="inlineStr">
        <is>
          <t>MAR ORIGINAL KIDS</t>
        </is>
      </c>
      <c r="C2964" t="inlineStr">
        <is>
          <t>Manufactura / Kids / P. Superiores</t>
        </is>
      </c>
      <c r="D2964" t="n">
        <v>36.74537747</v>
      </c>
      <c r="E2964" t="n">
        <v>8.996465237647921e-06</v>
      </c>
      <c r="F2964" t="n">
        <v>0.9981421928301666</v>
      </c>
      <c r="G2964" t="inlineStr">
        <is>
          <t>C</t>
        </is>
      </c>
      <c r="H2964" t="n">
        <v>0</v>
      </c>
      <c r="I2964" t="n">
        <v>3.168013332</v>
      </c>
      <c r="J2964" t="n">
        <v>0</v>
      </c>
      <c r="K2964" t="n">
        <v>0.1</v>
      </c>
      <c r="L2964" t="n">
        <v>0</v>
      </c>
      <c r="M2964" t="n">
        <v>4</v>
      </c>
      <c r="N2964" t="n">
        <v>0.4</v>
      </c>
      <c r="O2964" t="n">
        <v>0</v>
      </c>
      <c r="P2964" t="n">
        <v>0</v>
      </c>
      <c r="Q2964" t="n">
        <v>0</v>
      </c>
      <c r="R2964" t="inlineStr">
        <is>
          <t>Sin rotación</t>
        </is>
      </c>
    </row>
    <row r="2965">
      <c r="A2965" t="inlineStr">
        <is>
          <t>MARMIKI24T6</t>
        </is>
      </c>
      <c r="B2965" t="inlineStr">
        <is>
          <t>MAR ORIGINAL KIDS</t>
        </is>
      </c>
      <c r="C2965" t="inlineStr">
        <is>
          <t>Manufactura / Kids / P. Superiores</t>
        </is>
      </c>
      <c r="D2965" t="n">
        <v>36.74537747</v>
      </c>
      <c r="E2965" t="n">
        <v>8.996465237647921e-06</v>
      </c>
      <c r="F2965" t="n">
        <v>0.9981421928301666</v>
      </c>
      <c r="G2965" t="inlineStr">
        <is>
          <t>C</t>
        </is>
      </c>
      <c r="H2965" t="n">
        <v>0</v>
      </c>
      <c r="I2965" t="n">
        <v>3.168013332</v>
      </c>
      <c r="J2965" t="n">
        <v>0</v>
      </c>
      <c r="K2965" t="n">
        <v>0.2</v>
      </c>
      <c r="L2965" t="n">
        <v>0</v>
      </c>
      <c r="M2965" t="n">
        <v>4</v>
      </c>
      <c r="N2965" t="n">
        <v>0.8</v>
      </c>
      <c r="O2965" t="n">
        <v>0</v>
      </c>
      <c r="P2965" t="n">
        <v>0</v>
      </c>
      <c r="Q2965" t="n">
        <v>0</v>
      </c>
      <c r="R2965" t="inlineStr">
        <is>
          <t>Riesgo bajo stock</t>
        </is>
      </c>
    </row>
    <row r="2966">
      <c r="A2966" t="inlineStr">
        <is>
          <t>CLAMICA48TXL</t>
        </is>
      </c>
      <c r="B2966" t="inlineStr">
        <is>
          <t>CLASICA ORIGINAL CAB</t>
        </is>
      </c>
      <c r="C2966" t="inlineStr">
        <is>
          <t>Manufactura / Caballero / P. Superiores</t>
        </is>
      </c>
      <c r="D2966" t="n">
        <v>36.70929422</v>
      </c>
      <c r="E2966" t="n">
        <v>8.98763088278107e-06</v>
      </c>
      <c r="F2966" t="n">
        <v>0.9981511804610494</v>
      </c>
      <c r="G2966" t="inlineStr">
        <is>
          <t>C</t>
        </is>
      </c>
      <c r="H2966" t="n">
        <v>5</v>
      </c>
      <c r="I2966" t="n">
        <v>4.598442536</v>
      </c>
      <c r="J2966" t="n">
        <v>22.99221268</v>
      </c>
      <c r="K2966" t="n">
        <v>0.1</v>
      </c>
      <c r="L2966" t="n">
        <v>50</v>
      </c>
      <c r="M2966" t="n">
        <v>4</v>
      </c>
      <c r="N2966" t="n">
        <v>0.4</v>
      </c>
      <c r="O2966" t="n">
        <v>4.6</v>
      </c>
      <c r="P2966" t="n">
        <v>21.1528356656</v>
      </c>
      <c r="Q2966" t="n">
        <v>0.92</v>
      </c>
      <c r="R2966" t="inlineStr">
        <is>
          <t>Sin rotación</t>
        </is>
      </c>
    </row>
    <row r="2967">
      <c r="A2967" t="inlineStr">
        <is>
          <t>DAMSTKI43T4</t>
        </is>
      </c>
      <c r="B2967" t="inlineStr">
        <is>
          <t>MANGA LARGA DAILY KIDS</t>
        </is>
      </c>
      <c r="C2967" t="inlineStr">
        <is>
          <t>Manufactura / Kids / P. Superiores</t>
        </is>
      </c>
      <c r="D2967" t="n">
        <v>36.43723616</v>
      </c>
      <c r="E2967" t="n">
        <v>8.921022208495163e-06</v>
      </c>
      <c r="F2967" t="n">
        <v>0.9981601014832578</v>
      </c>
      <c r="G2967" t="inlineStr">
        <is>
          <t>C</t>
        </is>
      </c>
      <c r="H2967" t="n">
        <v>0</v>
      </c>
      <c r="I2967" t="n">
        <v>10.1</v>
      </c>
      <c r="J2967" t="n">
        <v>0</v>
      </c>
      <c r="K2967" t="n">
        <v>0.2</v>
      </c>
      <c r="L2967" t="n">
        <v>0</v>
      </c>
      <c r="M2967" t="n">
        <v>4</v>
      </c>
      <c r="N2967" t="n">
        <v>0.8</v>
      </c>
      <c r="O2967" t="n">
        <v>0</v>
      </c>
      <c r="P2967" t="n">
        <v>0</v>
      </c>
      <c r="Q2967" t="n">
        <v>0</v>
      </c>
      <c r="R2967" t="inlineStr">
        <is>
          <t>Sin rotación</t>
        </is>
      </c>
    </row>
    <row r="2968">
      <c r="A2968" t="inlineStr">
        <is>
          <t>MLCMJCA12TL</t>
        </is>
      </c>
      <c r="B2968" t="inlineStr">
        <is>
          <t>MOTION LOOP CLASICA CAB</t>
        </is>
      </c>
      <c r="C2968" t="inlineStr">
        <is>
          <t>Manufactura / Caballero / P. Superiores</t>
        </is>
      </c>
      <c r="D2968" t="n">
        <v>36.4</v>
      </c>
      <c r="E2968" t="n">
        <v>8.911905583708904e-06</v>
      </c>
      <c r="F2968" t="n">
        <v>0.9981690133888416</v>
      </c>
      <c r="G2968" t="inlineStr">
        <is>
          <t>C</t>
        </is>
      </c>
      <c r="H2968" t="n">
        <v>4</v>
      </c>
      <c r="I2968" t="n">
        <v>2.002702703</v>
      </c>
      <c r="J2968" t="n">
        <v>8.010810812000001</v>
      </c>
      <c r="K2968" t="n">
        <v>0.2</v>
      </c>
      <c r="L2968" t="n">
        <v>20</v>
      </c>
      <c r="M2968" t="n">
        <v>4</v>
      </c>
      <c r="N2968" t="n">
        <v>0.8</v>
      </c>
      <c r="O2968" t="n">
        <v>3.2</v>
      </c>
      <c r="P2968" t="n">
        <v>6.408648649600001</v>
      </c>
      <c r="Q2968" t="n">
        <v>0.8</v>
      </c>
      <c r="R2968" t="inlineStr">
        <is>
          <t>Sobrestock crítico</t>
        </is>
      </c>
    </row>
    <row r="2969">
      <c r="A2969" t="inlineStr">
        <is>
          <t>CLAMICA09TL</t>
        </is>
      </c>
      <c r="B2969" t="inlineStr">
        <is>
          <t>CLASICA ORIGINAL CAB</t>
        </is>
      </c>
      <c r="C2969" t="inlineStr">
        <is>
          <t>Manufactura / Caballero / P. Superiores</t>
        </is>
      </c>
      <c r="D2969" t="n">
        <v>36.33994769</v>
      </c>
      <c r="E2969" t="n">
        <v>8.897202822258256e-06</v>
      </c>
      <c r="F2969" t="n">
        <v>0.9981868077944861</v>
      </c>
      <c r="G2969" t="inlineStr">
        <is>
          <t>C</t>
        </is>
      </c>
      <c r="H2969" t="n">
        <v>0</v>
      </c>
      <c r="I2969" t="n">
        <v>4.598442536</v>
      </c>
      <c r="J2969" t="n">
        <v>0</v>
      </c>
      <c r="K2969" t="n">
        <v>0.1</v>
      </c>
      <c r="L2969" t="n">
        <v>0</v>
      </c>
      <c r="M2969" t="n">
        <v>4</v>
      </c>
      <c r="N2969" t="n">
        <v>0.4</v>
      </c>
      <c r="O2969" t="n">
        <v>0</v>
      </c>
      <c r="P2969" t="n">
        <v>0</v>
      </c>
      <c r="Q2969" t="n">
        <v>0</v>
      </c>
      <c r="R2969" t="inlineStr">
        <is>
          <t>Sin rotación</t>
        </is>
      </c>
    </row>
    <row r="2970">
      <c r="A2970" t="inlineStr">
        <is>
          <t>RIOMIKI52T4</t>
        </is>
      </c>
      <c r="B2970" t="inlineStr">
        <is>
          <t>RIO ORIGINAL KIDS</t>
        </is>
      </c>
      <c r="C2970" t="inlineStr">
        <is>
          <t>Manufactura / Kids / P. Superiores</t>
        </is>
      </c>
      <c r="D2970" t="n">
        <v>36.33994769</v>
      </c>
      <c r="E2970" t="n">
        <v>8.897202822258256e-06</v>
      </c>
      <c r="F2970" t="n">
        <v>0.9981868077944861</v>
      </c>
      <c r="G2970" t="inlineStr">
        <is>
          <t>C</t>
        </is>
      </c>
      <c r="H2970" t="n">
        <v>0</v>
      </c>
      <c r="I2970" t="n">
        <v>3.617969464</v>
      </c>
      <c r="J2970" t="n">
        <v>0</v>
      </c>
      <c r="K2970" t="n">
        <v>0.1</v>
      </c>
      <c r="L2970" t="n">
        <v>0</v>
      </c>
      <c r="M2970" t="n">
        <v>4</v>
      </c>
      <c r="N2970" t="n">
        <v>0.4</v>
      </c>
      <c r="O2970" t="n">
        <v>0</v>
      </c>
      <c r="P2970" t="n">
        <v>0</v>
      </c>
      <c r="Q2970" t="n">
        <v>0</v>
      </c>
      <c r="R2970" t="inlineStr">
        <is>
          <t>Sin rotación</t>
        </is>
      </c>
    </row>
    <row r="2971">
      <c r="A2971" t="inlineStr">
        <is>
          <t>ETN98E500ML</t>
        </is>
      </c>
      <c r="B2971" t="inlineStr">
        <is>
          <t>KAMBUKKA ETNA 500 ML</t>
        </is>
      </c>
      <c r="C2971" t="inlineStr">
        <is>
          <t>Equipamiento / Cava</t>
        </is>
      </c>
      <c r="D2971" t="n">
        <v>36.2468657</v>
      </c>
      <c r="E2971" t="n">
        <v>8.874413319334526e-06</v>
      </c>
      <c r="F2971" t="n">
        <v>0.9981956822078054</v>
      </c>
      <c r="G2971" t="inlineStr">
        <is>
          <t>C</t>
        </is>
      </c>
      <c r="H2971" t="n">
        <v>0</v>
      </c>
      <c r="I2971" t="n">
        <v>24.5</v>
      </c>
      <c r="J2971" t="n">
        <v>0</v>
      </c>
      <c r="K2971" t="n">
        <v>0.1</v>
      </c>
      <c r="L2971" t="n">
        <v>0</v>
      </c>
      <c r="M2971" t="n">
        <v>4</v>
      </c>
      <c r="N2971" t="n">
        <v>0.4</v>
      </c>
      <c r="O2971" t="n">
        <v>0</v>
      </c>
      <c r="P2971" t="n">
        <v>0</v>
      </c>
      <c r="Q2971" t="n">
        <v>0</v>
      </c>
      <c r="R2971" t="inlineStr">
        <is>
          <t>Sin rotación</t>
        </is>
      </c>
    </row>
    <row r="2972">
      <c r="A2972" t="inlineStr">
        <is>
          <t>MARMIKI28T1</t>
        </is>
      </c>
      <c r="B2972" t="inlineStr">
        <is>
          <t>MAR ORIGINAL KIDS</t>
        </is>
      </c>
      <c r="C2972" t="inlineStr">
        <is>
          <t>Manufactura / Kids / P. Superiores</t>
        </is>
      </c>
      <c r="D2972" t="n">
        <v>36.12794106</v>
      </c>
      <c r="E2972" t="n">
        <v>8.845296693970333e-06</v>
      </c>
      <c r="F2972" t="n">
        <v>0.9982045275044994</v>
      </c>
      <c r="G2972" t="inlineStr">
        <is>
          <t>C</t>
        </is>
      </c>
      <c r="H2972" t="n">
        <v>0</v>
      </c>
      <c r="I2972" t="n">
        <v>3.168013332</v>
      </c>
      <c r="J2972" t="n">
        <v>0</v>
      </c>
      <c r="K2972" t="n">
        <v>0.1</v>
      </c>
      <c r="L2972" t="n">
        <v>0</v>
      </c>
      <c r="M2972" t="n">
        <v>4</v>
      </c>
      <c r="N2972" t="n">
        <v>0.4</v>
      </c>
      <c r="O2972" t="n">
        <v>0</v>
      </c>
      <c r="P2972" t="n">
        <v>0</v>
      </c>
      <c r="Q2972" t="n">
        <v>0</v>
      </c>
      <c r="R2972" t="inlineStr">
        <is>
          <t>Sin rotación</t>
        </is>
      </c>
    </row>
    <row r="2973">
      <c r="A2973" t="inlineStr">
        <is>
          <t>WAVSTKI16T8</t>
        </is>
      </c>
      <c r="B2973" t="inlineStr">
        <is>
          <t>CLASICA RETRO 2.0 KIDS</t>
        </is>
      </c>
      <c r="C2973" t="inlineStr">
        <is>
          <t>Manufactura / Kids / P. Superiores</t>
        </is>
      </c>
      <c r="D2973" t="n">
        <v>36.08381454</v>
      </c>
      <c r="E2973" t="n">
        <v>8.83449308463029e-06</v>
      </c>
      <c r="F2973" t="n">
        <v>0.9982133619975841</v>
      </c>
      <c r="G2973" t="inlineStr">
        <is>
          <t>C</t>
        </is>
      </c>
      <c r="H2973" t="n">
        <v>0</v>
      </c>
      <c r="I2973" t="n">
        <v>1</v>
      </c>
      <c r="J2973" t="n">
        <v>0</v>
      </c>
      <c r="K2973" t="n">
        <v>0.1</v>
      </c>
      <c r="L2973" t="n">
        <v>0</v>
      </c>
      <c r="M2973" t="n">
        <v>4</v>
      </c>
      <c r="N2973" t="n">
        <v>0.4</v>
      </c>
      <c r="O2973" t="n">
        <v>0</v>
      </c>
      <c r="P2973" t="n">
        <v>0</v>
      </c>
      <c r="Q2973" t="n">
        <v>0</v>
      </c>
      <c r="R2973" t="inlineStr">
        <is>
          <t>Riesgo bajo stock</t>
        </is>
      </c>
    </row>
    <row r="2974">
      <c r="A2974" t="inlineStr">
        <is>
          <t>MIAMIDA53TS</t>
        </is>
      </c>
      <c r="B2974" t="inlineStr">
        <is>
          <t>MIA ORIGINAL DAMA</t>
        </is>
      </c>
      <c r="C2974" t="inlineStr">
        <is>
          <t>Manufactura / Dama / P. Superiores</t>
        </is>
      </c>
      <c r="D2974" t="n">
        <v>36</v>
      </c>
      <c r="E2974" t="n">
        <v>8.813972555316498e-06</v>
      </c>
      <c r="F2974" t="n">
        <v>0.9982221759701394</v>
      </c>
      <c r="G2974" t="inlineStr">
        <is>
          <t>C</t>
        </is>
      </c>
      <c r="H2974" t="n">
        <v>0</v>
      </c>
      <c r="I2974" t="n">
        <v>3.94</v>
      </c>
      <c r="J2974" t="n">
        <v>0</v>
      </c>
      <c r="K2974" t="n">
        <v>0.1</v>
      </c>
      <c r="L2974" t="n">
        <v>0</v>
      </c>
      <c r="M2974" t="n">
        <v>4</v>
      </c>
      <c r="N2974" t="n">
        <v>0.4</v>
      </c>
      <c r="O2974" t="n">
        <v>0</v>
      </c>
      <c r="P2974" t="n">
        <v>0</v>
      </c>
      <c r="Q2974" t="n">
        <v>0</v>
      </c>
      <c r="R2974" t="inlineStr">
        <is>
          <t>Riesgo bajo stock</t>
        </is>
      </c>
    </row>
    <row r="2975">
      <c r="A2975" t="inlineStr">
        <is>
          <t>RIOMIKI28T4</t>
        </is>
      </c>
      <c r="B2975" t="inlineStr">
        <is>
          <t>RIO ORIGINAL KIDS</t>
        </is>
      </c>
      <c r="C2975" t="inlineStr">
        <is>
          <t>Manufactura / Kids / P. Superiores</t>
        </is>
      </c>
      <c r="D2975" t="n">
        <v>35.97618833</v>
      </c>
      <c r="E2975" t="n">
        <v>8.808142682931047e-06</v>
      </c>
      <c r="F2975" t="n">
        <v>0.9982397922555053</v>
      </c>
      <c r="G2975" t="inlineStr">
        <is>
          <t>C</t>
        </is>
      </c>
      <c r="H2975" t="n">
        <v>0</v>
      </c>
      <c r="I2975" t="n">
        <v>3.617969464</v>
      </c>
      <c r="J2975" t="n">
        <v>0</v>
      </c>
      <c r="K2975" t="n">
        <v>0.1</v>
      </c>
      <c r="L2975" t="n">
        <v>0</v>
      </c>
      <c r="M2975" t="n">
        <v>4</v>
      </c>
      <c r="N2975" t="n">
        <v>0.4</v>
      </c>
      <c r="O2975" t="n">
        <v>0</v>
      </c>
      <c r="P2975" t="n">
        <v>0</v>
      </c>
      <c r="Q2975" t="n">
        <v>0</v>
      </c>
      <c r="R2975" t="inlineStr">
        <is>
          <t>Sin rotación</t>
        </is>
      </c>
    </row>
    <row r="2976">
      <c r="A2976" t="inlineStr">
        <is>
          <t>ACCMICA120TL</t>
        </is>
      </c>
      <c r="B2976" t="inlineStr">
        <is>
          <t>CLASICA ACTIVE CAB</t>
        </is>
      </c>
      <c r="C2976" t="inlineStr">
        <is>
          <t>Manufactura / Caballero / P. Superiores</t>
        </is>
      </c>
      <c r="D2976" t="n">
        <v>35.97618833</v>
      </c>
      <c r="E2976" t="n">
        <v>8.808142682931047e-06</v>
      </c>
      <c r="F2976" t="n">
        <v>0.9982397922555053</v>
      </c>
      <c r="G2976" t="inlineStr">
        <is>
          <t>C</t>
        </is>
      </c>
      <c r="H2976" t="n">
        <v>0</v>
      </c>
      <c r="I2976" t="n">
        <v>12.74</v>
      </c>
      <c r="J2976" t="n">
        <v>0</v>
      </c>
      <c r="K2976" t="n">
        <v>0.1</v>
      </c>
      <c r="L2976" t="n">
        <v>0</v>
      </c>
      <c r="M2976" t="n">
        <v>4</v>
      </c>
      <c r="N2976" t="n">
        <v>0.4</v>
      </c>
      <c r="O2976" t="n">
        <v>0</v>
      </c>
      <c r="P2976" t="n">
        <v>0</v>
      </c>
      <c r="Q2976" t="n">
        <v>0</v>
      </c>
      <c r="R2976" t="inlineStr">
        <is>
          <t>Sin rotación</t>
        </is>
      </c>
    </row>
    <row r="2977">
      <c r="A2977" t="inlineStr">
        <is>
          <t>RIOMIKI39T1</t>
        </is>
      </c>
      <c r="B2977" t="inlineStr">
        <is>
          <t>RIO ORIGINAL KIDS</t>
        </is>
      </c>
      <c r="C2977" t="inlineStr">
        <is>
          <t>Manufactura / Kids / P. Superiores</t>
        </is>
      </c>
      <c r="D2977" t="n">
        <v>35.79155191</v>
      </c>
      <c r="E2977" t="n">
        <v>8.762937673525717e-06</v>
      </c>
      <c r="F2977" t="n">
        <v>0.9982485551931788</v>
      </c>
      <c r="G2977" t="inlineStr">
        <is>
          <t>C</t>
        </is>
      </c>
      <c r="H2977" t="n">
        <v>0</v>
      </c>
      <c r="I2977" t="n">
        <v>3.617969464</v>
      </c>
      <c r="J2977" t="n">
        <v>0</v>
      </c>
      <c r="K2977" t="n">
        <v>0.1</v>
      </c>
      <c r="L2977" t="n">
        <v>0</v>
      </c>
      <c r="M2977" t="n">
        <v>4</v>
      </c>
      <c r="N2977" t="n">
        <v>0.4</v>
      </c>
      <c r="O2977" t="n">
        <v>0</v>
      </c>
      <c r="P2977" t="n">
        <v>0</v>
      </c>
      <c r="Q2977" t="n">
        <v>0</v>
      </c>
      <c r="R2977" t="inlineStr">
        <is>
          <t>Sin rotación</t>
        </is>
      </c>
    </row>
    <row r="2978">
      <c r="A2978" t="inlineStr">
        <is>
          <t>PAUMIDA43TXS</t>
        </is>
      </c>
      <c r="B2978" t="inlineStr">
        <is>
          <t>PAULA ORIGINAL DAMA</t>
        </is>
      </c>
      <c r="C2978" t="inlineStr">
        <is>
          <t>Manufactura / Dama / P. Superiores</t>
        </is>
      </c>
      <c r="D2978" t="n">
        <v>35.75984513</v>
      </c>
      <c r="E2978" t="n">
        <v>8.755174821060787e-06</v>
      </c>
      <c r="F2978" t="n">
        <v>0.9982573103679999</v>
      </c>
      <c r="G2978" t="inlineStr">
        <is>
          <t>C</t>
        </is>
      </c>
      <c r="H2978" t="n">
        <v>0</v>
      </c>
      <c r="I2978" t="n">
        <v>3.55</v>
      </c>
      <c r="J2978" t="n">
        <v>0</v>
      </c>
      <c r="K2978" t="n">
        <v>0.1</v>
      </c>
      <c r="L2978" t="n">
        <v>0</v>
      </c>
      <c r="M2978" t="n">
        <v>4</v>
      </c>
      <c r="N2978" t="n">
        <v>0.4</v>
      </c>
      <c r="O2978" t="n">
        <v>0</v>
      </c>
      <c r="P2978" t="n">
        <v>0</v>
      </c>
      <c r="Q2978" t="n">
        <v>0</v>
      </c>
      <c r="R2978" t="inlineStr">
        <is>
          <t>Riesgo bajo stock</t>
        </is>
      </c>
    </row>
    <row r="2979">
      <c r="A2979" t="inlineStr">
        <is>
          <t>MARMIKI09T1</t>
        </is>
      </c>
      <c r="B2979" t="inlineStr">
        <is>
          <t>MAR ORIGINAL KIDS</t>
        </is>
      </c>
      <c r="C2979" t="inlineStr">
        <is>
          <t>Manufactura / Kids / P. Superiores</t>
        </is>
      </c>
      <c r="D2979" t="n">
        <v>35.74680453</v>
      </c>
      <c r="E2979" t="n">
        <v>8.751982057435652e-06</v>
      </c>
      <c r="F2979" t="n">
        <v>0.9982660623500573</v>
      </c>
      <c r="G2979" t="inlineStr">
        <is>
          <t>C</t>
        </is>
      </c>
      <c r="H2979" t="n">
        <v>0</v>
      </c>
      <c r="I2979" t="n">
        <v>3.168013332</v>
      </c>
      <c r="J2979" t="n">
        <v>0</v>
      </c>
      <c r="K2979" t="n">
        <v>0.1</v>
      </c>
      <c r="L2979" t="n">
        <v>0</v>
      </c>
      <c r="M2979" t="n">
        <v>4</v>
      </c>
      <c r="N2979" t="n">
        <v>0.4</v>
      </c>
      <c r="O2979" t="n">
        <v>0</v>
      </c>
      <c r="P2979" t="n">
        <v>0</v>
      </c>
      <c r="Q2979" t="n">
        <v>0</v>
      </c>
      <c r="R2979" t="inlineStr">
        <is>
          <t>Sin rotación</t>
        </is>
      </c>
    </row>
    <row r="2980">
      <c r="A2980" t="inlineStr">
        <is>
          <t>RIOMIKI14T10</t>
        </is>
      </c>
      <c r="B2980" t="inlineStr">
        <is>
          <t>RIO ORIGINAL KIDS</t>
        </is>
      </c>
      <c r="C2980" t="inlineStr">
        <is>
          <t>Manufactura / Kids / P. Superiores</t>
        </is>
      </c>
      <c r="D2980" t="n">
        <v>35.60458194</v>
      </c>
      <c r="E2980" t="n">
        <v>8.717161335074374e-06</v>
      </c>
      <c r="F2980" t="n">
        <v>0.9982747795113924</v>
      </c>
      <c r="G2980" t="inlineStr">
        <is>
          <t>C</t>
        </is>
      </c>
      <c r="H2980" t="n">
        <v>0</v>
      </c>
      <c r="I2980" t="n">
        <v>3.617969464</v>
      </c>
      <c r="J2980" t="n">
        <v>0</v>
      </c>
      <c r="K2980" t="n">
        <v>0.1</v>
      </c>
      <c r="L2980" t="n">
        <v>0</v>
      </c>
      <c r="M2980" t="n">
        <v>4</v>
      </c>
      <c r="N2980" t="n">
        <v>0.4</v>
      </c>
      <c r="O2980" t="n">
        <v>0</v>
      </c>
      <c r="P2980" t="n">
        <v>0</v>
      </c>
      <c r="Q2980" t="n">
        <v>0</v>
      </c>
      <c r="R2980" t="inlineStr">
        <is>
          <t>Sin rotación</t>
        </is>
      </c>
    </row>
    <row r="2981">
      <c r="A2981" t="inlineStr">
        <is>
          <t>GOOSTCA43TXL</t>
        </is>
      </c>
      <c r="B2981" t="inlineStr">
        <is>
          <t>RETRO VZLA CAB</t>
        </is>
      </c>
      <c r="C2981" t="inlineStr">
        <is>
          <t>Manufactura / Caballero / P. Superiores</t>
        </is>
      </c>
      <c r="D2981" t="n">
        <v>35.53771112</v>
      </c>
      <c r="E2981" t="n">
        <v>8.700789180290165e-06</v>
      </c>
      <c r="F2981" t="n">
        <v>0.9983095826681135</v>
      </c>
      <c r="G2981" t="inlineStr">
        <is>
          <t>C</t>
        </is>
      </c>
      <c r="H2981" t="n">
        <v>0</v>
      </c>
      <c r="I2981" t="n">
        <v>12.9</v>
      </c>
      <c r="J2981" t="n">
        <v>0</v>
      </c>
      <c r="K2981" t="n">
        <v>0.1</v>
      </c>
      <c r="L2981" t="n">
        <v>0</v>
      </c>
      <c r="M2981" t="n">
        <v>4</v>
      </c>
      <c r="N2981" t="n">
        <v>0.4</v>
      </c>
      <c r="O2981" t="n">
        <v>0</v>
      </c>
      <c r="P2981" t="n">
        <v>0</v>
      </c>
      <c r="Q2981" t="n">
        <v>0</v>
      </c>
      <c r="R2981" t="inlineStr">
        <is>
          <t>Sin rotación</t>
        </is>
      </c>
    </row>
    <row r="2982">
      <c r="A2982" t="inlineStr">
        <is>
          <t>AQUSTDA16TL</t>
        </is>
      </c>
      <c r="B2982" t="inlineStr">
        <is>
          <t>RETRO VZLA DAMA</t>
        </is>
      </c>
      <c r="C2982" t="inlineStr">
        <is>
          <t>Manufactura / Dama / P. Superiores</t>
        </is>
      </c>
      <c r="D2982" t="n">
        <v>35.53771112</v>
      </c>
      <c r="E2982" t="n">
        <v>8.700789180290165e-06</v>
      </c>
      <c r="F2982" t="n">
        <v>0.9983095826681135</v>
      </c>
      <c r="G2982" t="inlineStr">
        <is>
          <t>C</t>
        </is>
      </c>
      <c r="H2982" t="n">
        <v>0</v>
      </c>
      <c r="I2982" t="n">
        <v>11.23</v>
      </c>
      <c r="J2982" t="n">
        <v>0</v>
      </c>
      <c r="K2982" t="n">
        <v>0.1</v>
      </c>
      <c r="L2982" t="n">
        <v>0</v>
      </c>
      <c r="M2982" t="n">
        <v>4</v>
      </c>
      <c r="N2982" t="n">
        <v>0.4</v>
      </c>
      <c r="O2982" t="n">
        <v>0</v>
      </c>
      <c r="P2982" t="n">
        <v>0</v>
      </c>
      <c r="Q2982" t="n">
        <v>0</v>
      </c>
      <c r="R2982" t="inlineStr">
        <is>
          <t>Sin rotación</t>
        </is>
      </c>
    </row>
    <row r="2983">
      <c r="A2983" t="inlineStr">
        <is>
          <t>201STCA30TS</t>
        </is>
      </c>
      <c r="B2983" t="inlineStr">
        <is>
          <t>RETRO VZLA CAB</t>
        </is>
      </c>
      <c r="C2983" t="inlineStr">
        <is>
          <t>Manufactura / Caballero / P. Superiores</t>
        </is>
      </c>
      <c r="D2983" t="n">
        <v>35.53771112</v>
      </c>
      <c r="E2983" t="n">
        <v>8.700789180290165e-06</v>
      </c>
      <c r="F2983" t="n">
        <v>0.9983095826681135</v>
      </c>
      <c r="G2983" t="inlineStr">
        <is>
          <t>C</t>
        </is>
      </c>
      <c r="H2983" t="n">
        <v>0</v>
      </c>
      <c r="I2983" t="n">
        <v>12.9</v>
      </c>
      <c r="J2983" t="n">
        <v>0</v>
      </c>
      <c r="K2983" t="n">
        <v>0.1</v>
      </c>
      <c r="L2983" t="n">
        <v>0</v>
      </c>
      <c r="M2983" t="n">
        <v>4</v>
      </c>
      <c r="N2983" t="n">
        <v>0.4</v>
      </c>
      <c r="O2983" t="n">
        <v>0</v>
      </c>
      <c r="P2983" t="n">
        <v>0</v>
      </c>
      <c r="Q2983" t="n">
        <v>0</v>
      </c>
      <c r="R2983" t="inlineStr">
        <is>
          <t>Sin rotación</t>
        </is>
      </c>
    </row>
    <row r="2984">
      <c r="A2984" t="inlineStr">
        <is>
          <t>CLAMIDA53TM</t>
        </is>
      </c>
      <c r="B2984" t="inlineStr">
        <is>
          <t>CLASICA ORIGINAL DAMA</t>
        </is>
      </c>
      <c r="C2984" t="inlineStr">
        <is>
          <t>Manufactura / Dama / P. Superiores</t>
        </is>
      </c>
      <c r="D2984" t="n">
        <v>35.53771112</v>
      </c>
      <c r="E2984" t="n">
        <v>8.700789180290165e-06</v>
      </c>
      <c r="F2984" t="n">
        <v>0.9983095826681135</v>
      </c>
      <c r="G2984" t="inlineStr">
        <is>
          <t>C</t>
        </is>
      </c>
      <c r="H2984" t="n">
        <v>0</v>
      </c>
      <c r="I2984" t="n">
        <v>3.923227589</v>
      </c>
      <c r="J2984" t="n">
        <v>0</v>
      </c>
      <c r="K2984" t="n">
        <v>0.1</v>
      </c>
      <c r="L2984" t="n">
        <v>0</v>
      </c>
      <c r="M2984" t="n">
        <v>4</v>
      </c>
      <c r="N2984" t="n">
        <v>0.4</v>
      </c>
      <c r="O2984" t="n">
        <v>0</v>
      </c>
      <c r="P2984" t="n">
        <v>0</v>
      </c>
      <c r="Q2984" t="n">
        <v>0</v>
      </c>
      <c r="R2984" t="inlineStr">
        <is>
          <t>Sin rotación</t>
        </is>
      </c>
    </row>
    <row r="2985">
      <c r="A2985" t="inlineStr">
        <is>
          <t>MARMIKI05T1</t>
        </is>
      </c>
      <c r="B2985" t="inlineStr">
        <is>
          <t>MAR ORIGINAL KIDS</t>
        </is>
      </c>
      <c r="C2985" t="inlineStr">
        <is>
          <t>Manufactura / Kids / P. Superiores</t>
        </is>
      </c>
      <c r="D2985" t="n">
        <v>35.34242449</v>
      </c>
      <c r="E2985" t="n">
        <v>8.652976652589046e-06</v>
      </c>
      <c r="F2985" t="n">
        <v>0.9983268886214188</v>
      </c>
      <c r="G2985" t="inlineStr">
        <is>
          <t>C</t>
        </is>
      </c>
      <c r="H2985" t="n">
        <v>0</v>
      </c>
      <c r="I2985" t="n">
        <v>3.168013332</v>
      </c>
      <c r="J2985" t="n">
        <v>0</v>
      </c>
      <c r="K2985" t="n">
        <v>0.1</v>
      </c>
      <c r="L2985" t="n">
        <v>0</v>
      </c>
      <c r="M2985" t="n">
        <v>4</v>
      </c>
      <c r="N2985" t="n">
        <v>0.4</v>
      </c>
      <c r="O2985" t="n">
        <v>0</v>
      </c>
      <c r="P2985" t="n">
        <v>0</v>
      </c>
      <c r="Q2985" t="n">
        <v>0</v>
      </c>
      <c r="R2985" t="inlineStr">
        <is>
          <t>Sin rotación</t>
        </is>
      </c>
    </row>
    <row r="2986">
      <c r="A2986" t="inlineStr">
        <is>
          <t>MARMIKI05T4</t>
        </is>
      </c>
      <c r="B2986" t="inlineStr">
        <is>
          <t>MAR ORIGINAL KIDS</t>
        </is>
      </c>
      <c r="C2986" t="inlineStr">
        <is>
          <t>Manufactura / Kids / P. Superiores</t>
        </is>
      </c>
      <c r="D2986" t="n">
        <v>35.34242449</v>
      </c>
      <c r="E2986" t="n">
        <v>8.652976652589046e-06</v>
      </c>
      <c r="F2986" t="n">
        <v>0.9983268886214188</v>
      </c>
      <c r="G2986" t="inlineStr">
        <is>
          <t>C</t>
        </is>
      </c>
      <c r="H2986" t="n">
        <v>0</v>
      </c>
      <c r="I2986" t="n">
        <v>3.168013332</v>
      </c>
      <c r="J2986" t="n">
        <v>0</v>
      </c>
      <c r="K2986" t="n">
        <v>0.1</v>
      </c>
      <c r="L2986" t="n">
        <v>0</v>
      </c>
      <c r="M2986" t="n">
        <v>4</v>
      </c>
      <c r="N2986" t="n">
        <v>0.4</v>
      </c>
      <c r="O2986" t="n">
        <v>0</v>
      </c>
      <c r="P2986" t="n">
        <v>0</v>
      </c>
      <c r="Q2986" t="n">
        <v>0</v>
      </c>
      <c r="R2986" t="inlineStr">
        <is>
          <t>Sin rotación</t>
        </is>
      </c>
    </row>
    <row r="2987">
      <c r="A2987" t="inlineStr">
        <is>
          <t>SHOUNKI38T14</t>
        </is>
      </c>
      <c r="B2987" t="inlineStr">
        <is>
          <t>SHORT PLAYA KIDS</t>
        </is>
      </c>
      <c r="C2987" t="inlineStr">
        <is>
          <t>Manufactura / Kids / P. Inferiores</t>
        </is>
      </c>
      <c r="D2987" t="n">
        <v>35.34</v>
      </c>
      <c r="E2987" t="n">
        <v>8.65238305846903e-06</v>
      </c>
      <c r="F2987" t="n">
        <v>0.9983355410044772</v>
      </c>
      <c r="G2987" t="inlineStr">
        <is>
          <t>C</t>
        </is>
      </c>
      <c r="H2987" t="n">
        <v>36</v>
      </c>
      <c r="I2987" t="n">
        <v>6.09</v>
      </c>
      <c r="J2987" t="n">
        <v>219.24</v>
      </c>
      <c r="K2987" t="n">
        <v>0.1</v>
      </c>
      <c r="L2987" t="n">
        <v>360</v>
      </c>
      <c r="M2987" t="n">
        <v>4</v>
      </c>
      <c r="N2987" t="n">
        <v>0.4</v>
      </c>
      <c r="O2987" t="n">
        <v>35.6</v>
      </c>
      <c r="P2987" t="n">
        <v>216.804</v>
      </c>
      <c r="Q2987" t="n">
        <v>0.9888888888888888</v>
      </c>
      <c r="R2987" t="inlineStr">
        <is>
          <t>Sobrestock crítico</t>
        </is>
      </c>
    </row>
    <row r="2988">
      <c r="A2988" t="inlineStr">
        <is>
          <t>MAYFNDA24T2XL</t>
        </is>
      </c>
      <c r="B2988" t="inlineStr">
        <is>
          <t>MAYA SPORT LITE DAMA</t>
        </is>
      </c>
      <c r="C2988" t="inlineStr">
        <is>
          <t>Manufactura / Dama / P. Superiores</t>
        </is>
      </c>
      <c r="D2988" t="n">
        <v>35.30084784</v>
      </c>
      <c r="E2988" t="n">
        <v>8.64279733447677e-06</v>
      </c>
      <c r="F2988" t="n">
        <v>0.9983441838018117</v>
      </c>
      <c r="G2988" t="inlineStr">
        <is>
          <t>C</t>
        </is>
      </c>
      <c r="H2988" t="n">
        <v>0</v>
      </c>
      <c r="I2988" t="n">
        <v>3.87</v>
      </c>
      <c r="J2988" t="n">
        <v>0</v>
      </c>
      <c r="K2988" t="n">
        <v>0.1</v>
      </c>
      <c r="L2988" t="n">
        <v>0</v>
      </c>
      <c r="M2988" t="n">
        <v>4</v>
      </c>
      <c r="N2988" t="n">
        <v>0.4</v>
      </c>
      <c r="O2988" t="n">
        <v>0</v>
      </c>
      <c r="P2988" t="n">
        <v>0</v>
      </c>
      <c r="Q2988" t="n">
        <v>0</v>
      </c>
      <c r="R2988" t="inlineStr">
        <is>
          <t>Sin rotación</t>
        </is>
      </c>
    </row>
    <row r="2989">
      <c r="A2989" t="inlineStr">
        <is>
          <t>MARMIKI39T1</t>
        </is>
      </c>
      <c r="B2989" t="inlineStr">
        <is>
          <t>MAR ORIGINAL KIDS</t>
        </is>
      </c>
      <c r="C2989" t="inlineStr">
        <is>
          <t>Manufactura / Kids / P. Superiores</t>
        </is>
      </c>
      <c r="D2989" t="n">
        <v>35.24700099</v>
      </c>
      <c r="E2989" t="n">
        <v>8.629613871752039e-06</v>
      </c>
      <c r="F2989" t="n">
        <v>0.9983528134156835</v>
      </c>
      <c r="G2989" t="inlineStr">
        <is>
          <t>C</t>
        </is>
      </c>
      <c r="H2989" t="n">
        <v>0</v>
      </c>
      <c r="I2989" t="n">
        <v>3.168013332</v>
      </c>
      <c r="J2989" t="n">
        <v>0</v>
      </c>
      <c r="K2989" t="n">
        <v>0.1</v>
      </c>
      <c r="L2989" t="n">
        <v>0</v>
      </c>
      <c r="M2989" t="n">
        <v>4</v>
      </c>
      <c r="N2989" t="n">
        <v>0.4</v>
      </c>
      <c r="O2989" t="n">
        <v>0</v>
      </c>
      <c r="P2989" t="n">
        <v>0</v>
      </c>
      <c r="Q2989" t="n">
        <v>0</v>
      </c>
      <c r="R2989" t="inlineStr">
        <is>
          <t>Sin rotación</t>
        </is>
      </c>
    </row>
    <row r="2990">
      <c r="A2990" t="inlineStr">
        <is>
          <t>MAFMIDA13TS</t>
        </is>
      </c>
      <c r="B2990" t="inlineStr">
        <is>
          <t>MAFE ORIGINAL DAMA</t>
        </is>
      </c>
      <c r="C2990" t="inlineStr">
        <is>
          <t>Manufactura / Dama / P. Superiores</t>
        </is>
      </c>
      <c r="D2990" t="n">
        <v>35.21034901</v>
      </c>
      <c r="E2990" t="n">
        <v>8.620640273257096e-06</v>
      </c>
      <c r="F2990" t="n">
        <v>0.9983614340559568</v>
      </c>
      <c r="G2990" t="inlineStr">
        <is>
          <t>C</t>
        </is>
      </c>
      <c r="H2990" t="n">
        <v>0</v>
      </c>
      <c r="I2990" t="n">
        <v>4.54817671</v>
      </c>
      <c r="J2990" t="n">
        <v>0</v>
      </c>
      <c r="K2990" t="n">
        <v>0.1</v>
      </c>
      <c r="L2990" t="n">
        <v>0</v>
      </c>
      <c r="M2990" t="n">
        <v>4</v>
      </c>
      <c r="N2990" t="n">
        <v>0.4</v>
      </c>
      <c r="O2990" t="n">
        <v>0</v>
      </c>
      <c r="P2990" t="n">
        <v>0</v>
      </c>
      <c r="Q2990" t="n">
        <v>0</v>
      </c>
      <c r="R2990" t="inlineStr">
        <is>
          <t>Riesgo bajo stock</t>
        </is>
      </c>
    </row>
    <row r="2991">
      <c r="A2991" t="inlineStr">
        <is>
          <t>ZOEMIDA28TS</t>
        </is>
      </c>
      <c r="B2991" t="inlineStr">
        <is>
          <t>ZOE ORIGINAL DAMA</t>
        </is>
      </c>
      <c r="C2991" t="inlineStr">
        <is>
          <t>Manufactura / Dama / P. Superiores</t>
        </is>
      </c>
      <c r="D2991" t="n">
        <v>35.19966621</v>
      </c>
      <c r="E2991" t="n">
        <v>8.618024775867819e-06</v>
      </c>
      <c r="F2991" t="n">
        <v>0.9983700520807325</v>
      </c>
      <c r="G2991" t="inlineStr">
        <is>
          <t>C</t>
        </is>
      </c>
      <c r="H2991" t="n">
        <v>0</v>
      </c>
      <c r="I2991" t="n">
        <v>4.116585696</v>
      </c>
      <c r="J2991" t="n">
        <v>0</v>
      </c>
      <c r="K2991" t="n">
        <v>0.1</v>
      </c>
      <c r="L2991" t="n">
        <v>0</v>
      </c>
      <c r="M2991" t="n">
        <v>4</v>
      </c>
      <c r="N2991" t="n">
        <v>0.4</v>
      </c>
      <c r="O2991" t="n">
        <v>0</v>
      </c>
      <c r="P2991" t="n">
        <v>0</v>
      </c>
      <c r="Q2991" t="n">
        <v>0</v>
      </c>
      <c r="R2991" t="inlineStr">
        <is>
          <t>Sin rotación</t>
        </is>
      </c>
    </row>
    <row r="2992">
      <c r="A2992" t="inlineStr">
        <is>
          <t>CLAMIKI11T10</t>
        </is>
      </c>
      <c r="B2992" t="inlineStr">
        <is>
          <t>CLASICA ORIGINAL KIDS</t>
        </is>
      </c>
      <c r="C2992" t="inlineStr">
        <is>
          <t>Manufactura / Kids / P. Superiores</t>
        </is>
      </c>
      <c r="D2992" t="n">
        <v>35.15</v>
      </c>
      <c r="E2992" t="n">
        <v>8.605864869982636e-06</v>
      </c>
      <c r="F2992" t="n">
        <v>0.9983786579456025</v>
      </c>
      <c r="G2992" t="inlineStr">
        <is>
          <t>C</t>
        </is>
      </c>
      <c r="H2992" t="n">
        <v>0</v>
      </c>
      <c r="I2992" t="n">
        <v>2.053774806</v>
      </c>
      <c r="J2992" t="n">
        <v>0</v>
      </c>
      <c r="K2992" t="n">
        <v>0.1</v>
      </c>
      <c r="L2992" t="n">
        <v>0</v>
      </c>
      <c r="M2992" t="n">
        <v>4</v>
      </c>
      <c r="N2992" t="n">
        <v>0.4</v>
      </c>
      <c r="O2992" t="n">
        <v>0</v>
      </c>
      <c r="P2992" t="n">
        <v>0</v>
      </c>
      <c r="Q2992" t="n">
        <v>0</v>
      </c>
      <c r="R2992" t="inlineStr">
        <is>
          <t>Riesgo bajo stock</t>
        </is>
      </c>
    </row>
    <row r="2993">
      <c r="A2993" t="inlineStr">
        <is>
          <t>ANDMIDA50TXS</t>
        </is>
      </c>
      <c r="B2993" t="inlineStr">
        <is>
          <t>ANDRE ORIGINAL DAMA</t>
        </is>
      </c>
      <c r="C2993" t="inlineStr">
        <is>
          <t>Manufactura / Dama / P. Superiores</t>
        </is>
      </c>
      <c r="D2993" t="n">
        <v>35.00138403</v>
      </c>
      <c r="E2993" t="n">
        <v>8.569478839958699e-06</v>
      </c>
      <c r="F2993" t="n">
        <v>0.9983872274244425</v>
      </c>
      <c r="G2993" t="inlineStr">
        <is>
          <t>C</t>
        </is>
      </c>
      <c r="H2993" t="n">
        <v>0</v>
      </c>
      <c r="I2993" t="n">
        <v>3.274295302</v>
      </c>
      <c r="J2993" t="n">
        <v>0</v>
      </c>
      <c r="K2993" t="n">
        <v>0.1</v>
      </c>
      <c r="L2993" t="n">
        <v>0</v>
      </c>
      <c r="M2993" t="n">
        <v>4</v>
      </c>
      <c r="N2993" t="n">
        <v>0.4</v>
      </c>
      <c r="O2993" t="n">
        <v>0</v>
      </c>
      <c r="P2993" t="n">
        <v>0</v>
      </c>
      <c r="Q2993" t="n">
        <v>0</v>
      </c>
      <c r="R2993" t="inlineStr">
        <is>
          <t>Sin rotación</t>
        </is>
      </c>
    </row>
    <row r="2994">
      <c r="A2994" t="inlineStr">
        <is>
          <t>ANDMIDA05TXL</t>
        </is>
      </c>
      <c r="B2994" t="inlineStr">
        <is>
          <t>ANDRE ORIGINAL DAMA</t>
        </is>
      </c>
      <c r="C2994" t="inlineStr">
        <is>
          <t>Manufactura / Dama / P. Superiores</t>
        </is>
      </c>
      <c r="D2994" t="n">
        <v>35</v>
      </c>
      <c r="E2994" t="n">
        <v>8.569139984335484e-06</v>
      </c>
      <c r="F2994" t="n">
        <v>0.9984043657044112</v>
      </c>
      <c r="G2994" t="inlineStr">
        <is>
          <t>C</t>
        </is>
      </c>
      <c r="H2994" t="n">
        <v>0</v>
      </c>
      <c r="I2994" t="n">
        <v>3.274295302</v>
      </c>
      <c r="J2994" t="n">
        <v>0</v>
      </c>
      <c r="K2994" t="n">
        <v>0.1</v>
      </c>
      <c r="L2994" t="n">
        <v>0</v>
      </c>
      <c r="M2994" t="n">
        <v>4</v>
      </c>
      <c r="N2994" t="n">
        <v>0.4</v>
      </c>
      <c r="O2994" t="n">
        <v>0</v>
      </c>
      <c r="P2994" t="n">
        <v>0</v>
      </c>
      <c r="Q2994" t="n">
        <v>0</v>
      </c>
      <c r="R2994" t="inlineStr">
        <is>
          <t>Riesgo bajo stock</t>
        </is>
      </c>
    </row>
    <row r="2995">
      <c r="A2995" t="inlineStr">
        <is>
          <t>ANDMIDA66TXL</t>
        </is>
      </c>
      <c r="B2995" t="inlineStr">
        <is>
          <t>ANDRE ORIGINAL DAMA</t>
        </is>
      </c>
      <c r="C2995" t="inlineStr">
        <is>
          <t>Manufactura / Dama / P. Superiores</t>
        </is>
      </c>
      <c r="D2995" t="n">
        <v>35</v>
      </c>
      <c r="E2995" t="n">
        <v>8.569139984335484e-06</v>
      </c>
      <c r="F2995" t="n">
        <v>0.9984043657044112</v>
      </c>
      <c r="G2995" t="inlineStr">
        <is>
          <t>C</t>
        </is>
      </c>
      <c r="H2995" t="n">
        <v>14</v>
      </c>
      <c r="I2995" t="n">
        <v>3.274295302</v>
      </c>
      <c r="J2995" t="n">
        <v>45.840134228</v>
      </c>
      <c r="K2995" t="n">
        <v>0.1</v>
      </c>
      <c r="L2995" t="n">
        <v>140</v>
      </c>
      <c r="M2995" t="n">
        <v>4</v>
      </c>
      <c r="N2995" t="n">
        <v>0.4</v>
      </c>
      <c r="O2995" t="n">
        <v>13.6</v>
      </c>
      <c r="P2995" t="n">
        <v>44.5304161072</v>
      </c>
      <c r="Q2995" t="n">
        <v>0.9714285714285713</v>
      </c>
      <c r="R2995" t="inlineStr">
        <is>
          <t>Sobrestock crítico</t>
        </is>
      </c>
    </row>
    <row r="2996">
      <c r="A2996" t="inlineStr">
        <is>
          <t>ZOEMIDA28TL</t>
        </is>
      </c>
      <c r="B2996" t="inlineStr">
        <is>
          <t>ZOE ORIGINAL DAMA</t>
        </is>
      </c>
      <c r="C2996" t="inlineStr">
        <is>
          <t>Manufactura / Dama / P. Superiores</t>
        </is>
      </c>
      <c r="D2996" t="n">
        <v>34.915667</v>
      </c>
      <c r="E2996" t="n">
        <v>8.548492519126941e-06</v>
      </c>
      <c r="F2996" t="n">
        <v>0.9984214626894494</v>
      </c>
      <c r="G2996" t="inlineStr">
        <is>
          <t>C</t>
        </is>
      </c>
      <c r="H2996" t="n">
        <v>0</v>
      </c>
      <c r="I2996" t="n">
        <v>4.116585696</v>
      </c>
      <c r="J2996" t="n">
        <v>0</v>
      </c>
      <c r="K2996" t="n">
        <v>0.1</v>
      </c>
      <c r="L2996" t="n">
        <v>0</v>
      </c>
      <c r="M2996" t="n">
        <v>4</v>
      </c>
      <c r="N2996" t="n">
        <v>0.4</v>
      </c>
      <c r="O2996" t="n">
        <v>0</v>
      </c>
      <c r="P2996" t="n">
        <v>0</v>
      </c>
      <c r="Q2996" t="n">
        <v>0</v>
      </c>
      <c r="R2996" t="inlineStr">
        <is>
          <t>Sin rotación</t>
        </is>
      </c>
    </row>
    <row r="2997">
      <c r="A2997" t="inlineStr">
        <is>
          <t>MARMIKI52T1</t>
        </is>
      </c>
      <c r="B2997" t="inlineStr">
        <is>
          <t>MAR ORIGINAL KIDS</t>
        </is>
      </c>
      <c r="C2997" t="inlineStr">
        <is>
          <t>Manufactura / Kids / P. Superiores</t>
        </is>
      </c>
      <c r="D2997" t="n">
        <v>34.915667</v>
      </c>
      <c r="E2997" t="n">
        <v>8.548492519126941e-06</v>
      </c>
      <c r="F2997" t="n">
        <v>0.9984214626894494</v>
      </c>
      <c r="G2997" t="inlineStr">
        <is>
          <t>C</t>
        </is>
      </c>
      <c r="H2997" t="n">
        <v>0</v>
      </c>
      <c r="I2997" t="n">
        <v>3.168013332</v>
      </c>
      <c r="J2997" t="n">
        <v>0</v>
      </c>
      <c r="K2997" t="n">
        <v>0.1</v>
      </c>
      <c r="L2997" t="n">
        <v>0</v>
      </c>
      <c r="M2997" t="n">
        <v>4</v>
      </c>
      <c r="N2997" t="n">
        <v>0.4</v>
      </c>
      <c r="O2997" t="n">
        <v>0</v>
      </c>
      <c r="P2997" t="n">
        <v>0</v>
      </c>
      <c r="Q2997" t="n">
        <v>0</v>
      </c>
      <c r="R2997" t="inlineStr">
        <is>
          <t>Sin rotación</t>
        </is>
      </c>
    </row>
    <row r="2998">
      <c r="A2998" t="inlineStr">
        <is>
          <t>SMCBNEDA16TXL</t>
        </is>
      </c>
      <c r="B2998" t="inlineStr">
        <is>
          <t>SPOTS MANGA CORTA DAMA</t>
        </is>
      </c>
      <c r="C2998" t="inlineStr">
        <is>
          <t>Manufactura / Dama / P. Superiores</t>
        </is>
      </c>
      <c r="D2998" t="n">
        <v>34.91</v>
      </c>
      <c r="E2998" t="n">
        <v>8.547105052947193e-06</v>
      </c>
      <c r="F2998" t="n">
        <v>0.9984300097945024</v>
      </c>
      <c r="G2998" t="inlineStr">
        <is>
          <t>C</t>
        </is>
      </c>
      <c r="H2998" t="n">
        <v>5</v>
      </c>
      <c r="I2998" t="n">
        <v>8.5</v>
      </c>
      <c r="J2998" t="n">
        <v>42.5</v>
      </c>
      <c r="K2998" t="n">
        <v>0.1</v>
      </c>
      <c r="L2998" t="n">
        <v>50</v>
      </c>
      <c r="M2998" t="n">
        <v>4</v>
      </c>
      <c r="N2998" t="n">
        <v>0.4</v>
      </c>
      <c r="O2998" t="n">
        <v>4.6</v>
      </c>
      <c r="P2998" t="n">
        <v>39.09999999999999</v>
      </c>
      <c r="Q2998" t="n">
        <v>0.9199999999999998</v>
      </c>
      <c r="R2998" t="inlineStr">
        <is>
          <t>Sobrestock crítico</t>
        </is>
      </c>
    </row>
    <row r="2999">
      <c r="A2999" t="inlineStr">
        <is>
          <t>AQUSTCA43TL</t>
        </is>
      </c>
      <c r="B2999" t="inlineStr">
        <is>
          <t>RETRO VZLA CAB</t>
        </is>
      </c>
      <c r="C2999" t="inlineStr">
        <is>
          <t>Manufactura / Caballero / P. Superiores</t>
        </is>
      </c>
      <c r="D2999" t="n">
        <v>34.86957698</v>
      </c>
      <c r="E2999" t="n">
        <v>8.537208181033776e-06</v>
      </c>
      <c r="F2999" t="n">
        <v>0.9984470842108644</v>
      </c>
      <c r="G2999" t="inlineStr">
        <is>
          <t>C</t>
        </is>
      </c>
      <c r="H2999" t="n">
        <v>0</v>
      </c>
      <c r="I2999" t="n">
        <v>12.9</v>
      </c>
      <c r="J2999" t="n">
        <v>0</v>
      </c>
      <c r="K2999" t="n">
        <v>0.1</v>
      </c>
      <c r="L2999" t="n">
        <v>0</v>
      </c>
      <c r="M2999" t="n">
        <v>4</v>
      </c>
      <c r="N2999" t="n">
        <v>0.4</v>
      </c>
      <c r="O2999" t="n">
        <v>0</v>
      </c>
      <c r="P2999" t="n">
        <v>0</v>
      </c>
      <c r="Q2999" t="n">
        <v>0</v>
      </c>
      <c r="R2999" t="inlineStr">
        <is>
          <t>Sin rotación</t>
        </is>
      </c>
    </row>
    <row r="3000">
      <c r="A3000" t="inlineStr">
        <is>
          <t>GOOSTCA43TL</t>
        </is>
      </c>
      <c r="B3000" t="inlineStr">
        <is>
          <t>RETRO VZLA CAB</t>
        </is>
      </c>
      <c r="C3000" t="inlineStr">
        <is>
          <t>Manufactura / Caballero / P. Superiores</t>
        </is>
      </c>
      <c r="D3000" t="n">
        <v>34.86957698</v>
      </c>
      <c r="E3000" t="n">
        <v>8.537208181033776e-06</v>
      </c>
      <c r="F3000" t="n">
        <v>0.9984470842108644</v>
      </c>
      <c r="G3000" t="inlineStr">
        <is>
          <t>C</t>
        </is>
      </c>
      <c r="H3000" t="n">
        <v>0</v>
      </c>
      <c r="I3000" t="n">
        <v>12.9</v>
      </c>
      <c r="J3000" t="n">
        <v>0</v>
      </c>
      <c r="K3000" t="n">
        <v>0.1</v>
      </c>
      <c r="L3000" t="n">
        <v>0</v>
      </c>
      <c r="M3000" t="n">
        <v>4</v>
      </c>
      <c r="N3000" t="n">
        <v>0.4</v>
      </c>
      <c r="O3000" t="n">
        <v>0</v>
      </c>
      <c r="P3000" t="n">
        <v>0</v>
      </c>
      <c r="Q3000" t="n">
        <v>0</v>
      </c>
      <c r="R3000" t="inlineStr">
        <is>
          <t>Sin rotación</t>
        </is>
      </c>
    </row>
    <row r="3001">
      <c r="A3001" t="inlineStr">
        <is>
          <t>MIAMIDA16TM</t>
        </is>
      </c>
      <c r="B3001" t="inlineStr">
        <is>
          <t>MIA ORIGINAL DAMA</t>
        </is>
      </c>
      <c r="C3001" t="inlineStr">
        <is>
          <t>Manufactura / Dama / P. Superiores</t>
        </is>
      </c>
      <c r="D3001" t="n">
        <v>34.80336463</v>
      </c>
      <c r="E3001" t="n">
        <v>8.520997241152581e-06</v>
      </c>
      <c r="F3001" t="n">
        <v>0.9984641262053467</v>
      </c>
      <c r="G3001" t="inlineStr">
        <is>
          <t>C</t>
        </is>
      </c>
      <c r="H3001" t="n">
        <v>0</v>
      </c>
      <c r="I3001" t="n">
        <v>3.94</v>
      </c>
      <c r="J3001" t="n">
        <v>0</v>
      </c>
      <c r="K3001" t="n">
        <v>0.2</v>
      </c>
      <c r="L3001" t="n">
        <v>0</v>
      </c>
      <c r="M3001" t="n">
        <v>4</v>
      </c>
      <c r="N3001" t="n">
        <v>0.8</v>
      </c>
      <c r="O3001" t="n">
        <v>0</v>
      </c>
      <c r="P3001" t="n">
        <v>0</v>
      </c>
      <c r="Q3001" t="n">
        <v>0</v>
      </c>
      <c r="R3001" t="inlineStr">
        <is>
          <t>Riesgo bajo stock</t>
        </is>
      </c>
    </row>
    <row r="3002">
      <c r="A3002" t="inlineStr">
        <is>
          <t>MIAMIDA30TM</t>
        </is>
      </c>
      <c r="B3002" t="inlineStr">
        <is>
          <t>MIA ORIGINAL DAMA</t>
        </is>
      </c>
      <c r="C3002" t="inlineStr">
        <is>
          <t>Manufactura / Dama / P. Superiores</t>
        </is>
      </c>
      <c r="D3002" t="n">
        <v>34.80336463</v>
      </c>
      <c r="E3002" t="n">
        <v>8.520997241152581e-06</v>
      </c>
      <c r="F3002" t="n">
        <v>0.9984641262053467</v>
      </c>
      <c r="G3002" t="inlineStr">
        <is>
          <t>C</t>
        </is>
      </c>
      <c r="H3002" t="n">
        <v>0</v>
      </c>
      <c r="I3002" t="n">
        <v>3.94</v>
      </c>
      <c r="J3002" t="n">
        <v>0</v>
      </c>
      <c r="K3002" t="n">
        <v>0.1</v>
      </c>
      <c r="L3002" t="n">
        <v>0</v>
      </c>
      <c r="M3002" t="n">
        <v>4</v>
      </c>
      <c r="N3002" t="n">
        <v>0.4</v>
      </c>
      <c r="O3002" t="n">
        <v>0</v>
      </c>
      <c r="P3002" t="n">
        <v>0</v>
      </c>
      <c r="Q3002" t="n">
        <v>0</v>
      </c>
      <c r="R3002" t="inlineStr">
        <is>
          <t>Sin rotación</t>
        </is>
      </c>
    </row>
    <row r="3003">
      <c r="A3003" t="inlineStr">
        <is>
          <t>SUC03EQV</t>
        </is>
      </c>
      <c r="B3003" t="inlineStr">
        <is>
          <t>SUNNY CORD ORIGINAL</t>
        </is>
      </c>
      <c r="C3003" t="inlineStr">
        <is>
          <t>Equipamiento / Accesorios</t>
        </is>
      </c>
      <c r="D3003" t="n">
        <v>34.689854869</v>
      </c>
      <c r="E3003" t="n">
        <v>8.493206354535511e-06</v>
      </c>
      <c r="F3003" t="n">
        <v>0.9984726194117013</v>
      </c>
      <c r="G3003" t="inlineStr">
        <is>
          <t>C</t>
        </is>
      </c>
      <c r="H3003" t="n">
        <v>116</v>
      </c>
      <c r="I3003" t="n">
        <v>0.51</v>
      </c>
      <c r="J3003" t="n">
        <v>59.16</v>
      </c>
      <c r="K3003" t="n">
        <v>1</v>
      </c>
      <c r="L3003" t="n">
        <v>116</v>
      </c>
      <c r="M3003" t="n">
        <v>4</v>
      </c>
      <c r="N3003" t="n">
        <v>4</v>
      </c>
      <c r="O3003" t="n">
        <v>112</v>
      </c>
      <c r="P3003" t="n">
        <v>57.12</v>
      </c>
      <c r="Q3003" t="n">
        <v>0.9655172413793104</v>
      </c>
      <c r="R3003" t="inlineStr">
        <is>
          <t>Sobrestock crítico</t>
        </is>
      </c>
    </row>
    <row r="3004">
      <c r="A3004" t="inlineStr">
        <is>
          <t>ANDMIDA16TL</t>
        </is>
      </c>
      <c r="B3004" t="inlineStr">
        <is>
          <t>ANDRE ORIGINAL DAMA</t>
        </is>
      </c>
      <c r="C3004" t="inlineStr">
        <is>
          <t>Manufactura / Dama / P. Superiores</t>
        </is>
      </c>
      <c r="D3004" t="n">
        <v>34.68068106</v>
      </c>
      <c r="E3004" t="n">
        <v>8.490960307292352e-06</v>
      </c>
      <c r="F3004" t="n">
        <v>0.9984811103720086</v>
      </c>
      <c r="G3004" t="inlineStr">
        <is>
          <t>C</t>
        </is>
      </c>
      <c r="H3004" t="n">
        <v>0</v>
      </c>
      <c r="I3004" t="n">
        <v>3.274295302</v>
      </c>
      <c r="J3004" t="n">
        <v>0</v>
      </c>
      <c r="K3004" t="n">
        <v>0.1</v>
      </c>
      <c r="L3004" t="n">
        <v>0</v>
      </c>
      <c r="M3004" t="n">
        <v>4</v>
      </c>
      <c r="N3004" t="n">
        <v>0.4</v>
      </c>
      <c r="O3004" t="n">
        <v>0</v>
      </c>
      <c r="P3004" t="n">
        <v>0</v>
      </c>
      <c r="Q3004" t="n">
        <v>0</v>
      </c>
      <c r="R3004" t="inlineStr">
        <is>
          <t>Riesgo bajo stock</t>
        </is>
      </c>
    </row>
    <row r="3005">
      <c r="A3005" t="inlineStr">
        <is>
          <t>SHOSUKI104T4</t>
        </is>
      </c>
      <c r="B3005" t="inlineStr">
        <is>
          <t>SHORT PLAYA ESTAMPADO KIDS</t>
        </is>
      </c>
      <c r="C3005" t="inlineStr">
        <is>
          <t>Manufactura / Kids / P. Superiores</t>
        </is>
      </c>
      <c r="D3005" t="n">
        <v>34.62524472</v>
      </c>
      <c r="E3005" t="n">
        <v>8.477387685644374e-06</v>
      </c>
      <c r="F3005" t="n">
        <v>0.9984895877596942</v>
      </c>
      <c r="G3005" t="inlineStr">
        <is>
          <t>C</t>
        </is>
      </c>
      <c r="H3005" t="n">
        <v>5</v>
      </c>
      <c r="I3005" t="n">
        <v>7.21</v>
      </c>
      <c r="J3005" t="n">
        <v>36.05</v>
      </c>
      <c r="K3005" t="n">
        <v>0.1</v>
      </c>
      <c r="L3005" t="n">
        <v>50</v>
      </c>
      <c r="M3005" t="n">
        <v>4</v>
      </c>
      <c r="N3005" t="n">
        <v>0.4</v>
      </c>
      <c r="O3005" t="n">
        <v>4.6</v>
      </c>
      <c r="P3005" t="n">
        <v>33.166</v>
      </c>
      <c r="Q3005" t="n">
        <v>0.9199999999999999</v>
      </c>
      <c r="R3005" t="inlineStr">
        <is>
          <t>Sin rotación</t>
        </is>
      </c>
    </row>
    <row r="3006">
      <c r="A3006" t="inlineStr">
        <is>
          <t>MAFMEDA51TS</t>
        </is>
      </c>
      <c r="B3006" t="inlineStr">
        <is>
          <t>MAFE SPORT DAMA</t>
        </is>
      </c>
      <c r="C3006" t="inlineStr">
        <is>
          <t>Manufactura / Dama / P. Superiores</t>
        </is>
      </c>
      <c r="D3006" t="n">
        <v>34.59472442</v>
      </c>
      <c r="E3006" t="n">
        <v>8.469915322128262e-06</v>
      </c>
      <c r="F3006" t="n">
        <v>0.9984980576750163</v>
      </c>
      <c r="G3006" t="inlineStr">
        <is>
          <t>C</t>
        </is>
      </c>
      <c r="H3006" t="n">
        <v>0</v>
      </c>
      <c r="I3006" t="n">
        <v>5.35</v>
      </c>
      <c r="J3006" t="n">
        <v>0</v>
      </c>
      <c r="K3006" t="n">
        <v>0.1</v>
      </c>
      <c r="L3006" t="n">
        <v>0</v>
      </c>
      <c r="M3006" t="n">
        <v>4</v>
      </c>
      <c r="N3006" t="n">
        <v>0.4</v>
      </c>
      <c r="O3006" t="n">
        <v>0</v>
      </c>
      <c r="P3006" t="n">
        <v>0</v>
      </c>
      <c r="Q3006" t="n">
        <v>0</v>
      </c>
      <c r="R3006" t="inlineStr">
        <is>
          <t>Sin rotación</t>
        </is>
      </c>
    </row>
    <row r="3007">
      <c r="A3007" t="inlineStr">
        <is>
          <t>TOA12CL</t>
        </is>
      </c>
      <c r="B3007" t="inlineStr">
        <is>
          <t>TOALLA CLIP ORIGINAL</t>
        </is>
      </c>
      <c r="C3007" t="inlineStr">
        <is>
          <t>Equipamiento / Toallas</t>
        </is>
      </c>
      <c r="D3007" t="n">
        <v>34.46461127</v>
      </c>
      <c r="E3007" t="n">
        <v>8.438059385095324e-06</v>
      </c>
      <c r="F3007" t="n">
        <v>0.9985064957344014</v>
      </c>
      <c r="G3007" t="inlineStr">
        <is>
          <t>C</t>
        </is>
      </c>
      <c r="H3007" t="n">
        <v>0</v>
      </c>
      <c r="I3007" t="n">
        <v>5.11</v>
      </c>
      <c r="J3007" t="n">
        <v>0</v>
      </c>
      <c r="K3007" t="n">
        <v>0.2</v>
      </c>
      <c r="L3007" t="n">
        <v>0</v>
      </c>
      <c r="M3007" t="n">
        <v>4</v>
      </c>
      <c r="N3007" t="n">
        <v>0.8</v>
      </c>
      <c r="O3007" t="n">
        <v>0</v>
      </c>
      <c r="P3007" t="n">
        <v>0</v>
      </c>
      <c r="Q3007" t="n">
        <v>0</v>
      </c>
      <c r="R3007" t="inlineStr">
        <is>
          <t>Riesgo bajo stock</t>
        </is>
      </c>
    </row>
    <row r="3008">
      <c r="A3008" t="inlineStr">
        <is>
          <t>ANDMIDA70TM</t>
        </is>
      </c>
      <c r="B3008" t="inlineStr">
        <is>
          <t>ANDRE ORIGINAL DAMA</t>
        </is>
      </c>
      <c r="C3008" t="inlineStr">
        <is>
          <t>Manufactura / Dama / P. Superiores</t>
        </is>
      </c>
      <c r="D3008" t="n">
        <v>34.43650221</v>
      </c>
      <c r="E3008" t="n">
        <v>8.431177371667664e-06</v>
      </c>
      <c r="F3008" t="n">
        <v>0.9985149269117731</v>
      </c>
      <c r="G3008" t="inlineStr">
        <is>
          <t>C</t>
        </is>
      </c>
      <c r="H3008" t="n">
        <v>0</v>
      </c>
      <c r="I3008" t="n">
        <v>3.274295302</v>
      </c>
      <c r="J3008" t="n">
        <v>0</v>
      </c>
      <c r="K3008" t="n">
        <v>0.1</v>
      </c>
      <c r="L3008" t="n">
        <v>0</v>
      </c>
      <c r="M3008" t="n">
        <v>4</v>
      </c>
      <c r="N3008" t="n">
        <v>0.4</v>
      </c>
      <c r="O3008" t="n">
        <v>0</v>
      </c>
      <c r="P3008" t="n">
        <v>0</v>
      </c>
      <c r="Q3008" t="n">
        <v>0</v>
      </c>
      <c r="R3008" t="inlineStr">
        <is>
          <t>Sin rotación</t>
        </is>
      </c>
    </row>
    <row r="3009">
      <c r="A3009" t="inlineStr">
        <is>
          <t>MANMIGE01TP</t>
        </is>
      </c>
      <c r="B3009" t="inlineStr">
        <is>
          <t>MANGAS GENERAL</t>
        </is>
      </c>
      <c r="C3009" t="inlineStr">
        <is>
          <t>Manufactura / General</t>
        </is>
      </c>
      <c r="D3009" t="n">
        <v>34.41871405</v>
      </c>
      <c r="E3009" t="n">
        <v>8.426822250721843e-06</v>
      </c>
      <c r="F3009" t="n">
        <v>0.9985233537340239</v>
      </c>
      <c r="G3009" t="inlineStr">
        <is>
          <t>C</t>
        </is>
      </c>
      <c r="H3009" t="n">
        <v>14</v>
      </c>
      <c r="I3009" t="n">
        <v>0.92</v>
      </c>
      <c r="J3009" t="n">
        <v>12.88</v>
      </c>
      <c r="K3009" t="n">
        <v>0.2</v>
      </c>
      <c r="L3009" t="n">
        <v>70</v>
      </c>
      <c r="M3009" t="n">
        <v>4</v>
      </c>
      <c r="N3009" t="n">
        <v>0.8</v>
      </c>
      <c r="O3009" t="n">
        <v>13.2</v>
      </c>
      <c r="P3009" t="n">
        <v>12.144</v>
      </c>
      <c r="Q3009" t="n">
        <v>0.9428571428571428</v>
      </c>
      <c r="R3009" t="inlineStr">
        <is>
          <t>Sobrestock crítico</t>
        </is>
      </c>
    </row>
    <row r="3010">
      <c r="A3010" t="inlineStr">
        <is>
          <t>EXPSTKI30T10</t>
        </is>
      </c>
      <c r="B3010" t="inlineStr">
        <is>
          <t>CLASICA RETRO 2.0 KIDS</t>
        </is>
      </c>
      <c r="C3010" t="inlineStr">
        <is>
          <t>Manufactura / Kids / P. Superiores</t>
        </is>
      </c>
      <c r="D3010" t="n">
        <v>34.41842384</v>
      </c>
      <c r="E3010" t="n">
        <v>8.426751197861419e-06</v>
      </c>
      <c r="F3010" t="n">
        <v>0.9985317804852217</v>
      </c>
      <c r="G3010" t="inlineStr">
        <is>
          <t>C</t>
        </is>
      </c>
      <c r="H3010" t="n">
        <v>0</v>
      </c>
      <c r="I3010" t="n">
        <v>1</v>
      </c>
      <c r="J3010" t="n">
        <v>0</v>
      </c>
      <c r="K3010" t="n">
        <v>0.1</v>
      </c>
      <c r="L3010" t="n">
        <v>0</v>
      </c>
      <c r="M3010" t="n">
        <v>4</v>
      </c>
      <c r="N3010" t="n">
        <v>0.4</v>
      </c>
      <c r="O3010" t="n">
        <v>0</v>
      </c>
      <c r="P3010" t="n">
        <v>0</v>
      </c>
      <c r="Q3010" t="n">
        <v>0</v>
      </c>
      <c r="R3010" t="inlineStr">
        <is>
          <t>Sin rotación</t>
        </is>
      </c>
    </row>
    <row r="3011">
      <c r="A3011" t="inlineStr">
        <is>
          <t>CLAMIDA48TXL</t>
        </is>
      </c>
      <c r="B3011" t="inlineStr">
        <is>
          <t>CLASICA ORIGINAL DAMA</t>
        </is>
      </c>
      <c r="C3011" t="inlineStr">
        <is>
          <t>Manufactura / Dama / P. Superiores</t>
        </is>
      </c>
      <c r="D3011" t="n">
        <v>34.4155505</v>
      </c>
      <c r="E3011" t="n">
        <v>8.426047710641917e-06</v>
      </c>
      <c r="F3011" t="n">
        <v>0.9985402065329324</v>
      </c>
      <c r="G3011" t="inlineStr">
        <is>
          <t>C</t>
        </is>
      </c>
      <c r="H3011" t="n">
        <v>2</v>
      </c>
      <c r="I3011" t="n">
        <v>3.923227589</v>
      </c>
      <c r="J3011" t="n">
        <v>7.846455178</v>
      </c>
      <c r="K3011" t="n">
        <v>0.1</v>
      </c>
      <c r="L3011" t="n">
        <v>20</v>
      </c>
      <c r="M3011" t="n">
        <v>4</v>
      </c>
      <c r="N3011" t="n">
        <v>0.4</v>
      </c>
      <c r="O3011" t="n">
        <v>1.6</v>
      </c>
      <c r="P3011" t="n">
        <v>6.2771641424</v>
      </c>
      <c r="Q3011" t="n">
        <v>0.8</v>
      </c>
      <c r="R3011" t="inlineStr">
        <is>
          <t>Sobrestock crítico</t>
        </is>
      </c>
    </row>
    <row r="3012">
      <c r="A3012" t="inlineStr">
        <is>
          <t>MIAMIDA12TXL</t>
        </is>
      </c>
      <c r="B3012" t="inlineStr">
        <is>
          <t>MIA ORIGINAL DAMA</t>
        </is>
      </c>
      <c r="C3012" t="inlineStr">
        <is>
          <t>Manufactura / Dama / P. Superiores</t>
        </is>
      </c>
      <c r="D3012" t="n">
        <v>34.29420662</v>
      </c>
      <c r="E3012" t="n">
        <v>8.396338776528703e-06</v>
      </c>
      <c r="F3012" t="n">
        <v>0.9985569992104855</v>
      </c>
      <c r="G3012" t="inlineStr">
        <is>
          <t>C</t>
        </is>
      </c>
      <c r="H3012" t="n">
        <v>0</v>
      </c>
      <c r="I3012" t="n">
        <v>3.94</v>
      </c>
      <c r="J3012" t="n">
        <v>0</v>
      </c>
      <c r="K3012" t="n">
        <v>0.1</v>
      </c>
      <c r="L3012" t="n">
        <v>0</v>
      </c>
      <c r="M3012" t="n">
        <v>4</v>
      </c>
      <c r="N3012" t="n">
        <v>0.4</v>
      </c>
      <c r="O3012" t="n">
        <v>0</v>
      </c>
      <c r="P3012" t="n">
        <v>0</v>
      </c>
      <c r="Q3012" t="n">
        <v>0</v>
      </c>
      <c r="R3012" t="inlineStr">
        <is>
          <t>Sin rotación</t>
        </is>
      </c>
    </row>
    <row r="3013">
      <c r="A3013" t="inlineStr">
        <is>
          <t>MIAMIDA30TXL</t>
        </is>
      </c>
      <c r="B3013" t="inlineStr">
        <is>
          <t>MIA ORIGINAL DAMA</t>
        </is>
      </c>
      <c r="C3013" t="inlineStr">
        <is>
          <t>Manufactura / Dama / P. Superiores</t>
        </is>
      </c>
      <c r="D3013" t="n">
        <v>34.29420662</v>
      </c>
      <c r="E3013" t="n">
        <v>8.396338776528703e-06</v>
      </c>
      <c r="F3013" t="n">
        <v>0.9985569992104855</v>
      </c>
      <c r="G3013" t="inlineStr">
        <is>
          <t>C</t>
        </is>
      </c>
      <c r="H3013" t="n">
        <v>0</v>
      </c>
      <c r="I3013" t="n">
        <v>3.94</v>
      </c>
      <c r="J3013" t="n">
        <v>0</v>
      </c>
      <c r="K3013" t="n">
        <v>0.1</v>
      </c>
      <c r="L3013" t="n">
        <v>0</v>
      </c>
      <c r="M3013" t="n">
        <v>4</v>
      </c>
      <c r="N3013" t="n">
        <v>0.4</v>
      </c>
      <c r="O3013" t="n">
        <v>0</v>
      </c>
      <c r="P3013" t="n">
        <v>0</v>
      </c>
      <c r="Q3013" t="n">
        <v>0</v>
      </c>
      <c r="R3013" t="inlineStr">
        <is>
          <t>Sin rotación</t>
        </is>
      </c>
    </row>
    <row r="3014">
      <c r="A3014" t="inlineStr">
        <is>
          <t>AQUSTDA43TXL</t>
        </is>
      </c>
      <c r="B3014" t="inlineStr">
        <is>
          <t>RETRO VZLA DAMA</t>
        </is>
      </c>
      <c r="C3014" t="inlineStr">
        <is>
          <t>Manufactura / Dama / P. Superiores</t>
        </is>
      </c>
      <c r="D3014" t="n">
        <v>34.23416398</v>
      </c>
      <c r="E3014" t="n">
        <v>8.381638382609016e-06</v>
      </c>
      <c r="F3014" t="n">
        <v>0.998565380848868</v>
      </c>
      <c r="G3014" t="inlineStr">
        <is>
          <t>C</t>
        </is>
      </c>
      <c r="H3014" t="n">
        <v>1</v>
      </c>
      <c r="I3014" t="n">
        <v>11.23</v>
      </c>
      <c r="J3014" t="n">
        <v>11.23</v>
      </c>
      <c r="K3014" t="n">
        <v>0.2</v>
      </c>
      <c r="L3014" t="n">
        <v>5</v>
      </c>
      <c r="M3014" t="n">
        <v>4</v>
      </c>
      <c r="N3014" t="n">
        <v>0.8</v>
      </c>
      <c r="O3014" t="n">
        <v>0.2</v>
      </c>
      <c r="P3014" t="n">
        <v>2.246</v>
      </c>
      <c r="Q3014" t="n">
        <v>0.2</v>
      </c>
      <c r="R3014" t="inlineStr">
        <is>
          <t>Sobrestock</t>
        </is>
      </c>
    </row>
    <row r="3015">
      <c r="A3015" t="inlineStr">
        <is>
          <t>SHOUNKI23T6</t>
        </is>
      </c>
      <c r="B3015" t="inlineStr">
        <is>
          <t>SHORT PLAYA KIDS</t>
        </is>
      </c>
      <c r="C3015" t="inlineStr">
        <is>
          <t>Manufactura / Kids / P. Inferiores</t>
        </is>
      </c>
      <c r="D3015" t="n">
        <v>34.17266339</v>
      </c>
      <c r="E3015" t="n">
        <v>8.366581035042466e-06</v>
      </c>
      <c r="F3015" t="n">
        <v>0.998573747429903</v>
      </c>
      <c r="G3015" t="inlineStr">
        <is>
          <t>C</t>
        </is>
      </c>
      <c r="H3015" t="n">
        <v>4</v>
      </c>
      <c r="I3015" t="n">
        <v>6.09</v>
      </c>
      <c r="J3015" t="n">
        <v>24.36</v>
      </c>
      <c r="K3015" t="n">
        <v>0.1</v>
      </c>
      <c r="L3015" t="n">
        <v>40</v>
      </c>
      <c r="M3015" t="n">
        <v>4</v>
      </c>
      <c r="N3015" t="n">
        <v>0.4</v>
      </c>
      <c r="O3015" t="n">
        <v>3.6</v>
      </c>
      <c r="P3015" t="n">
        <v>21.924</v>
      </c>
      <c r="Q3015" t="n">
        <v>0.9</v>
      </c>
      <c r="R3015" t="inlineStr">
        <is>
          <t>Sobrestock crítico</t>
        </is>
      </c>
    </row>
    <row r="3016">
      <c r="A3016" t="inlineStr">
        <is>
          <t>MAYFNDA70T2XL</t>
        </is>
      </c>
      <c r="B3016" t="inlineStr">
        <is>
          <t>MAYA SPORT LITE DAMA</t>
        </is>
      </c>
      <c r="C3016" t="inlineStr">
        <is>
          <t>Manufactura / Dama / P. Superiores</t>
        </is>
      </c>
      <c r="D3016" t="n">
        <v>34.15261117</v>
      </c>
      <c r="E3016" t="n">
        <v>8.361671598465991e-06</v>
      </c>
      <c r="F3016" t="n">
        <v>0.9985904707730999</v>
      </c>
      <c r="G3016" t="inlineStr">
        <is>
          <t>C</t>
        </is>
      </c>
      <c r="H3016" t="n">
        <v>2</v>
      </c>
      <c r="I3016" t="n">
        <v>3.87</v>
      </c>
      <c r="J3016" t="n">
        <v>7.74</v>
      </c>
      <c r="K3016" t="n">
        <v>0.1</v>
      </c>
      <c r="L3016" t="n">
        <v>20</v>
      </c>
      <c r="M3016" t="n">
        <v>4</v>
      </c>
      <c r="N3016" t="n">
        <v>0.4</v>
      </c>
      <c r="O3016" t="n">
        <v>1.6</v>
      </c>
      <c r="P3016" t="n">
        <v>6.192</v>
      </c>
      <c r="Q3016" t="n">
        <v>0.8</v>
      </c>
      <c r="R3016" t="inlineStr">
        <is>
          <t>Sin rotación</t>
        </is>
      </c>
    </row>
    <row r="3017">
      <c r="A3017" t="inlineStr">
        <is>
          <t>MAYFNDA24TXL</t>
        </is>
      </c>
      <c r="B3017" t="inlineStr">
        <is>
          <t>MAYA SPORT LITE DAMA</t>
        </is>
      </c>
      <c r="C3017" t="inlineStr">
        <is>
          <t>Manufactura / Dama / P. Superiores</t>
        </is>
      </c>
      <c r="D3017" t="n">
        <v>34.15261117</v>
      </c>
      <c r="E3017" t="n">
        <v>8.361671598465991e-06</v>
      </c>
      <c r="F3017" t="n">
        <v>0.9985904707730999</v>
      </c>
      <c r="G3017" t="inlineStr">
        <is>
          <t>C</t>
        </is>
      </c>
      <c r="H3017" t="n">
        <v>0</v>
      </c>
      <c r="I3017" t="n">
        <v>3.87</v>
      </c>
      <c r="J3017" t="n">
        <v>0</v>
      </c>
      <c r="K3017" t="n">
        <v>0.1</v>
      </c>
      <c r="L3017" t="n">
        <v>0</v>
      </c>
      <c r="M3017" t="n">
        <v>4</v>
      </c>
      <c r="N3017" t="n">
        <v>0.4</v>
      </c>
      <c r="O3017" t="n">
        <v>0</v>
      </c>
      <c r="P3017" t="n">
        <v>0</v>
      </c>
      <c r="Q3017" t="n">
        <v>0</v>
      </c>
      <c r="R3017" t="inlineStr">
        <is>
          <t>Sin rotación</t>
        </is>
      </c>
    </row>
    <row r="3018">
      <c r="A3018" t="inlineStr">
        <is>
          <t>SABMEDA63TS</t>
        </is>
      </c>
      <c r="B3018" t="inlineStr">
        <is>
          <t>SABRI SPORT DAMA</t>
        </is>
      </c>
      <c r="C3018" t="inlineStr">
        <is>
          <t>Manufactura / Dama / P. Superiores</t>
        </is>
      </c>
      <c r="D3018" t="n">
        <v>34.09261041</v>
      </c>
      <c r="E3018" t="n">
        <v>8.346981458134376e-06</v>
      </c>
      <c r="F3018" t="n">
        <v>0.9985988177545582</v>
      </c>
      <c r="G3018" t="inlineStr">
        <is>
          <t>C</t>
        </is>
      </c>
      <c r="H3018" t="n">
        <v>0</v>
      </c>
      <c r="I3018" t="n">
        <v>4.51</v>
      </c>
      <c r="J3018" t="n">
        <v>0</v>
      </c>
      <c r="K3018" t="n">
        <v>0.1</v>
      </c>
      <c r="L3018" t="n">
        <v>0</v>
      </c>
      <c r="M3018" t="n">
        <v>4</v>
      </c>
      <c r="N3018" t="n">
        <v>0.4</v>
      </c>
      <c r="O3018" t="n">
        <v>0</v>
      </c>
      <c r="P3018" t="n">
        <v>0</v>
      </c>
      <c r="Q3018" t="n">
        <v>0</v>
      </c>
      <c r="R3018" t="inlineStr">
        <is>
          <t>Sin rotación</t>
        </is>
      </c>
    </row>
    <row r="3019">
      <c r="A3019" t="inlineStr">
        <is>
          <t>VIVMIDA04TXS</t>
        </is>
      </c>
      <c r="B3019" t="inlineStr">
        <is>
          <t>VIVI ORIGINAL DAMA</t>
        </is>
      </c>
      <c r="C3019" t="inlineStr">
        <is>
          <t>Manufactura / Dama / P. Superiores</t>
        </is>
      </c>
      <c r="D3019" t="n">
        <v>33.84445747</v>
      </c>
      <c r="E3019" t="n">
        <v>8.28622553583768e-06</v>
      </c>
      <c r="F3019" t="n">
        <v>0.9986071039800939</v>
      </c>
      <c r="G3019" t="inlineStr">
        <is>
          <t>C</t>
        </is>
      </c>
      <c r="H3019" t="n">
        <v>0</v>
      </c>
      <c r="I3019" t="n">
        <v>4.303181706</v>
      </c>
      <c r="J3019" t="n">
        <v>0</v>
      </c>
      <c r="K3019" t="n">
        <v>0.1</v>
      </c>
      <c r="L3019" t="n">
        <v>0</v>
      </c>
      <c r="M3019" t="n">
        <v>4</v>
      </c>
      <c r="N3019" t="n">
        <v>0.4</v>
      </c>
      <c r="O3019" t="n">
        <v>0</v>
      </c>
      <c r="P3019" t="n">
        <v>0</v>
      </c>
      <c r="Q3019" t="n">
        <v>0</v>
      </c>
      <c r="R3019" t="inlineStr">
        <is>
          <t>Sin rotación</t>
        </is>
      </c>
    </row>
    <row r="3020">
      <c r="A3020" t="inlineStr">
        <is>
          <t>GOOSTCA43TS</t>
        </is>
      </c>
      <c r="B3020" t="inlineStr">
        <is>
          <t>RETRO VZLA CAB</t>
        </is>
      </c>
      <c r="C3020" t="inlineStr">
        <is>
          <t>Manufactura / Caballero / P. Superiores</t>
        </is>
      </c>
      <c r="D3020" t="n">
        <v>33.82825099</v>
      </c>
      <c r="E3020" t="n">
        <v>8.282257661672727e-06</v>
      </c>
      <c r="F3020" t="n">
        <v>0.9986236684954173</v>
      </c>
      <c r="G3020" t="inlineStr">
        <is>
          <t>C</t>
        </is>
      </c>
      <c r="H3020" t="n">
        <v>0</v>
      </c>
      <c r="I3020" t="n">
        <v>12.9</v>
      </c>
      <c r="J3020" t="n">
        <v>0</v>
      </c>
      <c r="K3020" t="n">
        <v>0.1</v>
      </c>
      <c r="L3020" t="n">
        <v>0</v>
      </c>
      <c r="M3020" t="n">
        <v>4</v>
      </c>
      <c r="N3020" t="n">
        <v>0.4</v>
      </c>
      <c r="O3020" t="n">
        <v>0</v>
      </c>
      <c r="P3020" t="n">
        <v>0</v>
      </c>
      <c r="Q3020" t="n">
        <v>0</v>
      </c>
      <c r="R3020" t="inlineStr">
        <is>
          <t>Sin rotación</t>
        </is>
      </c>
    </row>
    <row r="3021">
      <c r="A3021" t="inlineStr">
        <is>
          <t>GOOSTDA16TS</t>
        </is>
      </c>
      <c r="B3021" t="inlineStr">
        <is>
          <t>RETRO VZLA DAMA</t>
        </is>
      </c>
      <c r="C3021" t="inlineStr">
        <is>
          <t>Manufactura / Dama / P. Superiores</t>
        </is>
      </c>
      <c r="D3021" t="n">
        <v>33.82825099</v>
      </c>
      <c r="E3021" t="n">
        <v>8.282257661672727e-06</v>
      </c>
      <c r="F3021" t="n">
        <v>0.9986236684954173</v>
      </c>
      <c r="G3021" t="inlineStr">
        <is>
          <t>C</t>
        </is>
      </c>
      <c r="H3021" t="n">
        <v>0</v>
      </c>
      <c r="I3021" t="n">
        <v>11.23</v>
      </c>
      <c r="J3021" t="n">
        <v>0</v>
      </c>
      <c r="K3021" t="n">
        <v>0.1</v>
      </c>
      <c r="L3021" t="n">
        <v>0</v>
      </c>
      <c r="M3021" t="n">
        <v>4</v>
      </c>
      <c r="N3021" t="n">
        <v>0.4</v>
      </c>
      <c r="O3021" t="n">
        <v>0</v>
      </c>
      <c r="P3021" t="n">
        <v>0</v>
      </c>
      <c r="Q3021" t="n">
        <v>0</v>
      </c>
      <c r="R3021" t="inlineStr">
        <is>
          <t>Sin rotación</t>
        </is>
      </c>
    </row>
    <row r="3022">
      <c r="A3022" t="inlineStr">
        <is>
          <t>SABMEDA63TL</t>
        </is>
      </c>
      <c r="B3022" t="inlineStr">
        <is>
          <t>SABRI SPORT DAMA</t>
        </is>
      </c>
      <c r="C3022" t="inlineStr">
        <is>
          <t>Manufactura / Dama / P. Superiores</t>
        </is>
      </c>
      <c r="D3022" t="n">
        <v>33.74742011</v>
      </c>
      <c r="E3022" t="n">
        <v>8.262467629507669e-06</v>
      </c>
      <c r="F3022" t="n">
        <v>0.9986319309630468</v>
      </c>
      <c r="G3022" t="inlineStr">
        <is>
          <t>C</t>
        </is>
      </c>
      <c r="H3022" t="n">
        <v>2</v>
      </c>
      <c r="I3022" t="n">
        <v>4.51</v>
      </c>
      <c r="J3022" t="n">
        <v>9.02</v>
      </c>
      <c r="K3022" t="n">
        <v>0.1</v>
      </c>
      <c r="L3022" t="n">
        <v>20</v>
      </c>
      <c r="M3022" t="n">
        <v>4</v>
      </c>
      <c r="N3022" t="n">
        <v>0.4</v>
      </c>
      <c r="O3022" t="n">
        <v>1.6</v>
      </c>
      <c r="P3022" t="n">
        <v>7.216</v>
      </c>
      <c r="Q3022" t="n">
        <v>0.8</v>
      </c>
      <c r="R3022" t="inlineStr">
        <is>
          <t>Sin rotación</t>
        </is>
      </c>
    </row>
    <row r="3023">
      <c r="A3023" t="inlineStr">
        <is>
          <t>CLAMIKI04T2</t>
        </is>
      </c>
      <c r="B3023" t="inlineStr">
        <is>
          <t>CLASICA ORIGINAL KIDS</t>
        </is>
      </c>
      <c r="C3023" t="inlineStr">
        <is>
          <t>Manufactura / Kids / P. Superiores</t>
        </is>
      </c>
      <c r="D3023" t="n">
        <v>33.63596244</v>
      </c>
      <c r="E3023" t="n">
        <v>8.235179161606015e-06</v>
      </c>
      <c r="F3023" t="n">
        <v>0.9986401661422084</v>
      </c>
      <c r="G3023" t="inlineStr">
        <is>
          <t>C</t>
        </is>
      </c>
      <c r="H3023" t="n">
        <v>1</v>
      </c>
      <c r="I3023" t="n">
        <v>2.053774806</v>
      </c>
      <c r="J3023" t="n">
        <v>2.053774806</v>
      </c>
      <c r="K3023" t="n">
        <v>0.1</v>
      </c>
      <c r="L3023" t="n">
        <v>10</v>
      </c>
      <c r="M3023" t="n">
        <v>4</v>
      </c>
      <c r="N3023" t="n">
        <v>0.4</v>
      </c>
      <c r="O3023" t="n">
        <v>0.6</v>
      </c>
      <c r="P3023" t="n">
        <v>1.2322648836</v>
      </c>
      <c r="Q3023" t="n">
        <v>0.6</v>
      </c>
      <c r="R3023" t="inlineStr">
        <is>
          <t>Sin rotación</t>
        </is>
      </c>
    </row>
    <row r="3024">
      <c r="A3024" t="inlineStr">
        <is>
          <t>MANMIGE52TG</t>
        </is>
      </c>
      <c r="B3024" t="inlineStr">
        <is>
          <t>MANGAS GENERAL</t>
        </is>
      </c>
      <c r="C3024" t="inlineStr">
        <is>
          <t>Manufactura / General</t>
        </is>
      </c>
      <c r="D3024" t="n">
        <v>33.62347795</v>
      </c>
      <c r="E3024" t="n">
        <v>8.232122551821928e-06</v>
      </c>
      <c r="F3024" t="n">
        <v>0.9986483982647602</v>
      </c>
      <c r="G3024" t="inlineStr">
        <is>
          <t>C</t>
        </is>
      </c>
      <c r="H3024" t="n">
        <v>1</v>
      </c>
      <c r="I3024" t="n">
        <v>0.92</v>
      </c>
      <c r="J3024" t="n">
        <v>0.92</v>
      </c>
      <c r="K3024" t="n">
        <v>0.2</v>
      </c>
      <c r="L3024" t="n">
        <v>5</v>
      </c>
      <c r="M3024" t="n">
        <v>4</v>
      </c>
      <c r="N3024" t="n">
        <v>0.8</v>
      </c>
      <c r="O3024" t="n">
        <v>0.2</v>
      </c>
      <c r="P3024" t="n">
        <v>0.184</v>
      </c>
      <c r="Q3024" t="n">
        <v>0.2</v>
      </c>
      <c r="R3024" t="inlineStr">
        <is>
          <t>Sobrestock</t>
        </is>
      </c>
    </row>
    <row r="3025">
      <c r="A3025" t="inlineStr">
        <is>
          <t>SHOSUKI109T6</t>
        </is>
      </c>
      <c r="B3025" t="inlineStr">
        <is>
          <t>SHORT PLAYA ESTAMPADO KIDS</t>
        </is>
      </c>
      <c r="C3025" t="inlineStr">
        <is>
          <t>Manufactura / Kids / P. Superiores</t>
        </is>
      </c>
      <c r="D3025" t="n">
        <v>33.4994525</v>
      </c>
      <c r="E3025" t="n">
        <v>8.20175708203135e-06</v>
      </c>
      <c r="F3025" t="n">
        <v>0.9986566000218422</v>
      </c>
      <c r="G3025" t="inlineStr">
        <is>
          <t>C</t>
        </is>
      </c>
      <c r="H3025" t="n">
        <v>0</v>
      </c>
      <c r="I3025" t="n">
        <v>7.21</v>
      </c>
      <c r="J3025" t="n">
        <v>0</v>
      </c>
      <c r="K3025" t="n">
        <v>0.1</v>
      </c>
      <c r="L3025" t="n">
        <v>0</v>
      </c>
      <c r="M3025" t="n">
        <v>4</v>
      </c>
      <c r="N3025" t="n">
        <v>0.4</v>
      </c>
      <c r="O3025" t="n">
        <v>0</v>
      </c>
      <c r="P3025" t="n">
        <v>0</v>
      </c>
      <c r="Q3025" t="n">
        <v>0</v>
      </c>
      <c r="R3025" t="inlineStr">
        <is>
          <t>Sin rotación</t>
        </is>
      </c>
    </row>
    <row r="3026">
      <c r="A3026" t="inlineStr">
        <is>
          <t>VIVMIDA11TXS</t>
        </is>
      </c>
      <c r="B3026" t="inlineStr">
        <is>
          <t>VIVI ORIGINAL DAMA</t>
        </is>
      </c>
      <c r="C3026" t="inlineStr">
        <is>
          <t>Manufactura / Dama / P. Superiores</t>
        </is>
      </c>
      <c r="D3026" t="n">
        <v>33.46935759</v>
      </c>
      <c r="E3026" t="n">
        <v>8.19438886784261e-06</v>
      </c>
      <c r="F3026" t="n">
        <v>0.9986647944107101</v>
      </c>
      <c r="G3026" t="inlineStr">
        <is>
          <t>C</t>
        </is>
      </c>
      <c r="H3026" t="n">
        <v>3</v>
      </c>
      <c r="I3026" t="n">
        <v>4.303181706</v>
      </c>
      <c r="J3026" t="n">
        <v>12.909545118</v>
      </c>
      <c r="K3026" t="n">
        <v>0.3</v>
      </c>
      <c r="L3026" t="n">
        <v>10</v>
      </c>
      <c r="M3026" t="n">
        <v>4</v>
      </c>
      <c r="N3026" t="n">
        <v>1.2</v>
      </c>
      <c r="O3026" t="n">
        <v>1.8</v>
      </c>
      <c r="P3026" t="n">
        <v>7.7457270708</v>
      </c>
      <c r="Q3026" t="n">
        <v>0.6</v>
      </c>
      <c r="R3026" t="inlineStr">
        <is>
          <t>Sobrestock crítico</t>
        </is>
      </c>
    </row>
    <row r="3027">
      <c r="A3027" t="inlineStr">
        <is>
          <t>CLASTKI16T6</t>
        </is>
      </c>
      <c r="B3027" t="inlineStr">
        <is>
          <t>CLASICA ALGODON STRETCH KIDS</t>
        </is>
      </c>
      <c r="C3027" t="inlineStr">
        <is>
          <t>Manufactura / Dama / P. Superiores</t>
        </is>
      </c>
      <c r="D3027" t="n">
        <v>33.46022369</v>
      </c>
      <c r="E3027" t="n">
        <v>8.192152591622525e-06</v>
      </c>
      <c r="F3027" t="n">
        <v>0.9986729865633018</v>
      </c>
      <c r="G3027" t="inlineStr">
        <is>
          <t>C</t>
        </is>
      </c>
      <c r="H3027" t="n">
        <v>0</v>
      </c>
      <c r="I3027" t="n">
        <v>9.27</v>
      </c>
      <c r="J3027" t="n">
        <v>0</v>
      </c>
      <c r="K3027" t="n">
        <v>0.1</v>
      </c>
      <c r="L3027" t="n">
        <v>0</v>
      </c>
      <c r="M3027" t="n">
        <v>4</v>
      </c>
      <c r="N3027" t="n">
        <v>0.4</v>
      </c>
      <c r="O3027" t="n">
        <v>0</v>
      </c>
      <c r="P3027" t="n">
        <v>0</v>
      </c>
      <c r="Q3027" t="n">
        <v>0</v>
      </c>
      <c r="R3027" t="inlineStr">
        <is>
          <t>Sin rotación</t>
        </is>
      </c>
    </row>
    <row r="3028">
      <c r="A3028" t="inlineStr">
        <is>
          <t>CLAMIKI11T1</t>
        </is>
      </c>
      <c r="B3028" t="inlineStr">
        <is>
          <t>CLASICA ORIGINAL KIDS</t>
        </is>
      </c>
      <c r="C3028" t="inlineStr">
        <is>
          <t>Manufactura / Kids / P. Superiores</t>
        </is>
      </c>
      <c r="D3028" t="n">
        <v>33.27796396</v>
      </c>
      <c r="E3028" t="n">
        <v>8.147529473340321e-06</v>
      </c>
      <c r="F3028" t="n">
        <v>0.9986811340927751</v>
      </c>
      <c r="G3028" t="inlineStr">
        <is>
          <t>C</t>
        </is>
      </c>
      <c r="H3028" t="n">
        <v>0</v>
      </c>
      <c r="I3028" t="n">
        <v>2.053774806</v>
      </c>
      <c r="J3028" t="n">
        <v>0</v>
      </c>
      <c r="K3028" t="n">
        <v>0.1</v>
      </c>
      <c r="L3028" t="n">
        <v>0</v>
      </c>
      <c r="M3028" t="n">
        <v>4</v>
      </c>
      <c r="N3028" t="n">
        <v>0.4</v>
      </c>
      <c r="O3028" t="n">
        <v>0</v>
      </c>
      <c r="P3028" t="n">
        <v>0</v>
      </c>
      <c r="Q3028" t="n">
        <v>0</v>
      </c>
      <c r="R3028" t="inlineStr">
        <is>
          <t>Sin rotación</t>
        </is>
      </c>
    </row>
    <row r="3029">
      <c r="A3029" t="inlineStr">
        <is>
          <t>MARMIKI09T2</t>
        </is>
      </c>
      <c r="B3029" t="inlineStr">
        <is>
          <t>MAR ORIGINAL KIDS</t>
        </is>
      </c>
      <c r="C3029" t="inlineStr">
        <is>
          <t>Manufactura / Kids / P. Superiores</t>
        </is>
      </c>
      <c r="D3029" t="n">
        <v>33.12609362</v>
      </c>
      <c r="E3029" t="n">
        <v>8.11034666754236e-06</v>
      </c>
      <c r="F3029" t="n">
        <v>0.9986973547861102</v>
      </c>
      <c r="G3029" t="inlineStr">
        <is>
          <t>C</t>
        </is>
      </c>
      <c r="H3029" t="n">
        <v>0</v>
      </c>
      <c r="I3029" t="n">
        <v>3.168013332</v>
      </c>
      <c r="J3029" t="n">
        <v>0</v>
      </c>
      <c r="K3029" t="n">
        <v>0.1</v>
      </c>
      <c r="L3029" t="n">
        <v>0</v>
      </c>
      <c r="M3029" t="n">
        <v>4</v>
      </c>
      <c r="N3029" t="n">
        <v>0.4</v>
      </c>
      <c r="O3029" t="n">
        <v>0</v>
      </c>
      <c r="P3029" t="n">
        <v>0</v>
      </c>
      <c r="Q3029" t="n">
        <v>0</v>
      </c>
      <c r="R3029" t="inlineStr">
        <is>
          <t>Sin rotación</t>
        </is>
      </c>
    </row>
    <row r="3030">
      <c r="A3030" t="inlineStr">
        <is>
          <t>MAFMEDA66TXS</t>
        </is>
      </c>
      <c r="B3030" t="inlineStr">
        <is>
          <t>MAFE SPORT DAMA</t>
        </is>
      </c>
      <c r="C3030" t="inlineStr">
        <is>
          <t>Manufactura / Dama / P. Superiores</t>
        </is>
      </c>
      <c r="D3030" t="n">
        <v>33.12609362</v>
      </c>
      <c r="E3030" t="n">
        <v>8.11034666754236e-06</v>
      </c>
      <c r="F3030" t="n">
        <v>0.9986973547861102</v>
      </c>
      <c r="G3030" t="inlineStr">
        <is>
          <t>C</t>
        </is>
      </c>
      <c r="H3030" t="n">
        <v>2</v>
      </c>
      <c r="I3030" t="n">
        <v>5.35</v>
      </c>
      <c r="J3030" t="n">
        <v>10.7</v>
      </c>
      <c r="K3030" t="n">
        <v>0.1</v>
      </c>
      <c r="L3030" t="n">
        <v>20</v>
      </c>
      <c r="M3030" t="n">
        <v>4</v>
      </c>
      <c r="N3030" t="n">
        <v>0.4</v>
      </c>
      <c r="O3030" t="n">
        <v>1.6</v>
      </c>
      <c r="P3030" t="n">
        <v>8.56</v>
      </c>
      <c r="Q3030" t="n">
        <v>0.8</v>
      </c>
      <c r="R3030" t="inlineStr">
        <is>
          <t>Sin rotación</t>
        </is>
      </c>
    </row>
    <row r="3031">
      <c r="A3031" t="inlineStr">
        <is>
          <t>CRESTCA16TL</t>
        </is>
      </c>
      <c r="B3031" t="inlineStr">
        <is>
          <t>RETRO VZLA CAB</t>
        </is>
      </c>
      <c r="C3031" t="inlineStr">
        <is>
          <t>Manufactura / Caballero / P. Superiores</t>
        </is>
      </c>
      <c r="D3031" t="n">
        <v>33.03634888</v>
      </c>
      <c r="E3031" t="n">
        <v>8.088374232116136e-06</v>
      </c>
      <c r="F3031" t="n">
        <v>0.9987297082830388</v>
      </c>
      <c r="G3031" t="inlineStr">
        <is>
          <t>C</t>
        </is>
      </c>
      <c r="H3031" t="n">
        <v>0</v>
      </c>
      <c r="I3031" t="n">
        <v>12.9</v>
      </c>
      <c r="J3031" t="n">
        <v>0</v>
      </c>
      <c r="K3031" t="n">
        <v>0.1</v>
      </c>
      <c r="L3031" t="n">
        <v>0</v>
      </c>
      <c r="M3031" t="n">
        <v>4</v>
      </c>
      <c r="N3031" t="n">
        <v>0.4</v>
      </c>
      <c r="O3031" t="n">
        <v>0</v>
      </c>
      <c r="P3031" t="n">
        <v>0</v>
      </c>
      <c r="Q3031" t="n">
        <v>0</v>
      </c>
      <c r="R3031" t="inlineStr">
        <is>
          <t>Sin rotación</t>
        </is>
      </c>
    </row>
    <row r="3032">
      <c r="A3032" t="inlineStr">
        <is>
          <t>SABSTCA43TS</t>
        </is>
      </c>
      <c r="B3032" t="inlineStr">
        <is>
          <t>RETRO VZLA CAB</t>
        </is>
      </c>
      <c r="C3032" t="inlineStr">
        <is>
          <t>Manufactura / Caballero / P. Superiores</t>
        </is>
      </c>
      <c r="D3032" t="n">
        <v>33.03634888</v>
      </c>
      <c r="E3032" t="n">
        <v>8.088374232116136e-06</v>
      </c>
      <c r="F3032" t="n">
        <v>0.9987297082830388</v>
      </c>
      <c r="G3032" t="inlineStr">
        <is>
          <t>C</t>
        </is>
      </c>
      <c r="H3032" t="n">
        <v>0</v>
      </c>
      <c r="I3032" t="n">
        <v>12.9</v>
      </c>
      <c r="J3032" t="n">
        <v>0</v>
      </c>
      <c r="K3032" t="n">
        <v>0.1</v>
      </c>
      <c r="L3032" t="n">
        <v>0</v>
      </c>
      <c r="M3032" t="n">
        <v>4</v>
      </c>
      <c r="N3032" t="n">
        <v>0.4</v>
      </c>
      <c r="O3032" t="n">
        <v>0</v>
      </c>
      <c r="P3032" t="n">
        <v>0</v>
      </c>
      <c r="Q3032" t="n">
        <v>0</v>
      </c>
      <c r="R3032" t="inlineStr">
        <is>
          <t>Sin rotación</t>
        </is>
      </c>
    </row>
    <row r="3033">
      <c r="A3033" t="inlineStr">
        <is>
          <t>EXPSTCA16TL</t>
        </is>
      </c>
      <c r="B3033" t="inlineStr">
        <is>
          <t>CLASICA RETRO 2.0 CAB</t>
        </is>
      </c>
      <c r="C3033" t="inlineStr">
        <is>
          <t>Manufactura / Caballero / P. Superiores</t>
        </is>
      </c>
      <c r="D3033" t="n">
        <v>33.03634888</v>
      </c>
      <c r="E3033" t="n">
        <v>8.088374232116136e-06</v>
      </c>
      <c r="F3033" t="n">
        <v>0.9987297082830388</v>
      </c>
      <c r="G3033" t="inlineStr">
        <is>
          <t>C</t>
        </is>
      </c>
      <c r="H3033" t="n">
        <v>0</v>
      </c>
      <c r="I3033" t="n">
        <v>11.23</v>
      </c>
      <c r="J3033" t="n">
        <v>0</v>
      </c>
      <c r="K3033" t="n">
        <v>0.1</v>
      </c>
      <c r="L3033" t="n">
        <v>0</v>
      </c>
      <c r="M3033" t="n">
        <v>4</v>
      </c>
      <c r="N3033" t="n">
        <v>0.4</v>
      </c>
      <c r="O3033" t="n">
        <v>0</v>
      </c>
      <c r="P3033" t="n">
        <v>0</v>
      </c>
      <c r="Q3033" t="n">
        <v>0</v>
      </c>
      <c r="R3033" t="inlineStr">
        <is>
          <t>Sin rotación</t>
        </is>
      </c>
    </row>
    <row r="3034">
      <c r="A3034" t="inlineStr">
        <is>
          <t>TRISTDA16TL</t>
        </is>
      </c>
      <c r="B3034" t="inlineStr">
        <is>
          <t>RETRO VZLA DAMA</t>
        </is>
      </c>
      <c r="C3034" t="inlineStr">
        <is>
          <t>Manufactura / Dama / P. Superiores</t>
        </is>
      </c>
      <c r="D3034" t="n">
        <v>33.03634888</v>
      </c>
      <c r="E3034" t="n">
        <v>8.088374232116136e-06</v>
      </c>
      <c r="F3034" t="n">
        <v>0.9987297082830388</v>
      </c>
      <c r="G3034" t="inlineStr">
        <is>
          <t>C</t>
        </is>
      </c>
      <c r="H3034" t="n">
        <v>0</v>
      </c>
      <c r="I3034" t="n">
        <v>11.23</v>
      </c>
      <c r="J3034" t="n">
        <v>0</v>
      </c>
      <c r="K3034" t="n">
        <v>0.1</v>
      </c>
      <c r="L3034" t="n">
        <v>0</v>
      </c>
      <c r="M3034" t="n">
        <v>4</v>
      </c>
      <c r="N3034" t="n">
        <v>0.4</v>
      </c>
      <c r="O3034" t="n">
        <v>0</v>
      </c>
      <c r="P3034" t="n">
        <v>0</v>
      </c>
      <c r="Q3034" t="n">
        <v>0</v>
      </c>
      <c r="R3034" t="inlineStr">
        <is>
          <t>Sin rotación</t>
        </is>
      </c>
    </row>
    <row r="3035">
      <c r="A3035" t="inlineStr">
        <is>
          <t>PAUMIDA50TXS</t>
        </is>
      </c>
      <c r="B3035" t="inlineStr">
        <is>
          <t>PAULA ORIGINAL DAMA</t>
        </is>
      </c>
      <c r="C3035" t="inlineStr">
        <is>
          <t>Manufactura / Dama / P. Superiores</t>
        </is>
      </c>
      <c r="D3035" t="n">
        <v>33.02420504</v>
      </c>
      <c r="E3035" t="n">
        <v>8.085401024547355e-06</v>
      </c>
      <c r="F3035" t="n">
        <v>0.9987377936840633</v>
      </c>
      <c r="G3035" t="inlineStr">
        <is>
          <t>C</t>
        </is>
      </c>
      <c r="H3035" t="n">
        <v>1</v>
      </c>
      <c r="I3035" t="n">
        <v>3.55</v>
      </c>
      <c r="J3035" t="n">
        <v>3.55</v>
      </c>
      <c r="K3035" t="n">
        <v>0.1</v>
      </c>
      <c r="L3035" t="n">
        <v>10</v>
      </c>
      <c r="M3035" t="n">
        <v>4</v>
      </c>
      <c r="N3035" t="n">
        <v>0.4</v>
      </c>
      <c r="O3035" t="n">
        <v>0.6</v>
      </c>
      <c r="P3035" t="n">
        <v>2.13</v>
      </c>
      <c r="Q3035" t="n">
        <v>0.6</v>
      </c>
      <c r="R3035" t="inlineStr">
        <is>
          <t>Sobrestock crítico</t>
        </is>
      </c>
    </row>
    <row r="3036">
      <c r="A3036" t="inlineStr">
        <is>
          <t>MARMIDA12T2XL</t>
        </is>
      </c>
      <c r="B3036" t="inlineStr">
        <is>
          <t>MAR ORIGINAL DAMA</t>
        </is>
      </c>
      <c r="C3036" t="inlineStr">
        <is>
          <t>Manufactura / Dama / P. Superiores</t>
        </is>
      </c>
      <c r="D3036" t="n">
        <v>32.92723743</v>
      </c>
      <c r="E3036" t="n">
        <v>8.06166019528917e-06</v>
      </c>
      <c r="F3036" t="n">
        <v>0.9987458553442585</v>
      </c>
      <c r="G3036" t="inlineStr">
        <is>
          <t>C</t>
        </is>
      </c>
      <c r="H3036" t="n">
        <v>2</v>
      </c>
      <c r="I3036" t="n">
        <v>4.278324149</v>
      </c>
      <c r="J3036" t="n">
        <v>8.556648298000001</v>
      </c>
      <c r="K3036" t="n">
        <v>0.1</v>
      </c>
      <c r="L3036" t="n">
        <v>20</v>
      </c>
      <c r="M3036" t="n">
        <v>4</v>
      </c>
      <c r="N3036" t="n">
        <v>0.4</v>
      </c>
      <c r="O3036" t="n">
        <v>1.6</v>
      </c>
      <c r="P3036" t="n">
        <v>6.845318638400001</v>
      </c>
      <c r="Q3036" t="n">
        <v>0.8</v>
      </c>
      <c r="R3036" t="inlineStr">
        <is>
          <t>Sobrestock crítico</t>
        </is>
      </c>
    </row>
    <row r="3037">
      <c r="A3037" t="inlineStr">
        <is>
          <t>ANDSPDA16TXS</t>
        </is>
      </c>
      <c r="B3037" t="inlineStr">
        <is>
          <t>ANDRE SPORT DAMA</t>
        </is>
      </c>
      <c r="C3037" t="inlineStr">
        <is>
          <t>Manufactura / Dama / P. Superiores</t>
        </is>
      </c>
      <c r="D3037" t="n">
        <v>32.79475963</v>
      </c>
      <c r="E3037" t="n">
        <v>8.029225314917262e-06</v>
      </c>
      <c r="F3037" t="n">
        <v>0.9987538845695735</v>
      </c>
      <c r="G3037" t="inlineStr">
        <is>
          <t>C</t>
        </is>
      </c>
      <c r="H3037" t="n">
        <v>0</v>
      </c>
      <c r="I3037" t="n">
        <v>0</v>
      </c>
      <c r="J3037" t="n">
        <v>0</v>
      </c>
      <c r="K3037" t="n">
        <v>0.1</v>
      </c>
      <c r="L3037" t="n">
        <v>0</v>
      </c>
      <c r="M3037" t="n">
        <v>4</v>
      </c>
      <c r="N3037" t="n">
        <v>0.4</v>
      </c>
      <c r="O3037" t="n">
        <v>0</v>
      </c>
      <c r="P3037" t="n">
        <v>0</v>
      </c>
      <c r="Q3037" t="n">
        <v>0</v>
      </c>
      <c r="R3037" t="inlineStr">
        <is>
          <t>Sin rotación</t>
        </is>
      </c>
    </row>
    <row r="3038">
      <c r="A3038" t="inlineStr">
        <is>
          <t>SHOUNKI29T14</t>
        </is>
      </c>
      <c r="B3038" t="inlineStr">
        <is>
          <t>SHORT PLAYA KIDS</t>
        </is>
      </c>
      <c r="C3038" t="inlineStr">
        <is>
          <t>Manufactura / Kids / P. Inferiores</t>
        </is>
      </c>
      <c r="D3038" t="n">
        <v>32.55226736</v>
      </c>
      <c r="E3038" t="n">
        <v>7.96985530901014e-06</v>
      </c>
      <c r="F3038" t="n">
        <v>0.9987777941355005</v>
      </c>
      <c r="G3038" t="inlineStr">
        <is>
          <t>C</t>
        </is>
      </c>
      <c r="H3038" t="n">
        <v>0</v>
      </c>
      <c r="I3038" t="n">
        <v>6.09</v>
      </c>
      <c r="J3038" t="n">
        <v>0</v>
      </c>
      <c r="K3038" t="n">
        <v>0.1</v>
      </c>
      <c r="L3038" t="n">
        <v>0</v>
      </c>
      <c r="M3038" t="n">
        <v>4</v>
      </c>
      <c r="N3038" t="n">
        <v>0.4</v>
      </c>
      <c r="O3038" t="n">
        <v>0</v>
      </c>
      <c r="P3038" t="n">
        <v>0</v>
      </c>
      <c r="Q3038" t="n">
        <v>0</v>
      </c>
      <c r="R3038" t="inlineStr">
        <is>
          <t>Sin rotación</t>
        </is>
      </c>
    </row>
    <row r="3039">
      <c r="A3039" t="inlineStr">
        <is>
          <t>ANDMIDA52TXS</t>
        </is>
      </c>
      <c r="B3039" t="inlineStr">
        <is>
          <t>ANDRE ORIGINAL DAMA</t>
        </is>
      </c>
      <c r="C3039" t="inlineStr">
        <is>
          <t>Manufactura / Dama / P. Superiores</t>
        </is>
      </c>
      <c r="D3039" t="n">
        <v>32.55226736</v>
      </c>
      <c r="E3039" t="n">
        <v>7.96985530901014e-06</v>
      </c>
      <c r="F3039" t="n">
        <v>0.9987777941355005</v>
      </c>
      <c r="G3039" t="inlineStr">
        <is>
          <t>C</t>
        </is>
      </c>
      <c r="H3039" t="n">
        <v>0</v>
      </c>
      <c r="I3039" t="n">
        <v>3.274295302</v>
      </c>
      <c r="J3039" t="n">
        <v>0</v>
      </c>
      <c r="K3039" t="n">
        <v>0.1</v>
      </c>
      <c r="L3039" t="n">
        <v>0</v>
      </c>
      <c r="M3039" t="n">
        <v>4</v>
      </c>
      <c r="N3039" t="n">
        <v>0.4</v>
      </c>
      <c r="O3039" t="n">
        <v>0</v>
      </c>
      <c r="P3039" t="n">
        <v>0</v>
      </c>
      <c r="Q3039" t="n">
        <v>0</v>
      </c>
      <c r="R3039" t="inlineStr">
        <is>
          <t>Sin rotación</t>
        </is>
      </c>
    </row>
    <row r="3040">
      <c r="A3040" t="inlineStr">
        <is>
          <t>SARSPKI31T12</t>
        </is>
      </c>
      <c r="B3040" t="inlineStr">
        <is>
          <t>FALDA SARA KIDS</t>
        </is>
      </c>
      <c r="C3040" t="inlineStr">
        <is>
          <t>Manufactura / Kids / P. Inferiores</t>
        </is>
      </c>
      <c r="D3040" t="n">
        <v>32.55226736</v>
      </c>
      <c r="E3040" t="n">
        <v>7.96985530901014e-06</v>
      </c>
      <c r="F3040" t="n">
        <v>0.9987777941355005</v>
      </c>
      <c r="G3040" t="inlineStr">
        <is>
          <t>C</t>
        </is>
      </c>
      <c r="H3040" t="n">
        <v>0</v>
      </c>
      <c r="I3040" t="n">
        <v>5.753743316</v>
      </c>
      <c r="J3040" t="n">
        <v>0</v>
      </c>
      <c r="K3040" t="n">
        <v>0.1</v>
      </c>
      <c r="L3040" t="n">
        <v>0</v>
      </c>
      <c r="M3040" t="n">
        <v>4</v>
      </c>
      <c r="N3040" t="n">
        <v>0.4</v>
      </c>
      <c r="O3040" t="n">
        <v>0</v>
      </c>
      <c r="P3040" t="n">
        <v>0</v>
      </c>
      <c r="Q3040" t="n">
        <v>0</v>
      </c>
      <c r="R3040" t="inlineStr">
        <is>
          <t>Sin rotación</t>
        </is>
      </c>
    </row>
    <row r="3041">
      <c r="A3041" t="inlineStr">
        <is>
          <t>DAMSTKI43T2</t>
        </is>
      </c>
      <c r="B3041" t="inlineStr">
        <is>
          <t>MANGA LARGA DAILY KIDS</t>
        </is>
      </c>
      <c r="C3041" t="inlineStr">
        <is>
          <t>Manufactura / Kids / P. Superiores</t>
        </is>
      </c>
      <c r="D3041" t="n">
        <v>32.54232339</v>
      </c>
      <c r="E3041" t="n">
        <v>7.967420701269283e-06</v>
      </c>
      <c r="F3041" t="n">
        <v>0.9987857615562018</v>
      </c>
      <c r="G3041" t="inlineStr">
        <is>
          <t>C</t>
        </is>
      </c>
      <c r="H3041" t="n">
        <v>0</v>
      </c>
      <c r="I3041" t="n">
        <v>10.1</v>
      </c>
      <c r="J3041" t="n">
        <v>0</v>
      </c>
      <c r="K3041" t="n">
        <v>0.1</v>
      </c>
      <c r="L3041" t="n">
        <v>0</v>
      </c>
      <c r="M3041" t="n">
        <v>4</v>
      </c>
      <c r="N3041" t="n">
        <v>0.4</v>
      </c>
      <c r="O3041" t="n">
        <v>0</v>
      </c>
      <c r="P3041" t="n">
        <v>0</v>
      </c>
      <c r="Q3041" t="n">
        <v>0</v>
      </c>
      <c r="R3041" t="inlineStr">
        <is>
          <t>Sin rotación</t>
        </is>
      </c>
    </row>
    <row r="3042">
      <c r="A3042" t="inlineStr">
        <is>
          <t>CLAMEKI12T10</t>
        </is>
      </c>
      <c r="B3042" t="inlineStr">
        <is>
          <t>CLASICA SPORT KIDS</t>
        </is>
      </c>
      <c r="C3042" t="inlineStr">
        <is>
          <t>Manufactura / Kids / P. Superiores</t>
        </is>
      </c>
      <c r="D3042" t="n">
        <v>32.53279945</v>
      </c>
      <c r="E3042" t="n">
        <v>7.965088930553213e-06</v>
      </c>
      <c r="F3042" t="n">
        <v>0.9987937266451323</v>
      </c>
      <c r="G3042" t="inlineStr">
        <is>
          <t>C</t>
        </is>
      </c>
      <c r="H3042" t="n">
        <v>23</v>
      </c>
      <c r="I3042" t="n">
        <v>3.97</v>
      </c>
      <c r="J3042" t="n">
        <v>91.31</v>
      </c>
      <c r="K3042" t="n">
        <v>0.2</v>
      </c>
      <c r="L3042" t="n">
        <v>115</v>
      </c>
      <c r="M3042" t="n">
        <v>4</v>
      </c>
      <c r="N3042" t="n">
        <v>0.8</v>
      </c>
      <c r="O3042" t="n">
        <v>22.2</v>
      </c>
      <c r="P3042" t="n">
        <v>88.134</v>
      </c>
      <c r="Q3042" t="n">
        <v>0.9652173913043478</v>
      </c>
      <c r="R3042" t="inlineStr">
        <is>
          <t>Sobrestock crítico</t>
        </is>
      </c>
    </row>
    <row r="3043">
      <c r="A3043" t="inlineStr">
        <is>
          <t>COW31C16OZ</t>
        </is>
      </c>
      <c r="B3043" t="inlineStr">
        <is>
          <t>CONTIGO WEST LOOP 3.0 16OZ</t>
        </is>
      </c>
      <c r="C3043" t="inlineStr">
        <is>
          <t>Equipamiento / Cava</t>
        </is>
      </c>
      <c r="D3043" t="n">
        <v>32.50130261</v>
      </c>
      <c r="E3043" t="n">
        <v>7.957377478238236e-06</v>
      </c>
      <c r="F3043" t="n">
        <v>0.9988016840226105</v>
      </c>
      <c r="G3043" t="inlineStr">
        <is>
          <t>C</t>
        </is>
      </c>
      <c r="H3043" t="n">
        <v>0</v>
      </c>
      <c r="I3043" t="n">
        <v>22.5</v>
      </c>
      <c r="J3043" t="n">
        <v>0</v>
      </c>
      <c r="K3043" t="n">
        <v>0.1</v>
      </c>
      <c r="L3043" t="n">
        <v>0</v>
      </c>
      <c r="M3043" t="n">
        <v>4</v>
      </c>
      <c r="N3043" t="n">
        <v>0.4</v>
      </c>
      <c r="O3043" t="n">
        <v>0</v>
      </c>
      <c r="P3043" t="n">
        <v>0</v>
      </c>
      <c r="Q3043" t="n">
        <v>0</v>
      </c>
      <c r="R3043" t="inlineStr">
        <is>
          <t>Sin rotación</t>
        </is>
      </c>
    </row>
    <row r="3044">
      <c r="A3044" t="inlineStr">
        <is>
          <t>MANMIGE04TG</t>
        </is>
      </c>
      <c r="B3044" t="inlineStr">
        <is>
          <t>MANGAS GENERAL</t>
        </is>
      </c>
      <c r="C3044" t="inlineStr">
        <is>
          <t>Manufactura / General</t>
        </is>
      </c>
      <c r="D3044" t="n">
        <v>32.38554079</v>
      </c>
      <c r="E3044" t="n">
        <v>7.929035214226193e-06</v>
      </c>
      <c r="F3044" t="n">
        <v>0.9988096130578248</v>
      </c>
      <c r="G3044" t="inlineStr">
        <is>
          <t>C</t>
        </is>
      </c>
      <c r="H3044" t="n">
        <v>3</v>
      </c>
      <c r="I3044" t="n">
        <v>0.92</v>
      </c>
      <c r="J3044" t="n">
        <v>2.76</v>
      </c>
      <c r="K3044" t="n">
        <v>0.2</v>
      </c>
      <c r="L3044" t="n">
        <v>15</v>
      </c>
      <c r="M3044" t="n">
        <v>4</v>
      </c>
      <c r="N3044" t="n">
        <v>0.8</v>
      </c>
      <c r="O3044" t="n">
        <v>2.2</v>
      </c>
      <c r="P3044" t="n">
        <v>2.024</v>
      </c>
      <c r="Q3044" t="n">
        <v>0.7333333333333334</v>
      </c>
      <c r="R3044" t="inlineStr">
        <is>
          <t>Sobrestock crítico</t>
        </is>
      </c>
    </row>
    <row r="3045">
      <c r="A3045" t="inlineStr">
        <is>
          <t>PETMIPE39TL</t>
        </is>
      </c>
      <c r="B3045" t="inlineStr">
        <is>
          <t>BANDANA PET</t>
        </is>
      </c>
      <c r="C3045" t="inlineStr">
        <is>
          <t>Manufactura / General</t>
        </is>
      </c>
      <c r="D3045" t="n">
        <v>32.241395319</v>
      </c>
      <c r="E3045" t="n">
        <v>7.893743707965995e-06</v>
      </c>
      <c r="F3045" t="n">
        <v>0.9988175068015327</v>
      </c>
      <c r="G3045" t="inlineStr">
        <is>
          <t>C</t>
        </is>
      </c>
      <c r="H3045" t="n">
        <v>48</v>
      </c>
      <c r="I3045" t="n">
        <v>0.3252662283</v>
      </c>
      <c r="J3045" t="n">
        <v>15.6127789584</v>
      </c>
      <c r="K3045" t="n">
        <v>0.3</v>
      </c>
      <c r="L3045" t="n">
        <v>160</v>
      </c>
      <c r="M3045" t="n">
        <v>4</v>
      </c>
      <c r="N3045" t="n">
        <v>1.2</v>
      </c>
      <c r="O3045" t="n">
        <v>46.8</v>
      </c>
      <c r="P3045" t="n">
        <v>15.22245948444</v>
      </c>
      <c r="Q3045" t="n">
        <v>0.975</v>
      </c>
      <c r="R3045" t="inlineStr">
        <is>
          <t>Sobrestock crítico</t>
        </is>
      </c>
    </row>
    <row r="3046">
      <c r="A3046" t="inlineStr">
        <is>
          <t>CLAMIKI13T6</t>
        </is>
      </c>
      <c r="B3046" t="inlineStr">
        <is>
          <t>CLASICA ORIGINAL KIDS</t>
        </is>
      </c>
      <c r="C3046" t="inlineStr">
        <is>
          <t>Manufactura / Kids / P. Superiores</t>
        </is>
      </c>
      <c r="D3046" t="n">
        <v>32.19855991</v>
      </c>
      <c r="E3046" t="n">
        <v>7.883256204651501e-06</v>
      </c>
      <c r="F3046" t="n">
        <v>0.998833273313942</v>
      </c>
      <c r="G3046" t="inlineStr">
        <is>
          <t>C</t>
        </is>
      </c>
      <c r="H3046" t="n">
        <v>6</v>
      </c>
      <c r="I3046" t="n">
        <v>2.053774806</v>
      </c>
      <c r="J3046" t="n">
        <v>12.322648836</v>
      </c>
      <c r="K3046" t="n">
        <v>0.2</v>
      </c>
      <c r="L3046" t="n">
        <v>30</v>
      </c>
      <c r="M3046" t="n">
        <v>4</v>
      </c>
      <c r="N3046" t="n">
        <v>0.8</v>
      </c>
      <c r="O3046" t="n">
        <v>5.2</v>
      </c>
      <c r="P3046" t="n">
        <v>10.6796289912</v>
      </c>
      <c r="Q3046" t="n">
        <v>0.8666666666666667</v>
      </c>
      <c r="R3046" t="inlineStr">
        <is>
          <t>Sobrestock crítico</t>
        </is>
      </c>
    </row>
    <row r="3047">
      <c r="A3047" t="inlineStr">
        <is>
          <t>CLAMIKI50T12</t>
        </is>
      </c>
      <c r="B3047" t="inlineStr">
        <is>
          <t>CLASICA ORIGINAL KIDS</t>
        </is>
      </c>
      <c r="C3047" t="inlineStr">
        <is>
          <t>Manufactura / Kids / P. Superiores</t>
        </is>
      </c>
      <c r="D3047" t="n">
        <v>32.19855991</v>
      </c>
      <c r="E3047" t="n">
        <v>7.883256204651501e-06</v>
      </c>
      <c r="F3047" t="n">
        <v>0.998833273313942</v>
      </c>
      <c r="G3047" t="inlineStr">
        <is>
          <t>C</t>
        </is>
      </c>
      <c r="H3047" t="n">
        <v>0</v>
      </c>
      <c r="I3047" t="n">
        <v>2.053774806</v>
      </c>
      <c r="J3047" t="n">
        <v>0</v>
      </c>
      <c r="K3047" t="n">
        <v>0.1</v>
      </c>
      <c r="L3047" t="n">
        <v>0</v>
      </c>
      <c r="M3047" t="n">
        <v>4</v>
      </c>
      <c r="N3047" t="n">
        <v>0.4</v>
      </c>
      <c r="O3047" t="n">
        <v>0</v>
      </c>
      <c r="P3047" t="n">
        <v>0</v>
      </c>
      <c r="Q3047" t="n">
        <v>0</v>
      </c>
      <c r="R3047" t="inlineStr">
        <is>
          <t>Sin rotación</t>
        </is>
      </c>
    </row>
    <row r="3048">
      <c r="A3048" t="inlineStr">
        <is>
          <t>CRESTDA16TXS</t>
        </is>
      </c>
      <c r="B3048" t="inlineStr">
        <is>
          <t>RETRO VZLA DAMA</t>
        </is>
      </c>
      <c r="C3048" t="inlineStr">
        <is>
          <t>Manufactura / Dama / P. Superiores</t>
        </is>
      </c>
      <c r="D3048" t="n">
        <v>32.17835888</v>
      </c>
      <c r="E3048" t="n">
        <v>7.878310334540136e-06</v>
      </c>
      <c r="F3048" t="n">
        <v>0.9988411516242766</v>
      </c>
      <c r="G3048" t="inlineStr">
        <is>
          <t>C</t>
        </is>
      </c>
      <c r="H3048" t="n">
        <v>0</v>
      </c>
      <c r="I3048" t="n">
        <v>11.23</v>
      </c>
      <c r="J3048" t="n">
        <v>0</v>
      </c>
      <c r="K3048" t="n">
        <v>0.1</v>
      </c>
      <c r="L3048" t="n">
        <v>0</v>
      </c>
      <c r="M3048" t="n">
        <v>4</v>
      </c>
      <c r="N3048" t="n">
        <v>0.4</v>
      </c>
      <c r="O3048" t="n">
        <v>0</v>
      </c>
      <c r="P3048" t="n">
        <v>0</v>
      </c>
      <c r="Q3048" t="n">
        <v>0</v>
      </c>
      <c r="R3048" t="inlineStr">
        <is>
          <t>Riesgo bajo stock</t>
        </is>
      </c>
    </row>
    <row r="3049">
      <c r="A3049" t="inlineStr">
        <is>
          <t>DACSTDA16TXS</t>
        </is>
      </c>
      <c r="B3049" t="inlineStr">
        <is>
          <t>CLASICA DAILY DAMA</t>
        </is>
      </c>
      <c r="C3049" t="inlineStr">
        <is>
          <t>Manufactura / Dama / P. Superiores</t>
        </is>
      </c>
      <c r="D3049" t="n">
        <v>32.15915036</v>
      </c>
      <c r="E3049" t="n">
        <v>7.873607463203797e-06</v>
      </c>
      <c r="F3049" t="n">
        <v>0.9988568988392029</v>
      </c>
      <c r="G3049" t="inlineStr">
        <is>
          <t>C</t>
        </is>
      </c>
      <c r="H3049" t="n">
        <v>0</v>
      </c>
      <c r="I3049" t="n">
        <v>9.27</v>
      </c>
      <c r="J3049" t="n">
        <v>0</v>
      </c>
      <c r="K3049" t="n">
        <v>0.1</v>
      </c>
      <c r="L3049" t="n">
        <v>0</v>
      </c>
      <c r="M3049" t="n">
        <v>4</v>
      </c>
      <c r="N3049" t="n">
        <v>0.4</v>
      </c>
      <c r="O3049" t="n">
        <v>0</v>
      </c>
      <c r="P3049" t="n">
        <v>0</v>
      </c>
      <c r="Q3049" t="n">
        <v>0</v>
      </c>
      <c r="R3049" t="inlineStr">
        <is>
          <t>Sin rotación</t>
        </is>
      </c>
    </row>
    <row r="3050">
      <c r="A3050" t="inlineStr">
        <is>
          <t>DACSTCA16TM</t>
        </is>
      </c>
      <c r="B3050" t="inlineStr">
        <is>
          <t>CLASICA DAILY CAB</t>
        </is>
      </c>
      <c r="C3050" t="inlineStr">
        <is>
          <t>Manufactura / Caballero / P. Superiores</t>
        </is>
      </c>
      <c r="D3050" t="n">
        <v>32.15915036</v>
      </c>
      <c r="E3050" t="n">
        <v>7.873607463203797e-06</v>
      </c>
      <c r="F3050" t="n">
        <v>0.9988568988392029</v>
      </c>
      <c r="G3050" t="inlineStr">
        <is>
          <t>C</t>
        </is>
      </c>
      <c r="H3050" t="n">
        <v>0</v>
      </c>
      <c r="I3050" t="n">
        <v>9.27</v>
      </c>
      <c r="J3050" t="n">
        <v>0</v>
      </c>
      <c r="K3050" t="n">
        <v>0.1</v>
      </c>
      <c r="L3050" t="n">
        <v>0</v>
      </c>
      <c r="M3050" t="n">
        <v>4</v>
      </c>
      <c r="N3050" t="n">
        <v>0.4</v>
      </c>
      <c r="O3050" t="n">
        <v>0</v>
      </c>
      <c r="P3050" t="n">
        <v>0</v>
      </c>
      <c r="Q3050" t="n">
        <v>0</v>
      </c>
      <c r="R3050" t="inlineStr">
        <is>
          <t>Sin rotación</t>
        </is>
      </c>
    </row>
    <row r="3051">
      <c r="A3051" t="inlineStr">
        <is>
          <t>ZOEMIDA09TM</t>
        </is>
      </c>
      <c r="B3051" t="inlineStr">
        <is>
          <t>ZOE ORIGINAL DAMA</t>
        </is>
      </c>
      <c r="C3051" t="inlineStr">
        <is>
          <t>Manufactura / Dama / P. Superiores</t>
        </is>
      </c>
      <c r="D3051" t="n">
        <v>32.09610354</v>
      </c>
      <c r="E3051" t="n">
        <v>7.85817154817102e-06</v>
      </c>
      <c r="F3051" t="n">
        <v>0.9988726151822993</v>
      </c>
      <c r="G3051" t="inlineStr">
        <is>
          <t>C</t>
        </is>
      </c>
      <c r="H3051" t="n">
        <v>0</v>
      </c>
      <c r="I3051" t="n">
        <v>4.116585696</v>
      </c>
      <c r="J3051" t="n">
        <v>0</v>
      </c>
      <c r="K3051" t="n">
        <v>0.1</v>
      </c>
      <c r="L3051" t="n">
        <v>0</v>
      </c>
      <c r="M3051" t="n">
        <v>4</v>
      </c>
      <c r="N3051" t="n">
        <v>0.4</v>
      </c>
      <c r="O3051" t="n">
        <v>0</v>
      </c>
      <c r="P3051" t="n">
        <v>0</v>
      </c>
      <c r="Q3051" t="n">
        <v>0</v>
      </c>
      <c r="R3051" t="inlineStr">
        <is>
          <t>Sin rotación</t>
        </is>
      </c>
    </row>
    <row r="3052">
      <c r="A3052" t="inlineStr">
        <is>
          <t>CLMSUCA15TM</t>
        </is>
      </c>
      <c r="B3052" t="inlineStr">
        <is>
          <t>CLASICA MOTION CAB</t>
        </is>
      </c>
      <c r="C3052" t="inlineStr">
        <is>
          <t>Manufactura / Caballero / P. Superiores</t>
        </is>
      </c>
      <c r="D3052" t="n">
        <v>32.09610354</v>
      </c>
      <c r="E3052" t="n">
        <v>7.85817154817102e-06</v>
      </c>
      <c r="F3052" t="n">
        <v>0.9988726151822993</v>
      </c>
      <c r="G3052" t="inlineStr">
        <is>
          <t>C</t>
        </is>
      </c>
      <c r="H3052" t="n">
        <v>0</v>
      </c>
      <c r="I3052" t="n">
        <v>12.26</v>
      </c>
      <c r="J3052" t="n">
        <v>0</v>
      </c>
      <c r="K3052" t="n">
        <v>0.1</v>
      </c>
      <c r="L3052" t="n">
        <v>0</v>
      </c>
      <c r="M3052" t="n">
        <v>4</v>
      </c>
      <c r="N3052" t="n">
        <v>0.4</v>
      </c>
      <c r="O3052" t="n">
        <v>0</v>
      </c>
      <c r="P3052" t="n">
        <v>0</v>
      </c>
      <c r="Q3052" t="n">
        <v>0</v>
      </c>
      <c r="R3052" t="inlineStr">
        <is>
          <t>Sin rotación</t>
        </is>
      </c>
    </row>
    <row r="3053">
      <c r="A3053" t="inlineStr">
        <is>
          <t>DALSTKI43T2</t>
        </is>
      </c>
      <c r="B3053" t="inlineStr">
        <is>
          <t>CLASICA DAILY 2.0 KIDS</t>
        </is>
      </c>
      <c r="C3053" t="inlineStr">
        <is>
          <t>Manufactura / Kids / P. Superiores</t>
        </is>
      </c>
      <c r="D3053" t="n">
        <v>32</v>
      </c>
      <c r="E3053" t="n">
        <v>7.834642271392442e-06</v>
      </c>
      <c r="F3053" t="n">
        <v>0.9988804498245707</v>
      </c>
      <c r="G3053" t="inlineStr">
        <is>
          <t>C</t>
        </is>
      </c>
      <c r="H3053" t="n">
        <v>2</v>
      </c>
      <c r="I3053" t="n">
        <v>8.699999999999999</v>
      </c>
      <c r="J3053" t="n">
        <v>17.4</v>
      </c>
      <c r="K3053" t="n">
        <v>0.2</v>
      </c>
      <c r="L3053" t="n">
        <v>10</v>
      </c>
      <c r="M3053" t="n">
        <v>4</v>
      </c>
      <c r="N3053" t="n">
        <v>0.8</v>
      </c>
      <c r="O3053" t="n">
        <v>1.2</v>
      </c>
      <c r="P3053" t="n">
        <v>10.44</v>
      </c>
      <c r="Q3053" t="n">
        <v>0.6</v>
      </c>
      <c r="R3053" t="inlineStr">
        <is>
          <t>Sobrestock crítico</t>
        </is>
      </c>
    </row>
    <row r="3054">
      <c r="A3054" t="inlineStr">
        <is>
          <t>DACSTCA16TL</t>
        </is>
      </c>
      <c r="B3054" t="inlineStr">
        <is>
          <t>CLASICA DAILY CAB</t>
        </is>
      </c>
      <c r="C3054" t="inlineStr">
        <is>
          <t>Manufactura / Caballero / P. Superiores</t>
        </is>
      </c>
      <c r="D3054" t="n">
        <v>31.86359196</v>
      </c>
      <c r="E3054" t="n">
        <v>7.801245140256763e-06</v>
      </c>
      <c r="F3054" t="n">
        <v>0.9988960523148512</v>
      </c>
      <c r="G3054" t="inlineStr">
        <is>
          <t>C</t>
        </is>
      </c>
      <c r="H3054" t="n">
        <v>0</v>
      </c>
      <c r="I3054" t="n">
        <v>9.27</v>
      </c>
      <c r="J3054" t="n">
        <v>0</v>
      </c>
      <c r="K3054" t="n">
        <v>0.1</v>
      </c>
      <c r="L3054" t="n">
        <v>0</v>
      </c>
      <c r="M3054" t="n">
        <v>4</v>
      </c>
      <c r="N3054" t="n">
        <v>0.4</v>
      </c>
      <c r="O3054" t="n">
        <v>0</v>
      </c>
      <c r="P3054" t="n">
        <v>0</v>
      </c>
      <c r="Q3054" t="n">
        <v>0</v>
      </c>
      <c r="R3054" t="inlineStr">
        <is>
          <t>Sin rotación</t>
        </is>
      </c>
    </row>
    <row r="3055">
      <c r="A3055" t="inlineStr">
        <is>
          <t>DACSTCA43TL</t>
        </is>
      </c>
      <c r="B3055" t="inlineStr">
        <is>
          <t>CLASICA DAILY CAB</t>
        </is>
      </c>
      <c r="C3055" t="inlineStr">
        <is>
          <t>Manufactura / Caballero / P. Superiores</t>
        </is>
      </c>
      <c r="D3055" t="n">
        <v>31.86359196</v>
      </c>
      <c r="E3055" t="n">
        <v>7.801245140256763e-06</v>
      </c>
      <c r="F3055" t="n">
        <v>0.9988960523148512</v>
      </c>
      <c r="G3055" t="inlineStr">
        <is>
          <t>C</t>
        </is>
      </c>
      <c r="H3055" t="n">
        <v>0</v>
      </c>
      <c r="I3055" t="n">
        <v>9.27</v>
      </c>
      <c r="J3055" t="n">
        <v>0</v>
      </c>
      <c r="K3055" t="n">
        <v>0.1</v>
      </c>
      <c r="L3055" t="n">
        <v>0</v>
      </c>
      <c r="M3055" t="n">
        <v>4</v>
      </c>
      <c r="N3055" t="n">
        <v>0.4</v>
      </c>
      <c r="O3055" t="n">
        <v>0</v>
      </c>
      <c r="P3055" t="n">
        <v>0</v>
      </c>
      <c r="Q3055" t="n">
        <v>0</v>
      </c>
      <c r="R3055" t="inlineStr">
        <is>
          <t>Sin rotación</t>
        </is>
      </c>
    </row>
    <row r="3056">
      <c r="A3056" t="inlineStr">
        <is>
          <t>ANDMIDA34TXS</t>
        </is>
      </c>
      <c r="B3056" t="inlineStr">
        <is>
          <t>ANDRE ORIGINAL DAMA</t>
        </is>
      </c>
      <c r="C3056" t="inlineStr">
        <is>
          <t>Manufactura / Dama / P. Superiores</t>
        </is>
      </c>
      <c r="D3056" t="n">
        <v>31.79999098</v>
      </c>
      <c r="E3056" t="n">
        <v>7.78567354880645e-06</v>
      </c>
      <c r="F3056" t="n">
        <v>0.9989038379884</v>
      </c>
      <c r="G3056" t="inlineStr">
        <is>
          <t>C</t>
        </is>
      </c>
      <c r="H3056" t="n">
        <v>0</v>
      </c>
      <c r="I3056" t="n">
        <v>3.274295302</v>
      </c>
      <c r="J3056" t="n">
        <v>0</v>
      </c>
      <c r="K3056" t="n">
        <v>0.1</v>
      </c>
      <c r="L3056" t="n">
        <v>0</v>
      </c>
      <c r="M3056" t="n">
        <v>4</v>
      </c>
      <c r="N3056" t="n">
        <v>0.4</v>
      </c>
      <c r="O3056" t="n">
        <v>0</v>
      </c>
      <c r="P3056" t="n">
        <v>0</v>
      </c>
      <c r="Q3056" t="n">
        <v>0</v>
      </c>
      <c r="R3056" t="inlineStr">
        <is>
          <t>Sin rotación</t>
        </is>
      </c>
    </row>
    <row r="3057">
      <c r="A3057" t="inlineStr">
        <is>
          <t>ANDMIDA13TM</t>
        </is>
      </c>
      <c r="B3057" t="inlineStr">
        <is>
          <t>ANDRE ORIGINAL DAMA</t>
        </is>
      </c>
      <c r="C3057" t="inlineStr">
        <is>
          <t>Manufactura / Dama / P. Superiores</t>
        </is>
      </c>
      <c r="D3057" t="n">
        <v>31.77326874</v>
      </c>
      <c r="E3057" t="n">
        <v>7.779131074084877e-06</v>
      </c>
      <c r="F3057" t="n">
        <v>0.9989116171194742</v>
      </c>
      <c r="G3057" t="inlineStr">
        <is>
          <t>C</t>
        </is>
      </c>
      <c r="H3057" t="n">
        <v>0</v>
      </c>
      <c r="I3057" t="n">
        <v>3.274295302</v>
      </c>
      <c r="J3057" t="n">
        <v>0</v>
      </c>
      <c r="K3057" t="n">
        <v>0.1</v>
      </c>
      <c r="L3057" t="n">
        <v>0</v>
      </c>
      <c r="M3057" t="n">
        <v>4</v>
      </c>
      <c r="N3057" t="n">
        <v>0.4</v>
      </c>
      <c r="O3057" t="n">
        <v>0</v>
      </c>
      <c r="P3057" t="n">
        <v>0</v>
      </c>
      <c r="Q3057" t="n">
        <v>0</v>
      </c>
      <c r="R3057" t="inlineStr">
        <is>
          <t>Sin rotación</t>
        </is>
      </c>
    </row>
    <row r="3058">
      <c r="A3058" t="inlineStr">
        <is>
          <t>MARMIKI05T2</t>
        </is>
      </c>
      <c r="B3058" t="inlineStr">
        <is>
          <t>MAR ORIGINAL KIDS</t>
        </is>
      </c>
      <c r="C3058" t="inlineStr">
        <is>
          <t>Manufactura / Kids / P. Superiores</t>
        </is>
      </c>
      <c r="D3058" t="n">
        <v>31.7720754</v>
      </c>
      <c r="E3058" t="n">
        <v>7.778838905584623e-06</v>
      </c>
      <c r="F3058" t="n">
        <v>0.9989271747972852</v>
      </c>
      <c r="G3058" t="inlineStr">
        <is>
          <t>C</t>
        </is>
      </c>
      <c r="H3058" t="n">
        <v>0</v>
      </c>
      <c r="I3058" t="n">
        <v>3.168013332</v>
      </c>
      <c r="J3058" t="n">
        <v>0</v>
      </c>
      <c r="K3058" t="n">
        <v>0.1</v>
      </c>
      <c r="L3058" t="n">
        <v>0</v>
      </c>
      <c r="M3058" t="n">
        <v>4</v>
      </c>
      <c r="N3058" t="n">
        <v>0.4</v>
      </c>
      <c r="O3058" t="n">
        <v>0</v>
      </c>
      <c r="P3058" t="n">
        <v>0</v>
      </c>
      <c r="Q3058" t="n">
        <v>0</v>
      </c>
      <c r="R3058" t="inlineStr">
        <is>
          <t>Sin rotación</t>
        </is>
      </c>
    </row>
    <row r="3059">
      <c r="A3059" t="inlineStr">
        <is>
          <t>SHONRKI16T2</t>
        </is>
      </c>
      <c r="B3059" t="inlineStr">
        <is>
          <t>SHORT SPORT KIDS</t>
        </is>
      </c>
      <c r="C3059" t="inlineStr">
        <is>
          <t>Manufactura / Kids / P. Inferiores</t>
        </is>
      </c>
      <c r="D3059" t="n">
        <v>31.7720754</v>
      </c>
      <c r="E3059" t="n">
        <v>7.778838905584623e-06</v>
      </c>
      <c r="F3059" t="n">
        <v>0.9989271747972852</v>
      </c>
      <c r="G3059" t="inlineStr">
        <is>
          <t>C</t>
        </is>
      </c>
      <c r="H3059" t="n">
        <v>0</v>
      </c>
      <c r="I3059" t="n">
        <v>6.465724382</v>
      </c>
      <c r="J3059" t="n">
        <v>0</v>
      </c>
      <c r="K3059" t="n">
        <v>0.1</v>
      </c>
      <c r="L3059" t="n">
        <v>0</v>
      </c>
      <c r="M3059" t="n">
        <v>4</v>
      </c>
      <c r="N3059" t="n">
        <v>0.4</v>
      </c>
      <c r="O3059" t="n">
        <v>0</v>
      </c>
      <c r="P3059" t="n">
        <v>0</v>
      </c>
      <c r="Q3059" t="n">
        <v>0</v>
      </c>
      <c r="R3059" t="inlineStr">
        <is>
          <t>Sin rotación</t>
        </is>
      </c>
    </row>
    <row r="3060">
      <c r="A3060" t="inlineStr">
        <is>
          <t>MAFMEDA66TXL</t>
        </is>
      </c>
      <c r="B3060" t="inlineStr">
        <is>
          <t>MAFE SPORT DAMA</t>
        </is>
      </c>
      <c r="C3060" t="inlineStr">
        <is>
          <t>Manufactura / Dama / P. Superiores</t>
        </is>
      </c>
      <c r="D3060" t="n">
        <v>31.38450437</v>
      </c>
      <c r="E3060" t="n">
        <v>7.683948893871964e-06</v>
      </c>
      <c r="F3060" t="n">
        <v>0.9989655945417546</v>
      </c>
      <c r="G3060" t="inlineStr">
        <is>
          <t>C</t>
        </is>
      </c>
      <c r="H3060" t="n">
        <v>1</v>
      </c>
      <c r="I3060" t="n">
        <v>5.35</v>
      </c>
      <c r="J3060" t="n">
        <v>5.35</v>
      </c>
      <c r="K3060" t="n">
        <v>0.1</v>
      </c>
      <c r="L3060" t="n">
        <v>10</v>
      </c>
      <c r="M3060" t="n">
        <v>4</v>
      </c>
      <c r="N3060" t="n">
        <v>0.4</v>
      </c>
      <c r="O3060" t="n">
        <v>0.6</v>
      </c>
      <c r="P3060" t="n">
        <v>3.21</v>
      </c>
      <c r="Q3060" t="n">
        <v>0.6</v>
      </c>
      <c r="R3060" t="inlineStr">
        <is>
          <t>Sin rotación</t>
        </is>
      </c>
    </row>
    <row r="3061">
      <c r="A3061" t="inlineStr">
        <is>
          <t>MAFMEDA51TXL</t>
        </is>
      </c>
      <c r="B3061" t="inlineStr">
        <is>
          <t>MAFE SPORT DAMA</t>
        </is>
      </c>
      <c r="C3061" t="inlineStr">
        <is>
          <t>Manufactura / Dama / P. Superiores</t>
        </is>
      </c>
      <c r="D3061" t="n">
        <v>31.38450437</v>
      </c>
      <c r="E3061" t="n">
        <v>7.683948893871964e-06</v>
      </c>
      <c r="F3061" t="n">
        <v>0.9989655945417546</v>
      </c>
      <c r="G3061" t="inlineStr">
        <is>
          <t>C</t>
        </is>
      </c>
      <c r="H3061" t="n">
        <v>0</v>
      </c>
      <c r="I3061" t="n">
        <v>5.35</v>
      </c>
      <c r="J3061" t="n">
        <v>0</v>
      </c>
      <c r="K3061" t="n">
        <v>0.1</v>
      </c>
      <c r="L3061" t="n">
        <v>0</v>
      </c>
      <c r="M3061" t="n">
        <v>4</v>
      </c>
      <c r="N3061" t="n">
        <v>0.4</v>
      </c>
      <c r="O3061" t="n">
        <v>0</v>
      </c>
      <c r="P3061" t="n">
        <v>0</v>
      </c>
      <c r="Q3061" t="n">
        <v>0</v>
      </c>
      <c r="R3061" t="inlineStr">
        <is>
          <t>Sin rotación</t>
        </is>
      </c>
    </row>
    <row r="3062">
      <c r="A3062" t="inlineStr">
        <is>
          <t>MARMIKI09T14</t>
        </is>
      </c>
      <c r="B3062" t="inlineStr">
        <is>
          <t>MAR ORIGINAL KIDS</t>
        </is>
      </c>
      <c r="C3062" t="inlineStr">
        <is>
          <t>Manufactura / Kids / P. Superiores</t>
        </is>
      </c>
      <c r="D3062" t="n">
        <v>31.38450437</v>
      </c>
      <c r="E3062" t="n">
        <v>7.683948893871964e-06</v>
      </c>
      <c r="F3062" t="n">
        <v>0.9989655945417546</v>
      </c>
      <c r="G3062" t="inlineStr">
        <is>
          <t>C</t>
        </is>
      </c>
      <c r="H3062" t="n">
        <v>0</v>
      </c>
      <c r="I3062" t="n">
        <v>3.168013332</v>
      </c>
      <c r="J3062" t="n">
        <v>0</v>
      </c>
      <c r="K3062" t="n">
        <v>0.1</v>
      </c>
      <c r="L3062" t="n">
        <v>0</v>
      </c>
      <c r="M3062" t="n">
        <v>4</v>
      </c>
      <c r="N3062" t="n">
        <v>0.4</v>
      </c>
      <c r="O3062" t="n">
        <v>0</v>
      </c>
      <c r="P3062" t="n">
        <v>0</v>
      </c>
      <c r="Q3062" t="n">
        <v>0</v>
      </c>
      <c r="R3062" t="inlineStr">
        <is>
          <t>Sin rotación</t>
        </is>
      </c>
    </row>
    <row r="3063">
      <c r="A3063" t="inlineStr">
        <is>
          <t>MARMIKI52T4</t>
        </is>
      </c>
      <c r="B3063" t="inlineStr">
        <is>
          <t>MAR ORIGINAL KIDS</t>
        </is>
      </c>
      <c r="C3063" t="inlineStr">
        <is>
          <t>Manufactura / Kids / P. Superiores</t>
        </is>
      </c>
      <c r="D3063" t="n">
        <v>31.38450437</v>
      </c>
      <c r="E3063" t="n">
        <v>7.683948893871964e-06</v>
      </c>
      <c r="F3063" t="n">
        <v>0.9989655945417546</v>
      </c>
      <c r="G3063" t="inlineStr">
        <is>
          <t>C</t>
        </is>
      </c>
      <c r="H3063" t="n">
        <v>0</v>
      </c>
      <c r="I3063" t="n">
        <v>3.168013332</v>
      </c>
      <c r="J3063" t="n">
        <v>0</v>
      </c>
      <c r="K3063" t="n">
        <v>0.1</v>
      </c>
      <c r="L3063" t="n">
        <v>0</v>
      </c>
      <c r="M3063" t="n">
        <v>4</v>
      </c>
      <c r="N3063" t="n">
        <v>0.4</v>
      </c>
      <c r="O3063" t="n">
        <v>0</v>
      </c>
      <c r="P3063" t="n">
        <v>0</v>
      </c>
      <c r="Q3063" t="n">
        <v>0</v>
      </c>
      <c r="R3063" t="inlineStr">
        <is>
          <t>Sin rotación</t>
        </is>
      </c>
    </row>
    <row r="3064">
      <c r="A3064" t="inlineStr">
        <is>
          <t>CRESTKI16T14</t>
        </is>
      </c>
      <c r="B3064" t="inlineStr">
        <is>
          <t>RETRO VZLA KIDS</t>
        </is>
      </c>
      <c r="C3064" t="inlineStr">
        <is>
          <t>Manufactura / Dama / P. Superiores</t>
        </is>
      </c>
      <c r="D3064" t="n">
        <v>31.38450437</v>
      </c>
      <c r="E3064" t="n">
        <v>7.683948893871964e-06</v>
      </c>
      <c r="F3064" t="n">
        <v>0.9989655945417546</v>
      </c>
      <c r="G3064" t="inlineStr">
        <is>
          <t>C</t>
        </is>
      </c>
      <c r="H3064" t="n">
        <v>2</v>
      </c>
      <c r="I3064" t="n">
        <v>10.18</v>
      </c>
      <c r="J3064" t="n">
        <v>20.36</v>
      </c>
      <c r="K3064" t="n">
        <v>0.1</v>
      </c>
      <c r="L3064" t="n">
        <v>20</v>
      </c>
      <c r="M3064" t="n">
        <v>4</v>
      </c>
      <c r="N3064" t="n">
        <v>0.4</v>
      </c>
      <c r="O3064" t="n">
        <v>1.6</v>
      </c>
      <c r="P3064" t="n">
        <v>16.288</v>
      </c>
      <c r="Q3064" t="n">
        <v>0.8</v>
      </c>
      <c r="R3064" t="inlineStr">
        <is>
          <t>Sin rotación</t>
        </is>
      </c>
    </row>
    <row r="3065">
      <c r="A3065" t="inlineStr">
        <is>
          <t>P03</t>
        </is>
      </c>
      <c r="B3065" t="inlineStr">
        <is>
          <t>PARCHES</t>
        </is>
      </c>
      <c r="C3065" t="inlineStr">
        <is>
          <t>Equipamiento / Accesorios</t>
        </is>
      </c>
      <c r="D3065" t="n">
        <v>31.276963187</v>
      </c>
      <c r="E3065" t="n">
        <v>7.657619309551734e-06</v>
      </c>
      <c r="F3065" t="n">
        <v>0.9989732521610643</v>
      </c>
      <c r="G3065" t="inlineStr">
        <is>
          <t>C</t>
        </is>
      </c>
      <c r="H3065" t="n">
        <v>506</v>
      </c>
      <c r="I3065" t="n">
        <v>0.98</v>
      </c>
      <c r="J3065" t="n">
        <v>495.88</v>
      </c>
      <c r="K3065" t="n">
        <v>0.9</v>
      </c>
      <c r="L3065" t="n">
        <v>562.2222222222222</v>
      </c>
      <c r="M3065" t="n">
        <v>4</v>
      </c>
      <c r="N3065" t="n">
        <v>3.6</v>
      </c>
      <c r="O3065" t="n">
        <v>502.4</v>
      </c>
      <c r="P3065" t="n">
        <v>492.352</v>
      </c>
      <c r="Q3065" t="n">
        <v>0.9928853754940711</v>
      </c>
      <c r="R3065" t="inlineStr">
        <is>
          <t>Sobrestock crítico</t>
        </is>
      </c>
    </row>
    <row r="3066">
      <c r="A3066" t="inlineStr">
        <is>
          <t>MARMIKI04T6</t>
        </is>
      </c>
      <c r="B3066" t="inlineStr">
        <is>
          <t>MAR ORIGINAL KIDS</t>
        </is>
      </c>
      <c r="C3066" t="inlineStr">
        <is>
          <t>Manufactura / Kids / P. Superiores</t>
        </is>
      </c>
      <c r="D3066" t="n">
        <v>31.09549723</v>
      </c>
      <c r="E3066" t="n">
        <v>7.613190532753894e-06</v>
      </c>
      <c r="F3066" t="n">
        <v>0.9989960917326625</v>
      </c>
      <c r="G3066" t="inlineStr">
        <is>
          <t>C</t>
        </is>
      </c>
      <c r="H3066" t="n">
        <v>5</v>
      </c>
      <c r="I3066" t="n">
        <v>3.168013332</v>
      </c>
      <c r="J3066" t="n">
        <v>15.84006666</v>
      </c>
      <c r="K3066" t="n">
        <v>0.2</v>
      </c>
      <c r="L3066" t="n">
        <v>25</v>
      </c>
      <c r="M3066" t="n">
        <v>4</v>
      </c>
      <c r="N3066" t="n">
        <v>0.8</v>
      </c>
      <c r="O3066" t="n">
        <v>4.2</v>
      </c>
      <c r="P3066" t="n">
        <v>13.3056559944</v>
      </c>
      <c r="Q3066" t="n">
        <v>0.84</v>
      </c>
      <c r="R3066" t="inlineStr">
        <is>
          <t>Sobrestock crítico</t>
        </is>
      </c>
    </row>
    <row r="3067">
      <c r="A3067" t="inlineStr">
        <is>
          <t>VIVMIDA13TXS</t>
        </is>
      </c>
      <c r="B3067" t="inlineStr">
        <is>
          <t>VIVI ORIGINAL DAMA</t>
        </is>
      </c>
      <c r="C3067" t="inlineStr">
        <is>
          <t>Manufactura / Dama / P. Superiores</t>
        </is>
      </c>
      <c r="D3067" t="n">
        <v>31.09549723</v>
      </c>
      <c r="E3067" t="n">
        <v>7.613190532753894e-06</v>
      </c>
      <c r="F3067" t="n">
        <v>0.9989960917326625</v>
      </c>
      <c r="G3067" t="inlineStr">
        <is>
          <t>C</t>
        </is>
      </c>
      <c r="H3067" t="n">
        <v>0</v>
      </c>
      <c r="I3067" t="n">
        <v>4.303181706</v>
      </c>
      <c r="J3067" t="n">
        <v>0</v>
      </c>
      <c r="K3067" t="n">
        <v>0.1</v>
      </c>
      <c r="L3067" t="n">
        <v>0</v>
      </c>
      <c r="M3067" t="n">
        <v>4</v>
      </c>
      <c r="N3067" t="n">
        <v>0.4</v>
      </c>
      <c r="O3067" t="n">
        <v>0</v>
      </c>
      <c r="P3067" t="n">
        <v>0</v>
      </c>
      <c r="Q3067" t="n">
        <v>0</v>
      </c>
      <c r="R3067" t="inlineStr">
        <is>
          <t>Sin rotación</t>
        </is>
      </c>
    </row>
    <row r="3068">
      <c r="A3068" t="inlineStr">
        <is>
          <t>ANDMIDA70TL</t>
        </is>
      </c>
      <c r="B3068" t="inlineStr">
        <is>
          <t>ANDRE ORIGINAL DAMA</t>
        </is>
      </c>
      <c r="C3068" t="inlineStr">
        <is>
          <t>Manufactura / Dama / P. Superiores</t>
        </is>
      </c>
      <c r="D3068" t="n">
        <v>31.09549723</v>
      </c>
      <c r="E3068" t="n">
        <v>7.613190532753894e-06</v>
      </c>
      <c r="F3068" t="n">
        <v>0.9989960917326625</v>
      </c>
      <c r="G3068" t="inlineStr">
        <is>
          <t>C</t>
        </is>
      </c>
      <c r="H3068" t="n">
        <v>0</v>
      </c>
      <c r="I3068" t="n">
        <v>3.274295302</v>
      </c>
      <c r="J3068" t="n">
        <v>0</v>
      </c>
      <c r="K3068" t="n">
        <v>0.1</v>
      </c>
      <c r="L3068" t="n">
        <v>0</v>
      </c>
      <c r="M3068" t="n">
        <v>4</v>
      </c>
      <c r="N3068" t="n">
        <v>0.4</v>
      </c>
      <c r="O3068" t="n">
        <v>0</v>
      </c>
      <c r="P3068" t="n">
        <v>0</v>
      </c>
      <c r="Q3068" t="n">
        <v>0</v>
      </c>
      <c r="R3068" t="inlineStr">
        <is>
          <t>Sin rotación</t>
        </is>
      </c>
    </row>
    <row r="3069">
      <c r="A3069" t="inlineStr">
        <is>
          <t>MARMIKI39T8</t>
        </is>
      </c>
      <c r="B3069" t="inlineStr">
        <is>
          <t>MAR ORIGINAL KIDS</t>
        </is>
      </c>
      <c r="C3069" t="inlineStr">
        <is>
          <t>Manufactura / Kids / P. Superiores</t>
        </is>
      </c>
      <c r="D3069" t="n">
        <v>31.07035267</v>
      </c>
      <c r="E3069" t="n">
        <v>7.607034325482907e-06</v>
      </c>
      <c r="F3069" t="n">
        <v>0.9990036987669879</v>
      </c>
      <c r="G3069" t="inlineStr">
        <is>
          <t>C</t>
        </is>
      </c>
      <c r="H3069" t="n">
        <v>0</v>
      </c>
      <c r="I3069" t="n">
        <v>3.168013332</v>
      </c>
      <c r="J3069" t="n">
        <v>0</v>
      </c>
      <c r="K3069" t="n">
        <v>0.1</v>
      </c>
      <c r="L3069" t="n">
        <v>0</v>
      </c>
      <c r="M3069" t="n">
        <v>4</v>
      </c>
      <c r="N3069" t="n">
        <v>0.4</v>
      </c>
      <c r="O3069" t="n">
        <v>0</v>
      </c>
      <c r="P3069" t="n">
        <v>0</v>
      </c>
      <c r="Q3069" t="n">
        <v>0</v>
      </c>
      <c r="R3069" t="inlineStr">
        <is>
          <t>Sin rotación</t>
        </is>
      </c>
    </row>
    <row r="3070">
      <c r="A3070" t="inlineStr">
        <is>
          <t>PETMIPE16TS</t>
        </is>
      </c>
      <c r="B3070" t="inlineStr">
        <is>
          <t>BANDANA PET</t>
        </is>
      </c>
      <c r="C3070" t="inlineStr">
        <is>
          <t>Manufactura / General</t>
        </is>
      </c>
      <c r="D3070" t="n">
        <v>30.933370117</v>
      </c>
      <c r="E3070" t="n">
        <v>7.573496534852374e-06</v>
      </c>
      <c r="F3070" t="n">
        <v>0.9990112722635227</v>
      </c>
      <c r="G3070" t="inlineStr">
        <is>
          <t>C</t>
        </is>
      </c>
      <c r="H3070" t="n">
        <v>9</v>
      </c>
      <c r="I3070" t="n">
        <v>0.3252662283</v>
      </c>
      <c r="J3070" t="n">
        <v>2.9273960547</v>
      </c>
      <c r="K3070" t="n">
        <v>0.4</v>
      </c>
      <c r="L3070" t="n">
        <v>22.5</v>
      </c>
      <c r="M3070" t="n">
        <v>4</v>
      </c>
      <c r="N3070" t="n">
        <v>1.6</v>
      </c>
      <c r="O3070" t="n">
        <v>7.4</v>
      </c>
      <c r="P3070" t="n">
        <v>2.40697008942</v>
      </c>
      <c r="Q3070" t="n">
        <v>0.8222222222222223</v>
      </c>
      <c r="R3070" t="inlineStr">
        <is>
          <t>Sobrestock crítico</t>
        </is>
      </c>
    </row>
    <row r="3071">
      <c r="A3071" t="inlineStr">
        <is>
          <t>MARMIKI14T14</t>
        </is>
      </c>
      <c r="B3071" t="inlineStr">
        <is>
          <t>MAR ORIGINAL KIDS</t>
        </is>
      </c>
      <c r="C3071" t="inlineStr">
        <is>
          <t>Manufactura / Kids / P. Superiores</t>
        </is>
      </c>
      <c r="D3071" t="n">
        <v>30.74939118</v>
      </c>
      <c r="E3071" t="n">
        <v>7.528452498700311e-06</v>
      </c>
      <c r="F3071" t="n">
        <v>0.9990188007160214</v>
      </c>
      <c r="G3071" t="inlineStr">
        <is>
          <t>C</t>
        </is>
      </c>
      <c r="H3071" t="n">
        <v>0</v>
      </c>
      <c r="I3071" t="n">
        <v>3.168013332</v>
      </c>
      <c r="J3071" t="n">
        <v>0</v>
      </c>
      <c r="K3071" t="n">
        <v>0.1</v>
      </c>
      <c r="L3071" t="n">
        <v>0</v>
      </c>
      <c r="M3071" t="n">
        <v>4</v>
      </c>
      <c r="N3071" t="n">
        <v>0.4</v>
      </c>
      <c r="O3071" t="n">
        <v>0</v>
      </c>
      <c r="P3071" t="n">
        <v>0</v>
      </c>
      <c r="Q3071" t="n">
        <v>0</v>
      </c>
      <c r="R3071" t="inlineStr">
        <is>
          <t>Sin rotación</t>
        </is>
      </c>
    </row>
    <row r="3072">
      <c r="A3072" t="inlineStr">
        <is>
          <t>ZOEMIKI48T8</t>
        </is>
      </c>
      <c r="B3072" t="inlineStr">
        <is>
          <t>ZOE ORIGINAL KIDS</t>
        </is>
      </c>
      <c r="C3072" t="inlineStr">
        <is>
          <t>Manufactura / Kids / P. Superiores</t>
        </is>
      </c>
      <c r="D3072" t="n">
        <v>30.69213547</v>
      </c>
      <c r="E3072" t="n">
        <v>7.514434436017668e-06</v>
      </c>
      <c r="F3072" t="n">
        <v>0.9990263151504575</v>
      </c>
      <c r="G3072" t="inlineStr">
        <is>
          <t>C</t>
        </is>
      </c>
      <c r="H3072" t="n">
        <v>0</v>
      </c>
      <c r="I3072" t="n">
        <v>4.12</v>
      </c>
      <c r="J3072" t="n">
        <v>0</v>
      </c>
      <c r="K3072" t="n">
        <v>0.1</v>
      </c>
      <c r="L3072" t="n">
        <v>0</v>
      </c>
      <c r="M3072" t="n">
        <v>4</v>
      </c>
      <c r="N3072" t="n">
        <v>0.4</v>
      </c>
      <c r="O3072" t="n">
        <v>0</v>
      </c>
      <c r="P3072" t="n">
        <v>0</v>
      </c>
      <c r="Q3072" t="n">
        <v>0</v>
      </c>
      <c r="R3072" t="inlineStr">
        <is>
          <t>Sin rotación</t>
        </is>
      </c>
    </row>
    <row r="3073">
      <c r="A3073" t="inlineStr">
        <is>
          <t>PETMIPE01TS</t>
        </is>
      </c>
      <c r="B3073" t="inlineStr">
        <is>
          <t>BANDANA PET</t>
        </is>
      </c>
      <c r="C3073" t="inlineStr">
        <is>
          <t>Manufactura / General</t>
        </is>
      </c>
      <c r="D3073" t="n">
        <v>30.6162868</v>
      </c>
      <c r="E3073" t="n">
        <v>7.495864211136076e-06</v>
      </c>
      <c r="F3073" t="n">
        <v>0.9990338110146686</v>
      </c>
      <c r="G3073" t="inlineStr">
        <is>
          <t>C</t>
        </is>
      </c>
      <c r="H3073" t="n">
        <v>10</v>
      </c>
      <c r="I3073" t="n">
        <v>0.3252662283</v>
      </c>
      <c r="J3073" t="n">
        <v>3.252662283</v>
      </c>
      <c r="K3073" t="n">
        <v>0.2</v>
      </c>
      <c r="L3073" t="n">
        <v>50</v>
      </c>
      <c r="M3073" t="n">
        <v>4</v>
      </c>
      <c r="N3073" t="n">
        <v>0.8</v>
      </c>
      <c r="O3073" t="n">
        <v>9.199999999999999</v>
      </c>
      <c r="P3073" t="n">
        <v>2.99244930036</v>
      </c>
      <c r="Q3073" t="n">
        <v>0.9199999999999999</v>
      </c>
      <c r="R3073" t="inlineStr">
        <is>
          <t>Sobrestock crítico</t>
        </is>
      </c>
    </row>
    <row r="3074">
      <c r="A3074" t="inlineStr">
        <is>
          <t>PETMIPE04TXL</t>
        </is>
      </c>
      <c r="B3074" t="inlineStr">
        <is>
          <t>BANDANA PET</t>
        </is>
      </c>
      <c r="C3074" t="inlineStr">
        <is>
          <t>Manufactura / General</t>
        </is>
      </c>
      <c r="D3074" t="n">
        <v>30.500996015</v>
      </c>
      <c r="E3074" t="n">
        <v>7.467637271834108e-06</v>
      </c>
      <c r="F3074" t="n">
        <v>0.9990412786519405</v>
      </c>
      <c r="G3074" t="inlineStr">
        <is>
          <t>C</t>
        </is>
      </c>
      <c r="H3074" t="n">
        <v>0</v>
      </c>
      <c r="I3074" t="n">
        <v>0.3252662283</v>
      </c>
      <c r="J3074" t="n">
        <v>0</v>
      </c>
      <c r="K3074" t="n">
        <v>0.3</v>
      </c>
      <c r="L3074" t="n">
        <v>0</v>
      </c>
      <c r="M3074" t="n">
        <v>4</v>
      </c>
      <c r="N3074" t="n">
        <v>1.2</v>
      </c>
      <c r="O3074" t="n">
        <v>0</v>
      </c>
      <c r="P3074" t="n">
        <v>0</v>
      </c>
      <c r="Q3074" t="n">
        <v>0</v>
      </c>
      <c r="R3074" t="inlineStr">
        <is>
          <t>Riesgo bajo stock</t>
        </is>
      </c>
    </row>
    <row r="3075">
      <c r="A3075" t="inlineStr">
        <is>
          <t>MIAMIDA12TM</t>
        </is>
      </c>
      <c r="B3075" t="inlineStr">
        <is>
          <t>MIA ORIGINAL DAMA</t>
        </is>
      </c>
      <c r="C3075" t="inlineStr">
        <is>
          <t>Manufactura / Dama / P. Superiores</t>
        </is>
      </c>
      <c r="D3075" t="n">
        <v>30.48489783</v>
      </c>
      <c r="E3075" t="n">
        <v>7.46369591181243e-06</v>
      </c>
      <c r="F3075" t="n">
        <v>0.9990562060437639</v>
      </c>
      <c r="G3075" t="inlineStr">
        <is>
          <t>C</t>
        </is>
      </c>
      <c r="H3075" t="n">
        <v>0</v>
      </c>
      <c r="I3075" t="n">
        <v>3.94</v>
      </c>
      <c r="J3075" t="n">
        <v>0</v>
      </c>
      <c r="K3075" t="n">
        <v>0.1</v>
      </c>
      <c r="L3075" t="n">
        <v>0</v>
      </c>
      <c r="M3075" t="n">
        <v>4</v>
      </c>
      <c r="N3075" t="n">
        <v>0.4</v>
      </c>
      <c r="O3075" t="n">
        <v>0</v>
      </c>
      <c r="P3075" t="n">
        <v>0</v>
      </c>
      <c r="Q3075" t="n">
        <v>0</v>
      </c>
      <c r="R3075" t="inlineStr">
        <is>
          <t>Sin rotación</t>
        </is>
      </c>
    </row>
    <row r="3076">
      <c r="A3076" t="inlineStr">
        <is>
          <t>MIAMIDA34TM</t>
        </is>
      </c>
      <c r="B3076" t="inlineStr">
        <is>
          <t>MIA ORIGINAL DAMA</t>
        </is>
      </c>
      <c r="C3076" t="inlineStr">
        <is>
          <t>Manufactura / Dama / P. Superiores</t>
        </is>
      </c>
      <c r="D3076" t="n">
        <v>30.48489783</v>
      </c>
      <c r="E3076" t="n">
        <v>7.46369591181243e-06</v>
      </c>
      <c r="F3076" t="n">
        <v>0.9990562060437639</v>
      </c>
      <c r="G3076" t="inlineStr">
        <is>
          <t>C</t>
        </is>
      </c>
      <c r="H3076" t="n">
        <v>0</v>
      </c>
      <c r="I3076" t="n">
        <v>3.94</v>
      </c>
      <c r="J3076" t="n">
        <v>0</v>
      </c>
      <c r="K3076" t="n">
        <v>0.1</v>
      </c>
      <c r="L3076" t="n">
        <v>0</v>
      </c>
      <c r="M3076" t="n">
        <v>4</v>
      </c>
      <c r="N3076" t="n">
        <v>0.4</v>
      </c>
      <c r="O3076" t="n">
        <v>0</v>
      </c>
      <c r="P3076" t="n">
        <v>0</v>
      </c>
      <c r="Q3076" t="n">
        <v>0</v>
      </c>
      <c r="R3076" t="inlineStr">
        <is>
          <t>Sin rotación</t>
        </is>
      </c>
    </row>
    <row r="3077">
      <c r="A3077" t="inlineStr">
        <is>
          <t>MAFMIDA04TS</t>
        </is>
      </c>
      <c r="B3077" t="inlineStr">
        <is>
          <t>MAFE ORIGINAL DAMA</t>
        </is>
      </c>
      <c r="C3077" t="inlineStr">
        <is>
          <t>Manufactura / Dama / P. Superiores</t>
        </is>
      </c>
      <c r="D3077" t="n">
        <v>30.44842674</v>
      </c>
      <c r="E3077" t="n">
        <v>7.45476660108125e-06</v>
      </c>
      <c r="F3077" t="n">
        <v>0.999063660810365</v>
      </c>
      <c r="G3077" t="inlineStr">
        <is>
          <t>C</t>
        </is>
      </c>
      <c r="H3077" t="n">
        <v>0</v>
      </c>
      <c r="I3077" t="n">
        <v>4.54817671</v>
      </c>
      <c r="J3077" t="n">
        <v>0</v>
      </c>
      <c r="K3077" t="n">
        <v>0.1</v>
      </c>
      <c r="L3077" t="n">
        <v>0</v>
      </c>
      <c r="M3077" t="n">
        <v>4</v>
      </c>
      <c r="N3077" t="n">
        <v>0.4</v>
      </c>
      <c r="O3077" t="n">
        <v>0</v>
      </c>
      <c r="P3077" t="n">
        <v>0</v>
      </c>
      <c r="Q3077" t="n">
        <v>0</v>
      </c>
      <c r="R3077" t="inlineStr">
        <is>
          <t>Sin rotación</t>
        </is>
      </c>
    </row>
    <row r="3078">
      <c r="A3078" t="inlineStr">
        <is>
          <t>VIVMIDA50TS</t>
        </is>
      </c>
      <c r="B3078" t="inlineStr">
        <is>
          <t>VIVI ORIGINAL DAMA</t>
        </is>
      </c>
      <c r="C3078" t="inlineStr">
        <is>
          <t>Manufactura / Dama / P. Superiores</t>
        </is>
      </c>
      <c r="D3078" t="n">
        <v>30.43975844</v>
      </c>
      <c r="E3078" t="n">
        <v>7.452644318906215e-06</v>
      </c>
      <c r="F3078" t="n">
        <v>0.9990711134546839</v>
      </c>
      <c r="G3078" t="inlineStr">
        <is>
          <t>C</t>
        </is>
      </c>
      <c r="H3078" t="n">
        <v>9</v>
      </c>
      <c r="I3078" t="n">
        <v>4.303181706</v>
      </c>
      <c r="J3078" t="n">
        <v>38.72863535400001</v>
      </c>
      <c r="K3078" t="n">
        <v>0.1</v>
      </c>
      <c r="L3078" t="n">
        <v>90</v>
      </c>
      <c r="M3078" t="n">
        <v>4</v>
      </c>
      <c r="N3078" t="n">
        <v>0.4</v>
      </c>
      <c r="O3078" t="n">
        <v>8.6</v>
      </c>
      <c r="P3078" t="n">
        <v>37.0073626716</v>
      </c>
      <c r="Q3078" t="n">
        <v>0.9555555555555554</v>
      </c>
      <c r="R3078" t="inlineStr">
        <is>
          <t>Sin rotación</t>
        </is>
      </c>
    </row>
    <row r="3079">
      <c r="A3079" t="inlineStr">
        <is>
          <t>DALSTKI16T6</t>
        </is>
      </c>
      <c r="B3079" t="inlineStr">
        <is>
          <t>CLASICA DAILY 2.0 KIDS</t>
        </is>
      </c>
      <c r="C3079" t="inlineStr">
        <is>
          <t>Manufactura / Kids / P. Superiores</t>
        </is>
      </c>
      <c r="D3079" t="n">
        <v>30.40928521</v>
      </c>
      <c r="E3079" t="n">
        <v>7.44518347965922e-06</v>
      </c>
      <c r="F3079" t="n">
        <v>0.9990785586381636</v>
      </c>
      <c r="G3079" t="inlineStr">
        <is>
          <t>C</t>
        </is>
      </c>
      <c r="H3079" t="n">
        <v>0</v>
      </c>
      <c r="I3079" t="n">
        <v>8.699999999999999</v>
      </c>
      <c r="J3079" t="n">
        <v>0</v>
      </c>
      <c r="K3079" t="n">
        <v>0.1</v>
      </c>
      <c r="L3079" t="n">
        <v>0</v>
      </c>
      <c r="M3079" t="n">
        <v>4</v>
      </c>
      <c r="N3079" t="n">
        <v>0.4</v>
      </c>
      <c r="O3079" t="n">
        <v>0</v>
      </c>
      <c r="P3079" t="n">
        <v>0</v>
      </c>
      <c r="Q3079" t="n">
        <v>0</v>
      </c>
      <c r="R3079" t="inlineStr">
        <is>
          <t>Riesgo bajo stock</t>
        </is>
      </c>
    </row>
    <row r="3080">
      <c r="A3080" t="inlineStr">
        <is>
          <t>MIAMIDA30TXS</t>
        </is>
      </c>
      <c r="B3080" t="inlineStr">
        <is>
          <t>MIA ORIGINAL DAMA</t>
        </is>
      </c>
      <c r="C3080" t="inlineStr">
        <is>
          <t>Manufactura / Dama / P. Superiores</t>
        </is>
      </c>
      <c r="D3080" t="n">
        <v>30.32472654</v>
      </c>
      <c r="E3080" t="n">
        <v>7.424480763084384e-06</v>
      </c>
      <c r="F3080" t="n">
        <v>0.9990859831189267</v>
      </c>
      <c r="G3080" t="inlineStr">
        <is>
          <t>C</t>
        </is>
      </c>
      <c r="H3080" t="n">
        <v>1</v>
      </c>
      <c r="I3080" t="n">
        <v>3.94</v>
      </c>
      <c r="J3080" t="n">
        <v>3.94</v>
      </c>
      <c r="K3080" t="n">
        <v>0.1</v>
      </c>
      <c r="L3080" t="n">
        <v>10</v>
      </c>
      <c r="M3080" t="n">
        <v>4</v>
      </c>
      <c r="N3080" t="n">
        <v>0.4</v>
      </c>
      <c r="O3080" t="n">
        <v>0.6</v>
      </c>
      <c r="P3080" t="n">
        <v>2.364</v>
      </c>
      <c r="Q3080" t="n">
        <v>0.6</v>
      </c>
      <c r="R3080" t="inlineStr">
        <is>
          <t>Sin rotación</t>
        </is>
      </c>
    </row>
    <row r="3081">
      <c r="A3081" t="inlineStr">
        <is>
          <t>ZOEMIKI09T12</t>
        </is>
      </c>
      <c r="B3081" t="inlineStr">
        <is>
          <t>ZOE ORIGINAL KIDS</t>
        </is>
      </c>
      <c r="C3081" t="inlineStr">
        <is>
          <t>Manufactura / Kids / P. Superiores</t>
        </is>
      </c>
      <c r="D3081" t="n">
        <v>30.32150266</v>
      </c>
      <c r="E3081" t="n">
        <v>7.42369145225545e-06</v>
      </c>
      <c r="F3081" t="n">
        <v>0.9991008305018312</v>
      </c>
      <c r="G3081" t="inlineStr">
        <is>
          <t>C</t>
        </is>
      </c>
      <c r="H3081" t="n">
        <v>0</v>
      </c>
      <c r="I3081" t="n">
        <v>4.12</v>
      </c>
      <c r="J3081" t="n">
        <v>0</v>
      </c>
      <c r="K3081" t="n">
        <v>0.1</v>
      </c>
      <c r="L3081" t="n">
        <v>0</v>
      </c>
      <c r="M3081" t="n">
        <v>4</v>
      </c>
      <c r="N3081" t="n">
        <v>0.4</v>
      </c>
      <c r="O3081" t="n">
        <v>0</v>
      </c>
      <c r="P3081" t="n">
        <v>0</v>
      </c>
      <c r="Q3081" t="n">
        <v>0</v>
      </c>
      <c r="R3081" t="inlineStr">
        <is>
          <t>Sin rotación</t>
        </is>
      </c>
    </row>
    <row r="3082">
      <c r="A3082" t="inlineStr">
        <is>
          <t>ZOEMIKI09T10</t>
        </is>
      </c>
      <c r="B3082" t="inlineStr">
        <is>
          <t>ZOE ORIGINAL KIDS</t>
        </is>
      </c>
      <c r="C3082" t="inlineStr">
        <is>
          <t>Manufactura / Kids / P. Superiores</t>
        </is>
      </c>
      <c r="D3082" t="n">
        <v>30.32150266</v>
      </c>
      <c r="E3082" t="n">
        <v>7.42369145225545e-06</v>
      </c>
      <c r="F3082" t="n">
        <v>0.9991008305018312</v>
      </c>
      <c r="G3082" t="inlineStr">
        <is>
          <t>C</t>
        </is>
      </c>
      <c r="H3082" t="n">
        <v>0</v>
      </c>
      <c r="I3082" t="n">
        <v>4.12</v>
      </c>
      <c r="J3082" t="n">
        <v>0</v>
      </c>
      <c r="K3082" t="n">
        <v>0.1</v>
      </c>
      <c r="L3082" t="n">
        <v>0</v>
      </c>
      <c r="M3082" t="n">
        <v>4</v>
      </c>
      <c r="N3082" t="n">
        <v>0.4</v>
      </c>
      <c r="O3082" t="n">
        <v>0</v>
      </c>
      <c r="P3082" t="n">
        <v>0</v>
      </c>
      <c r="Q3082" t="n">
        <v>0</v>
      </c>
      <c r="R3082" t="inlineStr">
        <is>
          <t>Sin rotación</t>
        </is>
      </c>
    </row>
    <row r="3083">
      <c r="A3083" t="inlineStr">
        <is>
          <t>WAVSTKI30T10</t>
        </is>
      </c>
      <c r="B3083" t="inlineStr">
        <is>
          <t>CLASICA RETRO 2.0 KIDS</t>
        </is>
      </c>
      <c r="C3083" t="inlineStr">
        <is>
          <t>Manufactura / Kids / P. Superiores</t>
        </is>
      </c>
      <c r="D3083" t="n">
        <v>30.27895052</v>
      </c>
      <c r="E3083" t="n">
        <v>7.413273302418505e-06</v>
      </c>
      <c r="F3083" t="n">
        <v>0.9991082437751336</v>
      </c>
      <c r="G3083" t="inlineStr">
        <is>
          <t>C</t>
        </is>
      </c>
      <c r="H3083" t="n">
        <v>0</v>
      </c>
      <c r="I3083" t="n">
        <v>1</v>
      </c>
      <c r="J3083" t="n">
        <v>0</v>
      </c>
      <c r="K3083" t="n">
        <v>0.1</v>
      </c>
      <c r="L3083" t="n">
        <v>0</v>
      </c>
      <c r="M3083" t="n">
        <v>4</v>
      </c>
      <c r="N3083" t="n">
        <v>0.4</v>
      </c>
      <c r="O3083" t="n">
        <v>0</v>
      </c>
      <c r="P3083" t="n">
        <v>0</v>
      </c>
      <c r="Q3083" t="n">
        <v>0</v>
      </c>
      <c r="R3083" t="inlineStr">
        <is>
          <t>Riesgo bajo stock</t>
        </is>
      </c>
    </row>
    <row r="3084">
      <c r="A3084" t="inlineStr">
        <is>
          <t>MIAMIDA11TXL</t>
        </is>
      </c>
      <c r="B3084" t="inlineStr">
        <is>
          <t>MIA ORIGINAL DAMA</t>
        </is>
      </c>
      <c r="C3084" t="inlineStr">
        <is>
          <t>Manufactura / Dama / P. Superiores</t>
        </is>
      </c>
      <c r="D3084" t="n">
        <v>30.00191321</v>
      </c>
      <c r="E3084" t="n">
        <v>7.345445545553542e-06</v>
      </c>
      <c r="F3084" t="n">
        <v>0.9991155892206791</v>
      </c>
      <c r="G3084" t="inlineStr">
        <is>
          <t>C</t>
        </is>
      </c>
      <c r="H3084" t="n">
        <v>0</v>
      </c>
      <c r="I3084" t="n">
        <v>3.94</v>
      </c>
      <c r="J3084" t="n">
        <v>0</v>
      </c>
      <c r="K3084" t="n">
        <v>0.1</v>
      </c>
      <c r="L3084" t="n">
        <v>0</v>
      </c>
      <c r="M3084" t="n">
        <v>4</v>
      </c>
      <c r="N3084" t="n">
        <v>0.4</v>
      </c>
      <c r="O3084" t="n">
        <v>0</v>
      </c>
      <c r="P3084" t="n">
        <v>0</v>
      </c>
      <c r="Q3084" t="n">
        <v>0</v>
      </c>
      <c r="R3084" t="inlineStr">
        <is>
          <t>Sin rotación</t>
        </is>
      </c>
    </row>
    <row r="3085">
      <c r="A3085" t="inlineStr">
        <is>
          <t>ANDMIDA34TS</t>
        </is>
      </c>
      <c r="B3085" t="inlineStr">
        <is>
          <t>ANDRE ORIGINAL DAMA</t>
        </is>
      </c>
      <c r="C3085" t="inlineStr">
        <is>
          <t>Manufactura / Dama / P. Superiores</t>
        </is>
      </c>
      <c r="D3085" t="n">
        <v>29.95487275</v>
      </c>
      <c r="E3085" t="n">
        <v>7.333928508791612e-06</v>
      </c>
      <c r="F3085" t="n">
        <v>0.9991229231491879</v>
      </c>
      <c r="G3085" t="inlineStr">
        <is>
          <t>C</t>
        </is>
      </c>
      <c r="H3085" t="n">
        <v>0</v>
      </c>
      <c r="I3085" t="n">
        <v>3.274295302</v>
      </c>
      <c r="J3085" t="n">
        <v>0</v>
      </c>
      <c r="K3085" t="n">
        <v>0.1</v>
      </c>
      <c r="L3085" t="n">
        <v>0</v>
      </c>
      <c r="M3085" t="n">
        <v>4</v>
      </c>
      <c r="N3085" t="n">
        <v>0.4</v>
      </c>
      <c r="O3085" t="n">
        <v>0</v>
      </c>
      <c r="P3085" t="n">
        <v>0</v>
      </c>
      <c r="Q3085" t="n">
        <v>0</v>
      </c>
      <c r="R3085" t="inlineStr">
        <is>
          <t>Sin rotación</t>
        </is>
      </c>
    </row>
    <row r="3086">
      <c r="A3086" t="inlineStr">
        <is>
          <t>CLMSUCA43TL</t>
        </is>
      </c>
      <c r="B3086" t="inlineStr">
        <is>
          <t>CLASICA MOTION CAB</t>
        </is>
      </c>
      <c r="C3086" t="inlineStr">
        <is>
          <t>Manufactura / Caballero / P. Superiores</t>
        </is>
      </c>
      <c r="D3086" t="n">
        <v>29.78312438</v>
      </c>
      <c r="E3086" t="n">
        <v>7.291878913802714e-06</v>
      </c>
      <c r="F3086" t="n">
        <v>0.9991302150281017</v>
      </c>
      <c r="G3086" t="inlineStr">
        <is>
          <t>C</t>
        </is>
      </c>
      <c r="H3086" t="n">
        <v>0</v>
      </c>
      <c r="I3086" t="n">
        <v>12.26</v>
      </c>
      <c r="J3086" t="n">
        <v>0</v>
      </c>
      <c r="K3086" t="n">
        <v>0.1</v>
      </c>
      <c r="L3086" t="n">
        <v>0</v>
      </c>
      <c r="M3086" t="n">
        <v>4</v>
      </c>
      <c r="N3086" t="n">
        <v>0.4</v>
      </c>
      <c r="O3086" t="n">
        <v>0</v>
      </c>
      <c r="P3086" t="n">
        <v>0</v>
      </c>
      <c r="Q3086" t="n">
        <v>0</v>
      </c>
      <c r="R3086" t="inlineStr">
        <is>
          <t>Sin rotación</t>
        </is>
      </c>
    </row>
    <row r="3087">
      <c r="A3087" t="inlineStr">
        <is>
          <t>SHOSUKI111T1</t>
        </is>
      </c>
      <c r="B3087" t="inlineStr">
        <is>
          <t>SHORT PLAYA ESTAMPADO KIDS</t>
        </is>
      </c>
      <c r="C3087" t="inlineStr">
        <is>
          <t>Manufactura / Kids / P. Superiores</t>
        </is>
      </c>
      <c r="D3087" t="n">
        <v>29.74509485</v>
      </c>
      <c r="E3087" t="n">
        <v>7.282568046199614e-06</v>
      </c>
      <c r="F3087" t="n">
        <v>0.999137497596148</v>
      </c>
      <c r="G3087" t="inlineStr">
        <is>
          <t>C</t>
        </is>
      </c>
      <c r="H3087" t="n">
        <v>4</v>
      </c>
      <c r="I3087" t="n">
        <v>7.21</v>
      </c>
      <c r="J3087" t="n">
        <v>28.84</v>
      </c>
      <c r="K3087" t="n">
        <v>0.1</v>
      </c>
      <c r="L3087" t="n">
        <v>40</v>
      </c>
      <c r="M3087" t="n">
        <v>4</v>
      </c>
      <c r="N3087" t="n">
        <v>0.4</v>
      </c>
      <c r="O3087" t="n">
        <v>3.6</v>
      </c>
      <c r="P3087" t="n">
        <v>25.956</v>
      </c>
      <c r="Q3087" t="n">
        <v>0.9</v>
      </c>
      <c r="R3087" t="inlineStr">
        <is>
          <t>Sin rotación</t>
        </is>
      </c>
    </row>
    <row r="3088">
      <c r="A3088" t="inlineStr">
        <is>
          <t>ZOEMIKI05T10</t>
        </is>
      </c>
      <c r="B3088" t="inlineStr">
        <is>
          <t>ZOE ORIGINAL KIDS</t>
        </is>
      </c>
      <c r="C3088" t="inlineStr">
        <is>
          <t>Manufactura / Kids / P. Superiores</t>
        </is>
      </c>
      <c r="D3088" t="n">
        <v>29.63173086</v>
      </c>
      <c r="E3088" t="n">
        <v>7.254812849071248e-06</v>
      </c>
      <c r="F3088" t="n">
        <v>0.9991447524089971</v>
      </c>
      <c r="G3088" t="inlineStr">
        <is>
          <t>C</t>
        </is>
      </c>
      <c r="H3088" t="n">
        <v>0</v>
      </c>
      <c r="I3088" t="n">
        <v>4.12</v>
      </c>
      <c r="J3088" t="n">
        <v>0</v>
      </c>
      <c r="K3088" t="n">
        <v>0.1</v>
      </c>
      <c r="L3088" t="n">
        <v>0</v>
      </c>
      <c r="M3088" t="n">
        <v>4</v>
      </c>
      <c r="N3088" t="n">
        <v>0.4</v>
      </c>
      <c r="O3088" t="n">
        <v>0</v>
      </c>
      <c r="P3088" t="n">
        <v>0</v>
      </c>
      <c r="Q3088" t="n">
        <v>0</v>
      </c>
      <c r="R3088" t="inlineStr">
        <is>
          <t>Sin rotación</t>
        </is>
      </c>
    </row>
    <row r="3089">
      <c r="A3089" t="inlineStr">
        <is>
          <t>MANMIGE05TG</t>
        </is>
      </c>
      <c r="B3089" t="inlineStr">
        <is>
          <t>MANGAS GENERAL</t>
        </is>
      </c>
      <c r="C3089" t="inlineStr">
        <is>
          <t>Manufactura / General</t>
        </is>
      </c>
      <c r="D3089" t="n">
        <v>29.56304681</v>
      </c>
      <c r="E3089" t="n">
        <v>7.23799675652436e-06</v>
      </c>
      <c r="F3089" t="n">
        <v>0.9991519904057535</v>
      </c>
      <c r="G3089" t="inlineStr">
        <is>
          <t>C</t>
        </is>
      </c>
      <c r="H3089" t="n">
        <v>6</v>
      </c>
      <c r="I3089" t="n">
        <v>0.92</v>
      </c>
      <c r="J3089" t="n">
        <v>5.52</v>
      </c>
      <c r="K3089" t="n">
        <v>0.2</v>
      </c>
      <c r="L3089" t="n">
        <v>30</v>
      </c>
      <c r="M3089" t="n">
        <v>4</v>
      </c>
      <c r="N3089" t="n">
        <v>0.8</v>
      </c>
      <c r="O3089" t="n">
        <v>5.2</v>
      </c>
      <c r="P3089" t="n">
        <v>4.784000000000001</v>
      </c>
      <c r="Q3089" t="n">
        <v>0.8666666666666667</v>
      </c>
      <c r="R3089" t="inlineStr">
        <is>
          <t>Sobrestock crítico</t>
        </is>
      </c>
    </row>
    <row r="3090">
      <c r="A3090" t="inlineStr">
        <is>
          <t>VIVMIDA39TM</t>
        </is>
      </c>
      <c r="B3090" t="inlineStr">
        <is>
          <t>VIVI ORIGINAL DAMA</t>
        </is>
      </c>
      <c r="C3090" t="inlineStr">
        <is>
          <t>Manufactura / Dama / P. Superiores</t>
        </is>
      </c>
      <c r="D3090" t="n">
        <v>29.56223505</v>
      </c>
      <c r="E3090" t="n">
        <v>7.237798011236541e-06</v>
      </c>
      <c r="F3090" t="n">
        <v>0.9991592282037648</v>
      </c>
      <c r="G3090" t="inlineStr">
        <is>
          <t>C</t>
        </is>
      </c>
      <c r="H3090" t="n">
        <v>0</v>
      </c>
      <c r="I3090" t="n">
        <v>4.303181706</v>
      </c>
      <c r="J3090" t="n">
        <v>0</v>
      </c>
      <c r="K3090" t="n">
        <v>0.1</v>
      </c>
      <c r="L3090" t="n">
        <v>0</v>
      </c>
      <c r="M3090" t="n">
        <v>4</v>
      </c>
      <c r="N3090" t="n">
        <v>0.4</v>
      </c>
      <c r="O3090" t="n">
        <v>0</v>
      </c>
      <c r="P3090" t="n">
        <v>0</v>
      </c>
      <c r="Q3090" t="n">
        <v>0</v>
      </c>
      <c r="R3090" t="inlineStr">
        <is>
          <t>Sin rotación</t>
        </is>
      </c>
    </row>
    <row r="3091">
      <c r="A3091" t="inlineStr">
        <is>
          <t>SHOSUKI104T10</t>
        </is>
      </c>
      <c r="B3091" t="inlineStr">
        <is>
          <t>SHORT PLAYA ESTAMPADO KIDS</t>
        </is>
      </c>
      <c r="C3091" t="inlineStr">
        <is>
          <t>Manufactura / Kids / P. Superiores</t>
        </is>
      </c>
      <c r="D3091" t="n">
        <v>29.50150615</v>
      </c>
      <c r="E3091" t="n">
        <v>7.222929598516692e-06</v>
      </c>
      <c r="F3091" t="n">
        <v>0.9991664511333633</v>
      </c>
      <c r="G3091" t="inlineStr">
        <is>
          <t>C</t>
        </is>
      </c>
      <c r="H3091" t="n">
        <v>0</v>
      </c>
      <c r="I3091" t="n">
        <v>7.21</v>
      </c>
      <c r="J3091" t="n">
        <v>0</v>
      </c>
      <c r="K3091" t="n">
        <v>0.1</v>
      </c>
      <c r="L3091" t="n">
        <v>0</v>
      </c>
      <c r="M3091" t="n">
        <v>4</v>
      </c>
      <c r="N3091" t="n">
        <v>0.4</v>
      </c>
      <c r="O3091" t="n">
        <v>0</v>
      </c>
      <c r="P3091" t="n">
        <v>0</v>
      </c>
      <c r="Q3091" t="n">
        <v>0</v>
      </c>
      <c r="R3091" t="inlineStr">
        <is>
          <t>Sin rotación</t>
        </is>
      </c>
    </row>
    <row r="3092">
      <c r="A3092" t="inlineStr">
        <is>
          <t>ZOEMIKI48T14</t>
        </is>
      </c>
      <c r="B3092" t="inlineStr">
        <is>
          <t>ZOE ORIGINAL KIDS</t>
        </is>
      </c>
      <c r="C3092" t="inlineStr">
        <is>
          <t>Manufactura / Kids / P. Superiores</t>
        </is>
      </c>
      <c r="D3092" t="n">
        <v>29.31861167</v>
      </c>
      <c r="E3092" t="n">
        <v>7.178151072760055e-06</v>
      </c>
      <c r="F3092" t="n">
        <v>0.9991736292844361</v>
      </c>
      <c r="G3092" t="inlineStr">
        <is>
          <t>C</t>
        </is>
      </c>
      <c r="H3092" t="n">
        <v>0</v>
      </c>
      <c r="I3092" t="n">
        <v>4.12</v>
      </c>
      <c r="J3092" t="n">
        <v>0</v>
      </c>
      <c r="K3092" t="n">
        <v>0.1</v>
      </c>
      <c r="L3092" t="n">
        <v>0</v>
      </c>
      <c r="M3092" t="n">
        <v>4</v>
      </c>
      <c r="N3092" t="n">
        <v>0.4</v>
      </c>
      <c r="O3092" t="n">
        <v>0</v>
      </c>
      <c r="P3092" t="n">
        <v>0</v>
      </c>
      <c r="Q3092" t="n">
        <v>0</v>
      </c>
      <c r="R3092" t="inlineStr">
        <is>
          <t>Sin rotación</t>
        </is>
      </c>
    </row>
    <row r="3093">
      <c r="A3093" t="inlineStr">
        <is>
          <t>PETMIPE43TM</t>
        </is>
      </c>
      <c r="B3093" t="inlineStr">
        <is>
          <t>BANDANA PET</t>
        </is>
      </c>
      <c r="C3093" t="inlineStr">
        <is>
          <t>Manufactura / General</t>
        </is>
      </c>
      <c r="D3093" t="n">
        <v>29.30590777</v>
      </c>
      <c r="E3093" t="n">
        <v>7.17504074426157e-06</v>
      </c>
      <c r="F3093" t="n">
        <v>0.9991808043251803</v>
      </c>
      <c r="G3093" t="inlineStr">
        <is>
          <t>C</t>
        </is>
      </c>
      <c r="H3093" t="n">
        <v>0</v>
      </c>
      <c r="I3093" t="n">
        <v>0.3252662283</v>
      </c>
      <c r="J3093" t="n">
        <v>0</v>
      </c>
      <c r="K3093" t="n">
        <v>0.3</v>
      </c>
      <c r="L3093" t="n">
        <v>0</v>
      </c>
      <c r="M3093" t="n">
        <v>4</v>
      </c>
      <c r="N3093" t="n">
        <v>1.2</v>
      </c>
      <c r="O3093" t="n">
        <v>0</v>
      </c>
      <c r="P3093" t="n">
        <v>0</v>
      </c>
      <c r="Q3093" t="n">
        <v>0</v>
      </c>
      <c r="R3093" t="inlineStr">
        <is>
          <t>Riesgo bajo stock</t>
        </is>
      </c>
    </row>
    <row r="3094">
      <c r="A3094" t="inlineStr">
        <is>
          <t>MAFMEDA16TS</t>
        </is>
      </c>
      <c r="B3094" t="inlineStr">
        <is>
          <t>MAFE SPORT DAMA</t>
        </is>
      </c>
      <c r="C3094" t="inlineStr">
        <is>
          <t>Manufactura / Dama / P. Superiores</t>
        </is>
      </c>
      <c r="D3094" t="n">
        <v>29.13204654</v>
      </c>
      <c r="E3094" t="n">
        <v>7.132473852326749e-06</v>
      </c>
      <c r="F3094" t="n">
        <v>0.9991879367990326</v>
      </c>
      <c r="G3094" t="inlineStr">
        <is>
          <t>C</t>
        </is>
      </c>
      <c r="H3094" t="n">
        <v>0</v>
      </c>
      <c r="I3094" t="n">
        <v>5.35</v>
      </c>
      <c r="J3094" t="n">
        <v>0</v>
      </c>
      <c r="K3094" t="n">
        <v>0.1</v>
      </c>
      <c r="L3094" t="n">
        <v>0</v>
      </c>
      <c r="M3094" t="n">
        <v>4</v>
      </c>
      <c r="N3094" t="n">
        <v>0.4</v>
      </c>
      <c r="O3094" t="n">
        <v>0</v>
      </c>
      <c r="P3094" t="n">
        <v>0</v>
      </c>
      <c r="Q3094" t="n">
        <v>0</v>
      </c>
      <c r="R3094" t="inlineStr">
        <is>
          <t>Sin rotación</t>
        </is>
      </c>
    </row>
    <row r="3095">
      <c r="A3095" t="inlineStr">
        <is>
          <t>DAMSTKI30T4</t>
        </is>
      </c>
      <c r="B3095" t="inlineStr">
        <is>
          <t>MANGA LARGA DAILY KIDS</t>
        </is>
      </c>
      <c r="C3095" t="inlineStr">
        <is>
          <t>Manufactura / Kids / P. Superiores</t>
        </is>
      </c>
      <c r="D3095" t="n">
        <v>29.04308135</v>
      </c>
      <c r="E3095" t="n">
        <v>7.110692276131234e-06</v>
      </c>
      <c r="F3095" t="n">
        <v>0.9991950474913088</v>
      </c>
      <c r="G3095" t="inlineStr">
        <is>
          <t>C</t>
        </is>
      </c>
      <c r="H3095" t="n">
        <v>0</v>
      </c>
      <c r="I3095" t="n">
        <v>10.1</v>
      </c>
      <c r="J3095" t="n">
        <v>0</v>
      </c>
      <c r="K3095" t="n">
        <v>0.1</v>
      </c>
      <c r="L3095" t="n">
        <v>0</v>
      </c>
      <c r="M3095" t="n">
        <v>4</v>
      </c>
      <c r="N3095" t="n">
        <v>0.4</v>
      </c>
      <c r="O3095" t="n">
        <v>0</v>
      </c>
      <c r="P3095" t="n">
        <v>0</v>
      </c>
      <c r="Q3095" t="n">
        <v>0</v>
      </c>
      <c r="R3095" t="inlineStr">
        <is>
          <t>Riesgo bajo stock</t>
        </is>
      </c>
    </row>
    <row r="3096">
      <c r="A3096" t="inlineStr">
        <is>
          <t>CLAMIKI53T1</t>
        </is>
      </c>
      <c r="B3096" t="inlineStr">
        <is>
          <t>CLASICA ORIGINAL KIDS</t>
        </is>
      </c>
      <c r="C3096" t="inlineStr">
        <is>
          <t>Manufactura / Kids / P. Superiores</t>
        </is>
      </c>
      <c r="D3096" t="n">
        <v>29.00113979</v>
      </c>
      <c r="E3096" t="n">
        <v>7.10042361616548e-06</v>
      </c>
      <c r="F3096" t="n">
        <v>0.9992092483385412</v>
      </c>
      <c r="G3096" t="inlineStr">
        <is>
          <t>C</t>
        </is>
      </c>
      <c r="H3096" t="n">
        <v>0</v>
      </c>
      <c r="I3096" t="n">
        <v>2.053774806</v>
      </c>
      <c r="J3096" t="n">
        <v>0</v>
      </c>
      <c r="K3096" t="n">
        <v>0.1</v>
      </c>
      <c r="L3096" t="n">
        <v>0</v>
      </c>
      <c r="M3096" t="n">
        <v>4</v>
      </c>
      <c r="N3096" t="n">
        <v>0.4</v>
      </c>
      <c r="O3096" t="n">
        <v>0</v>
      </c>
      <c r="P3096" t="n">
        <v>0</v>
      </c>
      <c r="Q3096" t="n">
        <v>0</v>
      </c>
      <c r="R3096" t="inlineStr">
        <is>
          <t>Sin rotación</t>
        </is>
      </c>
    </row>
    <row r="3097">
      <c r="A3097" t="inlineStr">
        <is>
          <t>CLAMIKI50T8</t>
        </is>
      </c>
      <c r="B3097" t="inlineStr">
        <is>
          <t>CLASICA ORIGINAL KIDS</t>
        </is>
      </c>
      <c r="C3097" t="inlineStr">
        <is>
          <t>Manufactura / Kids / P. Superiores</t>
        </is>
      </c>
      <c r="D3097" t="n">
        <v>29.00113979</v>
      </c>
      <c r="E3097" t="n">
        <v>7.10042361616548e-06</v>
      </c>
      <c r="F3097" t="n">
        <v>0.9992092483385412</v>
      </c>
      <c r="G3097" t="inlineStr">
        <is>
          <t>C</t>
        </is>
      </c>
      <c r="H3097" t="n">
        <v>0</v>
      </c>
      <c r="I3097" t="n">
        <v>2.053774806</v>
      </c>
      <c r="J3097" t="n">
        <v>0</v>
      </c>
      <c r="K3097" t="n">
        <v>0.1</v>
      </c>
      <c r="L3097" t="n">
        <v>0</v>
      </c>
      <c r="M3097" t="n">
        <v>4</v>
      </c>
      <c r="N3097" t="n">
        <v>0.4</v>
      </c>
      <c r="O3097" t="n">
        <v>0</v>
      </c>
      <c r="P3097" t="n">
        <v>0</v>
      </c>
      <c r="Q3097" t="n">
        <v>0</v>
      </c>
      <c r="R3097" t="inlineStr">
        <is>
          <t>Sin rotación</t>
        </is>
      </c>
    </row>
    <row r="3098">
      <c r="A3098" t="inlineStr">
        <is>
          <t>DACSTDA43TM</t>
        </is>
      </c>
      <c r="B3098" t="inlineStr">
        <is>
          <t>CLASICA DAILY DAMA</t>
        </is>
      </c>
      <c r="C3098" t="inlineStr">
        <is>
          <t>Manufactura / Dama / P. Superiores</t>
        </is>
      </c>
      <c r="D3098" t="n">
        <v>28.90678272</v>
      </c>
      <c r="E3098" t="n">
        <v>7.077321932127144e-06</v>
      </c>
      <c r="F3098" t="n">
        <v>0.9992234029824054</v>
      </c>
      <c r="G3098" t="inlineStr">
        <is>
          <t>C</t>
        </is>
      </c>
      <c r="H3098" t="n">
        <v>0</v>
      </c>
      <c r="I3098" t="n">
        <v>9.27</v>
      </c>
      <c r="J3098" t="n">
        <v>0</v>
      </c>
      <c r="K3098" t="n">
        <v>0.1</v>
      </c>
      <c r="L3098" t="n">
        <v>0</v>
      </c>
      <c r="M3098" t="n">
        <v>4</v>
      </c>
      <c r="N3098" t="n">
        <v>0.4</v>
      </c>
      <c r="O3098" t="n">
        <v>0</v>
      </c>
      <c r="P3098" t="n">
        <v>0</v>
      </c>
      <c r="Q3098" t="n">
        <v>0</v>
      </c>
      <c r="R3098" t="inlineStr">
        <is>
          <t>Sin rotación</t>
        </is>
      </c>
    </row>
    <row r="3099">
      <c r="A3099" t="inlineStr">
        <is>
          <t>WAVSTKI30T12</t>
        </is>
      </c>
      <c r="B3099" t="inlineStr">
        <is>
          <t>CLASICA RETRO 2.0 KIDS</t>
        </is>
      </c>
      <c r="C3099" t="inlineStr">
        <is>
          <t>Manufactura / Kids / P. Superiores</t>
        </is>
      </c>
      <c r="D3099" t="n">
        <v>28.90678272</v>
      </c>
      <c r="E3099" t="n">
        <v>7.077321932127144e-06</v>
      </c>
      <c r="F3099" t="n">
        <v>0.9992234029824054</v>
      </c>
      <c r="G3099" t="inlineStr">
        <is>
          <t>C</t>
        </is>
      </c>
      <c r="H3099" t="n">
        <v>0</v>
      </c>
      <c r="I3099" t="n">
        <v>1</v>
      </c>
      <c r="J3099" t="n">
        <v>0</v>
      </c>
      <c r="K3099" t="n">
        <v>0.1</v>
      </c>
      <c r="L3099" t="n">
        <v>0</v>
      </c>
      <c r="M3099" t="n">
        <v>4</v>
      </c>
      <c r="N3099" t="n">
        <v>0.4</v>
      </c>
      <c r="O3099" t="n">
        <v>0</v>
      </c>
      <c r="P3099" t="n">
        <v>0</v>
      </c>
      <c r="Q3099" t="n">
        <v>0</v>
      </c>
      <c r="R3099" t="inlineStr">
        <is>
          <t>Sin rotación</t>
        </is>
      </c>
    </row>
    <row r="3100">
      <c r="A3100" t="inlineStr">
        <is>
          <t>SABMEDA51TM</t>
        </is>
      </c>
      <c r="B3100" t="inlineStr">
        <is>
          <t>SABRI SPORT DAMA</t>
        </is>
      </c>
      <c r="C3100" t="inlineStr">
        <is>
          <t>Manufactura / Dama / P. Superiores</t>
        </is>
      </c>
      <c r="D3100" t="n">
        <v>28.83200358</v>
      </c>
      <c r="E3100" t="n">
        <v>7.059013563025195e-06</v>
      </c>
      <c r="F3100" t="n">
        <v>0.9992304619959684</v>
      </c>
      <c r="G3100" t="inlineStr">
        <is>
          <t>C</t>
        </is>
      </c>
      <c r="H3100" t="n">
        <v>0</v>
      </c>
      <c r="I3100" t="n">
        <v>4.51</v>
      </c>
      <c r="J3100" t="n">
        <v>0</v>
      </c>
      <c r="K3100" t="n">
        <v>0.1</v>
      </c>
      <c r="L3100" t="n">
        <v>0</v>
      </c>
      <c r="M3100" t="n">
        <v>4</v>
      </c>
      <c r="N3100" t="n">
        <v>0.4</v>
      </c>
      <c r="O3100" t="n">
        <v>0</v>
      </c>
      <c r="P3100" t="n">
        <v>0</v>
      </c>
      <c r="Q3100" t="n">
        <v>0</v>
      </c>
      <c r="R3100" t="inlineStr">
        <is>
          <t>Sin rotación</t>
        </is>
      </c>
    </row>
    <row r="3101">
      <c r="A3101" t="inlineStr">
        <is>
          <t>BAN164CC</t>
        </is>
      </c>
      <c r="B3101" t="inlineStr">
        <is>
          <t>CUADRO BAND</t>
        </is>
      </c>
      <c r="C3101" t="inlineStr">
        <is>
          <t>Equipamiento / Accesorios</t>
        </is>
      </c>
      <c r="D3101" t="n">
        <v>28.724376002</v>
      </c>
      <c r="E3101" t="n">
        <v>7.032662826394995e-06</v>
      </c>
      <c r="F3101" t="n">
        <v>0.9992374946587947</v>
      </c>
      <c r="G3101" t="inlineStr">
        <is>
          <t>C</t>
        </is>
      </c>
      <c r="H3101" t="n">
        <v>13</v>
      </c>
      <c r="I3101" t="n">
        <v>0.3159183673</v>
      </c>
      <c r="J3101" t="n">
        <v>4.1069387749</v>
      </c>
      <c r="K3101" t="n">
        <v>201.2</v>
      </c>
      <c r="L3101" t="n">
        <v>0.06461232604373758</v>
      </c>
      <c r="M3101" t="n">
        <v>4</v>
      </c>
      <c r="N3101" t="n">
        <v>804.8</v>
      </c>
      <c r="O3101" t="n">
        <v>0</v>
      </c>
      <c r="P3101" t="n">
        <v>0</v>
      </c>
      <c r="Q3101" t="n">
        <v>0</v>
      </c>
      <c r="R3101" t="inlineStr">
        <is>
          <t>Riesgo bajo stock</t>
        </is>
      </c>
    </row>
    <row r="3102">
      <c r="A3102" t="inlineStr">
        <is>
          <t>DANMIKI16T10</t>
        </is>
      </c>
      <c r="B3102" t="inlineStr">
        <is>
          <t>DANI ORIGINAL KIDS</t>
        </is>
      </c>
      <c r="C3102" t="inlineStr">
        <is>
          <t>Manufactura / Kids / P. Superiores</t>
        </is>
      </c>
      <c r="D3102" t="n">
        <v>28.68948469</v>
      </c>
      <c r="E3102" t="n">
        <v>7.024120296773135e-06</v>
      </c>
      <c r="F3102" t="n">
        <v>0.9992515428993883</v>
      </c>
      <c r="G3102" t="inlineStr">
        <is>
          <t>C</t>
        </is>
      </c>
      <c r="H3102" t="n">
        <v>0</v>
      </c>
      <c r="I3102" t="n">
        <v>3.55</v>
      </c>
      <c r="J3102" t="n">
        <v>0</v>
      </c>
      <c r="K3102" t="n">
        <v>0.1</v>
      </c>
      <c r="L3102" t="n">
        <v>0</v>
      </c>
      <c r="M3102" t="n">
        <v>4</v>
      </c>
      <c r="N3102" t="n">
        <v>0.4</v>
      </c>
      <c r="O3102" t="n">
        <v>0</v>
      </c>
      <c r="P3102" t="n">
        <v>0</v>
      </c>
      <c r="Q3102" t="n">
        <v>0</v>
      </c>
      <c r="R3102" t="inlineStr">
        <is>
          <t>Sin rotación</t>
        </is>
      </c>
    </row>
    <row r="3103">
      <c r="A3103" t="inlineStr">
        <is>
          <t>DANMIKI16T12</t>
        </is>
      </c>
      <c r="B3103" t="inlineStr">
        <is>
          <t>DANI ORIGINAL KIDS</t>
        </is>
      </c>
      <c r="C3103" t="inlineStr">
        <is>
          <t>Manufactura / Kids / P. Superiores</t>
        </is>
      </c>
      <c r="D3103" t="n">
        <v>28.68948469</v>
      </c>
      <c r="E3103" t="n">
        <v>7.024120296773135e-06</v>
      </c>
      <c r="F3103" t="n">
        <v>0.9992515428993883</v>
      </c>
      <c r="G3103" t="inlineStr">
        <is>
          <t>C</t>
        </is>
      </c>
      <c r="H3103" t="n">
        <v>0</v>
      </c>
      <c r="I3103" t="n">
        <v>3.55</v>
      </c>
      <c r="J3103" t="n">
        <v>0</v>
      </c>
      <c r="K3103" t="n">
        <v>0.1</v>
      </c>
      <c r="L3103" t="n">
        <v>0</v>
      </c>
      <c r="M3103" t="n">
        <v>4</v>
      </c>
      <c r="N3103" t="n">
        <v>0.4</v>
      </c>
      <c r="O3103" t="n">
        <v>0</v>
      </c>
      <c r="P3103" t="n">
        <v>0</v>
      </c>
      <c r="Q3103" t="n">
        <v>0</v>
      </c>
      <c r="R3103" t="inlineStr">
        <is>
          <t>Sin rotación</t>
        </is>
      </c>
    </row>
    <row r="3104">
      <c r="A3104" t="inlineStr">
        <is>
          <t>DAMSTKI16T8</t>
        </is>
      </c>
      <c r="B3104" t="inlineStr">
        <is>
          <t>MANGA LARGA DAILY KIDS</t>
        </is>
      </c>
      <c r="C3104" t="inlineStr">
        <is>
          <t>Manufactura / Kids / P. Superiores</t>
        </is>
      </c>
      <c r="D3104" t="n">
        <v>28.53310183</v>
      </c>
      <c r="E3104" t="n">
        <v>6.985832679101971e-06</v>
      </c>
      <c r="F3104" t="n">
        <v>0.9992585287320674</v>
      </c>
      <c r="G3104" t="inlineStr">
        <is>
          <t>C</t>
        </is>
      </c>
      <c r="H3104" t="n">
        <v>0</v>
      </c>
      <c r="I3104" t="n">
        <v>10.1</v>
      </c>
      <c r="J3104" t="n">
        <v>0</v>
      </c>
      <c r="K3104" t="n">
        <v>0.1</v>
      </c>
      <c r="L3104" t="n">
        <v>0</v>
      </c>
      <c r="M3104" t="n">
        <v>4</v>
      </c>
      <c r="N3104" t="n">
        <v>0.4</v>
      </c>
      <c r="O3104" t="n">
        <v>0</v>
      </c>
      <c r="P3104" t="n">
        <v>0</v>
      </c>
      <c r="Q3104" t="n">
        <v>0</v>
      </c>
      <c r="R3104" t="inlineStr">
        <is>
          <t>Sin rotación</t>
        </is>
      </c>
    </row>
    <row r="3105">
      <c r="A3105" t="inlineStr">
        <is>
          <t>CLAMIKI66T6</t>
        </is>
      </c>
      <c r="B3105" t="inlineStr">
        <is>
          <t>CLASICA ORIGINAL KIDS</t>
        </is>
      </c>
      <c r="C3105" t="inlineStr">
        <is>
          <t>Manufactura / Kids / P. Superiores</t>
        </is>
      </c>
      <c r="D3105" t="n">
        <v>28.51811447</v>
      </c>
      <c r="E3105" t="n">
        <v>6.982163285220953e-06</v>
      </c>
      <c r="F3105" t="n">
        <v>0.9992724930586379</v>
      </c>
      <c r="G3105" t="inlineStr">
        <is>
          <t>C</t>
        </is>
      </c>
      <c r="H3105" t="n">
        <v>3</v>
      </c>
      <c r="I3105" t="n">
        <v>2.053774806</v>
      </c>
      <c r="J3105" t="n">
        <v>6.161324418</v>
      </c>
      <c r="K3105" t="n">
        <v>0.1</v>
      </c>
      <c r="L3105" t="n">
        <v>30</v>
      </c>
      <c r="M3105" t="n">
        <v>4</v>
      </c>
      <c r="N3105" t="n">
        <v>0.4</v>
      </c>
      <c r="O3105" t="n">
        <v>2.6</v>
      </c>
      <c r="P3105" t="n">
        <v>5.3398144956</v>
      </c>
      <c r="Q3105" t="n">
        <v>0.8666666666666667</v>
      </c>
      <c r="R3105" t="inlineStr">
        <is>
          <t>Sin rotación</t>
        </is>
      </c>
    </row>
    <row r="3106">
      <c r="A3106" t="inlineStr">
        <is>
          <t>DALSTKI43T6</t>
        </is>
      </c>
      <c r="B3106" t="inlineStr">
        <is>
          <t>CLASICA DAILY 2.0 KIDS</t>
        </is>
      </c>
      <c r="C3106" t="inlineStr">
        <is>
          <t>Manufactura / Kids / P. Superiores</t>
        </is>
      </c>
      <c r="D3106" t="n">
        <v>28.51811447</v>
      </c>
      <c r="E3106" t="n">
        <v>6.982163285220953e-06</v>
      </c>
      <c r="F3106" t="n">
        <v>0.9992724930586379</v>
      </c>
      <c r="G3106" t="inlineStr">
        <is>
          <t>C</t>
        </is>
      </c>
      <c r="H3106" t="n">
        <v>2</v>
      </c>
      <c r="I3106" t="n">
        <v>8.699999999999999</v>
      </c>
      <c r="J3106" t="n">
        <v>17.4</v>
      </c>
      <c r="K3106" t="n">
        <v>0.1</v>
      </c>
      <c r="L3106" t="n">
        <v>20</v>
      </c>
      <c r="M3106" t="n">
        <v>4</v>
      </c>
      <c r="N3106" t="n">
        <v>0.4</v>
      </c>
      <c r="O3106" t="n">
        <v>1.6</v>
      </c>
      <c r="P3106" t="n">
        <v>13.92</v>
      </c>
      <c r="Q3106" t="n">
        <v>0.8</v>
      </c>
      <c r="R3106" t="inlineStr">
        <is>
          <t>Sin rotación</t>
        </is>
      </c>
    </row>
    <row r="3107">
      <c r="A3107" t="inlineStr">
        <is>
          <t>MIAMIDA05TM</t>
        </is>
      </c>
      <c r="B3107" t="inlineStr">
        <is>
          <t>MIA ORIGINAL DAMA</t>
        </is>
      </c>
      <c r="C3107" t="inlineStr">
        <is>
          <t>Manufactura / Dama / P. Superiores</t>
        </is>
      </c>
      <c r="D3107" t="n">
        <v>28.48380987</v>
      </c>
      <c r="E3107" t="n">
        <v>6.973764401806478e-06</v>
      </c>
      <c r="F3107" t="n">
        <v>0.9992794668230398</v>
      </c>
      <c r="G3107" t="inlineStr">
        <is>
          <t>C</t>
        </is>
      </c>
      <c r="H3107" t="n">
        <v>0</v>
      </c>
      <c r="I3107" t="n">
        <v>3.94</v>
      </c>
      <c r="J3107" t="n">
        <v>0</v>
      </c>
      <c r="K3107" t="n">
        <v>0.1</v>
      </c>
      <c r="L3107" t="n">
        <v>0</v>
      </c>
      <c r="M3107" t="n">
        <v>4</v>
      </c>
      <c r="N3107" t="n">
        <v>0.4</v>
      </c>
      <c r="O3107" t="n">
        <v>0</v>
      </c>
      <c r="P3107" t="n">
        <v>0</v>
      </c>
      <c r="Q3107" t="n">
        <v>0</v>
      </c>
      <c r="R3107" t="inlineStr">
        <is>
          <t>Sin rotación</t>
        </is>
      </c>
    </row>
    <row r="3108">
      <c r="A3108" t="inlineStr">
        <is>
          <t>EXPSTKI30T14</t>
        </is>
      </c>
      <c r="B3108" t="inlineStr">
        <is>
          <t>CLASICA RETRO 2.0 KIDS</t>
        </is>
      </c>
      <c r="C3108" t="inlineStr">
        <is>
          <t>Manufactura / Kids / P. Superiores</t>
        </is>
      </c>
      <c r="D3108" t="n">
        <v>28.32181835</v>
      </c>
      <c r="E3108" t="n">
        <v>6.934103601487756e-06</v>
      </c>
      <c r="F3108" t="n">
        <v>0.9992864009266412</v>
      </c>
      <c r="G3108" t="inlineStr">
        <is>
          <t>C</t>
        </is>
      </c>
      <c r="H3108" t="n">
        <v>0</v>
      </c>
      <c r="I3108" t="n">
        <v>1</v>
      </c>
      <c r="J3108" t="n">
        <v>0</v>
      </c>
      <c r="K3108" t="n">
        <v>0.1</v>
      </c>
      <c r="L3108" t="n">
        <v>0</v>
      </c>
      <c r="M3108" t="n">
        <v>4</v>
      </c>
      <c r="N3108" t="n">
        <v>0.4</v>
      </c>
      <c r="O3108" t="n">
        <v>0</v>
      </c>
      <c r="P3108" t="n">
        <v>0</v>
      </c>
      <c r="Q3108" t="n">
        <v>0</v>
      </c>
      <c r="R3108" t="inlineStr">
        <is>
          <t>Sin rotación</t>
        </is>
      </c>
    </row>
    <row r="3109">
      <c r="A3109" t="inlineStr">
        <is>
          <t>DANMIDA13TXL</t>
        </is>
      </c>
      <c r="B3109" t="inlineStr">
        <is>
          <t>DANI ORIGINAL DAMA</t>
        </is>
      </c>
      <c r="C3109" t="inlineStr">
        <is>
          <t>Manufactura / Dama / P. Superiores</t>
        </is>
      </c>
      <c r="D3109" t="n">
        <v>28.30796693</v>
      </c>
      <c r="E3109" t="n">
        <v>6.930712322717417e-06</v>
      </c>
      <c r="F3109" t="n">
        <v>0.9992933316389641</v>
      </c>
      <c r="G3109" t="inlineStr">
        <is>
          <t>C</t>
        </is>
      </c>
      <c r="H3109" t="n">
        <v>0</v>
      </c>
      <c r="I3109" t="n">
        <v>9</v>
      </c>
      <c r="J3109" t="n">
        <v>0</v>
      </c>
      <c r="K3109" t="n">
        <v>0.1</v>
      </c>
      <c r="L3109" t="n">
        <v>0</v>
      </c>
      <c r="M3109" t="n">
        <v>4</v>
      </c>
      <c r="N3109" t="n">
        <v>0.4</v>
      </c>
      <c r="O3109" t="n">
        <v>0</v>
      </c>
      <c r="P3109" t="n">
        <v>0</v>
      </c>
      <c r="Q3109" t="n">
        <v>0</v>
      </c>
      <c r="R3109" t="inlineStr">
        <is>
          <t>Riesgo bajo stock</t>
        </is>
      </c>
    </row>
    <row r="3110">
      <c r="A3110" t="inlineStr">
        <is>
          <t>MIAMIDA16T2XL</t>
        </is>
      </c>
      <c r="B3110" t="inlineStr">
        <is>
          <t>MIA ORIGINAL DAMA</t>
        </is>
      </c>
      <c r="C3110" t="inlineStr">
        <is>
          <t>Manufactura / Dama / P. Superiores</t>
        </is>
      </c>
      <c r="D3110" t="n">
        <v>28.22201417</v>
      </c>
      <c r="E3110" t="n">
        <v>6.909668287503703e-06</v>
      </c>
      <c r="F3110" t="n">
        <v>0.999307150975539</v>
      </c>
      <c r="G3110" t="inlineStr">
        <is>
          <t>C</t>
        </is>
      </c>
      <c r="H3110" t="n">
        <v>0</v>
      </c>
      <c r="I3110" t="n">
        <v>3.94</v>
      </c>
      <c r="J3110" t="n">
        <v>0</v>
      </c>
      <c r="K3110" t="n">
        <v>0.1</v>
      </c>
      <c r="L3110" t="n">
        <v>0</v>
      </c>
      <c r="M3110" t="n">
        <v>4</v>
      </c>
      <c r="N3110" t="n">
        <v>0.4</v>
      </c>
      <c r="O3110" t="n">
        <v>0</v>
      </c>
      <c r="P3110" t="n">
        <v>0</v>
      </c>
      <c r="Q3110" t="n">
        <v>0</v>
      </c>
      <c r="R3110" t="inlineStr">
        <is>
          <t>Sin rotación</t>
        </is>
      </c>
    </row>
    <row r="3111">
      <c r="A3111" t="inlineStr">
        <is>
          <t>MIAMIDA05TXS</t>
        </is>
      </c>
      <c r="B3111" t="inlineStr">
        <is>
          <t>MIA ORIGINAL DAMA</t>
        </is>
      </c>
      <c r="C3111" t="inlineStr">
        <is>
          <t>Manufactura / Dama / P. Superiores</t>
        </is>
      </c>
      <c r="D3111" t="n">
        <v>28.22201417</v>
      </c>
      <c r="E3111" t="n">
        <v>6.909668287503703e-06</v>
      </c>
      <c r="F3111" t="n">
        <v>0.999307150975539</v>
      </c>
      <c r="G3111" t="inlineStr">
        <is>
          <t>C</t>
        </is>
      </c>
      <c r="H3111" t="n">
        <v>0</v>
      </c>
      <c r="I3111" t="n">
        <v>3.94</v>
      </c>
      <c r="J3111" t="n">
        <v>0</v>
      </c>
      <c r="K3111" t="n">
        <v>0.1</v>
      </c>
      <c r="L3111" t="n">
        <v>0</v>
      </c>
      <c r="M3111" t="n">
        <v>4</v>
      </c>
      <c r="N3111" t="n">
        <v>0.4</v>
      </c>
      <c r="O3111" t="n">
        <v>0</v>
      </c>
      <c r="P3111" t="n">
        <v>0</v>
      </c>
      <c r="Q3111" t="n">
        <v>0</v>
      </c>
      <c r="R3111" t="inlineStr">
        <is>
          <t>Sin rotación</t>
        </is>
      </c>
    </row>
    <row r="3112">
      <c r="A3112" t="inlineStr">
        <is>
          <t>DACSTKI30T6</t>
        </is>
      </c>
      <c r="B3112" t="inlineStr">
        <is>
          <t>CLASICA DAILY KIDS</t>
        </is>
      </c>
      <c r="C3112" t="inlineStr">
        <is>
          <t>Manufactura / Kids / P. Superiores</t>
        </is>
      </c>
      <c r="D3112" t="n">
        <v>28.04252728</v>
      </c>
      <c r="E3112" t="n">
        <v>6.865724050767618e-06</v>
      </c>
      <c r="F3112" t="n">
        <v>0.9993208824236406</v>
      </c>
      <c r="G3112" t="inlineStr">
        <is>
          <t>C</t>
        </is>
      </c>
      <c r="H3112" t="n">
        <v>0</v>
      </c>
      <c r="I3112" t="n">
        <v>8.699999999999999</v>
      </c>
      <c r="J3112" t="n">
        <v>0</v>
      </c>
      <c r="K3112" t="n">
        <v>0.1</v>
      </c>
      <c r="L3112" t="n">
        <v>0</v>
      </c>
      <c r="M3112" t="n">
        <v>4</v>
      </c>
      <c r="N3112" t="n">
        <v>0.4</v>
      </c>
      <c r="O3112" t="n">
        <v>0</v>
      </c>
      <c r="P3112" t="n">
        <v>0</v>
      </c>
      <c r="Q3112" t="n">
        <v>0</v>
      </c>
      <c r="R3112" t="inlineStr">
        <is>
          <t>Sin rotación</t>
        </is>
      </c>
    </row>
    <row r="3113">
      <c r="A3113" t="inlineStr">
        <is>
          <t>CLAMIKI28T8</t>
        </is>
      </c>
      <c r="B3113" t="inlineStr">
        <is>
          <t>CLASICA ORIGINAL KIDS</t>
        </is>
      </c>
      <c r="C3113" t="inlineStr">
        <is>
          <t>Manufactura / Kids / P. Superiores</t>
        </is>
      </c>
      <c r="D3113" t="n">
        <v>28.04252728</v>
      </c>
      <c r="E3113" t="n">
        <v>6.865724050767618e-06</v>
      </c>
      <c r="F3113" t="n">
        <v>0.9993208824236406</v>
      </c>
      <c r="G3113" t="inlineStr">
        <is>
          <t>C</t>
        </is>
      </c>
      <c r="H3113" t="n">
        <v>0</v>
      </c>
      <c r="I3113" t="n">
        <v>2.053774806</v>
      </c>
      <c r="J3113" t="n">
        <v>0</v>
      </c>
      <c r="K3113" t="n">
        <v>0.1</v>
      </c>
      <c r="L3113" t="n">
        <v>0</v>
      </c>
      <c r="M3113" t="n">
        <v>4</v>
      </c>
      <c r="N3113" t="n">
        <v>0.4</v>
      </c>
      <c r="O3113" t="n">
        <v>0</v>
      </c>
      <c r="P3113" t="n">
        <v>0</v>
      </c>
      <c r="Q3113" t="n">
        <v>0</v>
      </c>
      <c r="R3113" t="inlineStr">
        <is>
          <t>Sin rotación</t>
        </is>
      </c>
    </row>
    <row r="3114">
      <c r="A3114" t="inlineStr">
        <is>
          <t>MIAMIDA66TM</t>
        </is>
      </c>
      <c r="B3114" t="inlineStr">
        <is>
          <t>MIA ORIGINAL DAMA</t>
        </is>
      </c>
      <c r="C3114" t="inlineStr">
        <is>
          <t>Manufactura / Dama / P. Superiores</t>
        </is>
      </c>
      <c r="D3114" t="n">
        <v>28.04234359</v>
      </c>
      <c r="E3114" t="n">
        <v>6.865679077472654e-06</v>
      </c>
      <c r="F3114" t="n">
        <v>0.999327748102718</v>
      </c>
      <c r="G3114" t="inlineStr">
        <is>
          <t>C</t>
        </is>
      </c>
      <c r="H3114" t="n">
        <v>0</v>
      </c>
      <c r="I3114" t="n">
        <v>3.94</v>
      </c>
      <c r="J3114" t="n">
        <v>0</v>
      </c>
      <c r="K3114" t="n">
        <v>0.1</v>
      </c>
      <c r="L3114" t="n">
        <v>0</v>
      </c>
      <c r="M3114" t="n">
        <v>4</v>
      </c>
      <c r="N3114" t="n">
        <v>0.4</v>
      </c>
      <c r="O3114" t="n">
        <v>0</v>
      </c>
      <c r="P3114" t="n">
        <v>0</v>
      </c>
      <c r="Q3114" t="n">
        <v>0</v>
      </c>
      <c r="R3114" t="inlineStr">
        <is>
          <t>Sin rotación</t>
        </is>
      </c>
    </row>
    <row r="3115">
      <c r="A3115" t="inlineStr">
        <is>
          <t>DACSTKI30T2</t>
        </is>
      </c>
      <c r="B3115" t="inlineStr">
        <is>
          <t>CLASICA DAILY KIDS</t>
        </is>
      </c>
      <c r="C3115" t="inlineStr">
        <is>
          <t>Manufactura / Kids / P. Superiores</t>
        </is>
      </c>
      <c r="D3115" t="n">
        <v>27.95868273</v>
      </c>
      <c r="E3115" t="n">
        <v>6.845196174028371e-06</v>
      </c>
      <c r="F3115" t="n">
        <v>0.999334593298892</v>
      </c>
      <c r="G3115" t="inlineStr">
        <is>
          <t>C</t>
        </is>
      </c>
      <c r="H3115" t="n">
        <v>0</v>
      </c>
      <c r="I3115" t="n">
        <v>8.699999999999999</v>
      </c>
      <c r="J3115" t="n">
        <v>0</v>
      </c>
      <c r="K3115" t="n">
        <v>0.1</v>
      </c>
      <c r="L3115" t="n">
        <v>0</v>
      </c>
      <c r="M3115" t="n">
        <v>4</v>
      </c>
      <c r="N3115" t="n">
        <v>0.4</v>
      </c>
      <c r="O3115" t="n">
        <v>0</v>
      </c>
      <c r="P3115" t="n">
        <v>0</v>
      </c>
      <c r="Q3115" t="n">
        <v>0</v>
      </c>
      <c r="R3115" t="inlineStr">
        <is>
          <t>Sin rotación</t>
        </is>
      </c>
    </row>
    <row r="3116">
      <c r="A3116" t="inlineStr">
        <is>
          <t>CLAMIKI28T10</t>
        </is>
      </c>
      <c r="B3116" t="inlineStr">
        <is>
          <t>CLASICA ORIGINAL KIDS</t>
        </is>
      </c>
      <c r="C3116" t="inlineStr">
        <is>
          <t>Manufactura / Kids / P. Superiores</t>
        </is>
      </c>
      <c r="D3116" t="n">
        <v>27.72641049</v>
      </c>
      <c r="E3116" t="n">
        <v>6.788328364341651e-06</v>
      </c>
      <c r="F3116" t="n">
        <v>0.9993413816272564</v>
      </c>
      <c r="G3116" t="inlineStr">
        <is>
          <t>C</t>
        </is>
      </c>
      <c r="H3116" t="n">
        <v>0</v>
      </c>
      <c r="I3116" t="n">
        <v>2.053774806</v>
      </c>
      <c r="J3116" t="n">
        <v>0</v>
      </c>
      <c r="K3116" t="n">
        <v>0.1</v>
      </c>
      <c r="L3116" t="n">
        <v>0</v>
      </c>
      <c r="M3116" t="n">
        <v>4</v>
      </c>
      <c r="N3116" t="n">
        <v>0.4</v>
      </c>
      <c r="O3116" t="n">
        <v>0</v>
      </c>
      <c r="P3116" t="n">
        <v>0</v>
      </c>
      <c r="Q3116" t="n">
        <v>0</v>
      </c>
      <c r="R3116" t="inlineStr">
        <is>
          <t>Sin rotación</t>
        </is>
      </c>
    </row>
    <row r="3117">
      <c r="A3117" t="inlineStr">
        <is>
          <t>ZOEMIKI53T2</t>
        </is>
      </c>
      <c r="B3117" t="inlineStr">
        <is>
          <t>ZOE ORIGINAL KIDS</t>
        </is>
      </c>
      <c r="C3117" t="inlineStr">
        <is>
          <t>Manufactura / Kids / P. Superiores</t>
        </is>
      </c>
      <c r="D3117" t="n">
        <v>27.59150356</v>
      </c>
      <c r="E3117" t="n">
        <v>6.755298753826596e-06</v>
      </c>
      <c r="F3117" t="n">
        <v>0.9993481369260102</v>
      </c>
      <c r="G3117" t="inlineStr">
        <is>
          <t>C</t>
        </is>
      </c>
      <c r="H3117" t="n">
        <v>1</v>
      </c>
      <c r="I3117" t="n">
        <v>4.12</v>
      </c>
      <c r="J3117" t="n">
        <v>4.12</v>
      </c>
      <c r="K3117" t="n">
        <v>0.1</v>
      </c>
      <c r="L3117" t="n">
        <v>10</v>
      </c>
      <c r="M3117" t="n">
        <v>4</v>
      </c>
      <c r="N3117" t="n">
        <v>0.4</v>
      </c>
      <c r="O3117" t="n">
        <v>0.6</v>
      </c>
      <c r="P3117" t="n">
        <v>2.472</v>
      </c>
      <c r="Q3117" t="n">
        <v>0.6</v>
      </c>
      <c r="R3117" t="inlineStr">
        <is>
          <t>Sin rotación</t>
        </is>
      </c>
    </row>
    <row r="3118">
      <c r="A3118" t="inlineStr">
        <is>
          <t>MIAMIDA12TS</t>
        </is>
      </c>
      <c r="B3118" t="inlineStr">
        <is>
          <t>MIA ORIGINAL DAMA</t>
        </is>
      </c>
      <c r="C3118" t="inlineStr">
        <is>
          <t>Manufactura / Dama / P. Superiores</t>
        </is>
      </c>
      <c r="D3118" t="n">
        <v>27.54172612</v>
      </c>
      <c r="E3118" t="n">
        <v>6.743111615214543e-06</v>
      </c>
      <c r="F3118" t="n">
        <v>0.9993548800376255</v>
      </c>
      <c r="G3118" t="inlineStr">
        <is>
          <t>C</t>
        </is>
      </c>
      <c r="H3118" t="n">
        <v>0</v>
      </c>
      <c r="I3118" t="n">
        <v>3.94</v>
      </c>
      <c r="J3118" t="n">
        <v>0</v>
      </c>
      <c r="K3118" t="n">
        <v>0.1</v>
      </c>
      <c r="L3118" t="n">
        <v>0</v>
      </c>
      <c r="M3118" t="n">
        <v>4</v>
      </c>
      <c r="N3118" t="n">
        <v>0.4</v>
      </c>
      <c r="O3118" t="n">
        <v>0</v>
      </c>
      <c r="P3118" t="n">
        <v>0</v>
      </c>
      <c r="Q3118" t="n">
        <v>0</v>
      </c>
      <c r="R3118" t="inlineStr">
        <is>
          <t>Sin rotación</t>
        </is>
      </c>
    </row>
    <row r="3119">
      <c r="A3119" t="inlineStr">
        <is>
          <t>MIAMIDA30TS</t>
        </is>
      </c>
      <c r="B3119" t="inlineStr">
        <is>
          <t>MIA ORIGINAL DAMA</t>
        </is>
      </c>
      <c r="C3119" t="inlineStr">
        <is>
          <t>Manufactura / Dama / P. Superiores</t>
        </is>
      </c>
      <c r="D3119" t="n">
        <v>27.43535449</v>
      </c>
      <c r="E3119" t="n">
        <v>6.717068375562202e-06</v>
      </c>
      <c r="F3119" t="n">
        <v>0.999361597106001</v>
      </c>
      <c r="G3119" t="inlineStr">
        <is>
          <t>C</t>
        </is>
      </c>
      <c r="H3119" t="n">
        <v>0</v>
      </c>
      <c r="I3119" t="n">
        <v>3.94</v>
      </c>
      <c r="J3119" t="n">
        <v>0</v>
      </c>
      <c r="K3119" t="n">
        <v>0.1</v>
      </c>
      <c r="L3119" t="n">
        <v>0</v>
      </c>
      <c r="M3119" t="n">
        <v>4</v>
      </c>
      <c r="N3119" t="n">
        <v>0.4</v>
      </c>
      <c r="O3119" t="n">
        <v>0</v>
      </c>
      <c r="P3119" t="n">
        <v>0</v>
      </c>
      <c r="Q3119" t="n">
        <v>0</v>
      </c>
      <c r="R3119" t="inlineStr">
        <is>
          <t>Sin rotación</t>
        </is>
      </c>
    </row>
    <row r="3120">
      <c r="A3120" t="inlineStr">
        <is>
          <t>PETMIPE43TXS</t>
        </is>
      </c>
      <c r="B3120" t="inlineStr">
        <is>
          <t>BANDANA PET</t>
        </is>
      </c>
      <c r="C3120" t="inlineStr">
        <is>
          <t>Manufactura / General</t>
        </is>
      </c>
      <c r="D3120" t="n">
        <v>27.30406003</v>
      </c>
      <c r="E3120" t="n">
        <v>6.684923215364838e-06</v>
      </c>
      <c r="F3120" t="n">
        <v>0.9993682820292163</v>
      </c>
      <c r="G3120" t="inlineStr">
        <is>
          <t>C</t>
        </is>
      </c>
      <c r="H3120" t="n">
        <v>17</v>
      </c>
      <c r="I3120" t="n">
        <v>0.3252662283</v>
      </c>
      <c r="J3120" t="n">
        <v>5.529525881100001</v>
      </c>
      <c r="K3120" t="n">
        <v>0.5</v>
      </c>
      <c r="L3120" t="n">
        <v>34</v>
      </c>
      <c r="M3120" t="n">
        <v>4</v>
      </c>
      <c r="N3120" t="n">
        <v>2</v>
      </c>
      <c r="O3120" t="n">
        <v>15</v>
      </c>
      <c r="P3120" t="n">
        <v>4.8789934245</v>
      </c>
      <c r="Q3120" t="n">
        <v>0.8823529411764705</v>
      </c>
      <c r="R3120" t="inlineStr">
        <is>
          <t>Sobrestock crítico</t>
        </is>
      </c>
    </row>
    <row r="3121">
      <c r="A3121" t="inlineStr">
        <is>
          <t>ZOEMIKI09T14</t>
        </is>
      </c>
      <c r="B3121" t="inlineStr">
        <is>
          <t>ZOE ORIGINAL KIDS</t>
        </is>
      </c>
      <c r="C3121" t="inlineStr">
        <is>
          <t>Manufactura / Kids / P. Superiores</t>
        </is>
      </c>
      <c r="D3121" t="n">
        <v>27.25498331</v>
      </c>
      <c r="E3121" t="n">
        <v>6.672907635831923e-06</v>
      </c>
      <c r="F3121" t="n">
        <v>0.9993749549368521</v>
      </c>
      <c r="G3121" t="inlineStr">
        <is>
          <t>C</t>
        </is>
      </c>
      <c r="H3121" t="n">
        <v>0</v>
      </c>
      <c r="I3121" t="n">
        <v>4.12</v>
      </c>
      <c r="J3121" t="n">
        <v>0</v>
      </c>
      <c r="K3121" t="n">
        <v>0.1</v>
      </c>
      <c r="L3121" t="n">
        <v>0</v>
      </c>
      <c r="M3121" t="n">
        <v>4</v>
      </c>
      <c r="N3121" t="n">
        <v>0.4</v>
      </c>
      <c r="O3121" t="n">
        <v>0</v>
      </c>
      <c r="P3121" t="n">
        <v>0</v>
      </c>
      <c r="Q3121" t="n">
        <v>0</v>
      </c>
      <c r="R3121" t="inlineStr">
        <is>
          <t>Sin rotación</t>
        </is>
      </c>
    </row>
    <row r="3122">
      <c r="A3122" t="inlineStr">
        <is>
          <t>PETMIPE16TXS</t>
        </is>
      </c>
      <c r="B3122" t="inlineStr">
        <is>
          <t>BANDANA PET</t>
        </is>
      </c>
      <c r="C3122" t="inlineStr">
        <is>
          <t>Manufactura / General</t>
        </is>
      </c>
      <c r="D3122" t="n">
        <v>27.09241644</v>
      </c>
      <c r="E3122" t="n">
        <v>6.633105971093487e-06</v>
      </c>
      <c r="F3122" t="n">
        <v>0.9993815880428233</v>
      </c>
      <c r="G3122" t="inlineStr">
        <is>
          <t>C</t>
        </is>
      </c>
      <c r="H3122" t="n">
        <v>16</v>
      </c>
      <c r="I3122" t="n">
        <v>0.3252662283</v>
      </c>
      <c r="J3122" t="n">
        <v>5.2042596528</v>
      </c>
      <c r="K3122" t="n">
        <v>0.3</v>
      </c>
      <c r="L3122" t="n">
        <v>53.33333333333334</v>
      </c>
      <c r="M3122" t="n">
        <v>4</v>
      </c>
      <c r="N3122" t="n">
        <v>1.2</v>
      </c>
      <c r="O3122" t="n">
        <v>14.8</v>
      </c>
      <c r="P3122" t="n">
        <v>4.81394017884</v>
      </c>
      <c r="Q3122" t="n">
        <v>0.925</v>
      </c>
      <c r="R3122" t="inlineStr">
        <is>
          <t>Sobrestock crítico</t>
        </is>
      </c>
    </row>
    <row r="3123">
      <c r="A3123" t="inlineStr">
        <is>
          <t>CLAMIDA13TXL</t>
        </is>
      </c>
      <c r="B3123" t="inlineStr">
        <is>
          <t>CLASICA ORIGINAL DAMA</t>
        </is>
      </c>
      <c r="C3123" t="inlineStr">
        <is>
          <t>Manufactura / Dama / P. Superiores</t>
        </is>
      </c>
      <c r="D3123" t="n">
        <v>26.97290192</v>
      </c>
      <c r="E3123" t="n">
        <v>6.603844923892324e-06</v>
      </c>
      <c r="F3123" t="n">
        <v>0.9993881918877471</v>
      </c>
      <c r="G3123" t="inlineStr">
        <is>
          <t>C</t>
        </is>
      </c>
      <c r="H3123" t="n">
        <v>1</v>
      </c>
      <c r="I3123" t="n">
        <v>3.923227589</v>
      </c>
      <c r="J3123" t="n">
        <v>3.923227589</v>
      </c>
      <c r="K3123" t="n">
        <v>0.1</v>
      </c>
      <c r="L3123" t="n">
        <v>10</v>
      </c>
      <c r="M3123" t="n">
        <v>4</v>
      </c>
      <c r="N3123" t="n">
        <v>0.4</v>
      </c>
      <c r="O3123" t="n">
        <v>0.6</v>
      </c>
      <c r="P3123" t="n">
        <v>2.3539365534</v>
      </c>
      <c r="Q3123" t="n">
        <v>0.6</v>
      </c>
      <c r="R3123" t="inlineStr">
        <is>
          <t>Sobrestock crítico</t>
        </is>
      </c>
    </row>
    <row r="3124">
      <c r="A3124" t="inlineStr">
        <is>
          <t>DACSTKI43T10</t>
        </is>
      </c>
      <c r="B3124" t="inlineStr">
        <is>
          <t>CLASICA DAILY KIDS</t>
        </is>
      </c>
      <c r="C3124" t="inlineStr">
        <is>
          <t>Manufactura / Kids / P. Superiores</t>
        </is>
      </c>
      <c r="D3124" t="n">
        <v>26.97187169</v>
      </c>
      <c r="E3124" t="n">
        <v>6.603592690032723e-06</v>
      </c>
      <c r="F3124" t="n">
        <v>0.9994080026658172</v>
      </c>
      <c r="G3124" t="inlineStr">
        <is>
          <t>C</t>
        </is>
      </c>
      <c r="H3124" t="n">
        <v>0</v>
      </c>
      <c r="I3124" t="n">
        <v>8.699999999999999</v>
      </c>
      <c r="J3124" t="n">
        <v>0</v>
      </c>
      <c r="K3124" t="n">
        <v>0.1</v>
      </c>
      <c r="L3124" t="n">
        <v>0</v>
      </c>
      <c r="M3124" t="n">
        <v>4</v>
      </c>
      <c r="N3124" t="n">
        <v>0.4</v>
      </c>
      <c r="O3124" t="n">
        <v>0</v>
      </c>
      <c r="P3124" t="n">
        <v>0</v>
      </c>
      <c r="Q3124" t="n">
        <v>0</v>
      </c>
      <c r="R3124" t="inlineStr">
        <is>
          <t>Sin rotación</t>
        </is>
      </c>
    </row>
    <row r="3125">
      <c r="A3125" t="inlineStr">
        <is>
          <t>DACSTKI16T8</t>
        </is>
      </c>
      <c r="B3125" t="inlineStr">
        <is>
          <t>CLASICA DAILY KIDS</t>
        </is>
      </c>
      <c r="C3125" t="inlineStr">
        <is>
          <t>Manufactura / Kids / P. Superiores</t>
        </is>
      </c>
      <c r="D3125" t="n">
        <v>26.97187169</v>
      </c>
      <c r="E3125" t="n">
        <v>6.603592690032723e-06</v>
      </c>
      <c r="F3125" t="n">
        <v>0.9994080026658172</v>
      </c>
      <c r="G3125" t="inlineStr">
        <is>
          <t>C</t>
        </is>
      </c>
      <c r="H3125" t="n">
        <v>0</v>
      </c>
      <c r="I3125" t="n">
        <v>8.699999999999999</v>
      </c>
      <c r="J3125" t="n">
        <v>0</v>
      </c>
      <c r="K3125" t="n">
        <v>0.1</v>
      </c>
      <c r="L3125" t="n">
        <v>0</v>
      </c>
      <c r="M3125" t="n">
        <v>4</v>
      </c>
      <c r="N3125" t="n">
        <v>0.4</v>
      </c>
      <c r="O3125" t="n">
        <v>0</v>
      </c>
      <c r="P3125" t="n">
        <v>0</v>
      </c>
      <c r="Q3125" t="n">
        <v>0</v>
      </c>
      <c r="R3125" t="inlineStr">
        <is>
          <t>Sin rotación</t>
        </is>
      </c>
    </row>
    <row r="3126">
      <c r="A3126" t="inlineStr">
        <is>
          <t>CLAMIKI28T12</t>
        </is>
      </c>
      <c r="B3126" t="inlineStr">
        <is>
          <t>CLASICA ORIGINAL KIDS</t>
        </is>
      </c>
      <c r="C3126" t="inlineStr">
        <is>
          <t>Manufactura / Kids / P. Superiores</t>
        </is>
      </c>
      <c r="D3126" t="n">
        <v>26.97187169</v>
      </c>
      <c r="E3126" t="n">
        <v>6.603592690032723e-06</v>
      </c>
      <c r="F3126" t="n">
        <v>0.9994080026658172</v>
      </c>
      <c r="G3126" t="inlineStr">
        <is>
          <t>C</t>
        </is>
      </c>
      <c r="H3126" t="n">
        <v>0</v>
      </c>
      <c r="I3126" t="n">
        <v>2.053774806</v>
      </c>
      <c r="J3126" t="n">
        <v>0</v>
      </c>
      <c r="K3126" t="n">
        <v>0.2</v>
      </c>
      <c r="L3126" t="n">
        <v>0</v>
      </c>
      <c r="M3126" t="n">
        <v>4</v>
      </c>
      <c r="N3126" t="n">
        <v>0.8</v>
      </c>
      <c r="O3126" t="n">
        <v>0</v>
      </c>
      <c r="P3126" t="n">
        <v>0</v>
      </c>
      <c r="Q3126" t="n">
        <v>0</v>
      </c>
      <c r="R3126" t="inlineStr">
        <is>
          <t>Riesgo bajo stock</t>
        </is>
      </c>
    </row>
    <row r="3127">
      <c r="A3127" t="inlineStr">
        <is>
          <t>ANDMIDA48TM</t>
        </is>
      </c>
      <c r="B3127" t="inlineStr">
        <is>
          <t>ANDRE ORIGINAL DAMA</t>
        </is>
      </c>
      <c r="C3127" t="inlineStr">
        <is>
          <t>Manufactura / Dama / P. Superiores</t>
        </is>
      </c>
      <c r="D3127" t="n">
        <v>26.9523732</v>
      </c>
      <c r="E3127" t="n">
        <v>6.598818824595775e-06</v>
      </c>
      <c r="F3127" t="n">
        <v>0.9994146014846418</v>
      </c>
      <c r="G3127" t="inlineStr">
        <is>
          <t>C</t>
        </is>
      </c>
      <c r="H3127" t="n">
        <v>0</v>
      </c>
      <c r="I3127" t="n">
        <v>3.274295302</v>
      </c>
      <c r="J3127" t="n">
        <v>0</v>
      </c>
      <c r="K3127" t="n">
        <v>0.1</v>
      </c>
      <c r="L3127" t="n">
        <v>0</v>
      </c>
      <c r="M3127" t="n">
        <v>4</v>
      </c>
      <c r="N3127" t="n">
        <v>0.4</v>
      </c>
      <c r="O3127" t="n">
        <v>0</v>
      </c>
      <c r="P3127" t="n">
        <v>0</v>
      </c>
      <c r="Q3127" t="n">
        <v>0</v>
      </c>
      <c r="R3127" t="inlineStr">
        <is>
          <t>Sin rotación</t>
        </is>
      </c>
    </row>
    <row r="3128">
      <c r="A3128" t="inlineStr">
        <is>
          <t>DAMSTKI16T14</t>
        </is>
      </c>
      <c r="B3128" t="inlineStr">
        <is>
          <t>MANGA LARGA DAILY KIDS</t>
        </is>
      </c>
      <c r="C3128" t="inlineStr">
        <is>
          <t>Manufactura / Kids / P. Superiores</t>
        </is>
      </c>
      <c r="D3128" t="n">
        <v>26.89902589</v>
      </c>
      <c r="E3128" t="n">
        <v>6.585757665533554e-06</v>
      </c>
      <c r="F3128" t="n">
        <v>0.9994211872423073</v>
      </c>
      <c r="G3128" t="inlineStr">
        <is>
          <t>C</t>
        </is>
      </c>
      <c r="H3128" t="n">
        <v>0</v>
      </c>
      <c r="I3128" t="n">
        <v>10.1</v>
      </c>
      <c r="J3128" t="n">
        <v>0</v>
      </c>
      <c r="K3128" t="n">
        <v>0.1</v>
      </c>
      <c r="L3128" t="n">
        <v>0</v>
      </c>
      <c r="M3128" t="n">
        <v>4</v>
      </c>
      <c r="N3128" t="n">
        <v>0.4</v>
      </c>
      <c r="O3128" t="n">
        <v>0</v>
      </c>
      <c r="P3128" t="n">
        <v>0</v>
      </c>
      <c r="Q3128" t="n">
        <v>0</v>
      </c>
      <c r="R3128" t="inlineStr">
        <is>
          <t>Sin rotación</t>
        </is>
      </c>
    </row>
    <row r="3129">
      <c r="A3129" t="inlineStr">
        <is>
          <t>AVESTKI30T2</t>
        </is>
      </c>
      <c r="B3129" t="inlineStr">
        <is>
          <t>CLASICA RETRO KIDS</t>
        </is>
      </c>
      <c r="C3129" t="inlineStr">
        <is>
          <t>Manufactura / Dama / P. Superiores</t>
        </is>
      </c>
      <c r="D3129" t="n">
        <v>26.64616217</v>
      </c>
      <c r="E3129" t="n">
        <v>6.52384839085813e-06</v>
      </c>
      <c r="F3129" t="n">
        <v>0.9994277110906982</v>
      </c>
      <c r="G3129" t="inlineStr">
        <is>
          <t>C</t>
        </is>
      </c>
      <c r="H3129" t="n">
        <v>0</v>
      </c>
      <c r="I3129" t="n">
        <v>1</v>
      </c>
      <c r="J3129" t="n">
        <v>0</v>
      </c>
      <c r="K3129" t="n">
        <v>0.1</v>
      </c>
      <c r="L3129" t="n">
        <v>0</v>
      </c>
      <c r="M3129" t="n">
        <v>4</v>
      </c>
      <c r="N3129" t="n">
        <v>0.4</v>
      </c>
      <c r="O3129" t="n">
        <v>0</v>
      </c>
      <c r="P3129" t="n">
        <v>0</v>
      </c>
      <c r="Q3129" t="n">
        <v>0</v>
      </c>
      <c r="R3129" t="inlineStr">
        <is>
          <t>Sin rotación</t>
        </is>
      </c>
    </row>
    <row r="3130">
      <c r="A3130" t="inlineStr">
        <is>
          <t>CLAMIKI66T14</t>
        </is>
      </c>
      <c r="B3130" t="inlineStr">
        <is>
          <t>CLASICA ORIGINAL KIDS</t>
        </is>
      </c>
      <c r="C3130" t="inlineStr">
        <is>
          <t>Manufactura / Kids / P. Superiores</t>
        </is>
      </c>
      <c r="D3130" t="n">
        <v>26.62127735</v>
      </c>
      <c r="E3130" t="n">
        <v>6.517755776399131e-06</v>
      </c>
      <c r="F3130" t="n">
        <v>0.9994342288464746</v>
      </c>
      <c r="G3130" t="inlineStr">
        <is>
          <t>C</t>
        </is>
      </c>
      <c r="H3130" t="n">
        <v>0</v>
      </c>
      <c r="I3130" t="n">
        <v>2.053774806</v>
      </c>
      <c r="J3130" t="n">
        <v>0</v>
      </c>
      <c r="K3130" t="n">
        <v>0.2</v>
      </c>
      <c r="L3130" t="n">
        <v>0</v>
      </c>
      <c r="M3130" t="n">
        <v>4</v>
      </c>
      <c r="N3130" t="n">
        <v>0.8</v>
      </c>
      <c r="O3130" t="n">
        <v>0</v>
      </c>
      <c r="P3130" t="n">
        <v>0</v>
      </c>
      <c r="Q3130" t="n">
        <v>0</v>
      </c>
      <c r="R3130" t="inlineStr">
        <is>
          <t>Riesgo bajo stock</t>
        </is>
      </c>
    </row>
    <row r="3131">
      <c r="A3131" t="inlineStr">
        <is>
          <t>DALSTKI30T2</t>
        </is>
      </c>
      <c r="B3131" t="inlineStr">
        <is>
          <t>CLASICA DAILY 2.0 KIDS</t>
        </is>
      </c>
      <c r="C3131" t="inlineStr">
        <is>
          <t>Manufactura / Kids / P. Superiores</t>
        </is>
      </c>
      <c r="D3131" t="n">
        <v>26.61422836</v>
      </c>
      <c r="E3131" t="n">
        <v>6.516029954054611e-06</v>
      </c>
      <c r="F3131" t="n">
        <v>0.9994472609063827</v>
      </c>
      <c r="G3131" t="inlineStr">
        <is>
          <t>C</t>
        </is>
      </c>
      <c r="H3131" t="n">
        <v>0</v>
      </c>
      <c r="I3131" t="n">
        <v>8.699999999999999</v>
      </c>
      <c r="J3131" t="n">
        <v>0</v>
      </c>
      <c r="K3131" t="n">
        <v>0.1</v>
      </c>
      <c r="L3131" t="n">
        <v>0</v>
      </c>
      <c r="M3131" t="n">
        <v>4</v>
      </c>
      <c r="N3131" t="n">
        <v>0.4</v>
      </c>
      <c r="O3131" t="n">
        <v>0</v>
      </c>
      <c r="P3131" t="n">
        <v>0</v>
      </c>
      <c r="Q3131" t="n">
        <v>0</v>
      </c>
      <c r="R3131" t="inlineStr">
        <is>
          <t>Sin rotación</t>
        </is>
      </c>
    </row>
    <row r="3132">
      <c r="A3132" t="inlineStr">
        <is>
          <t>CLAMIKI70T1</t>
        </is>
      </c>
      <c r="B3132" t="inlineStr">
        <is>
          <t>CLASICA ORIGINAL KIDS</t>
        </is>
      </c>
      <c r="C3132" t="inlineStr">
        <is>
          <t>Manufactura / Kids / P. Superiores</t>
        </is>
      </c>
      <c r="D3132" t="n">
        <v>26.61422836</v>
      </c>
      <c r="E3132" t="n">
        <v>6.516029954054611e-06</v>
      </c>
      <c r="F3132" t="n">
        <v>0.9994472609063827</v>
      </c>
      <c r="G3132" t="inlineStr">
        <is>
          <t>C</t>
        </is>
      </c>
      <c r="H3132" t="n">
        <v>0</v>
      </c>
      <c r="I3132" t="n">
        <v>2.053774806</v>
      </c>
      <c r="J3132" t="n">
        <v>0</v>
      </c>
      <c r="K3132" t="n">
        <v>0.1</v>
      </c>
      <c r="L3132" t="n">
        <v>0</v>
      </c>
      <c r="M3132" t="n">
        <v>4</v>
      </c>
      <c r="N3132" t="n">
        <v>0.4</v>
      </c>
      <c r="O3132" t="n">
        <v>0</v>
      </c>
      <c r="P3132" t="n">
        <v>0</v>
      </c>
      <c r="Q3132" t="n">
        <v>0</v>
      </c>
      <c r="R3132" t="inlineStr">
        <is>
          <t>Sin rotación</t>
        </is>
      </c>
    </row>
    <row r="3133">
      <c r="A3133" t="inlineStr">
        <is>
          <t>CLAMIKI01T2</t>
        </is>
      </c>
      <c r="B3133" t="inlineStr">
        <is>
          <t>CLASICA ORIGINAL KIDS</t>
        </is>
      </c>
      <c r="C3133" t="inlineStr">
        <is>
          <t>Manufactura / Kids / P. Superiores</t>
        </is>
      </c>
      <c r="D3133" t="n">
        <v>26.40124562</v>
      </c>
      <c r="E3133" t="n">
        <v>6.463884842245831e-06</v>
      </c>
      <c r="F3133" t="n">
        <v>0.9994601886760672</v>
      </c>
      <c r="G3133" t="inlineStr">
        <is>
          <t>C</t>
        </is>
      </c>
      <c r="H3133" t="n">
        <v>2</v>
      </c>
      <c r="I3133" t="n">
        <v>2.053774806</v>
      </c>
      <c r="J3133" t="n">
        <v>4.107549612</v>
      </c>
      <c r="K3133" t="n">
        <v>0.1</v>
      </c>
      <c r="L3133" t="n">
        <v>20</v>
      </c>
      <c r="M3133" t="n">
        <v>4</v>
      </c>
      <c r="N3133" t="n">
        <v>0.4</v>
      </c>
      <c r="O3133" t="n">
        <v>1.6</v>
      </c>
      <c r="P3133" t="n">
        <v>3.2860396896</v>
      </c>
      <c r="Q3133" t="n">
        <v>0.8</v>
      </c>
      <c r="R3133" t="inlineStr">
        <is>
          <t>Sin rotación</t>
        </is>
      </c>
    </row>
    <row r="3134">
      <c r="A3134" t="inlineStr">
        <is>
          <t>AVESTKI16T8</t>
        </is>
      </c>
      <c r="B3134" t="inlineStr">
        <is>
          <t>CLASICA RETRO KIDS</t>
        </is>
      </c>
      <c r="C3134" t="inlineStr">
        <is>
          <t>Manufactura / Dama / P. Superiores</t>
        </is>
      </c>
      <c r="D3134" t="n">
        <v>26.40124562</v>
      </c>
      <c r="E3134" t="n">
        <v>6.463884842245831e-06</v>
      </c>
      <c r="F3134" t="n">
        <v>0.9994601886760672</v>
      </c>
      <c r="G3134" t="inlineStr">
        <is>
          <t>C</t>
        </is>
      </c>
      <c r="H3134" t="n">
        <v>0</v>
      </c>
      <c r="I3134" t="n">
        <v>1</v>
      </c>
      <c r="J3134" t="n">
        <v>0</v>
      </c>
      <c r="K3134" t="n">
        <v>0.1</v>
      </c>
      <c r="L3134" t="n">
        <v>0</v>
      </c>
      <c r="M3134" t="n">
        <v>4</v>
      </c>
      <c r="N3134" t="n">
        <v>0.4</v>
      </c>
      <c r="O3134" t="n">
        <v>0</v>
      </c>
      <c r="P3134" t="n">
        <v>0</v>
      </c>
      <c r="Q3134" t="n">
        <v>0</v>
      </c>
      <c r="R3134" t="inlineStr">
        <is>
          <t>Sin rotación</t>
        </is>
      </c>
    </row>
    <row r="3135">
      <c r="A3135" t="inlineStr">
        <is>
          <t>DANMIKI66T8</t>
        </is>
      </c>
      <c r="B3135" t="inlineStr">
        <is>
          <t>DANI ORIGINAL KIDS</t>
        </is>
      </c>
      <c r="C3135" t="inlineStr">
        <is>
          <t>Manufactura / Kids / P. Superiores</t>
        </is>
      </c>
      <c r="D3135" t="n">
        <v>26.37712875</v>
      </c>
      <c r="E3135" t="n">
        <v>6.457980246959716e-06</v>
      </c>
      <c r="F3135" t="n">
        <v>0.9994666466563141</v>
      </c>
      <c r="G3135" t="inlineStr">
        <is>
          <t>C</t>
        </is>
      </c>
      <c r="H3135" t="n">
        <v>10</v>
      </c>
      <c r="I3135" t="n">
        <v>3.55</v>
      </c>
      <c r="J3135" t="n">
        <v>35.5</v>
      </c>
      <c r="K3135" t="n">
        <v>0.1</v>
      </c>
      <c r="L3135" t="n">
        <v>100</v>
      </c>
      <c r="M3135" t="n">
        <v>4</v>
      </c>
      <c r="N3135" t="n">
        <v>0.4</v>
      </c>
      <c r="O3135" t="n">
        <v>9.6</v>
      </c>
      <c r="P3135" t="n">
        <v>34.08</v>
      </c>
      <c r="Q3135" t="n">
        <v>0.96</v>
      </c>
      <c r="R3135" t="inlineStr">
        <is>
          <t>Sobrestock crítico</t>
        </is>
      </c>
    </row>
    <row r="3136">
      <c r="A3136" t="inlineStr">
        <is>
          <t>CLAMIKI34T2</t>
        </is>
      </c>
      <c r="B3136" t="inlineStr">
        <is>
          <t>CLASICA ORIGINAL KIDS</t>
        </is>
      </c>
      <c r="C3136" t="inlineStr">
        <is>
          <t>Manufactura / Kids / P. Superiores</t>
        </is>
      </c>
      <c r="D3136" t="n">
        <v>26.34045777</v>
      </c>
      <c r="E3136" t="n">
        <v>6.449001996645922e-06</v>
      </c>
      <c r="F3136" t="n">
        <v>0.9994730956583108</v>
      </c>
      <c r="G3136" t="inlineStr">
        <is>
          <t>C</t>
        </is>
      </c>
      <c r="H3136" t="n">
        <v>1</v>
      </c>
      <c r="I3136" t="n">
        <v>2.053774806</v>
      </c>
      <c r="J3136" t="n">
        <v>2.053774806</v>
      </c>
      <c r="K3136" t="n">
        <v>0.1</v>
      </c>
      <c r="L3136" t="n">
        <v>10</v>
      </c>
      <c r="M3136" t="n">
        <v>4</v>
      </c>
      <c r="N3136" t="n">
        <v>0.4</v>
      </c>
      <c r="O3136" t="n">
        <v>0.6</v>
      </c>
      <c r="P3136" t="n">
        <v>1.2322648836</v>
      </c>
      <c r="Q3136" t="n">
        <v>0.6</v>
      </c>
      <c r="R3136" t="inlineStr">
        <is>
          <t>Sobrestock crítico</t>
        </is>
      </c>
    </row>
    <row r="3137">
      <c r="A3137" t="inlineStr">
        <is>
          <t>MAFMEDA13TS</t>
        </is>
      </c>
      <c r="B3137" t="inlineStr">
        <is>
          <t>MAFE SPORT DAMA</t>
        </is>
      </c>
      <c r="C3137" t="inlineStr">
        <is>
          <t>Manufactura / Dama / P. Superiores</t>
        </is>
      </c>
      <c r="D3137" t="n">
        <v>26.23676378</v>
      </c>
      <c r="E3137" t="n">
        <v>6.423614330478943e-06</v>
      </c>
      <c r="F3137" t="n">
        <v>0.9994795192726413</v>
      </c>
      <c r="G3137" t="inlineStr">
        <is>
          <t>C</t>
        </is>
      </c>
      <c r="H3137" t="n">
        <v>0</v>
      </c>
      <c r="I3137" t="n">
        <v>5.35</v>
      </c>
      <c r="J3137" t="n">
        <v>0</v>
      </c>
      <c r="K3137" t="n">
        <v>0.1</v>
      </c>
      <c r="L3137" t="n">
        <v>0</v>
      </c>
      <c r="M3137" t="n">
        <v>4</v>
      </c>
      <c r="N3137" t="n">
        <v>0.4</v>
      </c>
      <c r="O3137" t="n">
        <v>0</v>
      </c>
      <c r="P3137" t="n">
        <v>0</v>
      </c>
      <c r="Q3137" t="n">
        <v>0</v>
      </c>
      <c r="R3137" t="inlineStr">
        <is>
          <t>Sin rotación</t>
        </is>
      </c>
    </row>
    <row r="3138">
      <c r="A3138" t="inlineStr">
        <is>
          <t>CLAMICA50T3XL</t>
        </is>
      </c>
      <c r="B3138" t="inlineStr">
        <is>
          <t>CLASICA ORIGINAL CAB</t>
        </is>
      </c>
      <c r="C3138" t="inlineStr">
        <is>
          <t>Manufactura / Caballero / P. Superiores</t>
        </is>
      </c>
      <c r="D3138" t="n">
        <v>26.09890614</v>
      </c>
      <c r="E3138" t="n">
        <v>6.389862290048368e-06</v>
      </c>
      <c r="F3138" t="n">
        <v>0.9994859091349313</v>
      </c>
      <c r="G3138" t="inlineStr">
        <is>
          <t>C</t>
        </is>
      </c>
      <c r="H3138" t="n">
        <v>0</v>
      </c>
      <c r="I3138" t="n">
        <v>4.598442536</v>
      </c>
      <c r="J3138" t="n">
        <v>0</v>
      </c>
      <c r="K3138" t="n">
        <v>0.1</v>
      </c>
      <c r="L3138" t="n">
        <v>0</v>
      </c>
      <c r="M3138" t="n">
        <v>4</v>
      </c>
      <c r="N3138" t="n">
        <v>0.4</v>
      </c>
      <c r="O3138" t="n">
        <v>0</v>
      </c>
      <c r="P3138" t="n">
        <v>0</v>
      </c>
      <c r="Q3138" t="n">
        <v>0</v>
      </c>
      <c r="R3138" t="inlineStr">
        <is>
          <t>Sin rotación</t>
        </is>
      </c>
    </row>
    <row r="3139">
      <c r="A3139" t="inlineStr">
        <is>
          <t>MANMIGE70TG</t>
        </is>
      </c>
      <c r="B3139" t="inlineStr">
        <is>
          <t>MANGAS GENERAL</t>
        </is>
      </c>
      <c r="C3139" t="inlineStr">
        <is>
          <t>Manufactura / General</t>
        </is>
      </c>
      <c r="D3139" t="n">
        <v>25.99374626</v>
      </c>
      <c r="E3139" t="n">
        <v>6.364115726263914e-06</v>
      </c>
      <c r="F3139" t="n">
        <v>0.9994922732506576</v>
      </c>
      <c r="G3139" t="inlineStr">
        <is>
          <t>C</t>
        </is>
      </c>
      <c r="H3139" t="n">
        <v>7</v>
      </c>
      <c r="I3139" t="n">
        <v>0.92</v>
      </c>
      <c r="J3139" t="n">
        <v>6.44</v>
      </c>
      <c r="K3139" t="n">
        <v>0.2</v>
      </c>
      <c r="L3139" t="n">
        <v>35</v>
      </c>
      <c r="M3139" t="n">
        <v>4</v>
      </c>
      <c r="N3139" t="n">
        <v>0.8</v>
      </c>
      <c r="O3139" t="n">
        <v>6.2</v>
      </c>
      <c r="P3139" t="n">
        <v>5.704000000000001</v>
      </c>
      <c r="Q3139" t="n">
        <v>0.8857142857142858</v>
      </c>
      <c r="R3139" t="inlineStr">
        <is>
          <t>Sobrestock crítico</t>
        </is>
      </c>
    </row>
    <row r="3140">
      <c r="A3140" t="inlineStr">
        <is>
          <t>SHOSUKI104T6</t>
        </is>
      </c>
      <c r="B3140" t="inlineStr">
        <is>
          <t>SHORT PLAYA ESTAMPADO KIDS</t>
        </is>
      </c>
      <c r="C3140" t="inlineStr">
        <is>
          <t>Manufactura / Kids / P. Superiores</t>
        </is>
      </c>
      <c r="D3140" t="n">
        <v>25.89059259</v>
      </c>
      <c r="E3140" t="n">
        <v>6.338860348031686e-06</v>
      </c>
      <c r="F3140" t="n">
        <v>0.9994986121110057</v>
      </c>
      <c r="G3140" t="inlineStr">
        <is>
          <t>C</t>
        </is>
      </c>
      <c r="H3140" t="n">
        <v>0</v>
      </c>
      <c r="I3140" t="n">
        <v>7.21</v>
      </c>
      <c r="J3140" t="n">
        <v>0</v>
      </c>
      <c r="K3140" t="n">
        <v>0.1</v>
      </c>
      <c r="L3140" t="n">
        <v>0</v>
      </c>
      <c r="M3140" t="n">
        <v>4</v>
      </c>
      <c r="N3140" t="n">
        <v>0.4</v>
      </c>
      <c r="O3140" t="n">
        <v>0</v>
      </c>
      <c r="P3140" t="n">
        <v>0</v>
      </c>
      <c r="Q3140" t="n">
        <v>0</v>
      </c>
      <c r="R3140" t="inlineStr">
        <is>
          <t>Sin rotación</t>
        </is>
      </c>
    </row>
    <row r="3141">
      <c r="A3141" t="inlineStr">
        <is>
          <t>DALSTKI16T8</t>
        </is>
      </c>
      <c r="B3141" t="inlineStr">
        <is>
          <t>CLASICA DAILY 2.0 KIDS</t>
        </is>
      </c>
      <c r="C3141" t="inlineStr">
        <is>
          <t>Manufactura / Kids / P. Superiores</t>
        </is>
      </c>
      <c r="D3141" t="n">
        <v>25.76484056</v>
      </c>
      <c r="E3141" t="n">
        <v>6.308072155220704e-06</v>
      </c>
      <c r="F3141" t="n">
        <v>0.9995049201831608</v>
      </c>
      <c r="G3141" t="inlineStr">
        <is>
          <t>C</t>
        </is>
      </c>
      <c r="H3141" t="n">
        <v>4</v>
      </c>
      <c r="I3141" t="n">
        <v>8.699999999999999</v>
      </c>
      <c r="J3141" t="n">
        <v>34.8</v>
      </c>
      <c r="K3141" t="n">
        <v>0.1</v>
      </c>
      <c r="L3141" t="n">
        <v>40</v>
      </c>
      <c r="M3141" t="n">
        <v>4</v>
      </c>
      <c r="N3141" t="n">
        <v>0.4</v>
      </c>
      <c r="O3141" t="n">
        <v>3.6</v>
      </c>
      <c r="P3141" t="n">
        <v>31.32</v>
      </c>
      <c r="Q3141" t="n">
        <v>0.9</v>
      </c>
      <c r="R3141" t="inlineStr">
        <is>
          <t>Sin rotación</t>
        </is>
      </c>
    </row>
    <row r="3142">
      <c r="A3142" t="inlineStr">
        <is>
          <t>MARMIKI39T6</t>
        </is>
      </c>
      <c r="B3142" t="inlineStr">
        <is>
          <t>MAR ORIGINAL KIDS</t>
        </is>
      </c>
      <c r="C3142" t="inlineStr">
        <is>
          <t>Manufactura / Kids / P. Superiores</t>
        </is>
      </c>
      <c r="D3142" t="n">
        <v>25.60556791</v>
      </c>
      <c r="E3142" t="n">
        <v>6.269077022834246e-06</v>
      </c>
      <c r="F3142" t="n">
        <v>0.9995111892601838</v>
      </c>
      <c r="G3142" t="inlineStr">
        <is>
          <t>C</t>
        </is>
      </c>
      <c r="H3142" t="n">
        <v>0</v>
      </c>
      <c r="I3142" t="n">
        <v>3.168013332</v>
      </c>
      <c r="J3142" t="n">
        <v>0</v>
      </c>
      <c r="K3142" t="n">
        <v>0.1</v>
      </c>
      <c r="L3142" t="n">
        <v>0</v>
      </c>
      <c r="M3142" t="n">
        <v>4</v>
      </c>
      <c r="N3142" t="n">
        <v>0.4</v>
      </c>
      <c r="O3142" t="n">
        <v>0</v>
      </c>
      <c r="P3142" t="n">
        <v>0</v>
      </c>
      <c r="Q3142" t="n">
        <v>0</v>
      </c>
      <c r="R3142" t="inlineStr">
        <is>
          <t>Sin rotación</t>
        </is>
      </c>
    </row>
    <row r="3143">
      <c r="A3143" t="inlineStr">
        <is>
          <t>MIAMIDA66TXS</t>
        </is>
      </c>
      <c r="B3143" t="inlineStr">
        <is>
          <t>MIA ORIGINAL DAMA</t>
        </is>
      </c>
      <c r="C3143" t="inlineStr">
        <is>
          <t>Manufactura / Dama / P. Superiores</t>
        </is>
      </c>
      <c r="D3143" t="n">
        <v>25.60313881</v>
      </c>
      <c r="E3143" t="n">
        <v>6.268482300036075e-06</v>
      </c>
      <c r="F3143" t="n">
        <v>0.9995174577424838</v>
      </c>
      <c r="G3143" t="inlineStr">
        <is>
          <t>C</t>
        </is>
      </c>
      <c r="H3143" t="n">
        <v>0</v>
      </c>
      <c r="I3143" t="n">
        <v>3.94</v>
      </c>
      <c r="J3143" t="n">
        <v>0</v>
      </c>
      <c r="K3143" t="n">
        <v>0.1</v>
      </c>
      <c r="L3143" t="n">
        <v>0</v>
      </c>
      <c r="M3143" t="n">
        <v>4</v>
      </c>
      <c r="N3143" t="n">
        <v>0.4</v>
      </c>
      <c r="O3143" t="n">
        <v>0</v>
      </c>
      <c r="P3143" t="n">
        <v>0</v>
      </c>
      <c r="Q3143" t="n">
        <v>0</v>
      </c>
      <c r="R3143" t="inlineStr">
        <is>
          <t>Sin rotación</t>
        </is>
      </c>
    </row>
    <row r="3144">
      <c r="A3144" t="inlineStr">
        <is>
          <t>PETMIPE34TXS</t>
        </is>
      </c>
      <c r="B3144" t="inlineStr">
        <is>
          <t>BANDANA PET</t>
        </is>
      </c>
      <c r="C3144" t="inlineStr">
        <is>
          <t>Manufactura / General</t>
        </is>
      </c>
      <c r="D3144" t="n">
        <v>25.46191357</v>
      </c>
      <c r="E3144" t="n">
        <v>6.233905761439464e-06</v>
      </c>
      <c r="F3144" t="n">
        <v>0.9995236916482452</v>
      </c>
      <c r="G3144" t="inlineStr">
        <is>
          <t>C</t>
        </is>
      </c>
      <c r="H3144" t="n">
        <v>0</v>
      </c>
      <c r="I3144" t="n">
        <v>0.3252662283</v>
      </c>
      <c r="J3144" t="n">
        <v>0</v>
      </c>
      <c r="K3144" t="n">
        <v>0.2</v>
      </c>
      <c r="L3144" t="n">
        <v>0</v>
      </c>
      <c r="M3144" t="n">
        <v>4</v>
      </c>
      <c r="N3144" t="n">
        <v>0.8</v>
      </c>
      <c r="O3144" t="n">
        <v>0</v>
      </c>
      <c r="P3144" t="n">
        <v>0</v>
      </c>
      <c r="Q3144" t="n">
        <v>0</v>
      </c>
      <c r="R3144" t="inlineStr">
        <is>
          <t>Riesgo bajo stock</t>
        </is>
      </c>
    </row>
    <row r="3145">
      <c r="A3145" t="inlineStr">
        <is>
          <t>CLAMIKI09T10</t>
        </is>
      </c>
      <c r="B3145" t="inlineStr">
        <is>
          <t>CLASICA ORIGINAL KIDS</t>
        </is>
      </c>
      <c r="C3145" t="inlineStr">
        <is>
          <t>Manufactura / Kids / P. Superiores</t>
        </is>
      </c>
      <c r="D3145" t="n">
        <v>25.28046361</v>
      </c>
      <c r="E3145" t="n">
        <v>6.189480901228263e-06</v>
      </c>
      <c r="F3145" t="n">
        <v>0.9995360706100477</v>
      </c>
      <c r="G3145" t="inlineStr">
        <is>
          <t>C</t>
        </is>
      </c>
      <c r="H3145" t="n">
        <v>0</v>
      </c>
      <c r="I3145" t="n">
        <v>2.053774806</v>
      </c>
      <c r="J3145" t="n">
        <v>0</v>
      </c>
      <c r="K3145" t="n">
        <v>0.1</v>
      </c>
      <c r="L3145" t="n">
        <v>0</v>
      </c>
      <c r="M3145" t="n">
        <v>4</v>
      </c>
      <c r="N3145" t="n">
        <v>0.4</v>
      </c>
      <c r="O3145" t="n">
        <v>0</v>
      </c>
      <c r="P3145" t="n">
        <v>0</v>
      </c>
      <c r="Q3145" t="n">
        <v>0</v>
      </c>
      <c r="R3145" t="inlineStr">
        <is>
          <t>Sin rotación</t>
        </is>
      </c>
    </row>
    <row r="3146">
      <c r="A3146" t="inlineStr">
        <is>
          <t>CLAMIKI16T1</t>
        </is>
      </c>
      <c r="B3146" t="inlineStr">
        <is>
          <t>CLASICA ORIGINAL KIDS</t>
        </is>
      </c>
      <c r="C3146" t="inlineStr">
        <is>
          <t>Manufactura / Kids / P. Superiores</t>
        </is>
      </c>
      <c r="D3146" t="n">
        <v>25.28046361</v>
      </c>
      <c r="E3146" t="n">
        <v>6.189480901228263e-06</v>
      </c>
      <c r="F3146" t="n">
        <v>0.9995360706100477</v>
      </c>
      <c r="G3146" t="inlineStr">
        <is>
          <t>C</t>
        </is>
      </c>
      <c r="H3146" t="n">
        <v>0</v>
      </c>
      <c r="I3146" t="n">
        <v>2.053774806</v>
      </c>
      <c r="J3146" t="n">
        <v>0</v>
      </c>
      <c r="K3146" t="n">
        <v>0.1</v>
      </c>
      <c r="L3146" t="n">
        <v>0</v>
      </c>
      <c r="M3146" t="n">
        <v>4</v>
      </c>
      <c r="N3146" t="n">
        <v>0.4</v>
      </c>
      <c r="O3146" t="n">
        <v>0</v>
      </c>
      <c r="P3146" t="n">
        <v>0</v>
      </c>
      <c r="Q3146" t="n">
        <v>0</v>
      </c>
      <c r="R3146" t="inlineStr">
        <is>
          <t>Sin rotación</t>
        </is>
      </c>
    </row>
    <row r="3147">
      <c r="A3147" t="inlineStr">
        <is>
          <t>DALSTKI16T14</t>
        </is>
      </c>
      <c r="B3147" t="inlineStr">
        <is>
          <t>CLASICA DAILY 2.0 KIDS</t>
        </is>
      </c>
      <c r="C3147" t="inlineStr">
        <is>
          <t>Manufactura / Kids / P. Superiores</t>
        </is>
      </c>
      <c r="D3147" t="n">
        <v>25.22148854</v>
      </c>
      <c r="E3147" t="n">
        <v>6.175041883216377e-06</v>
      </c>
      <c r="F3147" t="n">
        <v>0.9995422456519308</v>
      </c>
      <c r="G3147" t="inlineStr">
        <is>
          <t>C</t>
        </is>
      </c>
      <c r="H3147" t="n">
        <v>2</v>
      </c>
      <c r="I3147" t="n">
        <v>8.699999999999999</v>
      </c>
      <c r="J3147" t="n">
        <v>17.4</v>
      </c>
      <c r="K3147" t="n">
        <v>0.1</v>
      </c>
      <c r="L3147" t="n">
        <v>20</v>
      </c>
      <c r="M3147" t="n">
        <v>4</v>
      </c>
      <c r="N3147" t="n">
        <v>0.4</v>
      </c>
      <c r="O3147" t="n">
        <v>1.6</v>
      </c>
      <c r="P3147" t="n">
        <v>13.92</v>
      </c>
      <c r="Q3147" t="n">
        <v>0.8</v>
      </c>
      <c r="R3147" t="inlineStr">
        <is>
          <t>Sin rotación</t>
        </is>
      </c>
    </row>
    <row r="3148">
      <c r="A3148" t="inlineStr">
        <is>
          <t>MANMIGE04TP</t>
        </is>
      </c>
      <c r="B3148" t="inlineStr">
        <is>
          <t>MANGAS GENERAL</t>
        </is>
      </c>
      <c r="C3148" t="inlineStr">
        <is>
          <t>Manufactura / General</t>
        </is>
      </c>
      <c r="D3148" t="n">
        <v>25.12564993</v>
      </c>
      <c r="E3148" t="n">
        <v>6.151577469930831e-06</v>
      </c>
      <c r="F3148" t="n">
        <v>0.9995483972294007</v>
      </c>
      <c r="G3148" t="inlineStr">
        <is>
          <t>C</t>
        </is>
      </c>
      <c r="H3148" t="n">
        <v>4</v>
      </c>
      <c r="I3148" t="n">
        <v>0.92</v>
      </c>
      <c r="J3148" t="n">
        <v>3.68</v>
      </c>
      <c r="K3148" t="n">
        <v>0.2</v>
      </c>
      <c r="L3148" t="n">
        <v>20</v>
      </c>
      <c r="M3148" t="n">
        <v>4</v>
      </c>
      <c r="N3148" t="n">
        <v>0.8</v>
      </c>
      <c r="O3148" t="n">
        <v>3.2</v>
      </c>
      <c r="P3148" t="n">
        <v>2.944</v>
      </c>
      <c r="Q3148" t="n">
        <v>0.8</v>
      </c>
      <c r="R3148" t="inlineStr">
        <is>
          <t>Sobrestock crítico</t>
        </is>
      </c>
    </row>
    <row r="3149">
      <c r="A3149" t="inlineStr">
        <is>
          <t>BUFMIGE39TUN</t>
        </is>
      </c>
      <c r="B3149" t="inlineStr">
        <is>
          <t>FLEX COVER</t>
        </is>
      </c>
      <c r="C3149" t="inlineStr">
        <is>
          <t>Manufactura / General</t>
        </is>
      </c>
      <c r="D3149" t="n">
        <v>25.075285358</v>
      </c>
      <c r="E3149" t="n">
        <v>6.139246582281712e-06</v>
      </c>
      <c r="F3149" t="n">
        <v>0.9995545364759831</v>
      </c>
      <c r="G3149" t="inlineStr">
        <is>
          <t>C</t>
        </is>
      </c>
      <c r="H3149" t="n">
        <v>5</v>
      </c>
      <c r="I3149" t="n">
        <v>2.21</v>
      </c>
      <c r="J3149" t="n">
        <v>11.05</v>
      </c>
      <c r="K3149" t="n">
        <v>0.2</v>
      </c>
      <c r="L3149" t="n">
        <v>25</v>
      </c>
      <c r="M3149" t="n">
        <v>4</v>
      </c>
      <c r="N3149" t="n">
        <v>0.8</v>
      </c>
      <c r="O3149" t="n">
        <v>4.2</v>
      </c>
      <c r="P3149" t="n">
        <v>9.282</v>
      </c>
      <c r="Q3149" t="n">
        <v>0.84</v>
      </c>
      <c r="R3149" t="inlineStr">
        <is>
          <t>Sobrestock crítico</t>
        </is>
      </c>
    </row>
    <row r="3150">
      <c r="A3150" t="inlineStr">
        <is>
          <t>DANMIKI13T12</t>
        </is>
      </c>
      <c r="B3150" t="inlineStr">
        <is>
          <t>DANI ORIGINAL KIDS</t>
        </is>
      </c>
      <c r="C3150" t="inlineStr">
        <is>
          <t>Manufactura / Kids / P. Superiores</t>
        </is>
      </c>
      <c r="D3150" t="n">
        <v>25</v>
      </c>
      <c r="E3150" t="n">
        <v>6.120814274525346e-06</v>
      </c>
      <c r="F3150" t="n">
        <v>0.9995667781045322</v>
      </c>
      <c r="G3150" t="inlineStr">
        <is>
          <t>C</t>
        </is>
      </c>
      <c r="H3150" t="n">
        <v>0</v>
      </c>
      <c r="I3150" t="n">
        <v>3.55</v>
      </c>
      <c r="J3150" t="n">
        <v>0</v>
      </c>
      <c r="K3150" t="n">
        <v>0.1</v>
      </c>
      <c r="L3150" t="n">
        <v>0</v>
      </c>
      <c r="M3150" t="n">
        <v>4</v>
      </c>
      <c r="N3150" t="n">
        <v>0.4</v>
      </c>
      <c r="O3150" t="n">
        <v>0</v>
      </c>
      <c r="P3150" t="n">
        <v>0</v>
      </c>
      <c r="Q3150" t="n">
        <v>0</v>
      </c>
      <c r="R3150" t="inlineStr">
        <is>
          <t>Riesgo bajo stock</t>
        </is>
      </c>
    </row>
    <row r="3151">
      <c r="A3151" t="inlineStr">
        <is>
          <t>DANMIKI04T8</t>
        </is>
      </c>
      <c r="B3151" t="inlineStr">
        <is>
          <t>DANI ORIGINAL KIDS</t>
        </is>
      </c>
      <c r="C3151" t="inlineStr">
        <is>
          <t>Manufactura / Kids / P. Superiores</t>
        </is>
      </c>
      <c r="D3151" t="n">
        <v>25</v>
      </c>
      <c r="E3151" t="n">
        <v>6.120814274525346e-06</v>
      </c>
      <c r="F3151" t="n">
        <v>0.9995667781045322</v>
      </c>
      <c r="G3151" t="inlineStr">
        <is>
          <t>C</t>
        </is>
      </c>
      <c r="H3151" t="n">
        <v>0</v>
      </c>
      <c r="I3151" t="n">
        <v>3.55</v>
      </c>
      <c r="J3151" t="n">
        <v>0</v>
      </c>
      <c r="K3151" t="n">
        <v>0.1</v>
      </c>
      <c r="L3151" t="n">
        <v>0</v>
      </c>
      <c r="M3151" t="n">
        <v>4</v>
      </c>
      <c r="N3151" t="n">
        <v>0.4</v>
      </c>
      <c r="O3151" t="n">
        <v>0</v>
      </c>
      <c r="P3151" t="n">
        <v>0</v>
      </c>
      <c r="Q3151" t="n">
        <v>0</v>
      </c>
      <c r="R3151" t="inlineStr">
        <is>
          <t>Riesgo bajo stock</t>
        </is>
      </c>
    </row>
    <row r="3152">
      <c r="A3152" t="inlineStr">
        <is>
          <t>CLAMIKI04T6</t>
        </is>
      </c>
      <c r="B3152" t="inlineStr">
        <is>
          <t>CLASICA ORIGINAL KIDS</t>
        </is>
      </c>
      <c r="C3152" t="inlineStr">
        <is>
          <t>Manufactura / Kids / P. Superiores</t>
        </is>
      </c>
      <c r="D3152" t="n">
        <v>24.81975645</v>
      </c>
      <c r="E3152" t="n">
        <v>6.076684782776101e-06</v>
      </c>
      <c r="F3152" t="n">
        <v>0.9995728547893149</v>
      </c>
      <c r="G3152" t="inlineStr">
        <is>
          <t>C</t>
        </is>
      </c>
      <c r="H3152" t="n">
        <v>0</v>
      </c>
      <c r="I3152" t="n">
        <v>2.053774806</v>
      </c>
      <c r="J3152" t="n">
        <v>0</v>
      </c>
      <c r="K3152" t="n">
        <v>0.1</v>
      </c>
      <c r="L3152" t="n">
        <v>0</v>
      </c>
      <c r="M3152" t="n">
        <v>4</v>
      </c>
      <c r="N3152" t="n">
        <v>0.4</v>
      </c>
      <c r="O3152" t="n">
        <v>0</v>
      </c>
      <c r="P3152" t="n">
        <v>0</v>
      </c>
      <c r="Q3152" t="n">
        <v>0</v>
      </c>
      <c r="R3152" t="inlineStr">
        <is>
          <t>Sin rotación</t>
        </is>
      </c>
    </row>
    <row r="3153">
      <c r="A3153" t="inlineStr">
        <is>
          <t>PETMIPE40TS</t>
        </is>
      </c>
      <c r="B3153" t="inlineStr">
        <is>
          <t>BANDANA PET</t>
        </is>
      </c>
      <c r="C3153" t="inlineStr">
        <is>
          <t>Manufactura / General</t>
        </is>
      </c>
      <c r="D3153" t="n">
        <v>24.78423386</v>
      </c>
      <c r="E3153" t="n">
        <v>6.067987695738497e-06</v>
      </c>
      <c r="F3153" t="n">
        <v>0.9995789227770107</v>
      </c>
      <c r="G3153" t="inlineStr">
        <is>
          <t>C</t>
        </is>
      </c>
      <c r="H3153" t="n">
        <v>29</v>
      </c>
      <c r="I3153" t="n">
        <v>0.3252662283</v>
      </c>
      <c r="J3153" t="n">
        <v>9.4327206207</v>
      </c>
      <c r="K3153" t="n">
        <v>0.2</v>
      </c>
      <c r="L3153" t="n">
        <v>145</v>
      </c>
      <c r="M3153" t="n">
        <v>4</v>
      </c>
      <c r="N3153" t="n">
        <v>0.8</v>
      </c>
      <c r="O3153" t="n">
        <v>28.2</v>
      </c>
      <c r="P3153" t="n">
        <v>9.172507638060001</v>
      </c>
      <c r="Q3153" t="n">
        <v>0.9724137931034484</v>
      </c>
      <c r="R3153" t="inlineStr">
        <is>
          <t>Sobrestock crítico</t>
        </is>
      </c>
    </row>
    <row r="3154">
      <c r="A3154" t="inlineStr">
        <is>
          <t>SHOSUKI54T6</t>
        </is>
      </c>
      <c r="B3154" t="inlineStr">
        <is>
          <t>SHORT PLAYA ESTAMPADO KIDS</t>
        </is>
      </c>
      <c r="C3154" t="inlineStr">
        <is>
          <t>Manufactura / Kids / P. Superiores</t>
        </is>
      </c>
      <c r="D3154" t="n">
        <v>24.77726166</v>
      </c>
      <c r="E3154" t="n">
        <v>6.066280674087103e-06</v>
      </c>
      <c r="F3154" t="n">
        <v>0.9995849890576848</v>
      </c>
      <c r="G3154" t="inlineStr">
        <is>
          <t>C</t>
        </is>
      </c>
      <c r="H3154" t="n">
        <v>0</v>
      </c>
      <c r="I3154" t="n">
        <v>7.21</v>
      </c>
      <c r="J3154" t="n">
        <v>0</v>
      </c>
      <c r="K3154" t="n">
        <v>0.1</v>
      </c>
      <c r="L3154" t="n">
        <v>0</v>
      </c>
      <c r="M3154" t="n">
        <v>4</v>
      </c>
      <c r="N3154" t="n">
        <v>0.4</v>
      </c>
      <c r="O3154" t="n">
        <v>0</v>
      </c>
      <c r="P3154" t="n">
        <v>0</v>
      </c>
      <c r="Q3154" t="n">
        <v>0</v>
      </c>
      <c r="R3154" t="inlineStr">
        <is>
          <t>Sin rotación</t>
        </is>
      </c>
    </row>
    <row r="3155">
      <c r="A3155" t="inlineStr">
        <is>
          <t>MAFMIDA12TS</t>
        </is>
      </c>
      <c r="B3155" t="inlineStr">
        <is>
          <t>MAFE ORIGINAL DAMA</t>
        </is>
      </c>
      <c r="C3155" t="inlineStr">
        <is>
          <t>Manufactura / Dama / P. Superiores</t>
        </is>
      </c>
      <c r="D3155" t="n">
        <v>24.62262815</v>
      </c>
      <c r="E3155" t="n">
        <v>6.028421354273985e-06</v>
      </c>
      <c r="F3155" t="n">
        <v>0.999591017479039</v>
      </c>
      <c r="G3155" t="inlineStr">
        <is>
          <t>C</t>
        </is>
      </c>
      <c r="H3155" t="n">
        <v>1</v>
      </c>
      <c r="I3155" t="n">
        <v>4.54817671</v>
      </c>
      <c r="J3155" t="n">
        <v>4.54817671</v>
      </c>
      <c r="K3155" t="n">
        <v>0.1</v>
      </c>
      <c r="L3155" t="n">
        <v>10</v>
      </c>
      <c r="M3155" t="n">
        <v>4</v>
      </c>
      <c r="N3155" t="n">
        <v>0.4</v>
      </c>
      <c r="O3155" t="n">
        <v>0.6</v>
      </c>
      <c r="P3155" t="n">
        <v>2.728906026</v>
      </c>
      <c r="Q3155" t="n">
        <v>0.6</v>
      </c>
      <c r="R3155" t="inlineStr">
        <is>
          <t>Sobrestock crítico</t>
        </is>
      </c>
    </row>
    <row r="3156">
      <c r="A3156" t="inlineStr">
        <is>
          <t>DANMIKI70T8</t>
        </is>
      </c>
      <c r="B3156" t="inlineStr">
        <is>
          <t>DANI ORIGINAL KIDS</t>
        </is>
      </c>
      <c r="C3156" t="inlineStr">
        <is>
          <t>Manufactura / Kids / P. Superiores</t>
        </is>
      </c>
      <c r="D3156" t="n">
        <v>24.61185686</v>
      </c>
      <c r="E3156" t="n">
        <v>6.025784191650503e-06</v>
      </c>
      <c r="F3156" t="n">
        <v>0.9995970432632306</v>
      </c>
      <c r="G3156" t="inlineStr">
        <is>
          <t>C</t>
        </is>
      </c>
      <c r="H3156" t="n">
        <v>4</v>
      </c>
      <c r="I3156" t="n">
        <v>3.549999999999999</v>
      </c>
      <c r="J3156" t="n">
        <v>14.2</v>
      </c>
      <c r="K3156" t="n">
        <v>0.1</v>
      </c>
      <c r="L3156" t="n">
        <v>40</v>
      </c>
      <c r="M3156" t="n">
        <v>4</v>
      </c>
      <c r="N3156" t="n">
        <v>0.4</v>
      </c>
      <c r="O3156" t="n">
        <v>3.6</v>
      </c>
      <c r="P3156" t="n">
        <v>12.78</v>
      </c>
      <c r="Q3156" t="n">
        <v>0.9</v>
      </c>
      <c r="R3156" t="inlineStr">
        <is>
          <t>Sobrestock crítico</t>
        </is>
      </c>
    </row>
    <row r="3157">
      <c r="A3157" t="inlineStr">
        <is>
          <t>BUFMIGE52TUN</t>
        </is>
      </c>
      <c r="B3157" t="inlineStr">
        <is>
          <t>FLEX COVER</t>
        </is>
      </c>
      <c r="C3157" t="inlineStr">
        <is>
          <t>Manufactura / General</t>
        </is>
      </c>
      <c r="D3157" t="n">
        <v>24.574724081</v>
      </c>
      <c r="E3157" t="n">
        <v>6.016692877900262e-06</v>
      </c>
      <c r="F3157" t="n">
        <v>0.9996030599561084</v>
      </c>
      <c r="G3157" t="inlineStr">
        <is>
          <t>C</t>
        </is>
      </c>
      <c r="H3157" t="n">
        <v>5</v>
      </c>
      <c r="I3157" t="n">
        <v>2.21</v>
      </c>
      <c r="J3157" t="n">
        <v>11.05</v>
      </c>
      <c r="K3157" t="n">
        <v>0.2</v>
      </c>
      <c r="L3157" t="n">
        <v>25</v>
      </c>
      <c r="M3157" t="n">
        <v>4</v>
      </c>
      <c r="N3157" t="n">
        <v>0.8</v>
      </c>
      <c r="O3157" t="n">
        <v>4.2</v>
      </c>
      <c r="P3157" t="n">
        <v>9.282</v>
      </c>
      <c r="Q3157" t="n">
        <v>0.84</v>
      </c>
      <c r="R3157" t="inlineStr">
        <is>
          <t>Sobrestock crítico</t>
        </is>
      </c>
    </row>
    <row r="3158">
      <c r="A3158" t="inlineStr">
        <is>
          <t>MARMICA05TM</t>
        </is>
      </c>
      <c r="B3158" t="inlineStr">
        <is>
          <t>MAR ORIGINAL CAB</t>
        </is>
      </c>
      <c r="C3158" t="inlineStr">
        <is>
          <t>Manufactura / Caballero / P. Superiores</t>
        </is>
      </c>
      <c r="D3158" t="n">
        <v>24.3992917</v>
      </c>
      <c r="E3158" t="n">
        <v>5.973741317026712e-06</v>
      </c>
      <c r="F3158" t="n">
        <v>0.9996090336974256</v>
      </c>
      <c r="G3158" t="inlineStr">
        <is>
          <t>C</t>
        </is>
      </c>
      <c r="H3158" t="n">
        <v>0</v>
      </c>
      <c r="I3158" t="n">
        <v>4.946357428</v>
      </c>
      <c r="J3158" t="n">
        <v>0</v>
      </c>
      <c r="K3158" t="n">
        <v>0.1</v>
      </c>
      <c r="L3158" t="n">
        <v>0</v>
      </c>
      <c r="M3158" t="n">
        <v>4</v>
      </c>
      <c r="N3158" t="n">
        <v>0.4</v>
      </c>
      <c r="O3158" t="n">
        <v>0</v>
      </c>
      <c r="P3158" t="n">
        <v>0</v>
      </c>
      <c r="Q3158" t="n">
        <v>0</v>
      </c>
      <c r="R3158" t="inlineStr">
        <is>
          <t>Sin rotación</t>
        </is>
      </c>
    </row>
    <row r="3159">
      <c r="A3159" t="inlineStr">
        <is>
          <t>CLASTKI43T2</t>
        </is>
      </c>
      <c r="B3159" t="inlineStr">
        <is>
          <t>CLASICA ALGODON STRETCH KIDS</t>
        </is>
      </c>
      <c r="C3159" t="inlineStr">
        <is>
          <t>Manufactura / Dama / P. Superiores</t>
        </is>
      </c>
      <c r="D3159" t="n">
        <v>24.36731938</v>
      </c>
      <c r="E3159" t="n">
        <v>5.965913451720884e-06</v>
      </c>
      <c r="F3159" t="n">
        <v>0.9996149996108773</v>
      </c>
      <c r="G3159" t="inlineStr">
        <is>
          <t>C</t>
        </is>
      </c>
      <c r="H3159" t="n">
        <v>0</v>
      </c>
      <c r="I3159" t="n">
        <v>9.27</v>
      </c>
      <c r="J3159" t="n">
        <v>0</v>
      </c>
      <c r="K3159" t="n">
        <v>0.1</v>
      </c>
      <c r="L3159" t="n">
        <v>0</v>
      </c>
      <c r="M3159" t="n">
        <v>4</v>
      </c>
      <c r="N3159" t="n">
        <v>0.4</v>
      </c>
      <c r="O3159" t="n">
        <v>0</v>
      </c>
      <c r="P3159" t="n">
        <v>0</v>
      </c>
      <c r="Q3159" t="n">
        <v>0</v>
      </c>
      <c r="R3159" t="inlineStr">
        <is>
          <t>Sin rotación</t>
        </is>
      </c>
    </row>
    <row r="3160">
      <c r="A3160" t="inlineStr">
        <is>
          <t>PETMIPE11TXL</t>
        </is>
      </c>
      <c r="B3160" t="inlineStr">
        <is>
          <t>BANDANA PET</t>
        </is>
      </c>
      <c r="C3160" t="inlineStr">
        <is>
          <t>Manufactura / General</t>
        </is>
      </c>
      <c r="D3160" t="n">
        <v>24.00040707</v>
      </c>
      <c r="E3160" t="n">
        <v>5.876081367539002e-06</v>
      </c>
      <c r="F3160" t="n">
        <v>0.9996208756922448</v>
      </c>
      <c r="G3160" t="inlineStr">
        <is>
          <t>C</t>
        </is>
      </c>
      <c r="H3160" t="n">
        <v>0</v>
      </c>
      <c r="I3160" t="n">
        <v>0.3252662283</v>
      </c>
      <c r="J3160" t="n">
        <v>0</v>
      </c>
      <c r="K3160" t="n">
        <v>0.2</v>
      </c>
      <c r="L3160" t="n">
        <v>0</v>
      </c>
      <c r="M3160" t="n">
        <v>4</v>
      </c>
      <c r="N3160" t="n">
        <v>0.8</v>
      </c>
      <c r="O3160" t="n">
        <v>0</v>
      </c>
      <c r="P3160" t="n">
        <v>0</v>
      </c>
      <c r="Q3160" t="n">
        <v>0</v>
      </c>
      <c r="R3160" t="inlineStr">
        <is>
          <t>Riesgo bajo stock</t>
        </is>
      </c>
    </row>
    <row r="3161">
      <c r="A3161" t="inlineStr">
        <is>
          <t>PETMIPE30TS</t>
        </is>
      </c>
      <c r="B3161" t="inlineStr">
        <is>
          <t>BANDANA PET</t>
        </is>
      </c>
      <c r="C3161" t="inlineStr">
        <is>
          <t>Manufactura / General</t>
        </is>
      </c>
      <c r="D3161" t="n">
        <v>24</v>
      </c>
      <c r="E3161" t="n">
        <v>5.875981703544332e-06</v>
      </c>
      <c r="F3161" t="n">
        <v>0.9996267516739483</v>
      </c>
      <c r="G3161" t="inlineStr">
        <is>
          <t>C</t>
        </is>
      </c>
      <c r="H3161" t="n">
        <v>9</v>
      </c>
      <c r="I3161" t="n">
        <v>0.3252662283</v>
      </c>
      <c r="J3161" t="n">
        <v>2.9273960547</v>
      </c>
      <c r="K3161" t="n">
        <v>1</v>
      </c>
      <c r="L3161" t="n">
        <v>9</v>
      </c>
      <c r="M3161" t="n">
        <v>4</v>
      </c>
      <c r="N3161" t="n">
        <v>4</v>
      </c>
      <c r="O3161" t="n">
        <v>5</v>
      </c>
      <c r="P3161" t="n">
        <v>1.6263311415</v>
      </c>
      <c r="Q3161" t="n">
        <v>0.5555555555555556</v>
      </c>
      <c r="R3161" t="inlineStr">
        <is>
          <t>Sobrestock crítico</t>
        </is>
      </c>
    </row>
    <row r="3162">
      <c r="A3162" t="inlineStr">
        <is>
          <t>AVESTKI30T12</t>
        </is>
      </c>
      <c r="B3162" t="inlineStr">
        <is>
          <t>CLASICA RETRO KIDS</t>
        </is>
      </c>
      <c r="C3162" t="inlineStr">
        <is>
          <t>Manufactura / Dama / P. Superiores</t>
        </is>
      </c>
      <c r="D3162" t="n">
        <v>23.97972592</v>
      </c>
      <c r="E3162" t="n">
        <v>5.871017948413658e-06</v>
      </c>
      <c r="F3162" t="n">
        <v>0.9996326226918968</v>
      </c>
      <c r="G3162" t="inlineStr">
        <is>
          <t>C</t>
        </is>
      </c>
      <c r="H3162" t="n">
        <v>0</v>
      </c>
      <c r="I3162" t="n">
        <v>1</v>
      </c>
      <c r="J3162" t="n">
        <v>0</v>
      </c>
      <c r="K3162" t="n">
        <v>0.1</v>
      </c>
      <c r="L3162" t="n">
        <v>0</v>
      </c>
      <c r="M3162" t="n">
        <v>4</v>
      </c>
      <c r="N3162" t="n">
        <v>0.4</v>
      </c>
      <c r="O3162" t="n">
        <v>0</v>
      </c>
      <c r="P3162" t="n">
        <v>0</v>
      </c>
      <c r="Q3162" t="n">
        <v>0</v>
      </c>
      <c r="R3162" t="inlineStr">
        <is>
          <t>Sin rotación</t>
        </is>
      </c>
    </row>
    <row r="3163">
      <c r="A3163" t="inlineStr">
        <is>
          <t>CLAMIKI09T8</t>
        </is>
      </c>
      <c r="B3163" t="inlineStr">
        <is>
          <t>CLASICA ORIGINAL KIDS</t>
        </is>
      </c>
      <c r="C3163" t="inlineStr">
        <is>
          <t>Manufactura / Kids / P. Superiores</t>
        </is>
      </c>
      <c r="D3163" t="n">
        <v>23.95133941</v>
      </c>
      <c r="E3163" t="n">
        <v>5.864068006189179e-06</v>
      </c>
      <c r="F3163" t="n">
        <v>0.999638486759903</v>
      </c>
      <c r="G3163" t="inlineStr">
        <is>
          <t>C</t>
        </is>
      </c>
      <c r="H3163" t="n">
        <v>0</v>
      </c>
      <c r="I3163" t="n">
        <v>2.053774806</v>
      </c>
      <c r="J3163" t="n">
        <v>0</v>
      </c>
      <c r="K3163" t="n">
        <v>0.1</v>
      </c>
      <c r="L3163" t="n">
        <v>0</v>
      </c>
      <c r="M3163" t="n">
        <v>4</v>
      </c>
      <c r="N3163" t="n">
        <v>0.4</v>
      </c>
      <c r="O3163" t="n">
        <v>0</v>
      </c>
      <c r="P3163" t="n">
        <v>0</v>
      </c>
      <c r="Q3163" t="n">
        <v>0</v>
      </c>
      <c r="R3163" t="inlineStr">
        <is>
          <t>Sin rotación</t>
        </is>
      </c>
    </row>
    <row r="3164">
      <c r="A3164" t="inlineStr">
        <is>
          <t>CLAMIKI39T4</t>
        </is>
      </c>
      <c r="B3164" t="inlineStr">
        <is>
          <t>CLASICA ORIGINAL KIDS</t>
        </is>
      </c>
      <c r="C3164" t="inlineStr">
        <is>
          <t>Manufactura / Kids / P. Superiores</t>
        </is>
      </c>
      <c r="D3164" t="n">
        <v>23.71159917</v>
      </c>
      <c r="E3164" t="n">
        <v>5.805371786862374e-06</v>
      </c>
      <c r="F3164" t="n">
        <v>0.9996442921316898</v>
      </c>
      <c r="G3164" t="inlineStr">
        <is>
          <t>C</t>
        </is>
      </c>
      <c r="H3164" t="n">
        <v>0</v>
      </c>
      <c r="I3164" t="n">
        <v>2.053774806</v>
      </c>
      <c r="J3164" t="n">
        <v>0</v>
      </c>
      <c r="K3164" t="n">
        <v>0.1</v>
      </c>
      <c r="L3164" t="n">
        <v>0</v>
      </c>
      <c r="M3164" t="n">
        <v>4</v>
      </c>
      <c r="N3164" t="n">
        <v>0.4</v>
      </c>
      <c r="O3164" t="n">
        <v>0</v>
      </c>
      <c r="P3164" t="n">
        <v>0</v>
      </c>
      <c r="Q3164" t="n">
        <v>0</v>
      </c>
      <c r="R3164" t="inlineStr">
        <is>
          <t>Sin rotación</t>
        </is>
      </c>
    </row>
    <row r="3165">
      <c r="A3165" t="inlineStr">
        <is>
          <t>DANMIKI52T10</t>
        </is>
      </c>
      <c r="B3165" t="inlineStr">
        <is>
          <t>DANI ORIGINAL KIDS</t>
        </is>
      </c>
      <c r="C3165" t="inlineStr">
        <is>
          <t>Manufactura / Kids / P. Superiores</t>
        </is>
      </c>
      <c r="D3165" t="n">
        <v>23.25160791</v>
      </c>
      <c r="E3165" t="n">
        <v>5.692750944047778e-06</v>
      </c>
      <c r="F3165" t="n">
        <v>0.9996499848826339</v>
      </c>
      <c r="G3165" t="inlineStr">
        <is>
          <t>C</t>
        </is>
      </c>
      <c r="H3165" t="n">
        <v>0</v>
      </c>
      <c r="I3165" t="n">
        <v>3.55</v>
      </c>
      <c r="J3165" t="n">
        <v>0</v>
      </c>
      <c r="K3165" t="n">
        <v>0.1</v>
      </c>
      <c r="L3165" t="n">
        <v>0</v>
      </c>
      <c r="M3165" t="n">
        <v>4</v>
      </c>
      <c r="N3165" t="n">
        <v>0.4</v>
      </c>
      <c r="O3165" t="n">
        <v>0</v>
      </c>
      <c r="P3165" t="n">
        <v>0</v>
      </c>
      <c r="Q3165" t="n">
        <v>0</v>
      </c>
      <c r="R3165" t="inlineStr">
        <is>
          <t>Sin rotación</t>
        </is>
      </c>
    </row>
    <row r="3166">
      <c r="A3166" t="inlineStr">
        <is>
          <t>TRISTCA16TXL</t>
        </is>
      </c>
      <c r="B3166" t="inlineStr">
        <is>
          <t>RETRO VZLA CAB</t>
        </is>
      </c>
      <c r="C3166" t="inlineStr">
        <is>
          <t>Manufactura / Caballero / P. Superiores</t>
        </is>
      </c>
      <c r="D3166" t="n">
        <v>23.2483658</v>
      </c>
      <c r="E3166" t="n">
        <v>5.691957169921074e-06</v>
      </c>
      <c r="F3166" t="n">
        <v>0.9996556768398038</v>
      </c>
      <c r="G3166" t="inlineStr">
        <is>
          <t>C</t>
        </is>
      </c>
      <c r="H3166" t="n">
        <v>0</v>
      </c>
      <c r="I3166" t="n">
        <v>12.9</v>
      </c>
      <c r="J3166" t="n">
        <v>0</v>
      </c>
      <c r="K3166" t="n">
        <v>0.1</v>
      </c>
      <c r="L3166" t="n">
        <v>0</v>
      </c>
      <c r="M3166" t="n">
        <v>4</v>
      </c>
      <c r="N3166" t="n">
        <v>0.4</v>
      </c>
      <c r="O3166" t="n">
        <v>0</v>
      </c>
      <c r="P3166" t="n">
        <v>0</v>
      </c>
      <c r="Q3166" t="n">
        <v>0</v>
      </c>
      <c r="R3166" t="inlineStr">
        <is>
          <t>Sin rotación</t>
        </is>
      </c>
    </row>
    <row r="3167">
      <c r="A3167" t="inlineStr">
        <is>
          <t>DANMIKI53T8</t>
        </is>
      </c>
      <c r="B3167" t="inlineStr">
        <is>
          <t>DANI ORIGINAL KIDS</t>
        </is>
      </c>
      <c r="C3167" t="inlineStr">
        <is>
          <t>Manufactura / Kids / P. Superiores</t>
        </is>
      </c>
      <c r="D3167" t="n">
        <v>23.15769763</v>
      </c>
      <c r="E3167" t="n">
        <v>5.669758648753832e-06</v>
      </c>
      <c r="F3167" t="n">
        <v>0.9996613465984526</v>
      </c>
      <c r="G3167" t="inlineStr">
        <is>
          <t>C</t>
        </is>
      </c>
      <c r="H3167" t="n">
        <v>0</v>
      </c>
      <c r="I3167" t="n">
        <v>3.55</v>
      </c>
      <c r="J3167" t="n">
        <v>0</v>
      </c>
      <c r="K3167" t="n">
        <v>0.1</v>
      </c>
      <c r="L3167" t="n">
        <v>0</v>
      </c>
      <c r="M3167" t="n">
        <v>4</v>
      </c>
      <c r="N3167" t="n">
        <v>0.4</v>
      </c>
      <c r="O3167" t="n">
        <v>0</v>
      </c>
      <c r="P3167" t="n">
        <v>0</v>
      </c>
      <c r="Q3167" t="n">
        <v>0</v>
      </c>
      <c r="R3167" t="inlineStr">
        <is>
          <t>Sin rotación</t>
        </is>
      </c>
    </row>
    <row r="3168">
      <c r="A3168" t="inlineStr">
        <is>
          <t>MAFMIDA39TXL</t>
        </is>
      </c>
      <c r="B3168" t="inlineStr">
        <is>
          <t>MAFE ORIGINAL DAMA</t>
        </is>
      </c>
      <c r="C3168" t="inlineStr">
        <is>
          <t>Manufactura / Dama / P. Superiores</t>
        </is>
      </c>
      <c r="D3168" t="n">
        <v>22.97836546</v>
      </c>
      <c r="E3168" t="n">
        <v>5.625852292513127e-06</v>
      </c>
      <c r="F3168" t="n">
        <v>0.9996725983030376</v>
      </c>
      <c r="G3168" t="inlineStr">
        <is>
          <t>C</t>
        </is>
      </c>
      <c r="H3168" t="n">
        <v>0</v>
      </c>
      <c r="I3168" t="n">
        <v>4.54817671</v>
      </c>
      <c r="J3168" t="n">
        <v>0</v>
      </c>
      <c r="K3168" t="n">
        <v>0.1</v>
      </c>
      <c r="L3168" t="n">
        <v>0</v>
      </c>
      <c r="M3168" t="n">
        <v>4</v>
      </c>
      <c r="N3168" t="n">
        <v>0.4</v>
      </c>
      <c r="O3168" t="n">
        <v>0</v>
      </c>
      <c r="P3168" t="n">
        <v>0</v>
      </c>
      <c r="Q3168" t="n">
        <v>0</v>
      </c>
      <c r="R3168" t="inlineStr">
        <is>
          <t>Sin rotación</t>
        </is>
      </c>
    </row>
    <row r="3169">
      <c r="A3169" t="inlineStr">
        <is>
          <t>MAFMIDA28TXL</t>
        </is>
      </c>
      <c r="B3169" t="inlineStr">
        <is>
          <t>MAFE ORIGINAL DAMA</t>
        </is>
      </c>
      <c r="C3169" t="inlineStr">
        <is>
          <t>Manufactura / Dama / P. Superiores</t>
        </is>
      </c>
      <c r="D3169" t="n">
        <v>22.97836546</v>
      </c>
      <c r="E3169" t="n">
        <v>5.625852292513127e-06</v>
      </c>
      <c r="F3169" t="n">
        <v>0.9996725983030376</v>
      </c>
      <c r="G3169" t="inlineStr">
        <is>
          <t>C</t>
        </is>
      </c>
      <c r="H3169" t="n">
        <v>0</v>
      </c>
      <c r="I3169" t="n">
        <v>4.54817671</v>
      </c>
      <c r="J3169" t="n">
        <v>0</v>
      </c>
      <c r="K3169" t="n">
        <v>0.1</v>
      </c>
      <c r="L3169" t="n">
        <v>0</v>
      </c>
      <c r="M3169" t="n">
        <v>4</v>
      </c>
      <c r="N3169" t="n">
        <v>0.4</v>
      </c>
      <c r="O3169" t="n">
        <v>0</v>
      </c>
      <c r="P3169" t="n">
        <v>0</v>
      </c>
      <c r="Q3169" t="n">
        <v>0</v>
      </c>
      <c r="R3169" t="inlineStr">
        <is>
          <t>Sin rotación</t>
        </is>
      </c>
    </row>
    <row r="3170">
      <c r="A3170" t="inlineStr">
        <is>
          <t>SHONRDA43TM</t>
        </is>
      </c>
      <c r="B3170" t="inlineStr">
        <is>
          <t>SHORT SPORT DAMA</t>
        </is>
      </c>
      <c r="C3170" t="inlineStr">
        <is>
          <t>Manufactura / Dama / P. Inferiores</t>
        </is>
      </c>
      <c r="D3170" t="n">
        <v>22.78117488</v>
      </c>
      <c r="E3170" t="n">
        <v>5.577573615838489e-06</v>
      </c>
      <c r="F3170" t="n">
        <v>0.9996781758766534</v>
      </c>
      <c r="G3170" t="inlineStr">
        <is>
          <t>C</t>
        </is>
      </c>
      <c r="H3170" t="n">
        <v>0</v>
      </c>
      <c r="I3170" t="n">
        <v>10.6514486</v>
      </c>
      <c r="J3170" t="n">
        <v>0</v>
      </c>
      <c r="K3170" t="n">
        <v>0.1</v>
      </c>
      <c r="L3170" t="n">
        <v>0</v>
      </c>
      <c r="M3170" t="n">
        <v>4</v>
      </c>
      <c r="N3170" t="n">
        <v>0.4</v>
      </c>
      <c r="O3170" t="n">
        <v>0</v>
      </c>
      <c r="P3170" t="n">
        <v>0</v>
      </c>
      <c r="Q3170" t="n">
        <v>0</v>
      </c>
      <c r="R3170" t="inlineStr">
        <is>
          <t>Sin rotación</t>
        </is>
      </c>
    </row>
    <row r="3171">
      <c r="A3171" t="inlineStr">
        <is>
          <t>DANMIKI09T8</t>
        </is>
      </c>
      <c r="B3171" t="inlineStr">
        <is>
          <t>DANI ORIGINAL KIDS</t>
        </is>
      </c>
      <c r="C3171" t="inlineStr">
        <is>
          <t>Manufactura / Kids / P. Superiores</t>
        </is>
      </c>
      <c r="D3171" t="n">
        <v>22.71425994</v>
      </c>
      <c r="E3171" t="n">
        <v>5.561190659041249e-06</v>
      </c>
      <c r="F3171" t="n">
        <v>0.9996837370673125</v>
      </c>
      <c r="G3171" t="inlineStr">
        <is>
          <t>C</t>
        </is>
      </c>
      <c r="H3171" t="n">
        <v>0</v>
      </c>
      <c r="I3171" t="n">
        <v>3.55</v>
      </c>
      <c r="J3171" t="n">
        <v>0</v>
      </c>
      <c r="K3171" t="n">
        <v>0.1</v>
      </c>
      <c r="L3171" t="n">
        <v>0</v>
      </c>
      <c r="M3171" t="n">
        <v>4</v>
      </c>
      <c r="N3171" t="n">
        <v>0.4</v>
      </c>
      <c r="O3171" t="n">
        <v>0</v>
      </c>
      <c r="P3171" t="n">
        <v>0</v>
      </c>
      <c r="Q3171" t="n">
        <v>0</v>
      </c>
      <c r="R3171" t="inlineStr">
        <is>
          <t>Sin rotación</t>
        </is>
      </c>
    </row>
    <row r="3172">
      <c r="A3172" t="inlineStr">
        <is>
          <t>BAN30EL</t>
        </is>
      </c>
      <c r="B3172" t="inlineStr">
        <is>
          <t>CUADRO BAND ELASTIC</t>
        </is>
      </c>
      <c r="C3172" t="inlineStr">
        <is>
          <t>Equipamiento / Accesorios</t>
        </is>
      </c>
      <c r="D3172" t="n">
        <v>22.691648192</v>
      </c>
      <c r="E3172" t="n">
        <v>5.555654566644034e-06</v>
      </c>
      <c r="F3172" t="n">
        <v>0.9996892927218791</v>
      </c>
      <c r="G3172" t="inlineStr">
        <is>
          <t>C</t>
        </is>
      </c>
      <c r="H3172" t="n">
        <v>116</v>
      </c>
      <c r="I3172" t="n">
        <v>0.3</v>
      </c>
      <c r="J3172" t="n">
        <v>34.8</v>
      </c>
      <c r="K3172" t="n">
        <v>1</v>
      </c>
      <c r="L3172" t="n">
        <v>116</v>
      </c>
      <c r="M3172" t="n">
        <v>4</v>
      </c>
      <c r="N3172" t="n">
        <v>4</v>
      </c>
      <c r="O3172" t="n">
        <v>112</v>
      </c>
      <c r="P3172" t="n">
        <v>33.6</v>
      </c>
      <c r="Q3172" t="n">
        <v>0.9655172413793105</v>
      </c>
      <c r="R3172" t="inlineStr">
        <is>
          <t>Sobrestock crítico</t>
        </is>
      </c>
    </row>
    <row r="3173">
      <c r="A3173" t="inlineStr">
        <is>
          <t>BUFMIGE13TUN</t>
        </is>
      </c>
      <c r="B3173" t="inlineStr">
        <is>
          <t>FLEX COVER</t>
        </is>
      </c>
      <c r="C3173" t="inlineStr">
        <is>
          <t>Manufactura / General</t>
        </is>
      </c>
      <c r="D3173" t="n">
        <v>22.523567771</v>
      </c>
      <c r="E3173" t="n">
        <v>5.514503005039033e-06</v>
      </c>
      <c r="F3173" t="n">
        <v>0.9997003217278893</v>
      </c>
      <c r="G3173" t="inlineStr">
        <is>
          <t>C</t>
        </is>
      </c>
      <c r="H3173" t="n">
        <v>0</v>
      </c>
      <c r="I3173" t="n">
        <v>2.21</v>
      </c>
      <c r="J3173" t="n">
        <v>0</v>
      </c>
      <c r="K3173" t="n">
        <v>0.2</v>
      </c>
      <c r="L3173" t="n">
        <v>0</v>
      </c>
      <c r="M3173" t="n">
        <v>4</v>
      </c>
      <c r="N3173" t="n">
        <v>0.8</v>
      </c>
      <c r="O3173" t="n">
        <v>0</v>
      </c>
      <c r="P3173" t="n">
        <v>0</v>
      </c>
      <c r="Q3173" t="n">
        <v>0</v>
      </c>
      <c r="R3173" t="inlineStr">
        <is>
          <t>Riesgo bajo stock</t>
        </is>
      </c>
    </row>
    <row r="3174">
      <c r="A3174" t="inlineStr">
        <is>
          <t>BUFMIGE24TUN</t>
        </is>
      </c>
      <c r="B3174" t="inlineStr">
        <is>
          <t>FLEX COVER</t>
        </is>
      </c>
      <c r="C3174" t="inlineStr">
        <is>
          <t>Manufactura / General</t>
        </is>
      </c>
      <c r="D3174" t="n">
        <v>22.523567771</v>
      </c>
      <c r="E3174" t="n">
        <v>5.514503005039033e-06</v>
      </c>
      <c r="F3174" t="n">
        <v>0.9997003217278893</v>
      </c>
      <c r="G3174" t="inlineStr">
        <is>
          <t>C</t>
        </is>
      </c>
      <c r="H3174" t="n">
        <v>11</v>
      </c>
      <c r="I3174" t="n">
        <v>2.21</v>
      </c>
      <c r="J3174" t="n">
        <v>24.31</v>
      </c>
      <c r="K3174" t="n">
        <v>0.3</v>
      </c>
      <c r="L3174" t="n">
        <v>36.66666666666667</v>
      </c>
      <c r="M3174" t="n">
        <v>4</v>
      </c>
      <c r="N3174" t="n">
        <v>1.2</v>
      </c>
      <c r="O3174" t="n">
        <v>9.800000000000001</v>
      </c>
      <c r="P3174" t="n">
        <v>21.658</v>
      </c>
      <c r="Q3174" t="n">
        <v>0.890909090909091</v>
      </c>
      <c r="R3174" t="inlineStr">
        <is>
          <t>Sobrestock crítico</t>
        </is>
      </c>
    </row>
    <row r="3175">
      <c r="A3175" t="inlineStr">
        <is>
          <t>DANMIKI70T6</t>
        </is>
      </c>
      <c r="B3175" t="inlineStr">
        <is>
          <t>DANI ORIGINAL KIDS</t>
        </is>
      </c>
      <c r="C3175" t="inlineStr">
        <is>
          <t>Manufactura / Kids / P. Superiores</t>
        </is>
      </c>
      <c r="D3175" t="n">
        <v>22.5</v>
      </c>
      <c r="E3175" t="n">
        <v>5.508732847072812e-06</v>
      </c>
      <c r="F3175" t="n">
        <v>0.9997058304607362</v>
      </c>
      <c r="G3175" t="inlineStr">
        <is>
          <t>C</t>
        </is>
      </c>
      <c r="H3175" t="n">
        <v>2</v>
      </c>
      <c r="I3175" t="n">
        <v>3.55</v>
      </c>
      <c r="J3175" t="n">
        <v>7.1</v>
      </c>
      <c r="K3175" t="n">
        <v>0.1</v>
      </c>
      <c r="L3175" t="n">
        <v>20</v>
      </c>
      <c r="M3175" t="n">
        <v>4</v>
      </c>
      <c r="N3175" t="n">
        <v>0.4</v>
      </c>
      <c r="O3175" t="n">
        <v>1.6</v>
      </c>
      <c r="P3175" t="n">
        <v>5.68</v>
      </c>
      <c r="Q3175" t="n">
        <v>0.8</v>
      </c>
      <c r="R3175" t="inlineStr">
        <is>
          <t>Sobrestock crítico</t>
        </is>
      </c>
    </row>
    <row r="3176">
      <c r="A3176" t="inlineStr">
        <is>
          <t>PETMIPE66TXL</t>
        </is>
      </c>
      <c r="B3176" t="inlineStr">
        <is>
          <t>BANDANA PET</t>
        </is>
      </c>
      <c r="C3176" t="inlineStr">
        <is>
          <t>Manufactura / General</t>
        </is>
      </c>
      <c r="D3176" t="n">
        <v>22.40351946</v>
      </c>
      <c r="E3176" t="n">
        <v>5.485111268414974e-06</v>
      </c>
      <c r="F3176" t="n">
        <v>0.9997113155720047</v>
      </c>
      <c r="G3176" t="inlineStr">
        <is>
          <t>C</t>
        </is>
      </c>
      <c r="H3176" t="n">
        <v>0</v>
      </c>
      <c r="I3176" t="n">
        <v>0.3252662283</v>
      </c>
      <c r="J3176" t="n">
        <v>0</v>
      </c>
      <c r="K3176" t="n">
        <v>0.2</v>
      </c>
      <c r="L3176" t="n">
        <v>0</v>
      </c>
      <c r="M3176" t="n">
        <v>4</v>
      </c>
      <c r="N3176" t="n">
        <v>0.8</v>
      </c>
      <c r="O3176" t="n">
        <v>0</v>
      </c>
      <c r="P3176" t="n">
        <v>0</v>
      </c>
      <c r="Q3176" t="n">
        <v>0</v>
      </c>
      <c r="R3176" t="inlineStr">
        <is>
          <t>Riesgo bajo stock</t>
        </is>
      </c>
    </row>
    <row r="3177">
      <c r="A3177" t="inlineStr">
        <is>
          <t>ACDMIDA120TXL</t>
        </is>
      </c>
      <c r="B3177" t="inlineStr">
        <is>
          <t>DANI ACTIVE DAMA</t>
        </is>
      </c>
      <c r="C3177" t="inlineStr">
        <is>
          <t>Manufactura / Dama / P. Superiores</t>
        </is>
      </c>
      <c r="D3177" t="n">
        <v>22.18909534</v>
      </c>
      <c r="E3177" t="n">
        <v>5.432613259835034e-06</v>
      </c>
      <c r="F3177" t="n">
        <v>0.9997167481852645</v>
      </c>
      <c r="G3177" t="inlineStr">
        <is>
          <t>C</t>
        </is>
      </c>
      <c r="H3177" t="n">
        <v>2</v>
      </c>
      <c r="I3177" t="n">
        <v>9.82</v>
      </c>
      <c r="J3177" t="n">
        <v>19.64</v>
      </c>
      <c r="K3177" t="n">
        <v>0.1</v>
      </c>
      <c r="L3177" t="n">
        <v>20</v>
      </c>
      <c r="M3177" t="n">
        <v>4</v>
      </c>
      <c r="N3177" t="n">
        <v>0.4</v>
      </c>
      <c r="O3177" t="n">
        <v>1.6</v>
      </c>
      <c r="P3177" t="n">
        <v>15.712</v>
      </c>
      <c r="Q3177" t="n">
        <v>0.8</v>
      </c>
      <c r="R3177" t="inlineStr">
        <is>
          <t>Sin rotación</t>
        </is>
      </c>
    </row>
    <row r="3178">
      <c r="A3178" t="inlineStr">
        <is>
          <t>PETMIPE28TL</t>
        </is>
      </c>
      <c r="B3178" t="inlineStr">
        <is>
          <t>BANDANA PET</t>
        </is>
      </c>
      <c r="C3178" t="inlineStr">
        <is>
          <t>Manufactura / General</t>
        </is>
      </c>
      <c r="D3178" t="n">
        <v>22.083313791</v>
      </c>
      <c r="E3178" t="n">
        <v>5.40671449123101e-06</v>
      </c>
      <c r="F3178" t="n">
        <v>0.9997221548997557</v>
      </c>
      <c r="G3178" t="inlineStr">
        <is>
          <t>C</t>
        </is>
      </c>
      <c r="H3178" t="n">
        <v>0</v>
      </c>
      <c r="I3178" t="n">
        <v>0.3252662283</v>
      </c>
      <c r="J3178" t="n">
        <v>0</v>
      </c>
      <c r="K3178" t="n">
        <v>0.2</v>
      </c>
      <c r="L3178" t="n">
        <v>0</v>
      </c>
      <c r="M3178" t="n">
        <v>4</v>
      </c>
      <c r="N3178" t="n">
        <v>0.8</v>
      </c>
      <c r="O3178" t="n">
        <v>0</v>
      </c>
      <c r="P3178" t="n">
        <v>0</v>
      </c>
      <c r="Q3178" t="n">
        <v>0</v>
      </c>
      <c r="R3178" t="inlineStr">
        <is>
          <t>Riesgo bajo stock</t>
        </is>
      </c>
    </row>
    <row r="3179">
      <c r="A3179" t="inlineStr">
        <is>
          <t>COTFTDA31TXL</t>
        </is>
      </c>
      <c r="B3179" t="inlineStr">
        <is>
          <t>COTTON SWEATER DAMA</t>
        </is>
      </c>
      <c r="C3179" t="inlineStr">
        <is>
          <t>Manufactura / Dama / P. Superiores</t>
        </is>
      </c>
      <c r="D3179" t="n">
        <v>22.07630558</v>
      </c>
      <c r="E3179" t="n">
        <v>5.404998652913902e-06</v>
      </c>
      <c r="F3179" t="n">
        <v>0.9997275598984087</v>
      </c>
      <c r="G3179" t="inlineStr">
        <is>
          <t>C</t>
        </is>
      </c>
      <c r="H3179" t="n">
        <v>0</v>
      </c>
      <c r="I3179" t="n">
        <v>0</v>
      </c>
      <c r="J3179" t="n">
        <v>0</v>
      </c>
      <c r="K3179" t="n">
        <v>0.1</v>
      </c>
      <c r="L3179" t="n">
        <v>0</v>
      </c>
      <c r="M3179" t="n">
        <v>4</v>
      </c>
      <c r="N3179" t="n">
        <v>0.4</v>
      </c>
      <c r="O3179" t="n">
        <v>0</v>
      </c>
      <c r="P3179" t="n">
        <v>0</v>
      </c>
      <c r="Q3179" t="n">
        <v>0</v>
      </c>
      <c r="R3179" t="inlineStr">
        <is>
          <t>Sin rotación</t>
        </is>
      </c>
    </row>
    <row r="3180">
      <c r="A3180" t="inlineStr">
        <is>
          <t>PETMIPE28TS</t>
        </is>
      </c>
      <c r="B3180" t="inlineStr">
        <is>
          <t>BANDANA PET</t>
        </is>
      </c>
      <c r="C3180" t="inlineStr">
        <is>
          <t>Manufactura / General</t>
        </is>
      </c>
      <c r="D3180" t="n">
        <v>22.009985259</v>
      </c>
      <c r="E3180" t="n">
        <v>5.388761278215185e-06</v>
      </c>
      <c r="F3180" t="n">
        <v>0.9997329486596869</v>
      </c>
      <c r="G3180" t="inlineStr">
        <is>
          <t>C</t>
        </is>
      </c>
      <c r="H3180" t="n">
        <v>0</v>
      </c>
      <c r="I3180" t="n">
        <v>0.3252662283</v>
      </c>
      <c r="J3180" t="n">
        <v>0</v>
      </c>
      <c r="K3180" t="n">
        <v>0.3</v>
      </c>
      <c r="L3180" t="n">
        <v>0</v>
      </c>
      <c r="M3180" t="n">
        <v>4</v>
      </c>
      <c r="N3180" t="n">
        <v>1.2</v>
      </c>
      <c r="O3180" t="n">
        <v>0</v>
      </c>
      <c r="P3180" t="n">
        <v>0</v>
      </c>
      <c r="Q3180" t="n">
        <v>0</v>
      </c>
      <c r="R3180" t="inlineStr">
        <is>
          <t>Riesgo bajo stock</t>
        </is>
      </c>
    </row>
    <row r="3181">
      <c r="A3181" t="inlineStr">
        <is>
          <t>CLAMICA28TM</t>
        </is>
      </c>
      <c r="B3181" t="inlineStr">
        <is>
          <t>CLASICA ORIGINAL CAB</t>
        </is>
      </c>
      <c r="C3181" t="inlineStr">
        <is>
          <t>Manufactura / Caballero / P. Superiores</t>
        </is>
      </c>
      <c r="D3181" t="n">
        <v>21.81482818</v>
      </c>
      <c r="E3181" t="n">
        <v>5.340980468818471e-06</v>
      </c>
      <c r="F3181" t="n">
        <v>0.9997382896401558</v>
      </c>
      <c r="G3181" t="inlineStr">
        <is>
          <t>C</t>
        </is>
      </c>
      <c r="H3181" t="n">
        <v>0</v>
      </c>
      <c r="I3181" t="n">
        <v>4.598442536</v>
      </c>
      <c r="J3181" t="n">
        <v>0</v>
      </c>
      <c r="K3181" t="n">
        <v>0.2</v>
      </c>
      <c r="L3181" t="n">
        <v>0</v>
      </c>
      <c r="M3181" t="n">
        <v>4</v>
      </c>
      <c r="N3181" t="n">
        <v>0.8</v>
      </c>
      <c r="O3181" t="n">
        <v>0</v>
      </c>
      <c r="P3181" t="n">
        <v>0</v>
      </c>
      <c r="Q3181" t="n">
        <v>0</v>
      </c>
      <c r="R3181" t="inlineStr">
        <is>
          <t>Sin rotación</t>
        </is>
      </c>
    </row>
    <row r="3182">
      <c r="A3182" t="inlineStr">
        <is>
          <t>CRESTDA16TS</t>
        </is>
      </c>
      <c r="B3182" t="inlineStr">
        <is>
          <t>RETRO VZLA DAMA</t>
        </is>
      </c>
      <c r="C3182" t="inlineStr">
        <is>
          <t>Manufactura / Dama / P. Superiores</t>
        </is>
      </c>
      <c r="D3182" t="n">
        <v>21.65594724</v>
      </c>
      <c r="E3182" t="n">
        <v>5.30208123979839e-06</v>
      </c>
      <c r="F3182" t="n">
        <v>0.9997435917213955</v>
      </c>
      <c r="G3182" t="inlineStr">
        <is>
          <t>C</t>
        </is>
      </c>
      <c r="H3182" t="n">
        <v>0</v>
      </c>
      <c r="I3182" t="n">
        <v>11.23</v>
      </c>
      <c r="J3182" t="n">
        <v>0</v>
      </c>
      <c r="K3182" t="n">
        <v>0.1</v>
      </c>
      <c r="L3182" t="n">
        <v>0</v>
      </c>
      <c r="M3182" t="n">
        <v>4</v>
      </c>
      <c r="N3182" t="n">
        <v>0.4</v>
      </c>
      <c r="O3182" t="n">
        <v>0</v>
      </c>
      <c r="P3182" t="n">
        <v>0</v>
      </c>
      <c r="Q3182" t="n">
        <v>0</v>
      </c>
      <c r="R3182" t="inlineStr">
        <is>
          <t>Sin rotación</t>
        </is>
      </c>
    </row>
    <row r="3183">
      <c r="A3183" t="inlineStr">
        <is>
          <t>MANMIGE50TG</t>
        </is>
      </c>
      <c r="B3183" t="inlineStr">
        <is>
          <t>MANGAS GENERAL</t>
        </is>
      </c>
      <c r="C3183" t="inlineStr">
        <is>
          <t>Manufactura / General</t>
        </is>
      </c>
      <c r="D3183" t="n">
        <v>21.26870624</v>
      </c>
      <c r="E3183" t="n">
        <v>5.207272030179132e-06</v>
      </c>
      <c r="F3183" t="n">
        <v>0.9997487989934257</v>
      </c>
      <c r="G3183" t="inlineStr">
        <is>
          <t>C</t>
        </is>
      </c>
      <c r="H3183" t="n">
        <v>13</v>
      </c>
      <c r="I3183" t="n">
        <v>0.92</v>
      </c>
      <c r="J3183" t="n">
        <v>11.96</v>
      </c>
      <c r="K3183" t="n">
        <v>0.1</v>
      </c>
      <c r="L3183" t="n">
        <v>130</v>
      </c>
      <c r="M3183" t="n">
        <v>4</v>
      </c>
      <c r="N3183" t="n">
        <v>0.4</v>
      </c>
      <c r="O3183" t="n">
        <v>12.6</v>
      </c>
      <c r="P3183" t="n">
        <v>11.592</v>
      </c>
      <c r="Q3183" t="n">
        <v>0.9692307692307692</v>
      </c>
      <c r="R3183" t="inlineStr">
        <is>
          <t>Sin rotación</t>
        </is>
      </c>
    </row>
    <row r="3184">
      <c r="A3184" t="inlineStr">
        <is>
          <t>PETMIPE28TM</t>
        </is>
      </c>
      <c r="B3184" t="inlineStr">
        <is>
          <t>BANDANA PET</t>
        </is>
      </c>
      <c r="C3184" t="inlineStr">
        <is>
          <t>Manufactura / General</t>
        </is>
      </c>
      <c r="D3184" t="n">
        <v>21.057079338</v>
      </c>
      <c r="E3184" t="n">
        <v>5.155458871673725e-06</v>
      </c>
      <c r="F3184" t="n">
        <v>0.9997539544522974</v>
      </c>
      <c r="G3184" t="inlineStr">
        <is>
          <t>C</t>
        </is>
      </c>
      <c r="H3184" t="n">
        <v>0</v>
      </c>
      <c r="I3184" t="n">
        <v>0.3252662283</v>
      </c>
      <c r="J3184" t="n">
        <v>0</v>
      </c>
      <c r="K3184" t="n">
        <v>0.4</v>
      </c>
      <c r="L3184" t="n">
        <v>0</v>
      </c>
      <c r="M3184" t="n">
        <v>4</v>
      </c>
      <c r="N3184" t="n">
        <v>1.6</v>
      </c>
      <c r="O3184" t="n">
        <v>0</v>
      </c>
      <c r="P3184" t="n">
        <v>0</v>
      </c>
      <c r="Q3184" t="n">
        <v>0</v>
      </c>
      <c r="R3184" t="inlineStr">
        <is>
          <t>Riesgo bajo stock</t>
        </is>
      </c>
    </row>
    <row r="3185">
      <c r="A3185" t="inlineStr">
        <is>
          <t>DANMIKI04T6</t>
        </is>
      </c>
      <c r="B3185" t="inlineStr">
        <is>
          <t>DANI ORIGINAL KIDS</t>
        </is>
      </c>
      <c r="C3185" t="inlineStr">
        <is>
          <t>Manufactura / Kids / P. Superiores</t>
        </is>
      </c>
      <c r="D3185" t="n">
        <v>20.97887715</v>
      </c>
      <c r="E3185" t="n">
        <v>5.136312428929344e-06</v>
      </c>
      <c r="F3185" t="n">
        <v>0.9997590907647262</v>
      </c>
      <c r="G3185" t="inlineStr">
        <is>
          <t>C</t>
        </is>
      </c>
      <c r="H3185" t="n">
        <v>1</v>
      </c>
      <c r="I3185" t="n">
        <v>3.549999999999999</v>
      </c>
      <c r="J3185" t="n">
        <v>3.549999999999999</v>
      </c>
      <c r="K3185" t="n">
        <v>0.1</v>
      </c>
      <c r="L3185" t="n">
        <v>10</v>
      </c>
      <c r="M3185" t="n">
        <v>4</v>
      </c>
      <c r="N3185" t="n">
        <v>0.4</v>
      </c>
      <c r="O3185" t="n">
        <v>0.6</v>
      </c>
      <c r="P3185" t="n">
        <v>2.129999999999999</v>
      </c>
      <c r="Q3185" t="n">
        <v>0.6</v>
      </c>
      <c r="R3185" t="inlineStr">
        <is>
          <t>Sobrestock crítico</t>
        </is>
      </c>
    </row>
    <row r="3186">
      <c r="A3186" t="inlineStr">
        <is>
          <t>201STDA30TXS</t>
        </is>
      </c>
      <c r="B3186" t="inlineStr">
        <is>
          <t>RETRO VZLA DAMA</t>
        </is>
      </c>
      <c r="C3186" t="inlineStr">
        <is>
          <t>Manufactura / Dama / P. Superiores</t>
        </is>
      </c>
      <c r="D3186" t="n">
        <v>20.65266712</v>
      </c>
      <c r="E3186" t="n">
        <v>5.05644558860465e-06</v>
      </c>
      <c r="F3186" t="n">
        <v>0.9997641472103149</v>
      </c>
      <c r="G3186" t="inlineStr">
        <is>
          <t>C</t>
        </is>
      </c>
      <c r="H3186" t="n">
        <v>0</v>
      </c>
      <c r="I3186" t="n">
        <v>11.23</v>
      </c>
      <c r="J3186" t="n">
        <v>0</v>
      </c>
      <c r="K3186" t="n">
        <v>0.1</v>
      </c>
      <c r="L3186" t="n">
        <v>0</v>
      </c>
      <c r="M3186" t="n">
        <v>4</v>
      </c>
      <c r="N3186" t="n">
        <v>0.4</v>
      </c>
      <c r="O3186" t="n">
        <v>0</v>
      </c>
      <c r="P3186" t="n">
        <v>0</v>
      </c>
      <c r="Q3186" t="n">
        <v>0</v>
      </c>
      <c r="R3186" t="inlineStr">
        <is>
          <t>Sin rotación</t>
        </is>
      </c>
    </row>
    <row r="3187">
      <c r="A3187" t="inlineStr">
        <is>
          <t>DANMIKI28T8</t>
        </is>
      </c>
      <c r="B3187" t="inlineStr">
        <is>
          <t>DANI ORIGINAL KIDS</t>
        </is>
      </c>
      <c r="C3187" t="inlineStr">
        <is>
          <t>Manufactura / Kids / P. Superiores</t>
        </is>
      </c>
      <c r="D3187" t="n">
        <v>20.6476955</v>
      </c>
      <c r="E3187" t="n">
        <v>5.05522837409811e-06</v>
      </c>
      <c r="F3187" t="n">
        <v>0.9997692024386889</v>
      </c>
      <c r="G3187" t="inlineStr">
        <is>
          <t>C</t>
        </is>
      </c>
      <c r="H3187" t="n">
        <v>0</v>
      </c>
      <c r="I3187" t="n">
        <v>3.55</v>
      </c>
      <c r="J3187" t="n">
        <v>0</v>
      </c>
      <c r="K3187" t="n">
        <v>0.1</v>
      </c>
      <c r="L3187" t="n">
        <v>0</v>
      </c>
      <c r="M3187" t="n">
        <v>4</v>
      </c>
      <c r="N3187" t="n">
        <v>0.4</v>
      </c>
      <c r="O3187" t="n">
        <v>0</v>
      </c>
      <c r="P3187" t="n">
        <v>0</v>
      </c>
      <c r="Q3187" t="n">
        <v>0</v>
      </c>
      <c r="R3187" t="inlineStr">
        <is>
          <t>Sin rotación</t>
        </is>
      </c>
    </row>
    <row r="3188">
      <c r="A3188" t="inlineStr">
        <is>
          <t>CLASTDA43TXL</t>
        </is>
      </c>
      <c r="B3188" t="inlineStr">
        <is>
          <t>CLASICA ALGODON STRETCH DAMA</t>
        </is>
      </c>
      <c r="C3188" t="inlineStr">
        <is>
          <t>Manufactura / Dama / P. Superiores</t>
        </is>
      </c>
      <c r="D3188" t="n">
        <v>20.62341972</v>
      </c>
      <c r="E3188" t="n">
        <v>5.049284872468141e-06</v>
      </c>
      <c r="F3188" t="n">
        <v>0.9997742517235613</v>
      </c>
      <c r="G3188" t="inlineStr">
        <is>
          <t>C</t>
        </is>
      </c>
      <c r="H3188" t="n">
        <v>0</v>
      </c>
      <c r="I3188" t="n">
        <v>9.27</v>
      </c>
      <c r="J3188" t="n">
        <v>0</v>
      </c>
      <c r="K3188" t="n">
        <v>0.3</v>
      </c>
      <c r="L3188" t="n">
        <v>0</v>
      </c>
      <c r="M3188" t="n">
        <v>4</v>
      </c>
      <c r="N3188" t="n">
        <v>1.2</v>
      </c>
      <c r="O3188" t="n">
        <v>0</v>
      </c>
      <c r="P3188" t="n">
        <v>0</v>
      </c>
      <c r="Q3188" t="n">
        <v>0</v>
      </c>
      <c r="R3188" t="inlineStr">
        <is>
          <t>Sin rotación</t>
        </is>
      </c>
    </row>
    <row r="3189">
      <c r="A3189" t="inlineStr">
        <is>
          <t>DANMIKI48T14</t>
        </is>
      </c>
      <c r="B3189" t="inlineStr">
        <is>
          <t>DANI ORIGINAL KIDS</t>
        </is>
      </c>
      <c r="C3189" t="inlineStr">
        <is>
          <t>Manufactura / Kids / P. Superiores</t>
        </is>
      </c>
      <c r="D3189" t="n">
        <v>20.441012</v>
      </c>
      <c r="E3189" t="n">
        <v>5.004625521413756e-06</v>
      </c>
      <c r="F3189" t="n">
        <v>0.9997792563490827</v>
      </c>
      <c r="G3189" t="inlineStr">
        <is>
          <t>C</t>
        </is>
      </c>
      <c r="H3189" t="n">
        <v>0</v>
      </c>
      <c r="I3189" t="n">
        <v>3.55</v>
      </c>
      <c r="J3189" t="n">
        <v>0</v>
      </c>
      <c r="K3189" t="n">
        <v>0.1</v>
      </c>
      <c r="L3189" t="n">
        <v>0</v>
      </c>
      <c r="M3189" t="n">
        <v>4</v>
      </c>
      <c r="N3189" t="n">
        <v>0.4</v>
      </c>
      <c r="O3189" t="n">
        <v>0</v>
      </c>
      <c r="P3189" t="n">
        <v>0</v>
      </c>
      <c r="Q3189" t="n">
        <v>0</v>
      </c>
      <c r="R3189" t="inlineStr">
        <is>
          <t>Sin rotación</t>
        </is>
      </c>
    </row>
    <row r="3190">
      <c r="A3190" t="inlineStr">
        <is>
          <t>PETMIPE50TM</t>
        </is>
      </c>
      <c r="B3190" t="inlineStr">
        <is>
          <t>BANDANA PET</t>
        </is>
      </c>
      <c r="C3190" t="inlineStr">
        <is>
          <t>Manufactura / General</t>
        </is>
      </c>
      <c r="D3190" t="n">
        <v>20.067137446</v>
      </c>
      <c r="E3190" t="n">
        <v>4.913088853133556e-06</v>
      </c>
      <c r="F3190" t="n">
        <v>0.9997841694379358</v>
      </c>
      <c r="G3190" t="inlineStr">
        <is>
          <t>C</t>
        </is>
      </c>
      <c r="H3190" t="n">
        <v>0</v>
      </c>
      <c r="I3190" t="n">
        <v>0.3252662283</v>
      </c>
      <c r="J3190" t="n">
        <v>0</v>
      </c>
      <c r="K3190" t="n">
        <v>0.2</v>
      </c>
      <c r="L3190" t="n">
        <v>0</v>
      </c>
      <c r="M3190" t="n">
        <v>4</v>
      </c>
      <c r="N3190" t="n">
        <v>0.8</v>
      </c>
      <c r="O3190" t="n">
        <v>0</v>
      </c>
      <c r="P3190" t="n">
        <v>0</v>
      </c>
      <c r="Q3190" t="n">
        <v>0</v>
      </c>
      <c r="R3190" t="inlineStr">
        <is>
          <t>Sin rotación</t>
        </is>
      </c>
    </row>
    <row r="3191">
      <c r="A3191" t="inlineStr">
        <is>
          <t>EC174UN</t>
        </is>
      </c>
      <c r="B3191" t="inlineStr">
        <is>
          <t>ECO BAG</t>
        </is>
      </c>
      <c r="C3191" t="inlineStr">
        <is>
          <t>Equipamiento / Bolsos</t>
        </is>
      </c>
      <c r="D3191" t="n">
        <v>19.99363689</v>
      </c>
      <c r="E3191" t="n">
        <v>4.895093523039542e-06</v>
      </c>
      <c r="F3191" t="n">
        <v>0.999789064531459</v>
      </c>
      <c r="G3191" t="inlineStr">
        <is>
          <t>C</t>
        </is>
      </c>
      <c r="H3191" t="n">
        <v>138</v>
      </c>
      <c r="I3191" t="n">
        <v>5.5</v>
      </c>
      <c r="J3191" t="n">
        <v>759</v>
      </c>
      <c r="K3191" t="n">
        <v>6.6</v>
      </c>
      <c r="L3191" t="n">
        <v>20.90909090909091</v>
      </c>
      <c r="M3191" t="n">
        <v>4</v>
      </c>
      <c r="N3191" t="n">
        <v>26.4</v>
      </c>
      <c r="O3191" t="n">
        <v>111.6</v>
      </c>
      <c r="P3191" t="n">
        <v>613.8</v>
      </c>
      <c r="Q3191" t="n">
        <v>0.808695652173913</v>
      </c>
      <c r="R3191" t="inlineStr">
        <is>
          <t>Sobrestock crítico</t>
        </is>
      </c>
    </row>
    <row r="3192">
      <c r="A3192" t="inlineStr">
        <is>
          <t>PETMIPE11TM</t>
        </is>
      </c>
      <c r="B3192" t="inlineStr">
        <is>
          <t>BANDANA PET</t>
        </is>
      </c>
      <c r="C3192" t="inlineStr">
        <is>
          <t>Manufactura / General</t>
        </is>
      </c>
      <c r="D3192" t="n">
        <v>19.686658069</v>
      </c>
      <c r="E3192" t="n">
        <v>4.819935109057391e-06</v>
      </c>
      <c r="F3192" t="n">
        <v>0.999793884466568</v>
      </c>
      <c r="G3192" t="inlineStr">
        <is>
          <t>C</t>
        </is>
      </c>
      <c r="H3192" t="n">
        <v>0</v>
      </c>
      <c r="I3192" t="n">
        <v>0.3252662283</v>
      </c>
      <c r="J3192" t="n">
        <v>0</v>
      </c>
      <c r="K3192" t="n">
        <v>0.2</v>
      </c>
      <c r="L3192" t="n">
        <v>0</v>
      </c>
      <c r="M3192" t="n">
        <v>4</v>
      </c>
      <c r="N3192" t="n">
        <v>0.8</v>
      </c>
      <c r="O3192" t="n">
        <v>0</v>
      </c>
      <c r="P3192" t="n">
        <v>0</v>
      </c>
      <c r="Q3192" t="n">
        <v>0</v>
      </c>
      <c r="R3192" t="inlineStr">
        <is>
          <t>Sin rotación</t>
        </is>
      </c>
    </row>
    <row r="3193">
      <c r="A3193" t="inlineStr">
        <is>
          <t>MANMIGE70TP</t>
        </is>
      </c>
      <c r="B3193" t="inlineStr">
        <is>
          <t>MANGAS GENERAL</t>
        </is>
      </c>
      <c r="C3193" t="inlineStr">
        <is>
          <t>Manufactura / General</t>
        </is>
      </c>
      <c r="D3193" t="n">
        <v>19.45797639</v>
      </c>
      <c r="E3193" t="n">
        <v>4.763946385651566e-06</v>
      </c>
      <c r="F3193" t="n">
        <v>0.9997986484129536</v>
      </c>
      <c r="G3193" t="inlineStr">
        <is>
          <t>C</t>
        </is>
      </c>
      <c r="H3193" t="n">
        <v>12</v>
      </c>
      <c r="I3193" t="n">
        <v>0.92</v>
      </c>
      <c r="J3193" t="n">
        <v>11.04</v>
      </c>
      <c r="K3193" t="n">
        <v>0.1</v>
      </c>
      <c r="L3193" t="n">
        <v>120</v>
      </c>
      <c r="M3193" t="n">
        <v>4</v>
      </c>
      <c r="N3193" t="n">
        <v>0.4</v>
      </c>
      <c r="O3193" t="n">
        <v>11.6</v>
      </c>
      <c r="P3193" t="n">
        <v>10.672</v>
      </c>
      <c r="Q3193" t="n">
        <v>0.9666666666666667</v>
      </c>
      <c r="R3193" t="inlineStr">
        <is>
          <t>Sobrestock crítico</t>
        </is>
      </c>
    </row>
    <row r="3194">
      <c r="A3194" t="inlineStr">
        <is>
          <t>MANMIGE50TP</t>
        </is>
      </c>
      <c r="B3194" t="inlineStr">
        <is>
          <t>MANGAS GENERAL</t>
        </is>
      </c>
      <c r="C3194" t="inlineStr">
        <is>
          <t>Manufactura / General</t>
        </is>
      </c>
      <c r="D3194" t="n">
        <v>19.39149978</v>
      </c>
      <c r="E3194" t="n">
        <v>4.747670746315164e-06</v>
      </c>
      <c r="F3194" t="n">
        <v>0.9998033960836999</v>
      </c>
      <c r="G3194" t="inlineStr">
        <is>
          <t>C</t>
        </is>
      </c>
      <c r="H3194" t="n">
        <v>7</v>
      </c>
      <c r="I3194" t="n">
        <v>0.92</v>
      </c>
      <c r="J3194" t="n">
        <v>6.44</v>
      </c>
      <c r="K3194" t="n">
        <v>0.1</v>
      </c>
      <c r="L3194" t="n">
        <v>70</v>
      </c>
      <c r="M3194" t="n">
        <v>4</v>
      </c>
      <c r="N3194" t="n">
        <v>0.4</v>
      </c>
      <c r="O3194" t="n">
        <v>6.6</v>
      </c>
      <c r="P3194" t="n">
        <v>6.072</v>
      </c>
      <c r="Q3194" t="n">
        <v>0.9428571428571428</v>
      </c>
      <c r="R3194" t="inlineStr">
        <is>
          <t>Sobrestock crítico</t>
        </is>
      </c>
    </row>
    <row r="3195">
      <c r="A3195" t="inlineStr">
        <is>
          <t>MANMIGE13TG</t>
        </is>
      </c>
      <c r="B3195" t="inlineStr">
        <is>
          <t>MANGAS GENERAL</t>
        </is>
      </c>
      <c r="C3195" t="inlineStr">
        <is>
          <t>Manufactura / General</t>
        </is>
      </c>
      <c r="D3195" t="n">
        <v>19.21432038</v>
      </c>
      <c r="E3195" t="n">
        <v>4.704291458288291e-06</v>
      </c>
      <c r="F3195" t="n">
        <v>0.9998081003751583</v>
      </c>
      <c r="G3195" t="inlineStr">
        <is>
          <t>C</t>
        </is>
      </c>
      <c r="H3195" t="n">
        <v>2</v>
      </c>
      <c r="I3195" t="n">
        <v>0.92</v>
      </c>
      <c r="J3195" t="n">
        <v>1.84</v>
      </c>
      <c r="K3195" t="n">
        <v>0.1</v>
      </c>
      <c r="L3195" t="n">
        <v>20</v>
      </c>
      <c r="M3195" t="n">
        <v>4</v>
      </c>
      <c r="N3195" t="n">
        <v>0.4</v>
      </c>
      <c r="O3195" t="n">
        <v>1.6</v>
      </c>
      <c r="P3195" t="n">
        <v>1.472</v>
      </c>
      <c r="Q3195" t="n">
        <v>0.8</v>
      </c>
      <c r="R3195" t="inlineStr">
        <is>
          <t>Sobrestock crítico</t>
        </is>
      </c>
    </row>
    <row r="3196">
      <c r="A3196" t="inlineStr">
        <is>
          <t>PETMIPE13TS</t>
        </is>
      </c>
      <c r="B3196" t="inlineStr">
        <is>
          <t>BANDANA PET</t>
        </is>
      </c>
      <c r="C3196" t="inlineStr">
        <is>
          <t>Manufactura / General</t>
        </is>
      </c>
      <c r="D3196" t="n">
        <v>18.97038431</v>
      </c>
      <c r="E3196" t="n">
        <v>4.644567963115186e-06</v>
      </c>
      <c r="F3196" t="n">
        <v>0.9998127449431214</v>
      </c>
      <c r="G3196" t="inlineStr">
        <is>
          <t>C</t>
        </is>
      </c>
      <c r="H3196" t="n">
        <v>0</v>
      </c>
      <c r="I3196" t="n">
        <v>0.3252662283</v>
      </c>
      <c r="J3196" t="n">
        <v>0</v>
      </c>
      <c r="K3196" t="n">
        <v>0.3</v>
      </c>
      <c r="L3196" t="n">
        <v>0</v>
      </c>
      <c r="M3196" t="n">
        <v>4</v>
      </c>
      <c r="N3196" t="n">
        <v>1.2</v>
      </c>
      <c r="O3196" t="n">
        <v>0</v>
      </c>
      <c r="P3196" t="n">
        <v>0</v>
      </c>
      <c r="Q3196" t="n">
        <v>0</v>
      </c>
      <c r="R3196" t="inlineStr">
        <is>
          <t>Sin rotación</t>
        </is>
      </c>
    </row>
    <row r="3197">
      <c r="A3197" t="inlineStr">
        <is>
          <t>SUC43EQV</t>
        </is>
      </c>
      <c r="B3197" t="inlineStr">
        <is>
          <t>SUNNY CORD ORIGINAL</t>
        </is>
      </c>
      <c r="C3197" t="inlineStr">
        <is>
          <t>Equipamiento / Accesorios</t>
        </is>
      </c>
      <c r="D3197" t="n">
        <v>18.921555239</v>
      </c>
      <c r="E3197" t="n">
        <v>4.632613016123642e-06</v>
      </c>
      <c r="F3197" t="n">
        <v>0.9998173775561374</v>
      </c>
      <c r="G3197" t="inlineStr">
        <is>
          <t>C</t>
        </is>
      </c>
      <c r="H3197" t="n">
        <v>0</v>
      </c>
      <c r="I3197" t="n">
        <v>0.51</v>
      </c>
      <c r="J3197" t="n">
        <v>0</v>
      </c>
      <c r="K3197" t="n">
        <v>0.5</v>
      </c>
      <c r="L3197" t="n">
        <v>0</v>
      </c>
      <c r="M3197" t="n">
        <v>4</v>
      </c>
      <c r="N3197" t="n">
        <v>2</v>
      </c>
      <c r="O3197" t="n">
        <v>0</v>
      </c>
      <c r="P3197" t="n">
        <v>0</v>
      </c>
      <c r="Q3197" t="n">
        <v>0</v>
      </c>
      <c r="R3197" t="inlineStr">
        <is>
          <t>Riesgo bajo stock</t>
        </is>
      </c>
    </row>
    <row r="3198">
      <c r="A3198" t="inlineStr">
        <is>
          <t>PETMIPE50TS</t>
        </is>
      </c>
      <c r="B3198" t="inlineStr">
        <is>
          <t>BANDANA PET</t>
        </is>
      </c>
      <c r="C3198" t="inlineStr">
        <is>
          <t>Manufactura / General</t>
        </is>
      </c>
      <c r="D3198" t="n">
        <v>18.88483485</v>
      </c>
      <c r="E3198" t="n">
        <v>4.623622668877348e-06</v>
      </c>
      <c r="F3198" t="n">
        <v>0.9998220011788064</v>
      </c>
      <c r="G3198" t="inlineStr">
        <is>
          <t>C</t>
        </is>
      </c>
      <c r="H3198" t="n">
        <v>0</v>
      </c>
      <c r="I3198" t="n">
        <v>0.3252662283</v>
      </c>
      <c r="J3198" t="n">
        <v>0</v>
      </c>
      <c r="K3198" t="n">
        <v>0.2</v>
      </c>
      <c r="L3198" t="n">
        <v>0</v>
      </c>
      <c r="M3198" t="n">
        <v>4</v>
      </c>
      <c r="N3198" t="n">
        <v>0.8</v>
      </c>
      <c r="O3198" t="n">
        <v>0</v>
      </c>
      <c r="P3198" t="n">
        <v>0</v>
      </c>
      <c r="Q3198" t="n">
        <v>0</v>
      </c>
      <c r="R3198" t="inlineStr">
        <is>
          <t>Sin rotación</t>
        </is>
      </c>
    </row>
    <row r="3199">
      <c r="A3199" t="inlineStr">
        <is>
          <t>BAN09EL</t>
        </is>
      </c>
      <c r="B3199" t="inlineStr">
        <is>
          <t>CUADRO BAND ELASTIC</t>
        </is>
      </c>
      <c r="C3199" t="inlineStr">
        <is>
          <t>Equipamiento / Accesorios</t>
        </is>
      </c>
      <c r="D3199" t="n">
        <v>18.865254784</v>
      </c>
      <c r="E3199" t="n">
        <v>4.618828830978591e-06</v>
      </c>
      <c r="F3199" t="n">
        <v>0.9998266200076373</v>
      </c>
      <c r="G3199" t="inlineStr">
        <is>
          <t>C</t>
        </is>
      </c>
      <c r="H3199" t="n">
        <v>142</v>
      </c>
      <c r="I3199" t="n">
        <v>0.3</v>
      </c>
      <c r="J3199" t="n">
        <v>42.6</v>
      </c>
      <c r="K3199" t="n">
        <v>0.7</v>
      </c>
      <c r="L3199" t="n">
        <v>202.8571428571429</v>
      </c>
      <c r="M3199" t="n">
        <v>4</v>
      </c>
      <c r="N3199" t="n">
        <v>2.8</v>
      </c>
      <c r="O3199" t="n">
        <v>139.2</v>
      </c>
      <c r="P3199" t="n">
        <v>41.76</v>
      </c>
      <c r="Q3199" t="n">
        <v>0.980281690140845</v>
      </c>
      <c r="R3199" t="inlineStr">
        <is>
          <t>Sobrestock crítico</t>
        </is>
      </c>
    </row>
    <row r="3200">
      <c r="A3200" t="inlineStr">
        <is>
          <t>P07</t>
        </is>
      </c>
      <c r="B3200" t="inlineStr">
        <is>
          <t>PARCHES</t>
        </is>
      </c>
      <c r="C3200" t="inlineStr">
        <is>
          <t>Equipamiento / Accesorios</t>
        </is>
      </c>
      <c r="D3200" t="n">
        <v>18.528173289</v>
      </c>
      <c r="E3200" t="n">
        <v>4.536300301927617e-06</v>
      </c>
      <c r="F3200" t="n">
        <v>0.9998311563079393</v>
      </c>
      <c r="G3200" t="inlineStr">
        <is>
          <t>C</t>
        </is>
      </c>
      <c r="H3200" t="n">
        <v>352</v>
      </c>
      <c r="I3200" t="n">
        <v>0.98</v>
      </c>
      <c r="J3200" t="n">
        <v>344.96</v>
      </c>
      <c r="K3200" t="n">
        <v>0.4</v>
      </c>
      <c r="L3200" t="n">
        <v>880</v>
      </c>
      <c r="M3200" t="n">
        <v>4</v>
      </c>
      <c r="N3200" t="n">
        <v>1.6</v>
      </c>
      <c r="O3200" t="n">
        <v>350.4</v>
      </c>
      <c r="P3200" t="n">
        <v>343.392</v>
      </c>
      <c r="Q3200" t="n">
        <v>0.9954545454545455</v>
      </c>
      <c r="R3200" t="inlineStr">
        <is>
          <t>Sobrestock crítico</t>
        </is>
      </c>
    </row>
    <row r="3201">
      <c r="A3201" t="inlineStr">
        <is>
          <t>TOA30CL</t>
        </is>
      </c>
      <c r="B3201" t="inlineStr">
        <is>
          <t>TOALLA CLIP ORIGINAL</t>
        </is>
      </c>
      <c r="C3201" t="inlineStr">
        <is>
          <t>Equipamiento / Toallas</t>
        </is>
      </c>
      <c r="D3201" t="n">
        <v>18.37665735</v>
      </c>
      <c r="E3201" t="n">
        <v>4.499204265037644e-06</v>
      </c>
      <c r="F3201" t="n">
        <v>0.9998356555122043</v>
      </c>
      <c r="G3201" t="inlineStr">
        <is>
          <t>C</t>
        </is>
      </c>
      <c r="H3201" t="n">
        <v>0</v>
      </c>
      <c r="I3201" t="n">
        <v>5.11</v>
      </c>
      <c r="J3201" t="n">
        <v>0</v>
      </c>
      <c r="K3201" t="n">
        <v>0.1</v>
      </c>
      <c r="L3201" t="n">
        <v>0</v>
      </c>
      <c r="M3201" t="n">
        <v>4</v>
      </c>
      <c r="N3201" t="n">
        <v>0.4</v>
      </c>
      <c r="O3201" t="n">
        <v>0</v>
      </c>
      <c r="P3201" t="n">
        <v>0</v>
      </c>
      <c r="Q3201" t="n">
        <v>0</v>
      </c>
      <c r="R3201" t="inlineStr">
        <is>
          <t>Sin rotación</t>
        </is>
      </c>
    </row>
    <row r="3202">
      <c r="A3202" t="inlineStr">
        <is>
          <t>COTFTKI30T4</t>
        </is>
      </c>
      <c r="B3202" t="inlineStr">
        <is>
          <t>COTTON SWEATER KIDS</t>
        </is>
      </c>
      <c r="C3202" t="inlineStr">
        <is>
          <t>Manufactura / Kids / P. Superiores</t>
        </is>
      </c>
      <c r="D3202" t="n">
        <v>18.16997384</v>
      </c>
      <c r="E3202" t="n">
        <v>4.448601409904964e-06</v>
      </c>
      <c r="F3202" t="n">
        <v>0.9998445527150241</v>
      </c>
      <c r="G3202" t="inlineStr">
        <is>
          <t>C</t>
        </is>
      </c>
      <c r="H3202" t="n">
        <v>0</v>
      </c>
      <c r="I3202" t="n">
        <v>0</v>
      </c>
      <c r="J3202" t="n">
        <v>0</v>
      </c>
      <c r="K3202" t="n">
        <v>0.1</v>
      </c>
      <c r="L3202" t="n">
        <v>0</v>
      </c>
      <c r="M3202" t="n">
        <v>4</v>
      </c>
      <c r="N3202" t="n">
        <v>0.4</v>
      </c>
      <c r="O3202" t="n">
        <v>0</v>
      </c>
      <c r="P3202" t="n">
        <v>0</v>
      </c>
      <c r="Q3202" t="n">
        <v>0</v>
      </c>
      <c r="R3202" t="inlineStr">
        <is>
          <t>Sin rotación</t>
        </is>
      </c>
    </row>
    <row r="3203">
      <c r="A3203" t="inlineStr">
        <is>
          <t>COTFTKI43T12</t>
        </is>
      </c>
      <c r="B3203" t="inlineStr">
        <is>
          <t>COTTON SWEATER KIDS</t>
        </is>
      </c>
      <c r="C3203" t="inlineStr">
        <is>
          <t>Manufactura / Kids / P. Superiores</t>
        </is>
      </c>
      <c r="D3203" t="n">
        <v>18.16997384</v>
      </c>
      <c r="E3203" t="n">
        <v>4.448601409904964e-06</v>
      </c>
      <c r="F3203" t="n">
        <v>0.9998445527150241</v>
      </c>
      <c r="G3203" t="inlineStr">
        <is>
          <t>C</t>
        </is>
      </c>
      <c r="H3203" t="n">
        <v>0</v>
      </c>
      <c r="I3203" t="n">
        <v>0</v>
      </c>
      <c r="J3203" t="n">
        <v>0</v>
      </c>
      <c r="K3203" t="n">
        <v>0.1</v>
      </c>
      <c r="L3203" t="n">
        <v>0</v>
      </c>
      <c r="M3203" t="n">
        <v>4</v>
      </c>
      <c r="N3203" t="n">
        <v>0.4</v>
      </c>
      <c r="O3203" t="n">
        <v>0</v>
      </c>
      <c r="P3203" t="n">
        <v>0</v>
      </c>
      <c r="Q3203" t="n">
        <v>0</v>
      </c>
      <c r="R3203" t="inlineStr">
        <is>
          <t>Sin rotación</t>
        </is>
      </c>
    </row>
    <row r="3204">
      <c r="A3204" t="inlineStr">
        <is>
          <t>PETMIPE34TL</t>
        </is>
      </c>
      <c r="B3204" t="inlineStr">
        <is>
          <t>BANDANA PET</t>
        </is>
      </c>
      <c r="C3204" t="inlineStr">
        <is>
          <t>Manufactura / General</t>
        </is>
      </c>
      <c r="D3204" t="n">
        <v>17.988311196</v>
      </c>
      <c r="E3204" t="n">
        <v>4.404124477723235e-06</v>
      </c>
      <c r="F3204" t="n">
        <v>0.9998489568395019</v>
      </c>
      <c r="G3204" t="inlineStr">
        <is>
          <t>C</t>
        </is>
      </c>
      <c r="H3204" t="n">
        <v>0</v>
      </c>
      <c r="I3204" t="n">
        <v>0.3252662283</v>
      </c>
      <c r="J3204" t="n">
        <v>0</v>
      </c>
      <c r="K3204" t="n">
        <v>0.2</v>
      </c>
      <c r="L3204" t="n">
        <v>0</v>
      </c>
      <c r="M3204" t="n">
        <v>4</v>
      </c>
      <c r="N3204" t="n">
        <v>0.8</v>
      </c>
      <c r="O3204" t="n">
        <v>0</v>
      </c>
      <c r="P3204" t="n">
        <v>0</v>
      </c>
      <c r="Q3204" t="n">
        <v>0</v>
      </c>
      <c r="R3204" t="inlineStr">
        <is>
          <t>Sin rotación</t>
        </is>
      </c>
    </row>
    <row r="3205">
      <c r="A3205" t="inlineStr">
        <is>
          <t>MANMIGE14TG</t>
        </is>
      </c>
      <c r="B3205" t="inlineStr">
        <is>
          <t>MANGAS GENERAL</t>
        </is>
      </c>
      <c r="C3205" t="inlineStr">
        <is>
          <t>Manufactura / General</t>
        </is>
      </c>
      <c r="D3205" t="n">
        <v>17.32182692</v>
      </c>
      <c r="E3205" t="n">
        <v>4.240947418911736e-06</v>
      </c>
      <c r="F3205" t="n">
        <v>0.9998616796817585</v>
      </c>
      <c r="G3205" t="inlineStr">
        <is>
          <t>C</t>
        </is>
      </c>
      <c r="H3205" t="n">
        <v>8</v>
      </c>
      <c r="I3205" t="n">
        <v>0.92</v>
      </c>
      <c r="J3205" t="n">
        <v>7.36</v>
      </c>
      <c r="K3205" t="n">
        <v>0.1</v>
      </c>
      <c r="L3205" t="n">
        <v>80</v>
      </c>
      <c r="M3205" t="n">
        <v>4</v>
      </c>
      <c r="N3205" t="n">
        <v>0.4</v>
      </c>
      <c r="O3205" t="n">
        <v>7.6</v>
      </c>
      <c r="P3205" t="n">
        <v>6.992</v>
      </c>
      <c r="Q3205" t="n">
        <v>0.95</v>
      </c>
      <c r="R3205" t="inlineStr">
        <is>
          <t>Sin rotación</t>
        </is>
      </c>
    </row>
    <row r="3206">
      <c r="A3206" t="inlineStr">
        <is>
          <t>MANMEGE13TG</t>
        </is>
      </c>
      <c r="B3206" t="inlineStr">
        <is>
          <t>MANGAS SPORT MESH</t>
        </is>
      </c>
      <c r="C3206" t="inlineStr">
        <is>
          <t>Manufactura / General</t>
        </is>
      </c>
      <c r="D3206" t="n">
        <v>17.32182692</v>
      </c>
      <c r="E3206" t="n">
        <v>4.240947418911736e-06</v>
      </c>
      <c r="F3206" t="n">
        <v>0.9998616796817585</v>
      </c>
      <c r="G3206" t="inlineStr">
        <is>
          <t>C</t>
        </is>
      </c>
      <c r="H3206" t="n">
        <v>0</v>
      </c>
      <c r="I3206" t="n">
        <v>1.12</v>
      </c>
      <c r="J3206" t="n">
        <v>0</v>
      </c>
      <c r="K3206" t="n">
        <v>0.1</v>
      </c>
      <c r="L3206" t="n">
        <v>0</v>
      </c>
      <c r="M3206" t="n">
        <v>4</v>
      </c>
      <c r="N3206" t="n">
        <v>0.4</v>
      </c>
      <c r="O3206" t="n">
        <v>0</v>
      </c>
      <c r="P3206" t="n">
        <v>0</v>
      </c>
      <c r="Q3206" t="n">
        <v>0</v>
      </c>
      <c r="R3206" t="inlineStr">
        <is>
          <t>Sin rotación</t>
        </is>
      </c>
    </row>
    <row r="3207">
      <c r="A3207" t="inlineStr">
        <is>
          <t>MANMIGE53TP</t>
        </is>
      </c>
      <c r="B3207" t="inlineStr">
        <is>
          <t>MANGAS GENERAL</t>
        </is>
      </c>
      <c r="C3207" t="inlineStr">
        <is>
          <t>Manufactura / General</t>
        </is>
      </c>
      <c r="D3207" t="n">
        <v>17.32182692</v>
      </c>
      <c r="E3207" t="n">
        <v>4.240947418911736e-06</v>
      </c>
      <c r="F3207" t="n">
        <v>0.9998616796817585</v>
      </c>
      <c r="G3207" t="inlineStr">
        <is>
          <t>C</t>
        </is>
      </c>
      <c r="H3207" t="n">
        <v>4</v>
      </c>
      <c r="I3207" t="n">
        <v>0.92</v>
      </c>
      <c r="J3207" t="n">
        <v>3.68</v>
      </c>
      <c r="K3207" t="n">
        <v>0.1</v>
      </c>
      <c r="L3207" t="n">
        <v>40</v>
      </c>
      <c r="M3207" t="n">
        <v>4</v>
      </c>
      <c r="N3207" t="n">
        <v>0.4</v>
      </c>
      <c r="O3207" t="n">
        <v>3.6</v>
      </c>
      <c r="P3207" t="n">
        <v>3.312</v>
      </c>
      <c r="Q3207" t="n">
        <v>0.9</v>
      </c>
      <c r="R3207" t="inlineStr">
        <is>
          <t>Sin rotación</t>
        </is>
      </c>
    </row>
    <row r="3208">
      <c r="A3208" t="inlineStr">
        <is>
          <t>MANMIGE52TP</t>
        </is>
      </c>
      <c r="B3208" t="inlineStr">
        <is>
          <t>MANGAS GENERAL</t>
        </is>
      </c>
      <c r="C3208" t="inlineStr">
        <is>
          <t>Manufactura / General</t>
        </is>
      </c>
      <c r="D3208" t="n">
        <v>17.29736221</v>
      </c>
      <c r="E3208" t="n">
        <v>4.234957661064131e-06</v>
      </c>
      <c r="F3208" t="n">
        <v>0.9998659146394197</v>
      </c>
      <c r="G3208" t="inlineStr">
        <is>
          <t>C</t>
        </is>
      </c>
      <c r="H3208" t="n">
        <v>0</v>
      </c>
      <c r="I3208" t="n">
        <v>0.92</v>
      </c>
      <c r="J3208" t="n">
        <v>0</v>
      </c>
      <c r="K3208" t="n">
        <v>0.1</v>
      </c>
      <c r="L3208" t="n">
        <v>0</v>
      </c>
      <c r="M3208" t="n">
        <v>4</v>
      </c>
      <c r="N3208" t="n">
        <v>0.4</v>
      </c>
      <c r="O3208" t="n">
        <v>0</v>
      </c>
      <c r="P3208" t="n">
        <v>0</v>
      </c>
      <c r="Q3208" t="n">
        <v>0</v>
      </c>
      <c r="R3208" t="inlineStr">
        <is>
          <t>Sin rotación</t>
        </is>
      </c>
    </row>
    <row r="3209">
      <c r="A3209" t="inlineStr">
        <is>
          <t>CLAMIDA04TXS</t>
        </is>
      </c>
      <c r="B3209" t="inlineStr">
        <is>
          <t>CLASICA ORIGINAL DAMA</t>
        </is>
      </c>
      <c r="C3209" t="inlineStr">
        <is>
          <t>Manufactura / Dama / P. Superiores</t>
        </is>
      </c>
      <c r="D3209" t="n">
        <v>16.91412549</v>
      </c>
      <c r="E3209" t="n">
        <v>4.1411288296122e-06</v>
      </c>
      <c r="F3209" t="n">
        <v>0.9998700557682493</v>
      </c>
      <c r="G3209" t="inlineStr">
        <is>
          <t>C</t>
        </is>
      </c>
      <c r="H3209" t="n">
        <v>0</v>
      </c>
      <c r="I3209" t="n">
        <v>3.923227589</v>
      </c>
      <c r="J3209" t="n">
        <v>0</v>
      </c>
      <c r="K3209" t="n">
        <v>0.1</v>
      </c>
      <c r="L3209" t="n">
        <v>0</v>
      </c>
      <c r="M3209" t="n">
        <v>4</v>
      </c>
      <c r="N3209" t="n">
        <v>0.4</v>
      </c>
      <c r="O3209" t="n">
        <v>0</v>
      </c>
      <c r="P3209" t="n">
        <v>0</v>
      </c>
      <c r="Q3209" t="n">
        <v>0</v>
      </c>
      <c r="R3209" t="inlineStr">
        <is>
          <t>Sin rotación</t>
        </is>
      </c>
    </row>
    <row r="3210">
      <c r="A3210" t="inlineStr">
        <is>
          <t>PETMIPE43TXL</t>
        </is>
      </c>
      <c r="B3210" t="inlineStr">
        <is>
          <t>BANDANA PET</t>
        </is>
      </c>
      <c r="C3210" t="inlineStr">
        <is>
          <t>Manufactura / General</t>
        </is>
      </c>
      <c r="D3210" t="n">
        <v>16.859010519</v>
      </c>
      <c r="E3210" t="n">
        <v>4.127634889562726e-06</v>
      </c>
      <c r="F3210" t="n">
        <v>0.9998741834031388</v>
      </c>
      <c r="G3210" t="inlineStr">
        <is>
          <t>C</t>
        </is>
      </c>
      <c r="H3210" t="n">
        <v>0</v>
      </c>
      <c r="I3210" t="n">
        <v>0.3252662283</v>
      </c>
      <c r="J3210" t="n">
        <v>0</v>
      </c>
      <c r="K3210" t="n">
        <v>0.2</v>
      </c>
      <c r="L3210" t="n">
        <v>0</v>
      </c>
      <c r="M3210" t="n">
        <v>4</v>
      </c>
      <c r="N3210" t="n">
        <v>0.8</v>
      </c>
      <c r="O3210" t="n">
        <v>0</v>
      </c>
      <c r="P3210" t="n">
        <v>0</v>
      </c>
      <c r="Q3210" t="n">
        <v>0</v>
      </c>
      <c r="R3210" t="inlineStr">
        <is>
          <t>Sin rotación</t>
        </is>
      </c>
    </row>
    <row r="3211">
      <c r="A3211" t="inlineStr">
        <is>
          <t>MANMIGE30TG</t>
        </is>
      </c>
      <c r="B3211" t="inlineStr">
        <is>
          <t>MANGAS GENERAL</t>
        </is>
      </c>
      <c r="C3211" t="inlineStr">
        <is>
          <t>Manufactura / General</t>
        </is>
      </c>
      <c r="D3211" t="n">
        <v>16.6932886</v>
      </c>
      <c r="E3211" t="n">
        <v>4.087060766066049e-06</v>
      </c>
      <c r="F3211" t="n">
        <v>0.999878270463905</v>
      </c>
      <c r="G3211" t="inlineStr">
        <is>
          <t>C</t>
        </is>
      </c>
      <c r="H3211" t="n">
        <v>0</v>
      </c>
      <c r="I3211" t="n">
        <v>0.92</v>
      </c>
      <c r="J3211" t="n">
        <v>0</v>
      </c>
      <c r="K3211" t="n">
        <v>0.1</v>
      </c>
      <c r="L3211" t="n">
        <v>0</v>
      </c>
      <c r="M3211" t="n">
        <v>4</v>
      </c>
      <c r="N3211" t="n">
        <v>0.4</v>
      </c>
      <c r="O3211" t="n">
        <v>0</v>
      </c>
      <c r="P3211" t="n">
        <v>0</v>
      </c>
      <c r="Q3211" t="n">
        <v>0</v>
      </c>
      <c r="R3211" t="inlineStr">
        <is>
          <t>Riesgo bajo stock</t>
        </is>
      </c>
    </row>
    <row r="3212">
      <c r="A3212" t="inlineStr">
        <is>
          <t>MANMIGE48TP</t>
        </is>
      </c>
      <c r="B3212" t="inlineStr">
        <is>
          <t>MANGAS GENERAL</t>
        </is>
      </c>
      <c r="C3212" t="inlineStr">
        <is>
          <t>Manufactura / General</t>
        </is>
      </c>
      <c r="D3212" t="n">
        <v>16.56304681</v>
      </c>
      <c r="E3212" t="n">
        <v>4.05517333377118e-06</v>
      </c>
      <c r="F3212" t="n">
        <v>0.9998823256372387</v>
      </c>
      <c r="G3212" t="inlineStr">
        <is>
          <t>C</t>
        </is>
      </c>
      <c r="H3212" t="n">
        <v>9</v>
      </c>
      <c r="I3212" t="n">
        <v>0.92</v>
      </c>
      <c r="J3212" t="n">
        <v>8.280000000000001</v>
      </c>
      <c r="K3212" t="n">
        <v>0.1</v>
      </c>
      <c r="L3212" t="n">
        <v>90</v>
      </c>
      <c r="M3212" t="n">
        <v>4</v>
      </c>
      <c r="N3212" t="n">
        <v>0.4</v>
      </c>
      <c r="O3212" t="n">
        <v>8.6</v>
      </c>
      <c r="P3212" t="n">
        <v>7.912</v>
      </c>
      <c r="Q3212" t="n">
        <v>0.9555555555555554</v>
      </c>
      <c r="R3212" t="inlineStr">
        <is>
          <t>Sin rotación</t>
        </is>
      </c>
    </row>
    <row r="3213">
      <c r="A3213" t="inlineStr">
        <is>
          <t>BUFMIGE09TUN</t>
        </is>
      </c>
      <c r="B3213" t="inlineStr">
        <is>
          <t>FLEX COVER</t>
        </is>
      </c>
      <c r="C3213" t="inlineStr">
        <is>
          <t>Manufactura / General</t>
        </is>
      </c>
      <c r="D3213" t="n">
        <v>16.48276954</v>
      </c>
      <c r="E3213" t="n">
        <v>4.035518843365742e-06</v>
      </c>
      <c r="F3213" t="n">
        <v>0.999886361156082</v>
      </c>
      <c r="G3213" t="inlineStr">
        <is>
          <t>C</t>
        </is>
      </c>
      <c r="H3213" t="n">
        <v>3</v>
      </c>
      <c r="I3213" t="n">
        <v>2.21</v>
      </c>
      <c r="J3213" t="n">
        <v>6.63</v>
      </c>
      <c r="K3213" t="n">
        <v>0.1</v>
      </c>
      <c r="L3213" t="n">
        <v>30</v>
      </c>
      <c r="M3213" t="n">
        <v>4</v>
      </c>
      <c r="N3213" t="n">
        <v>0.4</v>
      </c>
      <c r="O3213" t="n">
        <v>2.6</v>
      </c>
      <c r="P3213" t="n">
        <v>5.746</v>
      </c>
      <c r="Q3213" t="n">
        <v>0.8666666666666667</v>
      </c>
      <c r="R3213" t="inlineStr">
        <is>
          <t>Sobrestock crítico</t>
        </is>
      </c>
    </row>
    <row r="3214">
      <c r="A3214" t="inlineStr">
        <is>
          <t>PETMIPE34TS</t>
        </is>
      </c>
      <c r="B3214" t="inlineStr">
        <is>
          <t>BANDANA PET</t>
        </is>
      </c>
      <c r="C3214" t="inlineStr">
        <is>
          <t>Manufactura / General</t>
        </is>
      </c>
      <c r="D3214" t="n">
        <v>16.08574081</v>
      </c>
      <c r="E3214" t="n">
        <v>3.938313278646516e-06</v>
      </c>
      <c r="F3214" t="n">
        <v>0.9998902994693607</v>
      </c>
      <c r="G3214" t="inlineStr">
        <is>
          <t>C</t>
        </is>
      </c>
      <c r="H3214" t="n">
        <v>0</v>
      </c>
      <c r="I3214" t="n">
        <v>0.3252662283</v>
      </c>
      <c r="J3214" t="n">
        <v>0</v>
      </c>
      <c r="K3214" t="n">
        <v>0.1</v>
      </c>
      <c r="L3214" t="n">
        <v>0</v>
      </c>
      <c r="M3214" t="n">
        <v>4</v>
      </c>
      <c r="N3214" t="n">
        <v>0.4</v>
      </c>
      <c r="O3214" t="n">
        <v>0</v>
      </c>
      <c r="P3214" t="n">
        <v>0</v>
      </c>
      <c r="Q3214" t="n">
        <v>0</v>
      </c>
      <c r="R3214" t="inlineStr">
        <is>
          <t>Riesgo bajo stock</t>
        </is>
      </c>
    </row>
    <row r="3215">
      <c r="A3215" t="inlineStr">
        <is>
          <t>MANMIGE34TP</t>
        </is>
      </c>
      <c r="B3215" t="inlineStr">
        <is>
          <t>MANGAS GENERAL</t>
        </is>
      </c>
      <c r="C3215" t="inlineStr">
        <is>
          <t>Manufactura / General</t>
        </is>
      </c>
      <c r="D3215" t="n">
        <v>15.69225219</v>
      </c>
      <c r="E3215" t="n">
        <v>3.841974448160145e-06</v>
      </c>
      <c r="F3215" t="n">
        <v>0.9998941414438088</v>
      </c>
      <c r="G3215" t="inlineStr">
        <is>
          <t>C</t>
        </is>
      </c>
      <c r="H3215" t="n">
        <v>3</v>
      </c>
      <c r="I3215" t="n">
        <v>0.92</v>
      </c>
      <c r="J3215" t="n">
        <v>2.76</v>
      </c>
      <c r="K3215" t="n">
        <v>0.1</v>
      </c>
      <c r="L3215" t="n">
        <v>30</v>
      </c>
      <c r="M3215" t="n">
        <v>4</v>
      </c>
      <c r="N3215" t="n">
        <v>0.4</v>
      </c>
      <c r="O3215" t="n">
        <v>2.6</v>
      </c>
      <c r="P3215" t="n">
        <v>2.392</v>
      </c>
      <c r="Q3215" t="n">
        <v>0.8666666666666667</v>
      </c>
      <c r="R3215" t="inlineStr">
        <is>
          <t>Sin rotación</t>
        </is>
      </c>
    </row>
    <row r="3216">
      <c r="A3216" t="inlineStr">
        <is>
          <t>MANMEGE09TG</t>
        </is>
      </c>
      <c r="B3216" t="inlineStr">
        <is>
          <t>MANGAS SPORT MESH</t>
        </is>
      </c>
      <c r="C3216" t="inlineStr">
        <is>
          <t>Manufactura / General</t>
        </is>
      </c>
      <c r="D3216" t="n">
        <v>15.52373308</v>
      </c>
      <c r="E3216" t="n">
        <v>3.800715481199412e-06</v>
      </c>
      <c r="F3216" t="n">
        <v>0.9999017428747712</v>
      </c>
      <c r="G3216" t="inlineStr">
        <is>
          <t>C</t>
        </is>
      </c>
      <c r="H3216" t="n">
        <v>0</v>
      </c>
      <c r="I3216" t="n">
        <v>1.12</v>
      </c>
      <c r="J3216" t="n">
        <v>0</v>
      </c>
      <c r="K3216" t="n">
        <v>0.1</v>
      </c>
      <c r="L3216" t="n">
        <v>0</v>
      </c>
      <c r="M3216" t="n">
        <v>4</v>
      </c>
      <c r="N3216" t="n">
        <v>0.4</v>
      </c>
      <c r="O3216" t="n">
        <v>0</v>
      </c>
      <c r="P3216" t="n">
        <v>0</v>
      </c>
      <c r="Q3216" t="n">
        <v>0</v>
      </c>
      <c r="R3216" t="inlineStr">
        <is>
          <t>Riesgo bajo stock</t>
        </is>
      </c>
    </row>
    <row r="3217">
      <c r="A3217" t="inlineStr">
        <is>
          <t>MANMIGE28TG</t>
        </is>
      </c>
      <c r="B3217" t="inlineStr">
        <is>
          <t>MANGAS GENERAL</t>
        </is>
      </c>
      <c r="C3217" t="inlineStr">
        <is>
          <t>Manufactura / General</t>
        </is>
      </c>
      <c r="D3217" t="n">
        <v>15.52373308</v>
      </c>
      <c r="E3217" t="n">
        <v>3.800715481199412e-06</v>
      </c>
      <c r="F3217" t="n">
        <v>0.9999017428747712</v>
      </c>
      <c r="G3217" t="inlineStr">
        <is>
          <t>C</t>
        </is>
      </c>
      <c r="H3217" t="n">
        <v>1</v>
      </c>
      <c r="I3217" t="n">
        <v>0.92</v>
      </c>
      <c r="J3217" t="n">
        <v>0.92</v>
      </c>
      <c r="K3217" t="n">
        <v>0.1</v>
      </c>
      <c r="L3217" t="n">
        <v>10</v>
      </c>
      <c r="M3217" t="n">
        <v>4</v>
      </c>
      <c r="N3217" t="n">
        <v>0.4</v>
      </c>
      <c r="O3217" t="n">
        <v>0.6</v>
      </c>
      <c r="P3217" t="n">
        <v>0.552</v>
      </c>
      <c r="Q3217" t="n">
        <v>0.6</v>
      </c>
      <c r="R3217" t="inlineStr">
        <is>
          <t>Sobrestock crítico</t>
        </is>
      </c>
    </row>
    <row r="3218">
      <c r="A3218" t="inlineStr">
        <is>
          <t>MANMIGE39TP</t>
        </is>
      </c>
      <c r="B3218" t="inlineStr">
        <is>
          <t>MANGAS GENERAL</t>
        </is>
      </c>
      <c r="C3218" t="inlineStr">
        <is>
          <t>Manufactura / General</t>
        </is>
      </c>
      <c r="D3218" t="n">
        <v>15.48175604</v>
      </c>
      <c r="E3218" t="n">
        <v>3.79043813457404e-06</v>
      </c>
      <c r="F3218" t="n">
        <v>0.9999055333129058</v>
      </c>
      <c r="G3218" t="inlineStr">
        <is>
          <t>C</t>
        </is>
      </c>
      <c r="H3218" t="n">
        <v>2</v>
      </c>
      <c r="I3218" t="n">
        <v>0.92</v>
      </c>
      <c r="J3218" t="n">
        <v>1.84</v>
      </c>
      <c r="K3218" t="n">
        <v>0.1</v>
      </c>
      <c r="L3218" t="n">
        <v>20</v>
      </c>
      <c r="M3218" t="n">
        <v>4</v>
      </c>
      <c r="N3218" t="n">
        <v>0.4</v>
      </c>
      <c r="O3218" t="n">
        <v>1.6</v>
      </c>
      <c r="P3218" t="n">
        <v>1.472</v>
      </c>
      <c r="Q3218" t="n">
        <v>0.8</v>
      </c>
      <c r="R3218" t="inlineStr">
        <is>
          <t>Sobrestock crítico</t>
        </is>
      </c>
    </row>
    <row r="3219">
      <c r="A3219" t="inlineStr">
        <is>
          <t>SABMIDA43TL</t>
        </is>
      </c>
      <c r="B3219" t="inlineStr">
        <is>
          <t>SABRI ORIGINAL DAMA</t>
        </is>
      </c>
      <c r="C3219" t="inlineStr">
        <is>
          <t>Manufactura / Dama / P. Superiores</t>
        </is>
      </c>
      <c r="D3219" t="n">
        <v>13.70039893</v>
      </c>
      <c r="E3219" t="n">
        <v>3.354303893497431e-06</v>
      </c>
      <c r="F3219" t="n">
        <v>0.9999088876167993</v>
      </c>
      <c r="G3219" t="inlineStr">
        <is>
          <t>C</t>
        </is>
      </c>
      <c r="H3219" t="n">
        <v>0</v>
      </c>
      <c r="I3219" t="n">
        <v>4.51</v>
      </c>
      <c r="J3219" t="n">
        <v>0</v>
      </c>
      <c r="K3219" t="n">
        <v>0.1</v>
      </c>
      <c r="L3219" t="n">
        <v>0</v>
      </c>
      <c r="M3219" t="n">
        <v>4</v>
      </c>
      <c r="N3219" t="n">
        <v>0.4</v>
      </c>
      <c r="O3219" t="n">
        <v>0</v>
      </c>
      <c r="P3219" t="n">
        <v>0</v>
      </c>
      <c r="Q3219" t="n">
        <v>0</v>
      </c>
      <c r="R3219" t="inlineStr">
        <is>
          <t>Sin rotación</t>
        </is>
      </c>
    </row>
    <row r="3220">
      <c r="A3220" t="inlineStr">
        <is>
          <t>BUFMIGE48TUN</t>
        </is>
      </c>
      <c r="B3220" t="inlineStr">
        <is>
          <t>FLEX COVER</t>
        </is>
      </c>
      <c r="C3220" t="inlineStr">
        <is>
          <t>Manufactura / General</t>
        </is>
      </c>
      <c r="D3220" t="n">
        <v>13.66037191</v>
      </c>
      <c r="E3220" t="n">
        <v>3.344503975282123e-06</v>
      </c>
      <c r="F3220" t="n">
        <v>0.9999122321207746</v>
      </c>
      <c r="G3220" t="inlineStr">
        <is>
          <t>C</t>
        </is>
      </c>
      <c r="H3220" t="n">
        <v>5</v>
      </c>
      <c r="I3220" t="n">
        <v>2.21</v>
      </c>
      <c r="J3220" t="n">
        <v>11.05</v>
      </c>
      <c r="K3220" t="n">
        <v>0.1</v>
      </c>
      <c r="L3220" t="n">
        <v>50</v>
      </c>
      <c r="M3220" t="n">
        <v>4</v>
      </c>
      <c r="N3220" t="n">
        <v>0.4</v>
      </c>
      <c r="O3220" t="n">
        <v>4.6</v>
      </c>
      <c r="P3220" t="n">
        <v>10.166</v>
      </c>
      <c r="Q3220" t="n">
        <v>0.9199999999999998</v>
      </c>
      <c r="R3220" t="inlineStr">
        <is>
          <t>Sobrestock crítico</t>
        </is>
      </c>
    </row>
    <row r="3221">
      <c r="A3221" t="inlineStr">
        <is>
          <t>BAN60EQ</t>
        </is>
      </c>
      <c r="B3221" t="inlineStr">
        <is>
          <t>CUADRO BAND</t>
        </is>
      </c>
      <c r="C3221" t="inlineStr">
        <is>
          <t>Equipamiento / Accesorios</t>
        </is>
      </c>
      <c r="D3221" t="n">
        <v>13.582989146</v>
      </c>
      <c r="E3221" t="n">
        <v>3.325558154222385e-06</v>
      </c>
      <c r="F3221" t="n">
        <v>0.9999155576789288</v>
      </c>
      <c r="G3221" t="inlineStr">
        <is>
          <t>C</t>
        </is>
      </c>
      <c r="H3221" t="n">
        <v>0</v>
      </c>
      <c r="I3221" t="n">
        <v>0.3159183673</v>
      </c>
      <c r="J3221" t="n">
        <v>0</v>
      </c>
      <c r="K3221" t="n">
        <v>0.5</v>
      </c>
      <c r="L3221" t="n">
        <v>0</v>
      </c>
      <c r="M3221" t="n">
        <v>4</v>
      </c>
      <c r="N3221" t="n">
        <v>2</v>
      </c>
      <c r="O3221" t="n">
        <v>0</v>
      </c>
      <c r="P3221" t="n">
        <v>0</v>
      </c>
      <c r="Q3221" t="n">
        <v>0</v>
      </c>
      <c r="R3221" t="inlineStr">
        <is>
          <t>Riesgo bajo stock</t>
        </is>
      </c>
    </row>
    <row r="3222">
      <c r="A3222" t="inlineStr">
        <is>
          <t>MANMEGE30TG</t>
        </is>
      </c>
      <c r="B3222" t="inlineStr">
        <is>
          <t>MANGAS SPORT MESH</t>
        </is>
      </c>
      <c r="C3222" t="inlineStr">
        <is>
          <t>Manufactura / General</t>
        </is>
      </c>
      <c r="D3222" t="n">
        <v>13</v>
      </c>
      <c r="E3222" t="n">
        <v>3.18282342275318e-06</v>
      </c>
      <c r="F3222" t="n">
        <v>0.9999187405023515</v>
      </c>
      <c r="G3222" t="inlineStr">
        <is>
          <t>C</t>
        </is>
      </c>
      <c r="H3222" t="n">
        <v>0</v>
      </c>
      <c r="I3222" t="n">
        <v>1.12</v>
      </c>
      <c r="J3222" t="n">
        <v>0</v>
      </c>
      <c r="K3222" t="n">
        <v>0.1</v>
      </c>
      <c r="L3222" t="n">
        <v>0</v>
      </c>
      <c r="M3222" t="n">
        <v>4</v>
      </c>
      <c r="N3222" t="n">
        <v>0.4</v>
      </c>
      <c r="O3222" t="n">
        <v>0</v>
      </c>
      <c r="P3222" t="n">
        <v>0</v>
      </c>
      <c r="Q3222" t="n">
        <v>0</v>
      </c>
      <c r="R3222" t="inlineStr">
        <is>
          <t>Riesgo bajo stock</t>
        </is>
      </c>
    </row>
    <row r="3223">
      <c r="A3223" t="inlineStr">
        <is>
          <t>MANMIGE01TG</t>
        </is>
      </c>
      <c r="B3223" t="inlineStr">
        <is>
          <t>MANGAS GENERAL</t>
        </is>
      </c>
      <c r="C3223" t="inlineStr">
        <is>
          <t>Manufactura / General</t>
        </is>
      </c>
      <c r="D3223" t="n">
        <v>12.99374626</v>
      </c>
      <c r="E3223" t="n">
        <v>3.181292303510733e-06</v>
      </c>
      <c r="F3223" t="n">
        <v>0.9999219217946551</v>
      </c>
      <c r="G3223" t="inlineStr">
        <is>
          <t>C</t>
        </is>
      </c>
      <c r="H3223" t="n">
        <v>5</v>
      </c>
      <c r="I3223" t="n">
        <v>0.92</v>
      </c>
      <c r="J3223" t="n">
        <v>4.600000000000001</v>
      </c>
      <c r="K3223" t="n">
        <v>0.2</v>
      </c>
      <c r="L3223" t="n">
        <v>25</v>
      </c>
      <c r="M3223" t="n">
        <v>4</v>
      </c>
      <c r="N3223" t="n">
        <v>0.8</v>
      </c>
      <c r="O3223" t="n">
        <v>4.2</v>
      </c>
      <c r="P3223" t="n">
        <v>3.864</v>
      </c>
      <c r="Q3223" t="n">
        <v>0.84</v>
      </c>
      <c r="R3223" t="inlineStr">
        <is>
          <t>Sobrestock crítico</t>
        </is>
      </c>
    </row>
    <row r="3224">
      <c r="A3224" t="inlineStr">
        <is>
          <t>DAMSTKI16T2</t>
        </is>
      </c>
      <c r="B3224" t="inlineStr">
        <is>
          <t>MANGA LARGA DAILY KIDS</t>
        </is>
      </c>
      <c r="C3224" t="inlineStr">
        <is>
          <t>Manufactura / Kids / P. Superiores</t>
        </is>
      </c>
      <c r="D3224" t="n">
        <v>12.64020925</v>
      </c>
      <c r="E3224" t="n">
        <v>3.094734928415493e-06</v>
      </c>
      <c r="F3224" t="n">
        <v>0.9999250165295834</v>
      </c>
      <c r="G3224" t="inlineStr">
        <is>
          <t>C</t>
        </is>
      </c>
      <c r="H3224" t="n">
        <v>0</v>
      </c>
      <c r="I3224" t="n">
        <v>10.1</v>
      </c>
      <c r="J3224" t="n">
        <v>0</v>
      </c>
      <c r="K3224" t="n">
        <v>0.1</v>
      </c>
      <c r="L3224" t="n">
        <v>0</v>
      </c>
      <c r="M3224" t="n">
        <v>4</v>
      </c>
      <c r="N3224" t="n">
        <v>0.4</v>
      </c>
      <c r="O3224" t="n">
        <v>0</v>
      </c>
      <c r="P3224" t="n">
        <v>0</v>
      </c>
      <c r="Q3224" t="n">
        <v>0</v>
      </c>
      <c r="R3224" t="inlineStr">
        <is>
          <t>Sin rotación</t>
        </is>
      </c>
    </row>
    <row r="3225">
      <c r="A3225" t="inlineStr">
        <is>
          <t>PETMIPE66TM</t>
        </is>
      </c>
      <c r="B3225" t="inlineStr">
        <is>
          <t>BANDANA PET</t>
        </is>
      </c>
      <c r="C3225" t="inlineStr">
        <is>
          <t>Manufactura / General</t>
        </is>
      </c>
      <c r="D3225" t="n">
        <v>12.6</v>
      </c>
      <c r="E3225" t="n">
        <v>3.084890394360774e-06</v>
      </c>
      <c r="F3225" t="n">
        <v>0.9999311863103723</v>
      </c>
      <c r="G3225" t="inlineStr">
        <is>
          <t>C</t>
        </is>
      </c>
      <c r="H3225" t="n">
        <v>125</v>
      </c>
      <c r="I3225" t="n">
        <v>0.3252662283</v>
      </c>
      <c r="J3225" t="n">
        <v>40.6582785375</v>
      </c>
      <c r="K3225" t="n">
        <v>0.1</v>
      </c>
      <c r="L3225" t="n">
        <v>1250</v>
      </c>
      <c r="M3225" t="n">
        <v>4</v>
      </c>
      <c r="N3225" t="n">
        <v>0.4</v>
      </c>
      <c r="O3225" t="n">
        <v>124.6</v>
      </c>
      <c r="P3225" t="n">
        <v>40.52817204618</v>
      </c>
      <c r="Q3225" t="n">
        <v>0.9968</v>
      </c>
      <c r="R3225" t="inlineStr">
        <is>
          <t>Sobrestock crítico</t>
        </is>
      </c>
    </row>
    <row r="3226">
      <c r="A3226" t="inlineStr">
        <is>
          <t>PETMIPE70TL</t>
        </is>
      </c>
      <c r="B3226" t="inlineStr">
        <is>
          <t>BANDANA PET</t>
        </is>
      </c>
      <c r="C3226" t="inlineStr">
        <is>
          <t>Manufactura / General</t>
        </is>
      </c>
      <c r="D3226" t="n">
        <v>12.6</v>
      </c>
      <c r="E3226" t="n">
        <v>3.084890394360774e-06</v>
      </c>
      <c r="F3226" t="n">
        <v>0.9999311863103723</v>
      </c>
      <c r="G3226" t="inlineStr">
        <is>
          <t>C</t>
        </is>
      </c>
      <c r="H3226" t="n">
        <v>0</v>
      </c>
      <c r="I3226" t="n">
        <v>0.3252662283</v>
      </c>
      <c r="J3226" t="n">
        <v>0</v>
      </c>
      <c r="K3226" t="n">
        <v>0.1</v>
      </c>
      <c r="L3226" t="n">
        <v>0</v>
      </c>
      <c r="M3226" t="n">
        <v>4</v>
      </c>
      <c r="N3226" t="n">
        <v>0.4</v>
      </c>
      <c r="O3226" t="n">
        <v>0</v>
      </c>
      <c r="P3226" t="n">
        <v>0</v>
      </c>
      <c r="Q3226" t="n">
        <v>0</v>
      </c>
      <c r="R3226" t="inlineStr">
        <is>
          <t>Riesgo bajo stock</t>
        </is>
      </c>
    </row>
    <row r="3227">
      <c r="A3227" t="inlineStr">
        <is>
          <t>CLAMIKI24T14</t>
        </is>
      </c>
      <c r="B3227" t="inlineStr">
        <is>
          <t>CLASICA ORIGINAL KIDS</t>
        </is>
      </c>
      <c r="C3227" t="inlineStr">
        <is>
          <t>Manufactura / Kids / P. Superiores</t>
        </is>
      </c>
      <c r="D3227" t="n">
        <v>12.51379995</v>
      </c>
      <c r="E3227" t="n">
        <v>3.063785814500582e-06</v>
      </c>
      <c r="F3227" t="n">
        <v>0.9999342500961867</v>
      </c>
      <c r="G3227" t="inlineStr">
        <is>
          <t>C</t>
        </is>
      </c>
      <c r="H3227" t="n">
        <v>0</v>
      </c>
      <c r="I3227" t="n">
        <v>2.053774806</v>
      </c>
      <c r="J3227" t="n">
        <v>0</v>
      </c>
      <c r="K3227" t="n">
        <v>0.1</v>
      </c>
      <c r="L3227" t="n">
        <v>0</v>
      </c>
      <c r="M3227" t="n">
        <v>4</v>
      </c>
      <c r="N3227" t="n">
        <v>0.4</v>
      </c>
      <c r="O3227" t="n">
        <v>0</v>
      </c>
      <c r="P3227" t="n">
        <v>0</v>
      </c>
      <c r="Q3227" t="n">
        <v>0</v>
      </c>
      <c r="R3227" t="inlineStr">
        <is>
          <t>Sin rotación</t>
        </is>
      </c>
    </row>
    <row r="3228">
      <c r="A3228" t="inlineStr">
        <is>
          <t>MANMIGE11TP</t>
        </is>
      </c>
      <c r="B3228" t="inlineStr">
        <is>
          <t>MANGAS GENERAL</t>
        </is>
      </c>
      <c r="C3228" t="inlineStr">
        <is>
          <t>Manufactura / General</t>
        </is>
      </c>
      <c r="D3228" t="n">
        <v>12</v>
      </c>
      <c r="E3228" t="n">
        <v>2.937990851772166e-06</v>
      </c>
      <c r="F3228" t="n">
        <v>0.9999460020595938</v>
      </c>
      <c r="G3228" t="inlineStr">
        <is>
          <t>C</t>
        </is>
      </c>
      <c r="H3228" t="n">
        <v>27</v>
      </c>
      <c r="I3228" t="n">
        <v>0.92</v>
      </c>
      <c r="J3228" t="n">
        <v>24.84</v>
      </c>
      <c r="K3228" t="n">
        <v>0.1</v>
      </c>
      <c r="L3228" t="n">
        <v>270</v>
      </c>
      <c r="M3228" t="n">
        <v>4</v>
      </c>
      <c r="N3228" t="n">
        <v>0.4</v>
      </c>
      <c r="O3228" t="n">
        <v>26.6</v>
      </c>
      <c r="P3228" t="n">
        <v>24.472</v>
      </c>
      <c r="Q3228" t="n">
        <v>0.9851851851851853</v>
      </c>
      <c r="R3228" t="inlineStr">
        <is>
          <t>Sobrestock crítico</t>
        </is>
      </c>
    </row>
    <row r="3229">
      <c r="A3229" t="inlineStr">
        <is>
          <t>PETMIPE39TM</t>
        </is>
      </c>
      <c r="B3229" t="inlineStr">
        <is>
          <t>BANDANA PET</t>
        </is>
      </c>
      <c r="C3229" t="inlineStr">
        <is>
          <t>Manufactura / General</t>
        </is>
      </c>
      <c r="D3229" t="n">
        <v>12</v>
      </c>
      <c r="E3229" t="n">
        <v>2.937990851772166e-06</v>
      </c>
      <c r="F3229" t="n">
        <v>0.9999460020595938</v>
      </c>
      <c r="G3229" t="inlineStr">
        <is>
          <t>C</t>
        </is>
      </c>
      <c r="H3229" t="n">
        <v>85</v>
      </c>
      <c r="I3229" t="n">
        <v>0.3252662283</v>
      </c>
      <c r="J3229" t="n">
        <v>27.6476294055</v>
      </c>
      <c r="K3229" t="n">
        <v>0.1</v>
      </c>
      <c r="L3229" t="n">
        <v>850</v>
      </c>
      <c r="M3229" t="n">
        <v>4</v>
      </c>
      <c r="N3229" t="n">
        <v>0.4</v>
      </c>
      <c r="O3229" t="n">
        <v>84.59999999999999</v>
      </c>
      <c r="P3229" t="n">
        <v>27.51752291418</v>
      </c>
      <c r="Q3229" t="n">
        <v>0.9952941176470587</v>
      </c>
      <c r="R3229" t="inlineStr">
        <is>
          <t>Sobrestock crítico</t>
        </is>
      </c>
    </row>
    <row r="3230">
      <c r="A3230" t="inlineStr">
        <is>
          <t>PETMIPE01TL</t>
        </is>
      </c>
      <c r="B3230" t="inlineStr">
        <is>
          <t>BANDANA PET</t>
        </is>
      </c>
      <c r="C3230" t="inlineStr">
        <is>
          <t>Manufactura / General</t>
        </is>
      </c>
      <c r="D3230" t="n">
        <v>12</v>
      </c>
      <c r="E3230" t="n">
        <v>2.937990851772166e-06</v>
      </c>
      <c r="F3230" t="n">
        <v>0.9999460020595938</v>
      </c>
      <c r="G3230" t="inlineStr">
        <is>
          <t>C</t>
        </is>
      </c>
      <c r="H3230" t="n">
        <v>110</v>
      </c>
      <c r="I3230" t="n">
        <v>0.3252662283</v>
      </c>
      <c r="J3230" t="n">
        <v>35.779285113</v>
      </c>
      <c r="K3230" t="n">
        <v>0.1</v>
      </c>
      <c r="L3230" t="n">
        <v>1100</v>
      </c>
      <c r="M3230" t="n">
        <v>4</v>
      </c>
      <c r="N3230" t="n">
        <v>0.4</v>
      </c>
      <c r="O3230" t="n">
        <v>109.6</v>
      </c>
      <c r="P3230" t="n">
        <v>35.64917862168</v>
      </c>
      <c r="Q3230" t="n">
        <v>0.9963636363636363</v>
      </c>
      <c r="R3230" t="inlineStr">
        <is>
          <t>Sobrestock crítico</t>
        </is>
      </c>
    </row>
    <row r="3231">
      <c r="A3231" t="inlineStr">
        <is>
          <t>PETMIPE66TL</t>
        </is>
      </c>
      <c r="B3231" t="inlineStr">
        <is>
          <t>BANDANA PET</t>
        </is>
      </c>
      <c r="C3231" t="inlineStr">
        <is>
          <t>Manufactura / General</t>
        </is>
      </c>
      <c r="D3231" t="n">
        <v>12</v>
      </c>
      <c r="E3231" t="n">
        <v>2.937990851772166e-06</v>
      </c>
      <c r="F3231" t="n">
        <v>0.9999460020595938</v>
      </c>
      <c r="G3231" t="inlineStr">
        <is>
          <t>C</t>
        </is>
      </c>
      <c r="H3231" t="n">
        <v>8</v>
      </c>
      <c r="I3231" t="n">
        <v>0.3252662283</v>
      </c>
      <c r="J3231" t="n">
        <v>2.6021298264</v>
      </c>
      <c r="K3231" t="n">
        <v>0.1</v>
      </c>
      <c r="L3231" t="n">
        <v>80</v>
      </c>
      <c r="M3231" t="n">
        <v>4</v>
      </c>
      <c r="N3231" t="n">
        <v>0.4</v>
      </c>
      <c r="O3231" t="n">
        <v>7.6</v>
      </c>
      <c r="P3231" t="n">
        <v>2.47202333508</v>
      </c>
      <c r="Q3231" t="n">
        <v>0.9499999999999998</v>
      </c>
      <c r="R3231" t="inlineStr">
        <is>
          <t>Sobrestock crítico</t>
        </is>
      </c>
    </row>
    <row r="3232">
      <c r="A3232" t="inlineStr">
        <is>
          <t>PETMIPE09TXL</t>
        </is>
      </c>
      <c r="B3232" t="inlineStr">
        <is>
          <t>BANDANA PET</t>
        </is>
      </c>
      <c r="C3232" t="inlineStr">
        <is>
          <t>Manufactura / General</t>
        </is>
      </c>
      <c r="D3232" t="n">
        <v>11.87152006</v>
      </c>
      <c r="E3232" t="n">
        <v>2.90653477774248e-06</v>
      </c>
      <c r="F3232" t="n">
        <v>0.9999489085943716</v>
      </c>
      <c r="G3232" t="inlineStr">
        <is>
          <t>C</t>
        </is>
      </c>
      <c r="H3232" t="n">
        <v>0</v>
      </c>
      <c r="I3232" t="n">
        <v>0.3252662283</v>
      </c>
      <c r="J3232" t="n">
        <v>0</v>
      </c>
      <c r="K3232" t="n">
        <v>0.2</v>
      </c>
      <c r="L3232" t="n">
        <v>0</v>
      </c>
      <c r="M3232" t="n">
        <v>4</v>
      </c>
      <c r="N3232" t="n">
        <v>0.8</v>
      </c>
      <c r="O3232" t="n">
        <v>0</v>
      </c>
      <c r="P3232" t="n">
        <v>0</v>
      </c>
      <c r="Q3232" t="n">
        <v>0</v>
      </c>
      <c r="R3232" t="inlineStr">
        <is>
          <t>Riesgo bajo stock</t>
        </is>
      </c>
    </row>
    <row r="3233">
      <c r="A3233" t="inlineStr">
        <is>
          <t>PETMIPE53TS</t>
        </is>
      </c>
      <c r="B3233" t="inlineStr">
        <is>
          <t>BANDANA PET</t>
        </is>
      </c>
      <c r="C3233" t="inlineStr">
        <is>
          <t>Manufactura / General</t>
        </is>
      </c>
      <c r="D3233" t="n">
        <v>11.60112154</v>
      </c>
      <c r="E3233" t="n">
        <v>2.840332412901418e-06</v>
      </c>
      <c r="F3233" t="n">
        <v>0.9999517489267844</v>
      </c>
      <c r="G3233" t="inlineStr">
        <is>
          <t>C</t>
        </is>
      </c>
      <c r="H3233" t="n">
        <v>0</v>
      </c>
      <c r="I3233" t="n">
        <v>0.3252662283</v>
      </c>
      <c r="J3233" t="n">
        <v>0</v>
      </c>
      <c r="K3233" t="n">
        <v>0.1</v>
      </c>
      <c r="L3233" t="n">
        <v>0</v>
      </c>
      <c r="M3233" t="n">
        <v>4</v>
      </c>
      <c r="N3233" t="n">
        <v>0.4</v>
      </c>
      <c r="O3233" t="n">
        <v>0</v>
      </c>
      <c r="P3233" t="n">
        <v>0</v>
      </c>
      <c r="Q3233" t="n">
        <v>0</v>
      </c>
      <c r="R3233" t="inlineStr">
        <is>
          <t>Sin rotación</t>
        </is>
      </c>
    </row>
    <row r="3234">
      <c r="A3234" t="inlineStr">
        <is>
          <t>SARSPKI13T6</t>
        </is>
      </c>
      <c r="B3234" t="inlineStr">
        <is>
          <t>FALDA SARA KIDS</t>
        </is>
      </c>
      <c r="C3234" t="inlineStr">
        <is>
          <t>Manufactura / Kids / P. Inferiores</t>
        </is>
      </c>
      <c r="D3234" t="n">
        <v>11.52161025</v>
      </c>
      <c r="E3234" t="n">
        <v>2.820865459348701e-06</v>
      </c>
      <c r="F3234" t="n">
        <v>0.9999545697922438</v>
      </c>
      <c r="G3234" t="inlineStr">
        <is>
          <t>C</t>
        </is>
      </c>
      <c r="H3234" t="n">
        <v>0</v>
      </c>
      <c r="I3234" t="n">
        <v>5.753743316</v>
      </c>
      <c r="J3234" t="n">
        <v>0</v>
      </c>
      <c r="K3234" t="n">
        <v>0</v>
      </c>
      <c r="L3234" t="n">
        <v>0</v>
      </c>
      <c r="M3234" t="n">
        <v>4</v>
      </c>
      <c r="N3234" t="n">
        <v>0</v>
      </c>
      <c r="O3234" t="n">
        <v>0</v>
      </c>
      <c r="P3234" t="n">
        <v>0</v>
      </c>
      <c r="Q3234" t="n">
        <v>0</v>
      </c>
      <c r="R3234" t="inlineStr">
        <is>
          <t>Sin rotación</t>
        </is>
      </c>
    </row>
    <row r="3235">
      <c r="A3235" t="inlineStr">
        <is>
          <t>PETMIPE24TS</t>
        </is>
      </c>
      <c r="B3235" t="inlineStr">
        <is>
          <t>BANDANA PET</t>
        </is>
      </c>
      <c r="C3235" t="inlineStr">
        <is>
          <t>Manufactura / General</t>
        </is>
      </c>
      <c r="D3235" t="n">
        <v>11.48594751</v>
      </c>
      <c r="E3235" t="n">
        <v>2.812134059026274e-06</v>
      </c>
      <c r="F3235" t="n">
        <v>0.9999573819263029</v>
      </c>
      <c r="G3235" t="inlineStr">
        <is>
          <t>C</t>
        </is>
      </c>
      <c r="H3235" t="n">
        <v>0</v>
      </c>
      <c r="I3235" t="n">
        <v>0.3252662283</v>
      </c>
      <c r="J3235" t="n">
        <v>0</v>
      </c>
      <c r="K3235" t="n">
        <v>0.1</v>
      </c>
      <c r="L3235" t="n">
        <v>0</v>
      </c>
      <c r="M3235" t="n">
        <v>4</v>
      </c>
      <c r="N3235" t="n">
        <v>0.4</v>
      </c>
      <c r="O3235" t="n">
        <v>0</v>
      </c>
      <c r="P3235" t="n">
        <v>0</v>
      </c>
      <c r="Q3235" t="n">
        <v>0</v>
      </c>
      <c r="R3235" t="inlineStr">
        <is>
          <t>Sin rotación</t>
        </is>
      </c>
    </row>
    <row r="3236">
      <c r="A3236" t="inlineStr">
        <is>
          <t>PETMIPE40TXL</t>
        </is>
      </c>
      <c r="B3236" t="inlineStr">
        <is>
          <t>BANDANA PET</t>
        </is>
      </c>
      <c r="C3236" t="inlineStr">
        <is>
          <t>Manufactura / General</t>
        </is>
      </c>
      <c r="D3236" t="n">
        <v>11.36420347</v>
      </c>
      <c r="E3236" t="n">
        <v>2.782327152711459e-06</v>
      </c>
      <c r="F3236" t="n">
        <v>0.9999601642534556</v>
      </c>
      <c r="G3236" t="inlineStr">
        <is>
          <t>C</t>
        </is>
      </c>
      <c r="H3236" t="n">
        <v>0</v>
      </c>
      <c r="I3236" t="n">
        <v>0.3252662283</v>
      </c>
      <c r="J3236" t="n">
        <v>0</v>
      </c>
      <c r="K3236" t="n">
        <v>0.1</v>
      </c>
      <c r="L3236" t="n">
        <v>0</v>
      </c>
      <c r="M3236" t="n">
        <v>4</v>
      </c>
      <c r="N3236" t="n">
        <v>0.4</v>
      </c>
      <c r="O3236" t="n">
        <v>0</v>
      </c>
      <c r="P3236" t="n">
        <v>0</v>
      </c>
      <c r="Q3236" t="n">
        <v>0</v>
      </c>
      <c r="R3236" t="inlineStr">
        <is>
          <t>Sin rotación</t>
        </is>
      </c>
    </row>
    <row r="3237">
      <c r="A3237" t="inlineStr">
        <is>
          <t>BUFMIGE04TUN</t>
        </is>
      </c>
      <c r="B3237" t="inlineStr">
        <is>
          <t>FLEX COVER</t>
        </is>
      </c>
      <c r="C3237" t="inlineStr">
        <is>
          <t>Manufactura / General</t>
        </is>
      </c>
      <c r="D3237" t="n">
        <v>11.24912898</v>
      </c>
      <c r="E3237" t="n">
        <v>2.75415316947043e-06</v>
      </c>
      <c r="F3237" t="n">
        <v>0.9999629184066251</v>
      </c>
      <c r="G3237" t="inlineStr">
        <is>
          <t>C</t>
        </is>
      </c>
      <c r="H3237" t="n">
        <v>3</v>
      </c>
      <c r="I3237" t="n">
        <v>2.21</v>
      </c>
      <c r="J3237" t="n">
        <v>6.63</v>
      </c>
      <c r="K3237" t="n">
        <v>0.2</v>
      </c>
      <c r="L3237" t="n">
        <v>15</v>
      </c>
      <c r="M3237" t="n">
        <v>4</v>
      </c>
      <c r="N3237" t="n">
        <v>0.8</v>
      </c>
      <c r="O3237" t="n">
        <v>2.2</v>
      </c>
      <c r="P3237" t="n">
        <v>4.862</v>
      </c>
      <c r="Q3237" t="n">
        <v>0.7333333333333334</v>
      </c>
      <c r="R3237" t="inlineStr">
        <is>
          <t>Sin rotación</t>
        </is>
      </c>
    </row>
    <row r="3238">
      <c r="A3238" t="inlineStr">
        <is>
          <t>P01</t>
        </is>
      </c>
      <c r="B3238" t="inlineStr">
        <is>
          <t>PARCHES</t>
        </is>
      </c>
      <c r="C3238" t="inlineStr">
        <is>
          <t>Equipamiento / Accesorios</t>
        </is>
      </c>
      <c r="D3238" t="n">
        <v>10.367056701</v>
      </c>
      <c r="E3238" t="n">
        <v>2.538193145611777e-06</v>
      </c>
      <c r="F3238" t="n">
        <v>0.9999654565997707</v>
      </c>
      <c r="G3238" t="inlineStr">
        <is>
          <t>C</t>
        </is>
      </c>
      <c r="H3238" t="n">
        <v>13</v>
      </c>
      <c r="I3238" t="n">
        <v>0.98</v>
      </c>
      <c r="J3238" t="n">
        <v>12.74</v>
      </c>
      <c r="K3238" t="n">
        <v>0.3</v>
      </c>
      <c r="L3238" t="n">
        <v>43.33333333333334</v>
      </c>
      <c r="M3238" t="n">
        <v>4</v>
      </c>
      <c r="N3238" t="n">
        <v>1.2</v>
      </c>
      <c r="O3238" t="n">
        <v>11.8</v>
      </c>
      <c r="P3238" t="n">
        <v>11.564</v>
      </c>
      <c r="Q3238" t="n">
        <v>0.9076923076923077</v>
      </c>
      <c r="R3238" t="inlineStr">
        <is>
          <t>Sobrestock crítico</t>
        </is>
      </c>
    </row>
    <row r="3239">
      <c r="A3239" t="inlineStr">
        <is>
          <t>PETMIPE48TL</t>
        </is>
      </c>
      <c r="B3239" t="inlineStr">
        <is>
          <t>BANDANA PET</t>
        </is>
      </c>
      <c r="C3239" t="inlineStr">
        <is>
          <t>Manufactura / General</t>
        </is>
      </c>
      <c r="D3239" t="n">
        <v>10.08595653</v>
      </c>
      <c r="E3239" t="n">
        <v>2.469370668042645e-06</v>
      </c>
      <c r="F3239" t="n">
        <v>0.9999679259704387</v>
      </c>
      <c r="G3239" t="inlineStr">
        <is>
          <t>C</t>
        </is>
      </c>
      <c r="H3239" t="n">
        <v>0</v>
      </c>
      <c r="I3239" t="n">
        <v>0.3252662283</v>
      </c>
      <c r="J3239" t="n">
        <v>0</v>
      </c>
      <c r="K3239" t="n">
        <v>0.1</v>
      </c>
      <c r="L3239" t="n">
        <v>0</v>
      </c>
      <c r="M3239" t="n">
        <v>4</v>
      </c>
      <c r="N3239" t="n">
        <v>0.4</v>
      </c>
      <c r="O3239" t="n">
        <v>0</v>
      </c>
      <c r="P3239" t="n">
        <v>0</v>
      </c>
      <c r="Q3239" t="n">
        <v>0</v>
      </c>
      <c r="R3239" t="inlineStr">
        <is>
          <t>Sin rotación</t>
        </is>
      </c>
    </row>
    <row r="3240">
      <c r="A3240" t="inlineStr">
        <is>
          <t>BUFMIGE05TUN</t>
        </is>
      </c>
      <c r="B3240" t="inlineStr">
        <is>
          <t>FLEX COVER</t>
        </is>
      </c>
      <c r="C3240" t="inlineStr">
        <is>
          <t>Manufactura / General</t>
        </is>
      </c>
      <c r="D3240" t="n">
        <v>10.00040707</v>
      </c>
      <c r="E3240" t="n">
        <v>2.448425373804808e-06</v>
      </c>
      <c r="F3240" t="n">
        <v>0.9999703743958125</v>
      </c>
      <c r="G3240" t="inlineStr">
        <is>
          <t>C</t>
        </is>
      </c>
      <c r="H3240" t="n">
        <v>7</v>
      </c>
      <c r="I3240" t="n">
        <v>2.21</v>
      </c>
      <c r="J3240" t="n">
        <v>15.47</v>
      </c>
      <c r="K3240" t="n">
        <v>0.1</v>
      </c>
      <c r="L3240" t="n">
        <v>70</v>
      </c>
      <c r="M3240" t="n">
        <v>4</v>
      </c>
      <c r="N3240" t="n">
        <v>0.4</v>
      </c>
      <c r="O3240" t="n">
        <v>6.6</v>
      </c>
      <c r="P3240" t="n">
        <v>14.586</v>
      </c>
      <c r="Q3240" t="n">
        <v>0.9428571428571428</v>
      </c>
      <c r="R3240" t="inlineStr">
        <is>
          <t>Sin rotación</t>
        </is>
      </c>
    </row>
    <row r="3241">
      <c r="A3241" t="inlineStr">
        <is>
          <t>PETMIPE70TM</t>
        </is>
      </c>
      <c r="B3241" t="inlineStr">
        <is>
          <t>BANDANA PET</t>
        </is>
      </c>
      <c r="C3241" t="inlineStr">
        <is>
          <t>Manufactura / General</t>
        </is>
      </c>
      <c r="D3241" t="n">
        <v>9.625498657</v>
      </c>
      <c r="E3241" t="n">
        <v>2.356635583167606e-06</v>
      </c>
      <c r="F3241" t="n">
        <v>0.9999727310313957</v>
      </c>
      <c r="G3241" t="inlineStr">
        <is>
          <t>C</t>
        </is>
      </c>
      <c r="H3241" t="n">
        <v>0</v>
      </c>
      <c r="I3241" t="n">
        <v>0.3252662283</v>
      </c>
      <c r="J3241" t="n">
        <v>0</v>
      </c>
      <c r="K3241" t="n">
        <v>0.1</v>
      </c>
      <c r="L3241" t="n">
        <v>0</v>
      </c>
      <c r="M3241" t="n">
        <v>4</v>
      </c>
      <c r="N3241" t="n">
        <v>0.4</v>
      </c>
      <c r="O3241" t="n">
        <v>0</v>
      </c>
      <c r="P3241" t="n">
        <v>0</v>
      </c>
      <c r="Q3241" t="n">
        <v>0</v>
      </c>
      <c r="R3241" t="inlineStr">
        <is>
          <t>Sin rotación</t>
        </is>
      </c>
    </row>
    <row r="3242">
      <c r="A3242" t="inlineStr">
        <is>
          <t>BAN04EL</t>
        </is>
      </c>
      <c r="B3242" t="inlineStr">
        <is>
          <t>CUADRO BAND ELASTIC</t>
        </is>
      </c>
      <c r="C3242" t="inlineStr">
        <is>
          <t>Equipamiento / Accesorios</t>
        </is>
      </c>
      <c r="D3242" t="n">
        <v>9.548828703</v>
      </c>
      <c r="E3242" t="n">
        <v>2.33786428121279e-06</v>
      </c>
      <c r="F3242" t="n">
        <v>0.9999750688956769</v>
      </c>
      <c r="G3242" t="inlineStr">
        <is>
          <t>C</t>
        </is>
      </c>
      <c r="H3242" t="n">
        <v>76</v>
      </c>
      <c r="I3242" t="n">
        <v>0.3</v>
      </c>
      <c r="J3242" t="n">
        <v>22.8</v>
      </c>
      <c r="K3242" t="n">
        <v>1</v>
      </c>
      <c r="L3242" t="n">
        <v>76</v>
      </c>
      <c r="M3242" t="n">
        <v>4</v>
      </c>
      <c r="N3242" t="n">
        <v>4</v>
      </c>
      <c r="O3242" t="n">
        <v>72</v>
      </c>
      <c r="P3242" t="n">
        <v>21.6</v>
      </c>
      <c r="Q3242" t="n">
        <v>0.9473684210526314</v>
      </c>
      <c r="R3242" t="inlineStr">
        <is>
          <t>Sobrestock crítico</t>
        </is>
      </c>
    </row>
    <row r="3243">
      <c r="A3243" t="inlineStr">
        <is>
          <t>PETMIPE43TL</t>
        </is>
      </c>
      <c r="B3243" t="inlineStr">
        <is>
          <t>BANDANA PET</t>
        </is>
      </c>
      <c r="C3243" t="inlineStr">
        <is>
          <t>Manufactura / General</t>
        </is>
      </c>
      <c r="D3243" t="n">
        <v>9.407066678</v>
      </c>
      <c r="E3243" t="n">
        <v>2.303156320164565e-06</v>
      </c>
      <c r="F3243" t="n">
        <v>0.9999773720519971</v>
      </c>
      <c r="G3243" t="inlineStr">
        <is>
          <t>C</t>
        </is>
      </c>
      <c r="H3243" t="n">
        <v>0</v>
      </c>
      <c r="I3243" t="n">
        <v>0.3252662283</v>
      </c>
      <c r="J3243" t="n">
        <v>0</v>
      </c>
      <c r="K3243" t="n">
        <v>0.1</v>
      </c>
      <c r="L3243" t="n">
        <v>0</v>
      </c>
      <c r="M3243" t="n">
        <v>4</v>
      </c>
      <c r="N3243" t="n">
        <v>0.4</v>
      </c>
      <c r="O3243" t="n">
        <v>0</v>
      </c>
      <c r="P3243" t="n">
        <v>0</v>
      </c>
      <c r="Q3243" t="n">
        <v>0</v>
      </c>
      <c r="R3243" t="inlineStr">
        <is>
          <t>Sin rotación</t>
        </is>
      </c>
    </row>
    <row r="3244">
      <c r="A3244" t="inlineStr">
        <is>
          <t>BAN163CC</t>
        </is>
      </c>
      <c r="B3244" t="inlineStr">
        <is>
          <t>CUADRO BAND</t>
        </is>
      </c>
      <c r="C3244" t="inlineStr">
        <is>
          <t>Equipamiento / Accesorios</t>
        </is>
      </c>
      <c r="D3244" t="n">
        <v>9.396044808999999</v>
      </c>
      <c r="E3244" t="n">
        <v>2.300457807640279e-06</v>
      </c>
      <c r="F3244" t="n">
        <v>0.9999796725098047</v>
      </c>
      <c r="G3244" t="inlineStr">
        <is>
          <t>C</t>
        </is>
      </c>
      <c r="H3244" t="n">
        <v>19</v>
      </c>
      <c r="I3244" t="n">
        <v>0.3159183673</v>
      </c>
      <c r="J3244" t="n">
        <v>6.0024489787</v>
      </c>
      <c r="K3244" t="n">
        <v>0.4</v>
      </c>
      <c r="L3244" t="n">
        <v>47.5</v>
      </c>
      <c r="M3244" t="n">
        <v>4</v>
      </c>
      <c r="N3244" t="n">
        <v>1.6</v>
      </c>
      <c r="O3244" t="n">
        <v>17.4</v>
      </c>
      <c r="P3244" t="n">
        <v>5.49697959102</v>
      </c>
      <c r="Q3244" t="n">
        <v>0.9157894736842104</v>
      </c>
      <c r="R3244" t="inlineStr">
        <is>
          <t>Sobrestock crítico</t>
        </is>
      </c>
    </row>
    <row r="3245">
      <c r="A3245" t="inlineStr">
        <is>
          <t>PETMIPE11TS</t>
        </is>
      </c>
      <c r="B3245" t="inlineStr">
        <is>
          <t>BANDANA PET</t>
        </is>
      </c>
      <c r="C3245" t="inlineStr">
        <is>
          <t>Manufactura / General</t>
        </is>
      </c>
      <c r="D3245" t="n">
        <v>9.188328672999999</v>
      </c>
      <c r="E3245" t="n">
        <v>2.249602132029157e-06</v>
      </c>
      <c r="F3245" t="n">
        <v>0.9999819221119368</v>
      </c>
      <c r="G3245" t="inlineStr">
        <is>
          <t>C</t>
        </is>
      </c>
      <c r="H3245" t="n">
        <v>0</v>
      </c>
      <c r="I3245" t="n">
        <v>0.3252662283</v>
      </c>
      <c r="J3245" t="n">
        <v>0</v>
      </c>
      <c r="K3245" t="n">
        <v>0.1</v>
      </c>
      <c r="L3245" t="n">
        <v>0</v>
      </c>
      <c r="M3245" t="n">
        <v>4</v>
      </c>
      <c r="N3245" t="n">
        <v>0.4</v>
      </c>
      <c r="O3245" t="n">
        <v>0</v>
      </c>
      <c r="P3245" t="n">
        <v>0</v>
      </c>
      <c r="Q3245" t="n">
        <v>0</v>
      </c>
      <c r="R3245" t="inlineStr">
        <is>
          <t>Sin rotación</t>
        </is>
      </c>
    </row>
    <row r="3246">
      <c r="A3246" t="inlineStr">
        <is>
          <t>PETMIPE12TM</t>
        </is>
      </c>
      <c r="B3246" t="inlineStr">
        <is>
          <t>BANDANA PET</t>
        </is>
      </c>
      <c r="C3246" t="inlineStr">
        <is>
          <t>Manufactura / General</t>
        </is>
      </c>
      <c r="D3246" t="n">
        <v>9.177323555999999</v>
      </c>
      <c r="E3246" t="n">
        <v>2.2469077209401e-06</v>
      </c>
      <c r="F3246" t="n">
        <v>0.9999841690196577</v>
      </c>
      <c r="G3246" t="inlineStr">
        <is>
          <t>C</t>
        </is>
      </c>
      <c r="H3246" t="n">
        <v>0</v>
      </c>
      <c r="I3246" t="n">
        <v>0.3252662283</v>
      </c>
      <c r="J3246" t="n">
        <v>0</v>
      </c>
      <c r="K3246" t="n">
        <v>0.1</v>
      </c>
      <c r="L3246" t="n">
        <v>0</v>
      </c>
      <c r="M3246" t="n">
        <v>4</v>
      </c>
      <c r="N3246" t="n">
        <v>0.4</v>
      </c>
      <c r="O3246" t="n">
        <v>0</v>
      </c>
      <c r="P3246" t="n">
        <v>0</v>
      </c>
      <c r="Q3246" t="n">
        <v>0</v>
      </c>
      <c r="R3246" t="inlineStr">
        <is>
          <t>Sin rotación</t>
        </is>
      </c>
    </row>
    <row r="3247">
      <c r="A3247" t="inlineStr">
        <is>
          <t>PETMIPE09TL</t>
        </is>
      </c>
      <c r="B3247" t="inlineStr">
        <is>
          <t>BANDANA PET</t>
        </is>
      </c>
      <c r="C3247" t="inlineStr">
        <is>
          <t>Manufactura / General</t>
        </is>
      </c>
      <c r="D3247" t="n">
        <v>9.133599284000001</v>
      </c>
      <c r="E3247" t="n">
        <v>2.236202595012067e-06</v>
      </c>
      <c r="F3247" t="n">
        <v>0.9999886414248477</v>
      </c>
      <c r="G3247" t="inlineStr">
        <is>
          <t>C</t>
        </is>
      </c>
      <c r="H3247" t="n">
        <v>0</v>
      </c>
      <c r="I3247" t="n">
        <v>0.3252662283</v>
      </c>
      <c r="J3247" t="n">
        <v>0</v>
      </c>
      <c r="K3247" t="n">
        <v>0.1</v>
      </c>
      <c r="L3247" t="n">
        <v>0</v>
      </c>
      <c r="M3247" t="n">
        <v>4</v>
      </c>
      <c r="N3247" t="n">
        <v>0.4</v>
      </c>
      <c r="O3247" t="n">
        <v>0</v>
      </c>
      <c r="P3247" t="n">
        <v>0</v>
      </c>
      <c r="Q3247" t="n">
        <v>0</v>
      </c>
      <c r="R3247" t="inlineStr">
        <is>
          <t>Riesgo bajo stock</t>
        </is>
      </c>
    </row>
    <row r="3248">
      <c r="A3248" t="inlineStr">
        <is>
          <t>PETMIPE11TL</t>
        </is>
      </c>
      <c r="B3248" t="inlineStr">
        <is>
          <t>BANDANA PET</t>
        </is>
      </c>
      <c r="C3248" t="inlineStr">
        <is>
          <t>Manufactura / General</t>
        </is>
      </c>
      <c r="D3248" t="n">
        <v>9.133599284000001</v>
      </c>
      <c r="E3248" t="n">
        <v>2.236202595012067e-06</v>
      </c>
      <c r="F3248" t="n">
        <v>0.9999886414248477</v>
      </c>
      <c r="G3248" t="inlineStr">
        <is>
          <t>C</t>
        </is>
      </c>
      <c r="H3248" t="n">
        <v>0</v>
      </c>
      <c r="I3248" t="n">
        <v>0.3252662283</v>
      </c>
      <c r="J3248" t="n">
        <v>0</v>
      </c>
      <c r="K3248" t="n">
        <v>0.1</v>
      </c>
      <c r="L3248" t="n">
        <v>0</v>
      </c>
      <c r="M3248" t="n">
        <v>4</v>
      </c>
      <c r="N3248" t="n">
        <v>0.4</v>
      </c>
      <c r="O3248" t="n">
        <v>0</v>
      </c>
      <c r="P3248" t="n">
        <v>0</v>
      </c>
      <c r="Q3248" t="n">
        <v>0</v>
      </c>
      <c r="R3248" t="inlineStr">
        <is>
          <t>Sin rotación</t>
        </is>
      </c>
    </row>
    <row r="3249">
      <c r="A3249" t="inlineStr">
        <is>
          <t>BAN28EL</t>
        </is>
      </c>
      <c r="B3249" t="inlineStr">
        <is>
          <t>CUADRO BAND ELASTIC</t>
        </is>
      </c>
      <c r="C3249" t="inlineStr">
        <is>
          <t>Equipamiento / Accesorios</t>
        </is>
      </c>
      <c r="D3249" t="n">
        <v>8.500471270999999</v>
      </c>
      <c r="E3249" t="n">
        <v>2.081192235829176e-06</v>
      </c>
      <c r="F3249" t="n">
        <v>0.9999907226170835</v>
      </c>
      <c r="G3249" t="inlineStr">
        <is>
          <t>C</t>
        </is>
      </c>
      <c r="H3249" t="n">
        <v>63</v>
      </c>
      <c r="I3249" t="n">
        <v>0.3</v>
      </c>
      <c r="J3249" t="n">
        <v>18.9</v>
      </c>
      <c r="K3249" t="n">
        <v>1</v>
      </c>
      <c r="L3249" t="n">
        <v>63</v>
      </c>
      <c r="M3249" t="n">
        <v>4</v>
      </c>
      <c r="N3249" t="n">
        <v>4</v>
      </c>
      <c r="O3249" t="n">
        <v>59</v>
      </c>
      <c r="P3249" t="n">
        <v>17.7</v>
      </c>
      <c r="Q3249" t="n">
        <v>0.9365079365079365</v>
      </c>
      <c r="R3249" t="inlineStr">
        <is>
          <t>Sobrestock crítico</t>
        </is>
      </c>
    </row>
    <row r="3250">
      <c r="A3250" t="inlineStr">
        <is>
          <t>PETMIPE52TS</t>
        </is>
      </c>
      <c r="B3250" t="inlineStr">
        <is>
          <t>BANDANA PET</t>
        </is>
      </c>
      <c r="C3250" t="inlineStr">
        <is>
          <t>Manufactura / General</t>
        </is>
      </c>
      <c r="D3250" t="n">
        <v>8.457079338</v>
      </c>
      <c r="E3250" t="n">
        <v>2.07056847731295e-06</v>
      </c>
      <c r="F3250" t="n">
        <v>0.9999948637540381</v>
      </c>
      <c r="G3250" t="inlineStr">
        <is>
          <t>C</t>
        </is>
      </c>
      <c r="H3250" t="n">
        <v>0</v>
      </c>
      <c r="I3250" t="n">
        <v>0.3252662283</v>
      </c>
      <c r="J3250" t="n">
        <v>0</v>
      </c>
      <c r="K3250" t="n">
        <v>0.1</v>
      </c>
      <c r="L3250" t="n">
        <v>0</v>
      </c>
      <c r="M3250" t="n">
        <v>4</v>
      </c>
      <c r="N3250" t="n">
        <v>0.4</v>
      </c>
      <c r="O3250" t="n">
        <v>0</v>
      </c>
      <c r="P3250" t="n">
        <v>0</v>
      </c>
      <c r="Q3250" t="n">
        <v>0</v>
      </c>
      <c r="R3250" t="inlineStr">
        <is>
          <t>Sin rotación</t>
        </is>
      </c>
    </row>
    <row r="3251">
      <c r="A3251" t="inlineStr">
        <is>
          <t>PETMIPE48TXL</t>
        </is>
      </c>
      <c r="B3251" t="inlineStr">
        <is>
          <t>BANDANA PET</t>
        </is>
      </c>
      <c r="C3251" t="inlineStr">
        <is>
          <t>Manufactura / General</t>
        </is>
      </c>
      <c r="D3251" t="n">
        <v>8.457079338</v>
      </c>
      <c r="E3251" t="n">
        <v>2.07056847731295e-06</v>
      </c>
      <c r="F3251" t="n">
        <v>0.9999948637540381</v>
      </c>
      <c r="G3251" t="inlineStr">
        <is>
          <t>C</t>
        </is>
      </c>
      <c r="H3251" t="n">
        <v>0</v>
      </c>
      <c r="I3251" t="n">
        <v>0.3252662283</v>
      </c>
      <c r="J3251" t="n">
        <v>0</v>
      </c>
      <c r="K3251" t="n">
        <v>0.1</v>
      </c>
      <c r="L3251" t="n">
        <v>0</v>
      </c>
      <c r="M3251" t="n">
        <v>4</v>
      </c>
      <c r="N3251" t="n">
        <v>0.4</v>
      </c>
      <c r="O3251" t="n">
        <v>0</v>
      </c>
      <c r="P3251" t="n">
        <v>0</v>
      </c>
      <c r="Q3251" t="n">
        <v>0</v>
      </c>
      <c r="R3251" t="inlineStr">
        <is>
          <t>Sin rotación</t>
        </is>
      </c>
    </row>
    <row r="3252">
      <c r="A3252" t="inlineStr">
        <is>
          <t>BAN01EQ</t>
        </is>
      </c>
      <c r="B3252" t="inlineStr">
        <is>
          <t>CUADRO BAND</t>
        </is>
      </c>
      <c r="C3252" t="inlineStr">
        <is>
          <t>Equipamiento / Accesorios</t>
        </is>
      </c>
      <c r="D3252" t="n">
        <v>8.191040834999999</v>
      </c>
      <c r="E3252" t="n">
        <v>2.00543358664352e-06</v>
      </c>
      <c r="F3252" t="n">
        <v>0.9999968691876248</v>
      </c>
      <c r="G3252" t="inlineStr">
        <is>
          <t>C</t>
        </is>
      </c>
      <c r="H3252" t="n">
        <v>0</v>
      </c>
      <c r="I3252" t="n">
        <v>0.3159183673</v>
      </c>
      <c r="J3252" t="n">
        <v>0</v>
      </c>
      <c r="K3252" t="n">
        <v>0.3</v>
      </c>
      <c r="L3252" t="n">
        <v>0</v>
      </c>
      <c r="M3252" t="n">
        <v>4</v>
      </c>
      <c r="N3252" t="n">
        <v>1.2</v>
      </c>
      <c r="O3252" t="n">
        <v>0</v>
      </c>
      <c r="P3252" t="n">
        <v>0</v>
      </c>
      <c r="Q3252" t="n">
        <v>0</v>
      </c>
      <c r="R3252" t="inlineStr">
        <is>
          <t>Riesgo bajo stock</t>
        </is>
      </c>
    </row>
    <row r="3253">
      <c r="A3253" t="inlineStr">
        <is>
          <t>BAN70EQ</t>
        </is>
      </c>
      <c r="B3253" t="inlineStr">
        <is>
          <t>CUADRO BAND</t>
        </is>
      </c>
      <c r="C3253" t="inlineStr">
        <is>
          <t>Equipamiento / Accesorios</t>
        </is>
      </c>
      <c r="D3253" t="n">
        <v>7.563449952</v>
      </c>
      <c r="E3253" t="n">
        <v>1.851778897234386e-06</v>
      </c>
      <c r="F3253" t="n">
        <v>0.9999987209665221</v>
      </c>
      <c r="G3253" t="inlineStr">
        <is>
          <t>C</t>
        </is>
      </c>
      <c r="H3253" t="n">
        <v>28</v>
      </c>
      <c r="I3253" t="n">
        <v>0.3159183673</v>
      </c>
      <c r="J3253" t="n">
        <v>8.8457142844</v>
      </c>
      <c r="K3253" t="n">
        <v>0.3</v>
      </c>
      <c r="L3253" t="n">
        <v>93.33333333333334</v>
      </c>
      <c r="M3253" t="n">
        <v>4</v>
      </c>
      <c r="N3253" t="n">
        <v>1.2</v>
      </c>
      <c r="O3253" t="n">
        <v>26.8</v>
      </c>
      <c r="P3253" t="n">
        <v>8.46661224364</v>
      </c>
      <c r="Q3253" t="n">
        <v>0.9571428571428572</v>
      </c>
      <c r="R3253" t="inlineStr">
        <is>
          <t>Sobrestock crítico</t>
        </is>
      </c>
    </row>
    <row r="3254">
      <c r="A3254" t="inlineStr">
        <is>
          <t>PETMIPE52TXL</t>
        </is>
      </c>
      <c r="B3254" t="inlineStr">
        <is>
          <t>BANDANA PET</t>
        </is>
      </c>
      <c r="C3254" t="inlineStr">
        <is>
          <t>Manufactura / General</t>
        </is>
      </c>
      <c r="D3254" t="n">
        <v>7.533479646</v>
      </c>
      <c r="E3254" t="n">
        <v>1.844441190163318e-06</v>
      </c>
      <c r="F3254" t="n">
        <v>1.000000565407712</v>
      </c>
      <c r="G3254" t="inlineStr">
        <is>
          <t>C</t>
        </is>
      </c>
      <c r="H3254" t="n">
        <v>0</v>
      </c>
      <c r="I3254" t="n">
        <v>0.3252662283</v>
      </c>
      <c r="J3254" t="n">
        <v>0</v>
      </c>
      <c r="K3254" t="n">
        <v>0.1</v>
      </c>
      <c r="L3254" t="n">
        <v>0</v>
      </c>
      <c r="M3254" t="n">
        <v>4</v>
      </c>
      <c r="N3254" t="n">
        <v>0.4</v>
      </c>
      <c r="O3254" t="n">
        <v>0</v>
      </c>
      <c r="P3254" t="n">
        <v>0</v>
      </c>
      <c r="Q3254" t="n">
        <v>0</v>
      </c>
      <c r="R3254" t="inlineStr">
        <is>
          <t>Riesgo bajo stock</t>
        </is>
      </c>
    </row>
    <row r="3255">
      <c r="A3255" t="inlineStr">
        <is>
          <t>PETMIPE13TM</t>
        </is>
      </c>
      <c r="B3255" t="inlineStr">
        <is>
          <t>BANDANA PET</t>
        </is>
      </c>
      <c r="C3255" t="inlineStr">
        <is>
          <t>Manufactura / General</t>
        </is>
      </c>
      <c r="D3255" t="n">
        <v>6.969049294</v>
      </c>
      <c r="E3255" t="n">
        <v>1.706250255943439e-06</v>
      </c>
      <c r="F3255" t="n">
        <v>1.000002271657968</v>
      </c>
      <c r="G3255" t="inlineStr">
        <is>
          <t>C</t>
        </is>
      </c>
      <c r="H3255" t="n">
        <v>0</v>
      </c>
      <c r="I3255" t="n">
        <v>0.3252662283</v>
      </c>
      <c r="J3255" t="n">
        <v>0</v>
      </c>
      <c r="K3255" t="n">
        <v>0.1</v>
      </c>
      <c r="L3255" t="n">
        <v>0</v>
      </c>
      <c r="M3255" t="n">
        <v>4</v>
      </c>
      <c r="N3255" t="n">
        <v>0.4</v>
      </c>
      <c r="O3255" t="n">
        <v>0</v>
      </c>
      <c r="P3255" t="n">
        <v>0</v>
      </c>
      <c r="Q3255" t="n">
        <v>0</v>
      </c>
      <c r="R3255" t="inlineStr">
        <is>
          <t>Riesgo bajo stock</t>
        </is>
      </c>
    </row>
    <row r="3256">
      <c r="A3256" t="inlineStr">
        <is>
          <t>PEB212TP</t>
        </is>
      </c>
      <c r="B3256" t="inlineStr">
        <is>
          <t>PACK ECO BAG PEQUEÑO</t>
        </is>
      </c>
      <c r="C3256" t="inlineStr">
        <is>
          <t>Materia Prima / Estampados</t>
        </is>
      </c>
      <c r="D3256" t="n">
        <v>6.725008969</v>
      </c>
      <c r="E3256" t="n">
        <v>1.646501235750647e-06</v>
      </c>
      <c r="F3256" t="n">
        <v>1.000003918159204</v>
      </c>
      <c r="G3256" t="inlineStr">
        <is>
          <t>C</t>
        </is>
      </c>
      <c r="H3256" t="n">
        <v>0</v>
      </c>
      <c r="I3256" t="n">
        <v>0</v>
      </c>
      <c r="J3256" t="n">
        <v>0</v>
      </c>
      <c r="K3256" t="n">
        <v>0.1</v>
      </c>
      <c r="L3256" t="n">
        <v>0</v>
      </c>
      <c r="M3256" t="n">
        <v>4</v>
      </c>
      <c r="N3256" t="n">
        <v>0.4</v>
      </c>
      <c r="O3256" t="n">
        <v>0</v>
      </c>
      <c r="P3256" t="n">
        <v>0</v>
      </c>
      <c r="Q3256" t="n">
        <v>0</v>
      </c>
      <c r="R3256" t="inlineStr">
        <is>
          <t>Riesgo bajo stock</t>
        </is>
      </c>
    </row>
    <row r="3257">
      <c r="A3257" t="inlineStr">
        <is>
          <t>PETMIPE50TXL</t>
        </is>
      </c>
      <c r="B3257" t="inlineStr">
        <is>
          <t>BANDANA PET</t>
        </is>
      </c>
      <c r="C3257" t="inlineStr">
        <is>
          <t>Manufactura / General</t>
        </is>
      </c>
      <c r="D3257" t="n">
        <v>5.935755384</v>
      </c>
      <c r="E3257" t="n">
        <v>1.453266251379115e-06</v>
      </c>
      <c r="F3257" t="n">
        <v>1.000005371425455</v>
      </c>
      <c r="G3257" t="inlineStr">
        <is>
          <t>C</t>
        </is>
      </c>
      <c r="H3257" t="n">
        <v>0</v>
      </c>
      <c r="I3257" t="n">
        <v>0.3252662283</v>
      </c>
      <c r="J3257" t="n">
        <v>0</v>
      </c>
      <c r="K3257" t="n">
        <v>0.1</v>
      </c>
      <c r="L3257" t="n">
        <v>0</v>
      </c>
      <c r="M3257" t="n">
        <v>4</v>
      </c>
      <c r="N3257" t="n">
        <v>0.4</v>
      </c>
      <c r="O3257" t="n">
        <v>0</v>
      </c>
      <c r="P3257" t="n">
        <v>0</v>
      </c>
      <c r="Q3257" t="n">
        <v>0</v>
      </c>
      <c r="R3257" t="inlineStr">
        <is>
          <t>Sin rotación</t>
        </is>
      </c>
    </row>
    <row r="3258">
      <c r="A3258" t="inlineStr">
        <is>
          <t>BAN67EL</t>
        </is>
      </c>
      <c r="B3258" t="inlineStr">
        <is>
          <t>CUADRO BAND ELASTIC</t>
        </is>
      </c>
      <c r="C3258" t="inlineStr">
        <is>
          <t>Equipamiento / Accesorios</t>
        </is>
      </c>
      <c r="D3258" t="n">
        <v>5.93423854</v>
      </c>
      <c r="E3258" t="n">
        <v>1.452894878562818e-06</v>
      </c>
      <c r="F3258" t="n">
        <v>1.000006824320334</v>
      </c>
      <c r="G3258" t="inlineStr">
        <is>
          <t>C</t>
        </is>
      </c>
      <c r="H3258" t="n">
        <v>9</v>
      </c>
      <c r="I3258" t="n">
        <v>0.3</v>
      </c>
      <c r="J3258" t="n">
        <v>2.7</v>
      </c>
      <c r="K3258" t="n">
        <v>0.2</v>
      </c>
      <c r="L3258" t="n">
        <v>45</v>
      </c>
      <c r="M3258" t="n">
        <v>4</v>
      </c>
      <c r="N3258" t="n">
        <v>0.8</v>
      </c>
      <c r="O3258" t="n">
        <v>8.199999999999999</v>
      </c>
      <c r="P3258" t="n">
        <v>2.46</v>
      </c>
      <c r="Q3258" t="n">
        <v>0.911111111111111</v>
      </c>
      <c r="R3258" t="inlineStr">
        <is>
          <t>Sobrestock crítico</t>
        </is>
      </c>
    </row>
    <row r="3259">
      <c r="A3259" t="inlineStr">
        <is>
          <t>BAN14EQ</t>
        </is>
      </c>
      <c r="B3259" t="inlineStr">
        <is>
          <t>CUADRO BAND</t>
        </is>
      </c>
      <c r="C3259" t="inlineStr">
        <is>
          <t>Equipamiento / Accesorios</t>
        </is>
      </c>
      <c r="D3259" t="n">
        <v>5.873674438</v>
      </c>
      <c r="E3259" t="n">
        <v>1.438066813761002e-06</v>
      </c>
      <c r="F3259" t="n">
        <v>1.000008262387148</v>
      </c>
      <c r="G3259" t="inlineStr">
        <is>
          <t>C</t>
        </is>
      </c>
      <c r="H3259" t="n">
        <v>0</v>
      </c>
      <c r="I3259" t="n">
        <v>0.3159183673</v>
      </c>
      <c r="J3259" t="n">
        <v>0</v>
      </c>
      <c r="K3259" t="n">
        <v>0.2</v>
      </c>
      <c r="L3259" t="n">
        <v>0</v>
      </c>
      <c r="M3259" t="n">
        <v>4</v>
      </c>
      <c r="N3259" t="n">
        <v>0.8</v>
      </c>
      <c r="O3259" t="n">
        <v>0</v>
      </c>
      <c r="P3259" t="n">
        <v>0</v>
      </c>
      <c r="Q3259" t="n">
        <v>0</v>
      </c>
      <c r="R3259" t="inlineStr">
        <is>
          <t>Riesgo bajo stock</t>
        </is>
      </c>
    </row>
    <row r="3260">
      <c r="A3260" t="inlineStr">
        <is>
          <t>BAN39EL</t>
        </is>
      </c>
      <c r="B3260" t="inlineStr">
        <is>
          <t>CUADRO BAND ELASTIC</t>
        </is>
      </c>
      <c r="C3260" t="inlineStr">
        <is>
          <t>Equipamiento / Accesorios</t>
        </is>
      </c>
      <c r="D3260" t="n">
        <v>3.627927076</v>
      </c>
      <c r="E3260" t="n">
        <v>8.882347133487119e-07</v>
      </c>
      <c r="F3260" t="n">
        <v>1.000009150621861</v>
      </c>
      <c r="G3260" t="inlineStr">
        <is>
          <t>C</t>
        </is>
      </c>
      <c r="H3260" t="n">
        <v>63</v>
      </c>
      <c r="I3260" t="n">
        <v>0.3</v>
      </c>
      <c r="J3260" t="n">
        <v>18.9</v>
      </c>
      <c r="K3260" t="n">
        <v>0.8</v>
      </c>
      <c r="L3260" t="n">
        <v>78.75</v>
      </c>
      <c r="M3260" t="n">
        <v>4</v>
      </c>
      <c r="N3260" t="n">
        <v>3.2</v>
      </c>
      <c r="O3260" t="n">
        <v>59.8</v>
      </c>
      <c r="P3260" t="n">
        <v>17.94</v>
      </c>
      <c r="Q3260" t="n">
        <v>0.9492063492063492</v>
      </c>
      <c r="R3260" t="inlineStr">
        <is>
          <t>Sobrestock crítico</t>
        </is>
      </c>
    </row>
    <row r="3261">
      <c r="A3261" t="inlineStr">
        <is>
          <t>BAN53EL</t>
        </is>
      </c>
      <c r="B3261" t="inlineStr">
        <is>
          <t>CUADRO BAND ELASTIC</t>
        </is>
      </c>
      <c r="C3261" t="inlineStr">
        <is>
          <t>Equipamiento / Accesorios</t>
        </is>
      </c>
      <c r="D3261" t="n">
        <v>1.840999756</v>
      </c>
      <c r="E3261" t="n">
        <v>4.507367034368991e-07</v>
      </c>
      <c r="F3261" t="n">
        <v>1.000009601358564</v>
      </c>
      <c r="G3261" t="inlineStr">
        <is>
          <t>C</t>
        </is>
      </c>
      <c r="H3261" t="n">
        <v>3</v>
      </c>
      <c r="I3261" t="n">
        <v>0.3</v>
      </c>
      <c r="J3261" t="n">
        <v>0.8999999999999999</v>
      </c>
      <c r="K3261" t="n">
        <v>0.1</v>
      </c>
      <c r="L3261" t="n">
        <v>30</v>
      </c>
      <c r="M3261" t="n">
        <v>4</v>
      </c>
      <c r="N3261" t="n">
        <v>0.4</v>
      </c>
      <c r="O3261" t="n">
        <v>2.6</v>
      </c>
      <c r="P3261" t="n">
        <v>0.78</v>
      </c>
      <c r="Q3261" t="n">
        <v>0.8666666666666668</v>
      </c>
      <c r="R3261" t="inlineStr">
        <is>
          <t>Sin rotación</t>
        </is>
      </c>
    </row>
    <row r="3262">
      <c r="A3262" t="inlineStr">
        <is>
          <t>BAN63EL</t>
        </is>
      </c>
      <c r="B3262" t="inlineStr">
        <is>
          <t>CUADRO BAND ELASTIC</t>
        </is>
      </c>
      <c r="C3262" t="inlineStr">
        <is>
          <t>Equipamiento / Accesorios</t>
        </is>
      </c>
      <c r="D3262" t="n">
        <v>1.691409231</v>
      </c>
      <c r="E3262" t="n">
        <v>4.141120706067495e-07</v>
      </c>
      <c r="F3262" t="n">
        <v>1.000010015470635</v>
      </c>
      <c r="G3262" t="inlineStr">
        <is>
          <t>C</t>
        </is>
      </c>
      <c r="H3262" t="n">
        <v>1</v>
      </c>
      <c r="I3262" t="n">
        <v>0.3</v>
      </c>
      <c r="J3262" t="n">
        <v>0.3</v>
      </c>
      <c r="K3262" t="n">
        <v>0.1</v>
      </c>
      <c r="L3262" t="n">
        <v>10</v>
      </c>
      <c r="M3262" t="n">
        <v>4</v>
      </c>
      <c r="N3262" t="n">
        <v>0.4</v>
      </c>
      <c r="O3262" t="n">
        <v>0.6</v>
      </c>
      <c r="P3262" t="n">
        <v>0.18</v>
      </c>
      <c r="Q3262" t="n">
        <v>0.6</v>
      </c>
      <c r="R3262" t="inlineStr">
        <is>
          <t>Sin rotación</t>
        </is>
      </c>
    </row>
    <row r="3263">
      <c r="A3263" t="inlineStr">
        <is>
          <t>EMP150TP</t>
        </is>
      </c>
      <c r="B3263" t="inlineStr">
        <is>
          <t>[EMP150TP] BOLSAS KRAFT (PEQUEÑO)</t>
        </is>
      </c>
      <c r="C3263" t="inlineStr">
        <is>
          <t>BOLSAS KRAFT</t>
        </is>
      </c>
      <c r="D3263" t="n">
        <v>0</v>
      </c>
      <c r="E3263" t="n">
        <v>0</v>
      </c>
      <c r="F3263" t="n">
        <v>1.000010015470635</v>
      </c>
      <c r="G3263" t="inlineStr">
        <is>
          <t>C</t>
        </is>
      </c>
      <c r="H3263" t="n">
        <v>47</v>
      </c>
      <c r="I3263" t="n">
        <v>0</v>
      </c>
      <c r="J3263" t="n">
        <v>0</v>
      </c>
      <c r="K3263" t="n">
        <v>0</v>
      </c>
      <c r="L3263" t="n">
        <v>999</v>
      </c>
      <c r="M3263" t="n">
        <v>4</v>
      </c>
      <c r="N3263" t="n">
        <v>0</v>
      </c>
      <c r="O3263" t="n">
        <v>47</v>
      </c>
      <c r="P3263" t="n">
        <v>0</v>
      </c>
      <c r="Q3263" t="n">
        <v>0</v>
      </c>
      <c r="R3263" t="inlineStr">
        <is>
          <t>Sin rotación</t>
        </is>
      </c>
    </row>
    <row r="3264">
      <c r="A3264" t="inlineStr">
        <is>
          <t>SARSPKI13T12</t>
        </is>
      </c>
      <c r="B3264" t="inlineStr">
        <is>
          <t>[SARSPKI13T12] FALDA SARA KIDS (Azul Rey, 12)</t>
        </is>
      </c>
      <c r="C3264" t="inlineStr">
        <is>
          <t>KIDS / FALDA SARA</t>
        </is>
      </c>
      <c r="D3264" t="n">
        <v>0</v>
      </c>
      <c r="E3264" t="n">
        <v>0</v>
      </c>
      <c r="F3264" t="n">
        <v>1.000010015470635</v>
      </c>
      <c r="G3264" t="inlineStr">
        <is>
          <t>C</t>
        </is>
      </c>
      <c r="H3264" t="n">
        <v>24</v>
      </c>
      <c r="I3264" t="n">
        <v>0</v>
      </c>
      <c r="J3264" t="n">
        <v>0</v>
      </c>
      <c r="K3264" t="n">
        <v>0</v>
      </c>
      <c r="L3264" t="n">
        <v>999</v>
      </c>
      <c r="M3264" t="n">
        <v>4</v>
      </c>
      <c r="N3264" t="n">
        <v>0</v>
      </c>
      <c r="O3264" t="n">
        <v>24</v>
      </c>
      <c r="P3264" t="n">
        <v>0</v>
      </c>
      <c r="Q3264" t="n">
        <v>0</v>
      </c>
      <c r="R3264" t="inlineStr">
        <is>
          <t>Sin rotación</t>
        </is>
      </c>
    </row>
    <row r="3265">
      <c r="A3265" t="inlineStr">
        <is>
          <t>UCOVTLCA167T3XL</t>
        </is>
      </c>
      <c r="B3265" t="inlineStr">
        <is>
          <t>[UCOVTLCA167T3XL] URBAN COTTON OVERSIZED VINTAGE GRIS CAB (3XL)</t>
        </is>
      </c>
      <c r="C3265" t="inlineStr">
        <is>
          <t>CAB / URBAN COTTON OVERSIZED VINTAGE GRIS</t>
        </is>
      </c>
      <c r="D3265" t="n">
        <v>0</v>
      </c>
      <c r="E3265" t="n">
        <v>0</v>
      </c>
      <c r="F3265" t="n">
        <v>1.000010015470635</v>
      </c>
      <c r="G3265" t="inlineStr">
        <is>
          <t>C</t>
        </is>
      </c>
      <c r="H3265" t="n">
        <v>15</v>
      </c>
      <c r="I3265" t="n">
        <v>0</v>
      </c>
      <c r="J3265" t="n">
        <v>0</v>
      </c>
      <c r="K3265" t="n">
        <v>0</v>
      </c>
      <c r="L3265" t="n">
        <v>999</v>
      </c>
      <c r="M3265" t="n">
        <v>4</v>
      </c>
      <c r="N3265" t="n">
        <v>0</v>
      </c>
      <c r="O3265" t="n">
        <v>15</v>
      </c>
      <c r="P3265" t="n">
        <v>0</v>
      </c>
      <c r="Q3265" t="n">
        <v>0</v>
      </c>
      <c r="R3265" t="inlineStr">
        <is>
          <t>Sin rotación</t>
        </is>
      </c>
    </row>
    <row r="3266">
      <c r="A3266" t="inlineStr">
        <is>
          <t>SARSPKI09T14</t>
        </is>
      </c>
      <c r="B3266" t="inlineStr">
        <is>
          <t>[SARSPKI09T14] FALDA SARA KIDS (Azul Cielo, 14)</t>
        </is>
      </c>
      <c r="C3266" t="inlineStr">
        <is>
          <t>KIDS / FALDA SARA</t>
        </is>
      </c>
      <c r="D3266" t="n">
        <v>0</v>
      </c>
      <c r="E3266" t="n">
        <v>0</v>
      </c>
      <c r="F3266" t="n">
        <v>1.000010015470635</v>
      </c>
      <c r="G3266" t="inlineStr">
        <is>
          <t>C</t>
        </is>
      </c>
      <c r="H3266" t="n">
        <v>15</v>
      </c>
      <c r="I3266" t="n">
        <v>0</v>
      </c>
      <c r="J3266" t="n">
        <v>0</v>
      </c>
      <c r="K3266" t="n">
        <v>0</v>
      </c>
      <c r="L3266" t="n">
        <v>999</v>
      </c>
      <c r="M3266" t="n">
        <v>4</v>
      </c>
      <c r="N3266" t="n">
        <v>0</v>
      </c>
      <c r="O3266" t="n">
        <v>15</v>
      </c>
      <c r="P3266" t="n">
        <v>0</v>
      </c>
      <c r="Q3266" t="n">
        <v>0</v>
      </c>
      <c r="R3266" t="inlineStr">
        <is>
          <t>Sin rotación</t>
        </is>
      </c>
    </row>
    <row r="3267">
      <c r="A3267" t="inlineStr">
        <is>
          <t>BACCCDA12TL</t>
        </is>
      </c>
      <c r="B3267" t="inlineStr">
        <is>
          <t>BASIC LINE CROP TEE DAMA</t>
        </is>
      </c>
      <c r="C3267" t="inlineStr">
        <is>
          <t>Manufactura / Dama / P. Superiores</t>
        </is>
      </c>
      <c r="D3267" t="n">
        <v>0</v>
      </c>
      <c r="E3267" t="n">
        <v>0</v>
      </c>
      <c r="F3267" t="n">
        <v>1.000010015470635</v>
      </c>
      <c r="G3267" t="inlineStr">
        <is>
          <t>C</t>
        </is>
      </c>
      <c r="H3267" t="n">
        <v>0</v>
      </c>
      <c r="I3267" t="n">
        <v>6.196330833</v>
      </c>
      <c r="J3267" t="n">
        <v>0</v>
      </c>
      <c r="K3267" t="n">
        <v>0</v>
      </c>
      <c r="L3267" t="n">
        <v>0</v>
      </c>
      <c r="M3267" t="n">
        <v>4</v>
      </c>
      <c r="N3267" t="n">
        <v>0</v>
      </c>
      <c r="O3267" t="n">
        <v>0</v>
      </c>
      <c r="P3267" t="n">
        <v>0</v>
      </c>
      <c r="Q3267" t="n">
        <v>0</v>
      </c>
      <c r="R3267" t="inlineStr">
        <is>
          <t>Riesgo bajo stock</t>
        </is>
      </c>
    </row>
    <row r="3268">
      <c r="A3268" t="inlineStr">
        <is>
          <t>TSCC12EQ</t>
        </is>
      </c>
      <c r="B3268" t="inlineStr">
        <is>
          <t>TOALLA SPORT</t>
        </is>
      </c>
      <c r="C3268" t="inlineStr">
        <is>
          <t>Equipamiento / Toallas</t>
        </is>
      </c>
      <c r="D3268" t="n">
        <v>0</v>
      </c>
      <c r="E3268" t="n">
        <v>0</v>
      </c>
      <c r="F3268" t="n">
        <v>1.000010015470635</v>
      </c>
      <c r="G3268" t="inlineStr">
        <is>
          <t>C</t>
        </is>
      </c>
      <c r="H3268" t="n">
        <v>0</v>
      </c>
      <c r="I3268" t="n">
        <v>1.8</v>
      </c>
      <c r="J3268" t="n">
        <v>0</v>
      </c>
      <c r="K3268" t="n">
        <v>0</v>
      </c>
      <c r="L3268" t="n">
        <v>0</v>
      </c>
      <c r="M3268" t="n">
        <v>4</v>
      </c>
      <c r="N3268" t="n">
        <v>0</v>
      </c>
      <c r="O3268" t="n">
        <v>0</v>
      </c>
      <c r="P3268" t="n">
        <v>0</v>
      </c>
      <c r="Q3268" t="n">
        <v>0</v>
      </c>
      <c r="R3268" t="inlineStr">
        <is>
          <t>Riesgo bajo stock</t>
        </is>
      </c>
    </row>
    <row r="3269">
      <c r="A3269" t="inlineStr">
        <is>
          <t>UCOOTLCA12T3XL</t>
        </is>
      </c>
      <c r="B3269" t="inlineStr">
        <is>
          <t>[UCOOTLCA12T3XL] URBAN COTTON OVERSIZED OUTSIDE CAB (3XL)</t>
        </is>
      </c>
      <c r="C3269" t="inlineStr">
        <is>
          <t>CAB / URBAN COTTON OVERSIZED OUTSIDE</t>
        </is>
      </c>
      <c r="D3269" t="n">
        <v>0</v>
      </c>
      <c r="E3269" t="n">
        <v>0</v>
      </c>
      <c r="F3269" t="n">
        <v>1.000010015470635</v>
      </c>
      <c r="G3269" t="inlineStr">
        <is>
          <t>C</t>
        </is>
      </c>
      <c r="H3269" t="n">
        <v>14</v>
      </c>
      <c r="I3269" t="n">
        <v>0</v>
      </c>
      <c r="J3269" t="n">
        <v>0</v>
      </c>
      <c r="K3269" t="n">
        <v>0</v>
      </c>
      <c r="L3269" t="n">
        <v>999</v>
      </c>
      <c r="M3269" t="n">
        <v>4</v>
      </c>
      <c r="N3269" t="n">
        <v>0</v>
      </c>
      <c r="O3269" t="n">
        <v>14</v>
      </c>
      <c r="P3269" t="n">
        <v>0</v>
      </c>
      <c r="Q3269" t="n">
        <v>0</v>
      </c>
      <c r="R3269" t="inlineStr">
        <is>
          <t>Sin rotación</t>
        </is>
      </c>
    </row>
    <row r="3270">
      <c r="A3270" t="inlineStr">
        <is>
          <t>DANMIKI66T6</t>
        </is>
      </c>
      <c r="B3270" t="inlineStr">
        <is>
          <t>[DANMIKI66T6] DANI ORIGINAL KIDS (Verde Militar, 6)</t>
        </is>
      </c>
      <c r="C3270" t="inlineStr">
        <is>
          <t>KIDS / DANI ORIGINAL</t>
        </is>
      </c>
      <c r="D3270" t="n">
        <v>0</v>
      </c>
      <c r="E3270" t="n">
        <v>0</v>
      </c>
      <c r="F3270" t="n">
        <v>1.000010015470635</v>
      </c>
      <c r="G3270" t="inlineStr">
        <is>
          <t>C</t>
        </is>
      </c>
      <c r="H3270" t="n">
        <v>8</v>
      </c>
      <c r="I3270" t="n">
        <v>0</v>
      </c>
      <c r="J3270" t="n">
        <v>0</v>
      </c>
      <c r="K3270" t="n">
        <v>0</v>
      </c>
      <c r="L3270" t="n">
        <v>999</v>
      </c>
      <c r="M3270" t="n">
        <v>4</v>
      </c>
      <c r="N3270" t="n">
        <v>0</v>
      </c>
      <c r="O3270" t="n">
        <v>8</v>
      </c>
      <c r="P3270" t="n">
        <v>0</v>
      </c>
      <c r="Q3270" t="n">
        <v>0</v>
      </c>
      <c r="R3270" t="inlineStr">
        <is>
          <t>Sin rotación</t>
        </is>
      </c>
    </row>
    <row r="3271">
      <c r="A3271" t="inlineStr">
        <is>
          <t>UCOSTLCA12T3XL</t>
        </is>
      </c>
      <c r="B3271" t="inlineStr">
        <is>
          <t>[UCOSTLCA12T3XL] URBAN COTTON OVERSIZED SUNSET CAB (3XL)</t>
        </is>
      </c>
      <c r="C3271" t="inlineStr">
        <is>
          <t>CAB / URBAN COTTON OVERSIZED SUNSET</t>
        </is>
      </c>
      <c r="D3271" t="n">
        <v>0</v>
      </c>
      <c r="E3271" t="n">
        <v>0</v>
      </c>
      <c r="F3271" t="n">
        <v>1.000010015470635</v>
      </c>
      <c r="G3271" t="inlineStr">
        <is>
          <t>C</t>
        </is>
      </c>
      <c r="H3271" t="n">
        <v>11</v>
      </c>
      <c r="I3271" t="n">
        <v>0</v>
      </c>
      <c r="J3271" t="n">
        <v>0</v>
      </c>
      <c r="K3271" t="n">
        <v>0</v>
      </c>
      <c r="L3271" t="n">
        <v>999</v>
      </c>
      <c r="M3271" t="n">
        <v>4</v>
      </c>
      <c r="N3271" t="n">
        <v>0</v>
      </c>
      <c r="O3271" t="n">
        <v>11</v>
      </c>
      <c r="P3271" t="n">
        <v>0</v>
      </c>
      <c r="Q3271" t="n">
        <v>0</v>
      </c>
      <c r="R3271" t="inlineStr">
        <is>
          <t>Sin rotación</t>
        </is>
      </c>
    </row>
    <row r="3272">
      <c r="A3272" t="inlineStr">
        <is>
          <t>TRISTDA43TXL</t>
        </is>
      </c>
      <c r="B3272" t="inlineStr">
        <is>
          <t>[TRISTDA43TXL] RETRO VZLA DAMA (Negro/Tricolor, XL)</t>
        </is>
      </c>
      <c r="C3272" t="inlineStr">
        <is>
          <t>DAMA / RETRO VZLA</t>
        </is>
      </c>
      <c r="D3272" t="n">
        <v>0</v>
      </c>
      <c r="E3272" t="n">
        <v>0</v>
      </c>
      <c r="F3272" t="n">
        <v>1.000010015470635</v>
      </c>
      <c r="G3272" t="inlineStr">
        <is>
          <t>C</t>
        </is>
      </c>
      <c r="H3272" t="n">
        <v>1</v>
      </c>
      <c r="I3272" t="n">
        <v>0</v>
      </c>
      <c r="J3272" t="n">
        <v>0</v>
      </c>
      <c r="K3272" t="n">
        <v>0</v>
      </c>
      <c r="L3272" t="n">
        <v>999</v>
      </c>
      <c r="M3272" t="n">
        <v>4</v>
      </c>
      <c r="N3272" t="n">
        <v>0</v>
      </c>
      <c r="O3272" t="n">
        <v>1</v>
      </c>
      <c r="P3272" t="n">
        <v>0</v>
      </c>
      <c r="Q3272" t="n">
        <v>0</v>
      </c>
      <c r="R3272" t="inlineStr">
        <is>
          <t>Sin rotación</t>
        </is>
      </c>
    </row>
    <row r="3273">
      <c r="A3273" t="inlineStr">
        <is>
          <t>TRISTDA16TXS</t>
        </is>
      </c>
      <c r="B3273" t="inlineStr">
        <is>
          <t>RETRO VZLA DAMA</t>
        </is>
      </c>
      <c r="C3273" t="inlineStr">
        <is>
          <t>Manufactura / Dama / P. Superiores</t>
        </is>
      </c>
      <c r="D3273" t="n">
        <v>0</v>
      </c>
      <c r="E3273" t="n">
        <v>0</v>
      </c>
      <c r="F3273" t="n">
        <v>1.000010015470635</v>
      </c>
      <c r="G3273" t="inlineStr">
        <is>
          <t>C</t>
        </is>
      </c>
      <c r="H3273" t="n">
        <v>2</v>
      </c>
      <c r="I3273" t="n">
        <v>11.23</v>
      </c>
      <c r="J3273" t="n">
        <v>22.46</v>
      </c>
      <c r="K3273" t="n">
        <v>0.1</v>
      </c>
      <c r="L3273" t="n">
        <v>20</v>
      </c>
      <c r="M3273" t="n">
        <v>4</v>
      </c>
      <c r="N3273" t="n">
        <v>0.4</v>
      </c>
      <c r="O3273" t="n">
        <v>1.6</v>
      </c>
      <c r="P3273" t="n">
        <v>17.968</v>
      </c>
      <c r="Q3273" t="n">
        <v>0.7999999999999999</v>
      </c>
      <c r="R3273" t="inlineStr">
        <is>
          <t>Sobrestock crítico</t>
        </is>
      </c>
    </row>
    <row r="3274">
      <c r="A3274" t="inlineStr">
        <is>
          <t>TRISTCA43TM</t>
        </is>
      </c>
      <c r="B3274" t="inlineStr">
        <is>
          <t>[TRISTCA43TM] RETRO VZLA CAB (Negro/Tricolor, M)</t>
        </is>
      </c>
      <c r="C3274" t="inlineStr">
        <is>
          <t>CAB / RETRO VZLA</t>
        </is>
      </c>
      <c r="D3274" t="n">
        <v>0</v>
      </c>
      <c r="E3274" t="n">
        <v>0</v>
      </c>
      <c r="F3274" t="n">
        <v>1.000010015470635</v>
      </c>
      <c r="G3274" t="inlineStr">
        <is>
          <t>C</t>
        </is>
      </c>
      <c r="H3274" t="n">
        <v>1</v>
      </c>
      <c r="I3274" t="n">
        <v>0</v>
      </c>
      <c r="J3274" t="n">
        <v>0</v>
      </c>
      <c r="K3274" t="n">
        <v>0</v>
      </c>
      <c r="L3274" t="n">
        <v>999</v>
      </c>
      <c r="M3274" t="n">
        <v>4</v>
      </c>
      <c r="N3274" t="n">
        <v>0</v>
      </c>
      <c r="O3274" t="n">
        <v>1</v>
      </c>
      <c r="P3274" t="n">
        <v>0</v>
      </c>
      <c r="Q3274" t="n">
        <v>0</v>
      </c>
      <c r="R3274" t="inlineStr">
        <is>
          <t>Sin rotación</t>
        </is>
      </c>
    </row>
    <row r="3275">
      <c r="A3275" t="inlineStr">
        <is>
          <t>TRISTCA43T2XL</t>
        </is>
      </c>
      <c r="B3275" t="inlineStr">
        <is>
          <t>[TRISTCA43T2XL] RETRO VZLA CAB (Negro/Tricolor, 2XL)</t>
        </is>
      </c>
      <c r="C3275" t="inlineStr">
        <is>
          <t>CAB / RETRO VZLA</t>
        </is>
      </c>
      <c r="D3275" t="n">
        <v>0</v>
      </c>
      <c r="E3275" t="n">
        <v>0</v>
      </c>
      <c r="F3275" t="n">
        <v>1.000010015470635</v>
      </c>
      <c r="G3275" t="inlineStr">
        <is>
          <t>C</t>
        </is>
      </c>
      <c r="H3275" t="n">
        <v>1</v>
      </c>
      <c r="I3275" t="n">
        <v>0</v>
      </c>
      <c r="J3275" t="n">
        <v>0</v>
      </c>
      <c r="K3275" t="n">
        <v>0</v>
      </c>
      <c r="L3275" t="n">
        <v>999</v>
      </c>
      <c r="M3275" t="n">
        <v>4</v>
      </c>
      <c r="N3275" t="n">
        <v>0</v>
      </c>
      <c r="O3275" t="n">
        <v>1</v>
      </c>
      <c r="P3275" t="n">
        <v>0</v>
      </c>
      <c r="Q3275" t="n">
        <v>0</v>
      </c>
      <c r="R3275" t="inlineStr">
        <is>
          <t>Sin rotación</t>
        </is>
      </c>
    </row>
    <row r="3276">
      <c r="A3276" t="inlineStr">
        <is>
          <t>UCOVTLCA166T3XL</t>
        </is>
      </c>
      <c r="B3276" t="inlineStr">
        <is>
          <t>[UCOVTLCA166T3XL] URBAN COTTON OVERSIZED VINTAGE VERDE CAB (3XL)</t>
        </is>
      </c>
      <c r="C3276" t="inlineStr">
        <is>
          <t>CAB / URBAN COTTON OVERSIZED VINTAGE VERDE</t>
        </is>
      </c>
      <c r="D3276" t="n">
        <v>0</v>
      </c>
      <c r="E3276" t="n">
        <v>0</v>
      </c>
      <c r="F3276" t="n">
        <v>1.000010015470635</v>
      </c>
      <c r="G3276" t="inlineStr">
        <is>
          <t>C</t>
        </is>
      </c>
      <c r="H3276" t="n">
        <v>11</v>
      </c>
      <c r="I3276" t="n">
        <v>0</v>
      </c>
      <c r="J3276" t="n">
        <v>0</v>
      </c>
      <c r="K3276" t="n">
        <v>0</v>
      </c>
      <c r="L3276" t="n">
        <v>999</v>
      </c>
      <c r="M3276" t="n">
        <v>4</v>
      </c>
      <c r="N3276" t="n">
        <v>0</v>
      </c>
      <c r="O3276" t="n">
        <v>11</v>
      </c>
      <c r="P3276" t="n">
        <v>0</v>
      </c>
      <c r="Q3276" t="n">
        <v>0</v>
      </c>
      <c r="R3276" t="inlineStr">
        <is>
          <t>Sin rotación</t>
        </is>
      </c>
    </row>
    <row r="3277">
      <c r="A3277" t="inlineStr">
        <is>
          <t>PANNTKI31T4</t>
        </is>
      </c>
      <c r="B3277" t="inlineStr">
        <is>
          <t>EXPLORE PANTS KIDS</t>
        </is>
      </c>
      <c r="C3277" t="inlineStr">
        <is>
          <t>Manufactura / Kids / P. Inferiores</t>
        </is>
      </c>
      <c r="D3277" t="n">
        <v>0</v>
      </c>
      <c r="E3277" t="n">
        <v>0</v>
      </c>
      <c r="F3277" t="n">
        <v>1.000010015470635</v>
      </c>
      <c r="G3277" t="inlineStr">
        <is>
          <t>C</t>
        </is>
      </c>
      <c r="H3277" t="n">
        <v>2</v>
      </c>
      <c r="I3277" t="n">
        <v>13.98</v>
      </c>
      <c r="J3277" t="n">
        <v>27.96</v>
      </c>
      <c r="K3277" t="n">
        <v>0.1</v>
      </c>
      <c r="L3277" t="n">
        <v>20</v>
      </c>
      <c r="M3277" t="n">
        <v>4</v>
      </c>
      <c r="N3277" t="n">
        <v>0.4</v>
      </c>
      <c r="O3277" t="n">
        <v>1.6</v>
      </c>
      <c r="P3277" t="n">
        <v>22.368</v>
      </c>
      <c r="Q3277" t="n">
        <v>0.8</v>
      </c>
      <c r="R3277" t="inlineStr">
        <is>
          <t>Sobrestock crítico</t>
        </is>
      </c>
    </row>
    <row r="3278">
      <c r="A3278" t="inlineStr">
        <is>
          <t>SARSPDA70TM</t>
        </is>
      </c>
      <c r="B3278" t="inlineStr">
        <is>
          <t>[SARSPDA70TM] FALDA SARA DAMA (Vinotinto, M)</t>
        </is>
      </c>
      <c r="C3278" t="inlineStr">
        <is>
          <t>DAMA / FALDA SARA</t>
        </is>
      </c>
      <c r="D3278" t="n">
        <v>0</v>
      </c>
      <c r="E3278" t="n">
        <v>0</v>
      </c>
      <c r="F3278" t="n">
        <v>1.000010015470635</v>
      </c>
      <c r="G3278" t="inlineStr">
        <is>
          <t>C</t>
        </is>
      </c>
      <c r="H3278" t="n">
        <v>13</v>
      </c>
      <c r="I3278" t="n">
        <v>0</v>
      </c>
      <c r="J3278" t="n">
        <v>0</v>
      </c>
      <c r="K3278" t="n">
        <v>0</v>
      </c>
      <c r="L3278" t="n">
        <v>999</v>
      </c>
      <c r="M3278" t="n">
        <v>4</v>
      </c>
      <c r="N3278" t="n">
        <v>0</v>
      </c>
      <c r="O3278" t="n">
        <v>13</v>
      </c>
      <c r="P3278" t="n">
        <v>0</v>
      </c>
      <c r="Q3278" t="n">
        <v>0</v>
      </c>
      <c r="R3278" t="inlineStr">
        <is>
          <t>Sin rotación</t>
        </is>
      </c>
    </row>
    <row r="3279">
      <c r="A3279" t="inlineStr">
        <is>
          <t>SARSPDA70TXL</t>
        </is>
      </c>
      <c r="B3279" t="inlineStr">
        <is>
          <t>[SARSPDA70TXL] FALDA SARA DAMA (Vinotinto, XL)</t>
        </is>
      </c>
      <c r="C3279" t="inlineStr">
        <is>
          <t>DAMA / FALDA SARA</t>
        </is>
      </c>
      <c r="D3279" t="n">
        <v>0</v>
      </c>
      <c r="E3279" t="n">
        <v>0</v>
      </c>
      <c r="F3279" t="n">
        <v>1.000010015470635</v>
      </c>
      <c r="G3279" t="inlineStr">
        <is>
          <t>C</t>
        </is>
      </c>
      <c r="H3279" t="n">
        <v>17</v>
      </c>
      <c r="I3279" t="n">
        <v>0</v>
      </c>
      <c r="J3279" t="n">
        <v>0</v>
      </c>
      <c r="K3279" t="n">
        <v>0</v>
      </c>
      <c r="L3279" t="n">
        <v>999</v>
      </c>
      <c r="M3279" t="n">
        <v>4</v>
      </c>
      <c r="N3279" t="n">
        <v>0</v>
      </c>
      <c r="O3279" t="n">
        <v>17</v>
      </c>
      <c r="P3279" t="n">
        <v>0</v>
      </c>
      <c r="Q3279" t="n">
        <v>0</v>
      </c>
      <c r="R3279" t="inlineStr">
        <is>
          <t>Sin rotación</t>
        </is>
      </c>
    </row>
    <row r="3280">
      <c r="A3280" t="inlineStr">
        <is>
          <t>SARSPKI09T10</t>
        </is>
      </c>
      <c r="B3280" t="inlineStr">
        <is>
          <t>[SARSPKI09T10] FALDA SARA KIDS (Azul Cielo, 10)</t>
        </is>
      </c>
      <c r="C3280" t="inlineStr">
        <is>
          <t>KIDS / FALDA SARA</t>
        </is>
      </c>
      <c r="D3280" t="n">
        <v>0</v>
      </c>
      <c r="E3280" t="n">
        <v>0</v>
      </c>
      <c r="F3280" t="n">
        <v>1.000010015470635</v>
      </c>
      <c r="G3280" t="inlineStr">
        <is>
          <t>C</t>
        </is>
      </c>
      <c r="H3280" t="n">
        <v>17</v>
      </c>
      <c r="I3280" t="n">
        <v>0</v>
      </c>
      <c r="J3280" t="n">
        <v>0</v>
      </c>
      <c r="K3280" t="n">
        <v>0</v>
      </c>
      <c r="L3280" t="n">
        <v>999</v>
      </c>
      <c r="M3280" t="n">
        <v>4</v>
      </c>
      <c r="N3280" t="n">
        <v>0</v>
      </c>
      <c r="O3280" t="n">
        <v>17</v>
      </c>
      <c r="P3280" t="n">
        <v>0</v>
      </c>
      <c r="Q3280" t="n">
        <v>0</v>
      </c>
      <c r="R3280" t="inlineStr">
        <is>
          <t>Sin rotación</t>
        </is>
      </c>
    </row>
    <row r="3281">
      <c r="A3281" t="inlineStr">
        <is>
          <t>SARSPDA70TL</t>
        </is>
      </c>
      <c r="B3281" t="inlineStr">
        <is>
          <t>[SARSPDA70TL] FALDA SARA DAMA (Vinotinto, L)</t>
        </is>
      </c>
      <c r="C3281" t="inlineStr">
        <is>
          <t>DAMA / FALDA SARA</t>
        </is>
      </c>
      <c r="D3281" t="n">
        <v>0</v>
      </c>
      <c r="E3281" t="n">
        <v>0</v>
      </c>
      <c r="F3281" t="n">
        <v>1.000010015470635</v>
      </c>
      <c r="G3281" t="inlineStr">
        <is>
          <t>C</t>
        </is>
      </c>
      <c r="H3281" t="n">
        <v>14</v>
      </c>
      <c r="I3281" t="n">
        <v>0</v>
      </c>
      <c r="J3281" t="n">
        <v>0</v>
      </c>
      <c r="K3281" t="n">
        <v>0</v>
      </c>
      <c r="L3281" t="n">
        <v>999</v>
      </c>
      <c r="M3281" t="n">
        <v>4</v>
      </c>
      <c r="N3281" t="n">
        <v>0</v>
      </c>
      <c r="O3281" t="n">
        <v>14</v>
      </c>
      <c r="P3281" t="n">
        <v>0</v>
      </c>
      <c r="Q3281" t="n">
        <v>0</v>
      </c>
      <c r="R3281" t="inlineStr">
        <is>
          <t>Sin rotación</t>
        </is>
      </c>
    </row>
    <row r="3282">
      <c r="A3282" t="inlineStr">
        <is>
          <t>DALSSTKI30T2</t>
        </is>
      </c>
      <c r="B3282" t="inlineStr">
        <is>
          <t>[DALSSTKI30T2] MANGA LARGA DAILY 2.0 KIDS (Gris Claro, 2)</t>
        </is>
      </c>
      <c r="C3282" t="inlineStr">
        <is>
          <t>KIDS / MANGA LARGA DAILY 2.0</t>
        </is>
      </c>
      <c r="D3282" t="n">
        <v>0</v>
      </c>
      <c r="E3282" t="n">
        <v>0</v>
      </c>
      <c r="F3282" t="n">
        <v>1.000010015470635</v>
      </c>
      <c r="G3282" t="inlineStr">
        <is>
          <t>C</t>
        </is>
      </c>
      <c r="H3282" t="n">
        <v>1</v>
      </c>
      <c r="I3282" t="n">
        <v>0</v>
      </c>
      <c r="J3282" t="n">
        <v>0</v>
      </c>
      <c r="K3282" t="n">
        <v>0</v>
      </c>
      <c r="L3282" t="n">
        <v>999</v>
      </c>
      <c r="M3282" t="n">
        <v>4</v>
      </c>
      <c r="N3282" t="n">
        <v>0</v>
      </c>
      <c r="O3282" t="n">
        <v>1</v>
      </c>
      <c r="P3282" t="n">
        <v>0</v>
      </c>
      <c r="Q3282" t="n">
        <v>0</v>
      </c>
      <c r="R3282" t="inlineStr">
        <is>
          <t>Sin rotación</t>
        </is>
      </c>
    </row>
    <row r="3283">
      <c r="A3283" t="inlineStr">
        <is>
          <t>MANMIGE34TG</t>
        </is>
      </c>
      <c r="B3283" t="inlineStr">
        <is>
          <t>[MANMIGE34TG] MANGAS GENERAL (Lila, G)</t>
        </is>
      </c>
      <c r="C3283" t="inlineStr">
        <is>
          <t>MANGAS GENERAL</t>
        </is>
      </c>
      <c r="D3283" t="n">
        <v>0</v>
      </c>
      <c r="E3283" t="n">
        <v>0</v>
      </c>
      <c r="F3283" t="n">
        <v>1.000010015470635</v>
      </c>
      <c r="G3283" t="inlineStr">
        <is>
          <t>C</t>
        </is>
      </c>
      <c r="H3283" t="n">
        <v>2</v>
      </c>
      <c r="I3283" t="n">
        <v>0</v>
      </c>
      <c r="J3283" t="n">
        <v>0</v>
      </c>
      <c r="K3283" t="n">
        <v>0</v>
      </c>
      <c r="L3283" t="n">
        <v>999</v>
      </c>
      <c r="M3283" t="n">
        <v>4</v>
      </c>
      <c r="N3283" t="n">
        <v>0</v>
      </c>
      <c r="O3283" t="n">
        <v>2</v>
      </c>
      <c r="P3283" t="n">
        <v>0</v>
      </c>
      <c r="Q3283" t="n">
        <v>0</v>
      </c>
      <c r="R3283" t="inlineStr">
        <is>
          <t>Sin rotación</t>
        </is>
      </c>
    </row>
    <row r="3284">
      <c r="A3284" t="inlineStr">
        <is>
          <t>DALSSTKI30T14</t>
        </is>
      </c>
      <c r="B3284" t="inlineStr">
        <is>
          <t>MANGA LARGA DAILY 2.0 KIDS</t>
        </is>
      </c>
      <c r="C3284" t="inlineStr">
        <is>
          <t>Manufactura / Kids / P. Superiores</t>
        </is>
      </c>
      <c r="D3284" t="n">
        <v>0</v>
      </c>
      <c r="E3284" t="n">
        <v>0</v>
      </c>
      <c r="F3284" t="n">
        <v>1.000010015470635</v>
      </c>
      <c r="G3284" t="inlineStr">
        <is>
          <t>C</t>
        </is>
      </c>
      <c r="H3284" t="n">
        <v>0</v>
      </c>
      <c r="I3284" t="n">
        <v>10.1</v>
      </c>
      <c r="J3284" t="n">
        <v>0</v>
      </c>
      <c r="K3284" t="n">
        <v>0.2</v>
      </c>
      <c r="L3284" t="n">
        <v>0</v>
      </c>
      <c r="M3284" t="n">
        <v>4</v>
      </c>
      <c r="N3284" t="n">
        <v>0.8</v>
      </c>
      <c r="O3284" t="n">
        <v>0</v>
      </c>
      <c r="P3284" t="n">
        <v>0</v>
      </c>
      <c r="Q3284" t="n">
        <v>0</v>
      </c>
      <c r="R3284" t="inlineStr">
        <is>
          <t>Riesgo bajo stock</t>
        </is>
      </c>
    </row>
    <row r="3285">
      <c r="A3285" t="inlineStr">
        <is>
          <t>UNIMJCA05TS</t>
        </is>
      </c>
      <c r="B3285" t="inlineStr">
        <is>
          <t xml:space="preserve">UNIFORME CAB </t>
        </is>
      </c>
      <c r="C3285" t="inlineStr">
        <is>
          <t>Manufactura / Caballero / P. Superiores</t>
        </is>
      </c>
      <c r="D3285" t="n">
        <v>0</v>
      </c>
      <c r="E3285" t="n">
        <v>0</v>
      </c>
      <c r="F3285" t="n">
        <v>1.000010015470635</v>
      </c>
      <c r="G3285" t="inlineStr">
        <is>
          <t>C</t>
        </is>
      </c>
      <c r="H3285" t="n">
        <v>0</v>
      </c>
      <c r="I3285" t="n">
        <v>0</v>
      </c>
      <c r="J3285" t="n">
        <v>0</v>
      </c>
      <c r="K3285" t="n">
        <v>0.1</v>
      </c>
      <c r="L3285" t="n">
        <v>0</v>
      </c>
      <c r="M3285" t="n">
        <v>4</v>
      </c>
      <c r="N3285" t="n">
        <v>0.4</v>
      </c>
      <c r="O3285" t="n">
        <v>0</v>
      </c>
      <c r="P3285" t="n">
        <v>0</v>
      </c>
      <c r="Q3285" t="n">
        <v>0</v>
      </c>
      <c r="R3285" t="inlineStr">
        <is>
          <t>Riesgo bajo stock</t>
        </is>
      </c>
    </row>
    <row r="3286">
      <c r="A3286" t="inlineStr">
        <is>
          <t>SARSPKI09T12</t>
        </is>
      </c>
      <c r="B3286" t="inlineStr">
        <is>
          <t>[SARSPKI09T12] FALDA SARA KIDS (Azul Cielo, 12)</t>
        </is>
      </c>
      <c r="C3286" t="inlineStr">
        <is>
          <t>KIDS / FALDA SARA</t>
        </is>
      </c>
      <c r="D3286" t="n">
        <v>0</v>
      </c>
      <c r="E3286" t="n">
        <v>0</v>
      </c>
      <c r="F3286" t="n">
        <v>1.000010015470635</v>
      </c>
      <c r="G3286" t="inlineStr">
        <is>
          <t>C</t>
        </is>
      </c>
      <c r="H3286" t="n">
        <v>18</v>
      </c>
      <c r="I3286" t="n">
        <v>0</v>
      </c>
      <c r="J3286" t="n">
        <v>0</v>
      </c>
      <c r="K3286" t="n">
        <v>0</v>
      </c>
      <c r="L3286" t="n">
        <v>999</v>
      </c>
      <c r="M3286" t="n">
        <v>4</v>
      </c>
      <c r="N3286" t="n">
        <v>0</v>
      </c>
      <c r="O3286" t="n">
        <v>18</v>
      </c>
      <c r="P3286" t="n">
        <v>0</v>
      </c>
      <c r="Q3286" t="n">
        <v>0</v>
      </c>
      <c r="R3286" t="inlineStr">
        <is>
          <t>Sin rotación</t>
        </is>
      </c>
    </row>
    <row r="3287">
      <c r="A3287" t="inlineStr">
        <is>
          <t>MANMIGE24TP</t>
        </is>
      </c>
      <c r="B3287" t="inlineStr">
        <is>
          <t>[MANMIGE24TP] MANGAS GENERAL (Coral Neón, P)</t>
        </is>
      </c>
      <c r="C3287" t="inlineStr">
        <is>
          <t>MANGAS GENERAL</t>
        </is>
      </c>
      <c r="D3287" t="n">
        <v>0</v>
      </c>
      <c r="E3287" t="n">
        <v>0</v>
      </c>
      <c r="F3287" t="n">
        <v>1.000010015470635</v>
      </c>
      <c r="G3287" t="inlineStr">
        <is>
          <t>C</t>
        </is>
      </c>
      <c r="H3287" t="n">
        <v>13</v>
      </c>
      <c r="I3287" t="n">
        <v>0</v>
      </c>
      <c r="J3287" t="n">
        <v>0</v>
      </c>
      <c r="K3287" t="n">
        <v>0</v>
      </c>
      <c r="L3287" t="n">
        <v>999</v>
      </c>
      <c r="M3287" t="n">
        <v>4</v>
      </c>
      <c r="N3287" t="n">
        <v>0</v>
      </c>
      <c r="O3287" t="n">
        <v>13</v>
      </c>
      <c r="P3287" t="n">
        <v>0</v>
      </c>
      <c r="Q3287" t="n">
        <v>0</v>
      </c>
      <c r="R3287" t="inlineStr">
        <is>
          <t>Sin rotación</t>
        </is>
      </c>
    </row>
    <row r="3288">
      <c r="A3288" t="inlineStr">
        <is>
          <t>SABMEDA13TXL</t>
        </is>
      </c>
      <c r="B3288" t="inlineStr">
        <is>
          <t>[SABMEDA13TXL] SABRI SPORT DAMA (Azul Rey, XL)</t>
        </is>
      </c>
      <c r="C3288" t="inlineStr">
        <is>
          <t>DAMA / SABRI SPORT</t>
        </is>
      </c>
      <c r="D3288" t="n">
        <v>0</v>
      </c>
      <c r="E3288" t="n">
        <v>0</v>
      </c>
      <c r="F3288" t="n">
        <v>1.000010015470635</v>
      </c>
      <c r="G3288" t="inlineStr">
        <is>
          <t>C</t>
        </is>
      </c>
      <c r="H3288" t="n">
        <v>8</v>
      </c>
      <c r="I3288" t="n">
        <v>0</v>
      </c>
      <c r="J3288" t="n">
        <v>0</v>
      </c>
      <c r="K3288" t="n">
        <v>0</v>
      </c>
      <c r="L3288" t="n">
        <v>999</v>
      </c>
      <c r="M3288" t="n">
        <v>4</v>
      </c>
      <c r="N3288" t="n">
        <v>0</v>
      </c>
      <c r="O3288" t="n">
        <v>8</v>
      </c>
      <c r="P3288" t="n">
        <v>0</v>
      </c>
      <c r="Q3288" t="n">
        <v>0</v>
      </c>
      <c r="R3288" t="inlineStr">
        <is>
          <t>Sin rotación</t>
        </is>
      </c>
    </row>
    <row r="3289">
      <c r="A3289" t="inlineStr">
        <is>
          <t>EMP150TG</t>
        </is>
      </c>
      <c r="B3289" t="inlineStr">
        <is>
          <t>[EMP150TG] BOLSAS KRAFT (GRANDE)</t>
        </is>
      </c>
      <c r="C3289" t="inlineStr">
        <is>
          <t>BOLSAS KRAFT</t>
        </is>
      </c>
      <c r="D3289" t="n">
        <v>0</v>
      </c>
      <c r="E3289" t="n">
        <v>0</v>
      </c>
      <c r="F3289" t="n">
        <v>1.000010015470635</v>
      </c>
      <c r="G3289" t="inlineStr">
        <is>
          <t>C</t>
        </is>
      </c>
      <c r="H3289" t="n">
        <v>988</v>
      </c>
      <c r="I3289" t="n">
        <v>0</v>
      </c>
      <c r="J3289" t="n">
        <v>0</v>
      </c>
      <c r="K3289" t="n">
        <v>0</v>
      </c>
      <c r="L3289" t="n">
        <v>999</v>
      </c>
      <c r="M3289" t="n">
        <v>4</v>
      </c>
      <c r="N3289" t="n">
        <v>0</v>
      </c>
      <c r="O3289" t="n">
        <v>988</v>
      </c>
      <c r="P3289" t="n">
        <v>0</v>
      </c>
      <c r="Q3289" t="n">
        <v>0</v>
      </c>
      <c r="R3289" t="inlineStr">
        <is>
          <t>Sin rotación</t>
        </is>
      </c>
    </row>
    <row r="3290">
      <c r="A3290" t="inlineStr">
        <is>
          <t>EMP150TM</t>
        </is>
      </c>
      <c r="B3290" t="inlineStr">
        <is>
          <t>[EMP150TM] BOLSAS KRAFT (MEDIANO)</t>
        </is>
      </c>
      <c r="C3290" t="inlineStr">
        <is>
          <t>BOLSAS KRAFT</t>
        </is>
      </c>
      <c r="D3290" t="n">
        <v>0</v>
      </c>
      <c r="E3290" t="n">
        <v>0</v>
      </c>
      <c r="F3290" t="n">
        <v>1.000010015470635</v>
      </c>
      <c r="G3290" t="inlineStr">
        <is>
          <t>C</t>
        </is>
      </c>
      <c r="H3290" t="n">
        <v>35</v>
      </c>
      <c r="I3290" t="n">
        <v>0</v>
      </c>
      <c r="J3290" t="n">
        <v>0</v>
      </c>
      <c r="K3290" t="n">
        <v>0</v>
      </c>
      <c r="L3290" t="n">
        <v>999</v>
      </c>
      <c r="M3290" t="n">
        <v>4</v>
      </c>
      <c r="N3290" t="n">
        <v>0</v>
      </c>
      <c r="O3290" t="n">
        <v>35</v>
      </c>
      <c r="P3290" t="n">
        <v>0</v>
      </c>
      <c r="Q3290" t="n">
        <v>0</v>
      </c>
      <c r="R3290" t="inlineStr">
        <is>
          <t>Sin rotación</t>
        </is>
      </c>
    </row>
    <row r="3291">
      <c r="A3291" t="inlineStr">
        <is>
          <t>EMP150TNG</t>
        </is>
      </c>
      <c r="B3291" t="inlineStr">
        <is>
          <t>[EMP150TNG] BOLSAS KRAFT NAVIDAD (GRANDE)</t>
        </is>
      </c>
      <c r="C3291" t="inlineStr">
        <is>
          <t>BOLSAS KRAFT NAVIDAD</t>
        </is>
      </c>
      <c r="D3291" t="n">
        <v>0</v>
      </c>
      <c r="E3291" t="n">
        <v>0</v>
      </c>
      <c r="F3291" t="n">
        <v>1.000010015470635</v>
      </c>
      <c r="G3291" t="inlineStr">
        <is>
          <t>C</t>
        </is>
      </c>
      <c r="H3291" t="n">
        <v>126</v>
      </c>
      <c r="I3291" t="n">
        <v>0</v>
      </c>
      <c r="J3291" t="n">
        <v>0</v>
      </c>
      <c r="K3291" t="n">
        <v>0</v>
      </c>
      <c r="L3291" t="n">
        <v>999</v>
      </c>
      <c r="M3291" t="n">
        <v>4</v>
      </c>
      <c r="N3291" t="n">
        <v>0</v>
      </c>
      <c r="O3291" t="n">
        <v>126</v>
      </c>
      <c r="P3291" t="n">
        <v>0</v>
      </c>
      <c r="Q3291" t="n">
        <v>0</v>
      </c>
      <c r="R3291" t="inlineStr">
        <is>
          <t>Sin rotación</t>
        </is>
      </c>
    </row>
    <row r="3292">
      <c r="A3292" t="inlineStr">
        <is>
          <t>EMP150TNM</t>
        </is>
      </c>
      <c r="B3292" t="inlineStr">
        <is>
          <t>[EMP150TNM] BOLSAS KRAFT NAVIDAD (MEDIANO)</t>
        </is>
      </c>
      <c r="C3292" t="inlineStr">
        <is>
          <t>BOLSAS KRAFT NAVIDAD</t>
        </is>
      </c>
      <c r="D3292" t="n">
        <v>0</v>
      </c>
      <c r="E3292" t="n">
        <v>0</v>
      </c>
      <c r="F3292" t="n">
        <v>1.000010015470635</v>
      </c>
      <c r="G3292" t="inlineStr">
        <is>
          <t>C</t>
        </is>
      </c>
      <c r="H3292" t="n">
        <v>546</v>
      </c>
      <c r="I3292" t="n">
        <v>0</v>
      </c>
      <c r="J3292" t="n">
        <v>0</v>
      </c>
      <c r="K3292" t="n">
        <v>0</v>
      </c>
      <c r="L3292" t="n">
        <v>999</v>
      </c>
      <c r="M3292" t="n">
        <v>4</v>
      </c>
      <c r="N3292" t="n">
        <v>0</v>
      </c>
      <c r="O3292" t="n">
        <v>546</v>
      </c>
      <c r="P3292" t="n">
        <v>0</v>
      </c>
      <c r="Q3292" t="n">
        <v>0</v>
      </c>
      <c r="R3292" t="inlineStr">
        <is>
          <t>Sin rotación</t>
        </is>
      </c>
    </row>
    <row r="3293">
      <c r="A3293" t="inlineStr">
        <is>
          <t>EMP150TNP</t>
        </is>
      </c>
      <c r="B3293" t="inlineStr">
        <is>
          <t>[EMP150TNP] BOLSAS KRAFT NAVIDAD (PEQUEÑO)</t>
        </is>
      </c>
      <c r="C3293" t="inlineStr">
        <is>
          <t>BOLSAS KRAFT NAVIDAD</t>
        </is>
      </c>
      <c r="D3293" t="n">
        <v>0</v>
      </c>
      <c r="E3293" t="n">
        <v>0</v>
      </c>
      <c r="F3293" t="n">
        <v>1.000010015470635</v>
      </c>
      <c r="G3293" t="inlineStr">
        <is>
          <t>C</t>
        </is>
      </c>
      <c r="H3293" t="n">
        <v>1527</v>
      </c>
      <c r="I3293" t="n">
        <v>0</v>
      </c>
      <c r="J3293" t="n">
        <v>0</v>
      </c>
      <c r="K3293" t="n">
        <v>0</v>
      </c>
      <c r="L3293" t="n">
        <v>999</v>
      </c>
      <c r="M3293" t="n">
        <v>4</v>
      </c>
      <c r="N3293" t="n">
        <v>0</v>
      </c>
      <c r="O3293" t="n">
        <v>1527</v>
      </c>
      <c r="P3293" t="n">
        <v>0</v>
      </c>
      <c r="Q3293" t="n">
        <v>0</v>
      </c>
      <c r="R3293" t="inlineStr">
        <is>
          <t>Sin rotación</t>
        </is>
      </c>
    </row>
    <row r="3294">
      <c r="A3294" t="inlineStr">
        <is>
          <t>SHONRKI30T16</t>
        </is>
      </c>
      <c r="B3294" t="inlineStr">
        <is>
          <t>SHORT SPORT KIDS</t>
        </is>
      </c>
      <c r="C3294" t="inlineStr">
        <is>
          <t>Manufactura / Kids / P. Inferiores</t>
        </is>
      </c>
      <c r="D3294" t="n">
        <v>0</v>
      </c>
      <c r="E3294" t="n">
        <v>0</v>
      </c>
      <c r="F3294" t="n">
        <v>1.000010015470635</v>
      </c>
      <c r="G3294" t="inlineStr">
        <is>
          <t>C</t>
        </is>
      </c>
      <c r="H3294" t="n">
        <v>0</v>
      </c>
      <c r="I3294" t="n">
        <v>6.465724382</v>
      </c>
      <c r="J3294" t="n">
        <v>0</v>
      </c>
      <c r="K3294" t="n">
        <v>0.2</v>
      </c>
      <c r="L3294" t="n">
        <v>0</v>
      </c>
      <c r="M3294" t="n">
        <v>4</v>
      </c>
      <c r="N3294" t="n">
        <v>0.8</v>
      </c>
      <c r="O3294" t="n">
        <v>0</v>
      </c>
      <c r="P3294" t="n">
        <v>0</v>
      </c>
      <c r="Q3294" t="n">
        <v>0</v>
      </c>
      <c r="R3294" t="inlineStr">
        <is>
          <t>Riesgo bajo stock</t>
        </is>
      </c>
    </row>
    <row r="3295">
      <c r="A3295" t="inlineStr">
        <is>
          <t>SHONRCA66TXL</t>
        </is>
      </c>
      <c r="B3295" t="inlineStr">
        <is>
          <t>SHORT SPORT CAB</t>
        </is>
      </c>
      <c r="C3295" t="inlineStr">
        <is>
          <t>Manufactura / Caballero / P. Inferiores</t>
        </is>
      </c>
      <c r="D3295" t="n">
        <v>0</v>
      </c>
      <c r="E3295" t="n">
        <v>0</v>
      </c>
      <c r="F3295" t="n">
        <v>1.000010015470635</v>
      </c>
      <c r="G3295" t="inlineStr">
        <is>
          <t>C</t>
        </is>
      </c>
      <c r="H3295" t="n">
        <v>0</v>
      </c>
      <c r="I3295" t="n">
        <v>10.6514486</v>
      </c>
      <c r="J3295" t="n">
        <v>0</v>
      </c>
      <c r="K3295" t="n">
        <v>0.2</v>
      </c>
      <c r="L3295" t="n">
        <v>0</v>
      </c>
      <c r="M3295" t="n">
        <v>4</v>
      </c>
      <c r="N3295" t="n">
        <v>0.8</v>
      </c>
      <c r="O3295" t="n">
        <v>0</v>
      </c>
      <c r="P3295" t="n">
        <v>0</v>
      </c>
      <c r="Q3295" t="n">
        <v>0</v>
      </c>
      <c r="R3295" t="inlineStr">
        <is>
          <t>Riesgo bajo stock</t>
        </is>
      </c>
    </row>
    <row r="3296">
      <c r="A3296" t="inlineStr">
        <is>
          <t>SHONRCA66TS</t>
        </is>
      </c>
      <c r="B3296" t="inlineStr">
        <is>
          <t>SHORT SPORT CAB</t>
        </is>
      </c>
      <c r="C3296" t="inlineStr">
        <is>
          <t>Manufactura / Caballero / P. Inferiores</t>
        </is>
      </c>
      <c r="D3296" t="n">
        <v>0</v>
      </c>
      <c r="E3296" t="n">
        <v>0</v>
      </c>
      <c r="F3296" t="n">
        <v>1.000010015470635</v>
      </c>
      <c r="G3296" t="inlineStr">
        <is>
          <t>C</t>
        </is>
      </c>
      <c r="H3296" t="n">
        <v>0</v>
      </c>
      <c r="I3296" t="n">
        <v>10.6514486</v>
      </c>
      <c r="J3296" t="n">
        <v>0</v>
      </c>
      <c r="K3296" t="n">
        <v>0.1</v>
      </c>
      <c r="L3296" t="n">
        <v>0</v>
      </c>
      <c r="M3296" t="n">
        <v>4</v>
      </c>
      <c r="N3296" t="n">
        <v>0.4</v>
      </c>
      <c r="O3296" t="n">
        <v>0</v>
      </c>
      <c r="P3296" t="n">
        <v>0</v>
      </c>
      <c r="Q3296" t="n">
        <v>0</v>
      </c>
      <c r="R3296" t="inlineStr">
        <is>
          <t>Riesgo bajo stock</t>
        </is>
      </c>
    </row>
    <row r="3297">
      <c r="A3297" t="inlineStr">
        <is>
          <t>DAMSTDA30TXL</t>
        </is>
      </c>
      <c r="B3297" t="inlineStr">
        <is>
          <t>[DAMSTDA30TXL] MANGA LARGA DAILY DAMA (Gris Claro, XL)</t>
        </is>
      </c>
      <c r="C3297" t="inlineStr">
        <is>
          <t>DAMA / MANGA LARGA DAILY</t>
        </is>
      </c>
      <c r="D3297" t="n">
        <v>0</v>
      </c>
      <c r="E3297" t="n">
        <v>0</v>
      </c>
      <c r="F3297" t="n">
        <v>1.000010015470635</v>
      </c>
      <c r="G3297" t="inlineStr">
        <is>
          <t>C</t>
        </is>
      </c>
      <c r="H3297" t="n">
        <v>1</v>
      </c>
      <c r="I3297" t="n">
        <v>0</v>
      </c>
      <c r="J3297" t="n">
        <v>0</v>
      </c>
      <c r="K3297" t="n">
        <v>0</v>
      </c>
      <c r="L3297" t="n">
        <v>999</v>
      </c>
      <c r="M3297" t="n">
        <v>4</v>
      </c>
      <c r="N3297" t="n">
        <v>0</v>
      </c>
      <c r="O3297" t="n">
        <v>1</v>
      </c>
      <c r="P3297" t="n">
        <v>0</v>
      </c>
      <c r="Q3297" t="n">
        <v>0</v>
      </c>
      <c r="R3297" t="inlineStr">
        <is>
          <t>Sin rotación</t>
        </is>
      </c>
    </row>
    <row r="3298">
      <c r="A3298" t="inlineStr">
        <is>
          <t>DAMSTCA43T2XL</t>
        </is>
      </c>
      <c r="B3298" t="inlineStr">
        <is>
          <t>[DAMSTCA43T2XL] MANGA LARGA DAILY CAB (Negro, 2XL)</t>
        </is>
      </c>
      <c r="C3298" t="inlineStr">
        <is>
          <t>CAB / MANGA LARGA DAILY</t>
        </is>
      </c>
      <c r="D3298" t="n">
        <v>0</v>
      </c>
      <c r="E3298" t="n">
        <v>0</v>
      </c>
      <c r="F3298" t="n">
        <v>1.000010015470635</v>
      </c>
      <c r="G3298" t="inlineStr">
        <is>
          <t>C</t>
        </is>
      </c>
      <c r="H3298" t="n">
        <v>1</v>
      </c>
      <c r="I3298" t="n">
        <v>0</v>
      </c>
      <c r="J3298" t="n">
        <v>0</v>
      </c>
      <c r="K3298" t="n">
        <v>0</v>
      </c>
      <c r="L3298" t="n">
        <v>999</v>
      </c>
      <c r="M3298" t="n">
        <v>4</v>
      </c>
      <c r="N3298" t="n">
        <v>0</v>
      </c>
      <c r="O3298" t="n">
        <v>1</v>
      </c>
      <c r="P3298" t="n">
        <v>0</v>
      </c>
      <c r="Q3298" t="n">
        <v>0</v>
      </c>
      <c r="R3298" t="inlineStr">
        <is>
          <t>Sin rotación</t>
        </is>
      </c>
    </row>
    <row r="3299">
      <c r="A3299" t="inlineStr">
        <is>
          <t>DALSTKI43T8</t>
        </is>
      </c>
      <c r="B3299" t="inlineStr">
        <is>
          <t>[DALSTKI43T8] CLASICA DAILY 2.0 KIDS (Negro, 8)</t>
        </is>
      </c>
      <c r="C3299" t="inlineStr">
        <is>
          <t>KIDS / CLASICA DAILY 2.0</t>
        </is>
      </c>
      <c r="D3299" t="n">
        <v>0</v>
      </c>
      <c r="E3299" t="n">
        <v>0</v>
      </c>
      <c r="F3299" t="n">
        <v>1.000010015470635</v>
      </c>
      <c r="G3299" t="inlineStr">
        <is>
          <t>C</t>
        </is>
      </c>
      <c r="H3299" t="n">
        <v>1</v>
      </c>
      <c r="I3299" t="n">
        <v>0</v>
      </c>
      <c r="J3299" t="n">
        <v>0</v>
      </c>
      <c r="K3299" t="n">
        <v>0</v>
      </c>
      <c r="L3299" t="n">
        <v>999</v>
      </c>
      <c r="M3299" t="n">
        <v>4</v>
      </c>
      <c r="N3299" t="n">
        <v>0</v>
      </c>
      <c r="O3299" t="n">
        <v>1</v>
      </c>
      <c r="P3299" t="n">
        <v>0</v>
      </c>
      <c r="Q3299" t="n">
        <v>0</v>
      </c>
      <c r="R3299" t="inlineStr">
        <is>
          <t>Sin rotación</t>
        </is>
      </c>
    </row>
    <row r="3300">
      <c r="A3300" t="inlineStr">
        <is>
          <t>PAUMIDA43TXL</t>
        </is>
      </c>
      <c r="B3300" t="inlineStr">
        <is>
          <t>[PAUMIDA43TXL] PAULA ORIGINAL DAMA (Negro, XL)</t>
        </is>
      </c>
      <c r="C3300" t="inlineStr">
        <is>
          <t>DAMA / PAULA ORIGINAL</t>
        </is>
      </c>
      <c r="D3300" t="n">
        <v>0</v>
      </c>
      <c r="E3300" t="n">
        <v>0</v>
      </c>
      <c r="F3300" t="n">
        <v>1.000010015470635</v>
      </c>
      <c r="G3300" t="inlineStr">
        <is>
          <t>C</t>
        </is>
      </c>
      <c r="H3300" t="n">
        <v>1</v>
      </c>
      <c r="I3300" t="n">
        <v>0</v>
      </c>
      <c r="J3300" t="n">
        <v>0</v>
      </c>
      <c r="K3300" t="n">
        <v>0</v>
      </c>
      <c r="L3300" t="n">
        <v>999</v>
      </c>
      <c r="M3300" t="n">
        <v>4</v>
      </c>
      <c r="N3300" t="n">
        <v>0</v>
      </c>
      <c r="O3300" t="n">
        <v>1</v>
      </c>
      <c r="P3300" t="n">
        <v>0</v>
      </c>
      <c r="Q3300" t="n">
        <v>0</v>
      </c>
      <c r="R3300" t="inlineStr">
        <is>
          <t>Sin rotación</t>
        </is>
      </c>
    </row>
    <row r="3301">
      <c r="A3301" t="inlineStr">
        <is>
          <t>PAUMIDA43TL</t>
        </is>
      </c>
      <c r="B3301" t="inlineStr">
        <is>
          <t>[PAUMIDA43TL] PAULA ORIGINAL DAMA (Negro, L)</t>
        </is>
      </c>
      <c r="C3301" t="inlineStr">
        <is>
          <t>DAMA / PAULA ORIGINAL</t>
        </is>
      </c>
      <c r="D3301" t="n">
        <v>0</v>
      </c>
      <c r="E3301" t="n">
        <v>0</v>
      </c>
      <c r="F3301" t="n">
        <v>1.000010015470635</v>
      </c>
      <c r="G3301" t="inlineStr">
        <is>
          <t>C</t>
        </is>
      </c>
      <c r="H3301" t="n">
        <v>1</v>
      </c>
      <c r="I3301" t="n">
        <v>0</v>
      </c>
      <c r="J3301" t="n">
        <v>0</v>
      </c>
      <c r="K3301" t="n">
        <v>0</v>
      </c>
      <c r="L3301" t="n">
        <v>999</v>
      </c>
      <c r="M3301" t="n">
        <v>4</v>
      </c>
      <c r="N3301" t="n">
        <v>0</v>
      </c>
      <c r="O3301" t="n">
        <v>1</v>
      </c>
      <c r="P3301" t="n">
        <v>0</v>
      </c>
      <c r="Q3301" t="n">
        <v>0</v>
      </c>
      <c r="R3301" t="inlineStr">
        <is>
          <t>Sin rotación</t>
        </is>
      </c>
    </row>
    <row r="3302">
      <c r="A3302" t="inlineStr">
        <is>
          <t>DALSSTCA16TXL</t>
        </is>
      </c>
      <c r="B3302" t="inlineStr">
        <is>
          <t>[DALSSTCA16TXL] MANGA LARGA DAILY 2.0 CAB (Blanco, XL)</t>
        </is>
      </c>
      <c r="C3302" t="inlineStr">
        <is>
          <t>CAB / MANGA LARGA DAILY 2.0</t>
        </is>
      </c>
      <c r="D3302" t="n">
        <v>0</v>
      </c>
      <c r="E3302" t="n">
        <v>0</v>
      </c>
      <c r="F3302" t="n">
        <v>1.000010015470635</v>
      </c>
      <c r="G3302" t="inlineStr">
        <is>
          <t>C</t>
        </is>
      </c>
      <c r="H3302" t="n">
        <v>3</v>
      </c>
      <c r="I3302" t="n">
        <v>0</v>
      </c>
      <c r="J3302" t="n">
        <v>0</v>
      </c>
      <c r="K3302" t="n">
        <v>0</v>
      </c>
      <c r="L3302" t="n">
        <v>999</v>
      </c>
      <c r="M3302" t="n">
        <v>4</v>
      </c>
      <c r="N3302" t="n">
        <v>0</v>
      </c>
      <c r="O3302" t="n">
        <v>3</v>
      </c>
      <c r="P3302" t="n">
        <v>0</v>
      </c>
      <c r="Q3302" t="n">
        <v>0</v>
      </c>
      <c r="R3302" t="inlineStr">
        <is>
          <t>Sin rotación</t>
        </is>
      </c>
    </row>
    <row r="3303">
      <c r="A3303" t="inlineStr">
        <is>
          <t>DALSSTCA16TL</t>
        </is>
      </c>
      <c r="B3303" t="inlineStr">
        <is>
          <t>[DALSSTCA16TL] MANGA LARGA DAILY 2.0 CAB (Blanco, L)</t>
        </is>
      </c>
      <c r="C3303" t="inlineStr">
        <is>
          <t>CAB / MANGA LARGA DAILY 2.0</t>
        </is>
      </c>
      <c r="D3303" t="n">
        <v>0</v>
      </c>
      <c r="E3303" t="n">
        <v>0</v>
      </c>
      <c r="F3303" t="n">
        <v>1.000010015470635</v>
      </c>
      <c r="G3303" t="inlineStr">
        <is>
          <t>C</t>
        </is>
      </c>
      <c r="H3303" t="n">
        <v>1</v>
      </c>
      <c r="I3303" t="n">
        <v>0</v>
      </c>
      <c r="J3303" t="n">
        <v>0</v>
      </c>
      <c r="K3303" t="n">
        <v>0</v>
      </c>
      <c r="L3303" t="n">
        <v>999</v>
      </c>
      <c r="M3303" t="n">
        <v>4</v>
      </c>
      <c r="N3303" t="n">
        <v>0</v>
      </c>
      <c r="O3303" t="n">
        <v>1</v>
      </c>
      <c r="P3303" t="n">
        <v>0</v>
      </c>
      <c r="Q3303" t="n">
        <v>0</v>
      </c>
      <c r="R3303" t="inlineStr">
        <is>
          <t>Sin rotación</t>
        </is>
      </c>
    </row>
    <row r="3304">
      <c r="A3304" t="inlineStr">
        <is>
          <t>DALSSTCA16T2XL</t>
        </is>
      </c>
      <c r="B3304" t="inlineStr">
        <is>
          <t>[DALSSTCA16T2XL] MANGA LARGA DAILY 2.0 CAB (Blanco, 2XL)</t>
        </is>
      </c>
      <c r="C3304" t="inlineStr">
        <is>
          <t>CAB / MANGA LARGA DAILY 2.0</t>
        </is>
      </c>
      <c r="D3304" t="n">
        <v>0</v>
      </c>
      <c r="E3304" t="n">
        <v>0</v>
      </c>
      <c r="F3304" t="n">
        <v>1.000010015470635</v>
      </c>
      <c r="G3304" t="inlineStr">
        <is>
          <t>C</t>
        </is>
      </c>
      <c r="H3304" t="n">
        <v>2</v>
      </c>
      <c r="I3304" t="n">
        <v>0</v>
      </c>
      <c r="J3304" t="n">
        <v>0</v>
      </c>
      <c r="K3304" t="n">
        <v>0</v>
      </c>
      <c r="L3304" t="n">
        <v>999</v>
      </c>
      <c r="M3304" t="n">
        <v>4</v>
      </c>
      <c r="N3304" t="n">
        <v>0</v>
      </c>
      <c r="O3304" t="n">
        <v>2</v>
      </c>
      <c r="P3304" t="n">
        <v>0</v>
      </c>
      <c r="Q3304" t="n">
        <v>0</v>
      </c>
      <c r="R3304" t="inlineStr">
        <is>
          <t>Sin rotación</t>
        </is>
      </c>
    </row>
    <row r="3305">
      <c r="A3305" t="inlineStr">
        <is>
          <t>DALSSTKI43T8</t>
        </is>
      </c>
      <c r="B3305" t="inlineStr">
        <is>
          <t>[DALSSTKI43T8] MANGA LARGA DAILY 2.0 KIDS (Negro, 8)</t>
        </is>
      </c>
      <c r="C3305" t="inlineStr">
        <is>
          <t>KIDS / MANGA LARGA DAILY 2.0</t>
        </is>
      </c>
      <c r="D3305" t="n">
        <v>0</v>
      </c>
      <c r="E3305" t="n">
        <v>0</v>
      </c>
      <c r="F3305" t="n">
        <v>1.000010015470635</v>
      </c>
      <c r="G3305" t="inlineStr">
        <is>
          <t>C</t>
        </is>
      </c>
      <c r="H3305" t="n">
        <v>2</v>
      </c>
      <c r="I3305" t="n">
        <v>0</v>
      </c>
      <c r="J3305" t="n">
        <v>0</v>
      </c>
      <c r="K3305" t="n">
        <v>0</v>
      </c>
      <c r="L3305" t="n">
        <v>999</v>
      </c>
      <c r="M3305" t="n">
        <v>4</v>
      </c>
      <c r="N3305" t="n">
        <v>0</v>
      </c>
      <c r="O3305" t="n">
        <v>2</v>
      </c>
      <c r="P3305" t="n">
        <v>0</v>
      </c>
      <c r="Q3305" t="n">
        <v>0</v>
      </c>
      <c r="R3305" t="inlineStr">
        <is>
          <t>Sin rotación</t>
        </is>
      </c>
    </row>
    <row r="3306">
      <c r="A3306" t="inlineStr">
        <is>
          <t>PETMIPE14TS</t>
        </is>
      </c>
      <c r="B3306" t="inlineStr">
        <is>
          <t>[PETMIPE14TS] BANDANA PET (Azul Turquesa, S)</t>
        </is>
      </c>
      <c r="C3306" t="inlineStr">
        <is>
          <t>BANDANA PET</t>
        </is>
      </c>
      <c r="D3306" t="n">
        <v>0</v>
      </c>
      <c r="E3306" t="n">
        <v>0</v>
      </c>
      <c r="F3306" t="n">
        <v>1.000010015470635</v>
      </c>
      <c r="G3306" t="inlineStr">
        <is>
          <t>C</t>
        </is>
      </c>
      <c r="H3306" t="n">
        <v>8</v>
      </c>
      <c r="I3306" t="n">
        <v>0</v>
      </c>
      <c r="J3306" t="n">
        <v>0</v>
      </c>
      <c r="K3306" t="n">
        <v>0</v>
      </c>
      <c r="L3306" t="n">
        <v>999</v>
      </c>
      <c r="M3306" t="n">
        <v>4</v>
      </c>
      <c r="N3306" t="n">
        <v>0</v>
      </c>
      <c r="O3306" t="n">
        <v>8</v>
      </c>
      <c r="P3306" t="n">
        <v>0</v>
      </c>
      <c r="Q3306" t="n">
        <v>0</v>
      </c>
      <c r="R3306" t="inlineStr">
        <is>
          <t>Sin rotación</t>
        </is>
      </c>
    </row>
    <row r="3307">
      <c r="A3307" t="inlineStr">
        <is>
          <t>PETMIPE12TS</t>
        </is>
      </c>
      <c r="B3307" t="inlineStr">
        <is>
          <t>BANDANA PET</t>
        </is>
      </c>
      <c r="C3307" t="inlineStr">
        <is>
          <t>Manufactura / General</t>
        </is>
      </c>
      <c r="D3307" t="n">
        <v>0</v>
      </c>
      <c r="E3307" t="n">
        <v>0</v>
      </c>
      <c r="F3307" t="n">
        <v>1.000010015470635</v>
      </c>
      <c r="G3307" t="inlineStr">
        <is>
          <t>C</t>
        </is>
      </c>
      <c r="H3307" t="n">
        <v>0</v>
      </c>
      <c r="I3307" t="n">
        <v>0.3252662283</v>
      </c>
      <c r="J3307" t="n">
        <v>0</v>
      </c>
      <c r="K3307" t="n">
        <v>0.2</v>
      </c>
      <c r="L3307" t="n">
        <v>0</v>
      </c>
      <c r="M3307" t="n">
        <v>4</v>
      </c>
      <c r="N3307" t="n">
        <v>0.8</v>
      </c>
      <c r="O3307" t="n">
        <v>0</v>
      </c>
      <c r="P3307" t="n">
        <v>0</v>
      </c>
      <c r="Q3307" t="n">
        <v>0</v>
      </c>
      <c r="R3307" t="inlineStr">
        <is>
          <t>Riesgo bajo stock</t>
        </is>
      </c>
    </row>
    <row r="3308">
      <c r="A3308" t="inlineStr">
        <is>
          <t>DALSSTKI43T6</t>
        </is>
      </c>
      <c r="B3308" t="inlineStr">
        <is>
          <t>MANGA LARGA DAILY 2.0 KIDS</t>
        </is>
      </c>
      <c r="C3308" t="inlineStr">
        <is>
          <t>Manufactura / Kids / P. Superiores</t>
        </is>
      </c>
      <c r="D3308" t="n">
        <v>0</v>
      </c>
      <c r="E3308" t="n">
        <v>0</v>
      </c>
      <c r="F3308" t="n">
        <v>1.000010015470635</v>
      </c>
      <c r="G3308" t="inlineStr">
        <is>
          <t>C</t>
        </is>
      </c>
      <c r="H3308" t="n">
        <v>0</v>
      </c>
      <c r="I3308" t="n">
        <v>10.1</v>
      </c>
      <c r="J3308" t="n">
        <v>0</v>
      </c>
      <c r="K3308" t="n">
        <v>0.1</v>
      </c>
      <c r="L3308" t="n">
        <v>0</v>
      </c>
      <c r="M3308" t="n">
        <v>4</v>
      </c>
      <c r="N3308" t="n">
        <v>0.4</v>
      </c>
      <c r="O3308" t="n">
        <v>0</v>
      </c>
      <c r="P3308" t="n">
        <v>0</v>
      </c>
      <c r="Q3308" t="n">
        <v>0</v>
      </c>
      <c r="R3308" t="inlineStr">
        <is>
          <t>Sin rotación</t>
        </is>
      </c>
    </row>
    <row r="3309">
      <c r="A3309" t="inlineStr">
        <is>
          <t>DALSSTKI43T2</t>
        </is>
      </c>
      <c r="B3309" t="inlineStr">
        <is>
          <t>MANGA LARGA DAILY 2.0 KIDS</t>
        </is>
      </c>
      <c r="C3309" t="inlineStr">
        <is>
          <t>Manufactura / Kids / P. Superiores</t>
        </is>
      </c>
      <c r="D3309" t="n">
        <v>0</v>
      </c>
      <c r="E3309" t="n">
        <v>0</v>
      </c>
      <c r="F3309" t="n">
        <v>1.000010015470635</v>
      </c>
      <c r="G3309" t="inlineStr">
        <is>
          <t>C</t>
        </is>
      </c>
      <c r="H3309" t="n">
        <v>1</v>
      </c>
      <c r="I3309" t="n">
        <v>10.1</v>
      </c>
      <c r="J3309" t="n">
        <v>10.1</v>
      </c>
      <c r="K3309" t="n">
        <v>0.1</v>
      </c>
      <c r="L3309" t="n">
        <v>10</v>
      </c>
      <c r="M3309" t="n">
        <v>4</v>
      </c>
      <c r="N3309" t="n">
        <v>0.4</v>
      </c>
      <c r="O3309" t="n">
        <v>0.6</v>
      </c>
      <c r="P3309" t="n">
        <v>6.06</v>
      </c>
      <c r="Q3309" t="n">
        <v>0.6</v>
      </c>
      <c r="R3309" t="inlineStr">
        <is>
          <t>Sin rotación</t>
        </is>
      </c>
    </row>
    <row r="3310">
      <c r="A3310" t="inlineStr">
        <is>
          <t>DALSSTKI43T12</t>
        </is>
      </c>
      <c r="B3310" t="inlineStr">
        <is>
          <t>[DALSSTKI43T12] MANGA LARGA DAILY 2.0 KIDS (Negro, 12)</t>
        </is>
      </c>
      <c r="C3310" t="inlineStr">
        <is>
          <t>KIDS / MANGA LARGA DAILY 2.0</t>
        </is>
      </c>
      <c r="D3310" t="n">
        <v>0</v>
      </c>
      <c r="E3310" t="n">
        <v>0</v>
      </c>
      <c r="F3310" t="n">
        <v>1.000010015470635</v>
      </c>
      <c r="G3310" t="inlineStr">
        <is>
          <t>C</t>
        </is>
      </c>
      <c r="H3310" t="n">
        <v>2</v>
      </c>
      <c r="I3310" t="n">
        <v>0</v>
      </c>
      <c r="J3310" t="n">
        <v>0</v>
      </c>
      <c r="K3310" t="n">
        <v>0</v>
      </c>
      <c r="L3310" t="n">
        <v>999</v>
      </c>
      <c r="M3310" t="n">
        <v>4</v>
      </c>
      <c r="N3310" t="n">
        <v>0</v>
      </c>
      <c r="O3310" t="n">
        <v>2</v>
      </c>
      <c r="P3310" t="n">
        <v>0</v>
      </c>
      <c r="Q3310" t="n">
        <v>0</v>
      </c>
      <c r="R3310" t="inlineStr">
        <is>
          <t>Sin rotación</t>
        </is>
      </c>
    </row>
    <row r="3311">
      <c r="A3311" t="inlineStr">
        <is>
          <t>DALSSTKI43T10</t>
        </is>
      </c>
      <c r="B3311" t="inlineStr">
        <is>
          <t>MANGA LARGA DAILY 2.0 KIDS</t>
        </is>
      </c>
      <c r="C3311" t="inlineStr">
        <is>
          <t>Manufactura / Kids / P. Superiores</t>
        </is>
      </c>
      <c r="D3311" t="n">
        <v>0</v>
      </c>
      <c r="E3311" t="n">
        <v>0</v>
      </c>
      <c r="F3311" t="n">
        <v>1.000010015470635</v>
      </c>
      <c r="G3311" t="inlineStr">
        <is>
          <t>C</t>
        </is>
      </c>
      <c r="H3311" t="n">
        <v>2</v>
      </c>
      <c r="I3311" t="n">
        <v>10.1</v>
      </c>
      <c r="J3311" t="n">
        <v>20.2</v>
      </c>
      <c r="K3311" t="n">
        <v>0.1</v>
      </c>
      <c r="L3311" t="n">
        <v>20</v>
      </c>
      <c r="M3311" t="n">
        <v>4</v>
      </c>
      <c r="N3311" t="n">
        <v>0.4</v>
      </c>
      <c r="O3311" t="n">
        <v>1.6</v>
      </c>
      <c r="P3311" t="n">
        <v>16.16</v>
      </c>
      <c r="Q3311" t="n">
        <v>0.8</v>
      </c>
      <c r="R3311" t="inlineStr">
        <is>
          <t>Sobrestock crítico</t>
        </is>
      </c>
    </row>
    <row r="3312">
      <c r="A3312" t="inlineStr">
        <is>
          <t>DALSSTKI30T8</t>
        </is>
      </c>
      <c r="B3312" t="inlineStr">
        <is>
          <t>[DALSSTKI30T8] MANGA LARGA DAILY 2.0 KIDS (Gris Claro, 8)</t>
        </is>
      </c>
      <c r="C3312" t="inlineStr">
        <is>
          <t>KIDS / MANGA LARGA DAILY 2.0</t>
        </is>
      </c>
      <c r="D3312" t="n">
        <v>0</v>
      </c>
      <c r="E3312" t="n">
        <v>0</v>
      </c>
      <c r="F3312" t="n">
        <v>1.000010015470635</v>
      </c>
      <c r="G3312" t="inlineStr">
        <is>
          <t>C</t>
        </is>
      </c>
      <c r="H3312" t="n">
        <v>2</v>
      </c>
      <c r="I3312" t="n">
        <v>0</v>
      </c>
      <c r="J3312" t="n">
        <v>0</v>
      </c>
      <c r="K3312" t="n">
        <v>0</v>
      </c>
      <c r="L3312" t="n">
        <v>999</v>
      </c>
      <c r="M3312" t="n">
        <v>4</v>
      </c>
      <c r="N3312" t="n">
        <v>0</v>
      </c>
      <c r="O3312" t="n">
        <v>2</v>
      </c>
      <c r="P3312" t="n">
        <v>0</v>
      </c>
      <c r="Q3312" t="n">
        <v>0</v>
      </c>
      <c r="R3312" t="inlineStr">
        <is>
          <t>Sin rotación</t>
        </is>
      </c>
    </row>
    <row r="3313">
      <c r="A3313" t="inlineStr">
        <is>
          <t>DALSSTKI30T4</t>
        </is>
      </c>
      <c r="B3313" t="inlineStr">
        <is>
          <t>MANGA LARGA DAILY 2.0 KIDS</t>
        </is>
      </c>
      <c r="C3313" t="inlineStr">
        <is>
          <t>Manufactura / Kids / P. Superiores</t>
        </is>
      </c>
      <c r="D3313" t="n">
        <v>0</v>
      </c>
      <c r="E3313" t="n">
        <v>0</v>
      </c>
      <c r="F3313" t="n">
        <v>1.000010015470635</v>
      </c>
      <c r="G3313" t="inlineStr">
        <is>
          <t>C</t>
        </is>
      </c>
      <c r="H3313" t="n">
        <v>0</v>
      </c>
      <c r="I3313" t="n">
        <v>10.1</v>
      </c>
      <c r="J3313" t="n">
        <v>0</v>
      </c>
      <c r="K3313" t="n">
        <v>0.1</v>
      </c>
      <c r="L3313" t="n">
        <v>0</v>
      </c>
      <c r="M3313" t="n">
        <v>4</v>
      </c>
      <c r="N3313" t="n">
        <v>0.4</v>
      </c>
      <c r="O3313" t="n">
        <v>0</v>
      </c>
      <c r="P3313" t="n">
        <v>0</v>
      </c>
      <c r="Q3313" t="n">
        <v>0</v>
      </c>
      <c r="R3313" t="inlineStr">
        <is>
          <t>Sin rotación</t>
        </is>
      </c>
    </row>
    <row r="3314">
      <c r="A3314" t="inlineStr">
        <is>
          <t>PETMIPE24TM</t>
        </is>
      </c>
      <c r="B3314" t="inlineStr">
        <is>
          <t>BANDANA PET</t>
        </is>
      </c>
      <c r="C3314" t="inlineStr">
        <is>
          <t>Manufactura / General</t>
        </is>
      </c>
      <c r="D3314" t="n">
        <v>0</v>
      </c>
      <c r="E3314" t="n">
        <v>0</v>
      </c>
      <c r="F3314" t="n">
        <v>1.000010015470635</v>
      </c>
      <c r="G3314" t="inlineStr">
        <is>
          <t>C</t>
        </is>
      </c>
      <c r="H3314" t="n">
        <v>0</v>
      </c>
      <c r="I3314" t="n">
        <v>0.3252662283</v>
      </c>
      <c r="J3314" t="n">
        <v>0</v>
      </c>
      <c r="K3314" t="n">
        <v>0.1</v>
      </c>
      <c r="L3314" t="n">
        <v>0</v>
      </c>
      <c r="M3314" t="n">
        <v>4</v>
      </c>
      <c r="N3314" t="n">
        <v>0.4</v>
      </c>
      <c r="O3314" t="n">
        <v>0</v>
      </c>
      <c r="P3314" t="n">
        <v>0</v>
      </c>
      <c r="Q3314" t="n">
        <v>0</v>
      </c>
      <c r="R3314" t="inlineStr">
        <is>
          <t>Sin rotación</t>
        </is>
      </c>
    </row>
    <row r="3315">
      <c r="A3315" t="inlineStr">
        <is>
          <t>MARMICA39TXL</t>
        </is>
      </c>
      <c r="B3315" t="inlineStr">
        <is>
          <t>MAR ORIGINAL CAB</t>
        </is>
      </c>
      <c r="C3315" t="inlineStr">
        <is>
          <t>Manufactura / Caballero / P. Superiores</t>
        </is>
      </c>
      <c r="D3315" t="n">
        <v>0</v>
      </c>
      <c r="E3315" t="n">
        <v>0</v>
      </c>
      <c r="F3315" t="n">
        <v>1.000010015470635</v>
      </c>
      <c r="G3315" t="inlineStr">
        <is>
          <t>C</t>
        </is>
      </c>
      <c r="H3315" t="n">
        <v>0</v>
      </c>
      <c r="I3315" t="n">
        <v>4.946357428</v>
      </c>
      <c r="J3315" t="n">
        <v>0</v>
      </c>
      <c r="K3315" t="n">
        <v>0.4</v>
      </c>
      <c r="L3315" t="n">
        <v>0</v>
      </c>
      <c r="M3315" t="n">
        <v>4</v>
      </c>
      <c r="N3315" t="n">
        <v>1.6</v>
      </c>
      <c r="O3315" t="n">
        <v>0</v>
      </c>
      <c r="P3315" t="n">
        <v>0</v>
      </c>
      <c r="Q3315" t="n">
        <v>0</v>
      </c>
      <c r="R3315" t="inlineStr">
        <is>
          <t>Riesgo bajo stock</t>
        </is>
      </c>
    </row>
    <row r="3316">
      <c r="A3316" t="inlineStr">
        <is>
          <t>MARMICA39TM</t>
        </is>
      </c>
      <c r="B3316" t="inlineStr">
        <is>
          <t>MAR ORIGINAL CAB</t>
        </is>
      </c>
      <c r="C3316" t="inlineStr">
        <is>
          <t>Manufactura / Caballero / P. Superiores</t>
        </is>
      </c>
      <c r="D3316" t="n">
        <v>0</v>
      </c>
      <c r="E3316" t="n">
        <v>0</v>
      </c>
      <c r="F3316" t="n">
        <v>1.000010015470635</v>
      </c>
      <c r="G3316" t="inlineStr">
        <is>
          <t>C</t>
        </is>
      </c>
      <c r="H3316" t="n">
        <v>0</v>
      </c>
      <c r="I3316" t="n">
        <v>4.946357428</v>
      </c>
      <c r="J3316" t="n">
        <v>0</v>
      </c>
      <c r="K3316" t="n">
        <v>0.7</v>
      </c>
      <c r="L3316" t="n">
        <v>0</v>
      </c>
      <c r="M3316" t="n">
        <v>4</v>
      </c>
      <c r="N3316" t="n">
        <v>2.8</v>
      </c>
      <c r="O3316" t="n">
        <v>0</v>
      </c>
      <c r="P3316" t="n">
        <v>0</v>
      </c>
      <c r="Q3316" t="n">
        <v>0</v>
      </c>
      <c r="R3316" t="inlineStr">
        <is>
          <t>Riesgo bajo stock</t>
        </is>
      </c>
    </row>
    <row r="3317">
      <c r="A3317" t="inlineStr">
        <is>
          <t>PETMIPE14TXS</t>
        </is>
      </c>
      <c r="B3317" t="inlineStr">
        <is>
          <t>[PETMIPE14TXS] BANDANA PET (Azul Turquesa, XS)</t>
        </is>
      </c>
      <c r="C3317" t="inlineStr">
        <is>
          <t>BANDANA PET</t>
        </is>
      </c>
      <c r="D3317" t="n">
        <v>0</v>
      </c>
      <c r="E3317" t="n">
        <v>0</v>
      </c>
      <c r="F3317" t="n">
        <v>1.000010015470635</v>
      </c>
      <c r="G3317" t="inlineStr">
        <is>
          <t>C</t>
        </is>
      </c>
      <c r="H3317" t="n">
        <v>7</v>
      </c>
      <c r="I3317" t="n">
        <v>0</v>
      </c>
      <c r="J3317" t="n">
        <v>0</v>
      </c>
      <c r="K3317" t="n">
        <v>0</v>
      </c>
      <c r="L3317" t="n">
        <v>999</v>
      </c>
      <c r="M3317" t="n">
        <v>4</v>
      </c>
      <c r="N3317" t="n">
        <v>0</v>
      </c>
      <c r="O3317" t="n">
        <v>7</v>
      </c>
      <c r="P3317" t="n">
        <v>0</v>
      </c>
      <c r="Q3317" t="n">
        <v>0</v>
      </c>
      <c r="R3317" t="inlineStr">
        <is>
          <t>Sin rotación</t>
        </is>
      </c>
    </row>
    <row r="3318">
      <c r="A3318" t="inlineStr">
        <is>
          <t>SABSTDA43TXL</t>
        </is>
      </c>
      <c r="B3318" t="inlineStr">
        <is>
          <t>[SABSTDA43TXL] RETRO VZLA DAMA (Negro/Sabana, XL)</t>
        </is>
      </c>
      <c r="C3318" t="inlineStr">
        <is>
          <t>DAMA / RETRO VZLA</t>
        </is>
      </c>
      <c r="D3318" t="n">
        <v>0</v>
      </c>
      <c r="E3318" t="n">
        <v>0</v>
      </c>
      <c r="F3318" t="n">
        <v>1.000010015470635</v>
      </c>
      <c r="G3318" t="inlineStr">
        <is>
          <t>C</t>
        </is>
      </c>
      <c r="H3318" t="n">
        <v>1</v>
      </c>
      <c r="I3318" t="n">
        <v>0</v>
      </c>
      <c r="J3318" t="n">
        <v>0</v>
      </c>
      <c r="K3318" t="n">
        <v>0</v>
      </c>
      <c r="L3318" t="n">
        <v>999</v>
      </c>
      <c r="M3318" t="n">
        <v>4</v>
      </c>
      <c r="N3318" t="n">
        <v>0</v>
      </c>
      <c r="O3318" t="n">
        <v>1</v>
      </c>
      <c r="P3318" t="n">
        <v>0</v>
      </c>
      <c r="Q3318" t="n">
        <v>0</v>
      </c>
      <c r="R3318" t="inlineStr">
        <is>
          <t>Sin rotación</t>
        </is>
      </c>
    </row>
    <row r="3319">
      <c r="A3319" t="inlineStr">
        <is>
          <t>SABSTCA43TM</t>
        </is>
      </c>
      <c r="B3319" t="inlineStr">
        <is>
          <t>RETRO VZLA CAB</t>
        </is>
      </c>
      <c r="C3319" t="inlineStr">
        <is>
          <t>Manufactura / Caballero / P. Superiores</t>
        </is>
      </c>
      <c r="D3319" t="n">
        <v>0</v>
      </c>
      <c r="E3319" t="n">
        <v>0</v>
      </c>
      <c r="F3319" t="n">
        <v>1.000010015470635</v>
      </c>
      <c r="G3319" t="inlineStr">
        <is>
          <t>C</t>
        </is>
      </c>
      <c r="H3319" t="n">
        <v>0</v>
      </c>
      <c r="I3319" t="n">
        <v>12.9</v>
      </c>
      <c r="J3319" t="n">
        <v>0</v>
      </c>
      <c r="K3319" t="n">
        <v>0.1</v>
      </c>
      <c r="L3319" t="n">
        <v>0</v>
      </c>
      <c r="M3319" t="n">
        <v>4</v>
      </c>
      <c r="N3319" t="n">
        <v>0.4</v>
      </c>
      <c r="O3319" t="n">
        <v>0</v>
      </c>
      <c r="P3319" t="n">
        <v>0</v>
      </c>
      <c r="Q3319" t="n">
        <v>0</v>
      </c>
      <c r="R3319" t="inlineStr">
        <is>
          <t>Sin rotación</t>
        </is>
      </c>
    </row>
    <row r="3320">
      <c r="A3320" t="inlineStr">
        <is>
          <t>MLMMJDA12TXL</t>
        </is>
      </c>
      <c r="B3320" t="inlineStr">
        <is>
          <t>[MLMMJDA12TXL] MOTION LOOP MAFE DAMA (Azul Marino, XL)</t>
        </is>
      </c>
      <c r="C3320" t="inlineStr">
        <is>
          <t>DAMA / MOTION LOOP MAFE</t>
        </is>
      </c>
      <c r="D3320" t="n">
        <v>0</v>
      </c>
      <c r="E3320" t="n">
        <v>0</v>
      </c>
      <c r="F3320" t="n">
        <v>1.000010015470635</v>
      </c>
      <c r="G3320" t="inlineStr">
        <is>
          <t>C</t>
        </is>
      </c>
      <c r="H3320" t="n">
        <v>4</v>
      </c>
      <c r="I3320" t="n">
        <v>0</v>
      </c>
      <c r="J3320" t="n">
        <v>0</v>
      </c>
      <c r="K3320" t="n">
        <v>0</v>
      </c>
      <c r="L3320" t="n">
        <v>999</v>
      </c>
      <c r="M3320" t="n">
        <v>4</v>
      </c>
      <c r="N3320" t="n">
        <v>0</v>
      </c>
      <c r="O3320" t="n">
        <v>4</v>
      </c>
      <c r="P3320" t="n">
        <v>0</v>
      </c>
      <c r="Q3320" t="n">
        <v>0</v>
      </c>
      <c r="R3320" t="inlineStr">
        <is>
          <t>Sin rotación</t>
        </is>
      </c>
    </row>
    <row r="3321">
      <c r="A3321" t="inlineStr">
        <is>
          <t>MLMMJDA12TS</t>
        </is>
      </c>
      <c r="B3321" t="inlineStr">
        <is>
          <t>[MLMMJDA12TS] MOTION LOOP MAFE DAMA (Azul Marino, S)</t>
        </is>
      </c>
      <c r="C3321" t="inlineStr">
        <is>
          <t>DAMA / MOTION LOOP MAFE</t>
        </is>
      </c>
      <c r="D3321" t="n">
        <v>0</v>
      </c>
      <c r="E3321" t="n">
        <v>0</v>
      </c>
      <c r="F3321" t="n">
        <v>1.000010015470635</v>
      </c>
      <c r="G3321" t="inlineStr">
        <is>
          <t>C</t>
        </is>
      </c>
      <c r="H3321" t="n">
        <v>8</v>
      </c>
      <c r="I3321" t="n">
        <v>0</v>
      </c>
      <c r="J3321" t="n">
        <v>0</v>
      </c>
      <c r="K3321" t="n">
        <v>0</v>
      </c>
      <c r="L3321" t="n">
        <v>999</v>
      </c>
      <c r="M3321" t="n">
        <v>4</v>
      </c>
      <c r="N3321" t="n">
        <v>0</v>
      </c>
      <c r="O3321" t="n">
        <v>8</v>
      </c>
      <c r="P3321" t="n">
        <v>0</v>
      </c>
      <c r="Q3321" t="n">
        <v>0</v>
      </c>
      <c r="R3321" t="inlineStr">
        <is>
          <t>Sin rotación</t>
        </is>
      </c>
    </row>
    <row r="3322">
      <c r="A3322" t="inlineStr">
        <is>
          <t>UCOHTLCA166T3XL</t>
        </is>
      </c>
      <c r="B3322" t="inlineStr">
        <is>
          <t>[UCOHTLCA166T3XL] URBAN COTTON OVERSIZED HORIZONTE CAB (3XL)</t>
        </is>
      </c>
      <c r="C3322" t="inlineStr">
        <is>
          <t>CAB / URBAN COTTON OVERSIZED HORIZONTE</t>
        </is>
      </c>
      <c r="D3322" t="n">
        <v>0</v>
      </c>
      <c r="E3322" t="n">
        <v>0</v>
      </c>
      <c r="F3322" t="n">
        <v>1.000010015470635</v>
      </c>
      <c r="G3322" t="inlineStr">
        <is>
          <t>C</t>
        </is>
      </c>
      <c r="H3322" t="n">
        <v>11</v>
      </c>
      <c r="I3322" t="n">
        <v>0</v>
      </c>
      <c r="J3322" t="n">
        <v>0</v>
      </c>
      <c r="K3322" t="n">
        <v>0</v>
      </c>
      <c r="L3322" t="n">
        <v>999</v>
      </c>
      <c r="M3322" t="n">
        <v>4</v>
      </c>
      <c r="N3322" t="n">
        <v>0</v>
      </c>
      <c r="O3322" t="n">
        <v>11</v>
      </c>
      <c r="P3322" t="n">
        <v>0</v>
      </c>
      <c r="Q3322" t="n">
        <v>0</v>
      </c>
      <c r="R3322" t="inlineStr">
        <is>
          <t>Sin rotación</t>
        </is>
      </c>
    </row>
    <row r="3323">
      <c r="A3323" t="inlineStr">
        <is>
          <t>UCOCBTLCA167T3XL</t>
        </is>
      </c>
      <c r="B3323" t="inlineStr">
        <is>
          <t>[UCOCBTLCA167T3XL] URBAN COTTON OVERSIZED COLOR BLOCK CAB (3XL)</t>
        </is>
      </c>
      <c r="C3323" t="inlineStr">
        <is>
          <t>CAB / URBAN COTTON OVERSIZED COLOR BLOCK</t>
        </is>
      </c>
      <c r="D3323" t="n">
        <v>0</v>
      </c>
      <c r="E3323" t="n">
        <v>0</v>
      </c>
      <c r="F3323" t="n">
        <v>1.000010015470635</v>
      </c>
      <c r="G3323" t="inlineStr">
        <is>
          <t>C</t>
        </is>
      </c>
      <c r="H3323" t="n">
        <v>12</v>
      </c>
      <c r="I3323" t="n">
        <v>0</v>
      </c>
      <c r="J3323" t="n">
        <v>0</v>
      </c>
      <c r="K3323" t="n">
        <v>0</v>
      </c>
      <c r="L3323" t="n">
        <v>999</v>
      </c>
      <c r="M3323" t="n">
        <v>4</v>
      </c>
      <c r="N3323" t="n">
        <v>0</v>
      </c>
      <c r="O3323" t="n">
        <v>12</v>
      </c>
      <c r="P3323" t="n">
        <v>0</v>
      </c>
      <c r="Q3323" t="n">
        <v>0</v>
      </c>
      <c r="R3323" t="inlineStr">
        <is>
          <t>Sin rotación</t>
        </is>
      </c>
    </row>
    <row r="3324">
      <c r="A3324" t="inlineStr">
        <is>
          <t>CCBHMDA151TXL</t>
        </is>
      </c>
      <c r="B3324" t="inlineStr">
        <is>
          <t>[CCBHMDA151TXL] CLUB CLASICA DAMA (Cancha azul, XL)</t>
        </is>
      </c>
      <c r="C3324" t="inlineStr">
        <is>
          <t>DAMA / CLUB CLASICA</t>
        </is>
      </c>
      <c r="D3324" t="n">
        <v>0</v>
      </c>
      <c r="E3324" t="n">
        <v>0</v>
      </c>
      <c r="F3324" t="n">
        <v>1.000010015470635</v>
      </c>
      <c r="G3324" t="inlineStr">
        <is>
          <t>C</t>
        </is>
      </c>
      <c r="H3324" t="n">
        <v>8</v>
      </c>
      <c r="I3324" t="n">
        <v>0</v>
      </c>
      <c r="J3324" t="n">
        <v>0</v>
      </c>
      <c r="K3324" t="n">
        <v>0</v>
      </c>
      <c r="L3324" t="n">
        <v>999</v>
      </c>
      <c r="M3324" t="n">
        <v>4</v>
      </c>
      <c r="N3324" t="n">
        <v>0</v>
      </c>
      <c r="O3324" t="n">
        <v>8</v>
      </c>
      <c r="P3324" t="n">
        <v>0</v>
      </c>
      <c r="Q3324" t="n">
        <v>0</v>
      </c>
      <c r="R3324" t="inlineStr">
        <is>
          <t>Sin rotación</t>
        </is>
      </c>
    </row>
    <row r="3325">
      <c r="A3325" t="inlineStr">
        <is>
          <t>CBCC03EQ</t>
        </is>
      </c>
      <c r="B3325" t="inlineStr">
        <is>
          <t>CUADRO BAND</t>
        </is>
      </c>
      <c r="C3325" t="inlineStr">
        <is>
          <t>Equipamiento / Accesorios</t>
        </is>
      </c>
      <c r="D3325" t="n">
        <v>0</v>
      </c>
      <c r="E3325" t="n">
        <v>0</v>
      </c>
      <c r="F3325" t="n">
        <v>1.000010015470635</v>
      </c>
      <c r="G3325" t="inlineStr">
        <is>
          <t>C</t>
        </is>
      </c>
      <c r="H3325" t="n">
        <v>0</v>
      </c>
      <c r="I3325" t="n">
        <v>0.3159183673</v>
      </c>
      <c r="J3325" t="n">
        <v>0</v>
      </c>
      <c r="K3325" t="n">
        <v>0</v>
      </c>
      <c r="L3325" t="n">
        <v>0</v>
      </c>
      <c r="M3325" t="n">
        <v>4</v>
      </c>
      <c r="N3325" t="n">
        <v>0</v>
      </c>
      <c r="O3325" t="n">
        <v>0</v>
      </c>
      <c r="P3325" t="n">
        <v>0</v>
      </c>
      <c r="Q3325" t="n">
        <v>0</v>
      </c>
      <c r="R3325" t="inlineStr">
        <is>
          <t>Riesgo bajo stock</t>
        </is>
      </c>
    </row>
    <row r="3326">
      <c r="A3326" t="inlineStr">
        <is>
          <t>CIN13EQ</t>
        </is>
      </c>
      <c r="B3326" t="inlineStr">
        <is>
          <t>[CIN13EQ] CINTA DE REGALO (Azul Rey)</t>
        </is>
      </c>
      <c r="C3326" t="inlineStr">
        <is>
          <t>CINTA DE REGALO</t>
        </is>
      </c>
      <c r="D3326" t="n">
        <v>0</v>
      </c>
      <c r="E3326" t="n">
        <v>0</v>
      </c>
      <c r="F3326" t="n">
        <v>1.000010015470635</v>
      </c>
      <c r="G3326" t="inlineStr">
        <is>
          <t>C</t>
        </is>
      </c>
      <c r="H3326" t="n">
        <v>2</v>
      </c>
      <c r="I3326" t="n">
        <v>0</v>
      </c>
      <c r="J3326" t="n">
        <v>0</v>
      </c>
      <c r="K3326" t="n">
        <v>0</v>
      </c>
      <c r="L3326" t="n">
        <v>999</v>
      </c>
      <c r="M3326" t="n">
        <v>4</v>
      </c>
      <c r="N3326" t="n">
        <v>0</v>
      </c>
      <c r="O3326" t="n">
        <v>2</v>
      </c>
      <c r="P3326" t="n">
        <v>0</v>
      </c>
      <c r="Q3326" t="n">
        <v>0</v>
      </c>
      <c r="R3326" t="inlineStr">
        <is>
          <t>Sin rotación</t>
        </is>
      </c>
    </row>
    <row r="3327">
      <c r="A3327" t="inlineStr">
        <is>
          <t>DALSTCA16TXL</t>
        </is>
      </c>
      <c r="B3327" t="inlineStr">
        <is>
          <t>[DALSTCA16TXL] CLASICA DAILY 2.0 CAB (Blanco, XL)</t>
        </is>
      </c>
      <c r="C3327" t="inlineStr">
        <is>
          <t>CAB / CLASICA DAILY 2.0</t>
        </is>
      </c>
      <c r="D3327" t="n">
        <v>0</v>
      </c>
      <c r="E3327" t="n">
        <v>0</v>
      </c>
      <c r="F3327" t="n">
        <v>1.000010015470635</v>
      </c>
      <c r="G3327" t="inlineStr">
        <is>
          <t>C</t>
        </is>
      </c>
      <c r="H3327" t="n">
        <v>1</v>
      </c>
      <c r="I3327" t="n">
        <v>0</v>
      </c>
      <c r="J3327" t="n">
        <v>0</v>
      </c>
      <c r="K3327" t="n">
        <v>0</v>
      </c>
      <c r="L3327" t="n">
        <v>999</v>
      </c>
      <c r="M3327" t="n">
        <v>4</v>
      </c>
      <c r="N3327" t="n">
        <v>0</v>
      </c>
      <c r="O3327" t="n">
        <v>1</v>
      </c>
      <c r="P3327" t="n">
        <v>0</v>
      </c>
      <c r="Q3327" t="n">
        <v>0</v>
      </c>
      <c r="R3327" t="inlineStr">
        <is>
          <t>Sin rotación</t>
        </is>
      </c>
    </row>
    <row r="3328">
      <c r="A3328" t="inlineStr">
        <is>
          <t>DALSTCA16TS</t>
        </is>
      </c>
      <c r="B3328" t="inlineStr">
        <is>
          <t>[DALSTCA16TS] CLASICA DAILY 2.0 CAB (Blanco, S)</t>
        </is>
      </c>
      <c r="C3328" t="inlineStr">
        <is>
          <t>CAB / CLASICA DAILY 2.0</t>
        </is>
      </c>
      <c r="D3328" t="n">
        <v>0</v>
      </c>
      <c r="E3328" t="n">
        <v>0</v>
      </c>
      <c r="F3328" t="n">
        <v>1.000010015470635</v>
      </c>
      <c r="G3328" t="inlineStr">
        <is>
          <t>C</t>
        </is>
      </c>
      <c r="H3328" t="n">
        <v>1</v>
      </c>
      <c r="I3328" t="n">
        <v>0</v>
      </c>
      <c r="J3328" t="n">
        <v>0</v>
      </c>
      <c r="K3328" t="n">
        <v>0</v>
      </c>
      <c r="L3328" t="n">
        <v>999</v>
      </c>
      <c r="M3328" t="n">
        <v>4</v>
      </c>
      <c r="N3328" t="n">
        <v>0</v>
      </c>
      <c r="O3328" t="n">
        <v>1</v>
      </c>
      <c r="P3328" t="n">
        <v>0</v>
      </c>
      <c r="Q3328" t="n">
        <v>0</v>
      </c>
      <c r="R3328" t="inlineStr">
        <is>
          <t>Sin rotación</t>
        </is>
      </c>
    </row>
    <row r="3329">
      <c r="A3329" t="inlineStr">
        <is>
          <t>SHONRKI12T2</t>
        </is>
      </c>
      <c r="B3329" t="inlineStr">
        <is>
          <t>[SHONRKI12T2] SHORT SPORT KIDS (Azul Marino, 2)</t>
        </is>
      </c>
      <c r="C3329" t="inlineStr">
        <is>
          <t>KIDS / SHORT SPORT</t>
        </is>
      </c>
      <c r="D3329" t="n">
        <v>0</v>
      </c>
      <c r="E3329" t="n">
        <v>0</v>
      </c>
      <c r="F3329" t="n">
        <v>1.000010015470635</v>
      </c>
      <c r="G3329" t="inlineStr">
        <is>
          <t>C</t>
        </is>
      </c>
      <c r="H3329" t="n">
        <v>1</v>
      </c>
      <c r="I3329" t="n">
        <v>0</v>
      </c>
      <c r="J3329" t="n">
        <v>0</v>
      </c>
      <c r="K3329" t="n">
        <v>0</v>
      </c>
      <c r="L3329" t="n">
        <v>999</v>
      </c>
      <c r="M3329" t="n">
        <v>4</v>
      </c>
      <c r="N3329" t="n">
        <v>0</v>
      </c>
      <c r="O3329" t="n">
        <v>1</v>
      </c>
      <c r="P3329" t="n">
        <v>0</v>
      </c>
      <c r="Q3329" t="n">
        <v>0</v>
      </c>
      <c r="R3329" t="inlineStr">
        <is>
          <t>Sin rotación</t>
        </is>
      </c>
    </row>
    <row r="3330">
      <c r="A3330" t="inlineStr">
        <is>
          <t>MARMICA09TL</t>
        </is>
      </c>
      <c r="B3330" t="inlineStr">
        <is>
          <t>MAR ORIGINAL CAB</t>
        </is>
      </c>
      <c r="C3330" t="inlineStr">
        <is>
          <t>Manufactura / Caballero / P. Superiores</t>
        </is>
      </c>
      <c r="D3330" t="n">
        <v>0</v>
      </c>
      <c r="E3330" t="n">
        <v>0</v>
      </c>
      <c r="F3330" t="n">
        <v>1.000010015470635</v>
      </c>
      <c r="G3330" t="inlineStr">
        <is>
          <t>C</t>
        </is>
      </c>
      <c r="H3330" t="n">
        <v>0</v>
      </c>
      <c r="I3330" t="n">
        <v>4.946357428</v>
      </c>
      <c r="J3330" t="n">
        <v>0</v>
      </c>
      <c r="K3330" t="n">
        <v>0.1</v>
      </c>
      <c r="L3330" t="n">
        <v>0</v>
      </c>
      <c r="M3330" t="n">
        <v>4</v>
      </c>
      <c r="N3330" t="n">
        <v>0.4</v>
      </c>
      <c r="O3330" t="n">
        <v>0</v>
      </c>
      <c r="P3330" t="n">
        <v>0</v>
      </c>
      <c r="Q3330" t="n">
        <v>0</v>
      </c>
      <c r="R3330" t="inlineStr">
        <is>
          <t>Riesgo bajo stock</t>
        </is>
      </c>
    </row>
    <row r="3331">
      <c r="A3331" t="inlineStr">
        <is>
          <t>MARMICA43T4XL</t>
        </is>
      </c>
      <c r="B3331" t="inlineStr">
        <is>
          <t>[MARMICA43T4XL] MAR ORIGINAL CAB (Negro, 4XL)</t>
        </is>
      </c>
      <c r="C3331" t="inlineStr">
        <is>
          <t>CAB / MAR ORIGINAL</t>
        </is>
      </c>
      <c r="D3331" t="n">
        <v>0</v>
      </c>
      <c r="E3331" t="n">
        <v>0</v>
      </c>
      <c r="F3331" t="n">
        <v>1.000010015470635</v>
      </c>
      <c r="G3331" t="inlineStr">
        <is>
          <t>C</t>
        </is>
      </c>
      <c r="H3331" t="n">
        <v>1</v>
      </c>
      <c r="I3331" t="n">
        <v>0</v>
      </c>
      <c r="J3331" t="n">
        <v>0</v>
      </c>
      <c r="K3331" t="n">
        <v>0</v>
      </c>
      <c r="L3331" t="n">
        <v>999</v>
      </c>
      <c r="M3331" t="n">
        <v>4</v>
      </c>
      <c r="N3331" t="n">
        <v>0</v>
      </c>
      <c r="O3331" t="n">
        <v>1</v>
      </c>
      <c r="P3331" t="n">
        <v>0</v>
      </c>
      <c r="Q3331" t="n">
        <v>0</v>
      </c>
      <c r="R3331" t="inlineStr">
        <is>
          <t>Sin rotación</t>
        </is>
      </c>
    </row>
    <row r="3332">
      <c r="A3332" t="inlineStr">
        <is>
          <t>BUFMIGE34TUN</t>
        </is>
      </c>
      <c r="B3332" t="inlineStr">
        <is>
          <t>[BUFMIGE34TUN] FLEX COVER (Lila)</t>
        </is>
      </c>
      <c r="C3332" t="inlineStr">
        <is>
          <t>FLEX COVER</t>
        </is>
      </c>
      <c r="D3332" t="n">
        <v>0</v>
      </c>
      <c r="E3332" t="n">
        <v>0</v>
      </c>
      <c r="F3332" t="n">
        <v>1.000010015470635</v>
      </c>
      <c r="G3332" t="inlineStr">
        <is>
          <t>C</t>
        </is>
      </c>
      <c r="H3332" t="n">
        <v>6</v>
      </c>
      <c r="I3332" t="n">
        <v>0</v>
      </c>
      <c r="J3332" t="n">
        <v>0</v>
      </c>
      <c r="K3332" t="n">
        <v>0</v>
      </c>
      <c r="L3332" t="n">
        <v>999</v>
      </c>
      <c r="M3332" t="n">
        <v>4</v>
      </c>
      <c r="N3332" t="n">
        <v>0</v>
      </c>
      <c r="O3332" t="n">
        <v>6</v>
      </c>
      <c r="P3332" t="n">
        <v>0</v>
      </c>
      <c r="Q3332" t="n">
        <v>0</v>
      </c>
      <c r="R3332" t="inlineStr">
        <is>
          <t>Sin rotación</t>
        </is>
      </c>
    </row>
    <row r="3333">
      <c r="A3333" t="inlineStr">
        <is>
          <t>BUFMIGE28TUN</t>
        </is>
      </c>
      <c r="B3333" t="inlineStr">
        <is>
          <t>[BUFMIGE28TUN] FLEX COVER (Fucsia)</t>
        </is>
      </c>
      <c r="C3333" t="inlineStr">
        <is>
          <t>FLEX COVER</t>
        </is>
      </c>
      <c r="D3333" t="n">
        <v>0</v>
      </c>
      <c r="E3333" t="n">
        <v>0</v>
      </c>
      <c r="F3333" t="n">
        <v>1.000010015470635</v>
      </c>
      <c r="G3333" t="inlineStr">
        <is>
          <t>C</t>
        </is>
      </c>
      <c r="H3333" t="n">
        <v>5</v>
      </c>
      <c r="I3333" t="n">
        <v>0</v>
      </c>
      <c r="J3333" t="n">
        <v>0</v>
      </c>
      <c r="K3333" t="n">
        <v>0</v>
      </c>
      <c r="L3333" t="n">
        <v>999</v>
      </c>
      <c r="M3333" t="n">
        <v>4</v>
      </c>
      <c r="N3333" t="n">
        <v>0</v>
      </c>
      <c r="O3333" t="n">
        <v>5</v>
      </c>
      <c r="P3333" t="n">
        <v>0</v>
      </c>
      <c r="Q3333" t="n">
        <v>0</v>
      </c>
      <c r="R3333" t="inlineStr">
        <is>
          <t>Sin rotación</t>
        </is>
      </c>
    </row>
    <row r="3334">
      <c r="A3334" t="inlineStr">
        <is>
          <t>BUFMIGE11TUN</t>
        </is>
      </c>
      <c r="B3334" t="inlineStr">
        <is>
          <t>[BUFMIGE11TUN] FLEX COVER (Azul Lavanda)</t>
        </is>
      </c>
      <c r="C3334" t="inlineStr">
        <is>
          <t>FLEX COVER</t>
        </is>
      </c>
      <c r="D3334" t="n">
        <v>0</v>
      </c>
      <c r="E3334" t="n">
        <v>0</v>
      </c>
      <c r="F3334" t="n">
        <v>1.000010015470635</v>
      </c>
      <c r="G3334" t="inlineStr">
        <is>
          <t>C</t>
        </is>
      </c>
      <c r="H3334" t="n">
        <v>2</v>
      </c>
      <c r="I3334" t="n">
        <v>0</v>
      </c>
      <c r="J3334" t="n">
        <v>0</v>
      </c>
      <c r="K3334" t="n">
        <v>0</v>
      </c>
      <c r="L3334" t="n">
        <v>999</v>
      </c>
      <c r="M3334" t="n">
        <v>4</v>
      </c>
      <c r="N3334" t="n">
        <v>0</v>
      </c>
      <c r="O3334" t="n">
        <v>2</v>
      </c>
      <c r="P3334" t="n">
        <v>0</v>
      </c>
      <c r="Q3334" t="n">
        <v>0</v>
      </c>
      <c r="R3334" t="inlineStr">
        <is>
          <t>Sin rotación</t>
        </is>
      </c>
    </row>
    <row r="3335">
      <c r="A3335" t="inlineStr">
        <is>
          <t>BLCTCCKI210T14</t>
        </is>
      </c>
      <c r="B3335" t="inlineStr">
        <is>
          <t>[BLCTCCKI210T14] BASIC LINE CROP TEE KIDS</t>
        </is>
      </c>
      <c r="C3335" t="inlineStr">
        <is>
          <t>KIDS / BASIC LINE CROP TEE</t>
        </is>
      </c>
      <c r="D3335" t="n">
        <v>0</v>
      </c>
      <c r="E3335" t="n">
        <v>0</v>
      </c>
      <c r="F3335" t="n">
        <v>1.000010015470635</v>
      </c>
      <c r="G3335" t="inlineStr">
        <is>
          <t>C</t>
        </is>
      </c>
      <c r="H3335" t="n">
        <v>24</v>
      </c>
      <c r="I3335" t="n">
        <v>0</v>
      </c>
      <c r="J3335" t="n">
        <v>0</v>
      </c>
      <c r="K3335" t="n">
        <v>0</v>
      </c>
      <c r="L3335" t="n">
        <v>999</v>
      </c>
      <c r="M3335" t="n">
        <v>4</v>
      </c>
      <c r="N3335" t="n">
        <v>0</v>
      </c>
      <c r="O3335" t="n">
        <v>24</v>
      </c>
      <c r="P3335" t="n">
        <v>0</v>
      </c>
      <c r="Q3335" t="n">
        <v>0</v>
      </c>
      <c r="R3335" t="inlineStr">
        <is>
          <t>Sin rotación</t>
        </is>
      </c>
    </row>
    <row r="3336">
      <c r="A3336" t="inlineStr">
        <is>
          <t>CAP09DC</t>
        </is>
      </c>
      <c r="B3336" t="inlineStr">
        <is>
          <t>[CAP09DC] DAD CAP (Azul Cielo)</t>
        </is>
      </c>
      <c r="C3336" t="inlineStr">
        <is>
          <t>DAD CAP</t>
        </is>
      </c>
      <c r="D3336" t="n">
        <v>0</v>
      </c>
      <c r="E3336" t="n">
        <v>0</v>
      </c>
      <c r="F3336" t="n">
        <v>1.000010015470635</v>
      </c>
      <c r="G3336" t="inlineStr">
        <is>
          <t>C</t>
        </is>
      </c>
      <c r="H3336" t="n">
        <v>386</v>
      </c>
      <c r="I3336" t="n">
        <v>0</v>
      </c>
      <c r="J3336" t="n">
        <v>0</v>
      </c>
      <c r="K3336" t="n">
        <v>0</v>
      </c>
      <c r="L3336" t="n">
        <v>999</v>
      </c>
      <c r="M3336" t="n">
        <v>4</v>
      </c>
      <c r="N3336" t="n">
        <v>0</v>
      </c>
      <c r="O3336" t="n">
        <v>386</v>
      </c>
      <c r="P3336" t="n">
        <v>0</v>
      </c>
      <c r="Q3336" t="n">
        <v>0</v>
      </c>
      <c r="R3336" t="inlineStr">
        <is>
          <t>Sin rotación</t>
        </is>
      </c>
    </row>
    <row r="3337">
      <c r="A3337" t="inlineStr">
        <is>
          <t>DALSTKI30T8</t>
        </is>
      </c>
      <c r="B3337" t="inlineStr">
        <is>
          <t>[DALSTKI30T8] CLASICA DAILY 2.0 KIDS (Gris Claro, 8)</t>
        </is>
      </c>
      <c r="C3337" t="inlineStr">
        <is>
          <t>KIDS / CLASICA DAILY 2.0</t>
        </is>
      </c>
      <c r="D3337" t="n">
        <v>0</v>
      </c>
      <c r="E3337" t="n">
        <v>0</v>
      </c>
      <c r="F3337" t="n">
        <v>1.000010015470635</v>
      </c>
      <c r="G3337" t="inlineStr">
        <is>
          <t>C</t>
        </is>
      </c>
      <c r="H3337" t="n">
        <v>5</v>
      </c>
      <c r="I3337" t="n">
        <v>0</v>
      </c>
      <c r="J3337" t="n">
        <v>0</v>
      </c>
      <c r="K3337" t="n">
        <v>0</v>
      </c>
      <c r="L3337" t="n">
        <v>999</v>
      </c>
      <c r="M3337" t="n">
        <v>4</v>
      </c>
      <c r="N3337" t="n">
        <v>0</v>
      </c>
      <c r="O3337" t="n">
        <v>5</v>
      </c>
      <c r="P3337" t="n">
        <v>0</v>
      </c>
      <c r="Q3337" t="n">
        <v>0</v>
      </c>
      <c r="R3337" t="inlineStr">
        <is>
          <t>Sin rotación</t>
        </is>
      </c>
    </row>
    <row r="3338">
      <c r="A3338" t="inlineStr">
        <is>
          <t>TOA16CL</t>
        </is>
      </c>
      <c r="B3338" t="inlineStr">
        <is>
          <t>[TOA16CL] TOALLA CLIP ORIGINAL (Blanco)</t>
        </is>
      </c>
      <c r="C3338" t="inlineStr">
        <is>
          <t>TOALLA CLIP ORIGINAL</t>
        </is>
      </c>
      <c r="D3338" t="n">
        <v>0</v>
      </c>
      <c r="E3338" t="n">
        <v>0</v>
      </c>
      <c r="F3338" t="n">
        <v>1.000010015470635</v>
      </c>
      <c r="G3338" t="inlineStr">
        <is>
          <t>C</t>
        </is>
      </c>
      <c r="H3338" t="n">
        <v>1</v>
      </c>
      <c r="I3338" t="n">
        <v>0</v>
      </c>
      <c r="J3338" t="n">
        <v>0</v>
      </c>
      <c r="K3338" t="n">
        <v>0</v>
      </c>
      <c r="L3338" t="n">
        <v>999</v>
      </c>
      <c r="M3338" t="n">
        <v>4</v>
      </c>
      <c r="N3338" t="n">
        <v>0</v>
      </c>
      <c r="O3338" t="n">
        <v>1</v>
      </c>
      <c r="P3338" t="n">
        <v>0</v>
      </c>
      <c r="Q3338" t="n">
        <v>0</v>
      </c>
      <c r="R3338" t="inlineStr">
        <is>
          <t>Sin rotación</t>
        </is>
      </c>
    </row>
    <row r="3339">
      <c r="A3339" t="inlineStr">
        <is>
          <t>BUFMIGE50TUN</t>
        </is>
      </c>
      <c r="B3339" t="inlineStr">
        <is>
          <t>[BUFMIGE50TUN] FLEX COVER (Rojo)</t>
        </is>
      </c>
      <c r="C3339" t="inlineStr">
        <is>
          <t>FLEX COVER</t>
        </is>
      </c>
      <c r="D3339" t="n">
        <v>0</v>
      </c>
      <c r="E3339" t="n">
        <v>0</v>
      </c>
      <c r="F3339" t="n">
        <v>1.000010015470635</v>
      </c>
      <c r="G3339" t="inlineStr">
        <is>
          <t>C</t>
        </is>
      </c>
      <c r="H3339" t="n">
        <v>3</v>
      </c>
      <c r="I3339" t="n">
        <v>0</v>
      </c>
      <c r="J3339" t="n">
        <v>0</v>
      </c>
      <c r="K3339" t="n">
        <v>0</v>
      </c>
      <c r="L3339" t="n">
        <v>999</v>
      </c>
      <c r="M3339" t="n">
        <v>4</v>
      </c>
      <c r="N3339" t="n">
        <v>0</v>
      </c>
      <c r="O3339" t="n">
        <v>3</v>
      </c>
      <c r="P3339" t="n">
        <v>0</v>
      </c>
      <c r="Q3339" t="n">
        <v>0</v>
      </c>
      <c r="R3339" t="inlineStr">
        <is>
          <t>Sin rotación</t>
        </is>
      </c>
    </row>
    <row r="3340">
      <c r="A3340" t="inlineStr">
        <is>
          <t>SHONRKI16T16</t>
        </is>
      </c>
      <c r="B3340" t="inlineStr">
        <is>
          <t>SHORT SPORT KIDS</t>
        </is>
      </c>
      <c r="C3340" t="inlineStr">
        <is>
          <t>Manufactura / Kids / P. Inferiores</t>
        </is>
      </c>
      <c r="D3340" t="n">
        <v>0</v>
      </c>
      <c r="E3340" t="n">
        <v>0</v>
      </c>
      <c r="F3340" t="n">
        <v>1.000010015470635</v>
      </c>
      <c r="G3340" t="inlineStr">
        <is>
          <t>C</t>
        </is>
      </c>
      <c r="H3340" t="n">
        <v>0</v>
      </c>
      <c r="I3340" t="n">
        <v>6.465724382</v>
      </c>
      <c r="J3340" t="n">
        <v>0</v>
      </c>
      <c r="K3340" t="n">
        <v>0.1</v>
      </c>
      <c r="L3340" t="n">
        <v>0</v>
      </c>
      <c r="M3340" t="n">
        <v>4</v>
      </c>
      <c r="N3340" t="n">
        <v>0.4</v>
      </c>
      <c r="O3340" t="n">
        <v>0</v>
      </c>
      <c r="P3340" t="n">
        <v>0</v>
      </c>
      <c r="Q3340" t="n">
        <v>0</v>
      </c>
      <c r="R3340" t="inlineStr">
        <is>
          <t>Riesgo bajo stock</t>
        </is>
      </c>
    </row>
    <row r="3341">
      <c r="A3341" t="inlineStr">
        <is>
          <t>UNIMJCA11TS</t>
        </is>
      </c>
      <c r="B3341" t="inlineStr">
        <is>
          <t xml:space="preserve">UNIFORME CAB </t>
        </is>
      </c>
      <c r="C3341" t="inlineStr">
        <is>
          <t>Manufactura / Caballero / P. Superiores</t>
        </is>
      </c>
      <c r="D3341" t="n">
        <v>0</v>
      </c>
      <c r="E3341" t="n">
        <v>0</v>
      </c>
      <c r="F3341" t="n">
        <v>1.000010015470635</v>
      </c>
      <c r="G3341" t="inlineStr">
        <is>
          <t>C</t>
        </is>
      </c>
      <c r="H3341" t="n">
        <v>0</v>
      </c>
      <c r="I3341" t="n">
        <v>0</v>
      </c>
      <c r="J3341" t="n">
        <v>0</v>
      </c>
      <c r="K3341" t="n">
        <v>0.1</v>
      </c>
      <c r="L3341" t="n">
        <v>0</v>
      </c>
      <c r="M3341" t="n">
        <v>4</v>
      </c>
      <c r="N3341" t="n">
        <v>0.4</v>
      </c>
      <c r="O3341" t="n">
        <v>0</v>
      </c>
      <c r="P3341" t="n">
        <v>0</v>
      </c>
      <c r="Q3341" t="n">
        <v>0</v>
      </c>
      <c r="R3341" t="inlineStr">
        <is>
          <t>Riesgo bajo stock</t>
        </is>
      </c>
    </row>
    <row r="3342">
      <c r="A3342" t="inlineStr">
        <is>
          <t>SHOUNKI69T6</t>
        </is>
      </c>
      <c r="B3342" t="inlineStr">
        <is>
          <t>[SHOUNKI69T6] SHORT PLAYA KIDS (Verde Pino, 6)</t>
        </is>
      </c>
      <c r="C3342" t="inlineStr">
        <is>
          <t>KIDS / SHORT PLAYA</t>
        </is>
      </c>
      <c r="D3342" t="n">
        <v>0</v>
      </c>
      <c r="E3342" t="n">
        <v>0</v>
      </c>
      <c r="F3342" t="n">
        <v>1.000010015470635</v>
      </c>
      <c r="G3342" t="inlineStr">
        <is>
          <t>C</t>
        </is>
      </c>
      <c r="H3342" t="n">
        <v>16</v>
      </c>
      <c r="I3342" t="n">
        <v>0</v>
      </c>
      <c r="J3342" t="n">
        <v>0</v>
      </c>
      <c r="K3342" t="n">
        <v>0</v>
      </c>
      <c r="L3342" t="n">
        <v>999</v>
      </c>
      <c r="M3342" t="n">
        <v>4</v>
      </c>
      <c r="N3342" t="n">
        <v>0</v>
      </c>
      <c r="O3342" t="n">
        <v>16</v>
      </c>
      <c r="P3342" t="n">
        <v>0</v>
      </c>
      <c r="Q3342" t="n">
        <v>0</v>
      </c>
      <c r="R3342" t="inlineStr">
        <is>
          <t>Sin rotación</t>
        </is>
      </c>
    </row>
    <row r="3343">
      <c r="A3343" t="inlineStr">
        <is>
          <t>SHOUNKI69T4</t>
        </is>
      </c>
      <c r="B3343" t="inlineStr">
        <is>
          <t>[SHOUNKI69T4] SHORT PLAYA KIDS (Verde Pino, 4)</t>
        </is>
      </c>
      <c r="C3343" t="inlineStr">
        <is>
          <t>KIDS / SHORT PLAYA</t>
        </is>
      </c>
      <c r="D3343" t="n">
        <v>0</v>
      </c>
      <c r="E3343" t="n">
        <v>0</v>
      </c>
      <c r="F3343" t="n">
        <v>1.000010015470635</v>
      </c>
      <c r="G3343" t="inlineStr">
        <is>
          <t>C</t>
        </is>
      </c>
      <c r="H3343" t="n">
        <v>8</v>
      </c>
      <c r="I3343" t="n">
        <v>0</v>
      </c>
      <c r="J3343" t="n">
        <v>0</v>
      </c>
      <c r="K3343" t="n">
        <v>0</v>
      </c>
      <c r="L3343" t="n">
        <v>999</v>
      </c>
      <c r="M3343" t="n">
        <v>4</v>
      </c>
      <c r="N3343" t="n">
        <v>0</v>
      </c>
      <c r="O3343" t="n">
        <v>8</v>
      </c>
      <c r="P3343" t="n">
        <v>0</v>
      </c>
      <c r="Q3343" t="n">
        <v>0</v>
      </c>
      <c r="R3343" t="inlineStr">
        <is>
          <t>Sin rotación</t>
        </is>
      </c>
    </row>
    <row r="3344">
      <c r="A3344" t="inlineStr">
        <is>
          <t>SHOUNKI69T14</t>
        </is>
      </c>
      <c r="B3344" t="inlineStr">
        <is>
          <t>[SHOUNKI69T14] SHORT PLAYA KIDS (Verde Pino, 14)</t>
        </is>
      </c>
      <c r="C3344" t="inlineStr">
        <is>
          <t>KIDS / SHORT PLAYA</t>
        </is>
      </c>
      <c r="D3344" t="n">
        <v>0</v>
      </c>
      <c r="E3344" t="n">
        <v>0</v>
      </c>
      <c r="F3344" t="n">
        <v>1.000010015470635</v>
      </c>
      <c r="G3344" t="inlineStr">
        <is>
          <t>C</t>
        </is>
      </c>
      <c r="H3344" t="n">
        <v>38</v>
      </c>
      <c r="I3344" t="n">
        <v>0</v>
      </c>
      <c r="J3344" t="n">
        <v>0</v>
      </c>
      <c r="K3344" t="n">
        <v>0</v>
      </c>
      <c r="L3344" t="n">
        <v>999</v>
      </c>
      <c r="M3344" t="n">
        <v>4</v>
      </c>
      <c r="N3344" t="n">
        <v>0</v>
      </c>
      <c r="O3344" t="n">
        <v>38</v>
      </c>
      <c r="P3344" t="n">
        <v>0</v>
      </c>
      <c r="Q3344" t="n">
        <v>0</v>
      </c>
      <c r="R3344" t="inlineStr">
        <is>
          <t>Sin rotación</t>
        </is>
      </c>
    </row>
    <row r="3345">
      <c r="A3345" t="inlineStr">
        <is>
          <t>CLAMIKI09T14</t>
        </is>
      </c>
      <c r="B3345" t="inlineStr">
        <is>
          <t>CLASICA ORIGINAL KIDS</t>
        </is>
      </c>
      <c r="C3345" t="inlineStr">
        <is>
          <t>Manufactura / Kids / P. Superiores</t>
        </is>
      </c>
      <c r="D3345" t="n">
        <v>0</v>
      </c>
      <c r="E3345" t="n">
        <v>0</v>
      </c>
      <c r="F3345" t="n">
        <v>1.000010015470635</v>
      </c>
      <c r="G3345" t="inlineStr">
        <is>
          <t>C</t>
        </is>
      </c>
      <c r="H3345" t="n">
        <v>0</v>
      </c>
      <c r="I3345" t="n">
        <v>2.053774806</v>
      </c>
      <c r="J3345" t="n">
        <v>0</v>
      </c>
      <c r="K3345" t="n">
        <v>0.2</v>
      </c>
      <c r="L3345" t="n">
        <v>0</v>
      </c>
      <c r="M3345" t="n">
        <v>4</v>
      </c>
      <c r="N3345" t="n">
        <v>0.8</v>
      </c>
      <c r="O3345" t="n">
        <v>0</v>
      </c>
      <c r="P3345" t="n">
        <v>0</v>
      </c>
      <c r="Q3345" t="n">
        <v>0</v>
      </c>
      <c r="R3345" t="inlineStr">
        <is>
          <t>Riesgo bajo stock</t>
        </is>
      </c>
    </row>
    <row r="3346">
      <c r="A3346" t="inlineStr">
        <is>
          <t>CLAMIKI01T6</t>
        </is>
      </c>
      <c r="B3346" t="inlineStr">
        <is>
          <t>[CLAMIKI01T6] CLASICA ORIGINAL KIDS (Aguamarina, 6)</t>
        </is>
      </c>
      <c r="C3346" t="inlineStr">
        <is>
          <t>KIDS / CLASICA ORIGINAL</t>
        </is>
      </c>
      <c r="D3346" t="n">
        <v>0</v>
      </c>
      <c r="E3346" t="n">
        <v>0</v>
      </c>
      <c r="F3346" t="n">
        <v>1.000010015470635</v>
      </c>
      <c r="G3346" t="inlineStr">
        <is>
          <t>C</t>
        </is>
      </c>
      <c r="H3346" t="n">
        <v>1</v>
      </c>
      <c r="I3346" t="n">
        <v>0</v>
      </c>
      <c r="J3346" t="n">
        <v>0</v>
      </c>
      <c r="K3346" t="n">
        <v>0</v>
      </c>
      <c r="L3346" t="n">
        <v>999</v>
      </c>
      <c r="M3346" t="n">
        <v>4</v>
      </c>
      <c r="N3346" t="n">
        <v>0</v>
      </c>
      <c r="O3346" t="n">
        <v>1</v>
      </c>
      <c r="P3346" t="n">
        <v>0</v>
      </c>
      <c r="Q3346" t="n">
        <v>0</v>
      </c>
      <c r="R3346" t="inlineStr">
        <is>
          <t>Sin rotación</t>
        </is>
      </c>
    </row>
    <row r="3347">
      <c r="A3347" t="inlineStr">
        <is>
          <t>MLMMJDA12TL</t>
        </is>
      </c>
      <c r="B3347" t="inlineStr">
        <is>
          <t>[MLMMJDA12TL] MOTION LOOP MAFE DAMA (Azul Marino, L)</t>
        </is>
      </c>
      <c r="C3347" t="inlineStr">
        <is>
          <t>DAMA / MOTION LOOP MAFE</t>
        </is>
      </c>
      <c r="D3347" t="n">
        <v>0</v>
      </c>
      <c r="E3347" t="n">
        <v>0</v>
      </c>
      <c r="F3347" t="n">
        <v>1.000010015470635</v>
      </c>
      <c r="G3347" t="inlineStr">
        <is>
          <t>C</t>
        </is>
      </c>
      <c r="H3347" t="n">
        <v>5</v>
      </c>
      <c r="I3347" t="n">
        <v>0</v>
      </c>
      <c r="J3347" t="n">
        <v>0</v>
      </c>
      <c r="K3347" t="n">
        <v>0</v>
      </c>
      <c r="L3347" t="n">
        <v>999</v>
      </c>
      <c r="M3347" t="n">
        <v>4</v>
      </c>
      <c r="N3347" t="n">
        <v>0</v>
      </c>
      <c r="O3347" t="n">
        <v>5</v>
      </c>
      <c r="P3347" t="n">
        <v>0</v>
      </c>
      <c r="Q3347" t="n">
        <v>0</v>
      </c>
      <c r="R3347" t="inlineStr">
        <is>
          <t>Sin rotación</t>
        </is>
      </c>
    </row>
    <row r="3348">
      <c r="A3348" t="inlineStr">
        <is>
          <t>ANDMIDA11T2XL</t>
        </is>
      </c>
      <c r="B3348" t="inlineStr">
        <is>
          <t>[ANDMIDA11T2XL] ANDRE ORIGINAL DAMA (Azul Lavanda, 2XL)</t>
        </is>
      </c>
      <c r="C3348" t="inlineStr">
        <is>
          <t>DAMA / ANDRE ORIGINAL</t>
        </is>
      </c>
      <c r="D3348" t="n">
        <v>0</v>
      </c>
      <c r="E3348" t="n">
        <v>0</v>
      </c>
      <c r="F3348" t="n">
        <v>1.000010015470635</v>
      </c>
      <c r="G3348" t="inlineStr">
        <is>
          <t>C</t>
        </is>
      </c>
      <c r="H3348" t="n">
        <v>1</v>
      </c>
      <c r="I3348" t="n">
        <v>0</v>
      </c>
      <c r="J3348" t="n">
        <v>0</v>
      </c>
      <c r="K3348" t="n">
        <v>0</v>
      </c>
      <c r="L3348" t="n">
        <v>999</v>
      </c>
      <c r="M3348" t="n">
        <v>4</v>
      </c>
      <c r="N3348" t="n">
        <v>0</v>
      </c>
      <c r="O3348" t="n">
        <v>1</v>
      </c>
      <c r="P3348" t="n">
        <v>0</v>
      </c>
      <c r="Q3348" t="n">
        <v>0</v>
      </c>
      <c r="R3348" t="inlineStr">
        <is>
          <t>Sin rotación</t>
        </is>
      </c>
    </row>
    <row r="3349">
      <c r="A3349" t="inlineStr">
        <is>
          <t>HELBFDA205TS</t>
        </is>
      </c>
      <c r="B3349" t="inlineStr">
        <is>
          <t>HELEN BIO MOVE DAMA</t>
        </is>
      </c>
      <c r="C3349" t="inlineStr">
        <is>
          <t>Manufactura / Dama / P. Superiores</t>
        </is>
      </c>
      <c r="D3349" t="n">
        <v>0</v>
      </c>
      <c r="E3349" t="n">
        <v>0</v>
      </c>
      <c r="F3349" t="n">
        <v>1.000010015470635</v>
      </c>
      <c r="G3349" t="inlineStr">
        <is>
          <t>C</t>
        </is>
      </c>
      <c r="H3349" t="n">
        <v>37</v>
      </c>
      <c r="I3349" t="n">
        <v>7.34081746</v>
      </c>
      <c r="J3349" t="n">
        <v>271.61024602</v>
      </c>
      <c r="K3349" t="n">
        <v>0.1</v>
      </c>
      <c r="L3349" t="n">
        <v>370</v>
      </c>
      <c r="M3349" t="n">
        <v>4</v>
      </c>
      <c r="N3349" t="n">
        <v>0.4</v>
      </c>
      <c r="O3349" t="n">
        <v>36.6</v>
      </c>
      <c r="P3349" t="n">
        <v>268.673919036</v>
      </c>
      <c r="Q3349" t="n">
        <v>0.9891891891891892</v>
      </c>
      <c r="R3349" t="inlineStr">
        <is>
          <t>Sin rotación</t>
        </is>
      </c>
    </row>
    <row r="3350">
      <c r="A3350" t="inlineStr">
        <is>
          <t>HELBFDA205TL</t>
        </is>
      </c>
      <c r="B3350" t="inlineStr">
        <is>
          <t>[HELBFDA205TL] HELEN BIO MOVE DAMA (Lima, L)</t>
        </is>
      </c>
      <c r="C3350" t="inlineStr">
        <is>
          <t>DAMA / HELEN BIO MOVE</t>
        </is>
      </c>
      <c r="D3350" t="n">
        <v>0</v>
      </c>
      <c r="E3350" t="n">
        <v>0</v>
      </c>
      <c r="F3350" t="n">
        <v>1.000010015470635</v>
      </c>
      <c r="G3350" t="inlineStr">
        <is>
          <t>C</t>
        </is>
      </c>
      <c r="H3350" t="n">
        <v>42</v>
      </c>
      <c r="I3350" t="n">
        <v>0</v>
      </c>
      <c r="J3350" t="n">
        <v>0</v>
      </c>
      <c r="K3350" t="n">
        <v>0</v>
      </c>
      <c r="L3350" t="n">
        <v>999</v>
      </c>
      <c r="M3350" t="n">
        <v>4</v>
      </c>
      <c r="N3350" t="n">
        <v>0</v>
      </c>
      <c r="O3350" t="n">
        <v>42</v>
      </c>
      <c r="P3350" t="n">
        <v>0</v>
      </c>
      <c r="Q3350" t="n">
        <v>0</v>
      </c>
      <c r="R3350" t="inlineStr">
        <is>
          <t>Sin rotación</t>
        </is>
      </c>
    </row>
    <row r="3351">
      <c r="A3351" t="inlineStr">
        <is>
          <t>LMOFIDA09TM</t>
        </is>
      </c>
      <c r="B3351" t="inlineStr">
        <is>
          <t>[LMOFIDA09TM] LEGGING MOVA (Azul Cielo, M)</t>
        </is>
      </c>
      <c r="C3351" t="inlineStr">
        <is>
          <t>LEGGING MOVA</t>
        </is>
      </c>
      <c r="D3351" t="n">
        <v>0</v>
      </c>
      <c r="E3351" t="n">
        <v>0</v>
      </c>
      <c r="F3351" t="n">
        <v>1.000010015470635</v>
      </c>
      <c r="G3351" t="inlineStr">
        <is>
          <t>C</t>
        </is>
      </c>
      <c r="H3351" t="n">
        <v>5</v>
      </c>
      <c r="I3351" t="n">
        <v>0</v>
      </c>
      <c r="J3351" t="n">
        <v>0</v>
      </c>
      <c r="K3351" t="n">
        <v>0</v>
      </c>
      <c r="L3351" t="n">
        <v>999</v>
      </c>
      <c r="M3351" t="n">
        <v>4</v>
      </c>
      <c r="N3351" t="n">
        <v>0</v>
      </c>
      <c r="O3351" t="n">
        <v>5</v>
      </c>
      <c r="P3351" t="n">
        <v>0</v>
      </c>
      <c r="Q3351" t="n">
        <v>0</v>
      </c>
      <c r="R3351" t="inlineStr">
        <is>
          <t>Sin rotación</t>
        </is>
      </c>
    </row>
    <row r="3352">
      <c r="A3352" t="inlineStr">
        <is>
          <t>LMOFIDA09TL</t>
        </is>
      </c>
      <c r="B3352" t="inlineStr">
        <is>
          <t>[LMOFIDA09TL] LEGGING MOVA (Azul Cielo, L)</t>
        </is>
      </c>
      <c r="C3352" t="inlineStr">
        <is>
          <t>LEGGING MOVA</t>
        </is>
      </c>
      <c r="D3352" t="n">
        <v>0</v>
      </c>
      <c r="E3352" t="n">
        <v>0</v>
      </c>
      <c r="F3352" t="n">
        <v>1.000010015470635</v>
      </c>
      <c r="G3352" t="inlineStr">
        <is>
          <t>C</t>
        </is>
      </c>
      <c r="H3352" t="n">
        <v>3</v>
      </c>
      <c r="I3352" t="n">
        <v>0</v>
      </c>
      <c r="J3352" t="n">
        <v>0</v>
      </c>
      <c r="K3352" t="n">
        <v>0</v>
      </c>
      <c r="L3352" t="n">
        <v>999</v>
      </c>
      <c r="M3352" t="n">
        <v>4</v>
      </c>
      <c r="N3352" t="n">
        <v>0</v>
      </c>
      <c r="O3352" t="n">
        <v>3</v>
      </c>
      <c r="P3352" t="n">
        <v>0</v>
      </c>
      <c r="Q3352" t="n">
        <v>0</v>
      </c>
      <c r="R3352" t="inlineStr">
        <is>
          <t>Sin rotación</t>
        </is>
      </c>
    </row>
    <row r="3353">
      <c r="A3353" t="inlineStr">
        <is>
          <t>LARIMJDA16TXL</t>
        </is>
      </c>
      <c r="B3353" t="inlineStr">
        <is>
          <t>[LARIMJDA16TXL] LARISA ORIGINAL DAMA (Blanco, XL)</t>
        </is>
      </c>
      <c r="C3353" t="inlineStr">
        <is>
          <t>DAMA / LARISA ORIGINAL</t>
        </is>
      </c>
      <c r="D3353" t="n">
        <v>0</v>
      </c>
      <c r="E3353" t="n">
        <v>0</v>
      </c>
      <c r="F3353" t="n">
        <v>1.000010015470635</v>
      </c>
      <c r="G3353" t="inlineStr">
        <is>
          <t>C</t>
        </is>
      </c>
      <c r="H3353" t="n">
        <v>14</v>
      </c>
      <c r="I3353" t="n">
        <v>0</v>
      </c>
      <c r="J3353" t="n">
        <v>0</v>
      </c>
      <c r="K3353" t="n">
        <v>0</v>
      </c>
      <c r="L3353" t="n">
        <v>999</v>
      </c>
      <c r="M3353" t="n">
        <v>4</v>
      </c>
      <c r="N3353" t="n">
        <v>0</v>
      </c>
      <c r="O3353" t="n">
        <v>14</v>
      </c>
      <c r="P3353" t="n">
        <v>0</v>
      </c>
      <c r="Q3353" t="n">
        <v>0</v>
      </c>
      <c r="R3353" t="inlineStr">
        <is>
          <t>Sin rotación</t>
        </is>
      </c>
    </row>
    <row r="3354">
      <c r="A3354" t="inlineStr">
        <is>
          <t>PANNTKI31T2</t>
        </is>
      </c>
      <c r="B3354" t="inlineStr">
        <is>
          <t>[PANNTKI31T2] EXPLORE PANTS KIDS (Gris Oscuro, 2)</t>
        </is>
      </c>
      <c r="C3354" t="inlineStr">
        <is>
          <t>KIDS / EXPLORE PANTS</t>
        </is>
      </c>
      <c r="D3354" t="n">
        <v>0</v>
      </c>
      <c r="E3354" t="n">
        <v>0</v>
      </c>
      <c r="F3354" t="n">
        <v>1.000010015470635</v>
      </c>
      <c r="G3354" t="inlineStr">
        <is>
          <t>C</t>
        </is>
      </c>
      <c r="H3354" t="n">
        <v>3</v>
      </c>
      <c r="I3354" t="n">
        <v>0</v>
      </c>
      <c r="J3354" t="n">
        <v>0</v>
      </c>
      <c r="K3354" t="n">
        <v>0</v>
      </c>
      <c r="L3354" t="n">
        <v>999</v>
      </c>
      <c r="M3354" t="n">
        <v>4</v>
      </c>
      <c r="N3354" t="n">
        <v>0</v>
      </c>
      <c r="O3354" t="n">
        <v>3</v>
      </c>
      <c r="P3354" t="n">
        <v>0</v>
      </c>
      <c r="Q3354" t="n">
        <v>0</v>
      </c>
      <c r="R3354" t="inlineStr">
        <is>
          <t>Sin rotación</t>
        </is>
      </c>
    </row>
    <row r="3355">
      <c r="A3355" t="inlineStr">
        <is>
          <t>PANNKI12T8</t>
        </is>
      </c>
      <c r="B3355" t="inlineStr">
        <is>
          <t>PANNKI12T8</t>
        </is>
      </c>
      <c r="C3355" t="inlineStr">
        <is>
          <t>KIDS / PANNKI</t>
        </is>
      </c>
      <c r="D3355" t="n">
        <v>0</v>
      </c>
      <c r="E3355" t="n">
        <v>0</v>
      </c>
      <c r="F3355" t="n">
        <v>1.000010015470635</v>
      </c>
      <c r="G3355" t="inlineStr">
        <is>
          <t>C</t>
        </is>
      </c>
      <c r="H3355" t="n">
        <v>1</v>
      </c>
      <c r="I3355" t="n">
        <v>0</v>
      </c>
      <c r="J3355" t="n">
        <v>0</v>
      </c>
      <c r="K3355" t="n">
        <v>0</v>
      </c>
      <c r="L3355" t="n">
        <v>999</v>
      </c>
      <c r="M3355" t="n">
        <v>4</v>
      </c>
      <c r="N3355" t="n">
        <v>0</v>
      </c>
      <c r="O3355" t="n">
        <v>1</v>
      </c>
      <c r="P3355" t="n">
        <v>0</v>
      </c>
      <c r="Q3355" t="n">
        <v>0</v>
      </c>
      <c r="R3355" t="inlineStr">
        <is>
          <t>Sin rotación</t>
        </is>
      </c>
    </row>
    <row r="3356">
      <c r="A3356" t="inlineStr">
        <is>
          <t>PANNKI12T6</t>
        </is>
      </c>
      <c r="B3356" t="inlineStr">
        <is>
          <t>PANNKI12T6</t>
        </is>
      </c>
      <c r="C3356" t="inlineStr">
        <is>
          <t>KIDS / PANNKI</t>
        </is>
      </c>
      <c r="D3356" t="n">
        <v>0</v>
      </c>
      <c r="E3356" t="n">
        <v>0</v>
      </c>
      <c r="F3356" t="n">
        <v>1.000010015470635</v>
      </c>
      <c r="G3356" t="inlineStr">
        <is>
          <t>C</t>
        </is>
      </c>
      <c r="H3356" t="n">
        <v>1</v>
      </c>
      <c r="I3356" t="n">
        <v>0</v>
      </c>
      <c r="J3356" t="n">
        <v>0</v>
      </c>
      <c r="K3356" t="n">
        <v>0</v>
      </c>
      <c r="L3356" t="n">
        <v>999</v>
      </c>
      <c r="M3356" t="n">
        <v>4</v>
      </c>
      <c r="N3356" t="n">
        <v>0</v>
      </c>
      <c r="O3356" t="n">
        <v>1</v>
      </c>
      <c r="P3356" t="n">
        <v>0</v>
      </c>
      <c r="Q3356" t="n">
        <v>0</v>
      </c>
      <c r="R3356" t="inlineStr">
        <is>
          <t>Sin rotación</t>
        </is>
      </c>
    </row>
    <row r="3357">
      <c r="A3357" t="inlineStr">
        <is>
          <t>PANNKI12T4</t>
        </is>
      </c>
      <c r="B3357" t="inlineStr">
        <is>
          <t>PANNKI12T4</t>
        </is>
      </c>
      <c r="C3357" t="inlineStr">
        <is>
          <t>KIDS / PANNKI</t>
        </is>
      </c>
      <c r="D3357" t="n">
        <v>0</v>
      </c>
      <c r="E3357" t="n">
        <v>0</v>
      </c>
      <c r="F3357" t="n">
        <v>1.000010015470635</v>
      </c>
      <c r="G3357" t="inlineStr">
        <is>
          <t>C</t>
        </is>
      </c>
      <c r="H3357" t="n">
        <v>3</v>
      </c>
      <c r="I3357" t="n">
        <v>0</v>
      </c>
      <c r="J3357" t="n">
        <v>0</v>
      </c>
      <c r="K3357" t="n">
        <v>0</v>
      </c>
      <c r="L3357" t="n">
        <v>999</v>
      </c>
      <c r="M3357" t="n">
        <v>4</v>
      </c>
      <c r="N3357" t="n">
        <v>0</v>
      </c>
      <c r="O3357" t="n">
        <v>3</v>
      </c>
      <c r="P3357" t="n">
        <v>0</v>
      </c>
      <c r="Q3357" t="n">
        <v>0</v>
      </c>
      <c r="R3357" t="inlineStr">
        <is>
          <t>Sin rotación</t>
        </is>
      </c>
    </row>
    <row r="3358">
      <c r="A3358" t="inlineStr">
        <is>
          <t>PANNKI12T2</t>
        </is>
      </c>
      <c r="B3358" t="inlineStr">
        <is>
          <t>PANNKI12T2</t>
        </is>
      </c>
      <c r="C3358" t="inlineStr">
        <is>
          <t>KIDS / PANNKI</t>
        </is>
      </c>
      <c r="D3358" t="n">
        <v>0</v>
      </c>
      <c r="E3358" t="n">
        <v>0</v>
      </c>
      <c r="F3358" t="n">
        <v>1.000010015470635</v>
      </c>
      <c r="G3358" t="inlineStr">
        <is>
          <t>C</t>
        </is>
      </c>
      <c r="H3358" t="n">
        <v>1</v>
      </c>
      <c r="I3358" t="n">
        <v>0</v>
      </c>
      <c r="J3358" t="n">
        <v>0</v>
      </c>
      <c r="K3358" t="n">
        <v>0</v>
      </c>
      <c r="L3358" t="n">
        <v>999</v>
      </c>
      <c r="M3358" t="n">
        <v>4</v>
      </c>
      <c r="N3358" t="n">
        <v>0</v>
      </c>
      <c r="O3358" t="n">
        <v>1</v>
      </c>
      <c r="P3358" t="n">
        <v>0</v>
      </c>
      <c r="Q3358" t="n">
        <v>0</v>
      </c>
      <c r="R3358" t="inlineStr">
        <is>
          <t>Sin rotación</t>
        </is>
      </c>
    </row>
    <row r="3359">
      <c r="A3359" t="inlineStr">
        <is>
          <t>PANNKI12T12</t>
        </is>
      </c>
      <c r="B3359" t="inlineStr">
        <is>
          <t>PANNKI12T12</t>
        </is>
      </c>
      <c r="C3359" t="inlineStr">
        <is>
          <t>KIDS / PANNKI</t>
        </is>
      </c>
      <c r="D3359" t="n">
        <v>0</v>
      </c>
      <c r="E3359" t="n">
        <v>0</v>
      </c>
      <c r="F3359" t="n">
        <v>1.000010015470635</v>
      </c>
      <c r="G3359" t="inlineStr">
        <is>
          <t>C</t>
        </is>
      </c>
      <c r="H3359" t="n">
        <v>1</v>
      </c>
      <c r="I3359" t="n">
        <v>0</v>
      </c>
      <c r="J3359" t="n">
        <v>0</v>
      </c>
      <c r="K3359" t="n">
        <v>0</v>
      </c>
      <c r="L3359" t="n">
        <v>999</v>
      </c>
      <c r="M3359" t="n">
        <v>4</v>
      </c>
      <c r="N3359" t="n">
        <v>0</v>
      </c>
      <c r="O3359" t="n">
        <v>1</v>
      </c>
      <c r="P3359" t="n">
        <v>0</v>
      </c>
      <c r="Q3359" t="n">
        <v>0</v>
      </c>
      <c r="R3359" t="inlineStr">
        <is>
          <t>Sin rotación</t>
        </is>
      </c>
    </row>
    <row r="3360">
      <c r="A3360" t="inlineStr">
        <is>
          <t>PANNKI12T10</t>
        </is>
      </c>
      <c r="B3360" t="inlineStr">
        <is>
          <t>PANNKI12T10</t>
        </is>
      </c>
      <c r="C3360" t="inlineStr">
        <is>
          <t>KIDS / PANNKI</t>
        </is>
      </c>
      <c r="D3360" t="n">
        <v>0</v>
      </c>
      <c r="E3360" t="n">
        <v>0</v>
      </c>
      <c r="F3360" t="n">
        <v>1.000010015470635</v>
      </c>
      <c r="G3360" t="inlineStr">
        <is>
          <t>C</t>
        </is>
      </c>
      <c r="H3360" t="n">
        <v>1</v>
      </c>
      <c r="I3360" t="n">
        <v>0</v>
      </c>
      <c r="J3360" t="n">
        <v>0</v>
      </c>
      <c r="K3360" t="n">
        <v>0</v>
      </c>
      <c r="L3360" t="n">
        <v>999</v>
      </c>
      <c r="M3360" t="n">
        <v>4</v>
      </c>
      <c r="N3360" t="n">
        <v>0</v>
      </c>
      <c r="O3360" t="n">
        <v>1</v>
      </c>
      <c r="P3360" t="n">
        <v>0</v>
      </c>
      <c r="Q3360" t="n">
        <v>0</v>
      </c>
      <c r="R3360" t="inlineStr">
        <is>
          <t>Sin rotación</t>
        </is>
      </c>
    </row>
    <row r="3361">
      <c r="A3361" t="inlineStr">
        <is>
          <t>ANDMIDA12T2XL</t>
        </is>
      </c>
      <c r="B3361" t="inlineStr">
        <is>
          <t>ANDRE ORIGINAL DAMA</t>
        </is>
      </c>
      <c r="C3361" t="inlineStr">
        <is>
          <t>Manufactura / Dama / P. Superiores</t>
        </is>
      </c>
      <c r="D3361" t="n">
        <v>0</v>
      </c>
      <c r="E3361" t="n">
        <v>0</v>
      </c>
      <c r="F3361" t="n">
        <v>1.000010015470635</v>
      </c>
      <c r="G3361" t="inlineStr">
        <is>
          <t>C</t>
        </is>
      </c>
      <c r="H3361" t="n">
        <v>0</v>
      </c>
      <c r="I3361" t="n">
        <v>3.274295302</v>
      </c>
      <c r="J3361" t="n">
        <v>0</v>
      </c>
      <c r="K3361" t="n">
        <v>0</v>
      </c>
      <c r="L3361" t="n">
        <v>0</v>
      </c>
      <c r="M3361" t="n">
        <v>4</v>
      </c>
      <c r="N3361" t="n">
        <v>0</v>
      </c>
      <c r="O3361" t="n">
        <v>0</v>
      </c>
      <c r="P3361" t="n">
        <v>0</v>
      </c>
      <c r="Q3361" t="n">
        <v>0</v>
      </c>
      <c r="R3361" t="inlineStr">
        <is>
          <t>Riesgo bajo stock</t>
        </is>
      </c>
    </row>
    <row r="3362">
      <c r="A3362" t="inlineStr">
        <is>
          <t>PANNKI43T4</t>
        </is>
      </c>
      <c r="B3362" t="inlineStr">
        <is>
          <t>PANNKI43T4</t>
        </is>
      </c>
      <c r="C3362" t="inlineStr">
        <is>
          <t>KIDS / PANNKI</t>
        </is>
      </c>
      <c r="D3362" t="n">
        <v>0</v>
      </c>
      <c r="E3362" t="n">
        <v>0</v>
      </c>
      <c r="F3362" t="n">
        <v>1.000010015470635</v>
      </c>
      <c r="G3362" t="inlineStr">
        <is>
          <t>C</t>
        </is>
      </c>
      <c r="H3362" t="n">
        <v>2</v>
      </c>
      <c r="I3362" t="n">
        <v>0</v>
      </c>
      <c r="J3362" t="n">
        <v>0</v>
      </c>
      <c r="K3362" t="n">
        <v>0</v>
      </c>
      <c r="L3362" t="n">
        <v>999</v>
      </c>
      <c r="M3362" t="n">
        <v>4</v>
      </c>
      <c r="N3362" t="n">
        <v>0</v>
      </c>
      <c r="O3362" t="n">
        <v>2</v>
      </c>
      <c r="P3362" t="n">
        <v>0</v>
      </c>
      <c r="Q3362" t="n">
        <v>0</v>
      </c>
      <c r="R3362" t="inlineStr">
        <is>
          <t>Sin rotación</t>
        </is>
      </c>
    </row>
    <row r="3363">
      <c r="A3363" t="inlineStr">
        <is>
          <t>PANNKI43T2</t>
        </is>
      </c>
      <c r="B3363" t="inlineStr">
        <is>
          <t>PANNKI43T2</t>
        </is>
      </c>
      <c r="C3363" t="inlineStr">
        <is>
          <t>KIDS / PANNKI</t>
        </is>
      </c>
      <c r="D3363" t="n">
        <v>0</v>
      </c>
      <c r="E3363" t="n">
        <v>0</v>
      </c>
      <c r="F3363" t="n">
        <v>1.000010015470635</v>
      </c>
      <c r="G3363" t="inlineStr">
        <is>
          <t>C</t>
        </is>
      </c>
      <c r="H3363" t="n">
        <v>2</v>
      </c>
      <c r="I3363" t="n">
        <v>0</v>
      </c>
      <c r="J3363" t="n">
        <v>0</v>
      </c>
      <c r="K3363" t="n">
        <v>0</v>
      </c>
      <c r="L3363" t="n">
        <v>999</v>
      </c>
      <c r="M3363" t="n">
        <v>4</v>
      </c>
      <c r="N3363" t="n">
        <v>0</v>
      </c>
      <c r="O3363" t="n">
        <v>2</v>
      </c>
      <c r="P3363" t="n">
        <v>0</v>
      </c>
      <c r="Q3363" t="n">
        <v>0</v>
      </c>
      <c r="R3363" t="inlineStr">
        <is>
          <t>Sin rotación</t>
        </is>
      </c>
    </row>
    <row r="3364">
      <c r="A3364" t="inlineStr">
        <is>
          <t>PANNKI43T12</t>
        </is>
      </c>
      <c r="B3364" t="inlineStr">
        <is>
          <t>PANNKI43T12</t>
        </is>
      </c>
      <c r="C3364" t="inlineStr">
        <is>
          <t>KIDS / PANNKI</t>
        </is>
      </c>
      <c r="D3364" t="n">
        <v>0</v>
      </c>
      <c r="E3364" t="n">
        <v>0</v>
      </c>
      <c r="F3364" t="n">
        <v>1.000010015470635</v>
      </c>
      <c r="G3364" t="inlineStr">
        <is>
          <t>C</t>
        </is>
      </c>
      <c r="H3364" t="n">
        <v>4</v>
      </c>
      <c r="I3364" t="n">
        <v>0</v>
      </c>
      <c r="J3364" t="n">
        <v>0</v>
      </c>
      <c r="K3364" t="n">
        <v>0</v>
      </c>
      <c r="L3364" t="n">
        <v>999</v>
      </c>
      <c r="M3364" t="n">
        <v>4</v>
      </c>
      <c r="N3364" t="n">
        <v>0</v>
      </c>
      <c r="O3364" t="n">
        <v>4</v>
      </c>
      <c r="P3364" t="n">
        <v>0</v>
      </c>
      <c r="Q3364" t="n">
        <v>0</v>
      </c>
      <c r="R3364" t="inlineStr">
        <is>
          <t>Sin rotación</t>
        </is>
      </c>
    </row>
    <row r="3365">
      <c r="A3365" t="inlineStr">
        <is>
          <t>PANNKI43T10</t>
        </is>
      </c>
      <c r="B3365" t="inlineStr">
        <is>
          <t>PANNKI43T10</t>
        </is>
      </c>
      <c r="C3365" t="inlineStr">
        <is>
          <t>KIDS / PANNKI</t>
        </is>
      </c>
      <c r="D3365" t="n">
        <v>0</v>
      </c>
      <c r="E3365" t="n">
        <v>0</v>
      </c>
      <c r="F3365" t="n">
        <v>1.000010015470635</v>
      </c>
      <c r="G3365" t="inlineStr">
        <is>
          <t>C</t>
        </is>
      </c>
      <c r="H3365" t="n">
        <v>2</v>
      </c>
      <c r="I3365" t="n">
        <v>0</v>
      </c>
      <c r="J3365" t="n">
        <v>0</v>
      </c>
      <c r="K3365" t="n">
        <v>0</v>
      </c>
      <c r="L3365" t="n">
        <v>999</v>
      </c>
      <c r="M3365" t="n">
        <v>4</v>
      </c>
      <c r="N3365" t="n">
        <v>0</v>
      </c>
      <c r="O3365" t="n">
        <v>2</v>
      </c>
      <c r="P3365" t="n">
        <v>0</v>
      </c>
      <c r="Q3365" t="n">
        <v>0</v>
      </c>
      <c r="R3365" t="inlineStr">
        <is>
          <t>Sin rotación</t>
        </is>
      </c>
    </row>
    <row r="3366">
      <c r="A3366" t="inlineStr">
        <is>
          <t>PANNKI33T6</t>
        </is>
      </c>
      <c r="B3366" t="inlineStr">
        <is>
          <t>PANNKI33T6</t>
        </is>
      </c>
      <c r="C3366" t="inlineStr">
        <is>
          <t>KIDS / PANNKI</t>
        </is>
      </c>
      <c r="D3366" t="n">
        <v>0</v>
      </c>
      <c r="E3366" t="n">
        <v>0</v>
      </c>
      <c r="F3366" t="n">
        <v>1.000010015470635</v>
      </c>
      <c r="G3366" t="inlineStr">
        <is>
          <t>C</t>
        </is>
      </c>
      <c r="H3366" t="n">
        <v>2</v>
      </c>
      <c r="I3366" t="n">
        <v>0</v>
      </c>
      <c r="J3366" t="n">
        <v>0</v>
      </c>
      <c r="K3366" t="n">
        <v>0</v>
      </c>
      <c r="L3366" t="n">
        <v>999</v>
      </c>
      <c r="M3366" t="n">
        <v>4</v>
      </c>
      <c r="N3366" t="n">
        <v>0</v>
      </c>
      <c r="O3366" t="n">
        <v>2</v>
      </c>
      <c r="P3366" t="n">
        <v>0</v>
      </c>
      <c r="Q3366" t="n">
        <v>0</v>
      </c>
      <c r="R3366" t="inlineStr">
        <is>
          <t>Sin rotación</t>
        </is>
      </c>
    </row>
    <row r="3367">
      <c r="A3367" t="inlineStr">
        <is>
          <t>MAFMEDA13TXL</t>
        </is>
      </c>
      <c r="B3367" t="inlineStr">
        <is>
          <t>[MAFMEDA13TXL] MAFE SPORT DAMA (Azul Mazari, XL)</t>
        </is>
      </c>
      <c r="C3367" t="inlineStr">
        <is>
          <t>DAMA / MAFE SPORT</t>
        </is>
      </c>
      <c r="D3367" t="n">
        <v>0</v>
      </c>
      <c r="E3367" t="n">
        <v>0</v>
      </c>
      <c r="F3367" t="n">
        <v>1.000010015470635</v>
      </c>
      <c r="G3367" t="inlineStr">
        <is>
          <t>C</t>
        </is>
      </c>
      <c r="H3367" t="n">
        <v>1</v>
      </c>
      <c r="I3367" t="n">
        <v>0</v>
      </c>
      <c r="J3367" t="n">
        <v>0</v>
      </c>
      <c r="K3367" t="n">
        <v>0</v>
      </c>
      <c r="L3367" t="n">
        <v>999</v>
      </c>
      <c r="M3367" t="n">
        <v>4</v>
      </c>
      <c r="N3367" t="n">
        <v>0</v>
      </c>
      <c r="O3367" t="n">
        <v>1</v>
      </c>
      <c r="P3367" t="n">
        <v>0</v>
      </c>
      <c r="Q3367" t="n">
        <v>0</v>
      </c>
      <c r="R3367" t="inlineStr">
        <is>
          <t>Sin rotación</t>
        </is>
      </c>
    </row>
    <row r="3368">
      <c r="A3368" t="inlineStr">
        <is>
          <t>LACC11EQ</t>
        </is>
      </c>
      <c r="B3368" t="inlineStr">
        <is>
          <t>LANYARD</t>
        </is>
      </c>
      <c r="C3368" t="inlineStr">
        <is>
          <t>Equipamiento / Accesorios</t>
        </is>
      </c>
      <c r="D3368" t="n">
        <v>0</v>
      </c>
      <c r="E3368" t="n">
        <v>0</v>
      </c>
      <c r="F3368" t="n">
        <v>1.000010015470635</v>
      </c>
      <c r="G3368" t="inlineStr">
        <is>
          <t>C</t>
        </is>
      </c>
      <c r="H3368" t="n">
        <v>0</v>
      </c>
      <c r="I3368" t="n">
        <v>0.51</v>
      </c>
      <c r="J3368" t="n">
        <v>0</v>
      </c>
      <c r="K3368" t="n">
        <v>0</v>
      </c>
      <c r="L3368" t="n">
        <v>0</v>
      </c>
      <c r="M3368" t="n">
        <v>4</v>
      </c>
      <c r="N3368" t="n">
        <v>0</v>
      </c>
      <c r="O3368" t="n">
        <v>0</v>
      </c>
      <c r="P3368" t="n">
        <v>0</v>
      </c>
      <c r="Q3368" t="n">
        <v>0</v>
      </c>
      <c r="R3368" t="inlineStr">
        <is>
          <t>Riesgo bajo stock</t>
        </is>
      </c>
    </row>
    <row r="3369">
      <c r="A3369" t="inlineStr">
        <is>
          <t>KID13EQ</t>
        </is>
      </c>
      <c r="B3369" t="inlineStr">
        <is>
          <t>[KID13EQ] KID HAT (Azul Rey)</t>
        </is>
      </c>
      <c r="C3369" t="inlineStr">
        <is>
          <t>KID HAT</t>
        </is>
      </c>
      <c r="D3369" t="n">
        <v>0</v>
      </c>
      <c r="E3369" t="n">
        <v>0</v>
      </c>
      <c r="F3369" t="n">
        <v>1.000010015470635</v>
      </c>
      <c r="G3369" t="inlineStr">
        <is>
          <t>C</t>
        </is>
      </c>
      <c r="H3369" t="n">
        <v>400</v>
      </c>
      <c r="I3369" t="n">
        <v>0</v>
      </c>
      <c r="J3369" t="n">
        <v>0</v>
      </c>
      <c r="K3369" t="n">
        <v>0</v>
      </c>
      <c r="L3369" t="n">
        <v>999</v>
      </c>
      <c r="M3369" t="n">
        <v>4</v>
      </c>
      <c r="N3369" t="n">
        <v>0</v>
      </c>
      <c r="O3369" t="n">
        <v>400</v>
      </c>
      <c r="P3369" t="n">
        <v>0</v>
      </c>
      <c r="Q3369" t="n">
        <v>0</v>
      </c>
      <c r="R3369" t="inlineStr">
        <is>
          <t>Sin rotación</t>
        </is>
      </c>
    </row>
    <row r="3370">
      <c r="A3370" t="inlineStr">
        <is>
          <t>LMOFIDA09TXS</t>
        </is>
      </c>
      <c r="B3370" t="inlineStr">
        <is>
          <t>LEGGING MOVA</t>
        </is>
      </c>
      <c r="C3370" t="inlineStr">
        <is>
          <t>Manufactura / Dama / P. Inferiores</t>
        </is>
      </c>
      <c r="D3370" t="n">
        <v>0</v>
      </c>
      <c r="E3370" t="n">
        <v>0</v>
      </c>
      <c r="F3370" t="n">
        <v>1.000010015470635</v>
      </c>
      <c r="G3370" t="inlineStr">
        <is>
          <t>C</t>
        </is>
      </c>
      <c r="H3370" t="n">
        <v>4</v>
      </c>
      <c r="I3370" t="n">
        <v>17.7</v>
      </c>
      <c r="J3370" t="n">
        <v>70.8</v>
      </c>
      <c r="K3370" t="n">
        <v>0.1</v>
      </c>
      <c r="L3370" t="n">
        <v>40</v>
      </c>
      <c r="M3370" t="n">
        <v>4</v>
      </c>
      <c r="N3370" t="n">
        <v>0.4</v>
      </c>
      <c r="O3370" t="n">
        <v>3.6</v>
      </c>
      <c r="P3370" t="n">
        <v>63.72</v>
      </c>
      <c r="Q3370" t="n">
        <v>0.9</v>
      </c>
      <c r="R3370" t="inlineStr">
        <is>
          <t>Sobrestock crítico</t>
        </is>
      </c>
    </row>
    <row r="3371">
      <c r="A3371" t="inlineStr">
        <is>
          <t>LMOFIDA09TS</t>
        </is>
      </c>
      <c r="B3371" t="inlineStr">
        <is>
          <t>[LMOFIDA09TS] LEGGING MOVA (Azul Cielo, S)</t>
        </is>
      </c>
      <c r="C3371" t="inlineStr">
        <is>
          <t>LEGGING MOVA</t>
        </is>
      </c>
      <c r="D3371" t="n">
        <v>0</v>
      </c>
      <c r="E3371" t="n">
        <v>0</v>
      </c>
      <c r="F3371" t="n">
        <v>1.000010015470635</v>
      </c>
      <c r="G3371" t="inlineStr">
        <is>
          <t>C</t>
        </is>
      </c>
      <c r="H3371" t="n">
        <v>5</v>
      </c>
      <c r="I3371" t="n">
        <v>0</v>
      </c>
      <c r="J3371" t="n">
        <v>0</v>
      </c>
      <c r="K3371" t="n">
        <v>0</v>
      </c>
      <c r="L3371" t="n">
        <v>999</v>
      </c>
      <c r="M3371" t="n">
        <v>4</v>
      </c>
      <c r="N3371" t="n">
        <v>0</v>
      </c>
      <c r="O3371" t="n">
        <v>5</v>
      </c>
      <c r="P3371" t="n">
        <v>0</v>
      </c>
      <c r="Q3371" t="n">
        <v>0</v>
      </c>
      <c r="R3371" t="inlineStr">
        <is>
          <t>Sin rotación</t>
        </is>
      </c>
    </row>
    <row r="3372">
      <c r="A3372" t="inlineStr">
        <is>
          <t>ZOEMIDA66TL</t>
        </is>
      </c>
      <c r="B3372" t="inlineStr">
        <is>
          <t>ZOE ORIGINAL DAMA</t>
        </is>
      </c>
      <c r="C3372" t="inlineStr">
        <is>
          <t>Manufactura / Dama / P. Superiores</t>
        </is>
      </c>
      <c r="D3372" t="n">
        <v>0</v>
      </c>
      <c r="E3372" t="n">
        <v>0</v>
      </c>
      <c r="F3372" t="n">
        <v>1.000010015470635</v>
      </c>
      <c r="G3372" t="inlineStr">
        <is>
          <t>C</t>
        </is>
      </c>
      <c r="H3372" t="n">
        <v>1</v>
      </c>
      <c r="I3372" t="n">
        <v>4.116585696</v>
      </c>
      <c r="J3372" t="n">
        <v>4.116585696</v>
      </c>
      <c r="K3372" t="n">
        <v>0.1</v>
      </c>
      <c r="L3372" t="n">
        <v>10</v>
      </c>
      <c r="M3372" t="n">
        <v>4</v>
      </c>
      <c r="N3372" t="n">
        <v>0.4</v>
      </c>
      <c r="O3372" t="n">
        <v>0.6</v>
      </c>
      <c r="P3372" t="n">
        <v>2.469951417599999</v>
      </c>
      <c r="Q3372" t="n">
        <v>0.6</v>
      </c>
      <c r="R3372" t="inlineStr">
        <is>
          <t>Sobrestock crítico</t>
        </is>
      </c>
    </row>
    <row r="3373">
      <c r="A3373" t="inlineStr">
        <is>
          <t>ADUMMDA30TXL</t>
        </is>
      </c>
      <c r="B3373" t="inlineStr">
        <is>
          <t>ACTIVE DUO DAMA</t>
        </is>
      </c>
      <c r="C3373" t="inlineStr">
        <is>
          <t>Manufactura / Caballero / P. Superiores</t>
        </is>
      </c>
      <c r="D3373" t="n">
        <v>0</v>
      </c>
      <c r="E3373" t="n">
        <v>0</v>
      </c>
      <c r="F3373" t="n">
        <v>1.000010015470635</v>
      </c>
      <c r="G3373" t="inlineStr">
        <is>
          <t>C</t>
        </is>
      </c>
      <c r="H3373" t="n">
        <v>0</v>
      </c>
      <c r="I3373" t="n">
        <v>3.19128</v>
      </c>
      <c r="J3373" t="n">
        <v>0</v>
      </c>
      <c r="K3373" t="n">
        <v>0.1</v>
      </c>
      <c r="L3373" t="n">
        <v>0</v>
      </c>
      <c r="M3373" t="n">
        <v>4</v>
      </c>
      <c r="N3373" t="n">
        <v>0.4</v>
      </c>
      <c r="O3373" t="n">
        <v>0</v>
      </c>
      <c r="P3373" t="n">
        <v>0</v>
      </c>
      <c r="Q3373" t="n">
        <v>0</v>
      </c>
      <c r="R3373" t="inlineStr">
        <is>
          <t>Sin rotación</t>
        </is>
      </c>
    </row>
    <row r="3374">
      <c r="A3374" t="inlineStr">
        <is>
          <t>ZOEMIKI48T2</t>
        </is>
      </c>
      <c r="B3374" t="inlineStr">
        <is>
          <t>[ZOEMIKI48T2] ZOE ORIGINAL KIDS (Púrpura, 2)</t>
        </is>
      </c>
      <c r="C3374" t="inlineStr">
        <is>
          <t>KIDS / ZOE ORIGINAL</t>
        </is>
      </c>
      <c r="D3374" t="n">
        <v>0</v>
      </c>
      <c r="E3374" t="n">
        <v>0</v>
      </c>
      <c r="F3374" t="n">
        <v>1.000010015470635</v>
      </c>
      <c r="G3374" t="inlineStr">
        <is>
          <t>C</t>
        </is>
      </c>
      <c r="H3374" t="n">
        <v>1</v>
      </c>
      <c r="I3374" t="n">
        <v>0</v>
      </c>
      <c r="J3374" t="n">
        <v>0</v>
      </c>
      <c r="K3374" t="n">
        <v>0</v>
      </c>
      <c r="L3374" t="n">
        <v>999</v>
      </c>
      <c r="M3374" t="n">
        <v>4</v>
      </c>
      <c r="N3374" t="n">
        <v>0</v>
      </c>
      <c r="O3374" t="n">
        <v>1</v>
      </c>
      <c r="P3374" t="n">
        <v>0</v>
      </c>
      <c r="Q3374" t="n">
        <v>0</v>
      </c>
      <c r="R3374" t="inlineStr">
        <is>
          <t>Sin rotación</t>
        </is>
      </c>
    </row>
    <row r="3375">
      <c r="A3375" t="inlineStr">
        <is>
          <t>ZOEMIDA09TXS</t>
        </is>
      </c>
      <c r="B3375" t="inlineStr">
        <is>
          <t>ZOE ORIGINAL DAMA</t>
        </is>
      </c>
      <c r="C3375" t="inlineStr">
        <is>
          <t>Manufactura / Dama / P. Superiores</t>
        </is>
      </c>
      <c r="D3375" t="n">
        <v>0</v>
      </c>
      <c r="E3375" t="n">
        <v>0</v>
      </c>
      <c r="F3375" t="n">
        <v>1.000010015470635</v>
      </c>
      <c r="G3375" t="inlineStr">
        <is>
          <t>C</t>
        </is>
      </c>
      <c r="H3375" t="n">
        <v>1</v>
      </c>
      <c r="I3375" t="n">
        <v>4.116585696</v>
      </c>
      <c r="J3375" t="n">
        <v>4.116585696</v>
      </c>
      <c r="K3375" t="n">
        <v>0.1</v>
      </c>
      <c r="L3375" t="n">
        <v>10</v>
      </c>
      <c r="M3375" t="n">
        <v>4</v>
      </c>
      <c r="N3375" t="n">
        <v>0.4</v>
      </c>
      <c r="O3375" t="n">
        <v>0.6</v>
      </c>
      <c r="P3375" t="n">
        <v>2.469951417599999</v>
      </c>
      <c r="Q3375" t="n">
        <v>0.6</v>
      </c>
      <c r="R3375" t="inlineStr">
        <is>
          <t>Sin rotación</t>
        </is>
      </c>
    </row>
    <row r="3376">
      <c r="A3376" t="inlineStr">
        <is>
          <t>ANDMIDA34TXL</t>
        </is>
      </c>
      <c r="B3376" t="inlineStr">
        <is>
          <t>[ANDMIDA34TXL] ANDRE ORIGINAL DAMA (Lila, XL)</t>
        </is>
      </c>
      <c r="C3376" t="inlineStr">
        <is>
          <t>DAMA / ANDRE ORIGINAL</t>
        </is>
      </c>
      <c r="D3376" t="n">
        <v>0</v>
      </c>
      <c r="E3376" t="n">
        <v>0</v>
      </c>
      <c r="F3376" t="n">
        <v>1.000010015470635</v>
      </c>
      <c r="G3376" t="inlineStr">
        <is>
          <t>C</t>
        </is>
      </c>
      <c r="H3376" t="n">
        <v>4</v>
      </c>
      <c r="I3376" t="n">
        <v>0</v>
      </c>
      <c r="J3376" t="n">
        <v>0</v>
      </c>
      <c r="K3376" t="n">
        <v>0</v>
      </c>
      <c r="L3376" t="n">
        <v>999</v>
      </c>
      <c r="M3376" t="n">
        <v>4</v>
      </c>
      <c r="N3376" t="n">
        <v>0</v>
      </c>
      <c r="O3376" t="n">
        <v>4</v>
      </c>
      <c r="P3376" t="n">
        <v>0</v>
      </c>
      <c r="Q3376" t="n">
        <v>0</v>
      </c>
      <c r="R3376" t="inlineStr">
        <is>
          <t>Sin rotación</t>
        </is>
      </c>
    </row>
    <row r="3377">
      <c r="A3377" t="inlineStr">
        <is>
          <t>ANDMIDA13TXL</t>
        </is>
      </c>
      <c r="B3377" t="inlineStr">
        <is>
          <t>[ANDMIDA13TXL] ANDRE ORIGINAL DAMA (Azul Rey, XL)</t>
        </is>
      </c>
      <c r="C3377" t="inlineStr">
        <is>
          <t>DAMA / ANDRE ORIGINAL</t>
        </is>
      </c>
      <c r="D3377" t="n">
        <v>0</v>
      </c>
      <c r="E3377" t="n">
        <v>0</v>
      </c>
      <c r="F3377" t="n">
        <v>1.000010015470635</v>
      </c>
      <c r="G3377" t="inlineStr">
        <is>
          <t>C</t>
        </is>
      </c>
      <c r="H3377" t="n">
        <v>8</v>
      </c>
      <c r="I3377" t="n">
        <v>0</v>
      </c>
      <c r="J3377" t="n">
        <v>0</v>
      </c>
      <c r="K3377" t="n">
        <v>0</v>
      </c>
      <c r="L3377" t="n">
        <v>999</v>
      </c>
      <c r="M3377" t="n">
        <v>4</v>
      </c>
      <c r="N3377" t="n">
        <v>0</v>
      </c>
      <c r="O3377" t="n">
        <v>8</v>
      </c>
      <c r="P3377" t="n">
        <v>0</v>
      </c>
      <c r="Q3377" t="n">
        <v>0</v>
      </c>
      <c r="R3377" t="inlineStr">
        <is>
          <t>Sin rotación</t>
        </is>
      </c>
    </row>
    <row r="3378">
      <c r="A3378" t="inlineStr">
        <is>
          <t>PANNTCA12T3XL</t>
        </is>
      </c>
      <c r="B3378" t="inlineStr">
        <is>
          <t>[PANNTCA12T3XL] EXPLORE PANTS CAB (Azul Marino, 3XL)</t>
        </is>
      </c>
      <c r="C3378" t="inlineStr">
        <is>
          <t>CAB / EXPLORE PANTS</t>
        </is>
      </c>
      <c r="D3378" t="n">
        <v>0</v>
      </c>
      <c r="E3378" t="n">
        <v>0</v>
      </c>
      <c r="F3378" t="n">
        <v>1.000010015470635</v>
      </c>
      <c r="G3378" t="inlineStr">
        <is>
          <t>C</t>
        </is>
      </c>
      <c r="H3378" t="n">
        <v>8</v>
      </c>
      <c r="I3378" t="n">
        <v>0</v>
      </c>
      <c r="J3378" t="n">
        <v>0</v>
      </c>
      <c r="K3378" t="n">
        <v>0</v>
      </c>
      <c r="L3378" t="n">
        <v>999</v>
      </c>
      <c r="M3378" t="n">
        <v>4</v>
      </c>
      <c r="N3378" t="n">
        <v>0</v>
      </c>
      <c r="O3378" t="n">
        <v>8</v>
      </c>
      <c r="P3378" t="n">
        <v>0</v>
      </c>
      <c r="Q3378" t="n">
        <v>0</v>
      </c>
      <c r="R3378" t="inlineStr">
        <is>
          <t>Sin rotación</t>
        </is>
      </c>
    </row>
    <row r="3379">
      <c r="A3379" t="inlineStr">
        <is>
          <t>PANNTCA12T2XL</t>
        </is>
      </c>
      <c r="B3379" t="inlineStr">
        <is>
          <t>[PANNTCA12T2XL] EXPLORE PANTS CAB (Azul Marino, 2XL)</t>
        </is>
      </c>
      <c r="C3379" t="inlineStr">
        <is>
          <t>CAB / EXPLORE PANTS</t>
        </is>
      </c>
      <c r="D3379" t="n">
        <v>0</v>
      </c>
      <c r="E3379" t="n">
        <v>0</v>
      </c>
      <c r="F3379" t="n">
        <v>1.000010015470635</v>
      </c>
      <c r="G3379" t="inlineStr">
        <is>
          <t>C</t>
        </is>
      </c>
      <c r="H3379" t="n">
        <v>12</v>
      </c>
      <c r="I3379" t="n">
        <v>0</v>
      </c>
      <c r="J3379" t="n">
        <v>0</v>
      </c>
      <c r="K3379" t="n">
        <v>0</v>
      </c>
      <c r="L3379" t="n">
        <v>999</v>
      </c>
      <c r="M3379" t="n">
        <v>4</v>
      </c>
      <c r="N3379" t="n">
        <v>0</v>
      </c>
      <c r="O3379" t="n">
        <v>12</v>
      </c>
      <c r="P3379" t="n">
        <v>0</v>
      </c>
      <c r="Q3379" t="n">
        <v>0</v>
      </c>
      <c r="R3379" t="inlineStr">
        <is>
          <t>Sin rotación</t>
        </is>
      </c>
    </row>
    <row r="3380">
      <c r="A3380" t="inlineStr">
        <is>
          <t>SHOUNKI69T8</t>
        </is>
      </c>
      <c r="B3380" t="inlineStr">
        <is>
          <t>[SHOUNKI69T8] SHORT PLAYA KIDS (Verde Pino, 8)</t>
        </is>
      </c>
      <c r="C3380" t="inlineStr">
        <is>
          <t>KIDS / SHORT PLAYA</t>
        </is>
      </c>
      <c r="D3380" t="n">
        <v>0</v>
      </c>
      <c r="E3380" t="n">
        <v>0</v>
      </c>
      <c r="F3380" t="n">
        <v>1.000010015470635</v>
      </c>
      <c r="G3380" t="inlineStr">
        <is>
          <t>C</t>
        </is>
      </c>
      <c r="H3380" t="n">
        <v>36</v>
      </c>
      <c r="I3380" t="n">
        <v>0</v>
      </c>
      <c r="J3380" t="n">
        <v>0</v>
      </c>
      <c r="K3380" t="n">
        <v>0</v>
      </c>
      <c r="L3380" t="n">
        <v>999</v>
      </c>
      <c r="M3380" t="n">
        <v>4</v>
      </c>
      <c r="N3380" t="n">
        <v>0</v>
      </c>
      <c r="O3380" t="n">
        <v>36</v>
      </c>
      <c r="P3380" t="n">
        <v>0</v>
      </c>
      <c r="Q3380" t="n">
        <v>0</v>
      </c>
      <c r="R3380" t="inlineStr">
        <is>
          <t>Sin rotación</t>
        </is>
      </c>
    </row>
    <row r="3381">
      <c r="A3381" t="inlineStr">
        <is>
          <t>PANNKI66T6</t>
        </is>
      </c>
      <c r="B3381" t="inlineStr">
        <is>
          <t>PANNKI66T6</t>
        </is>
      </c>
      <c r="C3381" t="inlineStr">
        <is>
          <t>KIDS / PANNKI</t>
        </is>
      </c>
      <c r="D3381" t="n">
        <v>0</v>
      </c>
      <c r="E3381" t="n">
        <v>0</v>
      </c>
      <c r="F3381" t="n">
        <v>1.000010015470635</v>
      </c>
      <c r="G3381" t="inlineStr">
        <is>
          <t>C</t>
        </is>
      </c>
      <c r="H3381" t="n">
        <v>2</v>
      </c>
      <c r="I3381" t="n">
        <v>0</v>
      </c>
      <c r="J3381" t="n">
        <v>0</v>
      </c>
      <c r="K3381" t="n">
        <v>0</v>
      </c>
      <c r="L3381" t="n">
        <v>999</v>
      </c>
      <c r="M3381" t="n">
        <v>4</v>
      </c>
      <c r="N3381" t="n">
        <v>0</v>
      </c>
      <c r="O3381" t="n">
        <v>2</v>
      </c>
      <c r="P3381" t="n">
        <v>0</v>
      </c>
      <c r="Q3381" t="n">
        <v>0</v>
      </c>
      <c r="R3381" t="inlineStr">
        <is>
          <t>Sin rotación</t>
        </is>
      </c>
    </row>
    <row r="3382">
      <c r="A3382" t="inlineStr">
        <is>
          <t>LARIMJDA01TS</t>
        </is>
      </c>
      <c r="B3382" t="inlineStr">
        <is>
          <t>LARISA ORIGINAL DAMA</t>
        </is>
      </c>
      <c r="C3382" t="inlineStr">
        <is>
          <t>Manufactura / Dama / P. Superiores</t>
        </is>
      </c>
      <c r="D3382" t="n">
        <v>0</v>
      </c>
      <c r="E3382" t="n">
        <v>0</v>
      </c>
      <c r="F3382" t="n">
        <v>1.000010015470635</v>
      </c>
      <c r="G3382" t="inlineStr">
        <is>
          <t>C</t>
        </is>
      </c>
      <c r="H3382" t="n">
        <v>12</v>
      </c>
      <c r="I3382" t="n">
        <v>1.765998491</v>
      </c>
      <c r="J3382" t="n">
        <v>21.191981892</v>
      </c>
      <c r="K3382" t="n">
        <v>0.2</v>
      </c>
      <c r="L3382" t="n">
        <v>60</v>
      </c>
      <c r="M3382" t="n">
        <v>4</v>
      </c>
      <c r="N3382" t="n">
        <v>0.8</v>
      </c>
      <c r="O3382" t="n">
        <v>11.2</v>
      </c>
      <c r="P3382" t="n">
        <v>19.7791830992</v>
      </c>
      <c r="Q3382" t="n">
        <v>0.9333333333333331</v>
      </c>
      <c r="R3382" t="inlineStr">
        <is>
          <t>Sobrestock crítico</t>
        </is>
      </c>
    </row>
    <row r="3383">
      <c r="A3383" t="inlineStr">
        <is>
          <t>CLAMIKI01T4</t>
        </is>
      </c>
      <c r="B3383" t="inlineStr">
        <is>
          <t>[CLAMIKI01T4] CLASICA ORIGINAL KIDS (Aguamarina, 4)</t>
        </is>
      </c>
      <c r="C3383" t="inlineStr">
        <is>
          <t>KIDS / CLASICA ORIGINAL</t>
        </is>
      </c>
      <c r="D3383" t="n">
        <v>0</v>
      </c>
      <c r="E3383" t="n">
        <v>0</v>
      </c>
      <c r="F3383" t="n">
        <v>1.000010015470635</v>
      </c>
      <c r="G3383" t="inlineStr">
        <is>
          <t>C</t>
        </is>
      </c>
      <c r="H3383" t="n">
        <v>2</v>
      </c>
      <c r="I3383" t="n">
        <v>0</v>
      </c>
      <c r="J3383" t="n">
        <v>0</v>
      </c>
      <c r="K3383" t="n">
        <v>0</v>
      </c>
      <c r="L3383" t="n">
        <v>999</v>
      </c>
      <c r="M3383" t="n">
        <v>4</v>
      </c>
      <c r="N3383" t="n">
        <v>0</v>
      </c>
      <c r="O3383" t="n">
        <v>2</v>
      </c>
      <c r="P3383" t="n">
        <v>0</v>
      </c>
      <c r="Q3383" t="n">
        <v>0</v>
      </c>
      <c r="R3383" t="inlineStr">
        <is>
          <t>Sin rotación</t>
        </is>
      </c>
    </row>
    <row r="3384">
      <c r="A3384" t="inlineStr">
        <is>
          <t>ACDMIDA121TL</t>
        </is>
      </c>
      <c r="B3384" t="inlineStr">
        <is>
          <t>DANI ACTIVE DAMA</t>
        </is>
      </c>
      <c r="C3384" t="inlineStr">
        <is>
          <t>Manufactura / Dama / P. Superiores</t>
        </is>
      </c>
      <c r="D3384" t="n">
        <v>0</v>
      </c>
      <c r="E3384" t="n">
        <v>0</v>
      </c>
      <c r="F3384" t="n">
        <v>1.000010015470635</v>
      </c>
      <c r="G3384" t="inlineStr">
        <is>
          <t>C</t>
        </is>
      </c>
      <c r="H3384" t="n">
        <v>2</v>
      </c>
      <c r="I3384" t="n">
        <v>9.82</v>
      </c>
      <c r="J3384" t="n">
        <v>19.64</v>
      </c>
      <c r="K3384" t="n">
        <v>0.1</v>
      </c>
      <c r="L3384" t="n">
        <v>20</v>
      </c>
      <c r="M3384" t="n">
        <v>4</v>
      </c>
      <c r="N3384" t="n">
        <v>0.4</v>
      </c>
      <c r="O3384" t="n">
        <v>1.6</v>
      </c>
      <c r="P3384" t="n">
        <v>15.712</v>
      </c>
      <c r="Q3384" t="n">
        <v>0.8</v>
      </c>
      <c r="R3384" t="inlineStr">
        <is>
          <t>Sobrestock crítico</t>
        </is>
      </c>
    </row>
    <row r="3385">
      <c r="A3385" t="inlineStr">
        <is>
          <t>ACAMIDA120TS</t>
        </is>
      </c>
      <c r="B3385" t="inlineStr">
        <is>
          <t>[ACAMIDA120TS] ANDRE ACTIVE DAMA (Gris con Azul, S)</t>
        </is>
      </c>
      <c r="C3385" t="inlineStr">
        <is>
          <t>DAMA / ANDRE ACTIVE</t>
        </is>
      </c>
      <c r="D3385" t="n">
        <v>0</v>
      </c>
      <c r="E3385" t="n">
        <v>0</v>
      </c>
      <c r="F3385" t="n">
        <v>1.000010015470635</v>
      </c>
      <c r="G3385" t="inlineStr">
        <is>
          <t>C</t>
        </is>
      </c>
      <c r="H3385" t="n">
        <v>1</v>
      </c>
      <c r="I3385" t="n">
        <v>0</v>
      </c>
      <c r="J3385" t="n">
        <v>0</v>
      </c>
      <c r="K3385" t="n">
        <v>0</v>
      </c>
      <c r="L3385" t="n">
        <v>999</v>
      </c>
      <c r="M3385" t="n">
        <v>4</v>
      </c>
      <c r="N3385" t="n">
        <v>0</v>
      </c>
      <c r="O3385" t="n">
        <v>1</v>
      </c>
      <c r="P3385" t="n">
        <v>0</v>
      </c>
      <c r="Q3385" t="n">
        <v>0</v>
      </c>
      <c r="R3385" t="inlineStr">
        <is>
          <t>Sin rotación</t>
        </is>
      </c>
    </row>
    <row r="3386">
      <c r="A3386" t="inlineStr">
        <is>
          <t>ZOEMIKI66T12</t>
        </is>
      </c>
      <c r="B3386" t="inlineStr">
        <is>
          <t>[ZOEMIKI66T12] ZOE ORIGINAL KIDS (Verde Militar, 12)</t>
        </is>
      </c>
      <c r="C3386" t="inlineStr">
        <is>
          <t>KIDS / ZOE ORIGINAL</t>
        </is>
      </c>
      <c r="D3386" t="n">
        <v>0</v>
      </c>
      <c r="E3386" t="n">
        <v>0</v>
      </c>
      <c r="F3386" t="n">
        <v>1.000010015470635</v>
      </c>
      <c r="G3386" t="inlineStr">
        <is>
          <t>C</t>
        </is>
      </c>
      <c r="H3386" t="n">
        <v>1</v>
      </c>
      <c r="I3386" t="n">
        <v>0</v>
      </c>
      <c r="J3386" t="n">
        <v>0</v>
      </c>
      <c r="K3386" t="n">
        <v>0</v>
      </c>
      <c r="L3386" t="n">
        <v>999</v>
      </c>
      <c r="M3386" t="n">
        <v>4</v>
      </c>
      <c r="N3386" t="n">
        <v>0</v>
      </c>
      <c r="O3386" t="n">
        <v>1</v>
      </c>
      <c r="P3386" t="n">
        <v>0</v>
      </c>
      <c r="Q3386" t="n">
        <v>0</v>
      </c>
      <c r="R3386" t="inlineStr">
        <is>
          <t>Sin rotación</t>
        </is>
      </c>
    </row>
    <row r="3387">
      <c r="A3387" t="inlineStr">
        <is>
          <t>ZOEMIKI66T10</t>
        </is>
      </c>
      <c r="B3387" t="inlineStr">
        <is>
          <t>[ZOEMIKI66T10] ZOE ORIGINAL KIDS (Verde Militar, 10)</t>
        </is>
      </c>
      <c r="C3387" t="inlineStr">
        <is>
          <t>KIDS / ZOE ORIGINAL</t>
        </is>
      </c>
      <c r="D3387" t="n">
        <v>0</v>
      </c>
      <c r="E3387" t="n">
        <v>0</v>
      </c>
      <c r="F3387" t="n">
        <v>1.000010015470635</v>
      </c>
      <c r="G3387" t="inlineStr">
        <is>
          <t>C</t>
        </is>
      </c>
      <c r="H3387" t="n">
        <v>1</v>
      </c>
      <c r="I3387" t="n">
        <v>0</v>
      </c>
      <c r="J3387" t="n">
        <v>0</v>
      </c>
      <c r="K3387" t="n">
        <v>0</v>
      </c>
      <c r="L3387" t="n">
        <v>999</v>
      </c>
      <c r="M3387" t="n">
        <v>4</v>
      </c>
      <c r="N3387" t="n">
        <v>0</v>
      </c>
      <c r="O3387" t="n">
        <v>1</v>
      </c>
      <c r="P3387" t="n">
        <v>0</v>
      </c>
      <c r="Q3387" t="n">
        <v>0</v>
      </c>
      <c r="R3387" t="inlineStr">
        <is>
          <t>Sin rotación</t>
        </is>
      </c>
    </row>
    <row r="3388">
      <c r="A3388" t="inlineStr">
        <is>
          <t>201STCA43T2XL</t>
        </is>
      </c>
      <c r="B3388" t="inlineStr">
        <is>
          <t>[201STCA43T2XL] RETRO VZLA CAB (Negro/2018, 2XL)</t>
        </is>
      </c>
      <c r="C3388" t="inlineStr">
        <is>
          <t>CAB / RETRO VZLA</t>
        </is>
      </c>
      <c r="D3388" t="n">
        <v>0</v>
      </c>
      <c r="E3388" t="n">
        <v>0</v>
      </c>
      <c r="F3388" t="n">
        <v>1.000010015470635</v>
      </c>
      <c r="G3388" t="inlineStr">
        <is>
          <t>C</t>
        </is>
      </c>
      <c r="H3388" t="n">
        <v>2</v>
      </c>
      <c r="I3388" t="n">
        <v>0</v>
      </c>
      <c r="J3388" t="n">
        <v>0</v>
      </c>
      <c r="K3388" t="n">
        <v>0</v>
      </c>
      <c r="L3388" t="n">
        <v>999</v>
      </c>
      <c r="M3388" t="n">
        <v>4</v>
      </c>
      <c r="N3388" t="n">
        <v>0</v>
      </c>
      <c r="O3388" t="n">
        <v>2</v>
      </c>
      <c r="P3388" t="n">
        <v>0</v>
      </c>
      <c r="Q3388" t="n">
        <v>0</v>
      </c>
      <c r="R3388" t="inlineStr">
        <is>
          <t>Sin rotación</t>
        </is>
      </c>
    </row>
    <row r="3389">
      <c r="A3389" t="inlineStr">
        <is>
          <t>ZOEMIDA13T2XL</t>
        </is>
      </c>
      <c r="B3389" t="inlineStr">
        <is>
          <t>[ZOEMIDA13T2XL] ZOE ORIGINAL DAMA (Azul Rey, 2XL)</t>
        </is>
      </c>
      <c r="C3389" t="inlineStr">
        <is>
          <t>DAMA / ZOE ORIGINAL</t>
        </is>
      </c>
      <c r="D3389" t="n">
        <v>0</v>
      </c>
      <c r="E3389" t="n">
        <v>0</v>
      </c>
      <c r="F3389" t="n">
        <v>1.000010015470635</v>
      </c>
      <c r="G3389" t="inlineStr">
        <is>
          <t>C</t>
        </is>
      </c>
      <c r="H3389" t="n">
        <v>1</v>
      </c>
      <c r="I3389" t="n">
        <v>0</v>
      </c>
      <c r="J3389" t="n">
        <v>0</v>
      </c>
      <c r="K3389" t="n">
        <v>0</v>
      </c>
      <c r="L3389" t="n">
        <v>999</v>
      </c>
      <c r="M3389" t="n">
        <v>4</v>
      </c>
      <c r="N3389" t="n">
        <v>0</v>
      </c>
      <c r="O3389" t="n">
        <v>1</v>
      </c>
      <c r="P3389" t="n">
        <v>0</v>
      </c>
      <c r="Q3389" t="n">
        <v>0</v>
      </c>
      <c r="R3389" t="inlineStr">
        <is>
          <t>Sin rotación</t>
        </is>
      </c>
    </row>
    <row r="3390">
      <c r="A3390" t="inlineStr">
        <is>
          <t>ZOEMIDA11TL</t>
        </is>
      </c>
      <c r="B3390" t="inlineStr">
        <is>
          <t>ZOE ORIGINAL DAMA</t>
        </is>
      </c>
      <c r="C3390" t="inlineStr">
        <is>
          <t>Manufactura / Dama / P. Superiores</t>
        </is>
      </c>
      <c r="D3390" t="n">
        <v>0</v>
      </c>
      <c r="E3390" t="n">
        <v>0</v>
      </c>
      <c r="F3390" t="n">
        <v>1.000010015470635</v>
      </c>
      <c r="G3390" t="inlineStr">
        <is>
          <t>C</t>
        </is>
      </c>
      <c r="H3390" t="n">
        <v>0</v>
      </c>
      <c r="I3390" t="n">
        <v>4.116585696</v>
      </c>
      <c r="J3390" t="n">
        <v>0</v>
      </c>
      <c r="K3390" t="n">
        <v>0.1</v>
      </c>
      <c r="L3390" t="n">
        <v>0</v>
      </c>
      <c r="M3390" t="n">
        <v>4</v>
      </c>
      <c r="N3390" t="n">
        <v>0.4</v>
      </c>
      <c r="O3390" t="n">
        <v>0</v>
      </c>
      <c r="P3390" t="n">
        <v>0</v>
      </c>
      <c r="Q3390" t="n">
        <v>0</v>
      </c>
      <c r="R3390" t="inlineStr">
        <is>
          <t>Riesgo bajo stock</t>
        </is>
      </c>
    </row>
    <row r="3391">
      <c r="A3391" t="inlineStr">
        <is>
          <t>MLCMJCA66TS</t>
        </is>
      </c>
      <c r="B3391" t="inlineStr">
        <is>
          <t>[MLCMJCA66TS] MOTION LOOP CLASICA CAB (Verde Militar, S)</t>
        </is>
      </c>
      <c r="C3391" t="inlineStr">
        <is>
          <t>CAB / MOTION LOOP CLASICA</t>
        </is>
      </c>
      <c r="D3391" t="n">
        <v>0</v>
      </c>
      <c r="E3391" t="n">
        <v>0</v>
      </c>
      <c r="F3391" t="n">
        <v>1.000010015470635</v>
      </c>
      <c r="G3391" t="inlineStr">
        <is>
          <t>C</t>
        </is>
      </c>
      <c r="H3391" t="n">
        <v>10</v>
      </c>
      <c r="I3391" t="n">
        <v>0</v>
      </c>
      <c r="J3391" t="n">
        <v>0</v>
      </c>
      <c r="K3391" t="n">
        <v>0</v>
      </c>
      <c r="L3391" t="n">
        <v>999</v>
      </c>
      <c r="M3391" t="n">
        <v>4</v>
      </c>
      <c r="N3391" t="n">
        <v>0</v>
      </c>
      <c r="O3391" t="n">
        <v>10</v>
      </c>
      <c r="P3391" t="n">
        <v>0</v>
      </c>
      <c r="Q3391" t="n">
        <v>0</v>
      </c>
      <c r="R3391" t="inlineStr">
        <is>
          <t>Sin rotación</t>
        </is>
      </c>
    </row>
    <row r="3392">
      <c r="A3392" t="inlineStr">
        <is>
          <t>SHR2VICA43TL</t>
        </is>
      </c>
      <c r="B3392" t="inlineStr">
        <is>
          <t>[SHR2VICA43TL] SHORT R2 CAB (Negro, L)</t>
        </is>
      </c>
      <c r="C3392" t="inlineStr">
        <is>
          <t>CAB / SHORT R2</t>
        </is>
      </c>
      <c r="D3392" t="n">
        <v>0</v>
      </c>
      <c r="E3392" t="n">
        <v>0</v>
      </c>
      <c r="F3392" t="n">
        <v>1.000010015470635</v>
      </c>
      <c r="G3392" t="inlineStr">
        <is>
          <t>C</t>
        </is>
      </c>
      <c r="H3392" t="n">
        <v>1</v>
      </c>
      <c r="I3392" t="n">
        <v>0</v>
      </c>
      <c r="J3392" t="n">
        <v>0</v>
      </c>
      <c r="K3392" t="n">
        <v>0</v>
      </c>
      <c r="L3392" t="n">
        <v>999</v>
      </c>
      <c r="M3392" t="n">
        <v>4</v>
      </c>
      <c r="N3392" t="n">
        <v>0</v>
      </c>
      <c r="O3392" t="n">
        <v>1</v>
      </c>
      <c r="P3392" t="n">
        <v>0</v>
      </c>
      <c r="Q3392" t="n">
        <v>0</v>
      </c>
      <c r="R3392" t="inlineStr">
        <is>
          <t>Sin rotación</t>
        </is>
      </c>
    </row>
    <row r="3393">
      <c r="A3393" t="inlineStr">
        <is>
          <t>PANNKI66T8</t>
        </is>
      </c>
      <c r="B3393" t="inlineStr">
        <is>
          <t>PANNKI66T8</t>
        </is>
      </c>
      <c r="C3393" t="inlineStr">
        <is>
          <t>KIDS / PANNKI</t>
        </is>
      </c>
      <c r="D3393" t="n">
        <v>0</v>
      </c>
      <c r="E3393" t="n">
        <v>0</v>
      </c>
      <c r="F3393" t="n">
        <v>1.000010015470635</v>
      </c>
      <c r="G3393" t="inlineStr">
        <is>
          <t>C</t>
        </is>
      </c>
      <c r="H3393" t="n">
        <v>2</v>
      </c>
      <c r="I3393" t="n">
        <v>0</v>
      </c>
      <c r="J3393" t="n">
        <v>0</v>
      </c>
      <c r="K3393" t="n">
        <v>0</v>
      </c>
      <c r="L3393" t="n">
        <v>999</v>
      </c>
      <c r="M3393" t="n">
        <v>4</v>
      </c>
      <c r="N3393" t="n">
        <v>0</v>
      </c>
      <c r="O3393" t="n">
        <v>2</v>
      </c>
      <c r="P3393" t="n">
        <v>0</v>
      </c>
      <c r="Q3393" t="n">
        <v>0</v>
      </c>
      <c r="R3393" t="inlineStr">
        <is>
          <t>Sin rotación</t>
        </is>
      </c>
    </row>
    <row r="3394">
      <c r="A3394" t="inlineStr">
        <is>
          <t>RUNTBMBFCA206TS</t>
        </is>
      </c>
      <c r="B3394" t="inlineStr">
        <is>
          <t>[RUNTBMBFCA206TS] RUNNING TANK BIOMOVE CAB (Azul Grisáceo, S)</t>
        </is>
      </c>
      <c r="C3394" t="inlineStr">
        <is>
          <t>CAB / RUNNING TANK BIOMOVE</t>
        </is>
      </c>
      <c r="D3394" t="n">
        <v>0</v>
      </c>
      <c r="E3394" t="n">
        <v>0</v>
      </c>
      <c r="F3394" t="n">
        <v>1.000010015470635</v>
      </c>
      <c r="G3394" t="inlineStr">
        <is>
          <t>C</t>
        </is>
      </c>
      <c r="H3394" t="n">
        <v>22</v>
      </c>
      <c r="I3394" t="n">
        <v>0</v>
      </c>
      <c r="J3394" t="n">
        <v>0</v>
      </c>
      <c r="K3394" t="n">
        <v>0</v>
      </c>
      <c r="L3394" t="n">
        <v>999</v>
      </c>
      <c r="M3394" t="n">
        <v>4</v>
      </c>
      <c r="N3394" t="n">
        <v>0</v>
      </c>
      <c r="O3394" t="n">
        <v>22</v>
      </c>
      <c r="P3394" t="n">
        <v>0</v>
      </c>
      <c r="Q3394" t="n">
        <v>0</v>
      </c>
      <c r="R3394" t="inlineStr">
        <is>
          <t>Sin rotación</t>
        </is>
      </c>
    </row>
    <row r="3395">
      <c r="A3395" t="inlineStr">
        <is>
          <t>RUNTBMBFCA206T2XL</t>
        </is>
      </c>
      <c r="B3395" t="inlineStr">
        <is>
          <t>[RUNTBMBFCA206T2XL] RUNNING TANK BIOMOVE CAB (Azul Grisáceo, 2XL)</t>
        </is>
      </c>
      <c r="C3395" t="inlineStr">
        <is>
          <t>CAB / RUNNING TANK BIOMOVE</t>
        </is>
      </c>
      <c r="D3395" t="n">
        <v>0</v>
      </c>
      <c r="E3395" t="n">
        <v>0</v>
      </c>
      <c r="F3395" t="n">
        <v>1.000010015470635</v>
      </c>
      <c r="G3395" t="inlineStr">
        <is>
          <t>C</t>
        </is>
      </c>
      <c r="H3395" t="n">
        <v>15</v>
      </c>
      <c r="I3395" t="n">
        <v>0</v>
      </c>
      <c r="J3395" t="n">
        <v>0</v>
      </c>
      <c r="K3395" t="n">
        <v>0</v>
      </c>
      <c r="L3395" t="n">
        <v>999</v>
      </c>
      <c r="M3395" t="n">
        <v>4</v>
      </c>
      <c r="N3395" t="n">
        <v>0</v>
      </c>
      <c r="O3395" t="n">
        <v>15</v>
      </c>
      <c r="P3395" t="n">
        <v>0</v>
      </c>
      <c r="Q3395" t="n">
        <v>0</v>
      </c>
      <c r="R3395" t="inlineStr">
        <is>
          <t>Sin rotación</t>
        </is>
      </c>
    </row>
    <row r="3396">
      <c r="A3396" t="inlineStr">
        <is>
          <t>MLCMJCA14TXL</t>
        </is>
      </c>
      <c r="B3396" t="inlineStr">
        <is>
          <t>[MLCMJCA14TXL] MOTION LOOP CLASICA CAB (Azul Turquesa, XL)</t>
        </is>
      </c>
      <c r="C3396" t="inlineStr">
        <is>
          <t>CAB / MOTION LOOP CLASICA</t>
        </is>
      </c>
      <c r="D3396" t="n">
        <v>0</v>
      </c>
      <c r="E3396" t="n">
        <v>0</v>
      </c>
      <c r="F3396" t="n">
        <v>1.000010015470635</v>
      </c>
      <c r="G3396" t="inlineStr">
        <is>
          <t>C</t>
        </is>
      </c>
      <c r="H3396" t="n">
        <v>6</v>
      </c>
      <c r="I3396" t="n">
        <v>0</v>
      </c>
      <c r="J3396" t="n">
        <v>0</v>
      </c>
      <c r="K3396" t="n">
        <v>0</v>
      </c>
      <c r="L3396" t="n">
        <v>999</v>
      </c>
      <c r="M3396" t="n">
        <v>4</v>
      </c>
      <c r="N3396" t="n">
        <v>0</v>
      </c>
      <c r="O3396" t="n">
        <v>6</v>
      </c>
      <c r="P3396" t="n">
        <v>0</v>
      </c>
      <c r="Q3396" t="n">
        <v>0</v>
      </c>
      <c r="R3396" t="inlineStr">
        <is>
          <t>Sin rotación</t>
        </is>
      </c>
    </row>
    <row r="3397">
      <c r="A3397" t="inlineStr">
        <is>
          <t>MLCMJCA14T2XL</t>
        </is>
      </c>
      <c r="B3397" t="inlineStr">
        <is>
          <t>[MLCMJCA14T2XL] MOTION LOOP CLASICA CAB (Azul Turquesa, 2XL)</t>
        </is>
      </c>
      <c r="C3397" t="inlineStr">
        <is>
          <t>CAB / MOTION LOOP CLASICA</t>
        </is>
      </c>
      <c r="D3397" t="n">
        <v>0</v>
      </c>
      <c r="E3397" t="n">
        <v>0</v>
      </c>
      <c r="F3397" t="n">
        <v>1.000010015470635</v>
      </c>
      <c r="G3397" t="inlineStr">
        <is>
          <t>C</t>
        </is>
      </c>
      <c r="H3397" t="n">
        <v>4</v>
      </c>
      <c r="I3397" t="n">
        <v>0</v>
      </c>
      <c r="J3397" t="n">
        <v>0</v>
      </c>
      <c r="K3397" t="n">
        <v>0</v>
      </c>
      <c r="L3397" t="n">
        <v>999</v>
      </c>
      <c r="M3397" t="n">
        <v>4</v>
      </c>
      <c r="N3397" t="n">
        <v>0</v>
      </c>
      <c r="O3397" t="n">
        <v>4</v>
      </c>
      <c r="P3397" t="n">
        <v>0</v>
      </c>
      <c r="Q3397" t="n">
        <v>0</v>
      </c>
      <c r="R3397" t="inlineStr">
        <is>
          <t>Sin rotación</t>
        </is>
      </c>
    </row>
    <row r="3398">
      <c r="A3398" t="inlineStr">
        <is>
          <t>MLCMJCA12TS</t>
        </is>
      </c>
      <c r="B3398" t="inlineStr">
        <is>
          <t>[MLCMJCA12TS] MOTION LOOP CLASICA CAB (Azul Marino, S)</t>
        </is>
      </c>
      <c r="C3398" t="inlineStr">
        <is>
          <t>CAB / MOTION LOOP CLASICA</t>
        </is>
      </c>
      <c r="D3398" t="n">
        <v>0</v>
      </c>
      <c r="E3398" t="n">
        <v>0</v>
      </c>
      <c r="F3398" t="n">
        <v>1.000010015470635</v>
      </c>
      <c r="G3398" t="inlineStr">
        <is>
          <t>C</t>
        </is>
      </c>
      <c r="H3398" t="n">
        <v>10</v>
      </c>
      <c r="I3398" t="n">
        <v>0</v>
      </c>
      <c r="J3398" t="n">
        <v>0</v>
      </c>
      <c r="K3398" t="n">
        <v>0</v>
      </c>
      <c r="L3398" t="n">
        <v>999</v>
      </c>
      <c r="M3398" t="n">
        <v>4</v>
      </c>
      <c r="N3398" t="n">
        <v>0</v>
      </c>
      <c r="O3398" t="n">
        <v>10</v>
      </c>
      <c r="P3398" t="n">
        <v>0</v>
      </c>
      <c r="Q3398" t="n">
        <v>0</v>
      </c>
      <c r="R3398" t="inlineStr">
        <is>
          <t>Sin rotación</t>
        </is>
      </c>
    </row>
    <row r="3399">
      <c r="A3399" t="inlineStr">
        <is>
          <t>PANNTCA66T2XL</t>
        </is>
      </c>
      <c r="B3399" t="inlineStr">
        <is>
          <t>[PANNTCA66T2XL] EXPLORE PANTS CAB (Verde Militar, 2XL)</t>
        </is>
      </c>
      <c r="C3399" t="inlineStr">
        <is>
          <t>CAB / EXPLORE PANTS</t>
        </is>
      </c>
      <c r="D3399" t="n">
        <v>0</v>
      </c>
      <c r="E3399" t="n">
        <v>0</v>
      </c>
      <c r="F3399" t="n">
        <v>1.000010015470635</v>
      </c>
      <c r="G3399" t="inlineStr">
        <is>
          <t>C</t>
        </is>
      </c>
      <c r="H3399" t="n">
        <v>14</v>
      </c>
      <c r="I3399" t="n">
        <v>0</v>
      </c>
      <c r="J3399" t="n">
        <v>0</v>
      </c>
      <c r="K3399" t="n">
        <v>0</v>
      </c>
      <c r="L3399" t="n">
        <v>999</v>
      </c>
      <c r="M3399" t="n">
        <v>4</v>
      </c>
      <c r="N3399" t="n">
        <v>0</v>
      </c>
      <c r="O3399" t="n">
        <v>14</v>
      </c>
      <c r="P3399" t="n">
        <v>0</v>
      </c>
      <c r="Q3399" t="n">
        <v>0</v>
      </c>
      <c r="R3399" t="inlineStr">
        <is>
          <t>Sin rotación</t>
        </is>
      </c>
    </row>
    <row r="3400">
      <c r="A3400" t="inlineStr">
        <is>
          <t>MANMIGE12TG</t>
        </is>
      </c>
      <c r="B3400" t="inlineStr">
        <is>
          <t>MANGAS GENERAL</t>
        </is>
      </c>
      <c r="C3400" t="inlineStr">
        <is>
          <t>Manufactura / General</t>
        </is>
      </c>
      <c r="D3400" t="n">
        <v>0</v>
      </c>
      <c r="E3400" t="n">
        <v>0</v>
      </c>
      <c r="F3400" t="n">
        <v>1.000010015470635</v>
      </c>
      <c r="G3400" t="inlineStr">
        <is>
          <t>C</t>
        </is>
      </c>
      <c r="H3400" t="n">
        <v>1</v>
      </c>
      <c r="I3400" t="n">
        <v>0.92</v>
      </c>
      <c r="J3400" t="n">
        <v>0.92</v>
      </c>
      <c r="K3400" t="n">
        <v>0.1</v>
      </c>
      <c r="L3400" t="n">
        <v>10</v>
      </c>
      <c r="M3400" t="n">
        <v>4</v>
      </c>
      <c r="N3400" t="n">
        <v>0.4</v>
      </c>
      <c r="O3400" t="n">
        <v>0.6</v>
      </c>
      <c r="P3400" t="n">
        <v>0.552</v>
      </c>
      <c r="Q3400" t="n">
        <v>0.6</v>
      </c>
      <c r="R3400" t="inlineStr">
        <is>
          <t>Sobrestock crítico</t>
        </is>
      </c>
    </row>
    <row r="3401">
      <c r="A3401" t="inlineStr">
        <is>
          <t>MANMIGE09TP</t>
        </is>
      </c>
      <c r="B3401" t="inlineStr">
        <is>
          <t>MANGAS GENERAL</t>
        </is>
      </c>
      <c r="C3401" t="inlineStr">
        <is>
          <t>Manufactura / General</t>
        </is>
      </c>
      <c r="D3401" t="n">
        <v>0</v>
      </c>
      <c r="E3401" t="n">
        <v>0</v>
      </c>
      <c r="F3401" t="n">
        <v>1.000010015470635</v>
      </c>
      <c r="G3401" t="inlineStr">
        <is>
          <t>C</t>
        </is>
      </c>
      <c r="H3401" t="n">
        <v>11</v>
      </c>
      <c r="I3401" t="n">
        <v>0.92</v>
      </c>
      <c r="J3401" t="n">
        <v>10.12</v>
      </c>
      <c r="K3401" t="n">
        <v>0.1</v>
      </c>
      <c r="L3401" t="n">
        <v>110</v>
      </c>
      <c r="M3401" t="n">
        <v>4</v>
      </c>
      <c r="N3401" t="n">
        <v>0.4</v>
      </c>
      <c r="O3401" t="n">
        <v>10.6</v>
      </c>
      <c r="P3401" t="n">
        <v>9.752000000000001</v>
      </c>
      <c r="Q3401" t="n">
        <v>0.9636363636363636</v>
      </c>
      <c r="R3401" t="inlineStr">
        <is>
          <t>Sin rotación</t>
        </is>
      </c>
    </row>
    <row r="3402">
      <c r="A3402" t="inlineStr">
        <is>
          <t>MANMEGE51TG</t>
        </is>
      </c>
      <c r="B3402" t="inlineStr">
        <is>
          <t>[MANMEGE51TG] MANGAS SPORT MESH (Rosa Palo, G)</t>
        </is>
      </c>
      <c r="C3402" t="inlineStr">
        <is>
          <t>MANGAS SPORT MESH</t>
        </is>
      </c>
      <c r="D3402" t="n">
        <v>0</v>
      </c>
      <c r="E3402" t="n">
        <v>0</v>
      </c>
      <c r="F3402" t="n">
        <v>1.000010015470635</v>
      </c>
      <c r="G3402" t="inlineStr">
        <is>
          <t>C</t>
        </is>
      </c>
      <c r="H3402" t="n">
        <v>1</v>
      </c>
      <c r="I3402" t="n">
        <v>0</v>
      </c>
      <c r="J3402" t="n">
        <v>0</v>
      </c>
      <c r="K3402" t="n">
        <v>0</v>
      </c>
      <c r="L3402" t="n">
        <v>999</v>
      </c>
      <c r="M3402" t="n">
        <v>4</v>
      </c>
      <c r="N3402" t="n">
        <v>0</v>
      </c>
      <c r="O3402" t="n">
        <v>1</v>
      </c>
      <c r="P3402" t="n">
        <v>0</v>
      </c>
      <c r="Q3402" t="n">
        <v>0</v>
      </c>
      <c r="R3402" t="inlineStr">
        <is>
          <t>Sin rotación</t>
        </is>
      </c>
    </row>
    <row r="3403">
      <c r="A3403" t="inlineStr">
        <is>
          <t>MANMEGE04TP</t>
        </is>
      </c>
      <c r="B3403" t="inlineStr">
        <is>
          <t>[MANMEGE04TP] MANGAS SPORT MESH (Amarillo Neón, P)</t>
        </is>
      </c>
      <c r="C3403" t="inlineStr">
        <is>
          <t>MANGAS SPORT MESH</t>
        </is>
      </c>
      <c r="D3403" t="n">
        <v>0</v>
      </c>
      <c r="E3403" t="n">
        <v>0</v>
      </c>
      <c r="F3403" t="n">
        <v>1.000010015470635</v>
      </c>
      <c r="G3403" t="inlineStr">
        <is>
          <t>C</t>
        </is>
      </c>
      <c r="H3403" t="n">
        <v>2</v>
      </c>
      <c r="I3403" t="n">
        <v>0</v>
      </c>
      <c r="J3403" t="n">
        <v>0</v>
      </c>
      <c r="K3403" t="n">
        <v>0</v>
      </c>
      <c r="L3403" t="n">
        <v>999</v>
      </c>
      <c r="M3403" t="n">
        <v>4</v>
      </c>
      <c r="N3403" t="n">
        <v>0</v>
      </c>
      <c r="O3403" t="n">
        <v>2</v>
      </c>
      <c r="P3403" t="n">
        <v>0</v>
      </c>
      <c r="Q3403" t="n">
        <v>0</v>
      </c>
      <c r="R3403" t="inlineStr">
        <is>
          <t>Sin rotación</t>
        </is>
      </c>
    </row>
    <row r="3404">
      <c r="A3404" t="inlineStr">
        <is>
          <t>MLMMJDA50TM</t>
        </is>
      </c>
      <c r="B3404" t="inlineStr">
        <is>
          <t>[MLMMJDA50TM] MOTION LOOP MAFE DAMA (Rojo, M)</t>
        </is>
      </c>
      <c r="C3404" t="inlineStr">
        <is>
          <t>DAMA / MOTION LOOP MAFE</t>
        </is>
      </c>
      <c r="D3404" t="n">
        <v>0</v>
      </c>
      <c r="E3404" t="n">
        <v>0</v>
      </c>
      <c r="F3404" t="n">
        <v>1.000010015470635</v>
      </c>
      <c r="G3404" t="inlineStr">
        <is>
          <t>C</t>
        </is>
      </c>
      <c r="H3404" t="n">
        <v>10</v>
      </c>
      <c r="I3404" t="n">
        <v>0</v>
      </c>
      <c r="J3404" t="n">
        <v>0</v>
      </c>
      <c r="K3404" t="n">
        <v>0</v>
      </c>
      <c r="L3404" t="n">
        <v>999</v>
      </c>
      <c r="M3404" t="n">
        <v>4</v>
      </c>
      <c r="N3404" t="n">
        <v>0</v>
      </c>
      <c r="O3404" t="n">
        <v>10</v>
      </c>
      <c r="P3404" t="n">
        <v>0</v>
      </c>
      <c r="Q3404" t="n">
        <v>0</v>
      </c>
      <c r="R3404" t="inlineStr">
        <is>
          <t>Sin rotación</t>
        </is>
      </c>
    </row>
    <row r="3405">
      <c r="A3405" t="inlineStr">
        <is>
          <t>MLMMJDA50TL</t>
        </is>
      </c>
      <c r="B3405" t="inlineStr">
        <is>
          <t>[MLMMJDA50TL] MOTION LOOP MAFE DAMA (Rojo, L)</t>
        </is>
      </c>
      <c r="C3405" t="inlineStr">
        <is>
          <t>DAMA / MOTION LOOP MAFE</t>
        </is>
      </c>
      <c r="D3405" t="n">
        <v>0</v>
      </c>
      <c r="E3405" t="n">
        <v>0</v>
      </c>
      <c r="F3405" t="n">
        <v>1.000010015470635</v>
      </c>
      <c r="G3405" t="inlineStr">
        <is>
          <t>C</t>
        </is>
      </c>
      <c r="H3405" t="n">
        <v>6</v>
      </c>
      <c r="I3405" t="n">
        <v>0</v>
      </c>
      <c r="J3405" t="n">
        <v>0</v>
      </c>
      <c r="K3405" t="n">
        <v>0</v>
      </c>
      <c r="L3405" t="n">
        <v>999</v>
      </c>
      <c r="M3405" t="n">
        <v>4</v>
      </c>
      <c r="N3405" t="n">
        <v>0</v>
      </c>
      <c r="O3405" t="n">
        <v>6</v>
      </c>
      <c r="P3405" t="n">
        <v>0</v>
      </c>
      <c r="Q3405" t="n">
        <v>0</v>
      </c>
      <c r="R3405" t="inlineStr">
        <is>
          <t>Sin rotación</t>
        </is>
      </c>
    </row>
    <row r="3406">
      <c r="A3406" t="inlineStr">
        <is>
          <t>PANNKI33T4</t>
        </is>
      </c>
      <c r="B3406" t="inlineStr">
        <is>
          <t>PANNKI33T4</t>
        </is>
      </c>
      <c r="C3406" t="inlineStr">
        <is>
          <t>KIDS / PANNKI</t>
        </is>
      </c>
      <c r="D3406" t="n">
        <v>0</v>
      </c>
      <c r="E3406" t="n">
        <v>0</v>
      </c>
      <c r="F3406" t="n">
        <v>1.000010015470635</v>
      </c>
      <c r="G3406" t="inlineStr">
        <is>
          <t>C</t>
        </is>
      </c>
      <c r="H3406" t="n">
        <v>2</v>
      </c>
      <c r="I3406" t="n">
        <v>0</v>
      </c>
      <c r="J3406" t="n">
        <v>0</v>
      </c>
      <c r="K3406" t="n">
        <v>0</v>
      </c>
      <c r="L3406" t="n">
        <v>999</v>
      </c>
      <c r="M3406" t="n">
        <v>4</v>
      </c>
      <c r="N3406" t="n">
        <v>0</v>
      </c>
      <c r="O3406" t="n">
        <v>2</v>
      </c>
      <c r="P3406" t="n">
        <v>0</v>
      </c>
      <c r="Q3406" t="n">
        <v>0</v>
      </c>
      <c r="R3406" t="inlineStr">
        <is>
          <t>Sin rotación</t>
        </is>
      </c>
    </row>
    <row r="3407">
      <c r="A3407" t="inlineStr">
        <is>
          <t>MARMICA04T3XL</t>
        </is>
      </c>
      <c r="B3407" t="inlineStr">
        <is>
          <t>MAR ORIGINAL CAB</t>
        </is>
      </c>
      <c r="C3407" t="inlineStr">
        <is>
          <t>Manufactura / Caballero / P. Superiores</t>
        </is>
      </c>
      <c r="D3407" t="n">
        <v>0</v>
      </c>
      <c r="E3407" t="n">
        <v>0</v>
      </c>
      <c r="F3407" t="n">
        <v>1.000010015470635</v>
      </c>
      <c r="G3407" t="inlineStr">
        <is>
          <t>C</t>
        </is>
      </c>
      <c r="H3407" t="n">
        <v>0</v>
      </c>
      <c r="I3407" t="n">
        <v>4.946357428</v>
      </c>
      <c r="J3407" t="n">
        <v>0</v>
      </c>
      <c r="K3407" t="n">
        <v>0.5</v>
      </c>
      <c r="L3407" t="n">
        <v>0</v>
      </c>
      <c r="M3407" t="n">
        <v>4</v>
      </c>
      <c r="N3407" t="n">
        <v>2</v>
      </c>
      <c r="O3407" t="n">
        <v>0</v>
      </c>
      <c r="P3407" t="n">
        <v>0</v>
      </c>
      <c r="Q3407" t="n">
        <v>0</v>
      </c>
      <c r="R3407" t="inlineStr">
        <is>
          <t>Riesgo bajo stock</t>
        </is>
      </c>
    </row>
    <row r="3408">
      <c r="A3408" t="inlineStr">
        <is>
          <t>MARMICA01T4XL</t>
        </is>
      </c>
      <c r="B3408" t="inlineStr">
        <is>
          <t>[MARMICA01T4XL] MAR ORIGINAL CAB (Aguamarina, 4XL)</t>
        </is>
      </c>
      <c r="C3408" t="inlineStr">
        <is>
          <t>CAB / MAR ORIGINAL</t>
        </is>
      </c>
      <c r="D3408" t="n">
        <v>0</v>
      </c>
      <c r="E3408" t="n">
        <v>0</v>
      </c>
      <c r="F3408" t="n">
        <v>1.000010015470635</v>
      </c>
      <c r="G3408" t="inlineStr">
        <is>
          <t>C</t>
        </is>
      </c>
      <c r="H3408" t="n">
        <v>1</v>
      </c>
      <c r="I3408" t="n">
        <v>0</v>
      </c>
      <c r="J3408" t="n">
        <v>0</v>
      </c>
      <c r="K3408" t="n">
        <v>0</v>
      </c>
      <c r="L3408" t="n">
        <v>999</v>
      </c>
      <c r="M3408" t="n">
        <v>4</v>
      </c>
      <c r="N3408" t="n">
        <v>0</v>
      </c>
      <c r="O3408" t="n">
        <v>1</v>
      </c>
      <c r="P3408" t="n">
        <v>0</v>
      </c>
      <c r="Q3408" t="n">
        <v>0</v>
      </c>
      <c r="R3408" t="inlineStr">
        <is>
          <t>Sin rotación</t>
        </is>
      </c>
    </row>
    <row r="3409">
      <c r="A3409" t="inlineStr">
        <is>
          <t>MANSPGE16TG</t>
        </is>
      </c>
      <c r="B3409" t="inlineStr">
        <is>
          <t>MANGAS SPORT</t>
        </is>
      </c>
      <c r="C3409" t="inlineStr">
        <is>
          <t>Manufactura / General</t>
        </is>
      </c>
      <c r="D3409" t="n">
        <v>0</v>
      </c>
      <c r="E3409" t="n">
        <v>0</v>
      </c>
      <c r="F3409" t="n">
        <v>1.000010015470635</v>
      </c>
      <c r="G3409" t="inlineStr">
        <is>
          <t>C</t>
        </is>
      </c>
      <c r="H3409" t="n">
        <v>0</v>
      </c>
      <c r="I3409" t="n">
        <v>1</v>
      </c>
      <c r="J3409" t="n">
        <v>0</v>
      </c>
      <c r="K3409" t="n">
        <v>0.1</v>
      </c>
      <c r="L3409" t="n">
        <v>0</v>
      </c>
      <c r="M3409" t="n">
        <v>4</v>
      </c>
      <c r="N3409" t="n">
        <v>0.4</v>
      </c>
      <c r="O3409" t="n">
        <v>0</v>
      </c>
      <c r="P3409" t="n">
        <v>0</v>
      </c>
      <c r="Q3409" t="n">
        <v>0</v>
      </c>
      <c r="R3409" t="inlineStr">
        <is>
          <t>Riesgo bajo stock</t>
        </is>
      </c>
    </row>
    <row r="3410">
      <c r="A3410" t="inlineStr">
        <is>
          <t>MANMIGE53TG</t>
        </is>
      </c>
      <c r="B3410" t="inlineStr">
        <is>
          <t>[MANMIGE53TG] MANGAS GENERAL (Rosado Pastel, G)</t>
        </is>
      </c>
      <c r="C3410" t="inlineStr">
        <is>
          <t>MANGAS GENERAL</t>
        </is>
      </c>
      <c r="D3410" t="n">
        <v>0</v>
      </c>
      <c r="E3410" t="n">
        <v>0</v>
      </c>
      <c r="F3410" t="n">
        <v>1.000010015470635</v>
      </c>
      <c r="G3410" t="inlineStr">
        <is>
          <t>C</t>
        </is>
      </c>
      <c r="H3410" t="n">
        <v>1</v>
      </c>
      <c r="I3410" t="n">
        <v>0</v>
      </c>
      <c r="J3410" t="n">
        <v>0</v>
      </c>
      <c r="K3410" t="n">
        <v>0</v>
      </c>
      <c r="L3410" t="n">
        <v>999</v>
      </c>
      <c r="M3410" t="n">
        <v>4</v>
      </c>
      <c r="N3410" t="n">
        <v>0</v>
      </c>
      <c r="O3410" t="n">
        <v>1</v>
      </c>
      <c r="P3410" t="n">
        <v>0</v>
      </c>
      <c r="Q3410" t="n">
        <v>0</v>
      </c>
      <c r="R3410" t="inlineStr">
        <is>
          <t>Sin rotación</t>
        </is>
      </c>
    </row>
    <row r="3411">
      <c r="A3411" t="inlineStr">
        <is>
          <t>MARMICA34TS</t>
        </is>
      </c>
      <c r="B3411" t="inlineStr">
        <is>
          <t>[MARMICA34TS] MAR ORIGINAL CAB (Lila, S)</t>
        </is>
      </c>
      <c r="C3411" t="inlineStr">
        <is>
          <t>CAB / MAR ORIGINAL</t>
        </is>
      </c>
      <c r="D3411" t="n">
        <v>0</v>
      </c>
      <c r="E3411" t="n">
        <v>0</v>
      </c>
      <c r="F3411" t="n">
        <v>1.000010015470635</v>
      </c>
      <c r="G3411" t="inlineStr">
        <is>
          <t>C</t>
        </is>
      </c>
      <c r="H3411" t="n">
        <v>2</v>
      </c>
      <c r="I3411" t="n">
        <v>0</v>
      </c>
      <c r="J3411" t="n">
        <v>0</v>
      </c>
      <c r="K3411" t="n">
        <v>0</v>
      </c>
      <c r="L3411" t="n">
        <v>999</v>
      </c>
      <c r="M3411" t="n">
        <v>4</v>
      </c>
      <c r="N3411" t="n">
        <v>0</v>
      </c>
      <c r="O3411" t="n">
        <v>2</v>
      </c>
      <c r="P3411" t="n">
        <v>0</v>
      </c>
      <c r="Q3411" t="n">
        <v>0</v>
      </c>
      <c r="R3411" t="inlineStr">
        <is>
          <t>Sin rotación</t>
        </is>
      </c>
    </row>
    <row r="3412">
      <c r="A3412" t="inlineStr">
        <is>
          <t>PANNTKI31T10</t>
        </is>
      </c>
      <c r="B3412" t="inlineStr">
        <is>
          <t>EXPLORE PANTS KIDS</t>
        </is>
      </c>
      <c r="C3412" t="inlineStr">
        <is>
          <t>Manufactura / Kids / P. Inferiores</t>
        </is>
      </c>
      <c r="D3412" t="n">
        <v>0</v>
      </c>
      <c r="E3412" t="n">
        <v>0</v>
      </c>
      <c r="F3412" t="n">
        <v>1.000010015470635</v>
      </c>
      <c r="G3412" t="inlineStr">
        <is>
          <t>C</t>
        </is>
      </c>
      <c r="H3412" t="n">
        <v>1</v>
      </c>
      <c r="I3412" t="n">
        <v>13.98</v>
      </c>
      <c r="J3412" t="n">
        <v>13.98</v>
      </c>
      <c r="K3412" t="n">
        <v>0.1</v>
      </c>
      <c r="L3412" t="n">
        <v>10</v>
      </c>
      <c r="M3412" t="n">
        <v>4</v>
      </c>
      <c r="N3412" t="n">
        <v>0.4</v>
      </c>
      <c r="O3412" t="n">
        <v>0.6</v>
      </c>
      <c r="P3412" t="n">
        <v>8.387999999999998</v>
      </c>
      <c r="Q3412" t="n">
        <v>0.6</v>
      </c>
      <c r="R3412" t="inlineStr">
        <is>
          <t>Sobrestock crítico</t>
        </is>
      </c>
    </row>
    <row r="3413">
      <c r="A3413" t="inlineStr">
        <is>
          <t>MLCMJCA12TM</t>
        </is>
      </c>
      <c r="B3413" t="inlineStr">
        <is>
          <t>[MLCMJCA12TM] MOTION LOOP CLASICA CAB (Azul Marino, M)</t>
        </is>
      </c>
      <c r="C3413" t="inlineStr">
        <is>
          <t>CAB / MOTION LOOP CLASICA</t>
        </is>
      </c>
      <c r="D3413" t="n">
        <v>0</v>
      </c>
      <c r="E3413" t="n">
        <v>0</v>
      </c>
      <c r="F3413" t="n">
        <v>1.000010015470635</v>
      </c>
      <c r="G3413" t="inlineStr">
        <is>
          <t>C</t>
        </is>
      </c>
      <c r="H3413" t="n">
        <v>10</v>
      </c>
      <c r="I3413" t="n">
        <v>0</v>
      </c>
      <c r="J3413" t="n">
        <v>0</v>
      </c>
      <c r="K3413" t="n">
        <v>0</v>
      </c>
      <c r="L3413" t="n">
        <v>999</v>
      </c>
      <c r="M3413" t="n">
        <v>4</v>
      </c>
      <c r="N3413" t="n">
        <v>0</v>
      </c>
      <c r="O3413" t="n">
        <v>10</v>
      </c>
      <c r="P3413" t="n">
        <v>0</v>
      </c>
      <c r="Q3413" t="n">
        <v>0</v>
      </c>
      <c r="R3413" t="inlineStr">
        <is>
          <t>Sin rotación</t>
        </is>
      </c>
    </row>
    <row r="3414">
      <c r="A3414" t="inlineStr">
        <is>
          <t>MLCMJCA12T2XL</t>
        </is>
      </c>
      <c r="B3414" t="inlineStr">
        <is>
          <t>[MLCMJCA12T2XL] MOTION LOOP CLASICA CAB (Azul Marino, 2XL)</t>
        </is>
      </c>
      <c r="C3414" t="inlineStr">
        <is>
          <t>CAB / MOTION LOOP CLASICA</t>
        </is>
      </c>
      <c r="D3414" t="n">
        <v>0</v>
      </c>
      <c r="E3414" t="n">
        <v>0</v>
      </c>
      <c r="F3414" t="n">
        <v>1.000010015470635</v>
      </c>
      <c r="G3414" t="inlineStr">
        <is>
          <t>C</t>
        </is>
      </c>
      <c r="H3414" t="n">
        <v>3</v>
      </c>
      <c r="I3414" t="n">
        <v>0</v>
      </c>
      <c r="J3414" t="n">
        <v>0</v>
      </c>
      <c r="K3414" t="n">
        <v>0</v>
      </c>
      <c r="L3414" t="n">
        <v>999</v>
      </c>
      <c r="M3414" t="n">
        <v>4</v>
      </c>
      <c r="N3414" t="n">
        <v>0</v>
      </c>
      <c r="O3414" t="n">
        <v>3</v>
      </c>
      <c r="P3414" t="n">
        <v>0</v>
      </c>
      <c r="Q3414" t="n">
        <v>0</v>
      </c>
      <c r="R3414" t="inlineStr">
        <is>
          <t>Sin rotación</t>
        </is>
      </c>
    </row>
    <row r="3415">
      <c r="A3415" t="inlineStr">
        <is>
          <t>MLMMJDA50TXS</t>
        </is>
      </c>
      <c r="B3415" t="inlineStr">
        <is>
          <t>[MLMMJDA50TXS] MOTION LOOP MAFE DAMA (Rojo, XS)</t>
        </is>
      </c>
      <c r="C3415" t="inlineStr">
        <is>
          <t>DAMA / MOTION LOOP MAFE</t>
        </is>
      </c>
      <c r="D3415" t="n">
        <v>0</v>
      </c>
      <c r="E3415" t="n">
        <v>0</v>
      </c>
      <c r="F3415" t="n">
        <v>1.000010015470635</v>
      </c>
      <c r="G3415" t="inlineStr">
        <is>
          <t>C</t>
        </is>
      </c>
      <c r="H3415" t="n">
        <v>5</v>
      </c>
      <c r="I3415" t="n">
        <v>0</v>
      </c>
      <c r="J3415" t="n">
        <v>0</v>
      </c>
      <c r="K3415" t="n">
        <v>0</v>
      </c>
      <c r="L3415" t="n">
        <v>999</v>
      </c>
      <c r="M3415" t="n">
        <v>4</v>
      </c>
      <c r="N3415" t="n">
        <v>0</v>
      </c>
      <c r="O3415" t="n">
        <v>5</v>
      </c>
      <c r="P3415" t="n">
        <v>0</v>
      </c>
      <c r="Q3415" t="n">
        <v>0</v>
      </c>
      <c r="R3415" t="inlineStr">
        <is>
          <t>Sin rotación</t>
        </is>
      </c>
    </row>
    <row r="3416">
      <c r="A3416" t="inlineStr">
        <is>
          <t>MLMMJDA50TXL</t>
        </is>
      </c>
      <c r="B3416" t="inlineStr">
        <is>
          <t>[MLMMJDA50TXL] MOTION LOOP MAFE DAMA (Rojo, XL)</t>
        </is>
      </c>
      <c r="C3416" t="inlineStr">
        <is>
          <t>DAMA / MOTION LOOP MAFE</t>
        </is>
      </c>
      <c r="D3416" t="n">
        <v>0</v>
      </c>
      <c r="E3416" t="n">
        <v>0</v>
      </c>
      <c r="F3416" t="n">
        <v>1.000010015470635</v>
      </c>
      <c r="G3416" t="inlineStr">
        <is>
          <t>C</t>
        </is>
      </c>
      <c r="H3416" t="n">
        <v>4</v>
      </c>
      <c r="I3416" t="n">
        <v>0</v>
      </c>
      <c r="J3416" t="n">
        <v>0</v>
      </c>
      <c r="K3416" t="n">
        <v>0</v>
      </c>
      <c r="L3416" t="n">
        <v>999</v>
      </c>
      <c r="M3416" t="n">
        <v>4</v>
      </c>
      <c r="N3416" t="n">
        <v>0</v>
      </c>
      <c r="O3416" t="n">
        <v>4</v>
      </c>
      <c r="P3416" t="n">
        <v>0</v>
      </c>
      <c r="Q3416" t="n">
        <v>0</v>
      </c>
      <c r="R3416" t="inlineStr">
        <is>
          <t>Sin rotación</t>
        </is>
      </c>
    </row>
    <row r="3417">
      <c r="A3417" t="inlineStr">
        <is>
          <t>MLMMJDA50TS</t>
        </is>
      </c>
      <c r="B3417" t="inlineStr">
        <is>
          <t>[MLMMJDA50TS] MOTION LOOP MAFE DAMA (Rojo, S)</t>
        </is>
      </c>
      <c r="C3417" t="inlineStr">
        <is>
          <t>DAMA / MOTION LOOP MAFE</t>
        </is>
      </c>
      <c r="D3417" t="n">
        <v>0</v>
      </c>
      <c r="E3417" t="n">
        <v>0</v>
      </c>
      <c r="F3417" t="n">
        <v>1.000010015470635</v>
      </c>
      <c r="G3417" t="inlineStr">
        <is>
          <t>C</t>
        </is>
      </c>
      <c r="H3417" t="n">
        <v>10</v>
      </c>
      <c r="I3417" t="n">
        <v>0</v>
      </c>
      <c r="J3417" t="n">
        <v>0</v>
      </c>
      <c r="K3417" t="n">
        <v>0</v>
      </c>
      <c r="L3417" t="n">
        <v>999</v>
      </c>
      <c r="M3417" t="n">
        <v>4</v>
      </c>
      <c r="N3417" t="n">
        <v>0</v>
      </c>
      <c r="O3417" t="n">
        <v>10</v>
      </c>
      <c r="P3417" t="n">
        <v>0</v>
      </c>
      <c r="Q3417" t="n">
        <v>0</v>
      </c>
      <c r="R3417" t="inlineStr">
        <is>
          <t>Sin rotación</t>
        </is>
      </c>
    </row>
    <row r="3418">
      <c r="A3418" t="inlineStr">
        <is>
          <t>UNIMJCA70TS</t>
        </is>
      </c>
      <c r="B3418" t="inlineStr">
        <is>
          <t xml:space="preserve">UNIFORME CAB </t>
        </is>
      </c>
      <c r="C3418" t="inlineStr">
        <is>
          <t>Manufactura / Caballero / P. Superiores</t>
        </is>
      </c>
      <c r="D3418" t="n">
        <v>0</v>
      </c>
      <c r="E3418" t="n">
        <v>0</v>
      </c>
      <c r="F3418" t="n">
        <v>1.000010015470635</v>
      </c>
      <c r="G3418" t="inlineStr">
        <is>
          <t>C</t>
        </is>
      </c>
      <c r="H3418" t="n">
        <v>0</v>
      </c>
      <c r="I3418" t="n">
        <v>0</v>
      </c>
      <c r="J3418" t="n">
        <v>0</v>
      </c>
      <c r="K3418" t="n">
        <v>0.1</v>
      </c>
      <c r="L3418" t="n">
        <v>0</v>
      </c>
      <c r="M3418" t="n">
        <v>4</v>
      </c>
      <c r="N3418" t="n">
        <v>0.4</v>
      </c>
      <c r="O3418" t="n">
        <v>0</v>
      </c>
      <c r="P3418" t="n">
        <v>0</v>
      </c>
      <c r="Q3418" t="n">
        <v>0</v>
      </c>
      <c r="R3418" t="inlineStr">
        <is>
          <t>Riesgo bajo stock</t>
        </is>
      </c>
    </row>
    <row r="3419">
      <c r="A3419" t="inlineStr">
        <is>
          <t>RIOMIDA16T2XL</t>
        </is>
      </c>
      <c r="B3419" t="inlineStr">
        <is>
          <t>RIO ORIGINAL DAMA</t>
        </is>
      </c>
      <c r="C3419" t="inlineStr">
        <is>
          <t>Manufactura / Dama / P. Superiores</t>
        </is>
      </c>
      <c r="D3419" t="n">
        <v>0</v>
      </c>
      <c r="E3419" t="n">
        <v>0</v>
      </c>
      <c r="F3419" t="n">
        <v>1.000010015470635</v>
      </c>
      <c r="G3419" t="inlineStr">
        <is>
          <t>C</t>
        </is>
      </c>
      <c r="H3419" t="n">
        <v>0</v>
      </c>
      <c r="I3419" t="n">
        <v>5.538832275</v>
      </c>
      <c r="J3419" t="n">
        <v>0</v>
      </c>
      <c r="K3419" t="n">
        <v>0</v>
      </c>
      <c r="L3419" t="n">
        <v>0</v>
      </c>
      <c r="M3419" t="n">
        <v>4</v>
      </c>
      <c r="N3419" t="n">
        <v>0</v>
      </c>
      <c r="O3419" t="n">
        <v>0</v>
      </c>
      <c r="P3419" t="n">
        <v>0</v>
      </c>
      <c r="Q3419" t="n">
        <v>0</v>
      </c>
      <c r="R3419" t="inlineStr">
        <is>
          <t>Sin rotación</t>
        </is>
      </c>
    </row>
    <row r="3420">
      <c r="A3420" t="inlineStr">
        <is>
          <t>PANNKI33T2</t>
        </is>
      </c>
      <c r="B3420" t="inlineStr">
        <is>
          <t>PANNKI33T2</t>
        </is>
      </c>
      <c r="C3420" t="inlineStr">
        <is>
          <t>KIDS / PANNKI</t>
        </is>
      </c>
      <c r="D3420" t="n">
        <v>0</v>
      </c>
      <c r="E3420" t="n">
        <v>0</v>
      </c>
      <c r="F3420" t="n">
        <v>1.000010015470635</v>
      </c>
      <c r="G3420" t="inlineStr">
        <is>
          <t>C</t>
        </is>
      </c>
      <c r="H3420" t="n">
        <v>2</v>
      </c>
      <c r="I3420" t="n">
        <v>0</v>
      </c>
      <c r="J3420" t="n">
        <v>0</v>
      </c>
      <c r="K3420" t="n">
        <v>0</v>
      </c>
      <c r="L3420" t="n">
        <v>999</v>
      </c>
      <c r="M3420" t="n">
        <v>4</v>
      </c>
      <c r="N3420" t="n">
        <v>0</v>
      </c>
      <c r="O3420" t="n">
        <v>2</v>
      </c>
      <c r="P3420" t="n">
        <v>0</v>
      </c>
      <c r="Q3420" t="n">
        <v>0</v>
      </c>
      <c r="R3420" t="inlineStr">
        <is>
          <t>Sin rotación</t>
        </is>
      </c>
    </row>
    <row r="3421">
      <c r="A3421" t="inlineStr">
        <is>
          <t>PANNKI33T12</t>
        </is>
      </c>
      <c r="B3421" t="inlineStr">
        <is>
          <t>PANNKI33T12</t>
        </is>
      </c>
      <c r="C3421" t="inlineStr">
        <is>
          <t>KIDS / PANNKI</t>
        </is>
      </c>
      <c r="D3421" t="n">
        <v>0</v>
      </c>
      <c r="E3421" t="n">
        <v>0</v>
      </c>
      <c r="F3421" t="n">
        <v>1.000010015470635</v>
      </c>
      <c r="G3421" t="inlineStr">
        <is>
          <t>C</t>
        </is>
      </c>
      <c r="H3421" t="n">
        <v>2</v>
      </c>
      <c r="I3421" t="n">
        <v>0</v>
      </c>
      <c r="J3421" t="n">
        <v>0</v>
      </c>
      <c r="K3421" t="n">
        <v>0</v>
      </c>
      <c r="L3421" t="n">
        <v>999</v>
      </c>
      <c r="M3421" t="n">
        <v>4</v>
      </c>
      <c r="N3421" t="n">
        <v>0</v>
      </c>
      <c r="O3421" t="n">
        <v>2</v>
      </c>
      <c r="P3421" t="n">
        <v>0</v>
      </c>
      <c r="Q3421" t="n">
        <v>0</v>
      </c>
      <c r="R3421" t="inlineStr">
        <is>
          <t>Sin rotación</t>
        </is>
      </c>
    </row>
    <row r="3422">
      <c r="A3422" t="inlineStr">
        <is>
          <t>MAFMIDA13TXL</t>
        </is>
      </c>
      <c r="B3422" t="inlineStr">
        <is>
          <t>[MAFMIDA13TXL] MAFE ORIGINAL DAMA (Azul Rey, XL)</t>
        </is>
      </c>
      <c r="C3422" t="inlineStr">
        <is>
          <t>DAMA / MAFE ORIGINAL</t>
        </is>
      </c>
      <c r="D3422" t="n">
        <v>0</v>
      </c>
      <c r="E3422" t="n">
        <v>0</v>
      </c>
      <c r="F3422" t="n">
        <v>1.000010015470635</v>
      </c>
      <c r="G3422" t="inlineStr">
        <is>
          <t>C</t>
        </is>
      </c>
      <c r="H3422" t="n">
        <v>2</v>
      </c>
      <c r="I3422" t="n">
        <v>0</v>
      </c>
      <c r="J3422" t="n">
        <v>0</v>
      </c>
      <c r="K3422" t="n">
        <v>0</v>
      </c>
      <c r="L3422" t="n">
        <v>999</v>
      </c>
      <c r="M3422" t="n">
        <v>4</v>
      </c>
      <c r="N3422" t="n">
        <v>0</v>
      </c>
      <c r="O3422" t="n">
        <v>2</v>
      </c>
      <c r="P3422" t="n">
        <v>0</v>
      </c>
      <c r="Q3422" t="n">
        <v>0</v>
      </c>
      <c r="R3422" t="inlineStr">
        <is>
          <t>Sin rotación</t>
        </is>
      </c>
    </row>
    <row r="3423">
      <c r="A3423" t="inlineStr">
        <is>
          <t>ACCMICA121TS</t>
        </is>
      </c>
      <c r="B3423" t="inlineStr">
        <is>
          <t>CLASICA ACTIVE CAB</t>
        </is>
      </c>
      <c r="C3423" t="inlineStr">
        <is>
          <t>Manufactura / Caballero / P. Superiores</t>
        </is>
      </c>
      <c r="D3423" t="n">
        <v>0</v>
      </c>
      <c r="E3423" t="n">
        <v>0</v>
      </c>
      <c r="F3423" t="n">
        <v>1.000010015470635</v>
      </c>
      <c r="G3423" t="inlineStr">
        <is>
          <t>C</t>
        </is>
      </c>
      <c r="H3423" t="n">
        <v>2</v>
      </c>
      <c r="I3423" t="n">
        <v>12.74</v>
      </c>
      <c r="J3423" t="n">
        <v>25.48</v>
      </c>
      <c r="K3423" t="n">
        <v>0.1</v>
      </c>
      <c r="L3423" t="n">
        <v>20</v>
      </c>
      <c r="M3423" t="n">
        <v>4</v>
      </c>
      <c r="N3423" t="n">
        <v>0.4</v>
      </c>
      <c r="O3423" t="n">
        <v>1.6</v>
      </c>
      <c r="P3423" t="n">
        <v>20.384</v>
      </c>
      <c r="Q3423" t="n">
        <v>0.8</v>
      </c>
      <c r="R3423" t="inlineStr">
        <is>
          <t>Sin rotación</t>
        </is>
      </c>
    </row>
    <row r="3424">
      <c r="A3424" t="inlineStr">
        <is>
          <t>PANNKI66T4</t>
        </is>
      </c>
      <c r="B3424" t="inlineStr">
        <is>
          <t>PANNKI66T4</t>
        </is>
      </c>
      <c r="C3424" t="inlineStr">
        <is>
          <t>KIDS / PANNKI</t>
        </is>
      </c>
      <c r="D3424" t="n">
        <v>0</v>
      </c>
      <c r="E3424" t="n">
        <v>0</v>
      </c>
      <c r="F3424" t="n">
        <v>1.000010015470635</v>
      </c>
      <c r="G3424" t="inlineStr">
        <is>
          <t>C</t>
        </is>
      </c>
      <c r="H3424" t="n">
        <v>2</v>
      </c>
      <c r="I3424" t="n">
        <v>0</v>
      </c>
      <c r="J3424" t="n">
        <v>0</v>
      </c>
      <c r="K3424" t="n">
        <v>0</v>
      </c>
      <c r="L3424" t="n">
        <v>999</v>
      </c>
      <c r="M3424" t="n">
        <v>4</v>
      </c>
      <c r="N3424" t="n">
        <v>0</v>
      </c>
      <c r="O3424" t="n">
        <v>2</v>
      </c>
      <c r="P3424" t="n">
        <v>0</v>
      </c>
      <c r="Q3424" t="n">
        <v>0</v>
      </c>
      <c r="R3424" t="inlineStr">
        <is>
          <t>Sin rotación</t>
        </is>
      </c>
    </row>
    <row r="3425">
      <c r="A3425" t="inlineStr">
        <is>
          <t>PANNKI66T2</t>
        </is>
      </c>
      <c r="B3425" t="inlineStr">
        <is>
          <t>PANNKI66T2</t>
        </is>
      </c>
      <c r="C3425" t="inlineStr">
        <is>
          <t>KIDS / PANNKI</t>
        </is>
      </c>
      <c r="D3425" t="n">
        <v>0</v>
      </c>
      <c r="E3425" t="n">
        <v>0</v>
      </c>
      <c r="F3425" t="n">
        <v>1.000010015470635</v>
      </c>
      <c r="G3425" t="inlineStr">
        <is>
          <t>C</t>
        </is>
      </c>
      <c r="H3425" t="n">
        <v>2</v>
      </c>
      <c r="I3425" t="n">
        <v>0</v>
      </c>
      <c r="J3425" t="n">
        <v>0</v>
      </c>
      <c r="K3425" t="n">
        <v>0</v>
      </c>
      <c r="L3425" t="n">
        <v>999</v>
      </c>
      <c r="M3425" t="n">
        <v>4</v>
      </c>
      <c r="N3425" t="n">
        <v>0</v>
      </c>
      <c r="O3425" t="n">
        <v>2</v>
      </c>
      <c r="P3425" t="n">
        <v>0</v>
      </c>
      <c r="Q3425" t="n">
        <v>0</v>
      </c>
      <c r="R3425" t="inlineStr">
        <is>
          <t>Sin rotación</t>
        </is>
      </c>
    </row>
    <row r="3426">
      <c r="A3426" t="inlineStr">
        <is>
          <t>PANNKI66T12</t>
        </is>
      </c>
      <c r="B3426" t="inlineStr">
        <is>
          <t>PANNKI66T12</t>
        </is>
      </c>
      <c r="C3426" t="inlineStr">
        <is>
          <t>KIDS / PANNKI</t>
        </is>
      </c>
      <c r="D3426" t="n">
        <v>0</v>
      </c>
      <c r="E3426" t="n">
        <v>0</v>
      </c>
      <c r="F3426" t="n">
        <v>1.000010015470635</v>
      </c>
      <c r="G3426" t="inlineStr">
        <is>
          <t>C</t>
        </is>
      </c>
      <c r="H3426" t="n">
        <v>2</v>
      </c>
      <c r="I3426" t="n">
        <v>0</v>
      </c>
      <c r="J3426" t="n">
        <v>0</v>
      </c>
      <c r="K3426" t="n">
        <v>0</v>
      </c>
      <c r="L3426" t="n">
        <v>999</v>
      </c>
      <c r="M3426" t="n">
        <v>4</v>
      </c>
      <c r="N3426" t="n">
        <v>0</v>
      </c>
      <c r="O3426" t="n">
        <v>2</v>
      </c>
      <c r="P3426" t="n">
        <v>0</v>
      </c>
      <c r="Q3426" t="n">
        <v>0</v>
      </c>
      <c r="R3426" t="inlineStr">
        <is>
          <t>Sin rotación</t>
        </is>
      </c>
    </row>
    <row r="3427">
      <c r="A3427" t="inlineStr">
        <is>
          <t>PANNKI66T10</t>
        </is>
      </c>
      <c r="B3427" t="inlineStr">
        <is>
          <t>PANNKI66T10</t>
        </is>
      </c>
      <c r="C3427" t="inlineStr">
        <is>
          <t>KIDS / PANNKI</t>
        </is>
      </c>
      <c r="D3427" t="n">
        <v>0</v>
      </c>
      <c r="E3427" t="n">
        <v>0</v>
      </c>
      <c r="F3427" t="n">
        <v>1.000010015470635</v>
      </c>
      <c r="G3427" t="inlineStr">
        <is>
          <t>C</t>
        </is>
      </c>
      <c r="H3427" t="n">
        <v>3</v>
      </c>
      <c r="I3427" t="n">
        <v>0</v>
      </c>
      <c r="J3427" t="n">
        <v>0</v>
      </c>
      <c r="K3427" t="n">
        <v>0</v>
      </c>
      <c r="L3427" t="n">
        <v>999</v>
      </c>
      <c r="M3427" t="n">
        <v>4</v>
      </c>
      <c r="N3427" t="n">
        <v>0</v>
      </c>
      <c r="O3427" t="n">
        <v>3</v>
      </c>
      <c r="P3427" t="n">
        <v>0</v>
      </c>
      <c r="Q3427" t="n">
        <v>0</v>
      </c>
      <c r="R3427" t="inlineStr">
        <is>
          <t>Sin rotación</t>
        </is>
      </c>
    </row>
    <row r="3428">
      <c r="A3428" t="inlineStr">
        <is>
          <t>PANNKI43T8</t>
        </is>
      </c>
      <c r="B3428" t="inlineStr">
        <is>
          <t>PANNKI43T8</t>
        </is>
      </c>
      <c r="C3428" t="inlineStr">
        <is>
          <t>KIDS / PANNKI</t>
        </is>
      </c>
      <c r="D3428" t="n">
        <v>0</v>
      </c>
      <c r="E3428" t="n">
        <v>0</v>
      </c>
      <c r="F3428" t="n">
        <v>1.000010015470635</v>
      </c>
      <c r="G3428" t="inlineStr">
        <is>
          <t>C</t>
        </is>
      </c>
      <c r="H3428" t="n">
        <v>2</v>
      </c>
      <c r="I3428" t="n">
        <v>0</v>
      </c>
      <c r="J3428" t="n">
        <v>0</v>
      </c>
      <c r="K3428" t="n">
        <v>0</v>
      </c>
      <c r="L3428" t="n">
        <v>999</v>
      </c>
      <c r="M3428" t="n">
        <v>4</v>
      </c>
      <c r="N3428" t="n">
        <v>0</v>
      </c>
      <c r="O3428" t="n">
        <v>2</v>
      </c>
      <c r="P3428" t="n">
        <v>0</v>
      </c>
      <c r="Q3428" t="n">
        <v>0</v>
      </c>
      <c r="R3428" t="inlineStr">
        <is>
          <t>Sin rotación</t>
        </is>
      </c>
    </row>
    <row r="3429">
      <c r="A3429" t="inlineStr">
        <is>
          <t>PANNKI43T6</t>
        </is>
      </c>
      <c r="B3429" t="inlineStr">
        <is>
          <t>PANNKI43T6</t>
        </is>
      </c>
      <c r="C3429" t="inlineStr">
        <is>
          <t>KIDS / PANNKI</t>
        </is>
      </c>
      <c r="D3429" t="n">
        <v>0</v>
      </c>
      <c r="E3429" t="n">
        <v>0</v>
      </c>
      <c r="F3429" t="n">
        <v>1.000010015470635</v>
      </c>
      <c r="G3429" t="inlineStr">
        <is>
          <t>C</t>
        </is>
      </c>
      <c r="H3429" t="n">
        <v>2</v>
      </c>
      <c r="I3429" t="n">
        <v>0</v>
      </c>
      <c r="J3429" t="n">
        <v>0</v>
      </c>
      <c r="K3429" t="n">
        <v>0</v>
      </c>
      <c r="L3429" t="n">
        <v>999</v>
      </c>
      <c r="M3429" t="n">
        <v>4</v>
      </c>
      <c r="N3429" t="n">
        <v>0</v>
      </c>
      <c r="O3429" t="n">
        <v>2</v>
      </c>
      <c r="P3429" t="n">
        <v>0</v>
      </c>
      <c r="Q3429" t="n">
        <v>0</v>
      </c>
      <c r="R3429" t="inlineStr">
        <is>
          <t>Sin rotación</t>
        </is>
      </c>
    </row>
    <row r="3430">
      <c r="A3430" t="inlineStr">
        <is>
          <t>VIVMIDA12TS</t>
        </is>
      </c>
      <c r="B3430" t="inlineStr">
        <is>
          <t>VIVI ORIGINAL DAMA</t>
        </is>
      </c>
      <c r="C3430" t="inlineStr">
        <is>
          <t>Manufactura / Dama / P. Superiores</t>
        </is>
      </c>
      <c r="D3430" t="n">
        <v>0</v>
      </c>
      <c r="E3430" t="n">
        <v>0</v>
      </c>
      <c r="F3430" t="n">
        <v>1.000010015470635</v>
      </c>
      <c r="G3430" t="inlineStr">
        <is>
          <t>C</t>
        </is>
      </c>
      <c r="H3430" t="n">
        <v>1</v>
      </c>
      <c r="I3430" t="n">
        <v>4.303181706</v>
      </c>
      <c r="J3430" t="n">
        <v>4.303181706</v>
      </c>
      <c r="K3430" t="n">
        <v>0.5</v>
      </c>
      <c r="L3430" t="n">
        <v>2</v>
      </c>
      <c r="M3430" t="n">
        <v>4</v>
      </c>
      <c r="N3430" t="n">
        <v>2</v>
      </c>
      <c r="O3430" t="n">
        <v>0</v>
      </c>
      <c r="P3430" t="n">
        <v>0</v>
      </c>
      <c r="Q3430" t="n">
        <v>0</v>
      </c>
      <c r="R3430" t="inlineStr">
        <is>
          <t>OK</t>
        </is>
      </c>
    </row>
    <row r="3431">
      <c r="A3431" t="inlineStr">
        <is>
          <t>VIVMIDA05TXS</t>
        </is>
      </c>
      <c r="B3431" t="inlineStr">
        <is>
          <t>VIVI ORIGINAL DAMA</t>
        </is>
      </c>
      <c r="C3431" t="inlineStr">
        <is>
          <t>Manufactura / Dama / P. Superiores</t>
        </is>
      </c>
      <c r="D3431" t="n">
        <v>0</v>
      </c>
      <c r="E3431" t="n">
        <v>0</v>
      </c>
      <c r="F3431" t="n">
        <v>1.000010015470635</v>
      </c>
      <c r="G3431" t="inlineStr">
        <is>
          <t>C</t>
        </is>
      </c>
      <c r="H3431" t="n">
        <v>0</v>
      </c>
      <c r="I3431" t="n">
        <v>4.303181706</v>
      </c>
      <c r="J3431" t="n">
        <v>0</v>
      </c>
      <c r="K3431" t="n">
        <v>0.1</v>
      </c>
      <c r="L3431" t="n">
        <v>0</v>
      </c>
      <c r="M3431" t="n">
        <v>4</v>
      </c>
      <c r="N3431" t="n">
        <v>0.4</v>
      </c>
      <c r="O3431" t="n">
        <v>0</v>
      </c>
      <c r="P3431" t="n">
        <v>0</v>
      </c>
      <c r="Q3431" t="n">
        <v>0</v>
      </c>
      <c r="R3431" t="inlineStr">
        <is>
          <t>Riesgo bajo stock</t>
        </is>
      </c>
    </row>
    <row r="3432">
      <c r="A3432" t="inlineStr">
        <is>
          <t>SABMEDA12TXL</t>
        </is>
      </c>
      <c r="B3432" t="inlineStr">
        <is>
          <t>[SABMEDA12TXL] SABRI SPORT DAMA (Azul Marino, XL)</t>
        </is>
      </c>
      <c r="C3432" t="inlineStr">
        <is>
          <t>DAMA / SABRI SPORT</t>
        </is>
      </c>
      <c r="D3432" t="n">
        <v>0</v>
      </c>
      <c r="E3432" t="n">
        <v>0</v>
      </c>
      <c r="F3432" t="n">
        <v>1.000010015470635</v>
      </c>
      <c r="G3432" t="inlineStr">
        <is>
          <t>C</t>
        </is>
      </c>
      <c r="H3432" t="n">
        <v>4</v>
      </c>
      <c r="I3432" t="n">
        <v>0</v>
      </c>
      <c r="J3432" t="n">
        <v>0</v>
      </c>
      <c r="K3432" t="n">
        <v>0</v>
      </c>
      <c r="L3432" t="n">
        <v>999</v>
      </c>
      <c r="M3432" t="n">
        <v>4</v>
      </c>
      <c r="N3432" t="n">
        <v>0</v>
      </c>
      <c r="O3432" t="n">
        <v>4</v>
      </c>
      <c r="P3432" t="n">
        <v>0</v>
      </c>
      <c r="Q3432" t="n">
        <v>0</v>
      </c>
      <c r="R3432" t="inlineStr">
        <is>
          <t>Sin rotación</t>
        </is>
      </c>
    </row>
    <row r="3433">
      <c r="A3433" t="inlineStr">
        <is>
          <t>DOMBFCA205TXL</t>
        </is>
      </c>
      <c r="B3433" t="inlineStr">
        <is>
          <t>[DOMBFCA205TXL] DOMINIC BIO MOVE CAB (Lima, XL)</t>
        </is>
      </c>
      <c r="C3433" t="inlineStr">
        <is>
          <t>CAB / DOMINIC BIO MOVE</t>
        </is>
      </c>
      <c r="D3433" t="n">
        <v>0</v>
      </c>
      <c r="E3433" t="n">
        <v>0</v>
      </c>
      <c r="F3433" t="n">
        <v>1.000010015470635</v>
      </c>
      <c r="G3433" t="inlineStr">
        <is>
          <t>C</t>
        </is>
      </c>
      <c r="H3433" t="n">
        <v>38</v>
      </c>
      <c r="I3433" t="n">
        <v>0</v>
      </c>
      <c r="J3433" t="n">
        <v>0</v>
      </c>
      <c r="K3433" t="n">
        <v>0</v>
      </c>
      <c r="L3433" t="n">
        <v>999</v>
      </c>
      <c r="M3433" t="n">
        <v>4</v>
      </c>
      <c r="N3433" t="n">
        <v>0</v>
      </c>
      <c r="O3433" t="n">
        <v>38</v>
      </c>
      <c r="P3433" t="n">
        <v>0</v>
      </c>
      <c r="Q3433" t="n">
        <v>0</v>
      </c>
      <c r="R3433" t="inlineStr">
        <is>
          <t>Sin rotación</t>
        </is>
      </c>
    </row>
    <row r="3434">
      <c r="A3434" t="inlineStr">
        <is>
          <t>DOMBFCA205TL</t>
        </is>
      </c>
      <c r="B3434" t="inlineStr">
        <is>
          <t>DOMINIC BIO MOVE CAB</t>
        </is>
      </c>
      <c r="C3434" t="inlineStr">
        <is>
          <t>Manufactura / Caballero / P. Superiores</t>
        </is>
      </c>
      <c r="D3434" t="n">
        <v>0</v>
      </c>
      <c r="E3434" t="n">
        <v>0</v>
      </c>
      <c r="F3434" t="n">
        <v>1.000010015470635</v>
      </c>
      <c r="G3434" t="inlineStr">
        <is>
          <t>C</t>
        </is>
      </c>
      <c r="H3434" t="n">
        <v>39</v>
      </c>
      <c r="I3434" t="n">
        <v>13.86</v>
      </c>
      <c r="J3434" t="n">
        <v>540.54</v>
      </c>
      <c r="K3434" t="n">
        <v>0.2</v>
      </c>
      <c r="L3434" t="n">
        <v>195</v>
      </c>
      <c r="M3434" t="n">
        <v>4</v>
      </c>
      <c r="N3434" t="n">
        <v>0.8</v>
      </c>
      <c r="O3434" t="n">
        <v>38.2</v>
      </c>
      <c r="P3434" t="n">
        <v>529.452</v>
      </c>
      <c r="Q3434" t="n">
        <v>0.9794871794871796</v>
      </c>
      <c r="R3434" t="inlineStr">
        <is>
          <t>Sobrestock crítico</t>
        </is>
      </c>
    </row>
    <row r="3435">
      <c r="A3435" t="inlineStr">
        <is>
          <t>ETN102E500ML</t>
        </is>
      </c>
      <c r="B3435" t="inlineStr">
        <is>
          <t>[ETN102E500ML] KAMBUKKA ETNA 500 ML (Foggy Terrazzo)</t>
        </is>
      </c>
      <c r="C3435" t="inlineStr">
        <is>
          <t>KAMBUKKA ETNA 500 ML</t>
        </is>
      </c>
      <c r="D3435" t="n">
        <v>0</v>
      </c>
      <c r="E3435" t="n">
        <v>0</v>
      </c>
      <c r="F3435" t="n">
        <v>1.000010015470635</v>
      </c>
      <c r="G3435" t="inlineStr">
        <is>
          <t>C</t>
        </is>
      </c>
      <c r="H3435" t="n">
        <v>3</v>
      </c>
      <c r="I3435" t="n">
        <v>0</v>
      </c>
      <c r="J3435" t="n">
        <v>0</v>
      </c>
      <c r="K3435" t="n">
        <v>0</v>
      </c>
      <c r="L3435" t="n">
        <v>999</v>
      </c>
      <c r="M3435" t="n">
        <v>4</v>
      </c>
      <c r="N3435" t="n">
        <v>0</v>
      </c>
      <c r="O3435" t="n">
        <v>3</v>
      </c>
      <c r="P3435" t="n">
        <v>0</v>
      </c>
      <c r="Q3435" t="n">
        <v>0</v>
      </c>
      <c r="R3435" t="inlineStr">
        <is>
          <t>Sin rotación</t>
        </is>
      </c>
    </row>
    <row r="3436">
      <c r="A3436" t="inlineStr">
        <is>
          <t>EMP150TXS</t>
        </is>
      </c>
      <c r="B3436" t="inlineStr">
        <is>
          <t>[EMP150TXS] BOLSAS KRAFT (XS)</t>
        </is>
      </c>
      <c r="C3436" t="inlineStr">
        <is>
          <t>BOLSAS KRAFT</t>
        </is>
      </c>
      <c r="D3436" t="n">
        <v>0</v>
      </c>
      <c r="E3436" t="n">
        <v>0</v>
      </c>
      <c r="F3436" t="n">
        <v>1.000010015470635</v>
      </c>
      <c r="G3436" t="inlineStr">
        <is>
          <t>C</t>
        </is>
      </c>
      <c r="H3436" t="n">
        <v>879</v>
      </c>
      <c r="I3436" t="n">
        <v>0</v>
      </c>
      <c r="J3436" t="n">
        <v>0</v>
      </c>
      <c r="K3436" t="n">
        <v>0</v>
      </c>
      <c r="L3436" t="n">
        <v>999</v>
      </c>
      <c r="M3436" t="n">
        <v>4</v>
      </c>
      <c r="N3436" t="n">
        <v>0</v>
      </c>
      <c r="O3436" t="n">
        <v>879</v>
      </c>
      <c r="P3436" t="n">
        <v>0</v>
      </c>
      <c r="Q3436" t="n">
        <v>0</v>
      </c>
      <c r="R3436" t="inlineStr">
        <is>
          <t>Sin rotación</t>
        </is>
      </c>
    </row>
    <row r="3437">
      <c r="A3437" t="inlineStr">
        <is>
          <t>PANNTCA33T3XL</t>
        </is>
      </c>
      <c r="B3437" t="inlineStr">
        <is>
          <t>[PANNTCA33T3XL] EXPLORE PANTS CAB (Kaki, 3XL)</t>
        </is>
      </c>
      <c r="C3437" t="inlineStr">
        <is>
          <t>CAB / EXPLORE PANTS</t>
        </is>
      </c>
      <c r="D3437" t="n">
        <v>0</v>
      </c>
      <c r="E3437" t="n">
        <v>0</v>
      </c>
      <c r="F3437" t="n">
        <v>1.000010015470635</v>
      </c>
      <c r="G3437" t="inlineStr">
        <is>
          <t>C</t>
        </is>
      </c>
      <c r="H3437" t="n">
        <v>16</v>
      </c>
      <c r="I3437" t="n">
        <v>0</v>
      </c>
      <c r="J3437" t="n">
        <v>0</v>
      </c>
      <c r="K3437" t="n">
        <v>0</v>
      </c>
      <c r="L3437" t="n">
        <v>999</v>
      </c>
      <c r="M3437" t="n">
        <v>4</v>
      </c>
      <c r="N3437" t="n">
        <v>0</v>
      </c>
      <c r="O3437" t="n">
        <v>16</v>
      </c>
      <c r="P3437" t="n">
        <v>0</v>
      </c>
      <c r="Q3437" t="n">
        <v>0</v>
      </c>
      <c r="R3437" t="inlineStr">
        <is>
          <t>Sin rotación</t>
        </is>
      </c>
    </row>
    <row r="3438">
      <c r="A3438" t="inlineStr">
        <is>
          <t>MLMMJDA66TXS</t>
        </is>
      </c>
      <c r="B3438" t="inlineStr">
        <is>
          <t>[MLMMJDA66TXS] MOTION LOOP MAFE DAMA (Verde Militar, XS)</t>
        </is>
      </c>
      <c r="C3438" t="inlineStr">
        <is>
          <t>DAMA / MOTION LOOP MAFE</t>
        </is>
      </c>
      <c r="D3438" t="n">
        <v>0</v>
      </c>
      <c r="E3438" t="n">
        <v>0</v>
      </c>
      <c r="F3438" t="n">
        <v>1.000010015470635</v>
      </c>
      <c r="G3438" t="inlineStr">
        <is>
          <t>C</t>
        </is>
      </c>
      <c r="H3438" t="n">
        <v>6</v>
      </c>
      <c r="I3438" t="n">
        <v>0</v>
      </c>
      <c r="J3438" t="n">
        <v>0</v>
      </c>
      <c r="K3438" t="n">
        <v>0</v>
      </c>
      <c r="L3438" t="n">
        <v>999</v>
      </c>
      <c r="M3438" t="n">
        <v>4</v>
      </c>
      <c r="N3438" t="n">
        <v>0</v>
      </c>
      <c r="O3438" t="n">
        <v>6</v>
      </c>
      <c r="P3438" t="n">
        <v>0</v>
      </c>
      <c r="Q3438" t="n">
        <v>0</v>
      </c>
      <c r="R3438" t="inlineStr">
        <is>
          <t>Sin rotación</t>
        </is>
      </c>
    </row>
    <row r="3439">
      <c r="A3439" t="inlineStr">
        <is>
          <t>MLMMJDA66TXL</t>
        </is>
      </c>
      <c r="B3439" t="inlineStr">
        <is>
          <t>[MLMMJDA66TXL] MOTION LOOP MAFE DAMA (Verde Militar, XL)</t>
        </is>
      </c>
      <c r="C3439" t="inlineStr">
        <is>
          <t>DAMA / MOTION LOOP MAFE</t>
        </is>
      </c>
      <c r="D3439" t="n">
        <v>0</v>
      </c>
      <c r="E3439" t="n">
        <v>0</v>
      </c>
      <c r="F3439" t="n">
        <v>1.000010015470635</v>
      </c>
      <c r="G3439" t="inlineStr">
        <is>
          <t>C</t>
        </is>
      </c>
      <c r="H3439" t="n">
        <v>4</v>
      </c>
      <c r="I3439" t="n">
        <v>0</v>
      </c>
      <c r="J3439" t="n">
        <v>0</v>
      </c>
      <c r="K3439" t="n">
        <v>0</v>
      </c>
      <c r="L3439" t="n">
        <v>999</v>
      </c>
      <c r="M3439" t="n">
        <v>4</v>
      </c>
      <c r="N3439" t="n">
        <v>0</v>
      </c>
      <c r="O3439" t="n">
        <v>4</v>
      </c>
      <c r="P3439" t="n">
        <v>0</v>
      </c>
      <c r="Q3439" t="n">
        <v>0</v>
      </c>
      <c r="R3439" t="inlineStr">
        <is>
          <t>Sin rotación</t>
        </is>
      </c>
    </row>
    <row r="3440">
      <c r="A3440" t="inlineStr">
        <is>
          <t>MLMMJDA66TS</t>
        </is>
      </c>
      <c r="B3440" t="inlineStr">
        <is>
          <t>[MLMMJDA66TS] MOTION LOOP MAFE DAMA (Verde Militar, S)</t>
        </is>
      </c>
      <c r="C3440" t="inlineStr">
        <is>
          <t>DAMA / MOTION LOOP MAFE</t>
        </is>
      </c>
      <c r="D3440" t="n">
        <v>0</v>
      </c>
      <c r="E3440" t="n">
        <v>0</v>
      </c>
      <c r="F3440" t="n">
        <v>1.000010015470635</v>
      </c>
      <c r="G3440" t="inlineStr">
        <is>
          <t>C</t>
        </is>
      </c>
      <c r="H3440" t="n">
        <v>10</v>
      </c>
      <c r="I3440" t="n">
        <v>0</v>
      </c>
      <c r="J3440" t="n">
        <v>0</v>
      </c>
      <c r="K3440" t="n">
        <v>0</v>
      </c>
      <c r="L3440" t="n">
        <v>999</v>
      </c>
      <c r="M3440" t="n">
        <v>4</v>
      </c>
      <c r="N3440" t="n">
        <v>0</v>
      </c>
      <c r="O3440" t="n">
        <v>10</v>
      </c>
      <c r="P3440" t="n">
        <v>0</v>
      </c>
      <c r="Q3440" t="n">
        <v>0</v>
      </c>
      <c r="R3440" t="inlineStr">
        <is>
          <t>Sin rotación</t>
        </is>
      </c>
    </row>
    <row r="3441">
      <c r="A3441" t="inlineStr">
        <is>
          <t>MLMMJDA66TM</t>
        </is>
      </c>
      <c r="B3441" t="inlineStr">
        <is>
          <t>[MLMMJDA66TM] MOTION LOOP MAFE DAMA (Verde Militar, M)</t>
        </is>
      </c>
      <c r="C3441" t="inlineStr">
        <is>
          <t>DAMA / MOTION LOOP MAFE</t>
        </is>
      </c>
      <c r="D3441" t="n">
        <v>0</v>
      </c>
      <c r="E3441" t="n">
        <v>0</v>
      </c>
      <c r="F3441" t="n">
        <v>1.000010015470635</v>
      </c>
      <c r="G3441" t="inlineStr">
        <is>
          <t>C</t>
        </is>
      </c>
      <c r="H3441" t="n">
        <v>8</v>
      </c>
      <c r="I3441" t="n">
        <v>0</v>
      </c>
      <c r="J3441" t="n">
        <v>0</v>
      </c>
      <c r="K3441" t="n">
        <v>0</v>
      </c>
      <c r="L3441" t="n">
        <v>999</v>
      </c>
      <c r="M3441" t="n">
        <v>4</v>
      </c>
      <c r="N3441" t="n">
        <v>0</v>
      </c>
      <c r="O3441" t="n">
        <v>8</v>
      </c>
      <c r="P3441" t="n">
        <v>0</v>
      </c>
      <c r="Q3441" t="n">
        <v>0</v>
      </c>
      <c r="R3441" t="inlineStr">
        <is>
          <t>Sin rotación</t>
        </is>
      </c>
    </row>
    <row r="3442">
      <c r="A3442" t="inlineStr">
        <is>
          <t>MLMMJDA66TL</t>
        </is>
      </c>
      <c r="B3442" t="inlineStr">
        <is>
          <t>[MLMMJDA66TL] MOTION LOOP MAFE DAMA (Verde Militar, L)</t>
        </is>
      </c>
      <c r="C3442" t="inlineStr">
        <is>
          <t>DAMA / MOTION LOOP MAFE</t>
        </is>
      </c>
      <c r="D3442" t="n">
        <v>0</v>
      </c>
      <c r="E3442" t="n">
        <v>0</v>
      </c>
      <c r="F3442" t="n">
        <v>1.000010015470635</v>
      </c>
      <c r="G3442" t="inlineStr">
        <is>
          <t>C</t>
        </is>
      </c>
      <c r="H3442" t="n">
        <v>5</v>
      </c>
      <c r="I3442" t="n">
        <v>0</v>
      </c>
      <c r="J3442" t="n">
        <v>0</v>
      </c>
      <c r="K3442" t="n">
        <v>0</v>
      </c>
      <c r="L3442" t="n">
        <v>999</v>
      </c>
      <c r="M3442" t="n">
        <v>4</v>
      </c>
      <c r="N3442" t="n">
        <v>0</v>
      </c>
      <c r="O3442" t="n">
        <v>5</v>
      </c>
      <c r="P3442" t="n">
        <v>0</v>
      </c>
      <c r="Q3442" t="n">
        <v>0</v>
      </c>
      <c r="R3442" t="inlineStr">
        <is>
          <t>Sin rotación</t>
        </is>
      </c>
    </row>
    <row r="3443">
      <c r="A3443" t="inlineStr">
        <is>
          <t>AQUSTCA43TS</t>
        </is>
      </c>
      <c r="B3443" t="inlineStr">
        <is>
          <t>RETRO VZLA CAB</t>
        </is>
      </c>
      <c r="C3443" t="inlineStr">
        <is>
          <t>Manufactura / Caballero / P. Superiores</t>
        </is>
      </c>
      <c r="D3443" t="n">
        <v>0</v>
      </c>
      <c r="E3443" t="n">
        <v>0</v>
      </c>
      <c r="F3443" t="n">
        <v>1.000010015470635</v>
      </c>
      <c r="G3443" t="inlineStr">
        <is>
          <t>C</t>
        </is>
      </c>
      <c r="H3443" t="n">
        <v>0</v>
      </c>
      <c r="I3443" t="n">
        <v>12.9</v>
      </c>
      <c r="J3443" t="n">
        <v>0</v>
      </c>
      <c r="K3443" t="n">
        <v>0.1</v>
      </c>
      <c r="L3443" t="n">
        <v>0</v>
      </c>
      <c r="M3443" t="n">
        <v>4</v>
      </c>
      <c r="N3443" t="n">
        <v>0.4</v>
      </c>
      <c r="O3443" t="n">
        <v>0</v>
      </c>
      <c r="P3443" t="n">
        <v>0</v>
      </c>
      <c r="Q3443" t="n">
        <v>0</v>
      </c>
      <c r="R3443" t="inlineStr">
        <is>
          <t>Sin rotación</t>
        </is>
      </c>
    </row>
    <row r="3444">
      <c r="A3444" t="inlineStr">
        <is>
          <t>ANMSUDA17TS</t>
        </is>
      </c>
      <c r="B3444" t="inlineStr">
        <is>
          <t>[ANMSUDA17TS] ANDRE MOTION DAMA (Blue, S)</t>
        </is>
      </c>
      <c r="C3444" t="inlineStr">
        <is>
          <t>DAMA / ANDRE MOTION</t>
        </is>
      </c>
      <c r="D3444" t="n">
        <v>0</v>
      </c>
      <c r="E3444" t="n">
        <v>0</v>
      </c>
      <c r="F3444" t="n">
        <v>1.000010015470635</v>
      </c>
      <c r="G3444" t="inlineStr">
        <is>
          <t>C</t>
        </is>
      </c>
      <c r="H3444" t="n">
        <v>2</v>
      </c>
      <c r="I3444" t="n">
        <v>0</v>
      </c>
      <c r="J3444" t="n">
        <v>0</v>
      </c>
      <c r="K3444" t="n">
        <v>0</v>
      </c>
      <c r="L3444" t="n">
        <v>999</v>
      </c>
      <c r="M3444" t="n">
        <v>4</v>
      </c>
      <c r="N3444" t="n">
        <v>0</v>
      </c>
      <c r="O3444" t="n">
        <v>2</v>
      </c>
      <c r="P3444" t="n">
        <v>0</v>
      </c>
      <c r="Q3444" t="n">
        <v>0</v>
      </c>
      <c r="R3444" t="inlineStr">
        <is>
          <t>Sin rotación</t>
        </is>
      </c>
    </row>
    <row r="3445">
      <c r="A3445" t="inlineStr">
        <is>
          <t>ETN99E500ML</t>
        </is>
      </c>
      <c r="B3445" t="inlineStr">
        <is>
          <t>[ETN99E500ML] KAMBUKKA ETNA 500 ML (Denim Blue)</t>
        </is>
      </c>
      <c r="C3445" t="inlineStr">
        <is>
          <t>KAMBUKKA ETNA 500 ML</t>
        </is>
      </c>
      <c r="D3445" t="n">
        <v>0</v>
      </c>
      <c r="E3445" t="n">
        <v>0</v>
      </c>
      <c r="F3445" t="n">
        <v>1.000010015470635</v>
      </c>
      <c r="G3445" t="inlineStr">
        <is>
          <t>C</t>
        </is>
      </c>
      <c r="H3445" t="n">
        <v>39</v>
      </c>
      <c r="I3445" t="n">
        <v>0</v>
      </c>
      <c r="J3445" t="n">
        <v>0</v>
      </c>
      <c r="K3445" t="n">
        <v>0</v>
      </c>
      <c r="L3445" t="n">
        <v>999</v>
      </c>
      <c r="M3445" t="n">
        <v>4</v>
      </c>
      <c r="N3445" t="n">
        <v>0</v>
      </c>
      <c r="O3445" t="n">
        <v>39</v>
      </c>
      <c r="P3445" t="n">
        <v>0</v>
      </c>
      <c r="Q3445" t="n">
        <v>0</v>
      </c>
      <c r="R3445" t="inlineStr">
        <is>
          <t>Sin rotación</t>
        </is>
      </c>
    </row>
    <row r="3446">
      <c r="A3446" t="inlineStr">
        <is>
          <t>SABSTCA43T2XL</t>
        </is>
      </c>
      <c r="B3446" t="inlineStr">
        <is>
          <t>[SABSTCA43T2XL] RETRO VZLA CAB (Negro/Sabana, 2XL)</t>
        </is>
      </c>
      <c r="C3446" t="inlineStr">
        <is>
          <t>CAB / RETRO VZLA</t>
        </is>
      </c>
      <c r="D3446" t="n">
        <v>0</v>
      </c>
      <c r="E3446" t="n">
        <v>0</v>
      </c>
      <c r="F3446" t="n">
        <v>1.000010015470635</v>
      </c>
      <c r="G3446" t="inlineStr">
        <is>
          <t>C</t>
        </is>
      </c>
      <c r="H3446" t="n">
        <v>2</v>
      </c>
      <c r="I3446" t="n">
        <v>0</v>
      </c>
      <c r="J3446" t="n">
        <v>0</v>
      </c>
      <c r="K3446" t="n">
        <v>0</v>
      </c>
      <c r="L3446" t="n">
        <v>999</v>
      </c>
      <c r="M3446" t="n">
        <v>4</v>
      </c>
      <c r="N3446" t="n">
        <v>0</v>
      </c>
      <c r="O3446" t="n">
        <v>2</v>
      </c>
      <c r="P3446" t="n">
        <v>0</v>
      </c>
      <c r="Q3446" t="n">
        <v>0</v>
      </c>
      <c r="R3446" t="inlineStr">
        <is>
          <t>Sin rotación</t>
        </is>
      </c>
    </row>
    <row r="3447">
      <c r="A3447" t="inlineStr">
        <is>
          <t>SHOUNKI187T10</t>
        </is>
      </c>
      <c r="B3447" t="inlineStr">
        <is>
          <t>[SHOUNKI187T10] SHORT PLAYA KIDS (Azul Pizarra, 10)</t>
        </is>
      </c>
      <c r="C3447" t="inlineStr">
        <is>
          <t>KIDS / SHORT PLAYA</t>
        </is>
      </c>
      <c r="D3447" t="n">
        <v>0</v>
      </c>
      <c r="E3447" t="n">
        <v>0</v>
      </c>
      <c r="F3447" t="n">
        <v>1.000010015470635</v>
      </c>
      <c r="G3447" t="inlineStr">
        <is>
          <t>C</t>
        </is>
      </c>
      <c r="H3447" t="n">
        <v>32</v>
      </c>
      <c r="I3447" t="n">
        <v>0</v>
      </c>
      <c r="J3447" t="n">
        <v>0</v>
      </c>
      <c r="K3447" t="n">
        <v>0</v>
      </c>
      <c r="L3447" t="n">
        <v>999</v>
      </c>
      <c r="M3447" t="n">
        <v>4</v>
      </c>
      <c r="N3447" t="n">
        <v>0</v>
      </c>
      <c r="O3447" t="n">
        <v>32</v>
      </c>
      <c r="P3447" t="n">
        <v>0</v>
      </c>
      <c r="Q3447" t="n">
        <v>0</v>
      </c>
      <c r="R3447" t="inlineStr">
        <is>
          <t>Sin rotación</t>
        </is>
      </c>
    </row>
    <row r="3448">
      <c r="A3448" t="inlineStr">
        <is>
          <t>SHOUNKI186T8</t>
        </is>
      </c>
      <c r="B3448" t="inlineStr">
        <is>
          <t>[SHOUNKI186T8] SHORT PLAYA KIDS (Azul Verdoso, 8)</t>
        </is>
      </c>
      <c r="C3448" t="inlineStr">
        <is>
          <t>KIDS / SHORT PLAYA</t>
        </is>
      </c>
      <c r="D3448" t="n">
        <v>0</v>
      </c>
      <c r="E3448" t="n">
        <v>0</v>
      </c>
      <c r="F3448" t="n">
        <v>1.000010015470635</v>
      </c>
      <c r="G3448" t="inlineStr">
        <is>
          <t>C</t>
        </is>
      </c>
      <c r="H3448" t="n">
        <v>37</v>
      </c>
      <c r="I3448" t="n">
        <v>0</v>
      </c>
      <c r="J3448" t="n">
        <v>0</v>
      </c>
      <c r="K3448" t="n">
        <v>0</v>
      </c>
      <c r="L3448" t="n">
        <v>999</v>
      </c>
      <c r="M3448" t="n">
        <v>4</v>
      </c>
      <c r="N3448" t="n">
        <v>0</v>
      </c>
      <c r="O3448" t="n">
        <v>37</v>
      </c>
      <c r="P3448" t="n">
        <v>0</v>
      </c>
      <c r="Q3448" t="n">
        <v>0</v>
      </c>
      <c r="R3448" t="inlineStr">
        <is>
          <t>Sin rotación</t>
        </is>
      </c>
    </row>
    <row r="3449">
      <c r="A3449" t="inlineStr">
        <is>
          <t>SMLBLIDA16TL</t>
        </is>
      </c>
      <c r="B3449" t="inlineStr">
        <is>
          <t>SPOTS MANGA LARGA DAMA</t>
        </is>
      </c>
      <c r="C3449" t="inlineStr">
        <is>
          <t>Manufactura / Dama / P. Superiores</t>
        </is>
      </c>
      <c r="D3449" t="n">
        <v>0</v>
      </c>
      <c r="E3449" t="n">
        <v>0</v>
      </c>
      <c r="F3449" t="n">
        <v>1.000010015470635</v>
      </c>
      <c r="G3449" t="inlineStr">
        <is>
          <t>C</t>
        </is>
      </c>
      <c r="H3449" t="n">
        <v>11</v>
      </c>
      <c r="I3449" t="n">
        <v>12.89</v>
      </c>
      <c r="J3449" t="n">
        <v>141.79</v>
      </c>
      <c r="K3449" t="n">
        <v>0.1</v>
      </c>
      <c r="L3449" t="n">
        <v>110</v>
      </c>
      <c r="M3449" t="n">
        <v>4</v>
      </c>
      <c r="N3449" t="n">
        <v>0.4</v>
      </c>
      <c r="O3449" t="n">
        <v>10.6</v>
      </c>
      <c r="P3449" t="n">
        <v>136.634</v>
      </c>
      <c r="Q3449" t="n">
        <v>0.9636363636363636</v>
      </c>
      <c r="R3449" t="inlineStr">
        <is>
          <t>Sobrestock crítico</t>
        </is>
      </c>
    </row>
    <row r="3450">
      <c r="A3450" t="inlineStr">
        <is>
          <t>SMLBLICA16T2XL</t>
        </is>
      </c>
      <c r="B3450" t="inlineStr">
        <is>
          <t>[SMLBLICA16T2XL] SPOTS MANGA LARGA CAB (2XL)</t>
        </is>
      </c>
      <c r="C3450" t="inlineStr">
        <is>
          <t>CAB / SPOTS MANGA LARGA</t>
        </is>
      </c>
      <c r="D3450" t="n">
        <v>0</v>
      </c>
      <c r="E3450" t="n">
        <v>0</v>
      </c>
      <c r="F3450" t="n">
        <v>1.000010015470635</v>
      </c>
      <c r="G3450" t="inlineStr">
        <is>
          <t>C</t>
        </is>
      </c>
      <c r="H3450" t="n">
        <v>10</v>
      </c>
      <c r="I3450" t="n">
        <v>0</v>
      </c>
      <c r="J3450" t="n">
        <v>0</v>
      </c>
      <c r="K3450" t="n">
        <v>0</v>
      </c>
      <c r="L3450" t="n">
        <v>999</v>
      </c>
      <c r="M3450" t="n">
        <v>4</v>
      </c>
      <c r="N3450" t="n">
        <v>0</v>
      </c>
      <c r="O3450" t="n">
        <v>10</v>
      </c>
      <c r="P3450" t="n">
        <v>0</v>
      </c>
      <c r="Q3450" t="n">
        <v>0</v>
      </c>
      <c r="R3450" t="inlineStr">
        <is>
          <t>Sin rotación</t>
        </is>
      </c>
    </row>
    <row r="3451">
      <c r="A3451" t="inlineStr">
        <is>
          <t>SMCBNECA16T2XL</t>
        </is>
      </c>
      <c r="B3451" t="inlineStr">
        <is>
          <t>[SMCBNECA16T2XL] SPOTS MANGA CORTA CAB (Blanco/ Nueva Esparta, 2XL)</t>
        </is>
      </c>
      <c r="C3451" t="inlineStr">
        <is>
          <t>CAB / SPOTS MANGA CORTA</t>
        </is>
      </c>
      <c r="D3451" t="n">
        <v>0</v>
      </c>
      <c r="E3451" t="n">
        <v>0</v>
      </c>
      <c r="F3451" t="n">
        <v>1.000010015470635</v>
      </c>
      <c r="G3451" t="inlineStr">
        <is>
          <t>C</t>
        </is>
      </c>
      <c r="H3451" t="n">
        <v>10</v>
      </c>
      <c r="I3451" t="n">
        <v>0</v>
      </c>
      <c r="J3451" t="n">
        <v>0</v>
      </c>
      <c r="K3451" t="n">
        <v>0</v>
      </c>
      <c r="L3451" t="n">
        <v>999</v>
      </c>
      <c r="M3451" t="n">
        <v>4</v>
      </c>
      <c r="N3451" t="n">
        <v>0</v>
      </c>
      <c r="O3451" t="n">
        <v>10</v>
      </c>
      <c r="P3451" t="n">
        <v>0</v>
      </c>
      <c r="Q3451" t="n">
        <v>0</v>
      </c>
      <c r="R3451" t="inlineStr">
        <is>
          <t>Sin rotación</t>
        </is>
      </c>
    </row>
    <row r="3452">
      <c r="A3452" t="inlineStr">
        <is>
          <t>SHUNTDA31TXS</t>
        </is>
      </c>
      <c r="B3452" t="inlineStr">
        <is>
          <t>SHORT SPORT R1 DAMA</t>
        </is>
      </c>
      <c r="C3452" t="inlineStr">
        <is>
          <t>Manufactura / Dama / P. Inferiores</t>
        </is>
      </c>
      <c r="D3452" t="n">
        <v>0</v>
      </c>
      <c r="E3452" t="n">
        <v>0</v>
      </c>
      <c r="F3452" t="n">
        <v>1.000010015470635</v>
      </c>
      <c r="G3452" t="inlineStr">
        <is>
          <t>C</t>
        </is>
      </c>
      <c r="H3452" t="n">
        <v>31</v>
      </c>
      <c r="I3452" t="n">
        <v>8.33</v>
      </c>
      <c r="J3452" t="n">
        <v>258.23</v>
      </c>
      <c r="K3452" t="n">
        <v>0.2</v>
      </c>
      <c r="L3452" t="n">
        <v>155</v>
      </c>
      <c r="M3452" t="n">
        <v>4</v>
      </c>
      <c r="N3452" t="n">
        <v>0.8</v>
      </c>
      <c r="O3452" t="n">
        <v>30.2</v>
      </c>
      <c r="P3452" t="n">
        <v>251.566</v>
      </c>
      <c r="Q3452" t="n">
        <v>0.9741935483870967</v>
      </c>
      <c r="R3452" t="inlineStr">
        <is>
          <t>Sobrestock crítico</t>
        </is>
      </c>
    </row>
    <row r="3453">
      <c r="A3453" t="inlineStr">
        <is>
          <t>CLAMIDA43T2XL</t>
        </is>
      </c>
      <c r="B3453" t="inlineStr">
        <is>
          <t>[CLAMIDA43T2XL] CLASICA ORIGINAL DAMA (Negro, 2XL)</t>
        </is>
      </c>
      <c r="C3453" t="inlineStr">
        <is>
          <t>DAMA / CLASICA ORIGINAL</t>
        </is>
      </c>
      <c r="D3453" t="n">
        <v>0</v>
      </c>
      <c r="E3453" t="n">
        <v>0</v>
      </c>
      <c r="F3453" t="n">
        <v>1.000010015470635</v>
      </c>
      <c r="G3453" t="inlineStr">
        <is>
          <t>C</t>
        </is>
      </c>
      <c r="H3453" t="n">
        <v>1</v>
      </c>
      <c r="I3453" t="n">
        <v>0</v>
      </c>
      <c r="J3453" t="n">
        <v>0</v>
      </c>
      <c r="K3453" t="n">
        <v>0</v>
      </c>
      <c r="L3453" t="n">
        <v>999</v>
      </c>
      <c r="M3453" t="n">
        <v>4</v>
      </c>
      <c r="N3453" t="n">
        <v>0</v>
      </c>
      <c r="O3453" t="n">
        <v>1</v>
      </c>
      <c r="P3453" t="n">
        <v>0</v>
      </c>
      <c r="Q3453" t="n">
        <v>0</v>
      </c>
      <c r="R3453" t="inlineStr">
        <is>
          <t>Sin rotación</t>
        </is>
      </c>
    </row>
    <row r="3454">
      <c r="A3454" t="inlineStr">
        <is>
          <t>CLAMIDA39TM</t>
        </is>
      </c>
      <c r="B3454" t="inlineStr">
        <is>
          <t>CLASICA ORIGINAL DAMA</t>
        </is>
      </c>
      <c r="C3454" t="inlineStr">
        <is>
          <t>Manufactura / Dama / P. Superiores</t>
        </is>
      </c>
      <c r="D3454" t="n">
        <v>0</v>
      </c>
      <c r="E3454" t="n">
        <v>0</v>
      </c>
      <c r="F3454" t="n">
        <v>1.000010015470635</v>
      </c>
      <c r="G3454" t="inlineStr">
        <is>
          <t>C</t>
        </is>
      </c>
      <c r="H3454" t="n">
        <v>0</v>
      </c>
      <c r="I3454" t="n">
        <v>3.923227589</v>
      </c>
      <c r="J3454" t="n">
        <v>0</v>
      </c>
      <c r="K3454" t="n">
        <v>0.1</v>
      </c>
      <c r="L3454" t="n">
        <v>0</v>
      </c>
      <c r="M3454" t="n">
        <v>4</v>
      </c>
      <c r="N3454" t="n">
        <v>0.4</v>
      </c>
      <c r="O3454" t="n">
        <v>0</v>
      </c>
      <c r="P3454" t="n">
        <v>0</v>
      </c>
      <c r="Q3454" t="n">
        <v>0</v>
      </c>
      <c r="R3454" t="inlineStr">
        <is>
          <t>Sin rotación</t>
        </is>
      </c>
    </row>
    <row r="3455">
      <c r="A3455" t="inlineStr">
        <is>
          <t>PETMIPE70TXS</t>
        </is>
      </c>
      <c r="B3455" t="inlineStr">
        <is>
          <t>BANDANA PET</t>
        </is>
      </c>
      <c r="C3455" t="inlineStr">
        <is>
          <t>Manufactura / General</t>
        </is>
      </c>
      <c r="D3455" t="n">
        <v>0</v>
      </c>
      <c r="E3455" t="n">
        <v>0</v>
      </c>
      <c r="F3455" t="n">
        <v>1.000010015470635</v>
      </c>
      <c r="G3455" t="inlineStr">
        <is>
          <t>C</t>
        </is>
      </c>
      <c r="H3455" t="n">
        <v>3</v>
      </c>
      <c r="I3455" t="n">
        <v>0.3252662283</v>
      </c>
      <c r="J3455" t="n">
        <v>0.9757986849</v>
      </c>
      <c r="K3455" t="n">
        <v>0.1</v>
      </c>
      <c r="L3455" t="n">
        <v>30</v>
      </c>
      <c r="M3455" t="n">
        <v>4</v>
      </c>
      <c r="N3455" t="n">
        <v>0.4</v>
      </c>
      <c r="O3455" t="n">
        <v>2.6</v>
      </c>
      <c r="P3455" t="n">
        <v>0.84569219358</v>
      </c>
      <c r="Q3455" t="n">
        <v>0.8666666666666667</v>
      </c>
      <c r="R3455" t="inlineStr">
        <is>
          <t>Sobrestock crítico</t>
        </is>
      </c>
    </row>
    <row r="3456">
      <c r="A3456" t="inlineStr">
        <is>
          <t>SHOUNKI23T1</t>
        </is>
      </c>
      <c r="B3456" t="inlineStr">
        <is>
          <t>[SHOUNKI23T1] SHORT PLAYA KIDS (Coral, 1)</t>
        </is>
      </c>
      <c r="C3456" t="inlineStr">
        <is>
          <t>KIDS / SHORT PLAYA</t>
        </is>
      </c>
      <c r="D3456" t="n">
        <v>0</v>
      </c>
      <c r="E3456" t="n">
        <v>0</v>
      </c>
      <c r="F3456" t="n">
        <v>1.000010015470635</v>
      </c>
      <c r="G3456" t="inlineStr">
        <is>
          <t>C</t>
        </is>
      </c>
      <c r="H3456" t="n">
        <v>10</v>
      </c>
      <c r="I3456" t="n">
        <v>0</v>
      </c>
      <c r="J3456" t="n">
        <v>0</v>
      </c>
      <c r="K3456" t="n">
        <v>0</v>
      </c>
      <c r="L3456" t="n">
        <v>999</v>
      </c>
      <c r="M3456" t="n">
        <v>4</v>
      </c>
      <c r="N3456" t="n">
        <v>0</v>
      </c>
      <c r="O3456" t="n">
        <v>10</v>
      </c>
      <c r="P3456" t="n">
        <v>0</v>
      </c>
      <c r="Q3456" t="n">
        <v>0</v>
      </c>
      <c r="R3456" t="inlineStr">
        <is>
          <t>Sin rotación</t>
        </is>
      </c>
    </row>
    <row r="3457">
      <c r="A3457" t="inlineStr">
        <is>
          <t>SHOUNKI187T8</t>
        </is>
      </c>
      <c r="B3457" t="inlineStr">
        <is>
          <t>[SHOUNKI187T8] SHORT PLAYA KIDS (Azul Pizarra, 8)</t>
        </is>
      </c>
      <c r="C3457" t="inlineStr">
        <is>
          <t>KIDS / SHORT PLAYA</t>
        </is>
      </c>
      <c r="D3457" t="n">
        <v>0</v>
      </c>
      <c r="E3457" t="n">
        <v>0</v>
      </c>
      <c r="F3457" t="n">
        <v>1.000010015470635</v>
      </c>
      <c r="G3457" t="inlineStr">
        <is>
          <t>C</t>
        </is>
      </c>
      <c r="H3457" t="n">
        <v>31</v>
      </c>
      <c r="I3457" t="n">
        <v>0</v>
      </c>
      <c r="J3457" t="n">
        <v>0</v>
      </c>
      <c r="K3457" t="n">
        <v>0</v>
      </c>
      <c r="L3457" t="n">
        <v>999</v>
      </c>
      <c r="M3457" t="n">
        <v>4</v>
      </c>
      <c r="N3457" t="n">
        <v>0</v>
      </c>
      <c r="O3457" t="n">
        <v>31</v>
      </c>
      <c r="P3457" t="n">
        <v>0</v>
      </c>
      <c r="Q3457" t="n">
        <v>0</v>
      </c>
      <c r="R3457" t="inlineStr">
        <is>
          <t>Sin rotación</t>
        </is>
      </c>
    </row>
    <row r="3458">
      <c r="A3458" t="inlineStr">
        <is>
          <t>SHOUNKI187T6</t>
        </is>
      </c>
      <c r="B3458" t="inlineStr">
        <is>
          <t>[SHOUNKI187T6] SHORT PLAYA KIDS (Azul Pizarra, 6)</t>
        </is>
      </c>
      <c r="C3458" t="inlineStr">
        <is>
          <t>KIDS / SHORT PLAYA</t>
        </is>
      </c>
      <c r="D3458" t="n">
        <v>0</v>
      </c>
      <c r="E3458" t="n">
        <v>0</v>
      </c>
      <c r="F3458" t="n">
        <v>1.000010015470635</v>
      </c>
      <c r="G3458" t="inlineStr">
        <is>
          <t>C</t>
        </is>
      </c>
      <c r="H3458" t="n">
        <v>16</v>
      </c>
      <c r="I3458" t="n">
        <v>0</v>
      </c>
      <c r="J3458" t="n">
        <v>0</v>
      </c>
      <c r="K3458" t="n">
        <v>0</v>
      </c>
      <c r="L3458" t="n">
        <v>999</v>
      </c>
      <c r="M3458" t="n">
        <v>4</v>
      </c>
      <c r="N3458" t="n">
        <v>0</v>
      </c>
      <c r="O3458" t="n">
        <v>16</v>
      </c>
      <c r="P3458" t="n">
        <v>0</v>
      </c>
      <c r="Q3458" t="n">
        <v>0</v>
      </c>
      <c r="R3458" t="inlineStr">
        <is>
          <t>Sin rotación</t>
        </is>
      </c>
    </row>
    <row r="3459">
      <c r="A3459" t="inlineStr">
        <is>
          <t>CRESTDA16TM</t>
        </is>
      </c>
      <c r="B3459" t="inlineStr">
        <is>
          <t>RETRO VZLA DAMA</t>
        </is>
      </c>
      <c r="C3459" t="inlineStr">
        <is>
          <t>Manufactura / Dama / P. Superiores</t>
        </is>
      </c>
      <c r="D3459" t="n">
        <v>0</v>
      </c>
      <c r="E3459" t="n">
        <v>0</v>
      </c>
      <c r="F3459" t="n">
        <v>1.000010015470635</v>
      </c>
      <c r="G3459" t="inlineStr">
        <is>
          <t>C</t>
        </is>
      </c>
      <c r="H3459" t="n">
        <v>0</v>
      </c>
      <c r="I3459" t="n">
        <v>11.23</v>
      </c>
      <c r="J3459" t="n">
        <v>0</v>
      </c>
      <c r="K3459" t="n">
        <v>0.1</v>
      </c>
      <c r="L3459" t="n">
        <v>0</v>
      </c>
      <c r="M3459" t="n">
        <v>4</v>
      </c>
      <c r="N3459" t="n">
        <v>0.4</v>
      </c>
      <c r="O3459" t="n">
        <v>0</v>
      </c>
      <c r="P3459" t="n">
        <v>0</v>
      </c>
      <c r="Q3459" t="n">
        <v>0</v>
      </c>
      <c r="R3459" t="inlineStr">
        <is>
          <t>Sin rotación</t>
        </is>
      </c>
    </row>
    <row r="3460">
      <c r="A3460" t="inlineStr">
        <is>
          <t>SHOUNKI187T2</t>
        </is>
      </c>
      <c r="B3460" t="inlineStr">
        <is>
          <t>[SHOUNKI187T2] SHORT PLAYA KIDS (Azul Pizarra, 2)</t>
        </is>
      </c>
      <c r="C3460" t="inlineStr">
        <is>
          <t>KIDS / SHORT PLAYA</t>
        </is>
      </c>
      <c r="D3460" t="n">
        <v>0</v>
      </c>
      <c r="E3460" t="n">
        <v>0</v>
      </c>
      <c r="F3460" t="n">
        <v>1.000010015470635</v>
      </c>
      <c r="G3460" t="inlineStr">
        <is>
          <t>C</t>
        </is>
      </c>
      <c r="H3460" t="n">
        <v>16</v>
      </c>
      <c r="I3460" t="n">
        <v>0</v>
      </c>
      <c r="J3460" t="n">
        <v>0</v>
      </c>
      <c r="K3460" t="n">
        <v>0</v>
      </c>
      <c r="L3460" t="n">
        <v>999</v>
      </c>
      <c r="M3460" t="n">
        <v>4</v>
      </c>
      <c r="N3460" t="n">
        <v>0</v>
      </c>
      <c r="O3460" t="n">
        <v>16</v>
      </c>
      <c r="P3460" t="n">
        <v>0</v>
      </c>
      <c r="Q3460" t="n">
        <v>0</v>
      </c>
      <c r="R3460" t="inlineStr">
        <is>
          <t>Sin rotación</t>
        </is>
      </c>
    </row>
    <row r="3461">
      <c r="A3461" t="inlineStr">
        <is>
          <t>SHOUNKI187T14</t>
        </is>
      </c>
      <c r="B3461" t="inlineStr">
        <is>
          <t>[SHOUNKI187T14] SHORT PLAYA KIDS (Azul Pizarra, 14)</t>
        </is>
      </c>
      <c r="C3461" t="inlineStr">
        <is>
          <t>KIDS / SHORT PLAYA</t>
        </is>
      </c>
      <c r="D3461" t="n">
        <v>0</v>
      </c>
      <c r="E3461" t="n">
        <v>0</v>
      </c>
      <c r="F3461" t="n">
        <v>1.000010015470635</v>
      </c>
      <c r="G3461" t="inlineStr">
        <is>
          <t>C</t>
        </is>
      </c>
      <c r="H3461" t="n">
        <v>32</v>
      </c>
      <c r="I3461" t="n">
        <v>0</v>
      </c>
      <c r="J3461" t="n">
        <v>0</v>
      </c>
      <c r="K3461" t="n">
        <v>0</v>
      </c>
      <c r="L3461" t="n">
        <v>999</v>
      </c>
      <c r="M3461" t="n">
        <v>4</v>
      </c>
      <c r="N3461" t="n">
        <v>0</v>
      </c>
      <c r="O3461" t="n">
        <v>32</v>
      </c>
      <c r="P3461" t="n">
        <v>0</v>
      </c>
      <c r="Q3461" t="n">
        <v>0</v>
      </c>
      <c r="R3461" t="inlineStr">
        <is>
          <t>Sin rotación</t>
        </is>
      </c>
    </row>
    <row r="3462">
      <c r="A3462" t="inlineStr">
        <is>
          <t>SHOUNKI187T12</t>
        </is>
      </c>
      <c r="B3462" t="inlineStr">
        <is>
          <t>[SHOUNKI187T12] SHORT PLAYA KIDS (Azul Pizarra, 12)</t>
        </is>
      </c>
      <c r="C3462" t="inlineStr">
        <is>
          <t>KIDS / SHORT PLAYA</t>
        </is>
      </c>
      <c r="D3462" t="n">
        <v>0</v>
      </c>
      <c r="E3462" t="n">
        <v>0</v>
      </c>
      <c r="F3462" t="n">
        <v>1.000010015470635</v>
      </c>
      <c r="G3462" t="inlineStr">
        <is>
          <t>C</t>
        </is>
      </c>
      <c r="H3462" t="n">
        <v>31</v>
      </c>
      <c r="I3462" t="n">
        <v>0</v>
      </c>
      <c r="J3462" t="n">
        <v>0</v>
      </c>
      <c r="K3462" t="n">
        <v>0</v>
      </c>
      <c r="L3462" t="n">
        <v>999</v>
      </c>
      <c r="M3462" t="n">
        <v>4</v>
      </c>
      <c r="N3462" t="n">
        <v>0</v>
      </c>
      <c r="O3462" t="n">
        <v>31</v>
      </c>
      <c r="P3462" t="n">
        <v>0</v>
      </c>
      <c r="Q3462" t="n">
        <v>0</v>
      </c>
      <c r="R3462" t="inlineStr">
        <is>
          <t>Sin rotación</t>
        </is>
      </c>
    </row>
    <row r="3463">
      <c r="A3463" t="inlineStr">
        <is>
          <t>SMLBLIDA16TXL</t>
        </is>
      </c>
      <c r="B3463" t="inlineStr">
        <is>
          <t>[SMLBLIDA16TXL] SPOTS MANGA LARGA DAMA (XL)</t>
        </is>
      </c>
      <c r="C3463" t="inlineStr">
        <is>
          <t>DAMA / SPOTS MANGA LARGA</t>
        </is>
      </c>
      <c r="D3463" t="n">
        <v>0</v>
      </c>
      <c r="E3463" t="n">
        <v>0</v>
      </c>
      <c r="F3463" t="n">
        <v>1.000010015470635</v>
      </c>
      <c r="G3463" t="inlineStr">
        <is>
          <t>C</t>
        </is>
      </c>
      <c r="H3463" t="n">
        <v>6</v>
      </c>
      <c r="I3463" t="n">
        <v>0</v>
      </c>
      <c r="J3463" t="n">
        <v>0</v>
      </c>
      <c r="K3463" t="n">
        <v>0</v>
      </c>
      <c r="L3463" t="n">
        <v>999</v>
      </c>
      <c r="M3463" t="n">
        <v>4</v>
      </c>
      <c r="N3463" t="n">
        <v>0</v>
      </c>
      <c r="O3463" t="n">
        <v>6</v>
      </c>
      <c r="P3463" t="n">
        <v>0</v>
      </c>
      <c r="Q3463" t="n">
        <v>0</v>
      </c>
      <c r="R3463" t="inlineStr">
        <is>
          <t>Sin rotación</t>
        </is>
      </c>
    </row>
    <row r="3464">
      <c r="A3464" t="inlineStr">
        <is>
          <t>SHOUNKI38T8</t>
        </is>
      </c>
      <c r="B3464" t="inlineStr">
        <is>
          <t>[SHOUNKI38T8] SHORT PLAYA KIDS (Marron, 8)</t>
        </is>
      </c>
      <c r="C3464" t="inlineStr">
        <is>
          <t>KIDS / SHORT PLAYA</t>
        </is>
      </c>
      <c r="D3464" t="n">
        <v>0</v>
      </c>
      <c r="E3464" t="n">
        <v>0</v>
      </c>
      <c r="F3464" t="n">
        <v>1.000010015470635</v>
      </c>
      <c r="G3464" t="inlineStr">
        <is>
          <t>C</t>
        </is>
      </c>
      <c r="H3464" t="n">
        <v>37</v>
      </c>
      <c r="I3464" t="n">
        <v>0</v>
      </c>
      <c r="J3464" t="n">
        <v>0</v>
      </c>
      <c r="K3464" t="n">
        <v>0</v>
      </c>
      <c r="L3464" t="n">
        <v>999</v>
      </c>
      <c r="M3464" t="n">
        <v>4</v>
      </c>
      <c r="N3464" t="n">
        <v>0</v>
      </c>
      <c r="O3464" t="n">
        <v>37</v>
      </c>
      <c r="P3464" t="n">
        <v>0</v>
      </c>
      <c r="Q3464" t="n">
        <v>0</v>
      </c>
      <c r="R3464" t="inlineStr">
        <is>
          <t>Sin rotación</t>
        </is>
      </c>
    </row>
    <row r="3465">
      <c r="A3465" t="inlineStr">
        <is>
          <t>SHOUNKI38T6</t>
        </is>
      </c>
      <c r="B3465" t="inlineStr">
        <is>
          <t>[SHOUNKI38T6] SHORT PLAYA KIDS (Marron, 6)</t>
        </is>
      </c>
      <c r="C3465" t="inlineStr">
        <is>
          <t>KIDS / SHORT PLAYA</t>
        </is>
      </c>
      <c r="D3465" t="n">
        <v>0</v>
      </c>
      <c r="E3465" t="n">
        <v>0</v>
      </c>
      <c r="F3465" t="n">
        <v>1.000010015470635</v>
      </c>
      <c r="G3465" t="inlineStr">
        <is>
          <t>C</t>
        </is>
      </c>
      <c r="H3465" t="n">
        <v>20</v>
      </c>
      <c r="I3465" t="n">
        <v>0</v>
      </c>
      <c r="J3465" t="n">
        <v>0</v>
      </c>
      <c r="K3465" t="n">
        <v>0</v>
      </c>
      <c r="L3465" t="n">
        <v>999</v>
      </c>
      <c r="M3465" t="n">
        <v>4</v>
      </c>
      <c r="N3465" t="n">
        <v>0</v>
      </c>
      <c r="O3465" t="n">
        <v>20</v>
      </c>
      <c r="P3465" t="n">
        <v>0</v>
      </c>
      <c r="Q3465" t="n">
        <v>0</v>
      </c>
      <c r="R3465" t="inlineStr">
        <is>
          <t>Sin rotación</t>
        </is>
      </c>
    </row>
    <row r="3466">
      <c r="A3466" t="inlineStr">
        <is>
          <t>SHOUNKI38T4</t>
        </is>
      </c>
      <c r="B3466" t="inlineStr">
        <is>
          <t>[SHOUNKI38T4] SHORT PLAYA KIDS (Marron, 4)</t>
        </is>
      </c>
      <c r="C3466" t="inlineStr">
        <is>
          <t>KIDS / SHORT PLAYA</t>
        </is>
      </c>
      <c r="D3466" t="n">
        <v>0</v>
      </c>
      <c r="E3466" t="n">
        <v>0</v>
      </c>
      <c r="F3466" t="n">
        <v>1.000010015470635</v>
      </c>
      <c r="G3466" t="inlineStr">
        <is>
          <t>C</t>
        </is>
      </c>
      <c r="H3466" t="n">
        <v>19</v>
      </c>
      <c r="I3466" t="n">
        <v>0</v>
      </c>
      <c r="J3466" t="n">
        <v>0</v>
      </c>
      <c r="K3466" t="n">
        <v>0</v>
      </c>
      <c r="L3466" t="n">
        <v>999</v>
      </c>
      <c r="M3466" t="n">
        <v>4</v>
      </c>
      <c r="N3466" t="n">
        <v>0</v>
      </c>
      <c r="O3466" t="n">
        <v>19</v>
      </c>
      <c r="P3466" t="n">
        <v>0</v>
      </c>
      <c r="Q3466" t="n">
        <v>0</v>
      </c>
      <c r="R3466" t="inlineStr">
        <is>
          <t>Sin rotación</t>
        </is>
      </c>
    </row>
    <row r="3467">
      <c r="A3467" t="inlineStr">
        <is>
          <t>SHOUNKI38T12</t>
        </is>
      </c>
      <c r="B3467" t="inlineStr">
        <is>
          <t>[SHOUNKI38T12] SHORT PLAYA KIDS (Marron, 12)</t>
        </is>
      </c>
      <c r="C3467" t="inlineStr">
        <is>
          <t>KIDS / SHORT PLAYA</t>
        </is>
      </c>
      <c r="D3467" t="n">
        <v>0</v>
      </c>
      <c r="E3467" t="n">
        <v>0</v>
      </c>
      <c r="F3467" t="n">
        <v>1.000010015470635</v>
      </c>
      <c r="G3467" t="inlineStr">
        <is>
          <t>C</t>
        </is>
      </c>
      <c r="H3467" t="n">
        <v>35</v>
      </c>
      <c r="I3467" t="n">
        <v>0</v>
      </c>
      <c r="J3467" t="n">
        <v>0</v>
      </c>
      <c r="K3467" t="n">
        <v>0</v>
      </c>
      <c r="L3467" t="n">
        <v>999</v>
      </c>
      <c r="M3467" t="n">
        <v>4</v>
      </c>
      <c r="N3467" t="n">
        <v>0</v>
      </c>
      <c r="O3467" t="n">
        <v>35</v>
      </c>
      <c r="P3467" t="n">
        <v>0</v>
      </c>
      <c r="Q3467" t="n">
        <v>0</v>
      </c>
      <c r="R3467" t="inlineStr">
        <is>
          <t>Sin rotación</t>
        </is>
      </c>
    </row>
    <row r="3468">
      <c r="A3468" t="inlineStr">
        <is>
          <t>SHOUNKI38T10</t>
        </is>
      </c>
      <c r="B3468" t="inlineStr">
        <is>
          <t>[SHOUNKI38T10] SHORT PLAYA KIDS (Marron, 10)</t>
        </is>
      </c>
      <c r="C3468" t="inlineStr">
        <is>
          <t>KIDS / SHORT PLAYA</t>
        </is>
      </c>
      <c r="D3468" t="n">
        <v>0</v>
      </c>
      <c r="E3468" t="n">
        <v>0</v>
      </c>
      <c r="F3468" t="n">
        <v>1.000010015470635</v>
      </c>
      <c r="G3468" t="inlineStr">
        <is>
          <t>C</t>
        </is>
      </c>
      <c r="H3468" t="n">
        <v>38</v>
      </c>
      <c r="I3468" t="n">
        <v>0</v>
      </c>
      <c r="J3468" t="n">
        <v>0</v>
      </c>
      <c r="K3468" t="n">
        <v>0</v>
      </c>
      <c r="L3468" t="n">
        <v>999</v>
      </c>
      <c r="M3468" t="n">
        <v>4</v>
      </c>
      <c r="N3468" t="n">
        <v>0</v>
      </c>
      <c r="O3468" t="n">
        <v>38</v>
      </c>
      <c r="P3468" t="n">
        <v>0</v>
      </c>
      <c r="Q3468" t="n">
        <v>0</v>
      </c>
      <c r="R3468" t="inlineStr">
        <is>
          <t>Sin rotación</t>
        </is>
      </c>
    </row>
    <row r="3469">
      <c r="A3469" t="inlineStr">
        <is>
          <t>MAYFNDA24TXS</t>
        </is>
      </c>
      <c r="B3469" t="inlineStr">
        <is>
          <t>MAYA SPORT LITE DAMA</t>
        </is>
      </c>
      <c r="C3469" t="inlineStr">
        <is>
          <t>Manufactura / Dama / P. Superiores</t>
        </is>
      </c>
      <c r="D3469" t="n">
        <v>0</v>
      </c>
      <c r="E3469" t="n">
        <v>0</v>
      </c>
      <c r="F3469" t="n">
        <v>1.000010015470635</v>
      </c>
      <c r="G3469" t="inlineStr">
        <is>
          <t>C</t>
        </is>
      </c>
      <c r="H3469" t="n">
        <v>25</v>
      </c>
      <c r="I3469" t="n">
        <v>3.87</v>
      </c>
      <c r="J3469" t="n">
        <v>96.74999999999999</v>
      </c>
      <c r="K3469" t="n">
        <v>0.3</v>
      </c>
      <c r="L3469" t="n">
        <v>83.33333333333334</v>
      </c>
      <c r="M3469" t="n">
        <v>4</v>
      </c>
      <c r="N3469" t="n">
        <v>1.2</v>
      </c>
      <c r="O3469" t="n">
        <v>23.8</v>
      </c>
      <c r="P3469" t="n">
        <v>92.10599999999999</v>
      </c>
      <c r="Q3469" t="n">
        <v>0.9520000000000001</v>
      </c>
      <c r="R3469" t="inlineStr">
        <is>
          <t>Sobrestock crítico</t>
        </is>
      </c>
    </row>
    <row r="3470">
      <c r="A3470" t="inlineStr">
        <is>
          <t>MAYFNDA13T2XL</t>
        </is>
      </c>
      <c r="B3470" t="inlineStr">
        <is>
          <t>[MAYFNDA13T2XL] MAYA SPORT LITE DAMA (Azul Rey, 2XL)</t>
        </is>
      </c>
      <c r="C3470" t="inlineStr">
        <is>
          <t>DAMA / MAYA SPORT LITE</t>
        </is>
      </c>
      <c r="D3470" t="n">
        <v>0</v>
      </c>
      <c r="E3470" t="n">
        <v>0</v>
      </c>
      <c r="F3470" t="n">
        <v>1.000010015470635</v>
      </c>
      <c r="G3470" t="inlineStr">
        <is>
          <t>C</t>
        </is>
      </c>
      <c r="H3470" t="n">
        <v>3</v>
      </c>
      <c r="I3470" t="n">
        <v>0</v>
      </c>
      <c r="J3470" t="n">
        <v>0</v>
      </c>
      <c r="K3470" t="n">
        <v>0</v>
      </c>
      <c r="L3470" t="n">
        <v>999</v>
      </c>
      <c r="M3470" t="n">
        <v>4</v>
      </c>
      <c r="N3470" t="n">
        <v>0</v>
      </c>
      <c r="O3470" t="n">
        <v>3</v>
      </c>
      <c r="P3470" t="n">
        <v>0</v>
      </c>
      <c r="Q3470" t="n">
        <v>0</v>
      </c>
      <c r="R3470" t="inlineStr">
        <is>
          <t>Sin rotación</t>
        </is>
      </c>
    </row>
    <row r="3471">
      <c r="A3471" t="inlineStr">
        <is>
          <t>PETMIPE40TM</t>
        </is>
      </c>
      <c r="B3471" t="inlineStr">
        <is>
          <t>[PETMIPE40TM] BANDANA PET (Morado Uva, M)</t>
        </is>
      </c>
      <c r="C3471" t="inlineStr">
        <is>
          <t>BANDANA PET</t>
        </is>
      </c>
      <c r="D3471" t="n">
        <v>0</v>
      </c>
      <c r="E3471" t="n">
        <v>0</v>
      </c>
      <c r="F3471" t="n">
        <v>1.000010015470635</v>
      </c>
      <c r="G3471" t="inlineStr">
        <is>
          <t>C</t>
        </is>
      </c>
      <c r="H3471" t="n">
        <v>60</v>
      </c>
      <c r="I3471" t="n">
        <v>0</v>
      </c>
      <c r="J3471" t="n">
        <v>0</v>
      </c>
      <c r="K3471" t="n">
        <v>0</v>
      </c>
      <c r="L3471" t="n">
        <v>999</v>
      </c>
      <c r="M3471" t="n">
        <v>4</v>
      </c>
      <c r="N3471" t="n">
        <v>0</v>
      </c>
      <c r="O3471" t="n">
        <v>60</v>
      </c>
      <c r="P3471" t="n">
        <v>0</v>
      </c>
      <c r="Q3471" t="n">
        <v>0</v>
      </c>
      <c r="R3471" t="inlineStr">
        <is>
          <t>Sin rotación</t>
        </is>
      </c>
    </row>
    <row r="3472">
      <c r="A3472" t="inlineStr">
        <is>
          <t>SHOUNKI187T4</t>
        </is>
      </c>
      <c r="B3472" t="inlineStr">
        <is>
          <t>[SHOUNKI187T4] SHORT PLAYA KIDS (Azul Pizarra, 4)</t>
        </is>
      </c>
      <c r="C3472" t="inlineStr">
        <is>
          <t>KIDS / SHORT PLAYA</t>
        </is>
      </c>
      <c r="D3472" t="n">
        <v>0</v>
      </c>
      <c r="E3472" t="n">
        <v>0</v>
      </c>
      <c r="F3472" t="n">
        <v>1.000010015470635</v>
      </c>
      <c r="G3472" t="inlineStr">
        <is>
          <t>C</t>
        </is>
      </c>
      <c r="H3472" t="n">
        <v>14</v>
      </c>
      <c r="I3472" t="n">
        <v>0</v>
      </c>
      <c r="J3472" t="n">
        <v>0</v>
      </c>
      <c r="K3472" t="n">
        <v>0</v>
      </c>
      <c r="L3472" t="n">
        <v>999</v>
      </c>
      <c r="M3472" t="n">
        <v>4</v>
      </c>
      <c r="N3472" t="n">
        <v>0</v>
      </c>
      <c r="O3472" t="n">
        <v>14</v>
      </c>
      <c r="P3472" t="n">
        <v>0</v>
      </c>
      <c r="Q3472" t="n">
        <v>0</v>
      </c>
      <c r="R3472" t="inlineStr">
        <is>
          <t>Sin rotación</t>
        </is>
      </c>
    </row>
    <row r="3473">
      <c r="A3473" t="inlineStr">
        <is>
          <t>CLAMIDA01TXL</t>
        </is>
      </c>
      <c r="B3473" t="inlineStr">
        <is>
          <t>CLASICA ORIGINAL DAMA</t>
        </is>
      </c>
      <c r="C3473" t="inlineStr">
        <is>
          <t>Manufactura / Dama / P. Superiores</t>
        </is>
      </c>
      <c r="D3473" t="n">
        <v>0</v>
      </c>
      <c r="E3473" t="n">
        <v>0</v>
      </c>
      <c r="F3473" t="n">
        <v>1.000010015470635</v>
      </c>
      <c r="G3473" t="inlineStr">
        <is>
          <t>C</t>
        </is>
      </c>
      <c r="H3473" t="n">
        <v>0</v>
      </c>
      <c r="I3473" t="n">
        <v>3.923227589</v>
      </c>
      <c r="J3473" t="n">
        <v>0</v>
      </c>
      <c r="K3473" t="n">
        <v>0.5</v>
      </c>
      <c r="L3473" t="n">
        <v>0</v>
      </c>
      <c r="M3473" t="n">
        <v>4</v>
      </c>
      <c r="N3473" t="n">
        <v>2</v>
      </c>
      <c r="O3473" t="n">
        <v>0</v>
      </c>
      <c r="P3473" t="n">
        <v>0</v>
      </c>
      <c r="Q3473" t="n">
        <v>0</v>
      </c>
      <c r="R3473" t="inlineStr">
        <is>
          <t>Riesgo bajo stock</t>
        </is>
      </c>
    </row>
    <row r="3474">
      <c r="A3474" t="inlineStr">
        <is>
          <t>CLAMIDA01TS</t>
        </is>
      </c>
      <c r="B3474" t="inlineStr">
        <is>
          <t>CLASICA ORIGINAL DAMA</t>
        </is>
      </c>
      <c r="C3474" t="inlineStr">
        <is>
          <t>Manufactura / Dama / P. Superiores</t>
        </is>
      </c>
      <c r="D3474" t="n">
        <v>0</v>
      </c>
      <c r="E3474" t="n">
        <v>0</v>
      </c>
      <c r="F3474" t="n">
        <v>1.000010015470635</v>
      </c>
      <c r="G3474" t="inlineStr">
        <is>
          <t>C</t>
        </is>
      </c>
      <c r="H3474" t="n">
        <v>0</v>
      </c>
      <c r="I3474" t="n">
        <v>3.923227589</v>
      </c>
      <c r="J3474" t="n">
        <v>0</v>
      </c>
      <c r="K3474" t="n">
        <v>2.5</v>
      </c>
      <c r="L3474" t="n">
        <v>0</v>
      </c>
      <c r="M3474" t="n">
        <v>4</v>
      </c>
      <c r="N3474" t="n">
        <v>10</v>
      </c>
      <c r="O3474" t="n">
        <v>0</v>
      </c>
      <c r="P3474" t="n">
        <v>0</v>
      </c>
      <c r="Q3474" t="n">
        <v>0</v>
      </c>
      <c r="R3474" t="inlineStr">
        <is>
          <t>Riesgo bajo stock</t>
        </is>
      </c>
    </row>
    <row r="3475">
      <c r="A3475" t="inlineStr">
        <is>
          <t>CLAMIDA01TM</t>
        </is>
      </c>
      <c r="B3475" t="inlineStr">
        <is>
          <t>CLASICA ORIGINAL DAMA</t>
        </is>
      </c>
      <c r="C3475" t="inlineStr">
        <is>
          <t>Manufactura / Dama / P. Superiores</t>
        </is>
      </c>
      <c r="D3475" t="n">
        <v>0</v>
      </c>
      <c r="E3475" t="n">
        <v>0</v>
      </c>
      <c r="F3475" t="n">
        <v>1.000010015470635</v>
      </c>
      <c r="G3475" t="inlineStr">
        <is>
          <t>C</t>
        </is>
      </c>
      <c r="H3475" t="n">
        <v>1</v>
      </c>
      <c r="I3475" t="n">
        <v>3.923227589</v>
      </c>
      <c r="J3475" t="n">
        <v>3.923227589</v>
      </c>
      <c r="K3475" t="n">
        <v>2.6</v>
      </c>
      <c r="L3475" t="n">
        <v>0.3846153846153846</v>
      </c>
      <c r="M3475" t="n">
        <v>4</v>
      </c>
      <c r="N3475" t="n">
        <v>10.4</v>
      </c>
      <c r="O3475" t="n">
        <v>0</v>
      </c>
      <c r="P3475" t="n">
        <v>0</v>
      </c>
      <c r="Q3475" t="n">
        <v>0</v>
      </c>
      <c r="R3475" t="inlineStr">
        <is>
          <t>Riesgo bajo stock</t>
        </is>
      </c>
    </row>
    <row r="3476">
      <c r="A3476" t="inlineStr">
        <is>
          <t>CLAMIDA01TL</t>
        </is>
      </c>
      <c r="B3476" t="inlineStr">
        <is>
          <t>CLASICA ORIGINAL DAMA</t>
        </is>
      </c>
      <c r="C3476" t="inlineStr">
        <is>
          <t>Manufactura / Dama / P. Superiores</t>
        </is>
      </c>
      <c r="D3476" t="n">
        <v>0</v>
      </c>
      <c r="E3476" t="n">
        <v>0</v>
      </c>
      <c r="F3476" t="n">
        <v>1.000010015470635</v>
      </c>
      <c r="G3476" t="inlineStr">
        <is>
          <t>C</t>
        </is>
      </c>
      <c r="H3476" t="n">
        <v>1</v>
      </c>
      <c r="I3476" t="n">
        <v>3.923227589</v>
      </c>
      <c r="J3476" t="n">
        <v>3.923227589</v>
      </c>
      <c r="K3476" t="n">
        <v>1.6</v>
      </c>
      <c r="L3476" t="n">
        <v>0.625</v>
      </c>
      <c r="M3476" t="n">
        <v>4</v>
      </c>
      <c r="N3476" t="n">
        <v>6.4</v>
      </c>
      <c r="O3476" t="n">
        <v>0</v>
      </c>
      <c r="P3476" t="n">
        <v>0</v>
      </c>
      <c r="Q3476" t="n">
        <v>0</v>
      </c>
      <c r="R3476" t="inlineStr">
        <is>
          <t>Riesgo bajo stock</t>
        </is>
      </c>
    </row>
    <row r="3477">
      <c r="A3477" t="inlineStr">
        <is>
          <t>SHOUNKI170T12</t>
        </is>
      </c>
      <c r="B3477" t="inlineStr">
        <is>
          <t>[SHOUNKI170T12] SHORT PLAYA KIDS (Cereza, 12)</t>
        </is>
      </c>
      <c r="C3477" t="inlineStr">
        <is>
          <t>KIDS / SHORT PLAYA</t>
        </is>
      </c>
      <c r="D3477" t="n">
        <v>0</v>
      </c>
      <c r="E3477" t="n">
        <v>0</v>
      </c>
      <c r="F3477" t="n">
        <v>1.000010015470635</v>
      </c>
      <c r="G3477" t="inlineStr">
        <is>
          <t>C</t>
        </is>
      </c>
      <c r="H3477" t="n">
        <v>24</v>
      </c>
      <c r="I3477" t="n">
        <v>0</v>
      </c>
      <c r="J3477" t="n">
        <v>0</v>
      </c>
      <c r="K3477" t="n">
        <v>0</v>
      </c>
      <c r="L3477" t="n">
        <v>999</v>
      </c>
      <c r="M3477" t="n">
        <v>4</v>
      </c>
      <c r="N3477" t="n">
        <v>0</v>
      </c>
      <c r="O3477" t="n">
        <v>24</v>
      </c>
      <c r="P3477" t="n">
        <v>0</v>
      </c>
      <c r="Q3477" t="n">
        <v>0</v>
      </c>
      <c r="R3477" t="inlineStr">
        <is>
          <t>Sin rotación</t>
        </is>
      </c>
    </row>
    <row r="3478">
      <c r="A3478" t="inlineStr">
        <is>
          <t>CLAMIKI34T4</t>
        </is>
      </c>
      <c r="B3478" t="inlineStr">
        <is>
          <t>[CLAMIKI34T4] CLASICA ORIGINAL KIDS (Lila, 4)</t>
        </is>
      </c>
      <c r="C3478" t="inlineStr">
        <is>
          <t>KIDS / CLASICA ORIGINAL</t>
        </is>
      </c>
      <c r="D3478" t="n">
        <v>0</v>
      </c>
      <c r="E3478" t="n">
        <v>0</v>
      </c>
      <c r="F3478" t="n">
        <v>1.000010015470635</v>
      </c>
      <c r="G3478" t="inlineStr">
        <is>
          <t>C</t>
        </is>
      </c>
      <c r="H3478" t="n">
        <v>5</v>
      </c>
      <c r="I3478" t="n">
        <v>0</v>
      </c>
      <c r="J3478" t="n">
        <v>0</v>
      </c>
      <c r="K3478" t="n">
        <v>0</v>
      </c>
      <c r="L3478" t="n">
        <v>999</v>
      </c>
      <c r="M3478" t="n">
        <v>4</v>
      </c>
      <c r="N3478" t="n">
        <v>0</v>
      </c>
      <c r="O3478" t="n">
        <v>5</v>
      </c>
      <c r="P3478" t="n">
        <v>0</v>
      </c>
      <c r="Q3478" t="n">
        <v>0</v>
      </c>
      <c r="R3478" t="inlineStr">
        <is>
          <t>Sin rotación</t>
        </is>
      </c>
    </row>
    <row r="3479">
      <c r="A3479" t="inlineStr">
        <is>
          <t>CLAMIKI34T14</t>
        </is>
      </c>
      <c r="B3479" t="inlineStr">
        <is>
          <t>[CLAMIKI34T14] CLASICA ORIGINAL KIDS (Lila, 14)</t>
        </is>
      </c>
      <c r="C3479" t="inlineStr">
        <is>
          <t>KIDS / CLASICA ORIGINAL</t>
        </is>
      </c>
      <c r="D3479" t="n">
        <v>0</v>
      </c>
      <c r="E3479" t="n">
        <v>0</v>
      </c>
      <c r="F3479" t="n">
        <v>1.000010015470635</v>
      </c>
      <c r="G3479" t="inlineStr">
        <is>
          <t>C</t>
        </is>
      </c>
      <c r="H3479" t="n">
        <v>1</v>
      </c>
      <c r="I3479" t="n">
        <v>0</v>
      </c>
      <c r="J3479" t="n">
        <v>0</v>
      </c>
      <c r="K3479" t="n">
        <v>0</v>
      </c>
      <c r="L3479" t="n">
        <v>999</v>
      </c>
      <c r="M3479" t="n">
        <v>4</v>
      </c>
      <c r="N3479" t="n">
        <v>0</v>
      </c>
      <c r="O3479" t="n">
        <v>1</v>
      </c>
      <c r="P3479" t="n">
        <v>0</v>
      </c>
      <c r="Q3479" t="n">
        <v>0</v>
      </c>
      <c r="R3479" t="inlineStr">
        <is>
          <t>Sin rotación</t>
        </is>
      </c>
    </row>
    <row r="3480">
      <c r="A3480" t="inlineStr">
        <is>
          <t>CLAMIKI30T6</t>
        </is>
      </c>
      <c r="B3480" t="inlineStr">
        <is>
          <t>[CLAMIKI30T6] CLASICA ORIGINAL KIDS (Gris Claro, 6)</t>
        </is>
      </c>
      <c r="C3480" t="inlineStr">
        <is>
          <t>KIDS / CLASICA ORIGINAL</t>
        </is>
      </c>
      <c r="D3480" t="n">
        <v>0</v>
      </c>
      <c r="E3480" t="n">
        <v>0</v>
      </c>
      <c r="F3480" t="n">
        <v>1.000010015470635</v>
      </c>
      <c r="G3480" t="inlineStr">
        <is>
          <t>C</t>
        </is>
      </c>
      <c r="H3480" t="n">
        <v>1</v>
      </c>
      <c r="I3480" t="n">
        <v>0</v>
      </c>
      <c r="J3480" t="n">
        <v>0</v>
      </c>
      <c r="K3480" t="n">
        <v>0</v>
      </c>
      <c r="L3480" t="n">
        <v>999</v>
      </c>
      <c r="M3480" t="n">
        <v>4</v>
      </c>
      <c r="N3480" t="n">
        <v>0</v>
      </c>
      <c r="O3480" t="n">
        <v>1</v>
      </c>
      <c r="P3480" t="n">
        <v>0</v>
      </c>
      <c r="Q3480" t="n">
        <v>0</v>
      </c>
      <c r="R3480" t="inlineStr">
        <is>
          <t>Sin rotación</t>
        </is>
      </c>
    </row>
    <row r="3481">
      <c r="A3481" t="inlineStr">
        <is>
          <t>CLAMIKI30T2</t>
        </is>
      </c>
      <c r="B3481" t="inlineStr">
        <is>
          <t>[CLAMIKI30T2] CLASICA ORIGINAL KIDS (Gris Claro, 2)</t>
        </is>
      </c>
      <c r="C3481" t="inlineStr">
        <is>
          <t>KIDS / CLASICA ORIGINAL</t>
        </is>
      </c>
      <c r="D3481" t="n">
        <v>0</v>
      </c>
      <c r="E3481" t="n">
        <v>0</v>
      </c>
      <c r="F3481" t="n">
        <v>1.000010015470635</v>
      </c>
      <c r="G3481" t="inlineStr">
        <is>
          <t>C</t>
        </is>
      </c>
      <c r="H3481" t="n">
        <v>41</v>
      </c>
      <c r="I3481" t="n">
        <v>0</v>
      </c>
      <c r="J3481" t="n">
        <v>0</v>
      </c>
      <c r="K3481" t="n">
        <v>0</v>
      </c>
      <c r="L3481" t="n">
        <v>999</v>
      </c>
      <c r="M3481" t="n">
        <v>4</v>
      </c>
      <c r="N3481" t="n">
        <v>0</v>
      </c>
      <c r="O3481" t="n">
        <v>41</v>
      </c>
      <c r="P3481" t="n">
        <v>0</v>
      </c>
      <c r="Q3481" t="n">
        <v>0</v>
      </c>
      <c r="R3481" t="inlineStr">
        <is>
          <t>Sin rotación</t>
        </is>
      </c>
    </row>
    <row r="3482">
      <c r="A3482" t="inlineStr">
        <is>
          <t>CLAMIKI28T14</t>
        </is>
      </c>
      <c r="B3482" t="inlineStr">
        <is>
          <t>CLASICA ORIGINAL KIDS</t>
        </is>
      </c>
      <c r="C3482" t="inlineStr">
        <is>
          <t>Manufactura / Kids / P. Superiores</t>
        </is>
      </c>
      <c r="D3482" t="n">
        <v>0</v>
      </c>
      <c r="E3482" t="n">
        <v>0</v>
      </c>
      <c r="F3482" t="n">
        <v>1.000010015470635</v>
      </c>
      <c r="G3482" t="inlineStr">
        <is>
          <t>C</t>
        </is>
      </c>
      <c r="H3482" t="n">
        <v>0</v>
      </c>
      <c r="I3482" t="n">
        <v>2.053774806</v>
      </c>
      <c r="J3482" t="n">
        <v>0</v>
      </c>
      <c r="K3482" t="n">
        <v>0.2</v>
      </c>
      <c r="L3482" t="n">
        <v>0</v>
      </c>
      <c r="M3482" t="n">
        <v>4</v>
      </c>
      <c r="N3482" t="n">
        <v>0.8</v>
      </c>
      <c r="O3482" t="n">
        <v>0</v>
      </c>
      <c r="P3482" t="n">
        <v>0</v>
      </c>
      <c r="Q3482" t="n">
        <v>0</v>
      </c>
      <c r="R3482" t="inlineStr">
        <is>
          <t>Riesgo bajo stock</t>
        </is>
      </c>
    </row>
    <row r="3483">
      <c r="A3483" t="inlineStr">
        <is>
          <t>CLAMIKI70T12</t>
        </is>
      </c>
      <c r="B3483" t="inlineStr">
        <is>
          <t>[CLAMIKI70T12] CLASICA ORIGINAL KIDS (Vinotinto, 12)</t>
        </is>
      </c>
      <c r="C3483" t="inlineStr">
        <is>
          <t>KIDS / CLASICA ORIGINAL</t>
        </is>
      </c>
      <c r="D3483" t="n">
        <v>0</v>
      </c>
      <c r="E3483" t="n">
        <v>0</v>
      </c>
      <c r="F3483" t="n">
        <v>1.000010015470635</v>
      </c>
      <c r="G3483" t="inlineStr">
        <is>
          <t>C</t>
        </is>
      </c>
      <c r="H3483" t="n">
        <v>1</v>
      </c>
      <c r="I3483" t="n">
        <v>0</v>
      </c>
      <c r="J3483" t="n">
        <v>0</v>
      </c>
      <c r="K3483" t="n">
        <v>0</v>
      </c>
      <c r="L3483" t="n">
        <v>999</v>
      </c>
      <c r="M3483" t="n">
        <v>4</v>
      </c>
      <c r="N3483" t="n">
        <v>0</v>
      </c>
      <c r="O3483" t="n">
        <v>1</v>
      </c>
      <c r="P3483" t="n">
        <v>0</v>
      </c>
      <c r="Q3483" t="n">
        <v>0</v>
      </c>
      <c r="R3483" t="inlineStr">
        <is>
          <t>Sin rotación</t>
        </is>
      </c>
    </row>
    <row r="3484">
      <c r="A3484" t="inlineStr">
        <is>
          <t>SHOUNKI186T2</t>
        </is>
      </c>
      <c r="B3484" t="inlineStr">
        <is>
          <t>[SHOUNKI186T2] SHORT PLAYA KIDS (Azul Verdoso, 2)</t>
        </is>
      </c>
      <c r="C3484" t="inlineStr">
        <is>
          <t>KIDS / SHORT PLAYA</t>
        </is>
      </c>
      <c r="D3484" t="n">
        <v>0</v>
      </c>
      <c r="E3484" t="n">
        <v>0</v>
      </c>
      <c r="F3484" t="n">
        <v>1.000010015470635</v>
      </c>
      <c r="G3484" t="inlineStr">
        <is>
          <t>C</t>
        </is>
      </c>
      <c r="H3484" t="n">
        <v>21</v>
      </c>
      <c r="I3484" t="n">
        <v>0</v>
      </c>
      <c r="J3484" t="n">
        <v>0</v>
      </c>
      <c r="K3484" t="n">
        <v>0</v>
      </c>
      <c r="L3484" t="n">
        <v>999</v>
      </c>
      <c r="M3484" t="n">
        <v>4</v>
      </c>
      <c r="N3484" t="n">
        <v>0</v>
      </c>
      <c r="O3484" t="n">
        <v>21</v>
      </c>
      <c r="P3484" t="n">
        <v>0</v>
      </c>
      <c r="Q3484" t="n">
        <v>0</v>
      </c>
      <c r="R3484" t="inlineStr">
        <is>
          <t>Sin rotación</t>
        </is>
      </c>
    </row>
    <row r="3485">
      <c r="A3485" t="inlineStr">
        <is>
          <t>SHR2VIDA43TL</t>
        </is>
      </c>
      <c r="B3485" t="inlineStr">
        <is>
          <t>SHORT R2 DAMA</t>
        </is>
      </c>
      <c r="C3485" t="inlineStr">
        <is>
          <t>Manufactura / Dama / P. Inferiores</t>
        </is>
      </c>
      <c r="D3485" t="n">
        <v>0</v>
      </c>
      <c r="E3485" t="n">
        <v>0</v>
      </c>
      <c r="F3485" t="n">
        <v>1.000010015470635</v>
      </c>
      <c r="G3485" t="inlineStr">
        <is>
          <t>C</t>
        </is>
      </c>
      <c r="H3485" t="n">
        <v>2</v>
      </c>
      <c r="I3485" t="n">
        <v>13.86928571</v>
      </c>
      <c r="J3485" t="n">
        <v>27.73857142</v>
      </c>
      <c r="K3485" t="n">
        <v>0.2</v>
      </c>
      <c r="L3485" t="n">
        <v>10</v>
      </c>
      <c r="M3485" t="n">
        <v>4</v>
      </c>
      <c r="N3485" t="n">
        <v>0.8</v>
      </c>
      <c r="O3485" t="n">
        <v>1.2</v>
      </c>
      <c r="P3485" t="n">
        <v>16.643142852</v>
      </c>
      <c r="Q3485" t="n">
        <v>0.6</v>
      </c>
      <c r="R3485" t="inlineStr">
        <is>
          <t>Sobrestock crítico</t>
        </is>
      </c>
    </row>
    <row r="3486">
      <c r="A3486" t="inlineStr">
        <is>
          <t>SHOUNKI186T10</t>
        </is>
      </c>
      <c r="B3486" t="inlineStr">
        <is>
          <t>[SHOUNKI186T10] SHORT PLAYA KIDS (Azul Verdoso, 10)</t>
        </is>
      </c>
      <c r="C3486" t="inlineStr">
        <is>
          <t>KIDS / SHORT PLAYA</t>
        </is>
      </c>
      <c r="D3486" t="n">
        <v>0</v>
      </c>
      <c r="E3486" t="n">
        <v>0</v>
      </c>
      <c r="F3486" t="n">
        <v>1.000010015470635</v>
      </c>
      <c r="G3486" t="inlineStr">
        <is>
          <t>C</t>
        </is>
      </c>
      <c r="H3486" t="n">
        <v>33</v>
      </c>
      <c r="I3486" t="n">
        <v>0</v>
      </c>
      <c r="J3486" t="n">
        <v>0</v>
      </c>
      <c r="K3486" t="n">
        <v>0</v>
      </c>
      <c r="L3486" t="n">
        <v>999</v>
      </c>
      <c r="M3486" t="n">
        <v>4</v>
      </c>
      <c r="N3486" t="n">
        <v>0</v>
      </c>
      <c r="O3486" t="n">
        <v>33</v>
      </c>
      <c r="P3486" t="n">
        <v>0</v>
      </c>
      <c r="Q3486" t="n">
        <v>0</v>
      </c>
      <c r="R3486" t="inlineStr">
        <is>
          <t>Sin rotación</t>
        </is>
      </c>
    </row>
    <row r="3487">
      <c r="A3487" t="inlineStr">
        <is>
          <t>SHOUNKI170T8</t>
        </is>
      </c>
      <c r="B3487" t="inlineStr">
        <is>
          <t>[SHOUNKI170T8] SHORT PLAYA KIDS (Cereza, 8)</t>
        </is>
      </c>
      <c r="C3487" t="inlineStr">
        <is>
          <t>KIDS / SHORT PLAYA</t>
        </is>
      </c>
      <c r="D3487" t="n">
        <v>0</v>
      </c>
      <c r="E3487" t="n">
        <v>0</v>
      </c>
      <c r="F3487" t="n">
        <v>1.000010015470635</v>
      </c>
      <c r="G3487" t="inlineStr">
        <is>
          <t>C</t>
        </is>
      </c>
      <c r="H3487" t="n">
        <v>26</v>
      </c>
      <c r="I3487" t="n">
        <v>0</v>
      </c>
      <c r="J3487" t="n">
        <v>0</v>
      </c>
      <c r="K3487" t="n">
        <v>0</v>
      </c>
      <c r="L3487" t="n">
        <v>999</v>
      </c>
      <c r="M3487" t="n">
        <v>4</v>
      </c>
      <c r="N3487" t="n">
        <v>0</v>
      </c>
      <c r="O3487" t="n">
        <v>26</v>
      </c>
      <c r="P3487" t="n">
        <v>0</v>
      </c>
      <c r="Q3487" t="n">
        <v>0</v>
      </c>
      <c r="R3487" t="inlineStr">
        <is>
          <t>Sin rotación</t>
        </is>
      </c>
    </row>
    <row r="3488">
      <c r="A3488" t="inlineStr">
        <is>
          <t>SHOUNKI170T6</t>
        </is>
      </c>
      <c r="B3488" t="inlineStr">
        <is>
          <t>[SHOUNKI170T6] SHORT PLAYA KIDS (Cereza, 6)</t>
        </is>
      </c>
      <c r="C3488" t="inlineStr">
        <is>
          <t>KIDS / SHORT PLAYA</t>
        </is>
      </c>
      <c r="D3488" t="n">
        <v>0</v>
      </c>
      <c r="E3488" t="n">
        <v>0</v>
      </c>
      <c r="F3488" t="n">
        <v>1.000010015470635</v>
      </c>
      <c r="G3488" t="inlineStr">
        <is>
          <t>C</t>
        </is>
      </c>
      <c r="H3488" t="n">
        <v>16</v>
      </c>
      <c r="I3488" t="n">
        <v>0</v>
      </c>
      <c r="J3488" t="n">
        <v>0</v>
      </c>
      <c r="K3488" t="n">
        <v>0</v>
      </c>
      <c r="L3488" t="n">
        <v>999</v>
      </c>
      <c r="M3488" t="n">
        <v>4</v>
      </c>
      <c r="N3488" t="n">
        <v>0</v>
      </c>
      <c r="O3488" t="n">
        <v>16</v>
      </c>
      <c r="P3488" t="n">
        <v>0</v>
      </c>
      <c r="Q3488" t="n">
        <v>0</v>
      </c>
      <c r="R3488" t="inlineStr">
        <is>
          <t>Sin rotación</t>
        </is>
      </c>
    </row>
    <row r="3489">
      <c r="A3489" t="inlineStr">
        <is>
          <t>SHOUNKI170T4</t>
        </is>
      </c>
      <c r="B3489" t="inlineStr">
        <is>
          <t>[SHOUNKI170T4] SHORT PLAYA KIDS (Cereza, 4)</t>
        </is>
      </c>
      <c r="C3489" t="inlineStr">
        <is>
          <t>KIDS / SHORT PLAYA</t>
        </is>
      </c>
      <c r="D3489" t="n">
        <v>0</v>
      </c>
      <c r="E3489" t="n">
        <v>0</v>
      </c>
      <c r="F3489" t="n">
        <v>1.000010015470635</v>
      </c>
      <c r="G3489" t="inlineStr">
        <is>
          <t>C</t>
        </is>
      </c>
      <c r="H3489" t="n">
        <v>23</v>
      </c>
      <c r="I3489" t="n">
        <v>0</v>
      </c>
      <c r="J3489" t="n">
        <v>0</v>
      </c>
      <c r="K3489" t="n">
        <v>0</v>
      </c>
      <c r="L3489" t="n">
        <v>999</v>
      </c>
      <c r="M3489" t="n">
        <v>4</v>
      </c>
      <c r="N3489" t="n">
        <v>0</v>
      </c>
      <c r="O3489" t="n">
        <v>23</v>
      </c>
      <c r="P3489" t="n">
        <v>0</v>
      </c>
      <c r="Q3489" t="n">
        <v>0</v>
      </c>
      <c r="R3489" t="inlineStr">
        <is>
          <t>Sin rotación</t>
        </is>
      </c>
    </row>
    <row r="3490">
      <c r="A3490" t="inlineStr">
        <is>
          <t>SHOUNKI170T2</t>
        </is>
      </c>
      <c r="B3490" t="inlineStr">
        <is>
          <t>[SHOUNKI170T2] SHORT PLAYA KIDS (Cereza, 2)</t>
        </is>
      </c>
      <c r="C3490" t="inlineStr">
        <is>
          <t>KIDS / SHORT PLAYA</t>
        </is>
      </c>
      <c r="D3490" t="n">
        <v>0</v>
      </c>
      <c r="E3490" t="n">
        <v>0</v>
      </c>
      <c r="F3490" t="n">
        <v>1.000010015470635</v>
      </c>
      <c r="G3490" t="inlineStr">
        <is>
          <t>C</t>
        </is>
      </c>
      <c r="H3490" t="n">
        <v>13</v>
      </c>
      <c r="I3490" t="n">
        <v>0</v>
      </c>
      <c r="J3490" t="n">
        <v>0</v>
      </c>
      <c r="K3490" t="n">
        <v>0</v>
      </c>
      <c r="L3490" t="n">
        <v>999</v>
      </c>
      <c r="M3490" t="n">
        <v>4</v>
      </c>
      <c r="N3490" t="n">
        <v>0</v>
      </c>
      <c r="O3490" t="n">
        <v>13</v>
      </c>
      <c r="P3490" t="n">
        <v>0</v>
      </c>
      <c r="Q3490" t="n">
        <v>0</v>
      </c>
      <c r="R3490" t="inlineStr">
        <is>
          <t>Sin rotación</t>
        </is>
      </c>
    </row>
    <row r="3491">
      <c r="A3491" t="inlineStr">
        <is>
          <t>SHOUNKI170T14</t>
        </is>
      </c>
      <c r="B3491" t="inlineStr">
        <is>
          <t>SHORT PLAYA KIDS</t>
        </is>
      </c>
      <c r="C3491" t="inlineStr">
        <is>
          <t>Manufactura / Kids / P. Inferiores</t>
        </is>
      </c>
      <c r="D3491" t="n">
        <v>0</v>
      </c>
      <c r="E3491" t="n">
        <v>0</v>
      </c>
      <c r="F3491" t="n">
        <v>1.000010015470635</v>
      </c>
      <c r="G3491" t="inlineStr">
        <is>
          <t>C</t>
        </is>
      </c>
      <c r="H3491" t="n">
        <v>16</v>
      </c>
      <c r="I3491" t="n">
        <v>6.09</v>
      </c>
      <c r="J3491" t="n">
        <v>97.44</v>
      </c>
      <c r="K3491" t="n">
        <v>0</v>
      </c>
      <c r="L3491" t="n">
        <v>999</v>
      </c>
      <c r="M3491" t="n">
        <v>4</v>
      </c>
      <c r="N3491" t="n">
        <v>0</v>
      </c>
      <c r="O3491" t="n">
        <v>16</v>
      </c>
      <c r="P3491" t="n">
        <v>97.44</v>
      </c>
      <c r="Q3491" t="n">
        <v>1</v>
      </c>
      <c r="R3491" t="inlineStr">
        <is>
          <t>Sobrestock crítico</t>
        </is>
      </c>
    </row>
    <row r="3492">
      <c r="A3492" t="inlineStr">
        <is>
          <t>CLAMIDA34TM</t>
        </is>
      </c>
      <c r="B3492" t="inlineStr">
        <is>
          <t>CLASICA ORIGINAL DAMA</t>
        </is>
      </c>
      <c r="C3492" t="inlineStr">
        <is>
          <t>Manufactura / Dama / P. Superiores</t>
        </is>
      </c>
      <c r="D3492" t="n">
        <v>0</v>
      </c>
      <c r="E3492" t="n">
        <v>0</v>
      </c>
      <c r="F3492" t="n">
        <v>1.000010015470635</v>
      </c>
      <c r="G3492" t="inlineStr">
        <is>
          <t>C</t>
        </is>
      </c>
      <c r="H3492" t="n">
        <v>0</v>
      </c>
      <c r="I3492" t="n">
        <v>3.923227589</v>
      </c>
      <c r="J3492" t="n">
        <v>0</v>
      </c>
      <c r="K3492" t="n">
        <v>0.6</v>
      </c>
      <c r="L3492" t="n">
        <v>0</v>
      </c>
      <c r="M3492" t="n">
        <v>4</v>
      </c>
      <c r="N3492" t="n">
        <v>2.4</v>
      </c>
      <c r="O3492" t="n">
        <v>0</v>
      </c>
      <c r="P3492" t="n">
        <v>0</v>
      </c>
      <c r="Q3492" t="n">
        <v>0</v>
      </c>
      <c r="R3492" t="inlineStr">
        <is>
          <t>Riesgo bajo stock</t>
        </is>
      </c>
    </row>
    <row r="3493">
      <c r="A3493" t="inlineStr">
        <is>
          <t>CLAMIDA34TL</t>
        </is>
      </c>
      <c r="B3493" t="inlineStr">
        <is>
          <t>CLASICA ORIGINAL DAMA</t>
        </is>
      </c>
      <c r="C3493" t="inlineStr">
        <is>
          <t>Manufactura / Dama / P. Superiores</t>
        </is>
      </c>
      <c r="D3493" t="n">
        <v>0</v>
      </c>
      <c r="E3493" t="n">
        <v>0</v>
      </c>
      <c r="F3493" t="n">
        <v>1.000010015470635</v>
      </c>
      <c r="G3493" t="inlineStr">
        <is>
          <t>C</t>
        </is>
      </c>
      <c r="H3493" t="n">
        <v>0</v>
      </c>
      <c r="I3493" t="n">
        <v>3.923227589</v>
      </c>
      <c r="J3493" t="n">
        <v>0</v>
      </c>
      <c r="K3493" t="n">
        <v>0.4</v>
      </c>
      <c r="L3493" t="n">
        <v>0</v>
      </c>
      <c r="M3493" t="n">
        <v>4</v>
      </c>
      <c r="N3493" t="n">
        <v>1.6</v>
      </c>
      <c r="O3493" t="n">
        <v>0</v>
      </c>
      <c r="P3493" t="n">
        <v>0</v>
      </c>
      <c r="Q3493" t="n">
        <v>0</v>
      </c>
      <c r="R3493" t="inlineStr">
        <is>
          <t>Riesgo bajo stock</t>
        </is>
      </c>
    </row>
    <row r="3494">
      <c r="A3494" t="inlineStr">
        <is>
          <t>CLAMIDA28TS</t>
        </is>
      </c>
      <c r="B3494" t="inlineStr">
        <is>
          <t>CLASICA ORIGINAL DAMA</t>
        </is>
      </c>
      <c r="C3494" t="inlineStr">
        <is>
          <t>Manufactura / Dama / P. Superiores</t>
        </is>
      </c>
      <c r="D3494" t="n">
        <v>0</v>
      </c>
      <c r="E3494" t="n">
        <v>0</v>
      </c>
      <c r="F3494" t="n">
        <v>1.000010015470635</v>
      </c>
      <c r="G3494" t="inlineStr">
        <is>
          <t>C</t>
        </is>
      </c>
      <c r="H3494" t="n">
        <v>0</v>
      </c>
      <c r="I3494" t="n">
        <v>3.923227589</v>
      </c>
      <c r="J3494" t="n">
        <v>0</v>
      </c>
      <c r="K3494" t="n">
        <v>0.2</v>
      </c>
      <c r="L3494" t="n">
        <v>0</v>
      </c>
      <c r="M3494" t="n">
        <v>4</v>
      </c>
      <c r="N3494" t="n">
        <v>0.8</v>
      </c>
      <c r="O3494" t="n">
        <v>0</v>
      </c>
      <c r="P3494" t="n">
        <v>0</v>
      </c>
      <c r="Q3494" t="n">
        <v>0</v>
      </c>
      <c r="R3494" t="inlineStr">
        <is>
          <t>Riesgo bajo stock</t>
        </is>
      </c>
    </row>
    <row r="3495">
      <c r="A3495" t="inlineStr">
        <is>
          <t>CLAMIDA28TM</t>
        </is>
      </c>
      <c r="B3495" t="inlineStr">
        <is>
          <t>CLASICA ORIGINAL DAMA</t>
        </is>
      </c>
      <c r="C3495" t="inlineStr">
        <is>
          <t>Manufactura / Dama / P. Superiores</t>
        </is>
      </c>
      <c r="D3495" t="n">
        <v>0</v>
      </c>
      <c r="E3495" t="n">
        <v>0</v>
      </c>
      <c r="F3495" t="n">
        <v>1.000010015470635</v>
      </c>
      <c r="G3495" t="inlineStr">
        <is>
          <t>C</t>
        </is>
      </c>
      <c r="H3495" t="n">
        <v>0</v>
      </c>
      <c r="I3495" t="n">
        <v>3.923227589</v>
      </c>
      <c r="J3495" t="n">
        <v>0</v>
      </c>
      <c r="K3495" t="n">
        <v>0.2</v>
      </c>
      <c r="L3495" t="n">
        <v>0</v>
      </c>
      <c r="M3495" t="n">
        <v>4</v>
      </c>
      <c r="N3495" t="n">
        <v>0.8</v>
      </c>
      <c r="O3495" t="n">
        <v>0</v>
      </c>
      <c r="P3495" t="n">
        <v>0</v>
      </c>
      <c r="Q3495" t="n">
        <v>0</v>
      </c>
      <c r="R3495" t="inlineStr">
        <is>
          <t>Riesgo bajo stock</t>
        </is>
      </c>
    </row>
    <row r="3496">
      <c r="A3496" t="inlineStr">
        <is>
          <t>CLAMIDA16T2XL</t>
        </is>
      </c>
      <c r="B3496" t="inlineStr">
        <is>
          <t>CLASICA ORIGINAL DAMA</t>
        </is>
      </c>
      <c r="C3496" t="inlineStr">
        <is>
          <t>Manufactura / Dama / P. Superiores</t>
        </is>
      </c>
      <c r="D3496" t="n">
        <v>0</v>
      </c>
      <c r="E3496" t="n">
        <v>0</v>
      </c>
      <c r="F3496" t="n">
        <v>1.000010015470635</v>
      </c>
      <c r="G3496" t="inlineStr">
        <is>
          <t>C</t>
        </is>
      </c>
      <c r="H3496" t="n">
        <v>1</v>
      </c>
      <c r="I3496" t="n">
        <v>3.923227589</v>
      </c>
      <c r="J3496" t="n">
        <v>3.923227589</v>
      </c>
      <c r="K3496" t="n">
        <v>0.1</v>
      </c>
      <c r="L3496" t="n">
        <v>10</v>
      </c>
      <c r="M3496" t="n">
        <v>4</v>
      </c>
      <c r="N3496" t="n">
        <v>0.4</v>
      </c>
      <c r="O3496" t="n">
        <v>0.6</v>
      </c>
      <c r="P3496" t="n">
        <v>2.3539365534</v>
      </c>
      <c r="Q3496" t="n">
        <v>0.6</v>
      </c>
      <c r="R3496" t="inlineStr">
        <is>
          <t>Sin rotación</t>
        </is>
      </c>
    </row>
    <row r="3497">
      <c r="A3497" t="inlineStr">
        <is>
          <t>SHR2VIDA43TS</t>
        </is>
      </c>
      <c r="B3497" t="inlineStr">
        <is>
          <t>[SHR2VIDA43TS] SHORT R2 DAMA (Negro, S)</t>
        </is>
      </c>
      <c r="C3497" t="inlineStr">
        <is>
          <t>DAMA / SHORT R2</t>
        </is>
      </c>
      <c r="D3497" t="n">
        <v>0</v>
      </c>
      <c r="E3497" t="n">
        <v>0</v>
      </c>
      <c r="F3497" t="n">
        <v>1.000010015470635</v>
      </c>
      <c r="G3497" t="inlineStr">
        <is>
          <t>C</t>
        </is>
      </c>
      <c r="H3497" t="n">
        <v>2</v>
      </c>
      <c r="I3497" t="n">
        <v>0</v>
      </c>
      <c r="J3497" t="n">
        <v>0</v>
      </c>
      <c r="K3497" t="n">
        <v>0</v>
      </c>
      <c r="L3497" t="n">
        <v>999</v>
      </c>
      <c r="M3497" t="n">
        <v>4</v>
      </c>
      <c r="N3497" t="n">
        <v>0</v>
      </c>
      <c r="O3497" t="n">
        <v>2</v>
      </c>
      <c r="P3497" t="n">
        <v>0</v>
      </c>
      <c r="Q3497" t="n">
        <v>0</v>
      </c>
      <c r="R3497" t="inlineStr">
        <is>
          <t>Sin rotación</t>
        </is>
      </c>
    </row>
    <row r="3498">
      <c r="A3498" t="inlineStr">
        <is>
          <t>SHR2VIDA43TM</t>
        </is>
      </c>
      <c r="B3498" t="inlineStr">
        <is>
          <t>SHORT R2 DAMA</t>
        </is>
      </c>
      <c r="C3498" t="inlineStr">
        <is>
          <t>Manufactura / Dama / P. Inferiores</t>
        </is>
      </c>
      <c r="D3498" t="n">
        <v>0</v>
      </c>
      <c r="E3498" t="n">
        <v>0</v>
      </c>
      <c r="F3498" t="n">
        <v>1.000010015470635</v>
      </c>
      <c r="G3498" t="inlineStr">
        <is>
          <t>C</t>
        </is>
      </c>
      <c r="H3498" t="n">
        <v>0</v>
      </c>
      <c r="I3498" t="n">
        <v>13.86928571</v>
      </c>
      <c r="J3498" t="n">
        <v>0</v>
      </c>
      <c r="K3498" t="n">
        <v>0.2</v>
      </c>
      <c r="L3498" t="n">
        <v>0</v>
      </c>
      <c r="M3498" t="n">
        <v>4</v>
      </c>
      <c r="N3498" t="n">
        <v>0.8</v>
      </c>
      <c r="O3498" t="n">
        <v>0</v>
      </c>
      <c r="P3498" t="n">
        <v>0</v>
      </c>
      <c r="Q3498" t="n">
        <v>0</v>
      </c>
      <c r="R3498" t="inlineStr">
        <is>
          <t>Riesgo bajo stock</t>
        </is>
      </c>
    </row>
    <row r="3499">
      <c r="A3499" t="inlineStr">
        <is>
          <t>SHOUNKI186T14</t>
        </is>
      </c>
      <c r="B3499" t="inlineStr">
        <is>
          <t>[SHOUNKI186T14] SHORT PLAYA KIDS (Azul Verdoso, 14)</t>
        </is>
      </c>
      <c r="C3499" t="inlineStr">
        <is>
          <t>KIDS / SHORT PLAYA</t>
        </is>
      </c>
      <c r="D3499" t="n">
        <v>0</v>
      </c>
      <c r="E3499" t="n">
        <v>0</v>
      </c>
      <c r="F3499" t="n">
        <v>1.000010015470635</v>
      </c>
      <c r="G3499" t="inlineStr">
        <is>
          <t>C</t>
        </is>
      </c>
      <c r="H3499" t="n">
        <v>37</v>
      </c>
      <c r="I3499" t="n">
        <v>0</v>
      </c>
      <c r="J3499" t="n">
        <v>0</v>
      </c>
      <c r="K3499" t="n">
        <v>0</v>
      </c>
      <c r="L3499" t="n">
        <v>999</v>
      </c>
      <c r="M3499" t="n">
        <v>4</v>
      </c>
      <c r="N3499" t="n">
        <v>0</v>
      </c>
      <c r="O3499" t="n">
        <v>37</v>
      </c>
      <c r="P3499" t="n">
        <v>0</v>
      </c>
      <c r="Q3499" t="n">
        <v>0</v>
      </c>
      <c r="R3499" t="inlineStr">
        <is>
          <t>Sin rotación</t>
        </is>
      </c>
    </row>
    <row r="3500">
      <c r="A3500" t="inlineStr">
        <is>
          <t>MAFMIDA12TL</t>
        </is>
      </c>
      <c r="B3500" t="inlineStr">
        <is>
          <t>[MAFMIDA12TL] MAFE ORIGINAL DAMA (Azul Marino, L)</t>
        </is>
      </c>
      <c r="C3500" t="inlineStr">
        <is>
          <t>DAMA / MAFE ORIGINAL</t>
        </is>
      </c>
      <c r="D3500" t="n">
        <v>0</v>
      </c>
      <c r="E3500" t="n">
        <v>0</v>
      </c>
      <c r="F3500" t="n">
        <v>1.000010015470635</v>
      </c>
      <c r="G3500" t="inlineStr">
        <is>
          <t>C</t>
        </is>
      </c>
      <c r="H3500" t="n">
        <v>3</v>
      </c>
      <c r="I3500" t="n">
        <v>0</v>
      </c>
      <c r="J3500" t="n">
        <v>0</v>
      </c>
      <c r="K3500" t="n">
        <v>0</v>
      </c>
      <c r="L3500" t="n">
        <v>999</v>
      </c>
      <c r="M3500" t="n">
        <v>4</v>
      </c>
      <c r="N3500" t="n">
        <v>0</v>
      </c>
      <c r="O3500" t="n">
        <v>3</v>
      </c>
      <c r="P3500" t="n">
        <v>0</v>
      </c>
      <c r="Q3500" t="n">
        <v>0</v>
      </c>
      <c r="R3500" t="inlineStr">
        <is>
          <t>Sin rotación</t>
        </is>
      </c>
    </row>
    <row r="3501">
      <c r="A3501" t="inlineStr">
        <is>
          <t>JACDA34TS</t>
        </is>
      </c>
      <c r="B3501" t="inlineStr">
        <is>
          <t>JACKET DAMA</t>
        </is>
      </c>
      <c r="C3501" t="inlineStr">
        <is>
          <t>Equipamiento / Ropa</t>
        </is>
      </c>
      <c r="D3501" t="n">
        <v>0</v>
      </c>
      <c r="E3501" t="n">
        <v>0</v>
      </c>
      <c r="F3501" t="n">
        <v>1.000010015470635</v>
      </c>
      <c r="G3501" t="inlineStr">
        <is>
          <t>C</t>
        </is>
      </c>
      <c r="H3501" t="n">
        <v>0</v>
      </c>
      <c r="I3501" t="n">
        <v>20.25</v>
      </c>
      <c r="J3501" t="n">
        <v>0</v>
      </c>
      <c r="K3501" t="n">
        <v>0.1</v>
      </c>
      <c r="L3501" t="n">
        <v>0</v>
      </c>
      <c r="M3501" t="n">
        <v>4</v>
      </c>
      <c r="N3501" t="n">
        <v>0.4</v>
      </c>
      <c r="O3501" t="n">
        <v>0</v>
      </c>
      <c r="P3501" t="n">
        <v>0</v>
      </c>
      <c r="Q3501" t="n">
        <v>0</v>
      </c>
      <c r="R3501" t="inlineStr">
        <is>
          <t>Sin rotación</t>
        </is>
      </c>
    </row>
    <row r="3502">
      <c r="A3502" t="inlineStr">
        <is>
          <t>JACDA01TXL</t>
        </is>
      </c>
      <c r="B3502" t="inlineStr">
        <is>
          <t>JACKET DAMA</t>
        </is>
      </c>
      <c r="C3502" t="inlineStr">
        <is>
          <t>Equipamiento / Ropa</t>
        </is>
      </c>
      <c r="D3502" t="n">
        <v>0</v>
      </c>
      <c r="E3502" t="n">
        <v>0</v>
      </c>
      <c r="F3502" t="n">
        <v>1.000010015470635</v>
      </c>
      <c r="G3502" t="inlineStr">
        <is>
          <t>C</t>
        </is>
      </c>
      <c r="H3502" t="n">
        <v>0</v>
      </c>
      <c r="I3502" t="n">
        <v>20.25</v>
      </c>
      <c r="J3502" t="n">
        <v>0</v>
      </c>
      <c r="K3502" t="n">
        <v>0.1</v>
      </c>
      <c r="L3502" t="n">
        <v>0</v>
      </c>
      <c r="M3502" t="n">
        <v>4</v>
      </c>
      <c r="N3502" t="n">
        <v>0.4</v>
      </c>
      <c r="O3502" t="n">
        <v>0</v>
      </c>
      <c r="P3502" t="n">
        <v>0</v>
      </c>
      <c r="Q3502" t="n">
        <v>0</v>
      </c>
      <c r="R3502" t="inlineStr">
        <is>
          <t>Sin rotación</t>
        </is>
      </c>
    </row>
    <row r="3503">
      <c r="A3503" t="inlineStr">
        <is>
          <t>LARIMJDA12TXS</t>
        </is>
      </c>
      <c r="B3503" t="inlineStr">
        <is>
          <t>LARISA ORIGINAL DAMA</t>
        </is>
      </c>
      <c r="C3503" t="inlineStr">
        <is>
          <t>Manufactura / Dama / P. Superiores</t>
        </is>
      </c>
      <c r="D3503" t="n">
        <v>0</v>
      </c>
      <c r="E3503" t="n">
        <v>0</v>
      </c>
      <c r="F3503" t="n">
        <v>1.000010015470635</v>
      </c>
      <c r="G3503" t="inlineStr">
        <is>
          <t>C</t>
        </is>
      </c>
      <c r="H3503" t="n">
        <v>13</v>
      </c>
      <c r="I3503" t="n">
        <v>1.765998491</v>
      </c>
      <c r="J3503" t="n">
        <v>22.957980383</v>
      </c>
      <c r="K3503" t="n">
        <v>0.2</v>
      </c>
      <c r="L3503" t="n">
        <v>65</v>
      </c>
      <c r="M3503" t="n">
        <v>4</v>
      </c>
      <c r="N3503" t="n">
        <v>0.8</v>
      </c>
      <c r="O3503" t="n">
        <v>12.2</v>
      </c>
      <c r="P3503" t="n">
        <v>21.5451815902</v>
      </c>
      <c r="Q3503" t="n">
        <v>0.9384615384615385</v>
      </c>
      <c r="R3503" t="inlineStr">
        <is>
          <t>Sobrestock crítico</t>
        </is>
      </c>
    </row>
    <row r="3504">
      <c r="A3504" t="inlineStr">
        <is>
          <t>LARIMJDA12TXL</t>
        </is>
      </c>
      <c r="B3504" t="inlineStr">
        <is>
          <t>[LARIMJDA12TXL] LARISA ORIGINAL DAMA (Azul Marino, XL)</t>
        </is>
      </c>
      <c r="C3504" t="inlineStr">
        <is>
          <t>DAMA / LARISA ORIGINAL</t>
        </is>
      </c>
      <c r="D3504" t="n">
        <v>0</v>
      </c>
      <c r="E3504" t="n">
        <v>0</v>
      </c>
      <c r="F3504" t="n">
        <v>1.000010015470635</v>
      </c>
      <c r="G3504" t="inlineStr">
        <is>
          <t>C</t>
        </is>
      </c>
      <c r="H3504" t="n">
        <v>16</v>
      </c>
      <c r="I3504" t="n">
        <v>0</v>
      </c>
      <c r="J3504" t="n">
        <v>0</v>
      </c>
      <c r="K3504" t="n">
        <v>0</v>
      </c>
      <c r="L3504" t="n">
        <v>999</v>
      </c>
      <c r="M3504" t="n">
        <v>4</v>
      </c>
      <c r="N3504" t="n">
        <v>0</v>
      </c>
      <c r="O3504" t="n">
        <v>16</v>
      </c>
      <c r="P3504" t="n">
        <v>0</v>
      </c>
      <c r="Q3504" t="n">
        <v>0</v>
      </c>
      <c r="R3504" t="inlineStr">
        <is>
          <t>Sin rotación</t>
        </is>
      </c>
    </row>
    <row r="3505">
      <c r="A3505" t="inlineStr">
        <is>
          <t>LARIMJDA12TM</t>
        </is>
      </c>
      <c r="B3505" t="inlineStr">
        <is>
          <t>LARISA ORIGINAL DAMA</t>
        </is>
      </c>
      <c r="C3505" t="inlineStr">
        <is>
          <t>Manufactura / Dama / P. Superiores</t>
        </is>
      </c>
      <c r="D3505" t="n">
        <v>0</v>
      </c>
      <c r="E3505" t="n">
        <v>0</v>
      </c>
      <c r="F3505" t="n">
        <v>1.000010015470635</v>
      </c>
      <c r="G3505" t="inlineStr">
        <is>
          <t>C</t>
        </is>
      </c>
      <c r="H3505" t="n">
        <v>24</v>
      </c>
      <c r="I3505" t="n">
        <v>1.765998491</v>
      </c>
      <c r="J3505" t="n">
        <v>42.383963784</v>
      </c>
      <c r="K3505" t="n">
        <v>0.1</v>
      </c>
      <c r="L3505" t="n">
        <v>240</v>
      </c>
      <c r="M3505" t="n">
        <v>4</v>
      </c>
      <c r="N3505" t="n">
        <v>0.4</v>
      </c>
      <c r="O3505" t="n">
        <v>23.6</v>
      </c>
      <c r="P3505" t="n">
        <v>41.6775643876</v>
      </c>
      <c r="Q3505" t="n">
        <v>0.9833333333333333</v>
      </c>
      <c r="R3505" t="inlineStr">
        <is>
          <t>Sobrestock crítico</t>
        </is>
      </c>
    </row>
    <row r="3506">
      <c r="A3506" t="inlineStr">
        <is>
          <t>ZOEMIKI13T14</t>
        </is>
      </c>
      <c r="B3506" t="inlineStr">
        <is>
          <t>[ZOEMIKI13T14] ZOE ORIGINAL KIDS (Azul Rey, 14)</t>
        </is>
      </c>
      <c r="C3506" t="inlineStr">
        <is>
          <t>KIDS / ZOE ORIGINAL</t>
        </is>
      </c>
      <c r="D3506" t="n">
        <v>0</v>
      </c>
      <c r="E3506" t="n">
        <v>0</v>
      </c>
      <c r="F3506" t="n">
        <v>1.000010015470635</v>
      </c>
      <c r="G3506" t="inlineStr">
        <is>
          <t>C</t>
        </is>
      </c>
      <c r="H3506" t="n">
        <v>1</v>
      </c>
      <c r="I3506" t="n">
        <v>0</v>
      </c>
      <c r="J3506" t="n">
        <v>0</v>
      </c>
      <c r="K3506" t="n">
        <v>0</v>
      </c>
      <c r="L3506" t="n">
        <v>999</v>
      </c>
      <c r="M3506" t="n">
        <v>4</v>
      </c>
      <c r="N3506" t="n">
        <v>0</v>
      </c>
      <c r="O3506" t="n">
        <v>1</v>
      </c>
      <c r="P3506" t="n">
        <v>0</v>
      </c>
      <c r="Q3506" t="n">
        <v>0</v>
      </c>
      <c r="R3506" t="inlineStr">
        <is>
          <t>Sin rotación</t>
        </is>
      </c>
    </row>
    <row r="3507">
      <c r="A3507" t="inlineStr">
        <is>
          <t>ZOEMIKI12T8</t>
        </is>
      </c>
      <c r="B3507" t="inlineStr">
        <is>
          <t>[ZOEMIKI12T8] ZOE ORIGINAL KIDS (Azul Marino, 8)</t>
        </is>
      </c>
      <c r="C3507" t="inlineStr">
        <is>
          <t>KIDS / ZOE ORIGINAL</t>
        </is>
      </c>
      <c r="D3507" t="n">
        <v>0</v>
      </c>
      <c r="E3507" t="n">
        <v>0</v>
      </c>
      <c r="F3507" t="n">
        <v>1.000010015470635</v>
      </c>
      <c r="G3507" t="inlineStr">
        <is>
          <t>C</t>
        </is>
      </c>
      <c r="H3507" t="n">
        <v>5</v>
      </c>
      <c r="I3507" t="n">
        <v>0</v>
      </c>
      <c r="J3507" t="n">
        <v>0</v>
      </c>
      <c r="K3507" t="n">
        <v>0</v>
      </c>
      <c r="L3507" t="n">
        <v>999</v>
      </c>
      <c r="M3507" t="n">
        <v>4</v>
      </c>
      <c r="N3507" t="n">
        <v>0</v>
      </c>
      <c r="O3507" t="n">
        <v>5</v>
      </c>
      <c r="P3507" t="n">
        <v>0</v>
      </c>
      <c r="Q3507" t="n">
        <v>0</v>
      </c>
      <c r="R3507" t="inlineStr">
        <is>
          <t>Sin rotación</t>
        </is>
      </c>
    </row>
    <row r="3508">
      <c r="A3508" t="inlineStr">
        <is>
          <t>ACCMICA121T2XL</t>
        </is>
      </c>
      <c r="B3508" t="inlineStr">
        <is>
          <t>[ACCMICA121T2XL] CLASICA ACTIVE CAB (Gris con Verde, 2XL)</t>
        </is>
      </c>
      <c r="C3508" t="inlineStr">
        <is>
          <t>CAB / CLASICA ACTIVE</t>
        </is>
      </c>
      <c r="D3508" t="n">
        <v>0</v>
      </c>
      <c r="E3508" t="n">
        <v>0</v>
      </c>
      <c r="F3508" t="n">
        <v>1.000010015470635</v>
      </c>
      <c r="G3508" t="inlineStr">
        <is>
          <t>C</t>
        </is>
      </c>
      <c r="H3508" t="n">
        <v>1</v>
      </c>
      <c r="I3508" t="n">
        <v>0</v>
      </c>
      <c r="J3508" t="n">
        <v>0</v>
      </c>
      <c r="K3508" t="n">
        <v>0</v>
      </c>
      <c r="L3508" t="n">
        <v>999</v>
      </c>
      <c r="M3508" t="n">
        <v>4</v>
      </c>
      <c r="N3508" t="n">
        <v>0</v>
      </c>
      <c r="O3508" t="n">
        <v>1</v>
      </c>
      <c r="P3508" t="n">
        <v>0</v>
      </c>
      <c r="Q3508" t="n">
        <v>0</v>
      </c>
      <c r="R3508" t="inlineStr">
        <is>
          <t>Sin rotación</t>
        </is>
      </c>
    </row>
    <row r="3509">
      <c r="A3509" t="inlineStr">
        <is>
          <t>LARIMJDA01TM</t>
        </is>
      </c>
      <c r="B3509" t="inlineStr">
        <is>
          <t>[LARIMJDA01TM] LARISA ORIGINAL DAMA (Aguamarina, M)</t>
        </is>
      </c>
      <c r="C3509" t="inlineStr">
        <is>
          <t>DAMA / LARISA ORIGINAL</t>
        </is>
      </c>
      <c r="D3509" t="n">
        <v>0</v>
      </c>
      <c r="E3509" t="n">
        <v>0</v>
      </c>
      <c r="F3509" t="n">
        <v>1.000010015470635</v>
      </c>
      <c r="G3509" t="inlineStr">
        <is>
          <t>C</t>
        </is>
      </c>
      <c r="H3509" t="n">
        <v>31</v>
      </c>
      <c r="I3509" t="n">
        <v>0</v>
      </c>
      <c r="J3509" t="n">
        <v>0</v>
      </c>
      <c r="K3509" t="n">
        <v>0</v>
      </c>
      <c r="L3509" t="n">
        <v>999</v>
      </c>
      <c r="M3509" t="n">
        <v>4</v>
      </c>
      <c r="N3509" t="n">
        <v>0</v>
      </c>
      <c r="O3509" t="n">
        <v>31</v>
      </c>
      <c r="P3509" t="n">
        <v>0</v>
      </c>
      <c r="Q3509" t="n">
        <v>0</v>
      </c>
      <c r="R3509" t="inlineStr">
        <is>
          <t>Sin rotación</t>
        </is>
      </c>
    </row>
    <row r="3510">
      <c r="A3510" t="inlineStr">
        <is>
          <t>MAFMIDA50TXS</t>
        </is>
      </c>
      <c r="B3510" t="inlineStr">
        <is>
          <t>[MAFMIDA50TXS] MAFE ORIGINAL DAMA (Rojo, XS)</t>
        </is>
      </c>
      <c r="C3510" t="inlineStr">
        <is>
          <t>DAMA / MAFE ORIGINAL</t>
        </is>
      </c>
      <c r="D3510" t="n">
        <v>0</v>
      </c>
      <c r="E3510" t="n">
        <v>0</v>
      </c>
      <c r="F3510" t="n">
        <v>1.000010015470635</v>
      </c>
      <c r="G3510" t="inlineStr">
        <is>
          <t>C</t>
        </is>
      </c>
      <c r="H3510" t="n">
        <v>1</v>
      </c>
      <c r="I3510" t="n">
        <v>0</v>
      </c>
      <c r="J3510" t="n">
        <v>0</v>
      </c>
      <c r="K3510" t="n">
        <v>0</v>
      </c>
      <c r="L3510" t="n">
        <v>999</v>
      </c>
      <c r="M3510" t="n">
        <v>4</v>
      </c>
      <c r="N3510" t="n">
        <v>0</v>
      </c>
      <c r="O3510" t="n">
        <v>1</v>
      </c>
      <c r="P3510" t="n">
        <v>0</v>
      </c>
      <c r="Q3510" t="n">
        <v>0</v>
      </c>
      <c r="R3510" t="inlineStr">
        <is>
          <t>Sin rotación</t>
        </is>
      </c>
    </row>
    <row r="3511">
      <c r="A3511" t="inlineStr">
        <is>
          <t>ANDMIDA11TXL</t>
        </is>
      </c>
      <c r="B3511" t="inlineStr">
        <is>
          <t>[ANDMIDA11TXL] ANDRE ORIGINAL DAMA (Azul Lavanda, XL)</t>
        </is>
      </c>
      <c r="C3511" t="inlineStr">
        <is>
          <t>DAMA / ANDRE ORIGINAL</t>
        </is>
      </c>
      <c r="D3511" t="n">
        <v>0</v>
      </c>
      <c r="E3511" t="n">
        <v>0</v>
      </c>
      <c r="F3511" t="n">
        <v>1.000010015470635</v>
      </c>
      <c r="G3511" t="inlineStr">
        <is>
          <t>C</t>
        </is>
      </c>
      <c r="H3511" t="n">
        <v>1</v>
      </c>
      <c r="I3511" t="n">
        <v>0</v>
      </c>
      <c r="J3511" t="n">
        <v>0</v>
      </c>
      <c r="K3511" t="n">
        <v>0</v>
      </c>
      <c r="L3511" t="n">
        <v>999</v>
      </c>
      <c r="M3511" t="n">
        <v>4</v>
      </c>
      <c r="N3511" t="n">
        <v>0</v>
      </c>
      <c r="O3511" t="n">
        <v>1</v>
      </c>
      <c r="P3511" t="n">
        <v>0</v>
      </c>
      <c r="Q3511" t="n">
        <v>0</v>
      </c>
      <c r="R3511" t="inlineStr">
        <is>
          <t>Sin rotación</t>
        </is>
      </c>
    </row>
    <row r="3512">
      <c r="A3512" t="inlineStr">
        <is>
          <t>PETMIPE40TL</t>
        </is>
      </c>
      <c r="B3512" t="inlineStr">
        <is>
          <t>BANDANA PET</t>
        </is>
      </c>
      <c r="C3512" t="inlineStr">
        <is>
          <t>Manufactura / General</t>
        </is>
      </c>
      <c r="D3512" t="n">
        <v>0</v>
      </c>
      <c r="E3512" t="n">
        <v>0</v>
      </c>
      <c r="F3512" t="n">
        <v>1.000010015470635</v>
      </c>
      <c r="G3512" t="inlineStr">
        <is>
          <t>C</t>
        </is>
      </c>
      <c r="H3512" t="n">
        <v>51</v>
      </c>
      <c r="I3512" t="n">
        <v>0.3252662283</v>
      </c>
      <c r="J3512" t="n">
        <v>16.5885776433</v>
      </c>
      <c r="K3512" t="n">
        <v>0.1</v>
      </c>
      <c r="L3512" t="n">
        <v>510</v>
      </c>
      <c r="M3512" t="n">
        <v>4</v>
      </c>
      <c r="N3512" t="n">
        <v>0.4</v>
      </c>
      <c r="O3512" t="n">
        <v>50.6</v>
      </c>
      <c r="P3512" t="n">
        <v>16.45847115198</v>
      </c>
      <c r="Q3512" t="n">
        <v>0.9921568627450978</v>
      </c>
      <c r="R3512" t="inlineStr">
        <is>
          <t>Sobrestock crítico</t>
        </is>
      </c>
    </row>
    <row r="3513">
      <c r="A3513" t="inlineStr">
        <is>
          <t>ZOEMIKI13T8</t>
        </is>
      </c>
      <c r="B3513" t="inlineStr">
        <is>
          <t>[ZOEMIKI13T8] ZOE ORIGINAL KIDS (Azul Rey, 8)</t>
        </is>
      </c>
      <c r="C3513" t="inlineStr">
        <is>
          <t>KIDS / ZOE ORIGINAL</t>
        </is>
      </c>
      <c r="D3513" t="n">
        <v>0</v>
      </c>
      <c r="E3513" t="n">
        <v>0</v>
      </c>
      <c r="F3513" t="n">
        <v>1.000010015470635</v>
      </c>
      <c r="G3513" t="inlineStr">
        <is>
          <t>C</t>
        </is>
      </c>
      <c r="H3513" t="n">
        <v>1</v>
      </c>
      <c r="I3513" t="n">
        <v>0</v>
      </c>
      <c r="J3513" t="n">
        <v>0</v>
      </c>
      <c r="K3513" t="n">
        <v>0</v>
      </c>
      <c r="L3513" t="n">
        <v>999</v>
      </c>
      <c r="M3513" t="n">
        <v>4</v>
      </c>
      <c r="N3513" t="n">
        <v>0</v>
      </c>
      <c r="O3513" t="n">
        <v>1</v>
      </c>
      <c r="P3513" t="n">
        <v>0</v>
      </c>
      <c r="Q3513" t="n">
        <v>0</v>
      </c>
      <c r="R3513" t="inlineStr">
        <is>
          <t>Sin rotación</t>
        </is>
      </c>
    </row>
    <row r="3514">
      <c r="A3514" t="inlineStr">
        <is>
          <t>MLCMJCA66TM</t>
        </is>
      </c>
      <c r="B3514" t="inlineStr">
        <is>
          <t>[MLCMJCA66TM] MOTION LOOP CLASICA CAB (Verde Militar, M)</t>
        </is>
      </c>
      <c r="C3514" t="inlineStr">
        <is>
          <t>CAB / MOTION LOOP CLASICA</t>
        </is>
      </c>
      <c r="D3514" t="n">
        <v>0</v>
      </c>
      <c r="E3514" t="n">
        <v>0</v>
      </c>
      <c r="F3514" t="n">
        <v>1.000010015470635</v>
      </c>
      <c r="G3514" t="inlineStr">
        <is>
          <t>C</t>
        </is>
      </c>
      <c r="H3514" t="n">
        <v>8</v>
      </c>
      <c r="I3514" t="n">
        <v>0</v>
      </c>
      <c r="J3514" t="n">
        <v>0</v>
      </c>
      <c r="K3514" t="n">
        <v>0</v>
      </c>
      <c r="L3514" t="n">
        <v>999</v>
      </c>
      <c r="M3514" t="n">
        <v>4</v>
      </c>
      <c r="N3514" t="n">
        <v>0</v>
      </c>
      <c r="O3514" t="n">
        <v>8</v>
      </c>
      <c r="P3514" t="n">
        <v>0</v>
      </c>
      <c r="Q3514" t="n">
        <v>0</v>
      </c>
      <c r="R3514" t="inlineStr">
        <is>
          <t>Sin rotación</t>
        </is>
      </c>
    </row>
    <row r="3515">
      <c r="A3515" t="inlineStr">
        <is>
          <t>MLCMJCA66TL</t>
        </is>
      </c>
      <c r="B3515" t="inlineStr">
        <is>
          <t>MOTION LOOP CLASICA CAB</t>
        </is>
      </c>
      <c r="C3515" t="inlineStr">
        <is>
          <t>Manufactura / Caballero / P. Superiores</t>
        </is>
      </c>
      <c r="D3515" t="n">
        <v>0</v>
      </c>
      <c r="E3515" t="n">
        <v>0</v>
      </c>
      <c r="F3515" t="n">
        <v>1.000010015470635</v>
      </c>
      <c r="G3515" t="inlineStr">
        <is>
          <t>C</t>
        </is>
      </c>
      <c r="H3515" t="n">
        <v>5</v>
      </c>
      <c r="I3515" t="n">
        <v>2.002702703</v>
      </c>
      <c r="J3515" t="n">
        <v>10.013513515</v>
      </c>
      <c r="K3515" t="n">
        <v>0.1</v>
      </c>
      <c r="L3515" t="n">
        <v>50</v>
      </c>
      <c r="M3515" t="n">
        <v>4</v>
      </c>
      <c r="N3515" t="n">
        <v>0.4</v>
      </c>
      <c r="O3515" t="n">
        <v>4.6</v>
      </c>
      <c r="P3515" t="n">
        <v>9.2124324338</v>
      </c>
      <c r="Q3515" t="n">
        <v>0.9199999999999999</v>
      </c>
      <c r="R3515" t="inlineStr">
        <is>
          <t>Sobrestock crítico</t>
        </is>
      </c>
    </row>
    <row r="3516">
      <c r="A3516" t="inlineStr">
        <is>
          <t>MLCMJCA66T2XL</t>
        </is>
      </c>
      <c r="B3516" t="inlineStr">
        <is>
          <t>[MLCMJCA66T2XL] MOTION LOOP CLASICA CAB (Verde Militar, 2XL)</t>
        </is>
      </c>
      <c r="C3516" t="inlineStr">
        <is>
          <t>CAB / MOTION LOOP CLASICA</t>
        </is>
      </c>
      <c r="D3516" t="n">
        <v>0</v>
      </c>
      <c r="E3516" t="n">
        <v>0</v>
      </c>
      <c r="F3516" t="n">
        <v>1.000010015470635</v>
      </c>
      <c r="G3516" t="inlineStr">
        <is>
          <t>C</t>
        </is>
      </c>
      <c r="H3516" t="n">
        <v>4</v>
      </c>
      <c r="I3516" t="n">
        <v>0</v>
      </c>
      <c r="J3516" t="n">
        <v>0</v>
      </c>
      <c r="K3516" t="n">
        <v>0</v>
      </c>
      <c r="L3516" t="n">
        <v>999</v>
      </c>
      <c r="M3516" t="n">
        <v>4</v>
      </c>
      <c r="N3516" t="n">
        <v>0</v>
      </c>
      <c r="O3516" t="n">
        <v>4</v>
      </c>
      <c r="P3516" t="n">
        <v>0</v>
      </c>
      <c r="Q3516" t="n">
        <v>0</v>
      </c>
      <c r="R3516" t="inlineStr">
        <is>
          <t>Sin rotación</t>
        </is>
      </c>
    </row>
    <row r="3517">
      <c r="A3517" t="inlineStr">
        <is>
          <t>MLCMJCA50TXL</t>
        </is>
      </c>
      <c r="B3517" t="inlineStr">
        <is>
          <t>MOTION LOOP CLASICA CAB</t>
        </is>
      </c>
      <c r="C3517" t="inlineStr">
        <is>
          <t>Manufactura / Caballero / P. Superiores</t>
        </is>
      </c>
      <c r="D3517" t="n">
        <v>0</v>
      </c>
      <c r="E3517" t="n">
        <v>0</v>
      </c>
      <c r="F3517" t="n">
        <v>1.000010015470635</v>
      </c>
      <c r="G3517" t="inlineStr">
        <is>
          <t>C</t>
        </is>
      </c>
      <c r="H3517" t="n">
        <v>5</v>
      </c>
      <c r="I3517" t="n">
        <v>2.002702703</v>
      </c>
      <c r="J3517" t="n">
        <v>10.013513515</v>
      </c>
      <c r="K3517" t="n">
        <v>0</v>
      </c>
      <c r="L3517" t="n">
        <v>999</v>
      </c>
      <c r="M3517" t="n">
        <v>4</v>
      </c>
      <c r="N3517" t="n">
        <v>0</v>
      </c>
      <c r="O3517" t="n">
        <v>5</v>
      </c>
      <c r="P3517" t="n">
        <v>10.013513515</v>
      </c>
      <c r="Q3517" t="n">
        <v>1</v>
      </c>
      <c r="R3517" t="inlineStr">
        <is>
          <t>Sobrestock crítico</t>
        </is>
      </c>
    </row>
    <row r="3518">
      <c r="A3518" t="inlineStr">
        <is>
          <t>MLCMJCA50TS</t>
        </is>
      </c>
      <c r="B3518" t="inlineStr">
        <is>
          <t>[MLCMJCA50TS] MOTION LOOP CLASICA CAB (Rojo, S)</t>
        </is>
      </c>
      <c r="C3518" t="inlineStr">
        <is>
          <t>CAB / MOTION LOOP CLASICA</t>
        </is>
      </c>
      <c r="D3518" t="n">
        <v>0</v>
      </c>
      <c r="E3518" t="n">
        <v>0</v>
      </c>
      <c r="F3518" t="n">
        <v>1.000010015470635</v>
      </c>
      <c r="G3518" t="inlineStr">
        <is>
          <t>C</t>
        </is>
      </c>
      <c r="H3518" t="n">
        <v>10</v>
      </c>
      <c r="I3518" t="n">
        <v>0</v>
      </c>
      <c r="J3518" t="n">
        <v>0</v>
      </c>
      <c r="K3518" t="n">
        <v>0</v>
      </c>
      <c r="L3518" t="n">
        <v>999</v>
      </c>
      <c r="M3518" t="n">
        <v>4</v>
      </c>
      <c r="N3518" t="n">
        <v>0</v>
      </c>
      <c r="O3518" t="n">
        <v>10</v>
      </c>
      <c r="P3518" t="n">
        <v>0</v>
      </c>
      <c r="Q3518" t="n">
        <v>0</v>
      </c>
      <c r="R3518" t="inlineStr">
        <is>
          <t>Sin rotación</t>
        </is>
      </c>
    </row>
    <row r="3519">
      <c r="A3519" t="inlineStr">
        <is>
          <t>GEOMACADA03TXL</t>
        </is>
      </c>
      <c r="B3519" t="inlineStr">
        <is>
          <t>[GEOMACADA03TXL] ADVANCE GEO MAYA DAMA (Amarillo, XL)</t>
        </is>
      </c>
      <c r="C3519" t="inlineStr">
        <is>
          <t>DAMA / ADVANCE GEO MAYA</t>
        </is>
      </c>
      <c r="D3519" t="n">
        <v>0</v>
      </c>
      <c r="E3519" t="n">
        <v>0</v>
      </c>
      <c r="F3519" t="n">
        <v>1.000010015470635</v>
      </c>
      <c r="G3519" t="inlineStr">
        <is>
          <t>C</t>
        </is>
      </c>
      <c r="H3519" t="n">
        <v>20</v>
      </c>
      <c r="I3519" t="n">
        <v>0</v>
      </c>
      <c r="J3519" t="n">
        <v>0</v>
      </c>
      <c r="K3519" t="n">
        <v>0</v>
      </c>
      <c r="L3519" t="n">
        <v>999</v>
      </c>
      <c r="M3519" t="n">
        <v>4</v>
      </c>
      <c r="N3519" t="n">
        <v>0</v>
      </c>
      <c r="O3519" t="n">
        <v>20</v>
      </c>
      <c r="P3519" t="n">
        <v>0</v>
      </c>
      <c r="Q3519" t="n">
        <v>0</v>
      </c>
      <c r="R3519" t="inlineStr">
        <is>
          <t>Sin rotación</t>
        </is>
      </c>
    </row>
    <row r="3520">
      <c r="A3520" t="inlineStr">
        <is>
          <t>MAFMEDA63TXS</t>
        </is>
      </c>
      <c r="B3520" t="inlineStr">
        <is>
          <t>[MAFMEDA63TXS] MAFE SPORT DAMA (Verde Agua, XS)</t>
        </is>
      </c>
      <c r="C3520" t="inlineStr">
        <is>
          <t>DAMA / MAFE SPORT</t>
        </is>
      </c>
      <c r="D3520" t="n">
        <v>0</v>
      </c>
      <c r="E3520" t="n">
        <v>0</v>
      </c>
      <c r="F3520" t="n">
        <v>1.000010015470635</v>
      </c>
      <c r="G3520" t="inlineStr">
        <is>
          <t>C</t>
        </is>
      </c>
      <c r="H3520" t="n">
        <v>2</v>
      </c>
      <c r="I3520" t="n">
        <v>0</v>
      </c>
      <c r="J3520" t="n">
        <v>0</v>
      </c>
      <c r="K3520" t="n">
        <v>0</v>
      </c>
      <c r="L3520" t="n">
        <v>999</v>
      </c>
      <c r="M3520" t="n">
        <v>4</v>
      </c>
      <c r="N3520" t="n">
        <v>0</v>
      </c>
      <c r="O3520" t="n">
        <v>2</v>
      </c>
      <c r="P3520" t="n">
        <v>0</v>
      </c>
      <c r="Q3520" t="n">
        <v>0</v>
      </c>
      <c r="R3520" t="inlineStr">
        <is>
          <t>Sin rotación</t>
        </is>
      </c>
    </row>
    <row r="3521">
      <c r="A3521" t="inlineStr">
        <is>
          <t>MAFMEDA16TXS</t>
        </is>
      </c>
      <c r="B3521" t="inlineStr">
        <is>
          <t>[MAFMEDA16TXS] MAFE SPORT DAMA (Blanco, XS)</t>
        </is>
      </c>
      <c r="C3521" t="inlineStr">
        <is>
          <t>DAMA / MAFE SPORT</t>
        </is>
      </c>
      <c r="D3521" t="n">
        <v>0</v>
      </c>
      <c r="E3521" t="n">
        <v>0</v>
      </c>
      <c r="F3521" t="n">
        <v>1.000010015470635</v>
      </c>
      <c r="G3521" t="inlineStr">
        <is>
          <t>C</t>
        </is>
      </c>
      <c r="H3521" t="n">
        <v>1</v>
      </c>
      <c r="I3521" t="n">
        <v>0</v>
      </c>
      <c r="J3521" t="n">
        <v>0</v>
      </c>
      <c r="K3521" t="n">
        <v>0</v>
      </c>
      <c r="L3521" t="n">
        <v>999</v>
      </c>
      <c r="M3521" t="n">
        <v>4</v>
      </c>
      <c r="N3521" t="n">
        <v>0</v>
      </c>
      <c r="O3521" t="n">
        <v>1</v>
      </c>
      <c r="P3521" t="n">
        <v>0</v>
      </c>
      <c r="Q3521" t="n">
        <v>0</v>
      </c>
      <c r="R3521" t="inlineStr">
        <is>
          <t>Sin rotación</t>
        </is>
      </c>
    </row>
    <row r="3522">
      <c r="A3522" t="inlineStr">
        <is>
          <t>LARIMJDA01TXL</t>
        </is>
      </c>
      <c r="B3522" t="inlineStr">
        <is>
          <t>[LARIMJDA01TXL] LARISA ORIGINAL DAMA (Aguamarina, XL)</t>
        </is>
      </c>
      <c r="C3522" t="inlineStr">
        <is>
          <t>DAMA / LARISA ORIGINAL</t>
        </is>
      </c>
      <c r="D3522" t="n">
        <v>0</v>
      </c>
      <c r="E3522" t="n">
        <v>0</v>
      </c>
      <c r="F3522" t="n">
        <v>1.000010015470635</v>
      </c>
      <c r="G3522" t="inlineStr">
        <is>
          <t>C</t>
        </is>
      </c>
      <c r="H3522" t="n">
        <v>14</v>
      </c>
      <c r="I3522" t="n">
        <v>0</v>
      </c>
      <c r="J3522" t="n">
        <v>0</v>
      </c>
      <c r="K3522" t="n">
        <v>0</v>
      </c>
      <c r="L3522" t="n">
        <v>999</v>
      </c>
      <c r="M3522" t="n">
        <v>4</v>
      </c>
      <c r="N3522" t="n">
        <v>0</v>
      </c>
      <c r="O3522" t="n">
        <v>14</v>
      </c>
      <c r="P3522" t="n">
        <v>0</v>
      </c>
      <c r="Q3522" t="n">
        <v>0</v>
      </c>
      <c r="R3522" t="inlineStr">
        <is>
          <t>Sin rotación</t>
        </is>
      </c>
    </row>
    <row r="3523">
      <c r="A3523" t="inlineStr">
        <is>
          <t>WAVSTDA16TXS</t>
        </is>
      </c>
      <c r="B3523" t="inlineStr">
        <is>
          <t>[WAVSTDA16TXS] CLASICA RETRO 2.0 DAMA (Blanco/Waves, XS)</t>
        </is>
      </c>
      <c r="C3523" t="inlineStr">
        <is>
          <t>DAMA / CLASICA RETRO 2.0</t>
        </is>
      </c>
      <c r="D3523" t="n">
        <v>0</v>
      </c>
      <c r="E3523" t="n">
        <v>0</v>
      </c>
      <c r="F3523" t="n">
        <v>1.000010015470635</v>
      </c>
      <c r="G3523" t="inlineStr">
        <is>
          <t>C</t>
        </is>
      </c>
      <c r="H3523" t="n">
        <v>1</v>
      </c>
      <c r="I3523" t="n">
        <v>0</v>
      </c>
      <c r="J3523" t="n">
        <v>0</v>
      </c>
      <c r="K3523" t="n">
        <v>0</v>
      </c>
      <c r="L3523" t="n">
        <v>999</v>
      </c>
      <c r="M3523" t="n">
        <v>4</v>
      </c>
      <c r="N3523" t="n">
        <v>0</v>
      </c>
      <c r="O3523" t="n">
        <v>1</v>
      </c>
      <c r="P3523" t="n">
        <v>0</v>
      </c>
      <c r="Q3523" t="n">
        <v>0</v>
      </c>
      <c r="R3523" t="inlineStr">
        <is>
          <t>Sin rotación</t>
        </is>
      </c>
    </row>
    <row r="3524">
      <c r="A3524" t="inlineStr">
        <is>
          <t>ANDSPDA16TL</t>
        </is>
      </c>
      <c r="B3524" t="inlineStr">
        <is>
          <t>ANDRE SPORT DAMA</t>
        </is>
      </c>
      <c r="C3524" t="inlineStr">
        <is>
          <t>Manufactura / Dama / P. Superiores</t>
        </is>
      </c>
      <c r="D3524" t="n">
        <v>0</v>
      </c>
      <c r="E3524" t="n">
        <v>0</v>
      </c>
      <c r="F3524" t="n">
        <v>1.000010015470635</v>
      </c>
      <c r="G3524" t="inlineStr">
        <is>
          <t>C</t>
        </is>
      </c>
      <c r="H3524" t="n">
        <v>0</v>
      </c>
      <c r="I3524" t="n">
        <v>0</v>
      </c>
      <c r="J3524" t="n">
        <v>0</v>
      </c>
      <c r="K3524" t="n">
        <v>0.1</v>
      </c>
      <c r="L3524" t="n">
        <v>0</v>
      </c>
      <c r="M3524" t="n">
        <v>4</v>
      </c>
      <c r="N3524" t="n">
        <v>0.4</v>
      </c>
      <c r="O3524" t="n">
        <v>0</v>
      </c>
      <c r="P3524" t="n">
        <v>0</v>
      </c>
      <c r="Q3524" t="n">
        <v>0</v>
      </c>
      <c r="R3524" t="inlineStr">
        <is>
          <t>Sin rotación</t>
        </is>
      </c>
    </row>
    <row r="3525">
      <c r="A3525" t="inlineStr">
        <is>
          <t>ANDSPDA13TXS</t>
        </is>
      </c>
      <c r="B3525" t="inlineStr">
        <is>
          <t>ANDRE SPORT DAMA</t>
        </is>
      </c>
      <c r="C3525" t="inlineStr">
        <is>
          <t>Manufactura / Dama / P. Superiores</t>
        </is>
      </c>
      <c r="D3525" t="n">
        <v>0</v>
      </c>
      <c r="E3525" t="n">
        <v>0</v>
      </c>
      <c r="F3525" t="n">
        <v>1.000010015470635</v>
      </c>
      <c r="G3525" t="inlineStr">
        <is>
          <t>C</t>
        </is>
      </c>
      <c r="H3525" t="n">
        <v>0</v>
      </c>
      <c r="I3525" t="n">
        <v>0</v>
      </c>
      <c r="J3525" t="n">
        <v>0</v>
      </c>
      <c r="K3525" t="n">
        <v>0.1</v>
      </c>
      <c r="L3525" t="n">
        <v>0</v>
      </c>
      <c r="M3525" t="n">
        <v>4</v>
      </c>
      <c r="N3525" t="n">
        <v>0.4</v>
      </c>
      <c r="O3525" t="n">
        <v>0</v>
      </c>
      <c r="P3525" t="n">
        <v>0</v>
      </c>
      <c r="Q3525" t="n">
        <v>0</v>
      </c>
      <c r="R3525" t="inlineStr">
        <is>
          <t>Sin rotación</t>
        </is>
      </c>
    </row>
    <row r="3526">
      <c r="A3526" t="inlineStr">
        <is>
          <t>SHR2VICA66TXL</t>
        </is>
      </c>
      <c r="B3526" t="inlineStr">
        <is>
          <t>[SHR2VICA66TXL] SHORT R2 CAB (Verde Militar, XL)</t>
        </is>
      </c>
      <c r="C3526" t="inlineStr">
        <is>
          <t>CAB / SHORT R2</t>
        </is>
      </c>
      <c r="D3526" t="n">
        <v>0</v>
      </c>
      <c r="E3526" t="n">
        <v>0</v>
      </c>
      <c r="F3526" t="n">
        <v>1.000010015470635</v>
      </c>
      <c r="G3526" t="inlineStr">
        <is>
          <t>C</t>
        </is>
      </c>
      <c r="H3526" t="n">
        <v>2</v>
      </c>
      <c r="I3526" t="n">
        <v>0</v>
      </c>
      <c r="J3526" t="n">
        <v>0</v>
      </c>
      <c r="K3526" t="n">
        <v>0</v>
      </c>
      <c r="L3526" t="n">
        <v>999</v>
      </c>
      <c r="M3526" t="n">
        <v>4</v>
      </c>
      <c r="N3526" t="n">
        <v>0</v>
      </c>
      <c r="O3526" t="n">
        <v>2</v>
      </c>
      <c r="P3526" t="n">
        <v>0</v>
      </c>
      <c r="Q3526" t="n">
        <v>0</v>
      </c>
      <c r="R3526" t="inlineStr">
        <is>
          <t>Sin rotación</t>
        </is>
      </c>
    </row>
    <row r="3527">
      <c r="A3527" t="inlineStr">
        <is>
          <t>MIAMIDA70TXS</t>
        </is>
      </c>
      <c r="B3527" t="inlineStr">
        <is>
          <t>MIA ORIGINAL DAMA</t>
        </is>
      </c>
      <c r="C3527" t="inlineStr">
        <is>
          <t>Manufactura / Dama / P. Superiores</t>
        </is>
      </c>
      <c r="D3527" t="n">
        <v>0</v>
      </c>
      <c r="E3527" t="n">
        <v>0</v>
      </c>
      <c r="F3527" t="n">
        <v>1.000010015470635</v>
      </c>
      <c r="G3527" t="inlineStr">
        <is>
          <t>C</t>
        </is>
      </c>
      <c r="H3527" t="n">
        <v>0</v>
      </c>
      <c r="I3527" t="n">
        <v>3.94</v>
      </c>
      <c r="J3527" t="n">
        <v>0</v>
      </c>
      <c r="K3527" t="n">
        <v>0.1</v>
      </c>
      <c r="L3527" t="n">
        <v>0</v>
      </c>
      <c r="M3527" t="n">
        <v>4</v>
      </c>
      <c r="N3527" t="n">
        <v>0.4</v>
      </c>
      <c r="O3527" t="n">
        <v>0</v>
      </c>
      <c r="P3527" t="n">
        <v>0</v>
      </c>
      <c r="Q3527" t="n">
        <v>0</v>
      </c>
      <c r="R3527" t="inlineStr">
        <is>
          <t>Sin rotación</t>
        </is>
      </c>
    </row>
    <row r="3528">
      <c r="A3528" t="inlineStr">
        <is>
          <t>CLAMIDA48TM</t>
        </is>
      </c>
      <c r="B3528" t="inlineStr">
        <is>
          <t>CLASICA ORIGINAL DAMA</t>
        </is>
      </c>
      <c r="C3528" t="inlineStr">
        <is>
          <t>Manufactura / Dama / P. Superiores</t>
        </is>
      </c>
      <c r="D3528" t="n">
        <v>0</v>
      </c>
      <c r="E3528" t="n">
        <v>0</v>
      </c>
      <c r="F3528" t="n">
        <v>1.000010015470635</v>
      </c>
      <c r="G3528" t="inlineStr">
        <is>
          <t>C</t>
        </is>
      </c>
      <c r="H3528" t="n">
        <v>0</v>
      </c>
      <c r="I3528" t="n">
        <v>3.923227589</v>
      </c>
      <c r="J3528" t="n">
        <v>0</v>
      </c>
      <c r="K3528" t="n">
        <v>0.1</v>
      </c>
      <c r="L3528" t="n">
        <v>0</v>
      </c>
      <c r="M3528" t="n">
        <v>4</v>
      </c>
      <c r="N3528" t="n">
        <v>0.4</v>
      </c>
      <c r="O3528" t="n">
        <v>0</v>
      </c>
      <c r="P3528" t="n">
        <v>0</v>
      </c>
      <c r="Q3528" t="n">
        <v>0</v>
      </c>
      <c r="R3528" t="inlineStr">
        <is>
          <t>Riesgo bajo stock</t>
        </is>
      </c>
    </row>
    <row r="3529">
      <c r="A3529" t="inlineStr">
        <is>
          <t>CLAMIDA48TL</t>
        </is>
      </c>
      <c r="B3529" t="inlineStr">
        <is>
          <t>CLASICA ORIGINAL DAMA</t>
        </is>
      </c>
      <c r="C3529" t="inlineStr">
        <is>
          <t>Manufactura / Dama / P. Superiores</t>
        </is>
      </c>
      <c r="D3529" t="n">
        <v>0</v>
      </c>
      <c r="E3529" t="n">
        <v>0</v>
      </c>
      <c r="F3529" t="n">
        <v>1.000010015470635</v>
      </c>
      <c r="G3529" t="inlineStr">
        <is>
          <t>C</t>
        </is>
      </c>
      <c r="H3529" t="n">
        <v>0</v>
      </c>
      <c r="I3529" t="n">
        <v>3.923227589</v>
      </c>
      <c r="J3529" t="n">
        <v>0</v>
      </c>
      <c r="K3529" t="n">
        <v>0.1</v>
      </c>
      <c r="L3529" t="n">
        <v>0</v>
      </c>
      <c r="M3529" t="n">
        <v>4</v>
      </c>
      <c r="N3529" t="n">
        <v>0.4</v>
      </c>
      <c r="O3529" t="n">
        <v>0</v>
      </c>
      <c r="P3529" t="n">
        <v>0</v>
      </c>
      <c r="Q3529" t="n">
        <v>0</v>
      </c>
      <c r="R3529" t="inlineStr">
        <is>
          <t>Riesgo bajo stock</t>
        </is>
      </c>
    </row>
    <row r="3530">
      <c r="A3530" t="inlineStr">
        <is>
          <t>MAFMIDA16T2XL</t>
        </is>
      </c>
      <c r="B3530" t="inlineStr">
        <is>
          <t>[MAFMIDA16T2XL] MAFE ORIGINAL DAMA (Blanco, 2XL)</t>
        </is>
      </c>
      <c r="C3530" t="inlineStr">
        <is>
          <t>DAMA / MAFE ORIGINAL</t>
        </is>
      </c>
      <c r="D3530" t="n">
        <v>0</v>
      </c>
      <c r="E3530" t="n">
        <v>0</v>
      </c>
      <c r="F3530" t="n">
        <v>1.000010015470635</v>
      </c>
      <c r="G3530" t="inlineStr">
        <is>
          <t>C</t>
        </is>
      </c>
      <c r="H3530" t="n">
        <v>3</v>
      </c>
      <c r="I3530" t="n">
        <v>0</v>
      </c>
      <c r="J3530" t="n">
        <v>0</v>
      </c>
      <c r="K3530" t="n">
        <v>0</v>
      </c>
      <c r="L3530" t="n">
        <v>999</v>
      </c>
      <c r="M3530" t="n">
        <v>4</v>
      </c>
      <c r="N3530" t="n">
        <v>0</v>
      </c>
      <c r="O3530" t="n">
        <v>3</v>
      </c>
      <c r="P3530" t="n">
        <v>0</v>
      </c>
      <c r="Q3530" t="n">
        <v>0</v>
      </c>
      <c r="R3530" t="inlineStr">
        <is>
          <t>Sin rotación</t>
        </is>
      </c>
    </row>
    <row r="3531">
      <c r="A3531" t="inlineStr">
        <is>
          <t>PETMIPE50TL</t>
        </is>
      </c>
      <c r="B3531" t="inlineStr">
        <is>
          <t>BANDANA PET</t>
        </is>
      </c>
      <c r="C3531" t="inlineStr">
        <is>
          <t>Manufactura / General</t>
        </is>
      </c>
      <c r="D3531" t="n">
        <v>0</v>
      </c>
      <c r="E3531" t="n">
        <v>0</v>
      </c>
      <c r="F3531" t="n">
        <v>1.000010015470635</v>
      </c>
      <c r="G3531" t="inlineStr">
        <is>
          <t>C</t>
        </is>
      </c>
      <c r="H3531" t="n">
        <v>0</v>
      </c>
      <c r="I3531" t="n">
        <v>0.3252662283</v>
      </c>
      <c r="J3531" t="n">
        <v>0</v>
      </c>
      <c r="K3531" t="n">
        <v>0.1</v>
      </c>
      <c r="L3531" t="n">
        <v>0</v>
      </c>
      <c r="M3531" t="n">
        <v>4</v>
      </c>
      <c r="N3531" t="n">
        <v>0.4</v>
      </c>
      <c r="O3531" t="n">
        <v>0</v>
      </c>
      <c r="P3531" t="n">
        <v>0</v>
      </c>
      <c r="Q3531" t="n">
        <v>0</v>
      </c>
      <c r="R3531" t="inlineStr">
        <is>
          <t>Sin rotación</t>
        </is>
      </c>
    </row>
    <row r="3532">
      <c r="A3532" t="inlineStr">
        <is>
          <t>CLAMIKI01T10</t>
        </is>
      </c>
      <c r="B3532" t="inlineStr">
        <is>
          <t>[CLAMIKI01T10] CLASICA ORIGINAL KIDS (Aguamarina, 10)</t>
        </is>
      </c>
      <c r="C3532" t="inlineStr">
        <is>
          <t>KIDS / CLASICA ORIGINAL</t>
        </is>
      </c>
      <c r="D3532" t="n">
        <v>0</v>
      </c>
      <c r="E3532" t="n">
        <v>0</v>
      </c>
      <c r="F3532" t="n">
        <v>1.000010015470635</v>
      </c>
      <c r="G3532" t="inlineStr">
        <is>
          <t>C</t>
        </is>
      </c>
      <c r="H3532" t="n">
        <v>3</v>
      </c>
      <c r="I3532" t="n">
        <v>0</v>
      </c>
      <c r="J3532" t="n">
        <v>0</v>
      </c>
      <c r="K3532" t="n">
        <v>0</v>
      </c>
      <c r="L3532" t="n">
        <v>999</v>
      </c>
      <c r="M3532" t="n">
        <v>4</v>
      </c>
      <c r="N3532" t="n">
        <v>0</v>
      </c>
      <c r="O3532" t="n">
        <v>3</v>
      </c>
      <c r="P3532" t="n">
        <v>0</v>
      </c>
      <c r="Q3532" t="n">
        <v>0</v>
      </c>
      <c r="R3532" t="inlineStr">
        <is>
          <t>Sin rotación</t>
        </is>
      </c>
    </row>
    <row r="3533">
      <c r="A3533" t="inlineStr">
        <is>
          <t>CLAMIDA52TXS</t>
        </is>
      </c>
      <c r="B3533" t="inlineStr">
        <is>
          <t>CLASICA ORIGINAL DAMA</t>
        </is>
      </c>
      <c r="C3533" t="inlineStr">
        <is>
          <t>Manufactura / Dama / P. Superiores</t>
        </is>
      </c>
      <c r="D3533" t="n">
        <v>0</v>
      </c>
      <c r="E3533" t="n">
        <v>0</v>
      </c>
      <c r="F3533" t="n">
        <v>1.000010015470635</v>
      </c>
      <c r="G3533" t="inlineStr">
        <is>
          <t>C</t>
        </is>
      </c>
      <c r="H3533" t="n">
        <v>0</v>
      </c>
      <c r="I3533" t="n">
        <v>3.923227589</v>
      </c>
      <c r="J3533" t="n">
        <v>0</v>
      </c>
      <c r="K3533" t="n">
        <v>1.5</v>
      </c>
      <c r="L3533" t="n">
        <v>0</v>
      </c>
      <c r="M3533" t="n">
        <v>4</v>
      </c>
      <c r="N3533" t="n">
        <v>6</v>
      </c>
      <c r="O3533" t="n">
        <v>0</v>
      </c>
      <c r="P3533" t="n">
        <v>0</v>
      </c>
      <c r="Q3533" t="n">
        <v>0</v>
      </c>
      <c r="R3533" t="inlineStr">
        <is>
          <t>Riesgo bajo stock</t>
        </is>
      </c>
    </row>
    <row r="3534">
      <c r="A3534" t="inlineStr">
        <is>
          <t>CLAMIDA52TXL</t>
        </is>
      </c>
      <c r="B3534" t="inlineStr">
        <is>
          <t>CLASICA ORIGINAL DAMA</t>
        </is>
      </c>
      <c r="C3534" t="inlineStr">
        <is>
          <t>Manufactura / Dama / P. Superiores</t>
        </is>
      </c>
      <c r="D3534" t="n">
        <v>0</v>
      </c>
      <c r="E3534" t="n">
        <v>0</v>
      </c>
      <c r="F3534" t="n">
        <v>1.000010015470635</v>
      </c>
      <c r="G3534" t="inlineStr">
        <is>
          <t>C</t>
        </is>
      </c>
      <c r="H3534" t="n">
        <v>0</v>
      </c>
      <c r="I3534" t="n">
        <v>3.923227589</v>
      </c>
      <c r="J3534" t="n">
        <v>0</v>
      </c>
      <c r="K3534" t="n">
        <v>0.5</v>
      </c>
      <c r="L3534" t="n">
        <v>0</v>
      </c>
      <c r="M3534" t="n">
        <v>4</v>
      </c>
      <c r="N3534" t="n">
        <v>2</v>
      </c>
      <c r="O3534" t="n">
        <v>0</v>
      </c>
      <c r="P3534" t="n">
        <v>0</v>
      </c>
      <c r="Q3534" t="n">
        <v>0</v>
      </c>
      <c r="R3534" t="inlineStr">
        <is>
          <t>Riesgo bajo stock</t>
        </is>
      </c>
    </row>
    <row r="3535">
      <c r="A3535" t="inlineStr">
        <is>
          <t>CLAMIDA52TS</t>
        </is>
      </c>
      <c r="B3535" t="inlineStr">
        <is>
          <t>CLASICA ORIGINAL DAMA</t>
        </is>
      </c>
      <c r="C3535" t="inlineStr">
        <is>
          <t>Manufactura / Dama / P. Superiores</t>
        </is>
      </c>
      <c r="D3535" t="n">
        <v>0</v>
      </c>
      <c r="E3535" t="n">
        <v>0</v>
      </c>
      <c r="F3535" t="n">
        <v>1.000010015470635</v>
      </c>
      <c r="G3535" t="inlineStr">
        <is>
          <t>C</t>
        </is>
      </c>
      <c r="H3535" t="n">
        <v>0</v>
      </c>
      <c r="I3535" t="n">
        <v>3.923227589</v>
      </c>
      <c r="J3535" t="n">
        <v>0</v>
      </c>
      <c r="K3535" t="n">
        <v>2.6</v>
      </c>
      <c r="L3535" t="n">
        <v>0</v>
      </c>
      <c r="M3535" t="n">
        <v>4</v>
      </c>
      <c r="N3535" t="n">
        <v>10.4</v>
      </c>
      <c r="O3535" t="n">
        <v>0</v>
      </c>
      <c r="P3535" t="n">
        <v>0</v>
      </c>
      <c r="Q3535" t="n">
        <v>0</v>
      </c>
      <c r="R3535" t="inlineStr">
        <is>
          <t>Riesgo bajo stock</t>
        </is>
      </c>
    </row>
    <row r="3536">
      <c r="A3536" t="inlineStr">
        <is>
          <t>CLAMIDA52TM</t>
        </is>
      </c>
      <c r="B3536" t="inlineStr">
        <is>
          <t>CLASICA ORIGINAL DAMA</t>
        </is>
      </c>
      <c r="C3536" t="inlineStr">
        <is>
          <t>Manufactura / Dama / P. Superiores</t>
        </is>
      </c>
      <c r="D3536" t="n">
        <v>0</v>
      </c>
      <c r="E3536" t="n">
        <v>0</v>
      </c>
      <c r="F3536" t="n">
        <v>1.000010015470635</v>
      </c>
      <c r="G3536" t="inlineStr">
        <is>
          <t>C</t>
        </is>
      </c>
      <c r="H3536" t="n">
        <v>0</v>
      </c>
      <c r="I3536" t="n">
        <v>3.923227589</v>
      </c>
      <c r="J3536" t="n">
        <v>0</v>
      </c>
      <c r="K3536" t="n">
        <v>2.5</v>
      </c>
      <c r="L3536" t="n">
        <v>0</v>
      </c>
      <c r="M3536" t="n">
        <v>4</v>
      </c>
      <c r="N3536" t="n">
        <v>10</v>
      </c>
      <c r="O3536" t="n">
        <v>0</v>
      </c>
      <c r="P3536" t="n">
        <v>0</v>
      </c>
      <c r="Q3536" t="n">
        <v>0</v>
      </c>
      <c r="R3536" t="inlineStr">
        <is>
          <t>Riesgo bajo stock</t>
        </is>
      </c>
    </row>
    <row r="3537">
      <c r="A3537" t="inlineStr">
        <is>
          <t>CLAMIDA50TL</t>
        </is>
      </c>
      <c r="B3537" t="inlineStr">
        <is>
          <t>CLASICA ORIGINAL DAMA</t>
        </is>
      </c>
      <c r="C3537" t="inlineStr">
        <is>
          <t>Manufactura / Dama / P. Superiores</t>
        </is>
      </c>
      <c r="D3537" t="n">
        <v>0</v>
      </c>
      <c r="E3537" t="n">
        <v>0</v>
      </c>
      <c r="F3537" t="n">
        <v>1.000010015470635</v>
      </c>
      <c r="G3537" t="inlineStr">
        <is>
          <t>C</t>
        </is>
      </c>
      <c r="H3537" t="n">
        <v>0</v>
      </c>
      <c r="I3537" t="n">
        <v>3.923227589</v>
      </c>
      <c r="J3537" t="n">
        <v>0</v>
      </c>
      <c r="K3537" t="n">
        <v>0.1</v>
      </c>
      <c r="L3537" t="n">
        <v>0</v>
      </c>
      <c r="M3537" t="n">
        <v>4</v>
      </c>
      <c r="N3537" t="n">
        <v>0.4</v>
      </c>
      <c r="O3537" t="n">
        <v>0</v>
      </c>
      <c r="P3537" t="n">
        <v>0</v>
      </c>
      <c r="Q3537" t="n">
        <v>0</v>
      </c>
      <c r="R3537" t="inlineStr">
        <is>
          <t>Riesgo bajo stock</t>
        </is>
      </c>
    </row>
    <row r="3538">
      <c r="A3538" t="inlineStr">
        <is>
          <t>SHR2VIDA13TXS</t>
        </is>
      </c>
      <c r="B3538" t="inlineStr">
        <is>
          <t>SHORT R2 DAMA</t>
        </is>
      </c>
      <c r="C3538" t="inlineStr">
        <is>
          <t>Manufactura / Dama / P. Inferiores</t>
        </is>
      </c>
      <c r="D3538" t="n">
        <v>0</v>
      </c>
      <c r="E3538" t="n">
        <v>0</v>
      </c>
      <c r="F3538" t="n">
        <v>1.000010015470635</v>
      </c>
      <c r="G3538" t="inlineStr">
        <is>
          <t>C</t>
        </is>
      </c>
      <c r="H3538" t="n">
        <v>2</v>
      </c>
      <c r="I3538" t="n">
        <v>13.86928571</v>
      </c>
      <c r="J3538" t="n">
        <v>27.73857142</v>
      </c>
      <c r="K3538" t="n">
        <v>0.1</v>
      </c>
      <c r="L3538" t="n">
        <v>20</v>
      </c>
      <c r="M3538" t="n">
        <v>4</v>
      </c>
      <c r="N3538" t="n">
        <v>0.4</v>
      </c>
      <c r="O3538" t="n">
        <v>1.6</v>
      </c>
      <c r="P3538" t="n">
        <v>22.190857136</v>
      </c>
      <c r="Q3538" t="n">
        <v>0.8</v>
      </c>
      <c r="R3538" t="inlineStr">
        <is>
          <t>Sobrestock crítico</t>
        </is>
      </c>
    </row>
    <row r="3539">
      <c r="A3539" t="inlineStr">
        <is>
          <t>MANMIGE13TP</t>
        </is>
      </c>
      <c r="B3539" t="inlineStr">
        <is>
          <t>[MANMIGE13TP] MANGAS GENERAL (Azul Rey, P)</t>
        </is>
      </c>
      <c r="C3539" t="inlineStr">
        <is>
          <t>MANGAS GENERAL</t>
        </is>
      </c>
      <c r="D3539" t="n">
        <v>0</v>
      </c>
      <c r="E3539" t="n">
        <v>0</v>
      </c>
      <c r="F3539" t="n">
        <v>1.000010015470635</v>
      </c>
      <c r="G3539" t="inlineStr">
        <is>
          <t>C</t>
        </is>
      </c>
      <c r="H3539" t="n">
        <v>9</v>
      </c>
      <c r="I3539" t="n">
        <v>0</v>
      </c>
      <c r="J3539" t="n">
        <v>0</v>
      </c>
      <c r="K3539" t="n">
        <v>0</v>
      </c>
      <c r="L3539" t="n">
        <v>999</v>
      </c>
      <c r="M3539" t="n">
        <v>4</v>
      </c>
      <c r="N3539" t="n">
        <v>0</v>
      </c>
      <c r="O3539" t="n">
        <v>9</v>
      </c>
      <c r="P3539" t="n">
        <v>0</v>
      </c>
      <c r="Q3539" t="n">
        <v>0</v>
      </c>
      <c r="R3539" t="inlineStr">
        <is>
          <t>Sin rotación</t>
        </is>
      </c>
    </row>
    <row r="3540">
      <c r="A3540" t="inlineStr">
        <is>
          <t>SHR2VIDA13TM</t>
        </is>
      </c>
      <c r="B3540" t="inlineStr">
        <is>
          <t>[SHR2VIDA13TM] SHORT R2 DAMA (Azul Rey, M)</t>
        </is>
      </c>
      <c r="C3540" t="inlineStr">
        <is>
          <t>DAMA / SHORT R2</t>
        </is>
      </c>
      <c r="D3540" t="n">
        <v>0</v>
      </c>
      <c r="E3540" t="n">
        <v>0</v>
      </c>
      <c r="F3540" t="n">
        <v>1.000010015470635</v>
      </c>
      <c r="G3540" t="inlineStr">
        <is>
          <t>C</t>
        </is>
      </c>
      <c r="H3540" t="n">
        <v>2</v>
      </c>
      <c r="I3540" t="n">
        <v>0</v>
      </c>
      <c r="J3540" t="n">
        <v>0</v>
      </c>
      <c r="K3540" t="n">
        <v>0</v>
      </c>
      <c r="L3540" t="n">
        <v>999</v>
      </c>
      <c r="M3540" t="n">
        <v>4</v>
      </c>
      <c r="N3540" t="n">
        <v>0</v>
      </c>
      <c r="O3540" t="n">
        <v>2</v>
      </c>
      <c r="P3540" t="n">
        <v>0</v>
      </c>
      <c r="Q3540" t="n">
        <v>0</v>
      </c>
      <c r="R3540" t="inlineStr">
        <is>
          <t>Sin rotación</t>
        </is>
      </c>
    </row>
    <row r="3541">
      <c r="A3541" t="inlineStr">
        <is>
          <t>SHR2VIDA13TL</t>
        </is>
      </c>
      <c r="B3541" t="inlineStr">
        <is>
          <t>SHORT R2 DAMA</t>
        </is>
      </c>
      <c r="C3541" t="inlineStr">
        <is>
          <t>Manufactura / Dama / P. Inferiores</t>
        </is>
      </c>
      <c r="D3541" t="n">
        <v>0</v>
      </c>
      <c r="E3541" t="n">
        <v>0</v>
      </c>
      <c r="F3541" t="n">
        <v>1.000010015470635</v>
      </c>
      <c r="G3541" t="inlineStr">
        <is>
          <t>C</t>
        </is>
      </c>
      <c r="H3541" t="n">
        <v>2</v>
      </c>
      <c r="I3541" t="n">
        <v>13.86928571</v>
      </c>
      <c r="J3541" t="n">
        <v>27.73857142</v>
      </c>
      <c r="K3541" t="n">
        <v>0.1</v>
      </c>
      <c r="L3541" t="n">
        <v>20</v>
      </c>
      <c r="M3541" t="n">
        <v>4</v>
      </c>
      <c r="N3541" t="n">
        <v>0.4</v>
      </c>
      <c r="O3541" t="n">
        <v>1.6</v>
      </c>
      <c r="P3541" t="n">
        <v>22.190857136</v>
      </c>
      <c r="Q3541" t="n">
        <v>0.8</v>
      </c>
      <c r="R3541" t="inlineStr">
        <is>
          <t>Sobrestock crítico</t>
        </is>
      </c>
    </row>
    <row r="3542">
      <c r="A3542" t="inlineStr">
        <is>
          <t>SHR2VIDA123TXS</t>
        </is>
      </c>
      <c r="B3542" t="inlineStr">
        <is>
          <t>[SHR2VIDA123TXS] SHORT R2 DAMA (Verde Manzana, XS)</t>
        </is>
      </c>
      <c r="C3542" t="inlineStr">
        <is>
          <t>DAMA / SHORT R2</t>
        </is>
      </c>
      <c r="D3542" t="n">
        <v>0</v>
      </c>
      <c r="E3542" t="n">
        <v>0</v>
      </c>
      <c r="F3542" t="n">
        <v>1.000010015470635</v>
      </c>
      <c r="G3542" t="inlineStr">
        <is>
          <t>C</t>
        </is>
      </c>
      <c r="H3542" t="n">
        <v>2</v>
      </c>
      <c r="I3542" t="n">
        <v>0</v>
      </c>
      <c r="J3542" t="n">
        <v>0</v>
      </c>
      <c r="K3542" t="n">
        <v>0</v>
      </c>
      <c r="L3542" t="n">
        <v>999</v>
      </c>
      <c r="M3542" t="n">
        <v>4</v>
      </c>
      <c r="N3542" t="n">
        <v>0</v>
      </c>
      <c r="O3542" t="n">
        <v>2</v>
      </c>
      <c r="P3542" t="n">
        <v>0</v>
      </c>
      <c r="Q3542" t="n">
        <v>0</v>
      </c>
      <c r="R3542" t="inlineStr">
        <is>
          <t>Sin rotación</t>
        </is>
      </c>
    </row>
    <row r="3543">
      <c r="A3543" t="inlineStr">
        <is>
          <t>SHR2VIDA123TS</t>
        </is>
      </c>
      <c r="B3543" t="inlineStr">
        <is>
          <t>SHORT R2 DAMA</t>
        </is>
      </c>
      <c r="C3543" t="inlineStr">
        <is>
          <t>Manufactura / Dama / P. Inferiores</t>
        </is>
      </c>
      <c r="D3543" t="n">
        <v>0</v>
      </c>
      <c r="E3543" t="n">
        <v>0</v>
      </c>
      <c r="F3543" t="n">
        <v>1.000010015470635</v>
      </c>
      <c r="G3543" t="inlineStr">
        <is>
          <t>C</t>
        </is>
      </c>
      <c r="H3543" t="n">
        <v>1</v>
      </c>
      <c r="I3543" t="n">
        <v>13.86928571</v>
      </c>
      <c r="J3543" t="n">
        <v>13.86928571</v>
      </c>
      <c r="K3543" t="n">
        <v>0.1</v>
      </c>
      <c r="L3543" t="n">
        <v>10</v>
      </c>
      <c r="M3543" t="n">
        <v>4</v>
      </c>
      <c r="N3543" t="n">
        <v>0.4</v>
      </c>
      <c r="O3543" t="n">
        <v>0.6</v>
      </c>
      <c r="P3543" t="n">
        <v>8.321571426</v>
      </c>
      <c r="Q3543" t="n">
        <v>0.6</v>
      </c>
      <c r="R3543" t="inlineStr">
        <is>
          <t>Sobrestock crítico</t>
        </is>
      </c>
    </row>
    <row r="3544">
      <c r="A3544" t="inlineStr">
        <is>
          <t>SHR2VICA70TXL</t>
        </is>
      </c>
      <c r="B3544" t="inlineStr">
        <is>
          <t>[SHR2VICA70TXL] SHORT R2 CAB (Vinotinto, XL)</t>
        </is>
      </c>
      <c r="C3544" t="inlineStr">
        <is>
          <t>CAB / SHORT R2</t>
        </is>
      </c>
      <c r="D3544" t="n">
        <v>0</v>
      </c>
      <c r="E3544" t="n">
        <v>0</v>
      </c>
      <c r="F3544" t="n">
        <v>1.000010015470635</v>
      </c>
      <c r="G3544" t="inlineStr">
        <is>
          <t>C</t>
        </is>
      </c>
      <c r="H3544" t="n">
        <v>2</v>
      </c>
      <c r="I3544" t="n">
        <v>0</v>
      </c>
      <c r="J3544" t="n">
        <v>0</v>
      </c>
      <c r="K3544" t="n">
        <v>0</v>
      </c>
      <c r="L3544" t="n">
        <v>999</v>
      </c>
      <c r="M3544" t="n">
        <v>4</v>
      </c>
      <c r="N3544" t="n">
        <v>0</v>
      </c>
      <c r="O3544" t="n">
        <v>2</v>
      </c>
      <c r="P3544" t="n">
        <v>0</v>
      </c>
      <c r="Q3544" t="n">
        <v>0</v>
      </c>
      <c r="R3544" t="inlineStr">
        <is>
          <t>Sin rotación</t>
        </is>
      </c>
    </row>
    <row r="3545">
      <c r="A3545" t="inlineStr">
        <is>
          <t>CLAMIKI01T14</t>
        </is>
      </c>
      <c r="B3545" t="inlineStr">
        <is>
          <t>CLASICA ORIGINAL KIDS</t>
        </is>
      </c>
      <c r="C3545" t="inlineStr">
        <is>
          <t>Manufactura / Kids / P. Superiores</t>
        </is>
      </c>
      <c r="D3545" t="n">
        <v>0</v>
      </c>
      <c r="E3545" t="n">
        <v>0</v>
      </c>
      <c r="F3545" t="n">
        <v>1.000010015470635</v>
      </c>
      <c r="G3545" t="inlineStr">
        <is>
          <t>C</t>
        </is>
      </c>
      <c r="H3545" t="n">
        <v>1</v>
      </c>
      <c r="I3545" t="n">
        <v>2.053774806</v>
      </c>
      <c r="J3545" t="n">
        <v>2.053774806</v>
      </c>
      <c r="K3545" t="n">
        <v>0.2</v>
      </c>
      <c r="L3545" t="n">
        <v>5</v>
      </c>
      <c r="M3545" t="n">
        <v>4</v>
      </c>
      <c r="N3545" t="n">
        <v>0.8</v>
      </c>
      <c r="O3545" t="n">
        <v>0.2</v>
      </c>
      <c r="P3545" t="n">
        <v>0.4107549611999999</v>
      </c>
      <c r="Q3545" t="n">
        <v>0.2</v>
      </c>
      <c r="R3545" t="inlineStr">
        <is>
          <t>Sobrestock</t>
        </is>
      </c>
    </row>
    <row r="3546">
      <c r="A3546" t="inlineStr">
        <is>
          <t>VIVMIDA13T2XL</t>
        </is>
      </c>
      <c r="B3546" t="inlineStr">
        <is>
          <t>[VIVMIDA13T2XL] VIVI ORIGINAL DAMA (Azul Rey, 2XL)</t>
        </is>
      </c>
      <c r="C3546" t="inlineStr">
        <is>
          <t>DAMA / VIVI ORIGINAL</t>
        </is>
      </c>
      <c r="D3546" t="n">
        <v>0</v>
      </c>
      <c r="E3546" t="n">
        <v>0</v>
      </c>
      <c r="F3546" t="n">
        <v>1.000010015470635</v>
      </c>
      <c r="G3546" t="inlineStr">
        <is>
          <t>C</t>
        </is>
      </c>
      <c r="H3546" t="n">
        <v>1</v>
      </c>
      <c r="I3546" t="n">
        <v>0</v>
      </c>
      <c r="J3546" t="n">
        <v>0</v>
      </c>
      <c r="K3546" t="n">
        <v>0</v>
      </c>
      <c r="L3546" t="n">
        <v>999</v>
      </c>
      <c r="M3546" t="n">
        <v>4</v>
      </c>
      <c r="N3546" t="n">
        <v>0</v>
      </c>
      <c r="O3546" t="n">
        <v>1</v>
      </c>
      <c r="P3546" t="n">
        <v>0</v>
      </c>
      <c r="Q3546" t="n">
        <v>0</v>
      </c>
      <c r="R3546" t="inlineStr">
        <is>
          <t>Sin rotación</t>
        </is>
      </c>
    </row>
    <row r="3547">
      <c r="A3547" t="inlineStr">
        <is>
          <t>MAFMIDA50TS</t>
        </is>
      </c>
      <c r="B3547" t="inlineStr">
        <is>
          <t>[MAFMIDA50TS] MAFE ORIGINAL DAMA (Rojo, S)</t>
        </is>
      </c>
      <c r="C3547" t="inlineStr">
        <is>
          <t>DAMA / MAFE ORIGINAL</t>
        </is>
      </c>
      <c r="D3547" t="n">
        <v>0</v>
      </c>
      <c r="E3547" t="n">
        <v>0</v>
      </c>
      <c r="F3547" t="n">
        <v>1.000010015470635</v>
      </c>
      <c r="G3547" t="inlineStr">
        <is>
          <t>C</t>
        </is>
      </c>
      <c r="H3547" t="n">
        <v>1</v>
      </c>
      <c r="I3547" t="n">
        <v>0</v>
      </c>
      <c r="J3547" t="n">
        <v>0</v>
      </c>
      <c r="K3547" t="n">
        <v>0</v>
      </c>
      <c r="L3547" t="n">
        <v>999</v>
      </c>
      <c r="M3547" t="n">
        <v>4</v>
      </c>
      <c r="N3547" t="n">
        <v>0</v>
      </c>
      <c r="O3547" t="n">
        <v>1</v>
      </c>
      <c r="P3547" t="n">
        <v>0</v>
      </c>
      <c r="Q3547" t="n">
        <v>0</v>
      </c>
      <c r="R3547" t="inlineStr">
        <is>
          <t>Sin rotación</t>
        </is>
      </c>
    </row>
    <row r="3548">
      <c r="A3548" t="inlineStr">
        <is>
          <t>MAFMIDA43T2XL</t>
        </is>
      </c>
      <c r="B3548" t="inlineStr">
        <is>
          <t>[MAFMIDA43T2XL] MAFE ORIGINAL DAMA (Negro, 2XL)</t>
        </is>
      </c>
      <c r="C3548" t="inlineStr">
        <is>
          <t>DAMA / MAFE ORIGINAL</t>
        </is>
      </c>
      <c r="D3548" t="n">
        <v>0</v>
      </c>
      <c r="E3548" t="n">
        <v>0</v>
      </c>
      <c r="F3548" t="n">
        <v>1.000010015470635</v>
      </c>
      <c r="G3548" t="inlineStr">
        <is>
          <t>C</t>
        </is>
      </c>
      <c r="H3548" t="n">
        <v>2</v>
      </c>
      <c r="I3548" t="n">
        <v>0</v>
      </c>
      <c r="J3548" t="n">
        <v>0</v>
      </c>
      <c r="K3548" t="n">
        <v>0</v>
      </c>
      <c r="L3548" t="n">
        <v>999</v>
      </c>
      <c r="M3548" t="n">
        <v>4</v>
      </c>
      <c r="N3548" t="n">
        <v>0</v>
      </c>
      <c r="O3548" t="n">
        <v>2</v>
      </c>
      <c r="P3548" t="n">
        <v>0</v>
      </c>
      <c r="Q3548" t="n">
        <v>0</v>
      </c>
      <c r="R3548" t="inlineStr">
        <is>
          <t>Sin rotación</t>
        </is>
      </c>
    </row>
    <row r="3549">
      <c r="A3549" t="inlineStr">
        <is>
          <t>MANMIGE28TP</t>
        </is>
      </c>
      <c r="B3549" t="inlineStr">
        <is>
          <t>[MANMIGE28TP] MANGAS GENERAL (Fucsia, P)</t>
        </is>
      </c>
      <c r="C3549" t="inlineStr">
        <is>
          <t>MANGAS GENERAL</t>
        </is>
      </c>
      <c r="D3549" t="n">
        <v>0</v>
      </c>
      <c r="E3549" t="n">
        <v>0</v>
      </c>
      <c r="F3549" t="n">
        <v>1.000010015470635</v>
      </c>
      <c r="G3549" t="inlineStr">
        <is>
          <t>C</t>
        </is>
      </c>
      <c r="H3549" t="n">
        <v>3</v>
      </c>
      <c r="I3549" t="n">
        <v>0</v>
      </c>
      <c r="J3549" t="n">
        <v>0</v>
      </c>
      <c r="K3549" t="n">
        <v>0</v>
      </c>
      <c r="L3549" t="n">
        <v>999</v>
      </c>
      <c r="M3549" t="n">
        <v>4</v>
      </c>
      <c r="N3549" t="n">
        <v>0</v>
      </c>
      <c r="O3549" t="n">
        <v>3</v>
      </c>
      <c r="P3549" t="n">
        <v>0</v>
      </c>
      <c r="Q3549" t="n">
        <v>0</v>
      </c>
      <c r="R3549" t="inlineStr">
        <is>
          <t>Sin rotación</t>
        </is>
      </c>
    </row>
    <row r="3550">
      <c r="A3550" t="inlineStr">
        <is>
          <t>GOOSTCA43T2XL</t>
        </is>
      </c>
      <c r="B3550" t="inlineStr">
        <is>
          <t>[GOOSTCA43T2XL] RETRO VZLA CAB (Negro/Life is Good, 2XL)</t>
        </is>
      </c>
      <c r="C3550" t="inlineStr">
        <is>
          <t>CAB / RETRO VZLA</t>
        </is>
      </c>
      <c r="D3550" t="n">
        <v>0</v>
      </c>
      <c r="E3550" t="n">
        <v>0</v>
      </c>
      <c r="F3550" t="n">
        <v>1.000010015470635</v>
      </c>
      <c r="G3550" t="inlineStr">
        <is>
          <t>C</t>
        </is>
      </c>
      <c r="H3550" t="n">
        <v>1</v>
      </c>
      <c r="I3550" t="n">
        <v>0</v>
      </c>
      <c r="J3550" t="n">
        <v>0</v>
      </c>
      <c r="K3550" t="n">
        <v>0</v>
      </c>
      <c r="L3550" t="n">
        <v>999</v>
      </c>
      <c r="M3550" t="n">
        <v>4</v>
      </c>
      <c r="N3550" t="n">
        <v>0</v>
      </c>
      <c r="O3550" t="n">
        <v>1</v>
      </c>
      <c r="P3550" t="n">
        <v>0</v>
      </c>
      <c r="Q3550" t="n">
        <v>0</v>
      </c>
      <c r="R3550" t="inlineStr">
        <is>
          <t>Sin rotación</t>
        </is>
      </c>
    </row>
    <row r="3551">
      <c r="A3551" t="inlineStr">
        <is>
          <t>MANMIGE24TG</t>
        </is>
      </c>
      <c r="B3551" t="inlineStr">
        <is>
          <t>[MANMIGE24TG] MANGAS GENERAL (Coral Neón, G)</t>
        </is>
      </c>
      <c r="C3551" t="inlineStr">
        <is>
          <t>MANGAS GENERAL</t>
        </is>
      </c>
      <c r="D3551" t="n">
        <v>0</v>
      </c>
      <c r="E3551" t="n">
        <v>0</v>
      </c>
      <c r="F3551" t="n">
        <v>1.000010015470635</v>
      </c>
      <c r="G3551" t="inlineStr">
        <is>
          <t>C</t>
        </is>
      </c>
      <c r="H3551" t="n">
        <v>6</v>
      </c>
      <c r="I3551" t="n">
        <v>0</v>
      </c>
      <c r="J3551" t="n">
        <v>0</v>
      </c>
      <c r="K3551" t="n">
        <v>0</v>
      </c>
      <c r="L3551" t="n">
        <v>999</v>
      </c>
      <c r="M3551" t="n">
        <v>4</v>
      </c>
      <c r="N3551" t="n">
        <v>0</v>
      </c>
      <c r="O3551" t="n">
        <v>6</v>
      </c>
      <c r="P3551" t="n">
        <v>0</v>
      </c>
      <c r="Q3551" t="n">
        <v>0</v>
      </c>
      <c r="R3551" t="inlineStr">
        <is>
          <t>Sin rotación</t>
        </is>
      </c>
    </row>
    <row r="3552">
      <c r="A3552" t="inlineStr">
        <is>
          <t>MANMIGE14TP</t>
        </is>
      </c>
      <c r="B3552" t="inlineStr">
        <is>
          <t>[MANMIGE14TP] MANGAS GENERAL (Azul Turquesa, P)</t>
        </is>
      </c>
      <c r="C3552" t="inlineStr">
        <is>
          <t>MANGAS GENERAL</t>
        </is>
      </c>
      <c r="D3552" t="n">
        <v>0</v>
      </c>
      <c r="E3552" t="n">
        <v>0</v>
      </c>
      <c r="F3552" t="n">
        <v>1.000010015470635</v>
      </c>
      <c r="G3552" t="inlineStr">
        <is>
          <t>C</t>
        </is>
      </c>
      <c r="H3552" t="n">
        <v>6</v>
      </c>
      <c r="I3552" t="n">
        <v>0</v>
      </c>
      <c r="J3552" t="n">
        <v>0</v>
      </c>
      <c r="K3552" t="n">
        <v>0</v>
      </c>
      <c r="L3552" t="n">
        <v>999</v>
      </c>
      <c r="M3552" t="n">
        <v>4</v>
      </c>
      <c r="N3552" t="n">
        <v>0</v>
      </c>
      <c r="O3552" t="n">
        <v>6</v>
      </c>
      <c r="P3552" t="n">
        <v>0</v>
      </c>
      <c r="Q3552" t="n">
        <v>0</v>
      </c>
      <c r="R3552" t="inlineStr">
        <is>
          <t>Sin rotación</t>
        </is>
      </c>
    </row>
    <row r="3553">
      <c r="A3553" t="inlineStr">
        <is>
          <t>SHR2VIDA13TS</t>
        </is>
      </c>
      <c r="B3553" t="inlineStr">
        <is>
          <t>SHORT R2 DAMA</t>
        </is>
      </c>
      <c r="C3553" t="inlineStr">
        <is>
          <t>Manufactura / Dama / P. Inferiores</t>
        </is>
      </c>
      <c r="D3553" t="n">
        <v>0</v>
      </c>
      <c r="E3553" t="n">
        <v>0</v>
      </c>
      <c r="F3553" t="n">
        <v>1.000010015470635</v>
      </c>
      <c r="G3553" t="inlineStr">
        <is>
          <t>C</t>
        </is>
      </c>
      <c r="H3553" t="n">
        <v>1</v>
      </c>
      <c r="I3553" t="n">
        <v>13.86928571</v>
      </c>
      <c r="J3553" t="n">
        <v>13.86928571</v>
      </c>
      <c r="K3553" t="n">
        <v>0.1</v>
      </c>
      <c r="L3553" t="n">
        <v>10</v>
      </c>
      <c r="M3553" t="n">
        <v>4</v>
      </c>
      <c r="N3553" t="n">
        <v>0.4</v>
      </c>
      <c r="O3553" t="n">
        <v>0.6</v>
      </c>
      <c r="P3553" t="n">
        <v>8.321571426</v>
      </c>
      <c r="Q3553" t="n">
        <v>0.6</v>
      </c>
      <c r="R3553" t="inlineStr">
        <is>
          <t>Sobrestock crítico</t>
        </is>
      </c>
    </row>
    <row r="3554">
      <c r="A3554" t="inlineStr">
        <is>
          <t>PANNTKI31T6</t>
        </is>
      </c>
      <c r="B3554" t="inlineStr">
        <is>
          <t>[PANNTKI31T6] EXPLORE PANTS KIDS (Gris Oscuro, 6)</t>
        </is>
      </c>
      <c r="C3554" t="inlineStr">
        <is>
          <t>KIDS / EXPLORE PANTS</t>
        </is>
      </c>
      <c r="D3554" t="n">
        <v>0</v>
      </c>
      <c r="E3554" t="n">
        <v>0</v>
      </c>
      <c r="F3554" t="n">
        <v>1.000010015470635</v>
      </c>
      <c r="G3554" t="inlineStr">
        <is>
          <t>C</t>
        </is>
      </c>
      <c r="H3554" t="n">
        <v>3</v>
      </c>
      <c r="I3554" t="n">
        <v>0</v>
      </c>
      <c r="J3554" t="n">
        <v>0</v>
      </c>
      <c r="K3554" t="n">
        <v>0</v>
      </c>
      <c r="L3554" t="n">
        <v>999</v>
      </c>
      <c r="M3554" t="n">
        <v>4</v>
      </c>
      <c r="N3554" t="n">
        <v>0</v>
      </c>
      <c r="O3554" t="n">
        <v>3</v>
      </c>
      <c r="P3554" t="n">
        <v>0</v>
      </c>
      <c r="Q3554" t="n">
        <v>0</v>
      </c>
      <c r="R3554" t="inlineStr">
        <is>
          <t>Sin rotación</t>
        </is>
      </c>
    </row>
    <row r="3555">
      <c r="A3555" t="inlineStr">
        <is>
          <t>DACSTKI43T12</t>
        </is>
      </c>
      <c r="B3555" t="inlineStr">
        <is>
          <t>[DACSTKI43T12] CLASICA DAILY KIDS (Negro, 12)</t>
        </is>
      </c>
      <c r="C3555" t="inlineStr">
        <is>
          <t>KIDS / CLASICA DAILY</t>
        </is>
      </c>
      <c r="D3555" t="n">
        <v>0</v>
      </c>
      <c r="E3555" t="n">
        <v>0</v>
      </c>
      <c r="F3555" t="n">
        <v>1.000010015470635</v>
      </c>
      <c r="G3555" t="inlineStr">
        <is>
          <t>C</t>
        </is>
      </c>
      <c r="H3555" t="n">
        <v>1</v>
      </c>
      <c r="I3555" t="n">
        <v>0</v>
      </c>
      <c r="J3555" t="n">
        <v>0</v>
      </c>
      <c r="K3555" t="n">
        <v>0</v>
      </c>
      <c r="L3555" t="n">
        <v>999</v>
      </c>
      <c r="M3555" t="n">
        <v>4</v>
      </c>
      <c r="N3555" t="n">
        <v>0</v>
      </c>
      <c r="O3555" t="n">
        <v>1</v>
      </c>
      <c r="P3555" t="n">
        <v>0</v>
      </c>
      <c r="Q3555" t="n">
        <v>0</v>
      </c>
      <c r="R3555" t="inlineStr">
        <is>
          <t>Sin rotación</t>
        </is>
      </c>
    </row>
    <row r="3556">
      <c r="A3556" t="inlineStr">
        <is>
          <t>SHONTDA31TXS</t>
        </is>
      </c>
      <c r="B3556" t="inlineStr">
        <is>
          <t>[SHONTDA31TXS] EXPLORE SHORT DAMA (Gris Oscuro, XS)</t>
        </is>
      </c>
      <c r="C3556" t="inlineStr">
        <is>
          <t>DAMA / EXPLORE SHORT</t>
        </is>
      </c>
      <c r="D3556" t="n">
        <v>0</v>
      </c>
      <c r="E3556" t="n">
        <v>0</v>
      </c>
      <c r="F3556" t="n">
        <v>1.000010015470635</v>
      </c>
      <c r="G3556" t="inlineStr">
        <is>
          <t>C</t>
        </is>
      </c>
      <c r="H3556" t="n">
        <v>8</v>
      </c>
      <c r="I3556" t="n">
        <v>0</v>
      </c>
      <c r="J3556" t="n">
        <v>0</v>
      </c>
      <c r="K3556" t="n">
        <v>0</v>
      </c>
      <c r="L3556" t="n">
        <v>999</v>
      </c>
      <c r="M3556" t="n">
        <v>4</v>
      </c>
      <c r="N3556" t="n">
        <v>0</v>
      </c>
      <c r="O3556" t="n">
        <v>8</v>
      </c>
      <c r="P3556" t="n">
        <v>0</v>
      </c>
      <c r="Q3556" t="n">
        <v>0</v>
      </c>
      <c r="R3556" t="inlineStr">
        <is>
          <t>Sin rotación</t>
        </is>
      </c>
    </row>
    <row r="3557">
      <c r="A3557" t="inlineStr">
        <is>
          <t>SHONTDA31TXL</t>
        </is>
      </c>
      <c r="B3557" t="inlineStr">
        <is>
          <t>[SHONTDA31TXL] EXPLORE SHORT DAMA (Gris Oscuro, XL)</t>
        </is>
      </c>
      <c r="C3557" t="inlineStr">
        <is>
          <t>DAMA / EXPLORE SHORT</t>
        </is>
      </c>
      <c r="D3557" t="n">
        <v>0</v>
      </c>
      <c r="E3557" t="n">
        <v>0</v>
      </c>
      <c r="F3557" t="n">
        <v>1.000010015470635</v>
      </c>
      <c r="G3557" t="inlineStr">
        <is>
          <t>C</t>
        </is>
      </c>
      <c r="H3557" t="n">
        <v>8</v>
      </c>
      <c r="I3557" t="n">
        <v>0</v>
      </c>
      <c r="J3557" t="n">
        <v>0</v>
      </c>
      <c r="K3557" t="n">
        <v>0</v>
      </c>
      <c r="L3557" t="n">
        <v>999</v>
      </c>
      <c r="M3557" t="n">
        <v>4</v>
      </c>
      <c r="N3557" t="n">
        <v>0</v>
      </c>
      <c r="O3557" t="n">
        <v>8</v>
      </c>
      <c r="P3557" t="n">
        <v>0</v>
      </c>
      <c r="Q3557" t="n">
        <v>0</v>
      </c>
      <c r="R3557" t="inlineStr">
        <is>
          <t>Sin rotación</t>
        </is>
      </c>
    </row>
    <row r="3558">
      <c r="A3558" t="inlineStr">
        <is>
          <t>SHONTDA31TS</t>
        </is>
      </c>
      <c r="B3558" t="inlineStr">
        <is>
          <t>[SHONTDA31TS] EXPLORE SHORT DAMA (Gris Oscuro, S)</t>
        </is>
      </c>
      <c r="C3558" t="inlineStr">
        <is>
          <t>DAMA / EXPLORE SHORT</t>
        </is>
      </c>
      <c r="D3558" t="n">
        <v>0</v>
      </c>
      <c r="E3558" t="n">
        <v>0</v>
      </c>
      <c r="F3558" t="n">
        <v>1.000010015470635</v>
      </c>
      <c r="G3558" t="inlineStr">
        <is>
          <t>C</t>
        </is>
      </c>
      <c r="H3558" t="n">
        <v>16</v>
      </c>
      <c r="I3558" t="n">
        <v>0</v>
      </c>
      <c r="J3558" t="n">
        <v>0</v>
      </c>
      <c r="K3558" t="n">
        <v>0</v>
      </c>
      <c r="L3558" t="n">
        <v>999</v>
      </c>
      <c r="M3558" t="n">
        <v>4</v>
      </c>
      <c r="N3558" t="n">
        <v>0</v>
      </c>
      <c r="O3558" t="n">
        <v>16</v>
      </c>
      <c r="P3558" t="n">
        <v>0</v>
      </c>
      <c r="Q3558" t="n">
        <v>0</v>
      </c>
      <c r="R3558" t="inlineStr">
        <is>
          <t>Sin rotación</t>
        </is>
      </c>
    </row>
    <row r="3559">
      <c r="A3559" t="inlineStr">
        <is>
          <t>SHONTDA31TM</t>
        </is>
      </c>
      <c r="B3559" t="inlineStr">
        <is>
          <t>[SHONTDA31TM] EXPLORE SHORT DAMA (Gris Oscuro, M)</t>
        </is>
      </c>
      <c r="C3559" t="inlineStr">
        <is>
          <t>DAMA / EXPLORE SHORT</t>
        </is>
      </c>
      <c r="D3559" t="n">
        <v>0</v>
      </c>
      <c r="E3559" t="n">
        <v>0</v>
      </c>
      <c r="F3559" t="n">
        <v>1.000010015470635</v>
      </c>
      <c r="G3559" t="inlineStr">
        <is>
          <t>C</t>
        </is>
      </c>
      <c r="H3559" t="n">
        <v>15</v>
      </c>
      <c r="I3559" t="n">
        <v>0</v>
      </c>
      <c r="J3559" t="n">
        <v>0</v>
      </c>
      <c r="K3559" t="n">
        <v>0</v>
      </c>
      <c r="L3559" t="n">
        <v>999</v>
      </c>
      <c r="M3559" t="n">
        <v>4</v>
      </c>
      <c r="N3559" t="n">
        <v>0</v>
      </c>
      <c r="O3559" t="n">
        <v>15</v>
      </c>
      <c r="P3559" t="n">
        <v>0</v>
      </c>
      <c r="Q3559" t="n">
        <v>0</v>
      </c>
      <c r="R3559" t="inlineStr">
        <is>
          <t>Sin rotación</t>
        </is>
      </c>
    </row>
    <row r="3560">
      <c r="A3560" t="inlineStr">
        <is>
          <t>SHONTDA31TL</t>
        </is>
      </c>
      <c r="B3560" t="inlineStr">
        <is>
          <t>[SHONTDA31TL] EXPLORE SHORT DAMA (Gris Oscuro, L)</t>
        </is>
      </c>
      <c r="C3560" t="inlineStr">
        <is>
          <t>DAMA / EXPLORE SHORT</t>
        </is>
      </c>
      <c r="D3560" t="n">
        <v>0</v>
      </c>
      <c r="E3560" t="n">
        <v>0</v>
      </c>
      <c r="F3560" t="n">
        <v>1.000010015470635</v>
      </c>
      <c r="G3560" t="inlineStr">
        <is>
          <t>C</t>
        </is>
      </c>
      <c r="H3560" t="n">
        <v>7</v>
      </c>
      <c r="I3560" t="n">
        <v>0</v>
      </c>
      <c r="J3560" t="n">
        <v>0</v>
      </c>
      <c r="K3560" t="n">
        <v>0</v>
      </c>
      <c r="L3560" t="n">
        <v>999</v>
      </c>
      <c r="M3560" t="n">
        <v>4</v>
      </c>
      <c r="N3560" t="n">
        <v>0</v>
      </c>
      <c r="O3560" t="n">
        <v>7</v>
      </c>
      <c r="P3560" t="n">
        <v>0</v>
      </c>
      <c r="Q3560" t="n">
        <v>0</v>
      </c>
      <c r="R3560" t="inlineStr">
        <is>
          <t>Sin rotación</t>
        </is>
      </c>
    </row>
    <row r="3561">
      <c r="A3561" t="inlineStr">
        <is>
          <t>SHONRKI66T6</t>
        </is>
      </c>
      <c r="B3561" t="inlineStr">
        <is>
          <t>[SHONRKI66T6] SHORT SPORT KIDS (Verde Militar, 6)</t>
        </is>
      </c>
      <c r="C3561" t="inlineStr">
        <is>
          <t>KIDS / SHORT SPORT</t>
        </is>
      </c>
      <c r="D3561" t="n">
        <v>0</v>
      </c>
      <c r="E3561" t="n">
        <v>0</v>
      </c>
      <c r="F3561" t="n">
        <v>1.000010015470635</v>
      </c>
      <c r="G3561" t="inlineStr">
        <is>
          <t>C</t>
        </is>
      </c>
      <c r="H3561" t="n">
        <v>26</v>
      </c>
      <c r="I3561" t="n">
        <v>0</v>
      </c>
      <c r="J3561" t="n">
        <v>0</v>
      </c>
      <c r="K3561" t="n">
        <v>0</v>
      </c>
      <c r="L3561" t="n">
        <v>999</v>
      </c>
      <c r="M3561" t="n">
        <v>4</v>
      </c>
      <c r="N3561" t="n">
        <v>0</v>
      </c>
      <c r="O3561" t="n">
        <v>26</v>
      </c>
      <c r="P3561" t="n">
        <v>0</v>
      </c>
      <c r="Q3561" t="n">
        <v>0</v>
      </c>
      <c r="R3561" t="inlineStr">
        <is>
          <t>Sin rotación</t>
        </is>
      </c>
    </row>
    <row r="3562">
      <c r="A3562" t="inlineStr">
        <is>
          <t>MARMIDA09TM</t>
        </is>
      </c>
      <c r="B3562" t="inlineStr">
        <is>
          <t>MAR ORIGINAL DAMA</t>
        </is>
      </c>
      <c r="C3562" t="inlineStr">
        <is>
          <t>Manufactura / Dama / P. Superiores</t>
        </is>
      </c>
      <c r="D3562" t="n">
        <v>0</v>
      </c>
      <c r="E3562" t="n">
        <v>0</v>
      </c>
      <c r="F3562" t="n">
        <v>1.000010015470635</v>
      </c>
      <c r="G3562" t="inlineStr">
        <is>
          <t>C</t>
        </is>
      </c>
      <c r="H3562" t="n">
        <v>0</v>
      </c>
      <c r="I3562" t="n">
        <v>4.278324149</v>
      </c>
      <c r="J3562" t="n">
        <v>0</v>
      </c>
      <c r="K3562" t="n">
        <v>0.1</v>
      </c>
      <c r="L3562" t="n">
        <v>0</v>
      </c>
      <c r="M3562" t="n">
        <v>4</v>
      </c>
      <c r="N3562" t="n">
        <v>0.4</v>
      </c>
      <c r="O3562" t="n">
        <v>0</v>
      </c>
      <c r="P3562" t="n">
        <v>0</v>
      </c>
      <c r="Q3562" t="n">
        <v>0</v>
      </c>
      <c r="R3562" t="inlineStr">
        <is>
          <t>Riesgo bajo stock</t>
        </is>
      </c>
    </row>
    <row r="3563">
      <c r="A3563" t="inlineStr">
        <is>
          <t>MARMIDA05TXS</t>
        </is>
      </c>
      <c r="B3563" t="inlineStr">
        <is>
          <t>MAR ORIGINAL DAMA</t>
        </is>
      </c>
      <c r="C3563" t="inlineStr">
        <is>
          <t>Manufactura / Dama / P. Superiores</t>
        </is>
      </c>
      <c r="D3563" t="n">
        <v>0</v>
      </c>
      <c r="E3563" t="n">
        <v>0</v>
      </c>
      <c r="F3563" t="n">
        <v>1.000010015470635</v>
      </c>
      <c r="G3563" t="inlineStr">
        <is>
          <t>C</t>
        </is>
      </c>
      <c r="H3563" t="n">
        <v>0</v>
      </c>
      <c r="I3563" t="n">
        <v>4.278324149</v>
      </c>
      <c r="J3563" t="n">
        <v>0</v>
      </c>
      <c r="K3563" t="n">
        <v>0.1</v>
      </c>
      <c r="L3563" t="n">
        <v>0</v>
      </c>
      <c r="M3563" t="n">
        <v>4</v>
      </c>
      <c r="N3563" t="n">
        <v>0.4</v>
      </c>
      <c r="O3563" t="n">
        <v>0</v>
      </c>
      <c r="P3563" t="n">
        <v>0</v>
      </c>
      <c r="Q3563" t="n">
        <v>0</v>
      </c>
      <c r="R3563" t="inlineStr">
        <is>
          <t>Riesgo bajo stock</t>
        </is>
      </c>
    </row>
    <row r="3564">
      <c r="A3564" t="inlineStr">
        <is>
          <t>RIOMICA16T4XL</t>
        </is>
      </c>
      <c r="B3564" t="inlineStr">
        <is>
          <t>RIO ORIGINAL CAB</t>
        </is>
      </c>
      <c r="C3564" t="inlineStr">
        <is>
          <t>Manufactura / Caballero / P. Superiores</t>
        </is>
      </c>
      <c r="D3564" t="n">
        <v>0</v>
      </c>
      <c r="E3564" t="n">
        <v>0</v>
      </c>
      <c r="F3564" t="n">
        <v>1.000010015470635</v>
      </c>
      <c r="G3564" t="inlineStr">
        <is>
          <t>C</t>
        </is>
      </c>
      <c r="H3564" t="n">
        <v>3</v>
      </c>
      <c r="I3564" t="n">
        <v>5.939350288</v>
      </c>
      <c r="J3564" t="n">
        <v>17.818050864</v>
      </c>
      <c r="K3564" t="n">
        <v>0</v>
      </c>
      <c r="L3564" t="n">
        <v>999</v>
      </c>
      <c r="M3564" t="n">
        <v>4</v>
      </c>
      <c r="N3564" t="n">
        <v>0</v>
      </c>
      <c r="O3564" t="n">
        <v>3</v>
      </c>
      <c r="P3564" t="n">
        <v>17.818050864</v>
      </c>
      <c r="Q3564" t="n">
        <v>1</v>
      </c>
      <c r="R3564" t="inlineStr">
        <is>
          <t>Sin rotación</t>
        </is>
      </c>
    </row>
    <row r="3565">
      <c r="A3565" t="inlineStr">
        <is>
          <t>CRESTDA30TXS</t>
        </is>
      </c>
      <c r="B3565" t="inlineStr">
        <is>
          <t>RETRO VZLA DAMA</t>
        </is>
      </c>
      <c r="C3565" t="inlineStr">
        <is>
          <t>Manufactura / Dama / P. Superiores</t>
        </is>
      </c>
      <c r="D3565" t="n">
        <v>0</v>
      </c>
      <c r="E3565" t="n">
        <v>0</v>
      </c>
      <c r="F3565" t="n">
        <v>1.000010015470635</v>
      </c>
      <c r="G3565" t="inlineStr">
        <is>
          <t>C</t>
        </is>
      </c>
      <c r="H3565" t="n">
        <v>0</v>
      </c>
      <c r="I3565" t="n">
        <v>11.23</v>
      </c>
      <c r="J3565" t="n">
        <v>0</v>
      </c>
      <c r="K3565" t="n">
        <v>0.1</v>
      </c>
      <c r="L3565" t="n">
        <v>0</v>
      </c>
      <c r="M3565" t="n">
        <v>4</v>
      </c>
      <c r="N3565" t="n">
        <v>0.4</v>
      </c>
      <c r="O3565" t="n">
        <v>0</v>
      </c>
      <c r="P3565" t="n">
        <v>0</v>
      </c>
      <c r="Q3565" t="n">
        <v>0</v>
      </c>
      <c r="R3565" t="inlineStr">
        <is>
          <t>Riesgo bajo stock</t>
        </is>
      </c>
    </row>
    <row r="3566">
      <c r="A3566" t="inlineStr">
        <is>
          <t>CLAMIDA01TXS</t>
        </is>
      </c>
      <c r="B3566" t="inlineStr">
        <is>
          <t>CLASICA ORIGINAL DAMA</t>
        </is>
      </c>
      <c r="C3566" t="inlineStr">
        <is>
          <t>Manufactura / Dama / P. Superiores</t>
        </is>
      </c>
      <c r="D3566" t="n">
        <v>0</v>
      </c>
      <c r="E3566" t="n">
        <v>0</v>
      </c>
      <c r="F3566" t="n">
        <v>1.000010015470635</v>
      </c>
      <c r="G3566" t="inlineStr">
        <is>
          <t>C</t>
        </is>
      </c>
      <c r="H3566" t="n">
        <v>0</v>
      </c>
      <c r="I3566" t="n">
        <v>3.923227589</v>
      </c>
      <c r="J3566" t="n">
        <v>0</v>
      </c>
      <c r="K3566" t="n">
        <v>1.6</v>
      </c>
      <c r="L3566" t="n">
        <v>0</v>
      </c>
      <c r="M3566" t="n">
        <v>4</v>
      </c>
      <c r="N3566" t="n">
        <v>6.4</v>
      </c>
      <c r="O3566" t="n">
        <v>0</v>
      </c>
      <c r="P3566" t="n">
        <v>0</v>
      </c>
      <c r="Q3566" t="n">
        <v>0</v>
      </c>
      <c r="R3566" t="inlineStr">
        <is>
          <t>Riesgo bajo stock</t>
        </is>
      </c>
    </row>
    <row r="3567">
      <c r="A3567" t="inlineStr">
        <is>
          <t>CLAMIKI70T6</t>
        </is>
      </c>
      <c r="B3567" t="inlineStr">
        <is>
          <t>[CLAMIKI70T6] CLASICA ORIGINAL KIDS (Vinotinto, 6)</t>
        </is>
      </c>
      <c r="C3567" t="inlineStr">
        <is>
          <t>KIDS / CLASICA ORIGINAL</t>
        </is>
      </c>
      <c r="D3567" t="n">
        <v>0</v>
      </c>
      <c r="E3567" t="n">
        <v>0</v>
      </c>
      <c r="F3567" t="n">
        <v>1.000010015470635</v>
      </c>
      <c r="G3567" t="inlineStr">
        <is>
          <t>C</t>
        </is>
      </c>
      <c r="H3567" t="n">
        <v>13</v>
      </c>
      <c r="I3567" t="n">
        <v>0</v>
      </c>
      <c r="J3567" t="n">
        <v>0</v>
      </c>
      <c r="K3567" t="n">
        <v>0</v>
      </c>
      <c r="L3567" t="n">
        <v>999</v>
      </c>
      <c r="M3567" t="n">
        <v>4</v>
      </c>
      <c r="N3567" t="n">
        <v>0</v>
      </c>
      <c r="O3567" t="n">
        <v>13</v>
      </c>
      <c r="P3567" t="n">
        <v>0</v>
      </c>
      <c r="Q3567" t="n">
        <v>0</v>
      </c>
      <c r="R3567" t="inlineStr">
        <is>
          <t>Sin rotación</t>
        </is>
      </c>
    </row>
    <row r="3568">
      <c r="A3568" t="inlineStr">
        <is>
          <t>SHOSUKI54T8</t>
        </is>
      </c>
      <c r="B3568" t="inlineStr">
        <is>
          <t>[SHOSUKI54T8] SHORT PLAYA ESTAMPADO KIDS (ROYAL, 8)</t>
        </is>
      </c>
      <c r="C3568" t="inlineStr">
        <is>
          <t>KIDS / SHORT PLAYA ESTAMPADO</t>
        </is>
      </c>
      <c r="D3568" t="n">
        <v>0</v>
      </c>
      <c r="E3568" t="n">
        <v>0</v>
      </c>
      <c r="F3568" t="n">
        <v>1.000010015470635</v>
      </c>
      <c r="G3568" t="inlineStr">
        <is>
          <t>C</t>
        </is>
      </c>
      <c r="H3568" t="n">
        <v>1</v>
      </c>
      <c r="I3568" t="n">
        <v>0</v>
      </c>
      <c r="J3568" t="n">
        <v>0</v>
      </c>
      <c r="K3568" t="n">
        <v>0</v>
      </c>
      <c r="L3568" t="n">
        <v>999</v>
      </c>
      <c r="M3568" t="n">
        <v>4</v>
      </c>
      <c r="N3568" t="n">
        <v>0</v>
      </c>
      <c r="O3568" t="n">
        <v>1</v>
      </c>
      <c r="P3568" t="n">
        <v>0</v>
      </c>
      <c r="Q3568" t="n">
        <v>0</v>
      </c>
      <c r="R3568" t="inlineStr">
        <is>
          <t>Sin rotación</t>
        </is>
      </c>
    </row>
    <row r="3569">
      <c r="A3569" t="inlineStr">
        <is>
          <t>SHOSUKI27T2</t>
        </is>
      </c>
      <c r="B3569" t="inlineStr">
        <is>
          <t>[SHOSUKI27T2] SHORT PLAYA ESTAMPADO KIDS (FRAILE, 2)</t>
        </is>
      </c>
      <c r="C3569" t="inlineStr">
        <is>
          <t>KIDS / SHORT PLAYA ESTAMPADO</t>
        </is>
      </c>
      <c r="D3569" t="n">
        <v>0</v>
      </c>
      <c r="E3569" t="n">
        <v>0</v>
      </c>
      <c r="F3569" t="n">
        <v>1.000010015470635</v>
      </c>
      <c r="G3569" t="inlineStr">
        <is>
          <t>C</t>
        </is>
      </c>
      <c r="H3569" t="n">
        <v>3</v>
      </c>
      <c r="I3569" t="n">
        <v>0</v>
      </c>
      <c r="J3569" t="n">
        <v>0</v>
      </c>
      <c r="K3569" t="n">
        <v>0</v>
      </c>
      <c r="L3569" t="n">
        <v>999</v>
      </c>
      <c r="M3569" t="n">
        <v>4</v>
      </c>
      <c r="N3569" t="n">
        <v>0</v>
      </c>
      <c r="O3569" t="n">
        <v>3</v>
      </c>
      <c r="P3569" t="n">
        <v>0</v>
      </c>
      <c r="Q3569" t="n">
        <v>0</v>
      </c>
      <c r="R3569" t="inlineStr">
        <is>
          <t>Sin rotación</t>
        </is>
      </c>
    </row>
    <row r="3570">
      <c r="A3570" t="inlineStr">
        <is>
          <t>MARMICA52TS</t>
        </is>
      </c>
      <c r="B3570" t="inlineStr">
        <is>
          <t>MAR ORIGINAL CAB</t>
        </is>
      </c>
      <c r="C3570" t="inlineStr">
        <is>
          <t>Manufactura / Caballero / P. Superiores</t>
        </is>
      </c>
      <c r="D3570" t="n">
        <v>0</v>
      </c>
      <c r="E3570" t="n">
        <v>0</v>
      </c>
      <c r="F3570" t="n">
        <v>1.000010015470635</v>
      </c>
      <c r="G3570" t="inlineStr">
        <is>
          <t>C</t>
        </is>
      </c>
      <c r="H3570" t="n">
        <v>0</v>
      </c>
      <c r="I3570" t="n">
        <v>4.946357428</v>
      </c>
      <c r="J3570" t="n">
        <v>0</v>
      </c>
      <c r="K3570" t="n">
        <v>0.1</v>
      </c>
      <c r="L3570" t="n">
        <v>0</v>
      </c>
      <c r="M3570" t="n">
        <v>4</v>
      </c>
      <c r="N3570" t="n">
        <v>0.4</v>
      </c>
      <c r="O3570" t="n">
        <v>0</v>
      </c>
      <c r="P3570" t="n">
        <v>0</v>
      </c>
      <c r="Q3570" t="n">
        <v>0</v>
      </c>
      <c r="R3570" t="inlineStr">
        <is>
          <t>Riesgo bajo stock</t>
        </is>
      </c>
    </row>
    <row r="3571">
      <c r="A3571" t="inlineStr">
        <is>
          <t>MARMICA50T4XL</t>
        </is>
      </c>
      <c r="B3571" t="inlineStr">
        <is>
          <t>[MARMICA50T4XL] MAR ORIGINAL CAB (Rojo, 4XL)</t>
        </is>
      </c>
      <c r="C3571" t="inlineStr">
        <is>
          <t>CAB / MAR ORIGINAL</t>
        </is>
      </c>
      <c r="D3571" t="n">
        <v>0</v>
      </c>
      <c r="E3571" t="n">
        <v>0</v>
      </c>
      <c r="F3571" t="n">
        <v>1.000010015470635</v>
      </c>
      <c r="G3571" t="inlineStr">
        <is>
          <t>C</t>
        </is>
      </c>
      <c r="H3571" t="n">
        <v>1</v>
      </c>
      <c r="I3571" t="n">
        <v>0</v>
      </c>
      <c r="J3571" t="n">
        <v>0</v>
      </c>
      <c r="K3571" t="n">
        <v>0</v>
      </c>
      <c r="L3571" t="n">
        <v>999</v>
      </c>
      <c r="M3571" t="n">
        <v>4</v>
      </c>
      <c r="N3571" t="n">
        <v>0</v>
      </c>
      <c r="O3571" t="n">
        <v>1</v>
      </c>
      <c r="P3571" t="n">
        <v>0</v>
      </c>
      <c r="Q3571" t="n">
        <v>0</v>
      </c>
      <c r="R3571" t="inlineStr">
        <is>
          <t>Sin rotación</t>
        </is>
      </c>
    </row>
    <row r="3572">
      <c r="A3572" t="inlineStr">
        <is>
          <t>MARMICA48TXL</t>
        </is>
      </c>
      <c r="B3572" t="inlineStr">
        <is>
          <t>[MARMICA48TXL] MAR ORIGINAL CAB (Púrpura, XL)</t>
        </is>
      </c>
      <c r="C3572" t="inlineStr">
        <is>
          <t>CAB / MAR ORIGINAL</t>
        </is>
      </c>
      <c r="D3572" t="n">
        <v>0</v>
      </c>
      <c r="E3572" t="n">
        <v>0</v>
      </c>
      <c r="F3572" t="n">
        <v>1.000010015470635</v>
      </c>
      <c r="G3572" t="inlineStr">
        <is>
          <t>C</t>
        </is>
      </c>
      <c r="H3572" t="n">
        <v>4</v>
      </c>
      <c r="I3572" t="n">
        <v>0</v>
      </c>
      <c r="J3572" t="n">
        <v>0</v>
      </c>
      <c r="K3572" t="n">
        <v>0</v>
      </c>
      <c r="L3572" t="n">
        <v>999</v>
      </c>
      <c r="M3572" t="n">
        <v>4</v>
      </c>
      <c r="N3572" t="n">
        <v>0</v>
      </c>
      <c r="O3572" t="n">
        <v>4</v>
      </c>
      <c r="P3572" t="n">
        <v>0</v>
      </c>
      <c r="Q3572" t="n">
        <v>0</v>
      </c>
      <c r="R3572" t="inlineStr">
        <is>
          <t>Sin rotación</t>
        </is>
      </c>
    </row>
    <row r="3573">
      <c r="A3573" t="inlineStr">
        <is>
          <t>MARMICA48TS</t>
        </is>
      </c>
      <c r="B3573" t="inlineStr">
        <is>
          <t>MAR ORIGINAL CAB</t>
        </is>
      </c>
      <c r="C3573" t="inlineStr">
        <is>
          <t>Manufactura / Caballero / P. Superiores</t>
        </is>
      </c>
      <c r="D3573" t="n">
        <v>0</v>
      </c>
      <c r="E3573" t="n">
        <v>0</v>
      </c>
      <c r="F3573" t="n">
        <v>1.000010015470635</v>
      </c>
      <c r="G3573" t="inlineStr">
        <is>
          <t>C</t>
        </is>
      </c>
      <c r="H3573" t="n">
        <v>1</v>
      </c>
      <c r="I3573" t="n">
        <v>4.946357428</v>
      </c>
      <c r="J3573" t="n">
        <v>4.946357428</v>
      </c>
      <c r="K3573" t="n">
        <v>0.8</v>
      </c>
      <c r="L3573" t="n">
        <v>1.25</v>
      </c>
      <c r="M3573" t="n">
        <v>4</v>
      </c>
      <c r="N3573" t="n">
        <v>3.2</v>
      </c>
      <c r="O3573" t="n">
        <v>0</v>
      </c>
      <c r="P3573" t="n">
        <v>0</v>
      </c>
      <c r="Q3573" t="n">
        <v>0</v>
      </c>
      <c r="R3573" t="inlineStr">
        <is>
          <t>OK</t>
        </is>
      </c>
    </row>
    <row r="3574">
      <c r="A3574" t="inlineStr">
        <is>
          <t>MARMICA48TM</t>
        </is>
      </c>
      <c r="B3574" t="inlineStr">
        <is>
          <t>MAR ORIGINAL CAB</t>
        </is>
      </c>
      <c r="C3574" t="inlineStr">
        <is>
          <t>Manufactura / Caballero / P. Superiores</t>
        </is>
      </c>
      <c r="D3574" t="n">
        <v>0</v>
      </c>
      <c r="E3574" t="n">
        <v>0</v>
      </c>
      <c r="F3574" t="n">
        <v>1.000010015470635</v>
      </c>
      <c r="G3574" t="inlineStr">
        <is>
          <t>C</t>
        </is>
      </c>
      <c r="H3574" t="n">
        <v>0</v>
      </c>
      <c r="I3574" t="n">
        <v>4.946357428</v>
      </c>
      <c r="J3574" t="n">
        <v>0</v>
      </c>
      <c r="K3574" t="n">
        <v>1.2</v>
      </c>
      <c r="L3574" t="n">
        <v>0</v>
      </c>
      <c r="M3574" t="n">
        <v>4</v>
      </c>
      <c r="N3574" t="n">
        <v>4.8</v>
      </c>
      <c r="O3574" t="n">
        <v>0</v>
      </c>
      <c r="P3574" t="n">
        <v>0</v>
      </c>
      <c r="Q3574" t="n">
        <v>0</v>
      </c>
      <c r="R3574" t="inlineStr">
        <is>
          <t>Riesgo bajo stock</t>
        </is>
      </c>
    </row>
    <row r="3575">
      <c r="A3575" t="inlineStr">
        <is>
          <t>RIOMICA34TM</t>
        </is>
      </c>
      <c r="B3575" t="inlineStr">
        <is>
          <t>RIO ORIGINAL CAB</t>
        </is>
      </c>
      <c r="C3575" t="inlineStr">
        <is>
          <t>Manufactura / Caballero / P. Superiores</t>
        </is>
      </c>
      <c r="D3575" t="n">
        <v>0</v>
      </c>
      <c r="E3575" t="n">
        <v>0</v>
      </c>
      <c r="F3575" t="n">
        <v>1.000010015470635</v>
      </c>
      <c r="G3575" t="inlineStr">
        <is>
          <t>C</t>
        </is>
      </c>
      <c r="H3575" t="n">
        <v>1</v>
      </c>
      <c r="I3575" t="n">
        <v>5.939350288</v>
      </c>
      <c r="J3575" t="n">
        <v>5.939350288</v>
      </c>
      <c r="K3575" t="n">
        <v>0</v>
      </c>
      <c r="L3575" t="n">
        <v>999</v>
      </c>
      <c r="M3575" t="n">
        <v>4</v>
      </c>
      <c r="N3575" t="n">
        <v>0</v>
      </c>
      <c r="O3575" t="n">
        <v>1</v>
      </c>
      <c r="P3575" t="n">
        <v>5.939350288</v>
      </c>
      <c r="Q3575" t="n">
        <v>1</v>
      </c>
      <c r="R3575" t="inlineStr">
        <is>
          <t>Sobrestock crítico</t>
        </is>
      </c>
    </row>
    <row r="3576">
      <c r="A3576" t="inlineStr">
        <is>
          <t>RIOMICA30T4XL</t>
        </is>
      </c>
      <c r="B3576" t="inlineStr">
        <is>
          <t>[RIOMICA30T4XL] RIO ORIGINAL CAB (Gris Claro, 4XL)</t>
        </is>
      </c>
      <c r="C3576" t="inlineStr">
        <is>
          <t>CAB / RIO ORIGINAL</t>
        </is>
      </c>
      <c r="D3576" t="n">
        <v>0</v>
      </c>
      <c r="E3576" t="n">
        <v>0</v>
      </c>
      <c r="F3576" t="n">
        <v>1.000010015470635</v>
      </c>
      <c r="G3576" t="inlineStr">
        <is>
          <t>C</t>
        </is>
      </c>
      <c r="H3576" t="n">
        <v>1</v>
      </c>
      <c r="I3576" t="n">
        <v>0</v>
      </c>
      <c r="J3576" t="n">
        <v>0</v>
      </c>
      <c r="K3576" t="n">
        <v>0</v>
      </c>
      <c r="L3576" t="n">
        <v>999</v>
      </c>
      <c r="M3576" t="n">
        <v>4</v>
      </c>
      <c r="N3576" t="n">
        <v>0</v>
      </c>
      <c r="O3576" t="n">
        <v>1</v>
      </c>
      <c r="P3576" t="n">
        <v>0</v>
      </c>
      <c r="Q3576" t="n">
        <v>0</v>
      </c>
      <c r="R3576" t="inlineStr">
        <is>
          <t>Sin rotación</t>
        </is>
      </c>
    </row>
    <row r="3577">
      <c r="A3577" t="inlineStr">
        <is>
          <t>MARMIDA09TXS</t>
        </is>
      </c>
      <c r="B3577" t="inlineStr">
        <is>
          <t>MAR ORIGINAL DAMA</t>
        </is>
      </c>
      <c r="C3577" t="inlineStr">
        <is>
          <t>Manufactura / Dama / P. Superiores</t>
        </is>
      </c>
      <c r="D3577" t="n">
        <v>0</v>
      </c>
      <c r="E3577" t="n">
        <v>0</v>
      </c>
      <c r="F3577" t="n">
        <v>1.000010015470635</v>
      </c>
      <c r="G3577" t="inlineStr">
        <is>
          <t>C</t>
        </is>
      </c>
      <c r="H3577" t="n">
        <v>0</v>
      </c>
      <c r="I3577" t="n">
        <v>4.278324149</v>
      </c>
      <c r="J3577" t="n">
        <v>0</v>
      </c>
      <c r="K3577" t="n">
        <v>0.2</v>
      </c>
      <c r="L3577" t="n">
        <v>0</v>
      </c>
      <c r="M3577" t="n">
        <v>4</v>
      </c>
      <c r="N3577" t="n">
        <v>0.8</v>
      </c>
      <c r="O3577" t="n">
        <v>0</v>
      </c>
      <c r="P3577" t="n">
        <v>0</v>
      </c>
      <c r="Q3577" t="n">
        <v>0</v>
      </c>
      <c r="R3577" t="inlineStr">
        <is>
          <t>Riesgo bajo stock</t>
        </is>
      </c>
    </row>
    <row r="3578">
      <c r="A3578" t="inlineStr">
        <is>
          <t>CLAMICA52TM</t>
        </is>
      </c>
      <c r="B3578" t="inlineStr">
        <is>
          <t>CLASICA ORIGINAL CAB</t>
        </is>
      </c>
      <c r="C3578" t="inlineStr">
        <is>
          <t>Manufactura / Caballero / P. Superiores</t>
        </is>
      </c>
      <c r="D3578" t="n">
        <v>0</v>
      </c>
      <c r="E3578" t="n">
        <v>0</v>
      </c>
      <c r="F3578" t="n">
        <v>1.000010015470635</v>
      </c>
      <c r="G3578" t="inlineStr">
        <is>
          <t>C</t>
        </is>
      </c>
      <c r="H3578" t="n">
        <v>0</v>
      </c>
      <c r="I3578" t="n">
        <v>4.598442536</v>
      </c>
      <c r="J3578" t="n">
        <v>0</v>
      </c>
      <c r="K3578" t="n">
        <v>1.5</v>
      </c>
      <c r="L3578" t="n">
        <v>0</v>
      </c>
      <c r="M3578" t="n">
        <v>4</v>
      </c>
      <c r="N3578" t="n">
        <v>6</v>
      </c>
      <c r="O3578" t="n">
        <v>0</v>
      </c>
      <c r="P3578" t="n">
        <v>0</v>
      </c>
      <c r="Q3578" t="n">
        <v>0</v>
      </c>
      <c r="R3578" t="inlineStr">
        <is>
          <t>Riesgo bajo stock</t>
        </is>
      </c>
    </row>
    <row r="3579">
      <c r="A3579" t="inlineStr">
        <is>
          <t>CLAMIKI70T8</t>
        </is>
      </c>
      <c r="B3579" t="inlineStr">
        <is>
          <t>[CLAMIKI70T8] CLASICA ORIGINAL KIDS (Vinotinto, 8)</t>
        </is>
      </c>
      <c r="C3579" t="inlineStr">
        <is>
          <t>KIDS / CLASICA ORIGINAL</t>
        </is>
      </c>
      <c r="D3579" t="n">
        <v>0</v>
      </c>
      <c r="E3579" t="n">
        <v>0</v>
      </c>
      <c r="F3579" t="n">
        <v>1.000010015470635</v>
      </c>
      <c r="G3579" t="inlineStr">
        <is>
          <t>C</t>
        </is>
      </c>
      <c r="H3579" t="n">
        <v>3</v>
      </c>
      <c r="I3579" t="n">
        <v>0</v>
      </c>
      <c r="J3579" t="n">
        <v>0</v>
      </c>
      <c r="K3579" t="n">
        <v>0</v>
      </c>
      <c r="L3579" t="n">
        <v>999</v>
      </c>
      <c r="M3579" t="n">
        <v>4</v>
      </c>
      <c r="N3579" t="n">
        <v>0</v>
      </c>
      <c r="O3579" t="n">
        <v>3</v>
      </c>
      <c r="P3579" t="n">
        <v>0</v>
      </c>
      <c r="Q3579" t="n">
        <v>0</v>
      </c>
      <c r="R3579" t="inlineStr">
        <is>
          <t>Sin rotación</t>
        </is>
      </c>
    </row>
    <row r="3580">
      <c r="A3580" t="inlineStr">
        <is>
          <t>MARMICA34TL</t>
        </is>
      </c>
      <c r="B3580" t="inlineStr">
        <is>
          <t>MAR ORIGINAL CAB</t>
        </is>
      </c>
      <c r="C3580" t="inlineStr">
        <is>
          <t>Manufactura / Caballero / P. Superiores</t>
        </is>
      </c>
      <c r="D3580" t="n">
        <v>0</v>
      </c>
      <c r="E3580" t="n">
        <v>0</v>
      </c>
      <c r="F3580" t="n">
        <v>1.000010015470635</v>
      </c>
      <c r="G3580" t="inlineStr">
        <is>
          <t>C</t>
        </is>
      </c>
      <c r="H3580" t="n">
        <v>0</v>
      </c>
      <c r="I3580" t="n">
        <v>4.946357428</v>
      </c>
      <c r="J3580" t="n">
        <v>0</v>
      </c>
      <c r="K3580" t="n">
        <v>1.1</v>
      </c>
      <c r="L3580" t="n">
        <v>0</v>
      </c>
      <c r="M3580" t="n">
        <v>4</v>
      </c>
      <c r="N3580" t="n">
        <v>4.4</v>
      </c>
      <c r="O3580" t="n">
        <v>0</v>
      </c>
      <c r="P3580" t="n">
        <v>0</v>
      </c>
      <c r="Q3580" t="n">
        <v>0</v>
      </c>
      <c r="R3580" t="inlineStr">
        <is>
          <t>Riesgo bajo stock</t>
        </is>
      </c>
    </row>
    <row r="3581">
      <c r="A3581" t="inlineStr">
        <is>
          <t>MARMICA30T4XL</t>
        </is>
      </c>
      <c r="B3581" t="inlineStr">
        <is>
          <t>[MARMICA30T4XL] MAR ORIGINAL CAB (Gris Claro, 4XL)</t>
        </is>
      </c>
      <c r="C3581" t="inlineStr">
        <is>
          <t>CAB / MAR ORIGINAL</t>
        </is>
      </c>
      <c r="D3581" t="n">
        <v>0</v>
      </c>
      <c r="E3581" t="n">
        <v>0</v>
      </c>
      <c r="F3581" t="n">
        <v>1.000010015470635</v>
      </c>
      <c r="G3581" t="inlineStr">
        <is>
          <t>C</t>
        </is>
      </c>
      <c r="H3581" t="n">
        <v>1</v>
      </c>
      <c r="I3581" t="n">
        <v>0</v>
      </c>
      <c r="J3581" t="n">
        <v>0</v>
      </c>
      <c r="K3581" t="n">
        <v>0</v>
      </c>
      <c r="L3581" t="n">
        <v>999</v>
      </c>
      <c r="M3581" t="n">
        <v>4</v>
      </c>
      <c r="N3581" t="n">
        <v>0</v>
      </c>
      <c r="O3581" t="n">
        <v>1</v>
      </c>
      <c r="P3581" t="n">
        <v>0</v>
      </c>
      <c r="Q3581" t="n">
        <v>0</v>
      </c>
      <c r="R3581" t="inlineStr">
        <is>
          <t>Sin rotación</t>
        </is>
      </c>
    </row>
    <row r="3582">
      <c r="A3582" t="inlineStr">
        <is>
          <t>MARMICA24TS</t>
        </is>
      </c>
      <c r="B3582" t="inlineStr">
        <is>
          <t>MAR ORIGINAL CAB</t>
        </is>
      </c>
      <c r="C3582" t="inlineStr">
        <is>
          <t>Manufactura / Caballero / P. Superiores</t>
        </is>
      </c>
      <c r="D3582" t="n">
        <v>0</v>
      </c>
      <c r="E3582" t="n">
        <v>0</v>
      </c>
      <c r="F3582" t="n">
        <v>1.000010015470635</v>
      </c>
      <c r="G3582" t="inlineStr">
        <is>
          <t>C</t>
        </is>
      </c>
      <c r="H3582" t="n">
        <v>0</v>
      </c>
      <c r="I3582" t="n">
        <v>4.946357428</v>
      </c>
      <c r="J3582" t="n">
        <v>0</v>
      </c>
      <c r="K3582" t="n">
        <v>0.1</v>
      </c>
      <c r="L3582" t="n">
        <v>0</v>
      </c>
      <c r="M3582" t="n">
        <v>4</v>
      </c>
      <c r="N3582" t="n">
        <v>0.4</v>
      </c>
      <c r="O3582" t="n">
        <v>0</v>
      </c>
      <c r="P3582" t="n">
        <v>0</v>
      </c>
      <c r="Q3582" t="n">
        <v>0</v>
      </c>
      <c r="R3582" t="inlineStr">
        <is>
          <t>Riesgo bajo stock</t>
        </is>
      </c>
    </row>
    <row r="3583">
      <c r="A3583" t="inlineStr">
        <is>
          <t>MARMICA24TM</t>
        </is>
      </c>
      <c r="B3583" t="inlineStr">
        <is>
          <t>MAR ORIGINAL CAB</t>
        </is>
      </c>
      <c r="C3583" t="inlineStr">
        <is>
          <t>Manufactura / Caballero / P. Superiores</t>
        </is>
      </c>
      <c r="D3583" t="n">
        <v>0</v>
      </c>
      <c r="E3583" t="n">
        <v>0</v>
      </c>
      <c r="F3583" t="n">
        <v>1.000010015470635</v>
      </c>
      <c r="G3583" t="inlineStr">
        <is>
          <t>C</t>
        </is>
      </c>
      <c r="H3583" t="n">
        <v>0</v>
      </c>
      <c r="I3583" t="n">
        <v>4.946357428</v>
      </c>
      <c r="J3583" t="n">
        <v>0</v>
      </c>
      <c r="K3583" t="n">
        <v>0.3</v>
      </c>
      <c r="L3583" t="n">
        <v>0</v>
      </c>
      <c r="M3583" t="n">
        <v>4</v>
      </c>
      <c r="N3583" t="n">
        <v>1.2</v>
      </c>
      <c r="O3583" t="n">
        <v>0</v>
      </c>
      <c r="P3583" t="n">
        <v>0</v>
      </c>
      <c r="Q3583" t="n">
        <v>0</v>
      </c>
      <c r="R3583" t="inlineStr">
        <is>
          <t>Sin rotación</t>
        </is>
      </c>
    </row>
    <row r="3584">
      <c r="A3584" t="inlineStr">
        <is>
          <t>MARMICA24TL</t>
        </is>
      </c>
      <c r="B3584" t="inlineStr">
        <is>
          <t>MAR ORIGINAL CAB</t>
        </is>
      </c>
      <c r="C3584" t="inlineStr">
        <is>
          <t>Manufactura / Caballero / P. Superiores</t>
        </is>
      </c>
      <c r="D3584" t="n">
        <v>0</v>
      </c>
      <c r="E3584" t="n">
        <v>0</v>
      </c>
      <c r="F3584" t="n">
        <v>1.000010015470635</v>
      </c>
      <c r="G3584" t="inlineStr">
        <is>
          <t>C</t>
        </is>
      </c>
      <c r="H3584" t="n">
        <v>0</v>
      </c>
      <c r="I3584" t="n">
        <v>4.946357428</v>
      </c>
      <c r="J3584" t="n">
        <v>0</v>
      </c>
      <c r="K3584" t="n">
        <v>0.1</v>
      </c>
      <c r="L3584" t="n">
        <v>0</v>
      </c>
      <c r="M3584" t="n">
        <v>4</v>
      </c>
      <c r="N3584" t="n">
        <v>0.4</v>
      </c>
      <c r="O3584" t="n">
        <v>0</v>
      </c>
      <c r="P3584" t="n">
        <v>0</v>
      </c>
      <c r="Q3584" t="n">
        <v>0</v>
      </c>
      <c r="R3584" t="inlineStr">
        <is>
          <t>Sin rotación</t>
        </is>
      </c>
    </row>
    <row r="3585">
      <c r="A3585" t="inlineStr">
        <is>
          <t>CRESTDA16TXL</t>
        </is>
      </c>
      <c r="B3585" t="inlineStr">
        <is>
          <t>[CRESTDA16TXL] RETRO VZLA DAMA (Blanco/Crew, XL)</t>
        </is>
      </c>
      <c r="C3585" t="inlineStr">
        <is>
          <t>DAMA / RETRO VZLA</t>
        </is>
      </c>
      <c r="D3585" t="n">
        <v>0</v>
      </c>
      <c r="E3585" t="n">
        <v>0</v>
      </c>
      <c r="F3585" t="n">
        <v>1.000010015470635</v>
      </c>
      <c r="G3585" t="inlineStr">
        <is>
          <t>C</t>
        </is>
      </c>
      <c r="H3585" t="n">
        <v>1</v>
      </c>
      <c r="I3585" t="n">
        <v>0</v>
      </c>
      <c r="J3585" t="n">
        <v>0</v>
      </c>
      <c r="K3585" t="n">
        <v>0</v>
      </c>
      <c r="L3585" t="n">
        <v>999</v>
      </c>
      <c r="M3585" t="n">
        <v>4</v>
      </c>
      <c r="N3585" t="n">
        <v>0</v>
      </c>
      <c r="O3585" t="n">
        <v>1</v>
      </c>
      <c r="P3585" t="n">
        <v>0</v>
      </c>
      <c r="Q3585" t="n">
        <v>0</v>
      </c>
      <c r="R3585" t="inlineStr">
        <is>
          <t>Sin rotación</t>
        </is>
      </c>
    </row>
    <row r="3586">
      <c r="A3586" t="inlineStr">
        <is>
          <t>VIVMIDA39TS</t>
        </is>
      </c>
      <c r="B3586" t="inlineStr">
        <is>
          <t>VIVI ORIGINAL DAMA</t>
        </is>
      </c>
      <c r="C3586" t="inlineStr">
        <is>
          <t>Manufactura / Dama / P. Superiores</t>
        </is>
      </c>
      <c r="D3586" t="n">
        <v>0</v>
      </c>
      <c r="E3586" t="n">
        <v>0</v>
      </c>
      <c r="F3586" t="n">
        <v>1.000010015470635</v>
      </c>
      <c r="G3586" t="inlineStr">
        <is>
          <t>C</t>
        </is>
      </c>
      <c r="H3586" t="n">
        <v>0</v>
      </c>
      <c r="I3586" t="n">
        <v>4.303181706</v>
      </c>
      <c r="J3586" t="n">
        <v>0</v>
      </c>
      <c r="K3586" t="n">
        <v>0.1</v>
      </c>
      <c r="L3586" t="n">
        <v>0</v>
      </c>
      <c r="M3586" t="n">
        <v>4</v>
      </c>
      <c r="N3586" t="n">
        <v>0.4</v>
      </c>
      <c r="O3586" t="n">
        <v>0</v>
      </c>
      <c r="P3586" t="n">
        <v>0</v>
      </c>
      <c r="Q3586" t="n">
        <v>0</v>
      </c>
      <c r="R3586" t="inlineStr">
        <is>
          <t>Riesgo bajo stock</t>
        </is>
      </c>
    </row>
    <row r="3587">
      <c r="A3587" t="inlineStr">
        <is>
          <t>SHOSUKI111T4</t>
        </is>
      </c>
      <c r="B3587" t="inlineStr">
        <is>
          <t>[SHOSUKI111T4] SHORT PLAYA ESTAMPADO KIDS (CRASQUI, 4)</t>
        </is>
      </c>
      <c r="C3587" t="inlineStr">
        <is>
          <t>KIDS / SHORT PLAYA ESTAMPADO</t>
        </is>
      </c>
      <c r="D3587" t="n">
        <v>0</v>
      </c>
      <c r="E3587" t="n">
        <v>0</v>
      </c>
      <c r="F3587" t="n">
        <v>1.000010015470635</v>
      </c>
      <c r="G3587" t="inlineStr">
        <is>
          <t>C</t>
        </is>
      </c>
      <c r="H3587" t="n">
        <v>1</v>
      </c>
      <c r="I3587" t="n">
        <v>0</v>
      </c>
      <c r="J3587" t="n">
        <v>0</v>
      </c>
      <c r="K3587" t="n">
        <v>0</v>
      </c>
      <c r="L3587" t="n">
        <v>999</v>
      </c>
      <c r="M3587" t="n">
        <v>4</v>
      </c>
      <c r="N3587" t="n">
        <v>0</v>
      </c>
      <c r="O3587" t="n">
        <v>1</v>
      </c>
      <c r="P3587" t="n">
        <v>0</v>
      </c>
      <c r="Q3587" t="n">
        <v>0</v>
      </c>
      <c r="R3587" t="inlineStr">
        <is>
          <t>Sin rotación</t>
        </is>
      </c>
    </row>
    <row r="3588">
      <c r="A3588" t="inlineStr">
        <is>
          <t>SHOSUKI107T8</t>
        </is>
      </c>
      <c r="B3588" t="inlineStr">
        <is>
          <t>[SHOSUKI107T8] SHORT PLAYA ESTAMPADO KIDS (Honey, 8)</t>
        </is>
      </c>
      <c r="C3588" t="inlineStr">
        <is>
          <t>KIDS / SHORT PLAYA ESTAMPADO</t>
        </is>
      </c>
      <c r="D3588" t="n">
        <v>0</v>
      </c>
      <c r="E3588" t="n">
        <v>0</v>
      </c>
      <c r="F3588" t="n">
        <v>1.000010015470635</v>
      </c>
      <c r="G3588" t="inlineStr">
        <is>
          <t>C</t>
        </is>
      </c>
      <c r="H3588" t="n">
        <v>1</v>
      </c>
      <c r="I3588" t="n">
        <v>0</v>
      </c>
      <c r="J3588" t="n">
        <v>0</v>
      </c>
      <c r="K3588" t="n">
        <v>0</v>
      </c>
      <c r="L3588" t="n">
        <v>999</v>
      </c>
      <c r="M3588" t="n">
        <v>4</v>
      </c>
      <c r="N3588" t="n">
        <v>0</v>
      </c>
      <c r="O3588" t="n">
        <v>1</v>
      </c>
      <c r="P3588" t="n">
        <v>0</v>
      </c>
      <c r="Q3588" t="n">
        <v>0</v>
      </c>
      <c r="R3588" t="inlineStr">
        <is>
          <t>Sin rotación</t>
        </is>
      </c>
    </row>
    <row r="3589">
      <c r="A3589" t="inlineStr">
        <is>
          <t>SHOSUKI107T14</t>
        </is>
      </c>
      <c r="B3589" t="inlineStr">
        <is>
          <t>[SHOSUKI107T14] SHORT PLAYA ESTAMPADO KIDS (Honey, 14)</t>
        </is>
      </c>
      <c r="C3589" t="inlineStr">
        <is>
          <t>KIDS / SHORT PLAYA ESTAMPADO</t>
        </is>
      </c>
      <c r="D3589" t="n">
        <v>0</v>
      </c>
      <c r="E3589" t="n">
        <v>0</v>
      </c>
      <c r="F3589" t="n">
        <v>1.000010015470635</v>
      </c>
      <c r="G3589" t="inlineStr">
        <is>
          <t>C</t>
        </is>
      </c>
      <c r="H3589" t="n">
        <v>1</v>
      </c>
      <c r="I3589" t="n">
        <v>0</v>
      </c>
      <c r="J3589" t="n">
        <v>0</v>
      </c>
      <c r="K3589" t="n">
        <v>0</v>
      </c>
      <c r="L3589" t="n">
        <v>999</v>
      </c>
      <c r="M3589" t="n">
        <v>4</v>
      </c>
      <c r="N3589" t="n">
        <v>0</v>
      </c>
      <c r="O3589" t="n">
        <v>1</v>
      </c>
      <c r="P3589" t="n">
        <v>0</v>
      </c>
      <c r="Q3589" t="n">
        <v>0</v>
      </c>
      <c r="R3589" t="inlineStr">
        <is>
          <t>Sin rotación</t>
        </is>
      </c>
    </row>
    <row r="3590">
      <c r="A3590" t="inlineStr">
        <is>
          <t>SHOSUKI107T12</t>
        </is>
      </c>
      <c r="B3590" t="inlineStr">
        <is>
          <t>[SHOSUKI107T12] SHORT PLAYA ESTAMPADO KIDS (Honey, 12)</t>
        </is>
      </c>
      <c r="C3590" t="inlineStr">
        <is>
          <t>KIDS / SHORT PLAYA ESTAMPADO</t>
        </is>
      </c>
      <c r="D3590" t="n">
        <v>0</v>
      </c>
      <c r="E3590" t="n">
        <v>0</v>
      </c>
      <c r="F3590" t="n">
        <v>1.000010015470635</v>
      </c>
      <c r="G3590" t="inlineStr">
        <is>
          <t>C</t>
        </is>
      </c>
      <c r="H3590" t="n">
        <v>1</v>
      </c>
      <c r="I3590" t="n">
        <v>0</v>
      </c>
      <c r="J3590" t="n">
        <v>0</v>
      </c>
      <c r="K3590" t="n">
        <v>0</v>
      </c>
      <c r="L3590" t="n">
        <v>999</v>
      </c>
      <c r="M3590" t="n">
        <v>4</v>
      </c>
      <c r="N3590" t="n">
        <v>0</v>
      </c>
      <c r="O3590" t="n">
        <v>1</v>
      </c>
      <c r="P3590" t="n">
        <v>0</v>
      </c>
      <c r="Q3590" t="n">
        <v>0</v>
      </c>
      <c r="R3590" t="inlineStr">
        <is>
          <t>Sin rotación</t>
        </is>
      </c>
    </row>
    <row r="3591">
      <c r="A3591" t="inlineStr">
        <is>
          <t>DALSSTKI30T12</t>
        </is>
      </c>
      <c r="B3591" t="inlineStr">
        <is>
          <t>[DALSSTKI30T12] MANGA LARGA DAILY 2.0 KIDS (Gris Claro, 12)</t>
        </is>
      </c>
      <c r="C3591" t="inlineStr">
        <is>
          <t>KIDS / MANGA LARGA DAILY 2.0</t>
        </is>
      </c>
      <c r="D3591" t="n">
        <v>0</v>
      </c>
      <c r="E3591" t="n">
        <v>0</v>
      </c>
      <c r="F3591" t="n">
        <v>1.000010015470635</v>
      </c>
      <c r="G3591" t="inlineStr">
        <is>
          <t>C</t>
        </is>
      </c>
      <c r="H3591" t="n">
        <v>2</v>
      </c>
      <c r="I3591" t="n">
        <v>0</v>
      </c>
      <c r="J3591" t="n">
        <v>0</v>
      </c>
      <c r="K3591" t="n">
        <v>0</v>
      </c>
      <c r="L3591" t="n">
        <v>999</v>
      </c>
      <c r="M3591" t="n">
        <v>4</v>
      </c>
      <c r="N3591" t="n">
        <v>0</v>
      </c>
      <c r="O3591" t="n">
        <v>2</v>
      </c>
      <c r="P3591" t="n">
        <v>0</v>
      </c>
      <c r="Q3591" t="n">
        <v>0</v>
      </c>
      <c r="R3591" t="inlineStr">
        <is>
          <t>Sin rotación</t>
        </is>
      </c>
    </row>
    <row r="3592">
      <c r="A3592" t="inlineStr">
        <is>
          <t>DALSTDA30TXL</t>
        </is>
      </c>
      <c r="B3592" t="inlineStr">
        <is>
          <t>[DALSTDA30TXL] CLASICA DAILY 2.0 DAMA (Gris Claro, XL)</t>
        </is>
      </c>
      <c r="C3592" t="inlineStr">
        <is>
          <t>DAMA / CLASICA DAILY 2.0</t>
        </is>
      </c>
      <c r="D3592" t="n">
        <v>0</v>
      </c>
      <c r="E3592" t="n">
        <v>0</v>
      </c>
      <c r="F3592" t="n">
        <v>1.000010015470635</v>
      </c>
      <c r="G3592" t="inlineStr">
        <is>
          <t>C</t>
        </is>
      </c>
      <c r="H3592" t="n">
        <v>7</v>
      </c>
      <c r="I3592" t="n">
        <v>0</v>
      </c>
      <c r="J3592" t="n">
        <v>0</v>
      </c>
      <c r="K3592" t="n">
        <v>0</v>
      </c>
      <c r="L3592" t="n">
        <v>999</v>
      </c>
      <c r="M3592" t="n">
        <v>4</v>
      </c>
      <c r="N3592" t="n">
        <v>0</v>
      </c>
      <c r="O3592" t="n">
        <v>7</v>
      </c>
      <c r="P3592" t="n">
        <v>0</v>
      </c>
      <c r="Q3592" t="n">
        <v>0</v>
      </c>
      <c r="R3592" t="inlineStr">
        <is>
          <t>Sin rotación</t>
        </is>
      </c>
    </row>
    <row r="3593">
      <c r="A3593" t="inlineStr">
        <is>
          <t>TMOFIDA09TXL</t>
        </is>
      </c>
      <c r="B3593" t="inlineStr">
        <is>
          <t>[TMOFIDA09TXL] TOP MOVA (Azul Cielo, XL)</t>
        </is>
      </c>
      <c r="C3593" t="inlineStr">
        <is>
          <t>TOP MOVA</t>
        </is>
      </c>
      <c r="D3593" t="n">
        <v>0</v>
      </c>
      <c r="E3593" t="n">
        <v>0</v>
      </c>
      <c r="F3593" t="n">
        <v>1.000010015470635</v>
      </c>
      <c r="G3593" t="inlineStr">
        <is>
          <t>C</t>
        </is>
      </c>
      <c r="H3593" t="n">
        <v>2</v>
      </c>
      <c r="I3593" t="n">
        <v>0</v>
      </c>
      <c r="J3593" t="n">
        <v>0</v>
      </c>
      <c r="K3593" t="n">
        <v>0</v>
      </c>
      <c r="L3593" t="n">
        <v>999</v>
      </c>
      <c r="M3593" t="n">
        <v>4</v>
      </c>
      <c r="N3593" t="n">
        <v>0</v>
      </c>
      <c r="O3593" t="n">
        <v>2</v>
      </c>
      <c r="P3593" t="n">
        <v>0</v>
      </c>
      <c r="Q3593" t="n">
        <v>0</v>
      </c>
      <c r="R3593" t="inlineStr">
        <is>
          <t>Sin rotación</t>
        </is>
      </c>
    </row>
    <row r="3594">
      <c r="A3594" t="inlineStr">
        <is>
          <t>TMOFIDA09TS</t>
        </is>
      </c>
      <c r="B3594" t="inlineStr">
        <is>
          <t>[TMOFIDA09TS] TOP MOVA (Azul Cielo, S)</t>
        </is>
      </c>
      <c r="C3594" t="inlineStr">
        <is>
          <t>TOP MOVA</t>
        </is>
      </c>
      <c r="D3594" t="n">
        <v>0</v>
      </c>
      <c r="E3594" t="n">
        <v>0</v>
      </c>
      <c r="F3594" t="n">
        <v>1.000010015470635</v>
      </c>
      <c r="G3594" t="inlineStr">
        <is>
          <t>C</t>
        </is>
      </c>
      <c r="H3594" t="n">
        <v>3</v>
      </c>
      <c r="I3594" t="n">
        <v>0</v>
      </c>
      <c r="J3594" t="n">
        <v>0</v>
      </c>
      <c r="K3594" t="n">
        <v>0</v>
      </c>
      <c r="L3594" t="n">
        <v>999</v>
      </c>
      <c r="M3594" t="n">
        <v>4</v>
      </c>
      <c r="N3594" t="n">
        <v>0</v>
      </c>
      <c r="O3594" t="n">
        <v>3</v>
      </c>
      <c r="P3594" t="n">
        <v>0</v>
      </c>
      <c r="Q3594" t="n">
        <v>0</v>
      </c>
      <c r="R3594" t="inlineStr">
        <is>
          <t>Sin rotación</t>
        </is>
      </c>
    </row>
    <row r="3595">
      <c r="A3595" t="inlineStr">
        <is>
          <t>TMOFIDA09TL</t>
        </is>
      </c>
      <c r="B3595" t="inlineStr">
        <is>
          <t>[TMOFIDA09TL] TOP MOVA (Azul Cielo, L)</t>
        </is>
      </c>
      <c r="C3595" t="inlineStr">
        <is>
          <t>TOP MOVA</t>
        </is>
      </c>
      <c r="D3595" t="n">
        <v>0</v>
      </c>
      <c r="E3595" t="n">
        <v>0</v>
      </c>
      <c r="F3595" t="n">
        <v>1.000010015470635</v>
      </c>
      <c r="G3595" t="inlineStr">
        <is>
          <t>C</t>
        </is>
      </c>
      <c r="H3595" t="n">
        <v>2</v>
      </c>
      <c r="I3595" t="n">
        <v>0</v>
      </c>
      <c r="J3595" t="n">
        <v>0</v>
      </c>
      <c r="K3595" t="n">
        <v>0</v>
      </c>
      <c r="L3595" t="n">
        <v>999</v>
      </c>
      <c r="M3595" t="n">
        <v>4</v>
      </c>
      <c r="N3595" t="n">
        <v>0</v>
      </c>
      <c r="O3595" t="n">
        <v>2</v>
      </c>
      <c r="P3595" t="n">
        <v>0</v>
      </c>
      <c r="Q3595" t="n">
        <v>0</v>
      </c>
      <c r="R3595" t="inlineStr">
        <is>
          <t>Sin rotación</t>
        </is>
      </c>
    </row>
    <row r="3596">
      <c r="A3596" t="inlineStr">
        <is>
          <t>TALGTADA166TXL</t>
        </is>
      </c>
      <c r="B3596" t="inlineStr">
        <is>
          <t>[TALGTADA166TXL] URBAN COTTON TOP SAY YES DAMA (Gris, XL)</t>
        </is>
      </c>
      <c r="C3596" t="inlineStr">
        <is>
          <t>DAMA / URBAN COTTON TOP SAY YES</t>
        </is>
      </c>
      <c r="D3596" t="n">
        <v>0</v>
      </c>
      <c r="E3596" t="n">
        <v>0</v>
      </c>
      <c r="F3596" t="n">
        <v>1.000010015470635</v>
      </c>
      <c r="G3596" t="inlineStr">
        <is>
          <t>C</t>
        </is>
      </c>
      <c r="H3596" t="n">
        <v>1</v>
      </c>
      <c r="I3596" t="n">
        <v>0</v>
      </c>
      <c r="J3596" t="n">
        <v>0</v>
      </c>
      <c r="K3596" t="n">
        <v>0</v>
      </c>
      <c r="L3596" t="n">
        <v>999</v>
      </c>
      <c r="M3596" t="n">
        <v>4</v>
      </c>
      <c r="N3596" t="n">
        <v>0</v>
      </c>
      <c r="O3596" t="n">
        <v>1</v>
      </c>
      <c r="P3596" t="n">
        <v>0</v>
      </c>
      <c r="Q3596" t="n">
        <v>0</v>
      </c>
      <c r="R3596" t="inlineStr">
        <is>
          <t>Sin rotación</t>
        </is>
      </c>
    </row>
    <row r="3597">
      <c r="A3597" t="inlineStr">
        <is>
          <t>CLAMECA12TM</t>
        </is>
      </c>
      <c r="B3597" t="inlineStr">
        <is>
          <t>CLASICA SPORT CAB</t>
        </is>
      </c>
      <c r="C3597" t="inlineStr">
        <is>
          <t>Manufactura / Caballero / P. Superiores</t>
        </is>
      </c>
      <c r="D3597" t="n">
        <v>0</v>
      </c>
      <c r="E3597" t="n">
        <v>0</v>
      </c>
      <c r="F3597" t="n">
        <v>1.000010015470635</v>
      </c>
      <c r="G3597" t="inlineStr">
        <is>
          <t>C</t>
        </is>
      </c>
      <c r="H3597" t="n">
        <v>1</v>
      </c>
      <c r="I3597" t="n">
        <v>10.3013454</v>
      </c>
      <c r="J3597" t="n">
        <v>10.3013454</v>
      </c>
      <c r="K3597" t="n">
        <v>0.1</v>
      </c>
      <c r="L3597" t="n">
        <v>10</v>
      </c>
      <c r="M3597" t="n">
        <v>4</v>
      </c>
      <c r="N3597" t="n">
        <v>0.4</v>
      </c>
      <c r="O3597" t="n">
        <v>0.6</v>
      </c>
      <c r="P3597" t="n">
        <v>6.18080724</v>
      </c>
      <c r="Q3597" t="n">
        <v>0.6</v>
      </c>
      <c r="R3597" t="inlineStr">
        <is>
          <t>Sin rotación</t>
        </is>
      </c>
    </row>
    <row r="3598">
      <c r="A3598" t="inlineStr">
        <is>
          <t>CLADFCA70TS</t>
        </is>
      </c>
      <c r="B3598" t="inlineStr">
        <is>
          <t>CLASICA ADVANCE CAB</t>
        </is>
      </c>
      <c r="C3598" t="inlineStr">
        <is>
          <t>Manufactura / Caballero / P. Superiores</t>
        </is>
      </c>
      <c r="D3598" t="n">
        <v>0</v>
      </c>
      <c r="E3598" t="n">
        <v>0</v>
      </c>
      <c r="F3598" t="n">
        <v>1.000010015470635</v>
      </c>
      <c r="G3598" t="inlineStr">
        <is>
          <t>C</t>
        </is>
      </c>
      <c r="H3598" t="n">
        <v>9</v>
      </c>
      <c r="I3598" t="n">
        <v>15.51</v>
      </c>
      <c r="J3598" t="n">
        <v>139.59</v>
      </c>
      <c r="K3598" t="n">
        <v>0.2</v>
      </c>
      <c r="L3598" t="n">
        <v>45</v>
      </c>
      <c r="M3598" t="n">
        <v>4</v>
      </c>
      <c r="N3598" t="n">
        <v>0.8</v>
      </c>
      <c r="O3598" t="n">
        <v>8.199999999999999</v>
      </c>
      <c r="P3598" t="n">
        <v>127.182</v>
      </c>
      <c r="Q3598" t="n">
        <v>0.911111111111111</v>
      </c>
      <c r="R3598" t="inlineStr">
        <is>
          <t>Sobrestock crítico</t>
        </is>
      </c>
    </row>
    <row r="3599">
      <c r="A3599" t="inlineStr">
        <is>
          <t>CLAMEKI63T8</t>
        </is>
      </c>
      <c r="B3599" t="inlineStr">
        <is>
          <t>[CLAMEKI63T8] CLASICA SPORT KIDS (Verde Agua, 8)</t>
        </is>
      </c>
      <c r="C3599" t="inlineStr">
        <is>
          <t>KIDS / CLASICA SPORT</t>
        </is>
      </c>
      <c r="D3599" t="n">
        <v>0</v>
      </c>
      <c r="E3599" t="n">
        <v>0</v>
      </c>
      <c r="F3599" t="n">
        <v>1.000010015470635</v>
      </c>
      <c r="G3599" t="inlineStr">
        <is>
          <t>C</t>
        </is>
      </c>
      <c r="H3599" t="n">
        <v>1</v>
      </c>
      <c r="I3599" t="n">
        <v>0</v>
      </c>
      <c r="J3599" t="n">
        <v>0</v>
      </c>
      <c r="K3599" t="n">
        <v>0</v>
      </c>
      <c r="L3599" t="n">
        <v>999</v>
      </c>
      <c r="M3599" t="n">
        <v>4</v>
      </c>
      <c r="N3599" t="n">
        <v>0</v>
      </c>
      <c r="O3599" t="n">
        <v>1</v>
      </c>
      <c r="P3599" t="n">
        <v>0</v>
      </c>
      <c r="Q3599" t="n">
        <v>0</v>
      </c>
      <c r="R3599" t="inlineStr">
        <is>
          <t>Sin rotación</t>
        </is>
      </c>
    </row>
    <row r="3600">
      <c r="A3600" t="inlineStr">
        <is>
          <t>DALSTKI16T4</t>
        </is>
      </c>
      <c r="B3600" t="inlineStr">
        <is>
          <t>[DALSTKI16T4] CLASICA DAILY 2.0 KIDS (Blanco, 4)</t>
        </is>
      </c>
      <c r="C3600" t="inlineStr">
        <is>
          <t>KIDS / CLASICA DAILY 2.0</t>
        </is>
      </c>
      <c r="D3600" t="n">
        <v>0</v>
      </c>
      <c r="E3600" t="n">
        <v>0</v>
      </c>
      <c r="F3600" t="n">
        <v>1.000010015470635</v>
      </c>
      <c r="G3600" t="inlineStr">
        <is>
          <t>C</t>
        </is>
      </c>
      <c r="H3600" t="n">
        <v>3</v>
      </c>
      <c r="I3600" t="n">
        <v>0</v>
      </c>
      <c r="J3600" t="n">
        <v>0</v>
      </c>
      <c r="K3600" t="n">
        <v>0</v>
      </c>
      <c r="L3600" t="n">
        <v>999</v>
      </c>
      <c r="M3600" t="n">
        <v>4</v>
      </c>
      <c r="N3600" t="n">
        <v>0</v>
      </c>
      <c r="O3600" t="n">
        <v>3</v>
      </c>
      <c r="P3600" t="n">
        <v>0</v>
      </c>
      <c r="Q3600" t="n">
        <v>0</v>
      </c>
      <c r="R3600" t="inlineStr">
        <is>
          <t>Sin rotación</t>
        </is>
      </c>
    </row>
    <row r="3601">
      <c r="A3601" t="inlineStr">
        <is>
          <t>DALSTKI16T2</t>
        </is>
      </c>
      <c r="B3601" t="inlineStr">
        <is>
          <t>[DALSTKI16T2] CLASICA DAILY 2.0 KIDS (Blanco, 2)</t>
        </is>
      </c>
      <c r="C3601" t="inlineStr">
        <is>
          <t>KIDS / CLASICA DAILY 2.0</t>
        </is>
      </c>
      <c r="D3601" t="n">
        <v>0</v>
      </c>
      <c r="E3601" t="n">
        <v>0</v>
      </c>
      <c r="F3601" t="n">
        <v>1.000010015470635</v>
      </c>
      <c r="G3601" t="inlineStr">
        <is>
          <t>C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999</v>
      </c>
      <c r="M3601" t="n">
        <v>4</v>
      </c>
      <c r="N3601" t="n">
        <v>0</v>
      </c>
      <c r="O3601" t="n">
        <v>1</v>
      </c>
      <c r="P3601" t="n">
        <v>0</v>
      </c>
      <c r="Q3601" t="n">
        <v>0</v>
      </c>
      <c r="R3601" t="inlineStr">
        <is>
          <t>Sin rotación</t>
        </is>
      </c>
    </row>
    <row r="3602">
      <c r="A3602" t="inlineStr">
        <is>
          <t>DALSTKI16T12</t>
        </is>
      </c>
      <c r="B3602" t="inlineStr">
        <is>
          <t>[DALSTKI16T12] CLASICA DAILY 2.0 KIDS (Blanco, 12)</t>
        </is>
      </c>
      <c r="C3602" t="inlineStr">
        <is>
          <t>KIDS / CLASICA DAILY 2.0</t>
        </is>
      </c>
      <c r="D3602" t="n">
        <v>0</v>
      </c>
      <c r="E3602" t="n">
        <v>0</v>
      </c>
      <c r="F3602" t="n">
        <v>1.000010015470635</v>
      </c>
      <c r="G3602" t="inlineStr">
        <is>
          <t>C</t>
        </is>
      </c>
      <c r="H3602" t="n">
        <v>5</v>
      </c>
      <c r="I3602" t="n">
        <v>0</v>
      </c>
      <c r="J3602" t="n">
        <v>0</v>
      </c>
      <c r="K3602" t="n">
        <v>0</v>
      </c>
      <c r="L3602" t="n">
        <v>999</v>
      </c>
      <c r="M3602" t="n">
        <v>4</v>
      </c>
      <c r="N3602" t="n">
        <v>0</v>
      </c>
      <c r="O3602" t="n">
        <v>5</v>
      </c>
      <c r="P3602" t="n">
        <v>0</v>
      </c>
      <c r="Q3602" t="n">
        <v>0</v>
      </c>
      <c r="R3602" t="inlineStr">
        <is>
          <t>Sin rotación</t>
        </is>
      </c>
    </row>
    <row r="3603">
      <c r="A3603" t="inlineStr">
        <is>
          <t>DALSTKI16T10</t>
        </is>
      </c>
      <c r="B3603" t="inlineStr">
        <is>
          <t>[DALSTKI16T10] CLASICA DAILY 2.0 KIDS (Blanco, 10)</t>
        </is>
      </c>
      <c r="C3603" t="inlineStr">
        <is>
          <t>KIDS / CLASICA DAILY 2.0</t>
        </is>
      </c>
      <c r="D3603" t="n">
        <v>0</v>
      </c>
      <c r="E3603" t="n">
        <v>0</v>
      </c>
      <c r="F3603" t="n">
        <v>1.000010015470635</v>
      </c>
      <c r="G3603" t="inlineStr">
        <is>
          <t>C</t>
        </is>
      </c>
      <c r="H3603" t="n">
        <v>10</v>
      </c>
      <c r="I3603" t="n">
        <v>0</v>
      </c>
      <c r="J3603" t="n">
        <v>0</v>
      </c>
      <c r="K3603" t="n">
        <v>0</v>
      </c>
      <c r="L3603" t="n">
        <v>999</v>
      </c>
      <c r="M3603" t="n">
        <v>4</v>
      </c>
      <c r="N3603" t="n">
        <v>0</v>
      </c>
      <c r="O3603" t="n">
        <v>10</v>
      </c>
      <c r="P3603" t="n">
        <v>0</v>
      </c>
      <c r="Q3603" t="n">
        <v>0</v>
      </c>
      <c r="R3603" t="inlineStr">
        <is>
          <t>Sin rotación</t>
        </is>
      </c>
    </row>
    <row r="3604">
      <c r="A3604" t="inlineStr">
        <is>
          <t>DALSTDA43TXS</t>
        </is>
      </c>
      <c r="B3604" t="inlineStr">
        <is>
          <t>CLASICA DAILY 2.0 DAMA</t>
        </is>
      </c>
      <c r="C3604" t="inlineStr">
        <is>
          <t>Manufactura / Dama / P. Superiores</t>
        </is>
      </c>
      <c r="D3604" t="n">
        <v>0</v>
      </c>
      <c r="E3604" t="n">
        <v>0</v>
      </c>
      <c r="F3604" t="n">
        <v>1.000010015470635</v>
      </c>
      <c r="G3604" t="inlineStr">
        <is>
          <t>C</t>
        </is>
      </c>
      <c r="H3604" t="n">
        <v>4</v>
      </c>
      <c r="I3604" t="n">
        <v>10.02</v>
      </c>
      <c r="J3604" t="n">
        <v>40.08</v>
      </c>
      <c r="K3604" t="n">
        <v>0.1</v>
      </c>
      <c r="L3604" t="n">
        <v>40</v>
      </c>
      <c r="M3604" t="n">
        <v>4</v>
      </c>
      <c r="N3604" t="n">
        <v>0.4</v>
      </c>
      <c r="O3604" t="n">
        <v>3.6</v>
      </c>
      <c r="P3604" t="n">
        <v>36.072</v>
      </c>
      <c r="Q3604" t="n">
        <v>0.9000000000000001</v>
      </c>
      <c r="R3604" t="inlineStr">
        <is>
          <t>Sobrestock crítico</t>
        </is>
      </c>
    </row>
    <row r="3605">
      <c r="A3605" t="inlineStr">
        <is>
          <t>DALSTDA43TXL</t>
        </is>
      </c>
      <c r="B3605" t="inlineStr">
        <is>
          <t>[DALSTDA43TXL] CLASICA DAILY 2.0 DAMA (Negro, XL)</t>
        </is>
      </c>
      <c r="C3605" t="inlineStr">
        <is>
          <t>DAMA / CLASICA DAILY 2.0</t>
        </is>
      </c>
      <c r="D3605" t="n">
        <v>0</v>
      </c>
      <c r="E3605" t="n">
        <v>0</v>
      </c>
      <c r="F3605" t="n">
        <v>1.000010015470635</v>
      </c>
      <c r="G3605" t="inlineStr">
        <is>
          <t>C</t>
        </is>
      </c>
      <c r="H3605" t="n">
        <v>3</v>
      </c>
      <c r="I3605" t="n">
        <v>0</v>
      </c>
      <c r="J3605" t="n">
        <v>0</v>
      </c>
      <c r="K3605" t="n">
        <v>0</v>
      </c>
      <c r="L3605" t="n">
        <v>999</v>
      </c>
      <c r="M3605" t="n">
        <v>4</v>
      </c>
      <c r="N3605" t="n">
        <v>0</v>
      </c>
      <c r="O3605" t="n">
        <v>3</v>
      </c>
      <c r="P3605" t="n">
        <v>0</v>
      </c>
      <c r="Q3605" t="n">
        <v>0</v>
      </c>
      <c r="R3605" t="inlineStr">
        <is>
          <t>Sin rotación</t>
        </is>
      </c>
    </row>
    <row r="3606">
      <c r="A3606" t="inlineStr">
        <is>
          <t>TMOFIDA09TXS</t>
        </is>
      </c>
      <c r="B3606" t="inlineStr">
        <is>
          <t>[TMOFIDA09TXS] TOP MOVA (Azul Cielo, XS)</t>
        </is>
      </c>
      <c r="C3606" t="inlineStr">
        <is>
          <t>TOP MOVA</t>
        </is>
      </c>
      <c r="D3606" t="n">
        <v>0</v>
      </c>
      <c r="E3606" t="n">
        <v>0</v>
      </c>
      <c r="F3606" t="n">
        <v>1.000010015470635</v>
      </c>
      <c r="G3606" t="inlineStr">
        <is>
          <t>C</t>
        </is>
      </c>
      <c r="H3606" t="n">
        <v>6</v>
      </c>
      <c r="I3606" t="n">
        <v>0</v>
      </c>
      <c r="J3606" t="n">
        <v>0</v>
      </c>
      <c r="K3606" t="n">
        <v>0</v>
      </c>
      <c r="L3606" t="n">
        <v>999</v>
      </c>
      <c r="M3606" t="n">
        <v>4</v>
      </c>
      <c r="N3606" t="n">
        <v>0</v>
      </c>
      <c r="O3606" t="n">
        <v>6</v>
      </c>
      <c r="P3606" t="n">
        <v>0</v>
      </c>
      <c r="Q3606" t="n">
        <v>0</v>
      </c>
      <c r="R3606" t="inlineStr">
        <is>
          <t>Sin rotación</t>
        </is>
      </c>
    </row>
    <row r="3607">
      <c r="A3607" t="inlineStr">
        <is>
          <t>CLAMIKI53T8</t>
        </is>
      </c>
      <c r="B3607" t="inlineStr">
        <is>
          <t>[CLAMIKI53T8] CLASICA ORIGINAL KIDS (Rosado Pastel, 8)</t>
        </is>
      </c>
      <c r="C3607" t="inlineStr">
        <is>
          <t>KIDS / CLASICA ORIGINAL</t>
        </is>
      </c>
      <c r="D3607" t="n">
        <v>0</v>
      </c>
      <c r="E3607" t="n">
        <v>0</v>
      </c>
      <c r="F3607" t="n">
        <v>1.000010015470635</v>
      </c>
      <c r="G3607" t="inlineStr">
        <is>
          <t>C</t>
        </is>
      </c>
      <c r="H3607" t="n">
        <v>1</v>
      </c>
      <c r="I3607" t="n">
        <v>0</v>
      </c>
      <c r="J3607" t="n">
        <v>0</v>
      </c>
      <c r="K3607" t="n">
        <v>0</v>
      </c>
      <c r="L3607" t="n">
        <v>999</v>
      </c>
      <c r="M3607" t="n">
        <v>4</v>
      </c>
      <c r="N3607" t="n">
        <v>0</v>
      </c>
      <c r="O3607" t="n">
        <v>1</v>
      </c>
      <c r="P3607" t="n">
        <v>0</v>
      </c>
      <c r="Q3607" t="n">
        <v>0</v>
      </c>
      <c r="R3607" t="inlineStr">
        <is>
          <t>Sin rotación</t>
        </is>
      </c>
    </row>
    <row r="3608">
      <c r="A3608" t="inlineStr">
        <is>
          <t>RIOMICA05TS</t>
        </is>
      </c>
      <c r="B3608" t="inlineStr">
        <is>
          <t>RIO ORIGINAL CAB</t>
        </is>
      </c>
      <c r="C3608" t="inlineStr">
        <is>
          <t>Manufactura / Caballero / P. Superiores</t>
        </is>
      </c>
      <c r="D3608" t="n">
        <v>0</v>
      </c>
      <c r="E3608" t="n">
        <v>0</v>
      </c>
      <c r="F3608" t="n">
        <v>1.000010015470635</v>
      </c>
      <c r="G3608" t="inlineStr">
        <is>
          <t>C</t>
        </is>
      </c>
      <c r="H3608" t="n">
        <v>0</v>
      </c>
      <c r="I3608" t="n">
        <v>5.939350288</v>
      </c>
      <c r="J3608" t="n">
        <v>0</v>
      </c>
      <c r="K3608" t="n">
        <v>0</v>
      </c>
      <c r="L3608" t="n">
        <v>0</v>
      </c>
      <c r="M3608" t="n">
        <v>4</v>
      </c>
      <c r="N3608" t="n">
        <v>0</v>
      </c>
      <c r="O3608" t="n">
        <v>0</v>
      </c>
      <c r="P3608" t="n">
        <v>0</v>
      </c>
      <c r="Q3608" t="n">
        <v>0</v>
      </c>
      <c r="R3608" t="inlineStr">
        <is>
          <t>Sin rotación</t>
        </is>
      </c>
    </row>
    <row r="3609">
      <c r="A3609" t="inlineStr">
        <is>
          <t>MIAMIDA34TXS</t>
        </is>
      </c>
      <c r="B3609" t="inlineStr">
        <is>
          <t>MIA ORIGINAL DAMA</t>
        </is>
      </c>
      <c r="C3609" t="inlineStr">
        <is>
          <t>Manufactura / Dama / P. Superiores</t>
        </is>
      </c>
      <c r="D3609" t="n">
        <v>0</v>
      </c>
      <c r="E3609" t="n">
        <v>0</v>
      </c>
      <c r="F3609" t="n">
        <v>1.000010015470635</v>
      </c>
      <c r="G3609" t="inlineStr">
        <is>
          <t>C</t>
        </is>
      </c>
      <c r="H3609" t="n">
        <v>0</v>
      </c>
      <c r="I3609" t="n">
        <v>3.94</v>
      </c>
      <c r="J3609" t="n">
        <v>0</v>
      </c>
      <c r="K3609" t="n">
        <v>0.1</v>
      </c>
      <c r="L3609" t="n">
        <v>0</v>
      </c>
      <c r="M3609" t="n">
        <v>4</v>
      </c>
      <c r="N3609" t="n">
        <v>0.4</v>
      </c>
      <c r="O3609" t="n">
        <v>0</v>
      </c>
      <c r="P3609" t="n">
        <v>0</v>
      </c>
      <c r="Q3609" t="n">
        <v>0</v>
      </c>
      <c r="R3609" t="inlineStr">
        <is>
          <t>Riesgo bajo stock</t>
        </is>
      </c>
    </row>
    <row r="3610">
      <c r="A3610" t="inlineStr">
        <is>
          <t>MIAMIDA16TS</t>
        </is>
      </c>
      <c r="B3610" t="inlineStr">
        <is>
          <t>MIA ORIGINAL DAMA</t>
        </is>
      </c>
      <c r="C3610" t="inlineStr">
        <is>
          <t>Manufactura / Dama / P. Superiores</t>
        </is>
      </c>
      <c r="D3610" t="n">
        <v>0</v>
      </c>
      <c r="E3610" t="n">
        <v>0</v>
      </c>
      <c r="F3610" t="n">
        <v>1.000010015470635</v>
      </c>
      <c r="G3610" t="inlineStr">
        <is>
          <t>C</t>
        </is>
      </c>
      <c r="H3610" t="n">
        <v>0</v>
      </c>
      <c r="I3610" t="n">
        <v>3.94</v>
      </c>
      <c r="J3610" t="n">
        <v>0</v>
      </c>
      <c r="K3610" t="n">
        <v>0.1</v>
      </c>
      <c r="L3610" t="n">
        <v>0</v>
      </c>
      <c r="M3610" t="n">
        <v>4</v>
      </c>
      <c r="N3610" t="n">
        <v>0.4</v>
      </c>
      <c r="O3610" t="n">
        <v>0</v>
      </c>
      <c r="P3610" t="n">
        <v>0</v>
      </c>
      <c r="Q3610" t="n">
        <v>0</v>
      </c>
      <c r="R3610" t="inlineStr">
        <is>
          <t>Riesgo bajo stock</t>
        </is>
      </c>
    </row>
    <row r="3611">
      <c r="A3611" t="inlineStr">
        <is>
          <t>PETMIPE39TS</t>
        </is>
      </c>
      <c r="B3611" t="inlineStr">
        <is>
          <t>[PETMIPE39TS] BANDANA PET (Morado, S)</t>
        </is>
      </c>
      <c r="C3611" t="inlineStr">
        <is>
          <t>BANDANA PET</t>
        </is>
      </c>
      <c r="D3611" t="n">
        <v>0</v>
      </c>
      <c r="E3611" t="n">
        <v>0</v>
      </c>
      <c r="F3611" t="n">
        <v>1.000010015470635</v>
      </c>
      <c r="G3611" t="inlineStr">
        <is>
          <t>C</t>
        </is>
      </c>
      <c r="H3611" t="n">
        <v>40</v>
      </c>
      <c r="I3611" t="n">
        <v>0</v>
      </c>
      <c r="J3611" t="n">
        <v>0</v>
      </c>
      <c r="K3611" t="n">
        <v>0</v>
      </c>
      <c r="L3611" t="n">
        <v>999</v>
      </c>
      <c r="M3611" t="n">
        <v>4</v>
      </c>
      <c r="N3611" t="n">
        <v>0</v>
      </c>
      <c r="O3611" t="n">
        <v>40</v>
      </c>
      <c r="P3611" t="n">
        <v>0</v>
      </c>
      <c r="Q3611" t="n">
        <v>0</v>
      </c>
      <c r="R3611" t="inlineStr">
        <is>
          <t>Sin rotación</t>
        </is>
      </c>
    </row>
    <row r="3612">
      <c r="A3612" t="inlineStr">
        <is>
          <t>PETMIPE30TXS</t>
        </is>
      </c>
      <c r="B3612" t="inlineStr">
        <is>
          <t>[PETMIPE30TXS] BANDANA PET (Gris Claro, XS)</t>
        </is>
      </c>
      <c r="C3612" t="inlineStr">
        <is>
          <t>BANDANA PET</t>
        </is>
      </c>
      <c r="D3612" t="n">
        <v>0</v>
      </c>
      <c r="E3612" t="n">
        <v>0</v>
      </c>
      <c r="F3612" t="n">
        <v>1.000010015470635</v>
      </c>
      <c r="G3612" t="inlineStr">
        <is>
          <t>C</t>
        </is>
      </c>
      <c r="H3612" t="n">
        <v>23</v>
      </c>
      <c r="I3612" t="n">
        <v>0</v>
      </c>
      <c r="J3612" t="n">
        <v>0</v>
      </c>
      <c r="K3612" t="n">
        <v>0</v>
      </c>
      <c r="L3612" t="n">
        <v>999</v>
      </c>
      <c r="M3612" t="n">
        <v>4</v>
      </c>
      <c r="N3612" t="n">
        <v>0</v>
      </c>
      <c r="O3612" t="n">
        <v>23</v>
      </c>
      <c r="P3612" t="n">
        <v>0</v>
      </c>
      <c r="Q3612" t="n">
        <v>0</v>
      </c>
      <c r="R3612" t="inlineStr">
        <is>
          <t>Sin rotación</t>
        </is>
      </c>
    </row>
    <row r="3613">
      <c r="A3613" t="inlineStr">
        <is>
          <t>PETMIPE30TXL</t>
        </is>
      </c>
      <c r="B3613" t="inlineStr">
        <is>
          <t>BANDANA PET</t>
        </is>
      </c>
      <c r="C3613" t="inlineStr">
        <is>
          <t>Manufactura / General</t>
        </is>
      </c>
      <c r="D3613" t="n">
        <v>0</v>
      </c>
      <c r="E3613" t="n">
        <v>0</v>
      </c>
      <c r="F3613" t="n">
        <v>1.000010015470635</v>
      </c>
      <c r="G3613" t="inlineStr">
        <is>
          <t>C</t>
        </is>
      </c>
      <c r="H3613" t="n">
        <v>1</v>
      </c>
      <c r="I3613" t="n">
        <v>0.3252662283</v>
      </c>
      <c r="J3613" t="n">
        <v>0.3252662283</v>
      </c>
      <c r="K3613" t="n">
        <v>0</v>
      </c>
      <c r="L3613" t="n">
        <v>999</v>
      </c>
      <c r="M3613" t="n">
        <v>4</v>
      </c>
      <c r="N3613" t="n">
        <v>0</v>
      </c>
      <c r="O3613" t="n">
        <v>1</v>
      </c>
      <c r="P3613" t="n">
        <v>0.3252662283</v>
      </c>
      <c r="Q3613" t="n">
        <v>1</v>
      </c>
      <c r="R3613" t="inlineStr">
        <is>
          <t>Sin rotación</t>
        </is>
      </c>
    </row>
    <row r="3614">
      <c r="A3614" t="inlineStr">
        <is>
          <t>RIOMICA12T4XL</t>
        </is>
      </c>
      <c r="B3614" t="inlineStr">
        <is>
          <t>[RIOMICA12T4XL] RIO ORIGINAL CAB (Azul Marino, 4XL)</t>
        </is>
      </c>
      <c r="C3614" t="inlineStr">
        <is>
          <t>CAB / RIO ORIGINAL</t>
        </is>
      </c>
      <c r="D3614" t="n">
        <v>0</v>
      </c>
      <c r="E3614" t="n">
        <v>0</v>
      </c>
      <c r="F3614" t="n">
        <v>1.000010015470635</v>
      </c>
      <c r="G3614" t="inlineStr">
        <is>
          <t>C</t>
        </is>
      </c>
      <c r="H3614" t="n">
        <v>1</v>
      </c>
      <c r="I3614" t="n">
        <v>0</v>
      </c>
      <c r="J3614" t="n">
        <v>0</v>
      </c>
      <c r="K3614" t="n">
        <v>0</v>
      </c>
      <c r="L3614" t="n">
        <v>999</v>
      </c>
      <c r="M3614" t="n">
        <v>4</v>
      </c>
      <c r="N3614" t="n">
        <v>0</v>
      </c>
      <c r="O3614" t="n">
        <v>1</v>
      </c>
      <c r="P3614" t="n">
        <v>0</v>
      </c>
      <c r="Q3614" t="n">
        <v>0</v>
      </c>
      <c r="R3614" t="inlineStr">
        <is>
          <t>Sin rotación</t>
        </is>
      </c>
    </row>
    <row r="3615">
      <c r="A3615" t="inlineStr">
        <is>
          <t>SHOSUKI26T1</t>
        </is>
      </c>
      <c r="B3615" t="inlineStr">
        <is>
          <t>[SHOSUKI26T1] SHORT PLAYA ESTAMPADO KIDS (DORADO, 1)</t>
        </is>
      </c>
      <c r="C3615" t="inlineStr">
        <is>
          <t>KIDS / SHORT PLAYA ESTAMPADO</t>
        </is>
      </c>
      <c r="D3615" t="n">
        <v>0</v>
      </c>
      <c r="E3615" t="n">
        <v>0</v>
      </c>
      <c r="F3615" t="n">
        <v>1.000010015470635</v>
      </c>
      <c r="G3615" t="inlineStr">
        <is>
          <t>C</t>
        </is>
      </c>
      <c r="H3615" t="n">
        <v>1</v>
      </c>
      <c r="I3615" t="n">
        <v>0</v>
      </c>
      <c r="J3615" t="n">
        <v>0</v>
      </c>
      <c r="K3615" t="n">
        <v>0</v>
      </c>
      <c r="L3615" t="n">
        <v>999</v>
      </c>
      <c r="M3615" t="n">
        <v>4</v>
      </c>
      <c r="N3615" t="n">
        <v>0</v>
      </c>
      <c r="O3615" t="n">
        <v>1</v>
      </c>
      <c r="P3615" t="n">
        <v>0</v>
      </c>
      <c r="Q3615" t="n">
        <v>0</v>
      </c>
      <c r="R3615" t="inlineStr">
        <is>
          <t>Sin rotación</t>
        </is>
      </c>
    </row>
    <row r="3616">
      <c r="A3616" t="inlineStr">
        <is>
          <t>CRESTCA30T2XL</t>
        </is>
      </c>
      <c r="B3616" t="inlineStr">
        <is>
          <t>[CRESTCA30T2XL] RETRO VZLA CAB (Gris/Crew, 2XL)</t>
        </is>
      </c>
      <c r="C3616" t="inlineStr">
        <is>
          <t>CAB / RETRO VZLA</t>
        </is>
      </c>
      <c r="D3616" t="n">
        <v>0</v>
      </c>
      <c r="E3616" t="n">
        <v>0</v>
      </c>
      <c r="F3616" t="n">
        <v>1.000010015470635</v>
      </c>
      <c r="G3616" t="inlineStr">
        <is>
          <t>C</t>
        </is>
      </c>
      <c r="H3616" t="n">
        <v>2</v>
      </c>
      <c r="I3616" t="n">
        <v>0</v>
      </c>
      <c r="J3616" t="n">
        <v>0</v>
      </c>
      <c r="K3616" t="n">
        <v>0</v>
      </c>
      <c r="L3616" t="n">
        <v>999</v>
      </c>
      <c r="M3616" t="n">
        <v>4</v>
      </c>
      <c r="N3616" t="n">
        <v>0</v>
      </c>
      <c r="O3616" t="n">
        <v>2</v>
      </c>
      <c r="P3616" t="n">
        <v>0</v>
      </c>
      <c r="Q3616" t="n">
        <v>0</v>
      </c>
      <c r="R3616" t="inlineStr">
        <is>
          <t>Sin rotación</t>
        </is>
      </c>
    </row>
    <row r="3617">
      <c r="A3617" t="inlineStr">
        <is>
          <t>CRESTCA16T2XL</t>
        </is>
      </c>
      <c r="B3617" t="inlineStr">
        <is>
          <t>[CRESTCA16T2XL] RETRO VZLA CAB (Blanco/Crew, 2XL)</t>
        </is>
      </c>
      <c r="C3617" t="inlineStr">
        <is>
          <t>CAB / RETRO VZLA</t>
        </is>
      </c>
      <c r="D3617" t="n">
        <v>0</v>
      </c>
      <c r="E3617" t="n">
        <v>0</v>
      </c>
      <c r="F3617" t="n">
        <v>1.000010015470635</v>
      </c>
      <c r="G3617" t="inlineStr">
        <is>
          <t>C</t>
        </is>
      </c>
      <c r="H3617" t="n">
        <v>1</v>
      </c>
      <c r="I3617" t="n">
        <v>0</v>
      </c>
      <c r="J3617" t="n">
        <v>0</v>
      </c>
      <c r="K3617" t="n">
        <v>0</v>
      </c>
      <c r="L3617" t="n">
        <v>999</v>
      </c>
      <c r="M3617" t="n">
        <v>4</v>
      </c>
      <c r="N3617" t="n">
        <v>0</v>
      </c>
      <c r="O3617" t="n">
        <v>1</v>
      </c>
      <c r="P3617" t="n">
        <v>0</v>
      </c>
      <c r="Q3617" t="n">
        <v>0</v>
      </c>
      <c r="R3617" t="inlineStr">
        <is>
          <t>Sin rotación</t>
        </is>
      </c>
    </row>
    <row r="3618">
      <c r="A3618" t="inlineStr">
        <is>
          <t>CLMSUCA17TS</t>
        </is>
      </c>
      <c r="B3618" t="inlineStr">
        <is>
          <t>CLASICA MOTION CAB</t>
        </is>
      </c>
      <c r="C3618" t="inlineStr">
        <is>
          <t>Manufactura / Caballero / P. Superiores</t>
        </is>
      </c>
      <c r="D3618" t="n">
        <v>0</v>
      </c>
      <c r="E3618" t="n">
        <v>0</v>
      </c>
      <c r="F3618" t="n">
        <v>1.000010015470635</v>
      </c>
      <c r="G3618" t="inlineStr">
        <is>
          <t>C</t>
        </is>
      </c>
      <c r="H3618" t="n">
        <v>0</v>
      </c>
      <c r="I3618" t="n">
        <v>12.26</v>
      </c>
      <c r="J3618" t="n">
        <v>0</v>
      </c>
      <c r="K3618" t="n">
        <v>0.1</v>
      </c>
      <c r="L3618" t="n">
        <v>0</v>
      </c>
      <c r="M3618" t="n">
        <v>4</v>
      </c>
      <c r="N3618" t="n">
        <v>0.4</v>
      </c>
      <c r="O3618" t="n">
        <v>0</v>
      </c>
      <c r="P3618" t="n">
        <v>0</v>
      </c>
      <c r="Q3618" t="n">
        <v>0</v>
      </c>
      <c r="R3618" t="inlineStr">
        <is>
          <t>Sin rotación</t>
        </is>
      </c>
    </row>
    <row r="3619">
      <c r="A3619" t="inlineStr">
        <is>
          <t>CLAMICA50TL</t>
        </is>
      </c>
      <c r="B3619" t="inlineStr">
        <is>
          <t>CLASICA ORIGINAL CAB</t>
        </is>
      </c>
      <c r="C3619" t="inlineStr">
        <is>
          <t>Manufactura / Caballero / P. Superiores</t>
        </is>
      </c>
      <c r="D3619" t="n">
        <v>0</v>
      </c>
      <c r="E3619" t="n">
        <v>0</v>
      </c>
      <c r="F3619" t="n">
        <v>1.000010015470635</v>
      </c>
      <c r="G3619" t="inlineStr">
        <is>
          <t>C</t>
        </is>
      </c>
      <c r="H3619" t="n">
        <v>1</v>
      </c>
      <c r="I3619" t="n">
        <v>4.598442536</v>
      </c>
      <c r="J3619" t="n">
        <v>4.598442536</v>
      </c>
      <c r="K3619" t="n">
        <v>0.1</v>
      </c>
      <c r="L3619" t="n">
        <v>10</v>
      </c>
      <c r="M3619" t="n">
        <v>4</v>
      </c>
      <c r="N3619" t="n">
        <v>0.4</v>
      </c>
      <c r="O3619" t="n">
        <v>0.6</v>
      </c>
      <c r="P3619" t="n">
        <v>2.7590655216</v>
      </c>
      <c r="Q3619" t="n">
        <v>0.6</v>
      </c>
      <c r="R3619" t="inlineStr">
        <is>
          <t>Sobrestock crítico</t>
        </is>
      </c>
    </row>
    <row r="3620">
      <c r="A3620" t="inlineStr">
        <is>
          <t>STIRESM</t>
        </is>
      </c>
      <c r="B3620" t="inlineStr">
        <is>
          <t>[STIRESM] STICKER (Regalo)</t>
        </is>
      </c>
      <c r="C3620" t="inlineStr">
        <is>
          <t>STICKER</t>
        </is>
      </c>
      <c r="D3620" t="n">
        <v>0</v>
      </c>
      <c r="E3620" t="n">
        <v>0</v>
      </c>
      <c r="F3620" t="n">
        <v>1.000010015470635</v>
      </c>
      <c r="G3620" t="inlineStr">
        <is>
          <t>C</t>
        </is>
      </c>
      <c r="H3620" t="n">
        <v>50</v>
      </c>
      <c r="I3620" t="n">
        <v>0</v>
      </c>
      <c r="J3620" t="n">
        <v>0</v>
      </c>
      <c r="K3620" t="n">
        <v>0</v>
      </c>
      <c r="L3620" t="n">
        <v>999</v>
      </c>
      <c r="M3620" t="n">
        <v>4</v>
      </c>
      <c r="N3620" t="n">
        <v>0</v>
      </c>
      <c r="O3620" t="n">
        <v>50</v>
      </c>
      <c r="P3620" t="n">
        <v>0</v>
      </c>
      <c r="Q3620" t="n">
        <v>0</v>
      </c>
      <c r="R3620" t="inlineStr">
        <is>
          <t>Sin rotación</t>
        </is>
      </c>
    </row>
    <row r="3621">
      <c r="A3621" t="inlineStr">
        <is>
          <t>STESPKI30T4</t>
        </is>
      </c>
      <c r="B3621" t="inlineStr">
        <is>
          <t>[STESPKI30T4] FALDA STEFFI KIDS (Gris Claro, 4)</t>
        </is>
      </c>
      <c r="C3621" t="inlineStr">
        <is>
          <t>KIDS / FALDA STEFFI</t>
        </is>
      </c>
      <c r="D3621" t="n">
        <v>0</v>
      </c>
      <c r="E3621" t="n">
        <v>0</v>
      </c>
      <c r="F3621" t="n">
        <v>1.000010015470635</v>
      </c>
      <c r="G3621" t="inlineStr">
        <is>
          <t>C</t>
        </is>
      </c>
      <c r="H3621" t="n">
        <v>2</v>
      </c>
      <c r="I3621" t="n">
        <v>0</v>
      </c>
      <c r="J3621" t="n">
        <v>0</v>
      </c>
      <c r="K3621" t="n">
        <v>0</v>
      </c>
      <c r="L3621" t="n">
        <v>999</v>
      </c>
      <c r="M3621" t="n">
        <v>4</v>
      </c>
      <c r="N3621" t="n">
        <v>0</v>
      </c>
      <c r="O3621" t="n">
        <v>2</v>
      </c>
      <c r="P3621" t="n">
        <v>0</v>
      </c>
      <c r="Q3621" t="n">
        <v>0</v>
      </c>
      <c r="R3621" t="inlineStr">
        <is>
          <t>Sin rotación</t>
        </is>
      </c>
    </row>
    <row r="3622">
      <c r="A3622" t="inlineStr">
        <is>
          <t>MIAMIDA43TXS</t>
        </is>
      </c>
      <c r="B3622" t="inlineStr">
        <is>
          <t>MIA ORIGINAL DAMA</t>
        </is>
      </c>
      <c r="C3622" t="inlineStr">
        <is>
          <t>Manufactura / Dama / P. Superiores</t>
        </is>
      </c>
      <c r="D3622" t="n">
        <v>0</v>
      </c>
      <c r="E3622" t="n">
        <v>0</v>
      </c>
      <c r="F3622" t="n">
        <v>1.000010015470635</v>
      </c>
      <c r="G3622" t="inlineStr">
        <is>
          <t>C</t>
        </is>
      </c>
      <c r="H3622" t="n">
        <v>0</v>
      </c>
      <c r="I3622" t="n">
        <v>3.94</v>
      </c>
      <c r="J3622" t="n">
        <v>0</v>
      </c>
      <c r="K3622" t="n">
        <v>0.1</v>
      </c>
      <c r="L3622" t="n">
        <v>0</v>
      </c>
      <c r="M3622" t="n">
        <v>4</v>
      </c>
      <c r="N3622" t="n">
        <v>0.4</v>
      </c>
      <c r="O3622" t="n">
        <v>0</v>
      </c>
      <c r="P3622" t="n">
        <v>0</v>
      </c>
      <c r="Q3622" t="n">
        <v>0</v>
      </c>
      <c r="R3622" t="inlineStr">
        <is>
          <t>Sin rotación</t>
        </is>
      </c>
    </row>
    <row r="3623">
      <c r="A3623" t="inlineStr">
        <is>
          <t>CLAMICA53TM</t>
        </is>
      </c>
      <c r="B3623" t="inlineStr">
        <is>
          <t>CLASICA ORIGINAL CAB</t>
        </is>
      </c>
      <c r="C3623" t="inlineStr">
        <is>
          <t>Manufactura / Caballero / P. Superiores</t>
        </is>
      </c>
      <c r="D3623" t="n">
        <v>0</v>
      </c>
      <c r="E3623" t="n">
        <v>0</v>
      </c>
      <c r="F3623" t="n">
        <v>1.000010015470635</v>
      </c>
      <c r="G3623" t="inlineStr">
        <is>
          <t>C</t>
        </is>
      </c>
      <c r="H3623" t="n">
        <v>0</v>
      </c>
      <c r="I3623" t="n">
        <v>4.598442536</v>
      </c>
      <c r="J3623" t="n">
        <v>0</v>
      </c>
      <c r="K3623" t="n">
        <v>0.1</v>
      </c>
      <c r="L3623" t="n">
        <v>0</v>
      </c>
      <c r="M3623" t="n">
        <v>4</v>
      </c>
      <c r="N3623" t="n">
        <v>0.4</v>
      </c>
      <c r="O3623" t="n">
        <v>0</v>
      </c>
      <c r="P3623" t="n">
        <v>0</v>
      </c>
      <c r="Q3623" t="n">
        <v>0</v>
      </c>
      <c r="R3623" t="inlineStr">
        <is>
          <t>Sin rotación</t>
        </is>
      </c>
    </row>
    <row r="3624">
      <c r="A3624" t="inlineStr">
        <is>
          <t>CLAMICA52TS</t>
        </is>
      </c>
      <c r="B3624" t="inlineStr">
        <is>
          <t>CLASICA ORIGINAL CAB</t>
        </is>
      </c>
      <c r="C3624" t="inlineStr">
        <is>
          <t>Manufactura / Caballero / P. Superiores</t>
        </is>
      </c>
      <c r="D3624" t="n">
        <v>0</v>
      </c>
      <c r="E3624" t="n">
        <v>0</v>
      </c>
      <c r="F3624" t="n">
        <v>1.000010015470635</v>
      </c>
      <c r="G3624" t="inlineStr">
        <is>
          <t>C</t>
        </is>
      </c>
      <c r="H3624" t="n">
        <v>0</v>
      </c>
      <c r="I3624" t="n">
        <v>4.598442536</v>
      </c>
      <c r="J3624" t="n">
        <v>0</v>
      </c>
      <c r="K3624" t="n">
        <v>1.2</v>
      </c>
      <c r="L3624" t="n">
        <v>0</v>
      </c>
      <c r="M3624" t="n">
        <v>4</v>
      </c>
      <c r="N3624" t="n">
        <v>4.8</v>
      </c>
      <c r="O3624" t="n">
        <v>0</v>
      </c>
      <c r="P3624" t="n">
        <v>0</v>
      </c>
      <c r="Q3624" t="n">
        <v>0</v>
      </c>
      <c r="R3624" t="inlineStr">
        <is>
          <t>Riesgo bajo stock</t>
        </is>
      </c>
    </row>
    <row r="3625">
      <c r="A3625" t="inlineStr">
        <is>
          <t>SSR2VIU70TS</t>
        </is>
      </c>
      <c r="B3625" t="inlineStr">
        <is>
          <t>[SSR2VIU70TS] R2 SPORT  5" (Vinotinto, S)</t>
        </is>
      </c>
      <c r="C3625" t="inlineStr">
        <is>
          <t>R2 SPORT  5"</t>
        </is>
      </c>
      <c r="D3625" t="n">
        <v>0</v>
      </c>
      <c r="E3625" t="n">
        <v>0</v>
      </c>
      <c r="F3625" t="n">
        <v>1.000010015470635</v>
      </c>
      <c r="G3625" t="inlineStr">
        <is>
          <t>C</t>
        </is>
      </c>
      <c r="H3625" t="n">
        <v>2</v>
      </c>
      <c r="I3625" t="n">
        <v>0</v>
      </c>
      <c r="J3625" t="n">
        <v>0</v>
      </c>
      <c r="K3625" t="n">
        <v>0</v>
      </c>
      <c r="L3625" t="n">
        <v>999</v>
      </c>
      <c r="M3625" t="n">
        <v>4</v>
      </c>
      <c r="N3625" t="n">
        <v>0</v>
      </c>
      <c r="O3625" t="n">
        <v>2</v>
      </c>
      <c r="P3625" t="n">
        <v>0</v>
      </c>
      <c r="Q3625" t="n">
        <v>0</v>
      </c>
      <c r="R3625" t="inlineStr">
        <is>
          <t>Sin rotación</t>
        </is>
      </c>
    </row>
    <row r="3626">
      <c r="A3626" t="inlineStr">
        <is>
          <t>SSR2VIU70TM</t>
        </is>
      </c>
      <c r="B3626" t="inlineStr">
        <is>
          <t>R2 SPORT  5"</t>
        </is>
      </c>
      <c r="C3626" t="inlineStr">
        <is>
          <t>Manufactura / General</t>
        </is>
      </c>
      <c r="D3626" t="n">
        <v>0</v>
      </c>
      <c r="E3626" t="n">
        <v>0</v>
      </c>
      <c r="F3626" t="n">
        <v>1.000010015470635</v>
      </c>
      <c r="G3626" t="inlineStr">
        <is>
          <t>C</t>
        </is>
      </c>
      <c r="H3626" t="n">
        <v>17</v>
      </c>
      <c r="I3626" t="n">
        <v>5.09</v>
      </c>
      <c r="J3626" t="n">
        <v>86.53</v>
      </c>
      <c r="K3626" t="n">
        <v>0.1</v>
      </c>
      <c r="L3626" t="n">
        <v>170</v>
      </c>
      <c r="M3626" t="n">
        <v>4</v>
      </c>
      <c r="N3626" t="n">
        <v>0.4</v>
      </c>
      <c r="O3626" t="n">
        <v>16.6</v>
      </c>
      <c r="P3626" t="n">
        <v>84.494</v>
      </c>
      <c r="Q3626" t="n">
        <v>0.9764705882352941</v>
      </c>
      <c r="R3626" t="inlineStr">
        <is>
          <t>Sobrestock crítico</t>
        </is>
      </c>
    </row>
    <row r="3627">
      <c r="A3627" t="inlineStr">
        <is>
          <t>SRR2VIU43TS</t>
        </is>
      </c>
      <c r="B3627" t="inlineStr">
        <is>
          <t>[SRR2VIU43TS] R2 RUNNING 3,5" (Negro, S)</t>
        </is>
      </c>
      <c r="C3627" t="inlineStr">
        <is>
          <t>R2 RUNNING 3,5"</t>
        </is>
      </c>
      <c r="D3627" t="n">
        <v>0</v>
      </c>
      <c r="E3627" t="n">
        <v>0</v>
      </c>
      <c r="F3627" t="n">
        <v>1.000010015470635</v>
      </c>
      <c r="G3627" t="inlineStr">
        <is>
          <t>C</t>
        </is>
      </c>
      <c r="H3627" t="n">
        <v>11</v>
      </c>
      <c r="I3627" t="n">
        <v>0</v>
      </c>
      <c r="J3627" t="n">
        <v>0</v>
      </c>
      <c r="K3627" t="n">
        <v>0</v>
      </c>
      <c r="L3627" t="n">
        <v>999</v>
      </c>
      <c r="M3627" t="n">
        <v>4</v>
      </c>
      <c r="N3627" t="n">
        <v>0</v>
      </c>
      <c r="O3627" t="n">
        <v>11</v>
      </c>
      <c r="P3627" t="n">
        <v>0</v>
      </c>
      <c r="Q3627" t="n">
        <v>0</v>
      </c>
      <c r="R3627" t="inlineStr">
        <is>
          <t>Sin rotación</t>
        </is>
      </c>
    </row>
    <row r="3628">
      <c r="A3628" t="inlineStr">
        <is>
          <t>SRR2VIU43TL</t>
        </is>
      </c>
      <c r="B3628" t="inlineStr">
        <is>
          <t>[SRR2VIU43TL] R2 RUNNING 3,5" (Negro, L)</t>
        </is>
      </c>
      <c r="C3628" t="inlineStr">
        <is>
          <t>R2 RUNNING 3,5"</t>
        </is>
      </c>
      <c r="D3628" t="n">
        <v>0</v>
      </c>
      <c r="E3628" t="n">
        <v>0</v>
      </c>
      <c r="F3628" t="n">
        <v>1.000010015470635</v>
      </c>
      <c r="G3628" t="inlineStr">
        <is>
          <t>C</t>
        </is>
      </c>
      <c r="H3628" t="n">
        <v>2</v>
      </c>
      <c r="I3628" t="n">
        <v>0</v>
      </c>
      <c r="J3628" t="n">
        <v>0</v>
      </c>
      <c r="K3628" t="n">
        <v>0</v>
      </c>
      <c r="L3628" t="n">
        <v>999</v>
      </c>
      <c r="M3628" t="n">
        <v>4</v>
      </c>
      <c r="N3628" t="n">
        <v>0</v>
      </c>
      <c r="O3628" t="n">
        <v>2</v>
      </c>
      <c r="P3628" t="n">
        <v>0</v>
      </c>
      <c r="Q3628" t="n">
        <v>0</v>
      </c>
      <c r="R3628" t="inlineStr">
        <is>
          <t>Sin rotación</t>
        </is>
      </c>
    </row>
    <row r="3629">
      <c r="A3629" t="inlineStr">
        <is>
          <t>SRR2VIU13TXS</t>
        </is>
      </c>
      <c r="B3629" t="inlineStr">
        <is>
          <t>[SRR2VIU13TXS] R2 RUNNING 3,5" (Azul Rey, XS)</t>
        </is>
      </c>
      <c r="C3629" t="inlineStr">
        <is>
          <t>R2 RUNNING 3,5"</t>
        </is>
      </c>
      <c r="D3629" t="n">
        <v>0</v>
      </c>
      <c r="E3629" t="n">
        <v>0</v>
      </c>
      <c r="F3629" t="n">
        <v>1.000010015470635</v>
      </c>
      <c r="G3629" t="inlineStr">
        <is>
          <t>C</t>
        </is>
      </c>
      <c r="H3629" t="n">
        <v>2</v>
      </c>
      <c r="I3629" t="n">
        <v>0</v>
      </c>
      <c r="J3629" t="n">
        <v>0</v>
      </c>
      <c r="K3629" t="n">
        <v>0</v>
      </c>
      <c r="L3629" t="n">
        <v>999</v>
      </c>
      <c r="M3629" t="n">
        <v>4</v>
      </c>
      <c r="N3629" t="n">
        <v>0</v>
      </c>
      <c r="O3629" t="n">
        <v>2</v>
      </c>
      <c r="P3629" t="n">
        <v>0</v>
      </c>
      <c r="Q3629" t="n">
        <v>0</v>
      </c>
      <c r="R3629" t="inlineStr">
        <is>
          <t>Sin rotación</t>
        </is>
      </c>
    </row>
    <row r="3630">
      <c r="A3630" t="inlineStr">
        <is>
          <t>SRR2VIU13TS</t>
        </is>
      </c>
      <c r="B3630" t="inlineStr">
        <is>
          <t>[SRR2VIU13TS] R2 RUNNING 3,5" (Azul Rey, S)</t>
        </is>
      </c>
      <c r="C3630" t="inlineStr">
        <is>
          <t>R2 RUNNING 3,5"</t>
        </is>
      </c>
      <c r="D3630" t="n">
        <v>0</v>
      </c>
      <c r="E3630" t="n">
        <v>0</v>
      </c>
      <c r="F3630" t="n">
        <v>1.000010015470635</v>
      </c>
      <c r="G3630" t="inlineStr">
        <is>
          <t>C</t>
        </is>
      </c>
      <c r="H3630" t="n">
        <v>24</v>
      </c>
      <c r="I3630" t="n">
        <v>0</v>
      </c>
      <c r="J3630" t="n">
        <v>0</v>
      </c>
      <c r="K3630" t="n">
        <v>0</v>
      </c>
      <c r="L3630" t="n">
        <v>999</v>
      </c>
      <c r="M3630" t="n">
        <v>4</v>
      </c>
      <c r="N3630" t="n">
        <v>0</v>
      </c>
      <c r="O3630" t="n">
        <v>24</v>
      </c>
      <c r="P3630" t="n">
        <v>0</v>
      </c>
      <c r="Q3630" t="n">
        <v>0</v>
      </c>
      <c r="R3630" t="inlineStr">
        <is>
          <t>Sin rotación</t>
        </is>
      </c>
    </row>
    <row r="3631">
      <c r="A3631" t="inlineStr">
        <is>
          <t>CLAMIKI70T10</t>
        </is>
      </c>
      <c r="B3631" t="inlineStr">
        <is>
          <t>[CLAMIKI70T10] CLASICA ORIGINAL KIDS (Vinotinto, 10)</t>
        </is>
      </c>
      <c r="C3631" t="inlineStr">
        <is>
          <t>KIDS / CLASICA ORIGINAL</t>
        </is>
      </c>
      <c r="D3631" t="n">
        <v>0</v>
      </c>
      <c r="E3631" t="n">
        <v>0</v>
      </c>
      <c r="F3631" t="n">
        <v>1.000010015470635</v>
      </c>
      <c r="G3631" t="inlineStr">
        <is>
          <t>C</t>
        </is>
      </c>
      <c r="H3631" t="n">
        <v>2</v>
      </c>
      <c r="I3631" t="n">
        <v>0</v>
      </c>
      <c r="J3631" t="n">
        <v>0</v>
      </c>
      <c r="K3631" t="n">
        <v>0</v>
      </c>
      <c r="L3631" t="n">
        <v>999</v>
      </c>
      <c r="M3631" t="n">
        <v>4</v>
      </c>
      <c r="N3631" t="n">
        <v>0</v>
      </c>
      <c r="O3631" t="n">
        <v>2</v>
      </c>
      <c r="P3631" t="n">
        <v>0</v>
      </c>
      <c r="Q3631" t="n">
        <v>0</v>
      </c>
      <c r="R3631" t="inlineStr">
        <is>
          <t>Sin rotación</t>
        </is>
      </c>
    </row>
    <row r="3632">
      <c r="A3632" t="inlineStr">
        <is>
          <t>CLAMIDA09TL</t>
        </is>
      </c>
      <c r="B3632" t="inlineStr">
        <is>
          <t>CLASICA ORIGINAL DAMA</t>
        </is>
      </c>
      <c r="C3632" t="inlineStr">
        <is>
          <t>Manufactura / Dama / P. Superiores</t>
        </is>
      </c>
      <c r="D3632" t="n">
        <v>0</v>
      </c>
      <c r="E3632" t="n">
        <v>0</v>
      </c>
      <c r="F3632" t="n">
        <v>1.000010015470635</v>
      </c>
      <c r="G3632" t="inlineStr">
        <is>
          <t>C</t>
        </is>
      </c>
      <c r="H3632" t="n">
        <v>0</v>
      </c>
      <c r="I3632" t="n">
        <v>3.923227589</v>
      </c>
      <c r="J3632" t="n">
        <v>0</v>
      </c>
      <c r="K3632" t="n">
        <v>1.6</v>
      </c>
      <c r="L3632" t="n">
        <v>0</v>
      </c>
      <c r="M3632" t="n">
        <v>4</v>
      </c>
      <c r="N3632" t="n">
        <v>6.4</v>
      </c>
      <c r="O3632" t="n">
        <v>0</v>
      </c>
      <c r="P3632" t="n">
        <v>0</v>
      </c>
      <c r="Q3632" t="n">
        <v>0</v>
      </c>
      <c r="R3632" t="inlineStr">
        <is>
          <t>Riesgo bajo stock</t>
        </is>
      </c>
    </row>
    <row r="3633">
      <c r="A3633" t="inlineStr">
        <is>
          <t>DACSTDA16TM</t>
        </is>
      </c>
      <c r="B3633" t="inlineStr">
        <is>
          <t>CLASICA DAILY DAMA</t>
        </is>
      </c>
      <c r="C3633" t="inlineStr">
        <is>
          <t>Manufactura / Dama / P. Superiores</t>
        </is>
      </c>
      <c r="D3633" t="n">
        <v>0</v>
      </c>
      <c r="E3633" t="n">
        <v>0</v>
      </c>
      <c r="F3633" t="n">
        <v>1.000010015470635</v>
      </c>
      <c r="G3633" t="inlineStr">
        <is>
          <t>C</t>
        </is>
      </c>
      <c r="H3633" t="n">
        <v>0</v>
      </c>
      <c r="I3633" t="n">
        <v>9.27</v>
      </c>
      <c r="J3633" t="n">
        <v>0</v>
      </c>
      <c r="K3633" t="n">
        <v>0.1</v>
      </c>
      <c r="L3633" t="n">
        <v>0</v>
      </c>
      <c r="M3633" t="n">
        <v>4</v>
      </c>
      <c r="N3633" t="n">
        <v>0.4</v>
      </c>
      <c r="O3633" t="n">
        <v>0</v>
      </c>
      <c r="P3633" t="n">
        <v>0</v>
      </c>
      <c r="Q3633" t="n">
        <v>0</v>
      </c>
      <c r="R3633" t="inlineStr">
        <is>
          <t>Sin rotación</t>
        </is>
      </c>
    </row>
    <row r="3634">
      <c r="A3634" t="inlineStr">
        <is>
          <t>CLAMICA48TM</t>
        </is>
      </c>
      <c r="B3634" t="inlineStr">
        <is>
          <t>CLASICA ORIGINAL CAB</t>
        </is>
      </c>
      <c r="C3634" t="inlineStr">
        <is>
          <t>Manufactura / Caballero / P. Superiores</t>
        </is>
      </c>
      <c r="D3634" t="n">
        <v>0</v>
      </c>
      <c r="E3634" t="n">
        <v>0</v>
      </c>
      <c r="F3634" t="n">
        <v>1.000010015470635</v>
      </c>
      <c r="G3634" t="inlineStr">
        <is>
          <t>C</t>
        </is>
      </c>
      <c r="H3634" t="n">
        <v>0</v>
      </c>
      <c r="I3634" t="n">
        <v>4.598442536</v>
      </c>
      <c r="J3634" t="n">
        <v>0</v>
      </c>
      <c r="K3634" t="n">
        <v>0.1</v>
      </c>
      <c r="L3634" t="n">
        <v>0</v>
      </c>
      <c r="M3634" t="n">
        <v>4</v>
      </c>
      <c r="N3634" t="n">
        <v>0.4</v>
      </c>
      <c r="O3634" t="n">
        <v>0</v>
      </c>
      <c r="P3634" t="n">
        <v>0</v>
      </c>
      <c r="Q3634" t="n">
        <v>0</v>
      </c>
      <c r="R3634" t="inlineStr">
        <is>
          <t>Sin rotación</t>
        </is>
      </c>
    </row>
    <row r="3635">
      <c r="A3635" t="inlineStr">
        <is>
          <t>CLAMICA34TXL</t>
        </is>
      </c>
      <c r="B3635" t="inlineStr">
        <is>
          <t>CLASICA ORIGINAL CAB</t>
        </is>
      </c>
      <c r="C3635" t="inlineStr">
        <is>
          <t>Manufactura / Caballero / P. Superiores</t>
        </is>
      </c>
      <c r="D3635" t="n">
        <v>0</v>
      </c>
      <c r="E3635" t="n">
        <v>0</v>
      </c>
      <c r="F3635" t="n">
        <v>1.000010015470635</v>
      </c>
      <c r="G3635" t="inlineStr">
        <is>
          <t>C</t>
        </is>
      </c>
      <c r="H3635" t="n">
        <v>0</v>
      </c>
      <c r="I3635" t="n">
        <v>4.598442536</v>
      </c>
      <c r="J3635" t="n">
        <v>0</v>
      </c>
      <c r="K3635" t="n">
        <v>0</v>
      </c>
      <c r="L3635" t="n">
        <v>0</v>
      </c>
      <c r="M3635" t="n">
        <v>4</v>
      </c>
      <c r="N3635" t="n">
        <v>0</v>
      </c>
      <c r="O3635" t="n">
        <v>0</v>
      </c>
      <c r="P3635" t="n">
        <v>0</v>
      </c>
      <c r="Q3635" t="n">
        <v>0</v>
      </c>
      <c r="R3635" t="inlineStr">
        <is>
          <t>Riesgo bajo stock</t>
        </is>
      </c>
    </row>
    <row r="3636">
      <c r="A3636" t="inlineStr">
        <is>
          <t>CLAMICA34T2XL</t>
        </is>
      </c>
      <c r="B3636" t="inlineStr">
        <is>
          <t>[CLAMICA34T2XL] CLASICA ORIGINAL CAB (Lila, 2XL)</t>
        </is>
      </c>
      <c r="C3636" t="inlineStr">
        <is>
          <t>CAB / CLASICA ORIGINAL</t>
        </is>
      </c>
      <c r="D3636" t="n">
        <v>0</v>
      </c>
      <c r="E3636" t="n">
        <v>0</v>
      </c>
      <c r="F3636" t="n">
        <v>1.000010015470635</v>
      </c>
      <c r="G3636" t="inlineStr">
        <is>
          <t>C</t>
        </is>
      </c>
      <c r="H3636" t="n">
        <v>1</v>
      </c>
      <c r="I3636" t="n">
        <v>0</v>
      </c>
      <c r="J3636" t="n">
        <v>0</v>
      </c>
      <c r="K3636" t="n">
        <v>0</v>
      </c>
      <c r="L3636" t="n">
        <v>999</v>
      </c>
      <c r="M3636" t="n">
        <v>4</v>
      </c>
      <c r="N3636" t="n">
        <v>0</v>
      </c>
      <c r="O3636" t="n">
        <v>1</v>
      </c>
      <c r="P3636" t="n">
        <v>0</v>
      </c>
      <c r="Q3636" t="n">
        <v>0</v>
      </c>
      <c r="R3636" t="inlineStr">
        <is>
          <t>Sin rotación</t>
        </is>
      </c>
    </row>
    <row r="3637">
      <c r="A3637" t="inlineStr">
        <is>
          <t>CLAMICA28TL</t>
        </is>
      </c>
      <c r="B3637" t="inlineStr">
        <is>
          <t>CLASICA ORIGINAL CAB</t>
        </is>
      </c>
      <c r="C3637" t="inlineStr">
        <is>
          <t>Manufactura / Caballero / P. Superiores</t>
        </is>
      </c>
      <c r="D3637" t="n">
        <v>0</v>
      </c>
      <c r="E3637" t="n">
        <v>0</v>
      </c>
      <c r="F3637" t="n">
        <v>1.000010015470635</v>
      </c>
      <c r="G3637" t="inlineStr">
        <is>
          <t>C</t>
        </is>
      </c>
      <c r="H3637" t="n">
        <v>0</v>
      </c>
      <c r="I3637" t="n">
        <v>4.598442536</v>
      </c>
      <c r="J3637" t="n">
        <v>0</v>
      </c>
      <c r="K3637" t="n">
        <v>0.1</v>
      </c>
      <c r="L3637" t="n">
        <v>0</v>
      </c>
      <c r="M3637" t="n">
        <v>4</v>
      </c>
      <c r="N3637" t="n">
        <v>0.4</v>
      </c>
      <c r="O3637" t="n">
        <v>0</v>
      </c>
      <c r="P3637" t="n">
        <v>0</v>
      </c>
      <c r="Q3637" t="n">
        <v>0</v>
      </c>
      <c r="R3637" t="inlineStr">
        <is>
          <t>Sin rotación</t>
        </is>
      </c>
    </row>
    <row r="3638">
      <c r="A3638" t="inlineStr">
        <is>
          <t>TALGOTACA167TXL</t>
        </is>
      </c>
      <c r="B3638" t="inlineStr">
        <is>
          <t>[TALGOTACA167TXL] URBAN COTTON OVERSIZED VINTAGE GRIS CAB (XL)</t>
        </is>
      </c>
      <c r="C3638" t="inlineStr">
        <is>
          <t>CAB / URBAN COTTON OVERSIZED VINTAGE GRIS</t>
        </is>
      </c>
      <c r="D3638" t="n">
        <v>0</v>
      </c>
      <c r="E3638" t="n">
        <v>0</v>
      </c>
      <c r="F3638" t="n">
        <v>1.000010015470635</v>
      </c>
      <c r="G3638" t="inlineStr">
        <is>
          <t>C</t>
        </is>
      </c>
      <c r="H3638" t="n">
        <v>26</v>
      </c>
      <c r="I3638" t="n">
        <v>0</v>
      </c>
      <c r="J3638" t="n">
        <v>0</v>
      </c>
      <c r="K3638" t="n">
        <v>0</v>
      </c>
      <c r="L3638" t="n">
        <v>999</v>
      </c>
      <c r="M3638" t="n">
        <v>4</v>
      </c>
      <c r="N3638" t="n">
        <v>0</v>
      </c>
      <c r="O3638" t="n">
        <v>26</v>
      </c>
      <c r="P3638" t="n">
        <v>0</v>
      </c>
      <c r="Q3638" t="n">
        <v>0</v>
      </c>
      <c r="R3638" t="inlineStr">
        <is>
          <t>Sin rotación</t>
        </is>
      </c>
    </row>
    <row r="3639">
      <c r="A3639" t="inlineStr">
        <is>
          <t>DALSSTKI30T10</t>
        </is>
      </c>
      <c r="B3639" t="inlineStr">
        <is>
          <t>[DALSSTKI30T10] MANGA LARGA DAILY 2.0 KIDS (Gris Claro, 10)</t>
        </is>
      </c>
      <c r="C3639" t="inlineStr">
        <is>
          <t>KIDS / MANGA LARGA DAILY 2.0</t>
        </is>
      </c>
      <c r="D3639" t="n">
        <v>0</v>
      </c>
      <c r="E3639" t="n">
        <v>0</v>
      </c>
      <c r="F3639" t="n">
        <v>1.000010015470635</v>
      </c>
      <c r="G3639" t="inlineStr">
        <is>
          <t>C</t>
        </is>
      </c>
      <c r="H3639" t="n">
        <v>2</v>
      </c>
      <c r="I3639" t="n">
        <v>0</v>
      </c>
      <c r="J3639" t="n">
        <v>0</v>
      </c>
      <c r="K3639" t="n">
        <v>0</v>
      </c>
      <c r="L3639" t="n">
        <v>999</v>
      </c>
      <c r="M3639" t="n">
        <v>4</v>
      </c>
      <c r="N3639" t="n">
        <v>0</v>
      </c>
      <c r="O3639" t="n">
        <v>2</v>
      </c>
      <c r="P3639" t="n">
        <v>0</v>
      </c>
      <c r="Q3639" t="n">
        <v>0</v>
      </c>
      <c r="R3639" t="inlineStr">
        <is>
          <t>Sin rotación</t>
        </is>
      </c>
    </row>
    <row r="3640">
      <c r="A3640" t="inlineStr">
        <is>
          <t>DALSSTKI16T8</t>
        </is>
      </c>
      <c r="B3640" t="inlineStr">
        <is>
          <t>[DALSSTKI16T8] MANGA LARGA DAILY 2.0 KIDS (Blanco, 8)</t>
        </is>
      </c>
      <c r="C3640" t="inlineStr">
        <is>
          <t>KIDS / MANGA LARGA DAILY 2.0</t>
        </is>
      </c>
      <c r="D3640" t="n">
        <v>0</v>
      </c>
      <c r="E3640" t="n">
        <v>0</v>
      </c>
      <c r="F3640" t="n">
        <v>1.000010015470635</v>
      </c>
      <c r="G3640" t="inlineStr">
        <is>
          <t>C</t>
        </is>
      </c>
      <c r="H3640" t="n">
        <v>2</v>
      </c>
      <c r="I3640" t="n">
        <v>0</v>
      </c>
      <c r="J3640" t="n">
        <v>0</v>
      </c>
      <c r="K3640" t="n">
        <v>0</v>
      </c>
      <c r="L3640" t="n">
        <v>999</v>
      </c>
      <c r="M3640" t="n">
        <v>4</v>
      </c>
      <c r="N3640" t="n">
        <v>0</v>
      </c>
      <c r="O3640" t="n">
        <v>2</v>
      </c>
      <c r="P3640" t="n">
        <v>0</v>
      </c>
      <c r="Q3640" t="n">
        <v>0</v>
      </c>
      <c r="R3640" t="inlineStr">
        <is>
          <t>Sin rotación</t>
        </is>
      </c>
    </row>
    <row r="3641">
      <c r="A3641" t="inlineStr">
        <is>
          <t>DALSSTKI16T2</t>
        </is>
      </c>
      <c r="B3641" t="inlineStr">
        <is>
          <t>[DALSSTKI16T2] MANGA LARGA DAILY 2.0 KIDS (Blanco, 2)</t>
        </is>
      </c>
      <c r="C3641" t="inlineStr">
        <is>
          <t>KIDS / MANGA LARGA DAILY 2.0</t>
        </is>
      </c>
      <c r="D3641" t="n">
        <v>0</v>
      </c>
      <c r="E3641" t="n">
        <v>0</v>
      </c>
      <c r="F3641" t="n">
        <v>1.000010015470635</v>
      </c>
      <c r="G3641" t="inlineStr">
        <is>
          <t>C</t>
        </is>
      </c>
      <c r="H3641" t="n">
        <v>1</v>
      </c>
      <c r="I3641" t="n">
        <v>0</v>
      </c>
      <c r="J3641" t="n">
        <v>0</v>
      </c>
      <c r="K3641" t="n">
        <v>0</v>
      </c>
      <c r="L3641" t="n">
        <v>999</v>
      </c>
      <c r="M3641" t="n">
        <v>4</v>
      </c>
      <c r="N3641" t="n">
        <v>0</v>
      </c>
      <c r="O3641" t="n">
        <v>1</v>
      </c>
      <c r="P3641" t="n">
        <v>0</v>
      </c>
      <c r="Q3641" t="n">
        <v>0</v>
      </c>
      <c r="R3641" t="inlineStr">
        <is>
          <t>Sin rotación</t>
        </is>
      </c>
    </row>
    <row r="3642">
      <c r="A3642" t="inlineStr">
        <is>
          <t>DALSSTKI16T12</t>
        </is>
      </c>
      <c r="B3642" t="inlineStr">
        <is>
          <t>[DALSSTKI16T12] MANGA LARGA DAILY 2.0 KIDS (Blanco, 12)</t>
        </is>
      </c>
      <c r="C3642" t="inlineStr">
        <is>
          <t>KIDS / MANGA LARGA DAILY 2.0</t>
        </is>
      </c>
      <c r="D3642" t="n">
        <v>0</v>
      </c>
      <c r="E3642" t="n">
        <v>0</v>
      </c>
      <c r="F3642" t="n">
        <v>1.000010015470635</v>
      </c>
      <c r="G3642" t="inlineStr">
        <is>
          <t>C</t>
        </is>
      </c>
      <c r="H3642" t="n">
        <v>5</v>
      </c>
      <c r="I3642" t="n">
        <v>0</v>
      </c>
      <c r="J3642" t="n">
        <v>0</v>
      </c>
      <c r="K3642" t="n">
        <v>0</v>
      </c>
      <c r="L3642" t="n">
        <v>999</v>
      </c>
      <c r="M3642" t="n">
        <v>4</v>
      </c>
      <c r="N3642" t="n">
        <v>0</v>
      </c>
      <c r="O3642" t="n">
        <v>5</v>
      </c>
      <c r="P3642" t="n">
        <v>0</v>
      </c>
      <c r="Q3642" t="n">
        <v>0</v>
      </c>
      <c r="R3642" t="inlineStr">
        <is>
          <t>Sin rotación</t>
        </is>
      </c>
    </row>
    <row r="3643">
      <c r="A3643" t="inlineStr">
        <is>
          <t>DALSSTKI16T10</t>
        </is>
      </c>
      <c r="B3643" t="inlineStr">
        <is>
          <t>[DALSSTKI16T10] MANGA LARGA DAILY 2.0 KIDS (Blanco, 10)</t>
        </is>
      </c>
      <c r="C3643" t="inlineStr">
        <is>
          <t>KIDS / MANGA LARGA DAILY 2.0</t>
        </is>
      </c>
      <c r="D3643" t="n">
        <v>0</v>
      </c>
      <c r="E3643" t="n">
        <v>0</v>
      </c>
      <c r="F3643" t="n">
        <v>1.000010015470635</v>
      </c>
      <c r="G3643" t="inlineStr">
        <is>
          <t>C</t>
        </is>
      </c>
      <c r="H3643" t="n">
        <v>1</v>
      </c>
      <c r="I3643" t="n">
        <v>0</v>
      </c>
      <c r="J3643" t="n">
        <v>0</v>
      </c>
      <c r="K3643" t="n">
        <v>0</v>
      </c>
      <c r="L3643" t="n">
        <v>999</v>
      </c>
      <c r="M3643" t="n">
        <v>4</v>
      </c>
      <c r="N3643" t="n">
        <v>0</v>
      </c>
      <c r="O3643" t="n">
        <v>1</v>
      </c>
      <c r="P3643" t="n">
        <v>0</v>
      </c>
      <c r="Q3643" t="n">
        <v>0</v>
      </c>
      <c r="R3643" t="inlineStr">
        <is>
          <t>Sin rotación</t>
        </is>
      </c>
    </row>
    <row r="3644">
      <c r="A3644" t="inlineStr">
        <is>
          <t>DALSSTDA43TL</t>
        </is>
      </c>
      <c r="B3644" t="inlineStr">
        <is>
          <t>[DALSSTDA43TL] MANGA LARGA DAILY 2.0 DAMA (Negro, L)</t>
        </is>
      </c>
      <c r="C3644" t="inlineStr">
        <is>
          <t>DAMA / MANGA LARGA DAILY 2.0</t>
        </is>
      </c>
      <c r="D3644" t="n">
        <v>0</v>
      </c>
      <c r="E3644" t="n">
        <v>0</v>
      </c>
      <c r="F3644" t="n">
        <v>1.000010015470635</v>
      </c>
      <c r="G3644" t="inlineStr">
        <is>
          <t>C</t>
        </is>
      </c>
      <c r="H3644" t="n">
        <v>1</v>
      </c>
      <c r="I3644" t="n">
        <v>0</v>
      </c>
      <c r="J3644" t="n">
        <v>0</v>
      </c>
      <c r="K3644" t="n">
        <v>0</v>
      </c>
      <c r="L3644" t="n">
        <v>999</v>
      </c>
      <c r="M3644" t="n">
        <v>4</v>
      </c>
      <c r="N3644" t="n">
        <v>0</v>
      </c>
      <c r="O3644" t="n">
        <v>1</v>
      </c>
      <c r="P3644" t="n">
        <v>0</v>
      </c>
      <c r="Q3644" t="n">
        <v>0</v>
      </c>
      <c r="R3644" t="inlineStr">
        <is>
          <t>Sin rotación</t>
        </is>
      </c>
    </row>
    <row r="3645">
      <c r="A3645" t="inlineStr">
        <is>
          <t>DALSSTDA30TXL</t>
        </is>
      </c>
      <c r="B3645" t="inlineStr">
        <is>
          <t>[DALSSTDA30TXL] MANGA LARGA DAILY 2.0 DAMA (Gris Claro, XL)</t>
        </is>
      </c>
      <c r="C3645" t="inlineStr">
        <is>
          <t>DAMA / MANGA LARGA DAILY 2.0</t>
        </is>
      </c>
      <c r="D3645" t="n">
        <v>0</v>
      </c>
      <c r="E3645" t="n">
        <v>0</v>
      </c>
      <c r="F3645" t="n">
        <v>1.000010015470635</v>
      </c>
      <c r="G3645" t="inlineStr">
        <is>
          <t>C</t>
        </is>
      </c>
      <c r="H3645" t="n">
        <v>5</v>
      </c>
      <c r="I3645" t="n">
        <v>0</v>
      </c>
      <c r="J3645" t="n">
        <v>0</v>
      </c>
      <c r="K3645" t="n">
        <v>0</v>
      </c>
      <c r="L3645" t="n">
        <v>999</v>
      </c>
      <c r="M3645" t="n">
        <v>4</v>
      </c>
      <c r="N3645" t="n">
        <v>0</v>
      </c>
      <c r="O3645" t="n">
        <v>5</v>
      </c>
      <c r="P3645" t="n">
        <v>0</v>
      </c>
      <c r="Q3645" t="n">
        <v>0</v>
      </c>
      <c r="R3645" t="inlineStr">
        <is>
          <t>Sin rotación</t>
        </is>
      </c>
    </row>
    <row r="3646">
      <c r="A3646" t="inlineStr">
        <is>
          <t>CLASTDA16TXS</t>
        </is>
      </c>
      <c r="B3646" t="inlineStr">
        <is>
          <t>CLASICA ALGODON STRETCH DAMA</t>
        </is>
      </c>
      <c r="C3646" t="inlineStr">
        <is>
          <t>Manufactura / Dama / P. Superiores</t>
        </is>
      </c>
      <c r="D3646" t="n">
        <v>0</v>
      </c>
      <c r="E3646" t="n">
        <v>0</v>
      </c>
      <c r="F3646" t="n">
        <v>1.000010015470635</v>
      </c>
      <c r="G3646" t="inlineStr">
        <is>
          <t>C</t>
        </is>
      </c>
      <c r="H3646" t="n">
        <v>0</v>
      </c>
      <c r="I3646" t="n">
        <v>9.27</v>
      </c>
      <c r="J3646" t="n">
        <v>0</v>
      </c>
      <c r="K3646" t="n">
        <v>0.1</v>
      </c>
      <c r="L3646" t="n">
        <v>0</v>
      </c>
      <c r="M3646" t="n">
        <v>4</v>
      </c>
      <c r="N3646" t="n">
        <v>0.4</v>
      </c>
      <c r="O3646" t="n">
        <v>0</v>
      </c>
      <c r="P3646" t="n">
        <v>0</v>
      </c>
      <c r="Q3646" t="n">
        <v>0</v>
      </c>
      <c r="R3646" t="inlineStr">
        <is>
          <t>Sin rotación</t>
        </is>
      </c>
    </row>
    <row r="3647">
      <c r="A3647" t="inlineStr">
        <is>
          <t>RIOMICA04T3XL</t>
        </is>
      </c>
      <c r="B3647" t="inlineStr">
        <is>
          <t>[RIOMICA04T3XL] RIO ORIGINAL CAB (Amarillo Neón, 3XL)</t>
        </is>
      </c>
      <c r="C3647" t="inlineStr">
        <is>
          <t>CAB / RIO ORIGINAL</t>
        </is>
      </c>
      <c r="D3647" t="n">
        <v>0</v>
      </c>
      <c r="E3647" t="n">
        <v>0</v>
      </c>
      <c r="F3647" t="n">
        <v>1.000010015470635</v>
      </c>
      <c r="G3647" t="inlineStr">
        <is>
          <t>C</t>
        </is>
      </c>
      <c r="H3647" t="n">
        <v>1</v>
      </c>
      <c r="I3647" t="n">
        <v>0</v>
      </c>
      <c r="J3647" t="n">
        <v>0</v>
      </c>
      <c r="K3647" t="n">
        <v>0</v>
      </c>
      <c r="L3647" t="n">
        <v>999</v>
      </c>
      <c r="M3647" t="n">
        <v>4</v>
      </c>
      <c r="N3647" t="n">
        <v>0</v>
      </c>
      <c r="O3647" t="n">
        <v>1</v>
      </c>
      <c r="P3647" t="n">
        <v>0</v>
      </c>
      <c r="Q3647" t="n">
        <v>0</v>
      </c>
      <c r="R3647" t="inlineStr">
        <is>
          <t>Sin rotación</t>
        </is>
      </c>
    </row>
    <row r="3648">
      <c r="A3648" t="inlineStr">
        <is>
          <t>MARMIKI39T4</t>
        </is>
      </c>
      <c r="B3648" t="inlineStr">
        <is>
          <t>MAR ORIGINAL KIDS</t>
        </is>
      </c>
      <c r="C3648" t="inlineStr">
        <is>
          <t>Manufactura / Kids / P. Superiores</t>
        </is>
      </c>
      <c r="D3648" t="n">
        <v>0</v>
      </c>
      <c r="E3648" t="n">
        <v>0</v>
      </c>
      <c r="F3648" t="n">
        <v>1.000010015470635</v>
      </c>
      <c r="G3648" t="inlineStr">
        <is>
          <t>C</t>
        </is>
      </c>
      <c r="H3648" t="n">
        <v>0</v>
      </c>
      <c r="I3648" t="n">
        <v>3.168013332</v>
      </c>
      <c r="J3648" t="n">
        <v>0</v>
      </c>
      <c r="K3648" t="n">
        <v>0.1</v>
      </c>
      <c r="L3648" t="n">
        <v>0</v>
      </c>
      <c r="M3648" t="n">
        <v>4</v>
      </c>
      <c r="N3648" t="n">
        <v>0.4</v>
      </c>
      <c r="O3648" t="n">
        <v>0</v>
      </c>
      <c r="P3648" t="n">
        <v>0</v>
      </c>
      <c r="Q3648" t="n">
        <v>0</v>
      </c>
      <c r="R3648" t="inlineStr">
        <is>
          <t>Sin rotación</t>
        </is>
      </c>
    </row>
    <row r="3649">
      <c r="A3649" t="inlineStr">
        <is>
          <t>CLAMIKI52T14</t>
        </is>
      </c>
      <c r="B3649" t="inlineStr">
        <is>
          <t>CLASICA ORIGINAL KIDS</t>
        </is>
      </c>
      <c r="C3649" t="inlineStr">
        <is>
          <t>Manufactura / Kids / P. Superiores</t>
        </is>
      </c>
      <c r="D3649" t="n">
        <v>0</v>
      </c>
      <c r="E3649" t="n">
        <v>0</v>
      </c>
      <c r="F3649" t="n">
        <v>1.000010015470635</v>
      </c>
      <c r="G3649" t="inlineStr">
        <is>
          <t>C</t>
        </is>
      </c>
      <c r="H3649" t="n">
        <v>0</v>
      </c>
      <c r="I3649" t="n">
        <v>2.053774806</v>
      </c>
      <c r="J3649" t="n">
        <v>0</v>
      </c>
      <c r="K3649" t="n">
        <v>0.2</v>
      </c>
      <c r="L3649" t="n">
        <v>0</v>
      </c>
      <c r="M3649" t="n">
        <v>4</v>
      </c>
      <c r="N3649" t="n">
        <v>0.8</v>
      </c>
      <c r="O3649" t="n">
        <v>0</v>
      </c>
      <c r="P3649" t="n">
        <v>0</v>
      </c>
      <c r="Q3649" t="n">
        <v>0</v>
      </c>
      <c r="R3649" t="inlineStr">
        <is>
          <t>Riesgo bajo stock</t>
        </is>
      </c>
    </row>
    <row r="3650">
      <c r="A3650" t="inlineStr">
        <is>
          <t>CLAMIKI50T6</t>
        </is>
      </c>
      <c r="B3650" t="inlineStr">
        <is>
          <t>[CLAMIKI50T6] CLASICA ORIGINAL KIDS (Rojo, 6)</t>
        </is>
      </c>
      <c r="C3650" t="inlineStr">
        <is>
          <t>KIDS / CLASICA ORIGINAL</t>
        </is>
      </c>
      <c r="D3650" t="n">
        <v>0</v>
      </c>
      <c r="E3650" t="n">
        <v>0</v>
      </c>
      <c r="F3650" t="n">
        <v>1.000010015470635</v>
      </c>
      <c r="G3650" t="inlineStr">
        <is>
          <t>C</t>
        </is>
      </c>
      <c r="H3650" t="n">
        <v>1</v>
      </c>
      <c r="I3650" t="n">
        <v>0</v>
      </c>
      <c r="J3650" t="n">
        <v>0</v>
      </c>
      <c r="K3650" t="n">
        <v>0</v>
      </c>
      <c r="L3650" t="n">
        <v>999</v>
      </c>
      <c r="M3650" t="n">
        <v>4</v>
      </c>
      <c r="N3650" t="n">
        <v>0</v>
      </c>
      <c r="O3650" t="n">
        <v>1</v>
      </c>
      <c r="P3650" t="n">
        <v>0</v>
      </c>
      <c r="Q3650" t="n">
        <v>0</v>
      </c>
      <c r="R3650" t="inlineStr">
        <is>
          <t>Sin rotación</t>
        </is>
      </c>
    </row>
    <row r="3651">
      <c r="A3651" t="inlineStr">
        <is>
          <t>CLAMIKI50T4</t>
        </is>
      </c>
      <c r="B3651" t="inlineStr">
        <is>
          <t>[CLAMIKI50T4] CLASICA ORIGINAL KIDS (Rojo, 4)</t>
        </is>
      </c>
      <c r="C3651" t="inlineStr">
        <is>
          <t>KIDS / CLASICA ORIGINAL</t>
        </is>
      </c>
      <c r="D3651" t="n">
        <v>0</v>
      </c>
      <c r="E3651" t="n">
        <v>0</v>
      </c>
      <c r="F3651" t="n">
        <v>1.000010015470635</v>
      </c>
      <c r="G3651" t="inlineStr">
        <is>
          <t>C</t>
        </is>
      </c>
      <c r="H3651" t="n">
        <v>3</v>
      </c>
      <c r="I3651" t="n">
        <v>0</v>
      </c>
      <c r="J3651" t="n">
        <v>0</v>
      </c>
      <c r="K3651" t="n">
        <v>0</v>
      </c>
      <c r="L3651" t="n">
        <v>999</v>
      </c>
      <c r="M3651" t="n">
        <v>4</v>
      </c>
      <c r="N3651" t="n">
        <v>0</v>
      </c>
      <c r="O3651" t="n">
        <v>3</v>
      </c>
      <c r="P3651" t="n">
        <v>0</v>
      </c>
      <c r="Q3651" t="n">
        <v>0</v>
      </c>
      <c r="R3651" t="inlineStr">
        <is>
          <t>Sin rotación</t>
        </is>
      </c>
    </row>
    <row r="3652">
      <c r="A3652" t="inlineStr">
        <is>
          <t>CLAMIKI50T2</t>
        </is>
      </c>
      <c r="B3652" t="inlineStr">
        <is>
          <t>[CLAMIKI50T2] CLASICA ORIGINAL KIDS (Rojo, 2)</t>
        </is>
      </c>
      <c r="C3652" t="inlineStr">
        <is>
          <t>KIDS / CLASICA ORIGINAL</t>
        </is>
      </c>
      <c r="D3652" t="n">
        <v>0</v>
      </c>
      <c r="E3652" t="n">
        <v>0</v>
      </c>
      <c r="F3652" t="n">
        <v>1.000010015470635</v>
      </c>
      <c r="G3652" t="inlineStr">
        <is>
          <t>C</t>
        </is>
      </c>
      <c r="H3652" t="n">
        <v>3</v>
      </c>
      <c r="I3652" t="n">
        <v>0</v>
      </c>
      <c r="J3652" t="n">
        <v>0</v>
      </c>
      <c r="K3652" t="n">
        <v>0</v>
      </c>
      <c r="L3652" t="n">
        <v>999</v>
      </c>
      <c r="M3652" t="n">
        <v>4</v>
      </c>
      <c r="N3652" t="n">
        <v>0</v>
      </c>
      <c r="O3652" t="n">
        <v>3</v>
      </c>
      <c r="P3652" t="n">
        <v>0</v>
      </c>
      <c r="Q3652" t="n">
        <v>0</v>
      </c>
      <c r="R3652" t="inlineStr">
        <is>
          <t>Sin rotación</t>
        </is>
      </c>
    </row>
    <row r="3653">
      <c r="A3653" t="inlineStr">
        <is>
          <t>SHOUNCA50TM</t>
        </is>
      </c>
      <c r="B3653" t="inlineStr">
        <is>
          <t>SHORT PLAYA CAB</t>
        </is>
      </c>
      <c r="C3653" t="inlineStr">
        <is>
          <t>Manufactura / Caballero / P. Inferiores</t>
        </is>
      </c>
      <c r="D3653" t="n">
        <v>0</v>
      </c>
      <c r="E3653" t="n">
        <v>0</v>
      </c>
      <c r="F3653" t="n">
        <v>1.000010015470635</v>
      </c>
      <c r="G3653" t="inlineStr">
        <is>
          <t>C</t>
        </is>
      </c>
      <c r="H3653" t="n">
        <v>0</v>
      </c>
      <c r="I3653" t="n">
        <v>9.99</v>
      </c>
      <c r="J3653" t="n">
        <v>0</v>
      </c>
      <c r="K3653" t="n">
        <v>0.1</v>
      </c>
      <c r="L3653" t="n">
        <v>0</v>
      </c>
      <c r="M3653" t="n">
        <v>4</v>
      </c>
      <c r="N3653" t="n">
        <v>0.4</v>
      </c>
      <c r="O3653" t="n">
        <v>0</v>
      </c>
      <c r="P3653" t="n">
        <v>0</v>
      </c>
      <c r="Q3653" t="n">
        <v>0</v>
      </c>
      <c r="R3653" t="inlineStr">
        <is>
          <t>Sin rotación</t>
        </is>
      </c>
    </row>
    <row r="3654">
      <c r="A3654" t="inlineStr">
        <is>
          <t>SHOUNKI186T6</t>
        </is>
      </c>
      <c r="B3654" t="inlineStr">
        <is>
          <t>[SHOUNKI186T6] SHORT PLAYA KIDS (Azul Verdoso, 6)</t>
        </is>
      </c>
      <c r="C3654" t="inlineStr">
        <is>
          <t>KIDS / SHORT PLAYA</t>
        </is>
      </c>
      <c r="D3654" t="n">
        <v>0</v>
      </c>
      <c r="E3654" t="n">
        <v>0</v>
      </c>
      <c r="F3654" t="n">
        <v>1.000010015470635</v>
      </c>
      <c r="G3654" t="inlineStr">
        <is>
          <t>C</t>
        </is>
      </c>
      <c r="H3654" t="n">
        <v>21</v>
      </c>
      <c r="I3654" t="n">
        <v>0</v>
      </c>
      <c r="J3654" t="n">
        <v>0</v>
      </c>
      <c r="K3654" t="n">
        <v>0</v>
      </c>
      <c r="L3654" t="n">
        <v>999</v>
      </c>
      <c r="M3654" t="n">
        <v>4</v>
      </c>
      <c r="N3654" t="n">
        <v>0</v>
      </c>
      <c r="O3654" t="n">
        <v>21</v>
      </c>
      <c r="P3654" t="n">
        <v>0</v>
      </c>
      <c r="Q3654" t="n">
        <v>0</v>
      </c>
      <c r="R3654" t="inlineStr">
        <is>
          <t>Sin rotación</t>
        </is>
      </c>
    </row>
    <row r="3655">
      <c r="A3655" t="inlineStr">
        <is>
          <t>MARMIDA34T2XL</t>
        </is>
      </c>
      <c r="B3655" t="inlineStr">
        <is>
          <t>MAR ORIGINAL DAMA</t>
        </is>
      </c>
      <c r="C3655" t="inlineStr">
        <is>
          <t>Manufactura / Dama / P. Superiores</t>
        </is>
      </c>
      <c r="D3655" t="n">
        <v>0</v>
      </c>
      <c r="E3655" t="n">
        <v>0</v>
      </c>
      <c r="F3655" t="n">
        <v>1.000010015470635</v>
      </c>
      <c r="G3655" t="inlineStr">
        <is>
          <t>C</t>
        </is>
      </c>
      <c r="H3655" t="n">
        <v>0</v>
      </c>
      <c r="I3655" t="n">
        <v>4.278324149</v>
      </c>
      <c r="J3655" t="n">
        <v>0</v>
      </c>
      <c r="K3655" t="n">
        <v>0.1</v>
      </c>
      <c r="L3655" t="n">
        <v>0</v>
      </c>
      <c r="M3655" t="n">
        <v>4</v>
      </c>
      <c r="N3655" t="n">
        <v>0.4</v>
      </c>
      <c r="O3655" t="n">
        <v>0</v>
      </c>
      <c r="P3655" t="n">
        <v>0</v>
      </c>
      <c r="Q3655" t="n">
        <v>0</v>
      </c>
      <c r="R3655" t="inlineStr">
        <is>
          <t>Riesgo bajo stock</t>
        </is>
      </c>
    </row>
    <row r="3656">
      <c r="A3656" t="inlineStr">
        <is>
          <t>MARMIDA28TXS</t>
        </is>
      </c>
      <c r="B3656" t="inlineStr">
        <is>
          <t>MAR ORIGINAL DAMA</t>
        </is>
      </c>
      <c r="C3656" t="inlineStr">
        <is>
          <t>Manufactura / Dama / P. Superiores</t>
        </is>
      </c>
      <c r="D3656" t="n">
        <v>0</v>
      </c>
      <c r="E3656" t="n">
        <v>0</v>
      </c>
      <c r="F3656" t="n">
        <v>1.000010015470635</v>
      </c>
      <c r="G3656" t="inlineStr">
        <is>
          <t>C</t>
        </is>
      </c>
      <c r="H3656" t="n">
        <v>0</v>
      </c>
      <c r="I3656" t="n">
        <v>4.278324149</v>
      </c>
      <c r="J3656" t="n">
        <v>0</v>
      </c>
      <c r="K3656" t="n">
        <v>0.6</v>
      </c>
      <c r="L3656" t="n">
        <v>0</v>
      </c>
      <c r="M3656" t="n">
        <v>4</v>
      </c>
      <c r="N3656" t="n">
        <v>2.4</v>
      </c>
      <c r="O3656" t="n">
        <v>0</v>
      </c>
      <c r="P3656" t="n">
        <v>0</v>
      </c>
      <c r="Q3656" t="n">
        <v>0</v>
      </c>
      <c r="R3656" t="inlineStr">
        <is>
          <t>Riesgo bajo stock</t>
        </is>
      </c>
    </row>
    <row r="3657">
      <c r="A3657" t="inlineStr">
        <is>
          <t>MARMIDA28TXL</t>
        </is>
      </c>
      <c r="B3657" t="inlineStr">
        <is>
          <t>MAR ORIGINAL DAMA</t>
        </is>
      </c>
      <c r="C3657" t="inlineStr">
        <is>
          <t>Manufactura / Dama / P. Superiores</t>
        </is>
      </c>
      <c r="D3657" t="n">
        <v>0</v>
      </c>
      <c r="E3657" t="n">
        <v>0</v>
      </c>
      <c r="F3657" t="n">
        <v>1.000010015470635</v>
      </c>
      <c r="G3657" t="inlineStr">
        <is>
          <t>C</t>
        </is>
      </c>
      <c r="H3657" t="n">
        <v>0</v>
      </c>
      <c r="I3657" t="n">
        <v>4.278324149</v>
      </c>
      <c r="J3657" t="n">
        <v>0</v>
      </c>
      <c r="K3657" t="n">
        <v>0.1</v>
      </c>
      <c r="L3657" t="n">
        <v>0</v>
      </c>
      <c r="M3657" t="n">
        <v>4</v>
      </c>
      <c r="N3657" t="n">
        <v>0.4</v>
      </c>
      <c r="O3657" t="n">
        <v>0</v>
      </c>
      <c r="P3657" t="n">
        <v>0</v>
      </c>
      <c r="Q3657" t="n">
        <v>0</v>
      </c>
      <c r="R3657" t="inlineStr">
        <is>
          <t>Sin rotación</t>
        </is>
      </c>
    </row>
    <row r="3658">
      <c r="A3658" t="inlineStr">
        <is>
          <t>MARMIDA24TS</t>
        </is>
      </c>
      <c r="B3658" t="inlineStr">
        <is>
          <t>MAR ORIGINAL DAMA</t>
        </is>
      </c>
      <c r="C3658" t="inlineStr">
        <is>
          <t>Manufactura / Dama / P. Superiores</t>
        </is>
      </c>
      <c r="D3658" t="n">
        <v>0</v>
      </c>
      <c r="E3658" t="n">
        <v>0</v>
      </c>
      <c r="F3658" t="n">
        <v>1.000010015470635</v>
      </c>
      <c r="G3658" t="inlineStr">
        <is>
          <t>C</t>
        </is>
      </c>
      <c r="H3658" t="n">
        <v>0</v>
      </c>
      <c r="I3658" t="n">
        <v>4.278324149</v>
      </c>
      <c r="J3658" t="n">
        <v>0</v>
      </c>
      <c r="K3658" t="n">
        <v>0.2</v>
      </c>
      <c r="L3658" t="n">
        <v>0</v>
      </c>
      <c r="M3658" t="n">
        <v>4</v>
      </c>
      <c r="N3658" t="n">
        <v>0.8</v>
      </c>
      <c r="O3658" t="n">
        <v>0</v>
      </c>
      <c r="P3658" t="n">
        <v>0</v>
      </c>
      <c r="Q3658" t="n">
        <v>0</v>
      </c>
      <c r="R3658" t="inlineStr">
        <is>
          <t>Sin rotación</t>
        </is>
      </c>
    </row>
    <row r="3659">
      <c r="A3659" t="inlineStr">
        <is>
          <t>MARMIDA14TXS</t>
        </is>
      </c>
      <c r="B3659" t="inlineStr">
        <is>
          <t>MAR ORIGINAL DAMA</t>
        </is>
      </c>
      <c r="C3659" t="inlineStr">
        <is>
          <t>Manufactura / Dama / P. Superiores</t>
        </is>
      </c>
      <c r="D3659" t="n">
        <v>0</v>
      </c>
      <c r="E3659" t="n">
        <v>0</v>
      </c>
      <c r="F3659" t="n">
        <v>1.000010015470635</v>
      </c>
      <c r="G3659" t="inlineStr">
        <is>
          <t>C</t>
        </is>
      </c>
      <c r="H3659" t="n">
        <v>0</v>
      </c>
      <c r="I3659" t="n">
        <v>4.278324149</v>
      </c>
      <c r="J3659" t="n">
        <v>0</v>
      </c>
      <c r="K3659" t="n">
        <v>0.1</v>
      </c>
      <c r="L3659" t="n">
        <v>0</v>
      </c>
      <c r="M3659" t="n">
        <v>4</v>
      </c>
      <c r="N3659" t="n">
        <v>0.4</v>
      </c>
      <c r="O3659" t="n">
        <v>0</v>
      </c>
      <c r="P3659" t="n">
        <v>0</v>
      </c>
      <c r="Q3659" t="n">
        <v>0</v>
      </c>
      <c r="R3659" t="inlineStr">
        <is>
          <t>Riesgo bajo stock</t>
        </is>
      </c>
    </row>
    <row r="3660">
      <c r="A3660" t="inlineStr">
        <is>
          <t>DALSSTCA43TXL</t>
        </is>
      </c>
      <c r="B3660" t="inlineStr">
        <is>
          <t>[DALSSTCA43TXL] MANGA LARGA DAILY 2.0 CAB (Negro, XL)</t>
        </is>
      </c>
      <c r="C3660" t="inlineStr">
        <is>
          <t>CAB / MANGA LARGA DAILY 2.0</t>
        </is>
      </c>
      <c r="D3660" t="n">
        <v>0</v>
      </c>
      <c r="E3660" t="n">
        <v>0</v>
      </c>
      <c r="F3660" t="n">
        <v>1.000010015470635</v>
      </c>
      <c r="G3660" t="inlineStr">
        <is>
          <t>C</t>
        </is>
      </c>
      <c r="H3660" t="n">
        <v>2</v>
      </c>
      <c r="I3660" t="n">
        <v>0</v>
      </c>
      <c r="J3660" t="n">
        <v>0</v>
      </c>
      <c r="K3660" t="n">
        <v>0</v>
      </c>
      <c r="L3660" t="n">
        <v>999</v>
      </c>
      <c r="M3660" t="n">
        <v>4</v>
      </c>
      <c r="N3660" t="n">
        <v>0</v>
      </c>
      <c r="O3660" t="n">
        <v>2</v>
      </c>
      <c r="P3660" t="n">
        <v>0</v>
      </c>
      <c r="Q3660" t="n">
        <v>0</v>
      </c>
      <c r="R3660" t="inlineStr">
        <is>
          <t>Sin rotación</t>
        </is>
      </c>
    </row>
    <row r="3661">
      <c r="A3661" t="inlineStr">
        <is>
          <t>CRESTDA30TM</t>
        </is>
      </c>
      <c r="B3661" t="inlineStr">
        <is>
          <t>RETRO VZLA DAMA</t>
        </is>
      </c>
      <c r="C3661" t="inlineStr">
        <is>
          <t>Manufactura / Dama / P. Superiores</t>
        </is>
      </c>
      <c r="D3661" t="n">
        <v>-0.1635945200000037</v>
      </c>
      <c r="E3661" t="n">
        <v>-4.005326693000581e-08</v>
      </c>
      <c r="F3661" t="n">
        <v>1.000009975417368</v>
      </c>
      <c r="G3661" t="inlineStr">
        <is>
          <t>C</t>
        </is>
      </c>
      <c r="H3661" t="n">
        <v>1</v>
      </c>
      <c r="I3661" t="n">
        <v>11.23</v>
      </c>
      <c r="J3661" t="n">
        <v>11.23</v>
      </c>
      <c r="K3661" t="n">
        <v>0</v>
      </c>
      <c r="L3661" t="n">
        <v>999</v>
      </c>
      <c r="M3661" t="n">
        <v>4</v>
      </c>
      <c r="N3661" t="n">
        <v>0</v>
      </c>
      <c r="O3661" t="n">
        <v>1</v>
      </c>
      <c r="P3661" t="n">
        <v>11.23</v>
      </c>
      <c r="Q3661" t="n">
        <v>1</v>
      </c>
      <c r="R3661" t="inlineStr">
        <is>
          <t>Sobrestock crítico</t>
        </is>
      </c>
    </row>
    <row r="3662">
      <c r="A3662" t="inlineStr">
        <is>
          <t>MAMSUDA119TS</t>
        </is>
      </c>
      <c r="B3662" t="inlineStr">
        <is>
          <t>MAFE MOTION DAMA</t>
        </is>
      </c>
      <c r="C3662" t="inlineStr">
        <is>
          <t>Manufactura / Dama / P. Superiores</t>
        </is>
      </c>
      <c r="D3662" t="n">
        <v>-0.5927297899999999</v>
      </c>
      <c r="E3662" t="n">
        <v>-1.451195583827364e-07</v>
      </c>
      <c r="F3662" t="n">
        <v>1.00000983029781</v>
      </c>
      <c r="G3662" t="inlineStr">
        <is>
          <t>C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4</v>
      </c>
      <c r="N3662" t="n">
        <v>0</v>
      </c>
      <c r="O3662" t="n">
        <v>0</v>
      </c>
      <c r="P3662" t="n">
        <v>0</v>
      </c>
      <c r="Q3662" t="n">
        <v>0</v>
      </c>
      <c r="R3662" t="inlineStr">
        <is>
          <t>Sin rotación</t>
        </is>
      </c>
    </row>
    <row r="3663">
      <c r="A3663" t="inlineStr">
        <is>
          <t>MLAALDA166TM</t>
        </is>
      </c>
      <c r="B3663" t="inlineStr">
        <is>
          <t>MANGA LARGA ALGODON DAMA</t>
        </is>
      </c>
      <c r="C3663" t="inlineStr">
        <is>
          <t>Manufactura / Dama / P. Superiores</t>
        </is>
      </c>
      <c r="D3663" t="n">
        <v>-0.87112269</v>
      </c>
      <c r="E3663" t="n">
        <v>-2.132792078325967e-07</v>
      </c>
      <c r="F3663" t="n">
        <v>1.000009617018602</v>
      </c>
      <c r="G3663" t="inlineStr">
        <is>
          <t>C</t>
        </is>
      </c>
      <c r="H3663" t="n">
        <v>0</v>
      </c>
      <c r="I3663" t="n">
        <v>12.3</v>
      </c>
      <c r="J3663" t="n">
        <v>0</v>
      </c>
      <c r="K3663" t="n">
        <v>0</v>
      </c>
      <c r="L3663" t="n">
        <v>0</v>
      </c>
      <c r="M3663" t="n">
        <v>4</v>
      </c>
      <c r="N3663" t="n">
        <v>0</v>
      </c>
      <c r="O3663" t="n">
        <v>0</v>
      </c>
      <c r="P3663" t="n">
        <v>0</v>
      </c>
      <c r="Q3663" t="n">
        <v>0</v>
      </c>
      <c r="R3663" t="inlineStr">
        <is>
          <t>Sin rotación</t>
        </is>
      </c>
    </row>
    <row r="3664">
      <c r="A3664" t="inlineStr">
        <is>
          <t>TALGOTACA167T2XL</t>
        </is>
      </c>
      <c r="B3664" t="inlineStr">
        <is>
          <t>URBAN COTTON OVERSIZED VINTAGE GRIS CAB</t>
        </is>
      </c>
      <c r="C3664" t="inlineStr">
        <is>
          <t>Manufactura / Caballero / P. Superiores</t>
        </is>
      </c>
      <c r="D3664" t="n">
        <v>-1.081610160000004</v>
      </c>
      <c r="E3664" t="n">
        <v>-2.648133962719867e-07</v>
      </c>
      <c r="F3664" t="n">
        <v>1.000009352205205</v>
      </c>
      <c r="G3664" t="inlineStr">
        <is>
          <t>C</t>
        </is>
      </c>
      <c r="H3664" t="n">
        <v>16</v>
      </c>
      <c r="I3664" t="n">
        <v>12.16179793</v>
      </c>
      <c r="J3664" t="n">
        <v>194.58876688</v>
      </c>
      <c r="K3664" t="n">
        <v>0</v>
      </c>
      <c r="L3664" t="n">
        <v>999</v>
      </c>
      <c r="M3664" t="n">
        <v>4</v>
      </c>
      <c r="N3664" t="n">
        <v>0</v>
      </c>
      <c r="O3664" t="n">
        <v>16</v>
      </c>
      <c r="P3664" t="n">
        <v>194.58876688</v>
      </c>
      <c r="Q3664" t="n">
        <v>1</v>
      </c>
      <c r="R3664" t="inlineStr">
        <is>
          <t>Sobrestock crítico</t>
        </is>
      </c>
    </row>
    <row r="3665">
      <c r="A3665" t="inlineStr">
        <is>
          <t>RIOMICA13T4XL</t>
        </is>
      </c>
      <c r="B3665" t="inlineStr">
        <is>
          <t>RIO ORIGINAL CAB</t>
        </is>
      </c>
      <c r="C3665" t="inlineStr">
        <is>
          <t>Manufactura / Caballero / P. Superiores</t>
        </is>
      </c>
      <c r="D3665" t="n">
        <v>-1.591638860000003</v>
      </c>
      <c r="E3665" t="n">
        <v>-3.896850341670908e-07</v>
      </c>
      <c r="F3665" t="n">
        <v>1.000008572835137</v>
      </c>
      <c r="G3665" t="inlineStr">
        <is>
          <t>C</t>
        </is>
      </c>
      <c r="H3665" t="n">
        <v>1</v>
      </c>
      <c r="I3665" t="n">
        <v>5.939350288</v>
      </c>
      <c r="J3665" t="n">
        <v>5.939350288</v>
      </c>
      <c r="K3665" t="n">
        <v>0</v>
      </c>
      <c r="L3665" t="n">
        <v>999</v>
      </c>
      <c r="M3665" t="n">
        <v>4</v>
      </c>
      <c r="N3665" t="n">
        <v>0</v>
      </c>
      <c r="O3665" t="n">
        <v>1</v>
      </c>
      <c r="P3665" t="n">
        <v>5.939350288</v>
      </c>
      <c r="Q3665" t="n">
        <v>1</v>
      </c>
      <c r="R3665" t="inlineStr">
        <is>
          <t>Sin rotación</t>
        </is>
      </c>
    </row>
    <row r="3666">
      <c r="A3666" t="inlineStr">
        <is>
          <t>RIOMIDA13T2XL</t>
        </is>
      </c>
      <c r="B3666" t="inlineStr">
        <is>
          <t>RIO ORIGINAL DAMA</t>
        </is>
      </c>
      <c r="C3666" t="inlineStr">
        <is>
          <t>Manufactura / Dama / P. Superiores</t>
        </is>
      </c>
      <c r="D3666" t="n">
        <v>-1.591638860000003</v>
      </c>
      <c r="E3666" t="n">
        <v>-3.896850341670908e-07</v>
      </c>
      <c r="F3666" t="n">
        <v>1.000008572835137</v>
      </c>
      <c r="G3666" t="inlineStr">
        <is>
          <t>C</t>
        </is>
      </c>
      <c r="H3666" t="n">
        <v>0</v>
      </c>
      <c r="I3666" t="n">
        <v>5.538832275</v>
      </c>
      <c r="J3666" t="n">
        <v>0</v>
      </c>
      <c r="K3666" t="n">
        <v>0</v>
      </c>
      <c r="L3666" t="n">
        <v>0</v>
      </c>
      <c r="M3666" t="n">
        <v>4</v>
      </c>
      <c r="N3666" t="n">
        <v>0</v>
      </c>
      <c r="O3666" t="n">
        <v>0</v>
      </c>
      <c r="P3666" t="n">
        <v>0</v>
      </c>
      <c r="Q3666" t="n">
        <v>0</v>
      </c>
      <c r="R3666" t="inlineStr">
        <is>
          <t>Sin rotación</t>
        </is>
      </c>
    </row>
    <row r="3667">
      <c r="A3667" t="inlineStr">
        <is>
          <t>CGCSCA16T2XL</t>
        </is>
      </c>
      <c r="B3667" t="inlineStr">
        <is>
          <t>CLASICA GC SUBLIMADO CAB</t>
        </is>
      </c>
      <c r="C3667" t="inlineStr">
        <is>
          <t>Manufactura / Caballero / P. Superiores</t>
        </is>
      </c>
      <c r="D3667" t="n">
        <v>-3.716905499999996</v>
      </c>
      <c r="E3667" t="n">
        <v>-9.100195296584697e-07</v>
      </c>
      <c r="F3667" t="n">
        <v>1.000007662815607</v>
      </c>
      <c r="G3667" t="inlineStr">
        <is>
          <t>C</t>
        </is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4</v>
      </c>
      <c r="N3667" t="n">
        <v>0</v>
      </c>
      <c r="O3667" t="n">
        <v>0</v>
      </c>
      <c r="P3667" t="n">
        <v>0</v>
      </c>
      <c r="Q3667" t="n">
        <v>0</v>
      </c>
      <c r="R3667" t="inlineStr">
        <is>
          <t>Riesgo bajo stock</t>
        </is>
      </c>
    </row>
    <row r="3668">
      <c r="A3668" t="inlineStr">
        <is>
          <t>SHONTCA66T3XL</t>
        </is>
      </c>
      <c r="B3668" t="inlineStr">
        <is>
          <t>EXPLORE SHORT CAB</t>
        </is>
      </c>
      <c r="C3668" t="inlineStr">
        <is>
          <t>Manufactura / Caballero / P. Inferiores</t>
        </is>
      </c>
      <c r="D3668" t="n">
        <v>-31.29818707</v>
      </c>
      <c r="E3668" t="n">
        <v>-7.662815607392825e-06</v>
      </c>
      <c r="F3668" t="n">
        <v>1</v>
      </c>
      <c r="G3668" t="inlineStr">
        <is>
          <t>C</t>
        </is>
      </c>
      <c r="H3668" t="n">
        <v>0</v>
      </c>
      <c r="I3668" t="n">
        <v>11.17</v>
      </c>
      <c r="J3668" t="n">
        <v>0</v>
      </c>
      <c r="K3668" t="n">
        <v>-0.1</v>
      </c>
      <c r="L3668" t="n">
        <v>0</v>
      </c>
      <c r="M3668" t="n">
        <v>4</v>
      </c>
      <c r="N3668" t="n">
        <v>-0.4</v>
      </c>
      <c r="O3668" t="n">
        <v>0.4</v>
      </c>
      <c r="P3668" t="n">
        <v>4.468</v>
      </c>
      <c r="Q3668" t="n">
        <v>0</v>
      </c>
      <c r="R3668" t="inlineStr">
        <is>
          <t>Sin rotación</t>
        </is>
      </c>
    </row>
  </sheetData>
  <mergeCells count="1">
    <mergeCell ref="A1:R1"/>
  </mergeCells>
  <conditionalFormatting sqref="G4:G203">
    <cfRule type="expression" priority="1" dxfId="7">
      <formula>G4="A"</formula>
    </cfRule>
    <cfRule type="expression" priority="2" dxfId="6">
      <formula>G4="B"</formula>
    </cfRule>
    <cfRule type="expression" priority="3" dxfId="5">
      <formula>G4="C"</formula>
    </cfRule>
  </conditionalFormatting>
  <conditionalFormatting sqref="P4:P203">
    <cfRule type="dataBar" priority="7">
      <dataBar>
        <cfvo type="min"/>
        <cfvo type="max"/>
        <color rgb="FF500ADC"/>
      </dataBar>
    </cfRule>
    <cfRule type="dataBar" priority="8">
      <dataBar>
        <cfvo type="min"/>
        <cfvo type="max"/>
        <color rgb="FF500ADC"/>
      </dataBar>
    </cfRule>
  </conditionalFormatting>
  <conditionalFormatting sqref="R4:R203">
    <cfRule type="expression" priority="4" dxfId="1">
      <formula>R4="Sobrestock crítico"</formula>
    </cfRule>
    <cfRule type="expression" priority="5" dxfId="0">
      <formula>R4="Sin rotación"</formula>
    </cfRule>
    <cfRule type="expression" priority="6" dxfId="2">
      <formula>R4="OK"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zoomScale="65" zoomScaleNormal="65" workbookViewId="0">
      <selection activeCell="D9" sqref="D9"/>
    </sheetView>
  </sheetViews>
  <sheetFormatPr baseColWidth="10" defaultColWidth="8.6640625" defaultRowHeight="20" customHeight="1"/>
  <cols>
    <col width="24.1640625" customWidth="1" style="38" min="1" max="1"/>
    <col width="16" customWidth="1" style="38" min="2" max="2"/>
    <col width="28" customWidth="1" style="38" min="3" max="3"/>
    <col width="12" customWidth="1" style="38" min="4" max="4"/>
    <col width="16" customWidth="1" style="38" min="5" max="5"/>
    <col width="18" customWidth="1" style="38" min="6" max="6"/>
    <col width="19.6640625" customWidth="1" style="38" min="7" max="7"/>
    <col width="22" customWidth="1" style="38" min="8" max="8"/>
    <col width="4" customWidth="1" style="38" min="9" max="9"/>
    <col width="22" customWidth="1" style="38" min="10" max="10"/>
    <col width="12" customWidth="1" style="38" min="11" max="11"/>
    <col width="18" customWidth="1" style="38" min="12" max="12"/>
    <col width="16" customWidth="1" style="38" min="13" max="13"/>
  </cols>
  <sheetData>
    <row r="1" ht="20" customHeight="1" s="38">
      <c r="A1" s="14" t="inlineStr">
        <is>
          <t>Dashboard | ABC + Sobrestock</t>
        </is>
      </c>
    </row>
    <row r="2" ht="20" customHeight="1" s="3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31.5" customHeight="1" s="38">
      <c r="A3" s="21" t="inlineStr">
        <is>
          <t>KPIs principales</t>
        </is>
      </c>
      <c r="B3" s="55" t="n"/>
      <c r="C3" s="1" t="n"/>
      <c r="D3" s="21" t="inlineStr">
        <is>
          <t>Resumen ABC</t>
        </is>
      </c>
      <c r="E3" s="56" t="n"/>
      <c r="F3" s="56" t="n"/>
      <c r="G3" s="55" t="n"/>
      <c r="H3" s="1" t="n"/>
      <c r="I3" s="1" t="n"/>
      <c r="J3" s="21" t="inlineStr">
        <is>
          <t>Salud inventario</t>
        </is>
      </c>
      <c r="K3" s="56" t="n"/>
      <c r="L3" s="55" t="n"/>
      <c r="M3" s="1" t="n"/>
    </row>
    <row r="4" ht="20" customHeight="1" s="38">
      <c r="A4" s="22" t="inlineStr">
        <is>
          <t>Valor inventario total</t>
        </is>
      </c>
      <c r="B4" s="23" t="n">
        <v>1229877.459874234</v>
      </c>
      <c r="C4" s="1" t="n"/>
      <c r="D4" s="19" t="inlineStr">
        <is>
          <t>ABC</t>
        </is>
      </c>
      <c r="E4" s="19" t="inlineStr">
        <is>
          <t>Cantidad</t>
        </is>
      </c>
      <c r="F4" s="19" t="inlineStr">
        <is>
          <t>Venta concentrada</t>
        </is>
      </c>
      <c r="G4" s="19" t="inlineStr">
        <is>
          <t>Valor inventario</t>
        </is>
      </c>
      <c r="H4" s="1" t="n"/>
      <c r="I4" s="1" t="n"/>
      <c r="J4" s="19" t="inlineStr">
        <is>
          <t>Estado</t>
        </is>
      </c>
      <c r="K4" s="19" t="inlineStr">
        <is>
          <t>Cantidad</t>
        </is>
      </c>
      <c r="L4" s="19" t="inlineStr">
        <is>
          <t>Exceso valorizado</t>
        </is>
      </c>
      <c r="M4" s="1" t="n"/>
    </row>
    <row r="5" ht="20" customHeight="1" s="38">
      <c r="A5" s="22" t="inlineStr">
        <is>
          <t>Sobrestock valorizado</t>
        </is>
      </c>
      <c r="B5" s="23" t="n">
        <v>1082571.421090219</v>
      </c>
      <c r="C5" s="1" t="n"/>
      <c r="D5" s="26" t="inlineStr">
        <is>
          <t>A</t>
        </is>
      </c>
      <c r="E5" s="26" t="n">
        <v>730</v>
      </c>
      <c r="F5" s="27" t="n">
        <v>3267498.915187076</v>
      </c>
      <c r="G5" s="27" t="n">
        <v>912656.6661573029</v>
      </c>
      <c r="H5" s="1" t="n"/>
      <c r="I5" s="1" t="n"/>
      <c r="J5" s="26" t="inlineStr">
        <is>
          <t>OK</t>
        </is>
      </c>
      <c r="K5" s="26">
        <f>COUNTIF('4_Resultados_SKU'!R4:R203,"OK")</f>
        <v/>
      </c>
      <c r="L5" s="27">
        <f>SUMIF('4_Resultados_SKU'!R4:R203,"OK",'4_Resultados_SKU'!P4:P203)</f>
        <v/>
      </c>
      <c r="M5" s="1" t="n"/>
    </row>
    <row r="6" ht="20" customHeight="1" s="38">
      <c r="A6" s="22" t="inlineStr">
        <is>
          <t>% inventario en exceso</t>
        </is>
      </c>
      <c r="B6" s="24" t="n">
        <v>0.8802270603454444</v>
      </c>
      <c r="C6" s="1" t="n"/>
      <c r="D6" s="26" t="inlineStr">
        <is>
          <t>B</t>
        </is>
      </c>
      <c r="E6" s="26" t="n">
        <v>872</v>
      </c>
      <c r="F6" s="27" t="n">
        <v>612493.2067954374</v>
      </c>
      <c r="G6" s="27" t="n">
        <v>213743.2550010615</v>
      </c>
      <c r="H6" s="1" t="n"/>
      <c r="I6" s="1" t="n"/>
      <c r="J6" s="26" t="inlineStr">
        <is>
          <t>Riesgo bajo stock</t>
        </is>
      </c>
      <c r="K6" s="26">
        <f>COUNTIF('4_Resultados_SKU'!R4:R203,"Riesgo bajo stock")</f>
        <v/>
      </c>
      <c r="L6" s="27">
        <f>SUMIF('4_Resultados_SKU'!R4:R203,"Riesgo bajo stock",'4_Resultados_SKU'!P4:P203)</f>
        <v/>
      </c>
      <c r="M6" s="1" t="n"/>
    </row>
    <row r="7" ht="20" customHeight="1" s="38">
      <c r="A7" s="22" t="inlineStr">
        <is>
          <t>SKUs con sobrestock</t>
        </is>
      </c>
      <c r="B7" s="25" t="n">
        <v>2010</v>
      </c>
      <c r="C7" s="1" t="n"/>
      <c r="D7" s="26" t="inlineStr">
        <is>
          <t>C</t>
        </is>
      </c>
      <c r="E7" s="26" t="n">
        <v>2063</v>
      </c>
      <c r="F7" s="27" t="n">
        <v>204431.7599917016</v>
      </c>
      <c r="G7" s="27" t="n">
        <v>103477.5387158692</v>
      </c>
      <c r="H7" s="1" t="n"/>
      <c r="I7" s="1" t="n"/>
      <c r="J7" s="26" t="inlineStr">
        <is>
          <t>Sobrestock</t>
        </is>
      </c>
      <c r="K7" s="26">
        <f>COUNTIF('4_Resultados_SKU'!R4:R203,"Sobrestock")</f>
        <v/>
      </c>
      <c r="L7" s="27">
        <f>SUMIF('4_Resultados_SKU'!R4:R203,"Sobrestock",'4_Resultados_SKU'!P4:P203)</f>
        <v/>
      </c>
      <c r="M7" s="1" t="n"/>
    </row>
    <row r="8" ht="20" customHeight="1" s="38">
      <c r="A8" s="22" t="inlineStr">
        <is>
          <t>SKUs sin rotación</t>
        </is>
      </c>
      <c r="B8" s="25" t="n">
        <v>902</v>
      </c>
      <c r="C8" s="1" t="n"/>
      <c r="D8" s="1" t="n"/>
      <c r="E8" s="1" t="n"/>
      <c r="F8" s="1" t="n"/>
      <c r="G8" s="1" t="n"/>
      <c r="H8" s="1" t="n"/>
      <c r="I8" s="1" t="n"/>
      <c r="J8" s="26" t="inlineStr">
        <is>
          <t>Sobrestock crítico</t>
        </is>
      </c>
      <c r="K8" s="26">
        <f>COUNTIF('4_Resultados_SKU'!R4:R203,"Sobrestock crítico")</f>
        <v/>
      </c>
      <c r="L8" s="27">
        <f>SUMIF('4_Resultados_SKU'!R4:R203,"Sobrestock crítico",'4_Resultados_SKU'!P4:P203)</f>
        <v/>
      </c>
      <c r="M8" s="1" t="n"/>
    </row>
    <row r="9" ht="20" customHeight="1" s="38">
      <c r="A9" s="22" t="inlineStr">
        <is>
          <t>SKUs clase A</t>
        </is>
      </c>
      <c r="B9" s="25" t="n">
        <v>730</v>
      </c>
      <c r="C9" s="1" t="n"/>
      <c r="D9" s="1" t="n"/>
      <c r="E9" s="1" t="n"/>
      <c r="F9" s="1" t="n"/>
      <c r="G9" s="1" t="n"/>
      <c r="H9" s="1" t="n"/>
      <c r="I9" s="1" t="n"/>
      <c r="J9" s="26" t="inlineStr">
        <is>
          <t>Sin rotación</t>
        </is>
      </c>
      <c r="K9" s="26">
        <f>COUNTIF('4_Resultados_SKU'!R4:R203,"Sin rotación")</f>
        <v/>
      </c>
      <c r="L9" s="27">
        <f>SUMIF('4_Resultados_SKU'!R4:R203,"Sin rotación",'4_Resultados_SKU'!P4:P203)</f>
        <v/>
      </c>
      <c r="M9" s="1" t="n"/>
    </row>
    <row r="10" ht="20" customHeight="1" s="38">
      <c r="A10" s="22" t="inlineStr">
        <is>
          <t>SKUs clase B</t>
        </is>
      </c>
      <c r="B10" s="25" t="n">
        <v>872</v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 ht="20" customHeight="1" s="38">
      <c r="A11" s="22" t="inlineStr">
        <is>
          <t>SKUs clase C</t>
        </is>
      </c>
      <c r="B11" s="25" t="n">
        <v>2063</v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20" customHeight="1" s="3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 ht="20" customHeight="1" s="3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 ht="35.5" customHeight="1" s="38">
      <c r="A14" s="21" t="inlineStr">
        <is>
          <t>Top SKUs con mayor sobrestock valorizado</t>
        </is>
      </c>
      <c r="B14" s="56" t="n"/>
      <c r="C14" s="56" t="n"/>
      <c r="D14" s="56" t="n"/>
      <c r="E14" s="56" t="n"/>
      <c r="F14" s="56" t="n"/>
      <c r="G14" s="56" t="n"/>
      <c r="H14" s="55" t="n"/>
      <c r="I14" s="1" t="n"/>
      <c r="J14" s="1" t="n"/>
      <c r="K14" s="1" t="n"/>
      <c r="L14" s="1" t="n"/>
      <c r="M14" s="1" t="n"/>
    </row>
    <row r="15" ht="20" customHeight="1" s="38">
      <c r="A15" s="19" t="inlineStr">
        <is>
          <t>Rank</t>
        </is>
      </c>
      <c r="B15" s="19" t="inlineStr">
        <is>
          <t>SKU</t>
        </is>
      </c>
      <c r="C15" s="19" t="inlineStr">
        <is>
          <t>Producto</t>
        </is>
      </c>
      <c r="D15" s="19" t="inlineStr">
        <is>
          <t>ABC</t>
        </is>
      </c>
      <c r="E15" s="19" t="inlineStr">
        <is>
          <t>Valor inventario</t>
        </is>
      </c>
      <c r="F15" s="19" t="inlineStr">
        <is>
          <t>Exceso valorizado</t>
        </is>
      </c>
      <c r="G15" s="19" t="inlineStr">
        <is>
          <t>Cobertura meses</t>
        </is>
      </c>
      <c r="H15" s="19" t="inlineStr">
        <is>
          <t>Estado</t>
        </is>
      </c>
      <c r="I15" s="1" t="n"/>
      <c r="J15" s="1" t="n"/>
      <c r="K15" s="1" t="n"/>
      <c r="L15" s="1" t="n"/>
      <c r="M15" s="1" t="n"/>
    </row>
    <row r="16" ht="20" customHeight="1" s="38">
      <c r="A16" s="28" t="n">
        <v>1</v>
      </c>
      <c r="B16" s="28" t="inlineStr">
        <is>
          <t>TRA43TB</t>
        </is>
      </c>
      <c r="C16" s="28" t="inlineStr">
        <is>
          <t>TRAVEL BACKPACK</t>
        </is>
      </c>
      <c r="D16" s="28" t="inlineStr">
        <is>
          <t>A</t>
        </is>
      </c>
      <c r="E16" s="29" t="n">
        <v>33120</v>
      </c>
      <c r="F16" s="29" t="n">
        <v>29422.98</v>
      </c>
      <c r="G16" s="30" t="n">
        <v>17.91713325867861</v>
      </c>
      <c r="H16" s="28">
        <f>IF(A16&gt;COUNTIF('4_Resultados_SKU'!$P$4:$P$203,"&gt;0"),"",IFERROR(INDEX('4_Resultados_SKU'!$R$4:$R$203,MATCH(LARGE('4_Resultados_SKU'!$P$4:$P$203,A16),'4_Resultados_SKU'!$P$4:$P$203,0)),""))</f>
        <v/>
      </c>
      <c r="I16" s="1" t="n"/>
      <c r="J16" s="1" t="n"/>
      <c r="K16" s="1" t="n"/>
      <c r="L16" s="1" t="n"/>
      <c r="M16" s="1" t="n"/>
    </row>
    <row r="17" ht="20" customHeight="1" s="38">
      <c r="A17" s="28" t="n">
        <v>2</v>
      </c>
      <c r="B17" s="28" t="inlineStr">
        <is>
          <t>TRA12TB</t>
        </is>
      </c>
      <c r="C17" s="28" t="inlineStr">
        <is>
          <t>TRAVEL BACKPACK</t>
        </is>
      </c>
      <c r="D17" s="28" t="inlineStr">
        <is>
          <t>A</t>
        </is>
      </c>
      <c r="E17" s="29" t="n">
        <v>31050</v>
      </c>
      <c r="F17" s="29" t="n">
        <v>26558.1</v>
      </c>
      <c r="G17" s="30" t="n">
        <v>13.82488479262673</v>
      </c>
      <c r="H17" s="28">
        <f>IF(A17&gt;COUNTIF('4_Resultados_SKU'!$P$4:$P$203,"&gt;0"),"",IFERROR(INDEX('4_Resultados_SKU'!$R$4:$R$203,MATCH(LARGE('4_Resultados_SKU'!$P$4:$P$203,A17),'4_Resultados_SKU'!$P$4:$P$203,0)),""))</f>
        <v/>
      </c>
      <c r="I17" s="1" t="n"/>
      <c r="J17" s="1" t="n"/>
      <c r="K17" s="1" t="n"/>
      <c r="L17" s="1" t="n"/>
      <c r="M17" s="1" t="n"/>
    </row>
    <row r="18" ht="20" customHeight="1" s="38">
      <c r="A18" s="28" t="n">
        <v>3</v>
      </c>
      <c r="B18" s="28" t="inlineStr">
        <is>
          <t>MTOT151UN</t>
        </is>
      </c>
      <c r="C18" s="28" t="inlineStr">
        <is>
          <t>MAXI TOTE</t>
        </is>
      </c>
      <c r="D18" s="28" t="inlineStr">
        <is>
          <t>A</t>
        </is>
      </c>
      <c r="E18" s="29" t="n">
        <v>13755.39</v>
      </c>
      <c r="F18" s="29" t="n">
        <v>13625.202</v>
      </c>
      <c r="G18" s="30" t="n">
        <v>211.3157894736842</v>
      </c>
      <c r="H18" s="28">
        <f>IF(A18&gt;COUNTIF('4_Resultados_SKU'!$P$4:$P$203,"&gt;0"),"",IFERROR(INDEX('4_Resultados_SKU'!$R$4:$R$203,MATCH(LARGE('4_Resultados_SKU'!$P$4:$P$203,A18),'4_Resultados_SKU'!$P$4:$P$203,0)),""))</f>
        <v/>
      </c>
      <c r="I18" s="1" t="n"/>
      <c r="J18" s="1" t="n"/>
      <c r="K18" s="1" t="n"/>
      <c r="L18" s="1" t="n"/>
      <c r="M18" s="1" t="n"/>
    </row>
    <row r="19" ht="20" customHeight="1" s="38">
      <c r="A19" s="28" t="n">
        <v>4</v>
      </c>
      <c r="B19" s="28" t="inlineStr">
        <is>
          <t>PAP33EQ</t>
        </is>
      </c>
      <c r="C19" s="28" t="inlineStr">
        <is>
          <t>PACKING SET PRO</t>
        </is>
      </c>
      <c r="D19" s="28" t="inlineStr">
        <is>
          <t>A</t>
        </is>
      </c>
      <c r="E19" s="29" t="n">
        <v>14059.44</v>
      </c>
      <c r="F19" s="29" t="n">
        <v>13484.384</v>
      </c>
      <c r="G19" s="30" t="n">
        <v>48.89763779527559</v>
      </c>
      <c r="H19" s="28">
        <f>IF(A19&gt;COUNTIF('4_Resultados_SKU'!$P$4:$P$203,"&gt;0"),"",IFERROR(INDEX('4_Resultados_SKU'!$R$4:$R$203,MATCH(LARGE('4_Resultados_SKU'!$P$4:$P$203,A19),'4_Resultados_SKU'!$P$4:$P$203,0)),""))</f>
        <v/>
      </c>
      <c r="I19" s="1" t="n"/>
      <c r="J19" s="1" t="n"/>
      <c r="K19" s="1" t="n"/>
      <c r="L19" s="1" t="n"/>
      <c r="M19" s="1" t="n"/>
    </row>
    <row r="20" ht="20" customHeight="1" s="38">
      <c r="A20" s="28" t="n">
        <v>5</v>
      </c>
      <c r="B20" s="28" t="inlineStr">
        <is>
          <t>PAP66EQ</t>
        </is>
      </c>
      <c r="C20" s="28" t="inlineStr">
        <is>
          <t>PACKING SET PRO</t>
        </is>
      </c>
      <c r="D20" s="28" t="inlineStr">
        <is>
          <t>A</t>
        </is>
      </c>
      <c r="E20" s="29" t="n">
        <v>13685.88</v>
      </c>
      <c r="F20" s="29" t="n">
        <v>13024.792</v>
      </c>
      <c r="G20" s="30" t="n">
        <v>41.4041095890411</v>
      </c>
      <c r="H20" s="28">
        <f>IF(A20&gt;COUNTIF('4_Resultados_SKU'!$P$4:$P$203,"&gt;0"),"",IFERROR(INDEX('4_Resultados_SKU'!$R$4:$R$203,MATCH(LARGE('4_Resultados_SKU'!$P$4:$P$203,A20),'4_Resultados_SKU'!$P$4:$P$203,0)),""))</f>
        <v/>
      </c>
      <c r="I20" s="1" t="n"/>
      <c r="J20" s="1" t="n"/>
      <c r="K20" s="1" t="n"/>
      <c r="L20" s="1" t="n"/>
      <c r="M20" s="1" t="n"/>
    </row>
    <row r="21" ht="20" customHeight="1" s="38">
      <c r="A21" s="28" t="n">
        <v>6</v>
      </c>
      <c r="B21" s="28" t="inlineStr">
        <is>
          <t>JAPCA43TXL</t>
        </is>
      </c>
      <c r="C21" s="28" t="inlineStr">
        <is>
          <t>CUADRO JACKET 2.0 CAB</t>
        </is>
      </c>
      <c r="D21" s="28" t="inlineStr">
        <is>
          <t>A</t>
        </is>
      </c>
      <c r="E21" s="29" t="n">
        <v>11947.5013275</v>
      </c>
      <c r="F21" s="29" t="n">
        <v>11194.2012438</v>
      </c>
      <c r="G21" s="30" t="n">
        <v>31.72043010752688</v>
      </c>
      <c r="H21" s="28">
        <f>IF(A21&gt;COUNTIF('4_Resultados_SKU'!$P$4:$P$203,"&gt;0"),"",IFERROR(INDEX('4_Resultados_SKU'!$R$4:$R$203,MATCH(LARGE('4_Resultados_SKU'!$P$4:$P$203,A21),'4_Resultados_SKU'!$P$4:$P$203,0)),""))</f>
        <v/>
      </c>
      <c r="I21" s="1" t="n"/>
      <c r="J21" s="1" t="n"/>
      <c r="K21" s="1" t="n"/>
      <c r="L21" s="1" t="n"/>
      <c r="M21" s="1" t="n"/>
    </row>
    <row r="22" ht="20" customHeight="1" s="38">
      <c r="A22" s="28" t="n">
        <v>7</v>
      </c>
      <c r="B22" s="28" t="inlineStr">
        <is>
          <t>ZCUA195EQ</t>
        </is>
      </c>
      <c r="C22" s="28" t="inlineStr">
        <is>
          <t>ZENIT CUADRADO</t>
        </is>
      </c>
      <c r="D22" s="28" t="inlineStr">
        <is>
          <t>A</t>
        </is>
      </c>
      <c r="E22" s="29" t="n">
        <v>10999.68</v>
      </c>
      <c r="F22" s="29" t="n">
        <v>10797.48</v>
      </c>
      <c r="G22" s="30" t="n">
        <v>108.8</v>
      </c>
      <c r="H22" s="28">
        <f>IF(A22&gt;COUNTIF('4_Resultados_SKU'!$P$4:$P$203,"&gt;0"),"",IFERROR(INDEX('4_Resultados_SKU'!$R$4:$R$203,MATCH(LARGE('4_Resultados_SKU'!$P$4:$P$203,A22),'4_Resultados_SKU'!$P$4:$P$203,0)),""))</f>
        <v/>
      </c>
      <c r="I22" s="1" t="n"/>
      <c r="J22" s="1" t="n"/>
      <c r="K22" s="1" t="n"/>
      <c r="L22" s="1" t="n"/>
      <c r="M22" s="1" t="n"/>
    </row>
    <row r="23" ht="20" customHeight="1" s="38">
      <c r="A23" s="28" t="n">
        <v>8</v>
      </c>
      <c r="B23" s="28" t="inlineStr">
        <is>
          <t>ZRED193EQ</t>
        </is>
      </c>
      <c r="C23" s="28" t="inlineStr">
        <is>
          <t>ZENIT REDONDO</t>
        </is>
      </c>
      <c r="D23" s="28" t="inlineStr">
        <is>
          <t>A</t>
        </is>
      </c>
      <c r="E23" s="29" t="n">
        <v>10635.72</v>
      </c>
      <c r="F23" s="29" t="n">
        <v>10417.344</v>
      </c>
      <c r="G23" s="30" t="n">
        <v>97.4074074074074</v>
      </c>
      <c r="H23" s="28">
        <f>IF(A23&gt;COUNTIF('4_Resultados_SKU'!$P$4:$P$203,"&gt;0"),"",IFERROR(INDEX('4_Resultados_SKU'!$R$4:$R$203,MATCH(LARGE('4_Resultados_SKU'!$P$4:$P$203,A23),'4_Resultados_SKU'!$P$4:$P$203,0)),""))</f>
        <v/>
      </c>
      <c r="I23" s="1" t="n"/>
      <c r="J23" s="1" t="n"/>
      <c r="K23" s="1" t="n"/>
      <c r="L23" s="1" t="n"/>
      <c r="M23" s="1" t="n"/>
    </row>
    <row r="24" ht="20" customHeight="1" s="38">
      <c r="A24" s="28" t="n">
        <v>9</v>
      </c>
      <c r="B24" s="28" t="inlineStr">
        <is>
          <t>CAVAP4335L</t>
        </is>
      </c>
      <c r="C24" s="28" t="inlineStr">
        <is>
          <t>CAVAPACK 35L</t>
        </is>
      </c>
      <c r="D24" s="28" t="inlineStr">
        <is>
          <t>A</t>
        </is>
      </c>
      <c r="E24" s="29" t="n">
        <v>10572.43</v>
      </c>
      <c r="F24" s="29" t="n">
        <v>10307.506</v>
      </c>
      <c r="G24" s="30" t="n">
        <v>79.81481481481481</v>
      </c>
      <c r="H24" s="28">
        <f>IF(A24&gt;COUNTIF('4_Resultados_SKU'!$P$4:$P$203,"&gt;0"),"",IFERROR(INDEX('4_Resultados_SKU'!$R$4:$R$203,MATCH(LARGE('4_Resultados_SKU'!$P$4:$P$203,A24),'4_Resultados_SKU'!$P$4:$P$203,0)),""))</f>
        <v/>
      </c>
      <c r="I24" s="1" t="n"/>
      <c r="J24" s="1" t="n"/>
      <c r="K24" s="1" t="n"/>
      <c r="L24" s="1" t="n"/>
      <c r="M24" s="1" t="n"/>
    </row>
    <row r="25" ht="20" customHeight="1" s="38">
      <c r="A25" s="28" t="n">
        <v>10</v>
      </c>
      <c r="B25" s="28" t="inlineStr">
        <is>
          <t>PAP43EQ</t>
        </is>
      </c>
      <c r="C25" s="28" t="inlineStr">
        <is>
          <t>PACKING SET PRO</t>
        </is>
      </c>
      <c r="D25" s="28" t="inlineStr">
        <is>
          <t>A</t>
        </is>
      </c>
      <c r="E25" s="29" t="n">
        <v>11399.24</v>
      </c>
      <c r="F25" s="29" t="n">
        <v>10303.464</v>
      </c>
      <c r="G25" s="30" t="n">
        <v>20.80578512396694</v>
      </c>
      <c r="H25" s="28">
        <f>IF(A25&gt;COUNTIF('4_Resultados_SKU'!$P$4:$P$203,"&gt;0"),"",IFERROR(INDEX('4_Resultados_SKU'!$R$4:$R$203,MATCH(LARGE('4_Resultados_SKU'!$P$4:$P$203,A25),'4_Resultados_SKU'!$P$4:$P$203,0)),""))</f>
        <v/>
      </c>
      <c r="I25" s="1" t="n"/>
      <c r="J25" s="1" t="n"/>
      <c r="K25" s="1" t="n"/>
      <c r="L25" s="1" t="n"/>
      <c r="M25" s="1" t="n"/>
    </row>
    <row r="26" ht="20" customHeight="1" s="3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20" customHeight="1" s="3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 ht="20" customHeight="1" s="3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20" customHeight="1" s="3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20" customHeight="1" s="3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 ht="20" customHeight="1" s="3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 ht="20" customHeight="1" s="3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20" customHeight="1" s="3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 ht="20" customHeight="1" s="3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 ht="20" customHeight="1" s="3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 ht="20" customHeight="1" s="3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 ht="20" customHeight="1" s="3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 ht="20" customHeight="1" s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 ht="20" customHeight="1" s="3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 ht="20" customHeight="1" s="3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 ht="20" customHeight="1" s="3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 ht="20" customHeight="1" s="3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 ht="20" customHeight="1" s="3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 ht="20" customHeight="1" s="3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 ht="20" customHeight="1" s="3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</sheetData>
  <mergeCells count="5">
    <mergeCell ref="D3:G3"/>
    <mergeCell ref="A1:M1"/>
    <mergeCell ref="J3:L3"/>
    <mergeCell ref="A14:H14"/>
    <mergeCell ref="A3:B3"/>
  </mergeCells>
  <conditionalFormatting sqref="H16:H25">
    <cfRule type="expression" priority="1" dxfId="1">
      <formula>H16="Sobrestock crítico"</formula>
    </cfRule>
    <cfRule type="expression" priority="2" dxfId="0">
      <formula>H16="Sin rotación"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B14" sqref="B14"/>
    </sheetView>
  </sheetViews>
  <sheetFormatPr baseColWidth="10" defaultColWidth="8.6640625" defaultRowHeight="14"/>
  <cols>
    <col width="24" customWidth="1" style="38" min="1" max="1"/>
    <col width="48" customWidth="1" style="38" min="2" max="2"/>
    <col width="56" customWidth="1" style="38" min="3" max="3"/>
  </cols>
  <sheetData>
    <row r="1" ht="18.65" customHeight="1" s="38">
      <c r="A1" s="16" t="inlineStr">
        <is>
          <t>Diccionario de métricas</t>
        </is>
      </c>
    </row>
    <row r="3">
      <c r="A3" s="19" t="inlineStr">
        <is>
          <t>Métrica</t>
        </is>
      </c>
      <c r="B3" s="19" t="inlineStr">
        <is>
          <t>Fórmula / lógica</t>
        </is>
      </c>
      <c r="C3" s="19" t="inlineStr">
        <is>
          <t>Interpretación</t>
        </is>
      </c>
    </row>
    <row r="4">
      <c r="A4" s="20" t="inlineStr">
        <is>
          <t>% venta</t>
        </is>
      </c>
      <c r="B4" s="20" t="inlineStr">
        <is>
          <t>Venta 12M del SKU / Venta 12M total</t>
        </is>
      </c>
      <c r="C4" s="20" t="inlineStr">
        <is>
          <t>Mide cuánto aporta cada SKU a la venta valorizada total.</t>
        </is>
      </c>
    </row>
    <row r="5" ht="28" customHeight="1" s="38">
      <c r="A5" s="20" t="inlineStr">
        <is>
          <t>% acum. venta</t>
        </is>
      </c>
      <c r="B5" s="20" t="inlineStr">
        <is>
          <t>Suma de ventas de SKUs con venta igual o mayor / venta total</t>
        </is>
      </c>
      <c r="C5" s="20" t="inlineStr">
        <is>
          <t>Permite clasificar ABC sin ordenar manualmente la tabla.</t>
        </is>
      </c>
    </row>
    <row r="6" ht="28" customHeight="1" s="38">
      <c r="A6" s="20" t="inlineStr">
        <is>
          <t>ABC</t>
        </is>
      </c>
      <c r="B6" s="20" t="inlineStr">
        <is>
          <t>A hasta 80%, B hasta 95%, C resto</t>
        </is>
      </c>
      <c r="C6" s="20" t="inlineStr">
        <is>
          <t>Clasificación por importancia comercial. Los cortes se ajustan en parámetros.</t>
        </is>
      </c>
    </row>
    <row r="7">
      <c r="A7" s="20" t="inlineStr">
        <is>
          <t>Valor inventario</t>
        </is>
      </c>
      <c r="B7" s="20" t="inlineStr">
        <is>
          <t>Stock actual unidades × costo unitario</t>
        </is>
      </c>
      <c r="C7" s="20" t="inlineStr">
        <is>
          <t>Capital estimado inmovilizado en inventario.</t>
        </is>
      </c>
    </row>
    <row r="8">
      <c r="A8" s="20" t="inlineStr">
        <is>
          <t>Cobertura actual</t>
        </is>
      </c>
      <c r="B8" s="20" t="inlineStr">
        <is>
          <t>Stock actual / venta promedio mensual</t>
        </is>
      </c>
      <c r="C8" s="20" t="inlineStr">
        <is>
          <t>Meses estimados de stock disponible al ritmo actual de venta.</t>
        </is>
      </c>
    </row>
    <row r="9">
      <c r="A9" s="20" t="inlineStr">
        <is>
          <t>Cobertura objetivo</t>
        </is>
      </c>
      <c r="B9" s="20" t="inlineStr">
        <is>
          <t>Según ABC: A, B o C</t>
        </is>
      </c>
      <c r="C9" s="20" t="inlineStr">
        <is>
          <t>Meses de stock deseado por clase de SKU.</t>
        </is>
      </c>
    </row>
    <row r="10">
      <c r="A10" s="20" t="inlineStr">
        <is>
          <t>Stock objetivo</t>
        </is>
      </c>
      <c r="B10" s="20" t="inlineStr">
        <is>
          <t>Venta promedio mensual × cobertura objetivo</t>
        </is>
      </c>
      <c r="C10" s="20" t="inlineStr">
        <is>
          <t>Stock razonable según la política definida.</t>
        </is>
      </c>
    </row>
    <row r="11">
      <c r="A11" s="20" t="inlineStr">
        <is>
          <t>Exceso unidades</t>
        </is>
      </c>
      <c r="B11" s="20" t="inlineStr">
        <is>
          <t>MAX(0, stock actual - stock objetivo)</t>
        </is>
      </c>
      <c r="C11" s="20" t="inlineStr">
        <is>
          <t>Unidades por sobre el objetivo.</t>
        </is>
      </c>
    </row>
    <row r="12">
      <c r="A12" s="20" t="inlineStr">
        <is>
          <t>Exceso valorizado</t>
        </is>
      </c>
      <c r="B12" s="20" t="inlineStr">
        <is>
          <t>Exceso unidades × costo unitario</t>
        </is>
      </c>
      <c r="C12" s="20" t="inlineStr">
        <is>
          <t>Liquidez potencialmente inmovilizada en sobrestock.</t>
        </is>
      </c>
    </row>
    <row r="13">
      <c r="A13" s="20" t="inlineStr">
        <is>
          <t>Exceso / inventario</t>
        </is>
      </c>
      <c r="B13" s="20" t="inlineStr">
        <is>
          <t>Exceso valorizado / valor inventario</t>
        </is>
      </c>
      <c r="C13" s="20" t="inlineStr">
        <is>
          <t>Porcentaje del stock actual que puede considerarse exceso.</t>
        </is>
      </c>
    </row>
    <row r="14">
      <c r="A14" s="20" t="inlineStr">
        <is>
          <t>Sin rotación</t>
        </is>
      </c>
      <c r="B14" s="20" t="inlineStr">
        <is>
          <t>Meses sin venta &gt;= umbral definido</t>
        </is>
      </c>
      <c r="C14" s="20" t="inlineStr">
        <is>
          <t>Señal de posible obsolescencia o baja rotación crítica.</t>
        </is>
      </c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2026-07-30T00:46:31Z</dcterms:created>
  <dcterms:modified xsi:type="dcterms:W3CDTF">2026-07-30T00:46:32Z</dcterms:modified>
  <cp:lastModifiedBy>gabriel heyne aros</cp:lastModifiedBy>
</cp:coreProperties>
</file>