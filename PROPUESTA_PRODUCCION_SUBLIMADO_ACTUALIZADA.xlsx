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B" sheetId="2" state="visible" r:id="rId2"/>
    <sheet name="KIDS" sheetId="3" state="visible" r:id="rId3"/>
    <sheet name="Comp_CAB" sheetId="4" state="visible" r:id="rId4"/>
    <sheet name="Comp_KI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DE6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pivotButton="0" quotePrefix="0" xfId="0"/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Género</t>
        </is>
      </c>
      <c r="B1" t="inlineStr">
        <is>
          <t>Propuesta equipo</t>
        </is>
      </c>
      <c r="C1" t="inlineStr">
        <is>
          <t>SUGERIDO (MÍN)</t>
        </is>
      </c>
      <c r="D1" t="inlineStr">
        <is>
          <t>MÁXIMO</t>
        </is>
      </c>
      <c r="E1" t="inlineStr">
        <is>
          <t>Rango</t>
        </is>
      </c>
      <c r="F1" t="inlineStr">
        <is>
          <t>% Rango</t>
        </is>
      </c>
      <c r="G1" t="inlineStr">
        <is>
          <t>Δ vs equipo</t>
        </is>
      </c>
    </row>
    <row r="2">
      <c r="A2" t="inlineStr">
        <is>
          <t>CAB</t>
        </is>
      </c>
      <c r="B2" t="n">
        <v>349</v>
      </c>
      <c r="C2" t="n">
        <v>474</v>
      </c>
      <c r="D2" t="n">
        <v>568</v>
      </c>
      <c r="E2" t="n">
        <v>94</v>
      </c>
      <c r="F2" t="n">
        <v>19.8</v>
      </c>
      <c r="G2" t="n">
        <v>125</v>
      </c>
    </row>
    <row r="3">
      <c r="A3" t="inlineStr">
        <is>
          <t>KIDS</t>
        </is>
      </c>
      <c r="B3" t="n">
        <v>136</v>
      </c>
      <c r="C3" t="n">
        <v>225</v>
      </c>
      <c r="D3" t="n">
        <v>274</v>
      </c>
      <c r="E3" t="n">
        <v>49</v>
      </c>
      <c r="F3" t="n">
        <v>21.8</v>
      </c>
      <c r="G3" t="n">
        <v>89</v>
      </c>
    </row>
    <row r="4">
      <c r="A4" t="inlineStr">
        <is>
          <t>TOTAL</t>
        </is>
      </c>
      <c r="B4" t="n">
        <v>485</v>
      </c>
      <c r="C4" t="n">
        <v>699</v>
      </c>
      <c r="D4" t="n">
        <v>842</v>
      </c>
      <c r="E4" t="n">
        <v>143</v>
      </c>
      <c r="F4" t="n">
        <v>20.5</v>
      </c>
      <c r="G4" t="n">
        <v>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Rango de producción MÍNIMO / MÁXIMO — Short Playa Sublimado (CAB)</t>
        </is>
      </c>
    </row>
    <row r="3">
      <c r="A3" s="1" t="inlineStr">
        <is>
          <t>Factor de temporada alta</t>
        </is>
      </c>
      <c r="B3" s="2" t="n">
        <v>1.2</v>
      </c>
    </row>
    <row r="5">
      <c r="A5" s="3" t="inlineStr">
        <is>
          <t>Color</t>
        </is>
      </c>
      <c r="B5" s="4" t="inlineStr">
        <is>
          <t>S</t>
        </is>
      </c>
      <c r="C5" s="4" t="inlineStr">
        <is>
          <t>M</t>
        </is>
      </c>
      <c r="D5" s="4" t="inlineStr">
        <is>
          <t>L</t>
        </is>
      </c>
      <c r="E5" s="4" t="inlineStr">
        <is>
          <t>XL</t>
        </is>
      </c>
      <c r="F5" s="4" t="inlineStr">
        <is>
          <t>2XL</t>
        </is>
      </c>
      <c r="G5" s="4" t="inlineStr">
        <is>
          <t>Total</t>
        </is>
      </c>
    </row>
    <row r="6">
      <c r="A6" s="1" t="inlineStr">
        <is>
          <t>Playuela — MÍNIMO</t>
        </is>
      </c>
      <c r="B6" s="5" t="n">
        <v>6</v>
      </c>
      <c r="C6" s="5" t="n">
        <v>31</v>
      </c>
      <c r="D6" s="5" t="n">
        <v>38</v>
      </c>
      <c r="E6" s="5" t="n">
        <v>19</v>
      </c>
      <c r="F6" s="5" t="n">
        <v>13</v>
      </c>
      <c r="G6" s="6">
        <f>SUM(B6:F6)</f>
        <v/>
      </c>
    </row>
    <row r="7">
      <c r="A7" t="inlineStr">
        <is>
          <t xml:space="preserve">Playuela — MÁXIMO </t>
        </is>
      </c>
      <c r="B7" s="7">
        <f>IF(B6="","",ROUND(B6*$B$3,0))</f>
        <v/>
      </c>
      <c r="C7" s="7">
        <f>IF(C6="","",ROUND(C6*$B$3,0))</f>
        <v/>
      </c>
      <c r="D7" s="7">
        <f>IF(D6="","",ROUND(D6*$B$3,0))</f>
        <v/>
      </c>
      <c r="E7" s="7">
        <f>IF(E6="","",ROUND(E6*$B$3,0))</f>
        <v/>
      </c>
      <c r="F7" s="7">
        <f>IF(F6="","",ROUND(F6*$B$3,0))</f>
        <v/>
      </c>
      <c r="G7" s="7">
        <f>SUM(B7:F7)</f>
        <v/>
      </c>
    </row>
    <row r="8">
      <c r="A8" s="1" t="inlineStr">
        <is>
          <t>Sal — MÍNIMO</t>
        </is>
      </c>
      <c r="B8" s="5" t="n">
        <v>7</v>
      </c>
      <c r="C8" s="5" t="n">
        <v>35</v>
      </c>
      <c r="D8" s="5" t="n">
        <v>42</v>
      </c>
      <c r="E8" s="5" t="n">
        <v>21</v>
      </c>
      <c r="F8" s="5" t="n">
        <v>13</v>
      </c>
      <c r="G8" s="6">
        <f>SUM(B8:F8)</f>
        <v/>
      </c>
    </row>
    <row r="9">
      <c r="A9" t="inlineStr">
        <is>
          <t xml:space="preserve">Sal — MÁXIMO </t>
        </is>
      </c>
      <c r="B9" s="7">
        <f>IF(B8="","",ROUND(B8*$B$3,0))</f>
        <v/>
      </c>
      <c r="C9" s="7">
        <f>IF(C8="","",ROUND(C8*$B$3,0))</f>
        <v/>
      </c>
      <c r="D9" s="7">
        <f>IF(D8="","",ROUND(D8*$B$3,0))</f>
        <v/>
      </c>
      <c r="E9" s="7">
        <f>IF(E8="","",ROUND(E8*$B$3,0))</f>
        <v/>
      </c>
      <c r="F9" s="7">
        <f>IF(F8="","",ROUND(F8*$B$3,0))</f>
        <v/>
      </c>
      <c r="G9" s="7">
        <f>SUM(B9:F9)</f>
        <v/>
      </c>
    </row>
    <row r="10">
      <c r="A10" s="1" t="inlineStr">
        <is>
          <t>Tucupido — MÍNIMO</t>
        </is>
      </c>
      <c r="B10" s="5" t="n">
        <v>4</v>
      </c>
      <c r="C10" s="5" t="n">
        <v>12</v>
      </c>
      <c r="D10" s="5" t="n">
        <v>14</v>
      </c>
      <c r="E10" s="5" t="n">
        <v>7</v>
      </c>
      <c r="F10" s="5" t="n">
        <v>6</v>
      </c>
      <c r="G10" s="6">
        <f>SUM(B10:F10)</f>
        <v/>
      </c>
    </row>
    <row r="11">
      <c r="A11" t="inlineStr">
        <is>
          <t xml:space="preserve">Tucupido — MÁXIMO </t>
        </is>
      </c>
      <c r="B11" s="7">
        <f>IF(B10="","",ROUND(B10*$B$3,0))</f>
        <v/>
      </c>
      <c r="C11" s="7">
        <f>IF(C10="","",ROUND(C10*$B$3,0))</f>
        <v/>
      </c>
      <c r="D11" s="7">
        <f>IF(D10="","",ROUND(D10*$B$3,0))</f>
        <v/>
      </c>
      <c r="E11" s="7">
        <f>IF(E10="","",ROUND(E10*$B$3,0))</f>
        <v/>
      </c>
      <c r="F11" s="7">
        <f>IF(F10="","",ROUND(F10*$B$3,0))</f>
        <v/>
      </c>
      <c r="G11" s="7">
        <f>SUM(B11:F11)</f>
        <v/>
      </c>
    </row>
    <row r="12">
      <c r="A12" s="1" t="inlineStr">
        <is>
          <t>Nuevo color — MÍNIMO</t>
        </is>
      </c>
      <c r="B12" s="5" t="n">
        <v>12</v>
      </c>
      <c r="C12" s="5" t="n">
        <v>61</v>
      </c>
      <c r="D12" s="5" t="n">
        <v>73</v>
      </c>
      <c r="E12" s="5" t="n">
        <v>36</v>
      </c>
      <c r="F12" s="5" t="n">
        <v>24</v>
      </c>
      <c r="G12" s="6">
        <f>SUM(B12:F12)</f>
        <v/>
      </c>
    </row>
    <row r="13">
      <c r="A13" t="inlineStr">
        <is>
          <t xml:space="preserve">Nuevo color — MÁXIMO </t>
        </is>
      </c>
      <c r="B13" s="7">
        <f>IF(B12="","",ROUND(B12*$B$3,0))</f>
        <v/>
      </c>
      <c r="C13" s="7">
        <f>IF(C12="","",ROUND(C12*$B$3,0))</f>
        <v/>
      </c>
      <c r="D13" s="7">
        <f>IF(D12="","",ROUND(D12*$B$3,0))</f>
        <v/>
      </c>
      <c r="E13" s="7">
        <f>IF(E12="","",ROUND(E12*$B$3,0))</f>
        <v/>
      </c>
      <c r="F13" s="7">
        <f>IF(F12="","",ROUND(F12*$B$3,0))</f>
        <v/>
      </c>
      <c r="G13" s="7">
        <f>SUM(B13:F13)</f>
        <v/>
      </c>
    </row>
    <row r="14">
      <c r="A14" s="8" t="inlineStr">
        <is>
          <t>TOTAL — MÍNIMO</t>
        </is>
      </c>
      <c r="B14" s="9">
        <f>B6+B8+B10+B12</f>
        <v/>
      </c>
      <c r="C14" s="9">
        <f>C6+C8+C10+C12</f>
        <v/>
      </c>
      <c r="D14" s="9">
        <f>D6+D8+D10+D12</f>
        <v/>
      </c>
      <c r="E14" s="9">
        <f>E6+E8+E10+E12</f>
        <v/>
      </c>
      <c r="F14" s="9">
        <f>F6+F8+F10+F12</f>
        <v/>
      </c>
      <c r="G14" s="9">
        <f>G6+G8+G10+G12</f>
        <v/>
      </c>
    </row>
    <row r="15">
      <c r="A15" s="10" t="inlineStr">
        <is>
          <t>TOTAL — MÁXIMO</t>
        </is>
      </c>
      <c r="B15" s="11">
        <f>B7+B9+B11+B13</f>
        <v/>
      </c>
      <c r="C15" s="11">
        <f>C7+C9+C11+C13</f>
        <v/>
      </c>
      <c r="D15" s="11">
        <f>D7+D9+D11+D13</f>
        <v/>
      </c>
      <c r="E15" s="11">
        <f>E7+E9+E11+E13</f>
        <v/>
      </c>
      <c r="F15" s="11">
        <f>F7+F9+F11+F13</f>
        <v/>
      </c>
      <c r="G15" s="11">
        <f>G7+G9+G11+G13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Rango de producción MÍNIMO / MÁXIMO — Short Playa Sublimado (KIDS)</t>
        </is>
      </c>
    </row>
    <row r="3">
      <c r="A3" s="1" t="inlineStr">
        <is>
          <t>Factor de temporada alta</t>
        </is>
      </c>
      <c r="B3" s="2" t="n">
        <v>1.2</v>
      </c>
    </row>
    <row r="5">
      <c r="A5" s="3" t="inlineStr">
        <is>
          <t>Color</t>
        </is>
      </c>
      <c r="B5" s="4" t="inlineStr">
        <is>
          <t>2</t>
        </is>
      </c>
      <c r="C5" s="4" t="inlineStr">
        <is>
          <t>4</t>
        </is>
      </c>
      <c r="D5" s="4" t="inlineStr">
        <is>
          <t>6</t>
        </is>
      </c>
      <c r="E5" s="4" t="inlineStr">
        <is>
          <t>8</t>
        </is>
      </c>
      <c r="F5" s="4" t="inlineStr">
        <is>
          <t>10</t>
        </is>
      </c>
      <c r="G5" s="4" t="inlineStr">
        <is>
          <t>12</t>
        </is>
      </c>
      <c r="H5" s="4" t="inlineStr">
        <is>
          <t>14</t>
        </is>
      </c>
      <c r="I5" s="4" t="inlineStr">
        <is>
          <t>Total</t>
        </is>
      </c>
    </row>
    <row r="6">
      <c r="A6" s="1" t="inlineStr">
        <is>
          <t>Playuela — MÍNIMO</t>
        </is>
      </c>
      <c r="B6" s="5" t="n">
        <v>4</v>
      </c>
      <c r="C6" s="5" t="n">
        <v>4</v>
      </c>
      <c r="D6" s="5" t="n">
        <v>4</v>
      </c>
      <c r="E6" s="5" t="n">
        <v>4</v>
      </c>
      <c r="F6" s="5" t="n">
        <v>4</v>
      </c>
      <c r="G6" s="5" t="n">
        <v>4</v>
      </c>
      <c r="H6" s="5" t="n">
        <v>6</v>
      </c>
      <c r="I6" s="6">
        <f>SUM(B6:H6)</f>
        <v/>
      </c>
    </row>
    <row r="7">
      <c r="A7" t="inlineStr">
        <is>
          <t xml:space="preserve">Playuela — MÁXIMO </t>
        </is>
      </c>
      <c r="B7" s="7">
        <f>IF(B6="","",ROUND(B6*$B$3,0))</f>
        <v/>
      </c>
      <c r="C7" s="7">
        <f>IF(C6="","",ROUND(C6*$B$3,0))</f>
        <v/>
      </c>
      <c r="D7" s="7">
        <f>IF(D6="","",ROUND(D6*$B$3,0))</f>
        <v/>
      </c>
      <c r="E7" s="7">
        <f>IF(E6="","",ROUND(E6*$B$3,0))</f>
        <v/>
      </c>
      <c r="F7" s="7">
        <f>IF(F6="","",ROUND(F6*$B$3,0))</f>
        <v/>
      </c>
      <c r="G7" s="7">
        <f>IF(G6="","",ROUND(G6*$B$3,0))</f>
        <v/>
      </c>
      <c r="H7" s="7">
        <f>IF(H6="","",ROUND(H6*$B$3,0))</f>
        <v/>
      </c>
      <c r="I7" s="7">
        <f>SUM(B7:H7)</f>
        <v/>
      </c>
    </row>
    <row r="8">
      <c r="A8" s="1" t="inlineStr">
        <is>
          <t>Sal — MÍNIMO</t>
        </is>
      </c>
      <c r="B8" s="5" t="n">
        <v>4</v>
      </c>
      <c r="C8" s="5" t="n">
        <v>4</v>
      </c>
      <c r="D8" s="5" t="n">
        <v>4</v>
      </c>
      <c r="E8" s="5" t="n">
        <v>4</v>
      </c>
      <c r="F8" s="5" t="n">
        <v>4</v>
      </c>
      <c r="G8" s="5" t="n">
        <v>4</v>
      </c>
      <c r="H8" s="5" t="n">
        <v>6</v>
      </c>
      <c r="I8" s="6">
        <f>SUM(B8:H8)</f>
        <v/>
      </c>
    </row>
    <row r="9">
      <c r="A9" t="inlineStr">
        <is>
          <t xml:space="preserve">Sal — MÁXIMO </t>
        </is>
      </c>
      <c r="B9" s="7">
        <f>IF(B8="","",ROUND(B8*$B$3,0))</f>
        <v/>
      </c>
      <c r="C9" s="7">
        <f>IF(C8="","",ROUND(C8*$B$3,0))</f>
        <v/>
      </c>
      <c r="D9" s="7">
        <f>IF(D8="","",ROUND(D8*$B$3,0))</f>
        <v/>
      </c>
      <c r="E9" s="7">
        <f>IF(E8="","",ROUND(E8*$B$3,0))</f>
        <v/>
      </c>
      <c r="F9" s="7">
        <f>IF(F8="","",ROUND(F8*$B$3,0))</f>
        <v/>
      </c>
      <c r="G9" s="7">
        <f>IF(G8="","",ROUND(G8*$B$3,0))</f>
        <v/>
      </c>
      <c r="H9" s="7">
        <f>IF(H8="","",ROUND(H8*$B$3,0))</f>
        <v/>
      </c>
      <c r="I9" s="7">
        <f>SUM(B9:H9)</f>
        <v/>
      </c>
    </row>
    <row r="10">
      <c r="A10" s="1" t="inlineStr">
        <is>
          <t>Tucupido — MÍNIMO</t>
        </is>
      </c>
      <c r="B10" s="5" t="n">
        <v>4</v>
      </c>
      <c r="C10" s="5" t="n">
        <v>4</v>
      </c>
      <c r="D10" s="5" t="n">
        <v>4</v>
      </c>
      <c r="E10" s="5" t="n">
        <v>4</v>
      </c>
      <c r="F10" s="5" t="n">
        <v>4</v>
      </c>
      <c r="G10" s="5" t="n">
        <v>4</v>
      </c>
      <c r="H10" s="5" t="n">
        <v>6</v>
      </c>
      <c r="I10" s="6">
        <f>SUM(B10:H10)</f>
        <v/>
      </c>
    </row>
    <row r="11">
      <c r="A11" t="inlineStr">
        <is>
          <t xml:space="preserve">Tucupido — MÁXIMO </t>
        </is>
      </c>
      <c r="B11" s="7">
        <f>IF(B10="","",ROUND(B10*$B$3,0))</f>
        <v/>
      </c>
      <c r="C11" s="7">
        <f>IF(C10="","",ROUND(C10*$B$3,0))</f>
        <v/>
      </c>
      <c r="D11" s="7">
        <f>IF(D10="","",ROUND(D10*$B$3,0))</f>
        <v/>
      </c>
      <c r="E11" s="7">
        <f>IF(E10="","",ROUND(E10*$B$3,0))</f>
        <v/>
      </c>
      <c r="F11" s="7">
        <f>IF(F10="","",ROUND(F10*$B$3,0))</f>
        <v/>
      </c>
      <c r="G11" s="7">
        <f>IF(G10="","",ROUND(G10*$B$3,0))</f>
        <v/>
      </c>
      <c r="H11" s="7">
        <f>IF(H10="","",ROUND(H10*$B$3,0))</f>
        <v/>
      </c>
      <c r="I11" s="7">
        <f>SUM(B11:H11)</f>
        <v/>
      </c>
    </row>
    <row r="12">
      <c r="A12" s="1" t="inlineStr">
        <is>
          <t>Nuevo color — MÍNIMO</t>
        </is>
      </c>
      <c r="B12" s="5" t="n">
        <v>10</v>
      </c>
      <c r="C12" s="5" t="n">
        <v>19</v>
      </c>
      <c r="D12" s="5" t="n">
        <v>19</v>
      </c>
      <c r="E12" s="5" t="n">
        <v>19</v>
      </c>
      <c r="F12" s="5" t="n">
        <v>19</v>
      </c>
      <c r="G12" s="5" t="n">
        <v>19</v>
      </c>
      <c r="H12" s="5" t="n">
        <v>30</v>
      </c>
      <c r="I12" s="6">
        <f>SUM(B12:H12)</f>
        <v/>
      </c>
    </row>
    <row r="13">
      <c r="A13" t="inlineStr">
        <is>
          <t xml:space="preserve">Nuevo color — MÁXIMO </t>
        </is>
      </c>
      <c r="B13" s="7">
        <f>IF(B12="","",ROUND(B12*$B$3,0))</f>
        <v/>
      </c>
      <c r="C13" s="7">
        <f>IF(C12="","",ROUND(C12*$B$3,0))</f>
        <v/>
      </c>
      <c r="D13" s="7">
        <f>IF(D12="","",ROUND(D12*$B$3,0))</f>
        <v/>
      </c>
      <c r="E13" s="7">
        <f>IF(E12="","",ROUND(E12*$B$3,0))</f>
        <v/>
      </c>
      <c r="F13" s="7">
        <f>IF(F12="","",ROUND(F12*$B$3,0))</f>
        <v/>
      </c>
      <c r="G13" s="7">
        <f>IF(G12="","",ROUND(G12*$B$3,0))</f>
        <v/>
      </c>
      <c r="H13" s="7">
        <f>IF(H12="","",ROUND(H12*$B$3,0))</f>
        <v/>
      </c>
      <c r="I13" s="7">
        <f>SUM(B13:H13)</f>
        <v/>
      </c>
    </row>
    <row r="14">
      <c r="A14" s="8" t="inlineStr">
        <is>
          <t>TOTAL — MÍNIMO</t>
        </is>
      </c>
      <c r="B14" s="9">
        <f>B6+B8+B10+B12</f>
        <v/>
      </c>
      <c r="C14" s="9">
        <f>C6+C8+C10+C12</f>
        <v/>
      </c>
      <c r="D14" s="9">
        <f>D6+D8+D10+D12</f>
        <v/>
      </c>
      <c r="E14" s="9">
        <f>E6+E8+E10+E12</f>
        <v/>
      </c>
      <c r="F14" s="9">
        <f>F6+F8+F10+F12</f>
        <v/>
      </c>
      <c r="G14" s="9">
        <f>G6+G8+G10+G12</f>
        <v/>
      </c>
      <c r="H14" s="9">
        <f>H6+H8+H10+H12</f>
        <v/>
      </c>
      <c r="I14" s="9">
        <f>I6+I8+I10+I12</f>
        <v/>
      </c>
    </row>
    <row r="15">
      <c r="A15" s="10" t="inlineStr">
        <is>
          <t>TOTAL — MÁXIMO</t>
        </is>
      </c>
      <c r="B15" s="11">
        <f>B7+B9+B11+B13</f>
        <v/>
      </c>
      <c r="C15" s="11">
        <f>C7+C9+C11+C13</f>
        <v/>
      </c>
      <c r="D15" s="11">
        <f>D7+D9+D11+D13</f>
        <v/>
      </c>
      <c r="E15" s="11">
        <f>E7+E9+E11+E13</f>
        <v/>
      </c>
      <c r="F15" s="11">
        <f>F7+F9+F11+F13</f>
        <v/>
      </c>
      <c r="G15" s="11">
        <f>G7+G9+G11+G13</f>
        <v/>
      </c>
      <c r="H15" s="11">
        <f>H7+H9+H11+H13</f>
        <v/>
      </c>
      <c r="I15" s="11">
        <f>I7+I9+I11+I13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</t>
        </is>
      </c>
      <c r="B1" t="inlineStr">
        <is>
          <t>Talla</t>
        </is>
      </c>
      <c r="C1" t="inlineStr">
        <is>
          <t>Equipo</t>
        </is>
      </c>
      <c r="D1" t="inlineStr">
        <is>
          <t>Sugerido (MÍN)</t>
        </is>
      </c>
      <c r="E1" t="inlineStr">
        <is>
          <t>Cambio</t>
        </is>
      </c>
    </row>
    <row r="2">
      <c r="A2" t="inlineStr">
        <is>
          <t>Playuela</t>
        </is>
      </c>
      <c r="B2" t="inlineStr">
        <is>
          <t>S</t>
        </is>
      </c>
      <c r="C2" t="n">
        <v>0</v>
      </c>
      <c r="D2" t="n">
        <v>6</v>
      </c>
      <c r="E2" t="n">
        <v>6</v>
      </c>
    </row>
    <row r="3">
      <c r="A3" t="inlineStr">
        <is>
          <t>Playuela</t>
        </is>
      </c>
      <c r="B3" t="inlineStr">
        <is>
          <t>M</t>
        </is>
      </c>
      <c r="C3" t="n">
        <v>24</v>
      </c>
      <c r="D3" t="n">
        <v>31</v>
      </c>
      <c r="E3" t="n">
        <v>7</v>
      </c>
    </row>
    <row r="4">
      <c r="A4" t="inlineStr">
        <is>
          <t>Playuela</t>
        </is>
      </c>
      <c r="B4" t="inlineStr">
        <is>
          <t>L</t>
        </is>
      </c>
      <c r="C4" t="n">
        <v>28</v>
      </c>
      <c r="D4" t="n">
        <v>38</v>
      </c>
      <c r="E4" t="n">
        <v>10</v>
      </c>
    </row>
    <row r="5">
      <c r="A5" t="inlineStr">
        <is>
          <t>Playuela</t>
        </is>
      </c>
      <c r="B5" t="inlineStr">
        <is>
          <t>XL</t>
        </is>
      </c>
      <c r="C5" t="n">
        <v>10</v>
      </c>
      <c r="D5" t="n">
        <v>19</v>
      </c>
      <c r="E5" t="n">
        <v>9</v>
      </c>
    </row>
    <row r="6">
      <c r="A6" t="inlineStr">
        <is>
          <t>Playuela</t>
        </is>
      </c>
      <c r="B6" t="inlineStr">
        <is>
          <t>2XL</t>
        </is>
      </c>
      <c r="C6" t="n">
        <v>10</v>
      </c>
      <c r="D6" t="n">
        <v>13</v>
      </c>
      <c r="E6" t="n">
        <v>3</v>
      </c>
    </row>
    <row r="7">
      <c r="A7" t="inlineStr">
        <is>
          <t>Sal</t>
        </is>
      </c>
      <c r="B7" t="inlineStr">
        <is>
          <t>S</t>
        </is>
      </c>
      <c r="C7" t="n">
        <v>0</v>
      </c>
      <c r="D7" t="n">
        <v>7</v>
      </c>
      <c r="E7" t="n">
        <v>7</v>
      </c>
    </row>
    <row r="8">
      <c r="A8" t="inlineStr">
        <is>
          <t>Sal</t>
        </is>
      </c>
      <c r="B8" t="inlineStr">
        <is>
          <t>M</t>
        </is>
      </c>
      <c r="C8" t="n">
        <v>15</v>
      </c>
      <c r="D8" t="n">
        <v>35</v>
      </c>
      <c r="E8" t="n">
        <v>20</v>
      </c>
    </row>
    <row r="9">
      <c r="A9" t="inlineStr">
        <is>
          <t>Sal</t>
        </is>
      </c>
      <c r="B9" t="inlineStr">
        <is>
          <t>L</t>
        </is>
      </c>
      <c r="C9" t="n">
        <v>30</v>
      </c>
      <c r="D9" t="n">
        <v>42</v>
      </c>
      <c r="E9" t="n">
        <v>12</v>
      </c>
    </row>
    <row r="10">
      <c r="A10" t="inlineStr">
        <is>
          <t>Sal</t>
        </is>
      </c>
      <c r="B10" t="inlineStr">
        <is>
          <t>XL</t>
        </is>
      </c>
      <c r="C10" t="n">
        <v>21</v>
      </c>
      <c r="D10" t="n">
        <v>21</v>
      </c>
      <c r="E10" t="n">
        <v>0</v>
      </c>
    </row>
    <row r="11">
      <c r="A11" t="inlineStr">
        <is>
          <t>Sal</t>
        </is>
      </c>
      <c r="B11" t="inlineStr">
        <is>
          <t>2XL</t>
        </is>
      </c>
      <c r="C11" t="n">
        <v>16</v>
      </c>
      <c r="D11" t="n">
        <v>13</v>
      </c>
      <c r="E11" t="n">
        <v>-3</v>
      </c>
    </row>
    <row r="12">
      <c r="A12" t="inlineStr">
        <is>
          <t>Tucupido</t>
        </is>
      </c>
      <c r="B12" t="inlineStr">
        <is>
          <t>S</t>
        </is>
      </c>
      <c r="C12" t="n">
        <v>0</v>
      </c>
      <c r="D12" t="n">
        <v>4</v>
      </c>
      <c r="E12" t="n">
        <v>4</v>
      </c>
    </row>
    <row r="13">
      <c r="A13" t="inlineStr">
        <is>
          <t>Tucupido</t>
        </is>
      </c>
      <c r="B13" t="inlineStr">
        <is>
          <t>M</t>
        </is>
      </c>
      <c r="C13" t="n">
        <v>15</v>
      </c>
      <c r="D13" t="n">
        <v>12</v>
      </c>
      <c r="E13" t="n">
        <v>-3</v>
      </c>
    </row>
    <row r="14">
      <c r="A14" t="inlineStr">
        <is>
          <t>Tucupido</t>
        </is>
      </c>
      <c r="B14" t="inlineStr">
        <is>
          <t>L</t>
        </is>
      </c>
      <c r="C14" t="n">
        <v>15</v>
      </c>
      <c r="D14" t="n">
        <v>14</v>
      </c>
      <c r="E14" t="n">
        <v>-1</v>
      </c>
    </row>
    <row r="15">
      <c r="A15" t="inlineStr">
        <is>
          <t>Tucupido</t>
        </is>
      </c>
      <c r="B15" t="inlineStr">
        <is>
          <t>XL</t>
        </is>
      </c>
      <c r="C15" t="n">
        <v>0</v>
      </c>
      <c r="D15" t="n">
        <v>7</v>
      </c>
      <c r="E15" t="n">
        <v>7</v>
      </c>
    </row>
    <row r="16">
      <c r="A16" t="inlineStr">
        <is>
          <t>Tucupido</t>
        </is>
      </c>
      <c r="B16" t="inlineStr">
        <is>
          <t>2XL</t>
        </is>
      </c>
      <c r="C16" t="n">
        <v>0</v>
      </c>
      <c r="D16" t="n">
        <v>6</v>
      </c>
      <c r="E16" t="n">
        <v>6</v>
      </c>
    </row>
    <row r="17">
      <c r="A17" t="inlineStr">
        <is>
          <t>Nuevo color</t>
        </is>
      </c>
      <c r="B17" t="inlineStr">
        <is>
          <t>S</t>
        </is>
      </c>
      <c r="C17" t="n">
        <v>20</v>
      </c>
      <c r="D17" t="n">
        <v>12</v>
      </c>
      <c r="E17" t="n">
        <v>-8</v>
      </c>
    </row>
    <row r="18">
      <c r="A18" t="inlineStr">
        <is>
          <t>Nuevo color</t>
        </is>
      </c>
      <c r="B18" t="inlineStr">
        <is>
          <t>M</t>
        </is>
      </c>
      <c r="C18" t="n">
        <v>45</v>
      </c>
      <c r="D18" t="n">
        <v>61</v>
      </c>
      <c r="E18" t="n">
        <v>16</v>
      </c>
    </row>
    <row r="19">
      <c r="A19" t="inlineStr">
        <is>
          <t>Nuevo color</t>
        </is>
      </c>
      <c r="B19" t="inlineStr">
        <is>
          <t>L</t>
        </is>
      </c>
      <c r="C19" t="n">
        <v>45</v>
      </c>
      <c r="D19" t="n">
        <v>73</v>
      </c>
      <c r="E19" t="n">
        <v>28</v>
      </c>
    </row>
    <row r="20">
      <c r="A20" t="inlineStr">
        <is>
          <t>Nuevo color</t>
        </is>
      </c>
      <c r="B20" t="inlineStr">
        <is>
          <t>XL</t>
        </is>
      </c>
      <c r="C20" t="n">
        <v>35</v>
      </c>
      <c r="D20" t="n">
        <v>36</v>
      </c>
      <c r="E20" t="n">
        <v>1</v>
      </c>
    </row>
    <row r="21">
      <c r="A21" t="inlineStr">
        <is>
          <t>Nuevo color</t>
        </is>
      </c>
      <c r="B21" t="inlineStr">
        <is>
          <t>2XL</t>
        </is>
      </c>
      <c r="C21" t="n">
        <v>20</v>
      </c>
      <c r="D21" t="n">
        <v>24</v>
      </c>
      <c r="E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</t>
        </is>
      </c>
      <c r="B1" t="inlineStr">
        <is>
          <t>Talla</t>
        </is>
      </c>
      <c r="C1" t="inlineStr">
        <is>
          <t>Equipo</t>
        </is>
      </c>
      <c r="D1" t="inlineStr">
        <is>
          <t>Sugerido (MÍN)</t>
        </is>
      </c>
      <c r="E1" t="inlineStr">
        <is>
          <t>Cambio</t>
        </is>
      </c>
    </row>
    <row r="2">
      <c r="A2" t="inlineStr">
        <is>
          <t>Playuela</t>
        </is>
      </c>
      <c r="B2" t="inlineStr">
        <is>
          <t>2</t>
        </is>
      </c>
      <c r="C2" t="n">
        <v>0</v>
      </c>
      <c r="D2" t="n">
        <v>4</v>
      </c>
      <c r="E2" t="n">
        <v>4</v>
      </c>
    </row>
    <row r="3">
      <c r="A3" t="inlineStr">
        <is>
          <t>Playuela</t>
        </is>
      </c>
      <c r="B3" t="inlineStr">
        <is>
          <t>4</t>
        </is>
      </c>
      <c r="C3" t="n">
        <v>0</v>
      </c>
      <c r="D3" t="n">
        <v>4</v>
      </c>
      <c r="E3" t="n">
        <v>4</v>
      </c>
    </row>
    <row r="4">
      <c r="A4" t="inlineStr">
        <is>
          <t>Playuela</t>
        </is>
      </c>
      <c r="B4" t="inlineStr">
        <is>
          <t>6</t>
        </is>
      </c>
      <c r="C4" t="n">
        <v>0</v>
      </c>
      <c r="D4" t="n">
        <v>4</v>
      </c>
      <c r="E4" t="n">
        <v>4</v>
      </c>
    </row>
    <row r="5">
      <c r="A5" t="inlineStr">
        <is>
          <t>Playuela</t>
        </is>
      </c>
      <c r="B5" t="inlineStr">
        <is>
          <t>8</t>
        </is>
      </c>
      <c r="C5" t="n">
        <v>0</v>
      </c>
      <c r="D5" t="n">
        <v>4</v>
      </c>
      <c r="E5" t="n">
        <v>4</v>
      </c>
    </row>
    <row r="6">
      <c r="A6" t="inlineStr">
        <is>
          <t>Playuela</t>
        </is>
      </c>
      <c r="B6" t="inlineStr">
        <is>
          <t>10</t>
        </is>
      </c>
      <c r="C6" t="n">
        <v>8</v>
      </c>
      <c r="D6" t="n">
        <v>4</v>
      </c>
      <c r="E6" t="n">
        <v>-4</v>
      </c>
    </row>
    <row r="7">
      <c r="A7" t="inlineStr">
        <is>
          <t>Playuela</t>
        </is>
      </c>
      <c r="B7" t="inlineStr">
        <is>
          <t>12</t>
        </is>
      </c>
      <c r="C7" t="n">
        <v>0</v>
      </c>
      <c r="D7" t="n">
        <v>4</v>
      </c>
      <c r="E7" t="n">
        <v>4</v>
      </c>
    </row>
    <row r="8">
      <c r="A8" t="inlineStr">
        <is>
          <t>Playuela</t>
        </is>
      </c>
      <c r="B8" t="inlineStr">
        <is>
          <t>14</t>
        </is>
      </c>
      <c r="C8" t="n">
        <v>0</v>
      </c>
      <c r="D8" t="n">
        <v>6</v>
      </c>
      <c r="E8" t="n">
        <v>6</v>
      </c>
    </row>
    <row r="9">
      <c r="A9" t="inlineStr">
        <is>
          <t>Sal</t>
        </is>
      </c>
      <c r="B9" t="inlineStr">
        <is>
          <t>2</t>
        </is>
      </c>
      <c r="C9" t="n">
        <v>0</v>
      </c>
      <c r="D9" t="n">
        <v>4</v>
      </c>
      <c r="E9" t="n">
        <v>4</v>
      </c>
    </row>
    <row r="10">
      <c r="A10" t="inlineStr">
        <is>
          <t>Sal</t>
        </is>
      </c>
      <c r="B10" t="inlineStr">
        <is>
          <t>4</t>
        </is>
      </c>
      <c r="C10" t="n">
        <v>0</v>
      </c>
      <c r="D10" t="n">
        <v>4</v>
      </c>
      <c r="E10" t="n">
        <v>4</v>
      </c>
    </row>
    <row r="11">
      <c r="A11" t="inlineStr">
        <is>
          <t>Sal</t>
        </is>
      </c>
      <c r="B11" t="inlineStr">
        <is>
          <t>6</t>
        </is>
      </c>
      <c r="C11" t="n">
        <v>0</v>
      </c>
      <c r="D11" t="n">
        <v>4</v>
      </c>
      <c r="E11" t="n">
        <v>4</v>
      </c>
    </row>
    <row r="12">
      <c r="A12" t="inlineStr">
        <is>
          <t>Sal</t>
        </is>
      </c>
      <c r="B12" t="inlineStr">
        <is>
          <t>8</t>
        </is>
      </c>
      <c r="C12" t="n">
        <v>0</v>
      </c>
      <c r="D12" t="n">
        <v>4</v>
      </c>
      <c r="E12" t="n">
        <v>4</v>
      </c>
    </row>
    <row r="13">
      <c r="A13" t="inlineStr">
        <is>
          <t>Sal</t>
        </is>
      </c>
      <c r="B13" t="inlineStr">
        <is>
          <t>10</t>
        </is>
      </c>
      <c r="C13" t="n">
        <v>0</v>
      </c>
      <c r="D13" t="n">
        <v>4</v>
      </c>
      <c r="E13" t="n">
        <v>4</v>
      </c>
    </row>
    <row r="14">
      <c r="A14" t="inlineStr">
        <is>
          <t>Sal</t>
        </is>
      </c>
      <c r="B14" t="inlineStr">
        <is>
          <t>12</t>
        </is>
      </c>
      <c r="C14" t="n">
        <v>0</v>
      </c>
      <c r="D14" t="n">
        <v>4</v>
      </c>
      <c r="E14" t="n">
        <v>4</v>
      </c>
    </row>
    <row r="15">
      <c r="A15" t="inlineStr">
        <is>
          <t>Sal</t>
        </is>
      </c>
      <c r="B15" t="inlineStr">
        <is>
          <t>14</t>
        </is>
      </c>
      <c r="C15" t="n">
        <v>8</v>
      </c>
      <c r="D15" t="n">
        <v>6</v>
      </c>
      <c r="E15" t="n">
        <v>-2</v>
      </c>
    </row>
    <row r="16">
      <c r="A16" t="inlineStr">
        <is>
          <t>Tucupido</t>
        </is>
      </c>
      <c r="B16" t="inlineStr">
        <is>
          <t>2</t>
        </is>
      </c>
      <c r="C16" t="n">
        <v>0</v>
      </c>
      <c r="D16" t="n">
        <v>4</v>
      </c>
      <c r="E16" t="n">
        <v>4</v>
      </c>
    </row>
    <row r="17">
      <c r="A17" t="inlineStr">
        <is>
          <t>Tucupido</t>
        </is>
      </c>
      <c r="B17" t="inlineStr">
        <is>
          <t>4</t>
        </is>
      </c>
      <c r="C17" t="n">
        <v>8</v>
      </c>
      <c r="D17" t="n">
        <v>4</v>
      </c>
      <c r="E17" t="n">
        <v>-4</v>
      </c>
    </row>
    <row r="18">
      <c r="A18" t="inlineStr">
        <is>
          <t>Tucupido</t>
        </is>
      </c>
      <c r="B18" t="inlineStr">
        <is>
          <t>6</t>
        </is>
      </c>
      <c r="C18" t="n">
        <v>0</v>
      </c>
      <c r="D18" t="n">
        <v>4</v>
      </c>
      <c r="E18" t="n">
        <v>4</v>
      </c>
    </row>
    <row r="19">
      <c r="A19" t="inlineStr">
        <is>
          <t>Tucupido</t>
        </is>
      </c>
      <c r="B19" t="inlineStr">
        <is>
          <t>8</t>
        </is>
      </c>
      <c r="C19" t="n">
        <v>0</v>
      </c>
      <c r="D19" t="n">
        <v>4</v>
      </c>
      <c r="E19" t="n">
        <v>4</v>
      </c>
    </row>
    <row r="20">
      <c r="A20" t="inlineStr">
        <is>
          <t>Tucupido</t>
        </is>
      </c>
      <c r="B20" t="inlineStr">
        <is>
          <t>10</t>
        </is>
      </c>
      <c r="C20" t="n">
        <v>0</v>
      </c>
      <c r="D20" t="n">
        <v>4</v>
      </c>
      <c r="E20" t="n">
        <v>4</v>
      </c>
    </row>
    <row r="21">
      <c r="A21" t="inlineStr">
        <is>
          <t>Tucupido</t>
        </is>
      </c>
      <c r="B21" t="inlineStr">
        <is>
          <t>12</t>
        </is>
      </c>
      <c r="C21" t="n">
        <v>0</v>
      </c>
      <c r="D21" t="n">
        <v>4</v>
      </c>
      <c r="E21" t="n">
        <v>4</v>
      </c>
    </row>
    <row r="22">
      <c r="A22" t="inlineStr">
        <is>
          <t>Tucupido</t>
        </is>
      </c>
      <c r="B22" t="inlineStr">
        <is>
          <t>14</t>
        </is>
      </c>
      <c r="C22" t="n">
        <v>4</v>
      </c>
      <c r="D22" t="n">
        <v>6</v>
      </c>
      <c r="E22" t="n">
        <v>2</v>
      </c>
    </row>
    <row r="23">
      <c r="A23" t="inlineStr">
        <is>
          <t>Nuevo color</t>
        </is>
      </c>
      <c r="B23" t="inlineStr">
        <is>
          <t>2</t>
        </is>
      </c>
      <c r="C23" t="n">
        <v>10</v>
      </c>
      <c r="D23" t="n">
        <v>10</v>
      </c>
      <c r="E23" t="n">
        <v>0</v>
      </c>
    </row>
    <row r="24">
      <c r="A24" t="inlineStr">
        <is>
          <t>Nuevo color</t>
        </is>
      </c>
      <c r="B24" t="inlineStr">
        <is>
          <t>4</t>
        </is>
      </c>
      <c r="C24" t="n">
        <v>10</v>
      </c>
      <c r="D24" t="n">
        <v>19</v>
      </c>
      <c r="E24" t="n">
        <v>9</v>
      </c>
    </row>
    <row r="25">
      <c r="A25" t="inlineStr">
        <is>
          <t>Nuevo color</t>
        </is>
      </c>
      <c r="B25" t="inlineStr">
        <is>
          <t>6</t>
        </is>
      </c>
      <c r="C25" t="n">
        <v>16</v>
      </c>
      <c r="D25" t="n">
        <v>19</v>
      </c>
      <c r="E25" t="n">
        <v>3</v>
      </c>
    </row>
    <row r="26">
      <c r="A26" t="inlineStr">
        <is>
          <t>Nuevo color</t>
        </is>
      </c>
      <c r="B26" t="inlineStr">
        <is>
          <t>8</t>
        </is>
      </c>
      <c r="C26" t="n">
        <v>16</v>
      </c>
      <c r="D26" t="n">
        <v>19</v>
      </c>
      <c r="E26" t="n">
        <v>3</v>
      </c>
    </row>
    <row r="27">
      <c r="A27" t="inlineStr">
        <is>
          <t>Nuevo color</t>
        </is>
      </c>
      <c r="B27" t="inlineStr">
        <is>
          <t>10</t>
        </is>
      </c>
      <c r="C27" t="n">
        <v>16</v>
      </c>
      <c r="D27" t="n">
        <v>19</v>
      </c>
      <c r="E27" t="n">
        <v>3</v>
      </c>
    </row>
    <row r="28">
      <c r="A28" t="inlineStr">
        <is>
          <t>Nuevo color</t>
        </is>
      </c>
      <c r="B28" t="inlineStr">
        <is>
          <t>12</t>
        </is>
      </c>
      <c r="C28" t="n">
        <v>20</v>
      </c>
      <c r="D28" t="n">
        <v>19</v>
      </c>
      <c r="E28" t="n">
        <v>-1</v>
      </c>
    </row>
    <row r="29">
      <c r="A29" t="inlineStr">
        <is>
          <t>Nuevo color</t>
        </is>
      </c>
      <c r="B29" t="inlineStr">
        <is>
          <t>14</t>
        </is>
      </c>
      <c r="C29" t="n">
        <v>20</v>
      </c>
      <c r="D29" t="n">
        <v>30</v>
      </c>
      <c r="E2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2026-09-13T21:19:28Z</dcterms:created>
  <dcterms:modified xsi:type="dcterms:W3CDTF">2026-09-13T21:19:28Z</dcterms:modified>
</cp:coreProperties>
</file>