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ARAMETROS" sheetId="2" state="visible" r:id="rId2"/>
    <sheet name="METAS" sheetId="3" state="visible" r:id="rId3"/>
    <sheet name="MIX TALLAS" sheetId="4" state="visible" r:id="rId4"/>
    <sheet name="PLAN COLORES" sheetId="5" state="visible" r:id="rId5"/>
    <sheet name="RIO KIDS" sheetId="6" state="visible" r:id="rId6"/>
    <sheet name="MAR KIDS" sheetId="7" state="visible" r:id="rId7"/>
    <sheet name="MAR CAB-DAMA" sheetId="8" state="visible" r:id="rId8"/>
    <sheet name="RIO CAB-DAMA" sheetId="9" state="visible" r:id="rId9"/>
    <sheet name="RES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0" fillId="4" borderId="0" pivotButton="0" quotePrefix="0" xfId="0"/>
    <xf numFmtId="9" fontId="0" fillId="4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PLAN DE PRODUCCIÓN MAR / RIO — Guía rápida</t>
        </is>
      </c>
    </row>
    <row r="2">
      <c r="A2" t="inlineStr"/>
    </row>
    <row r="3">
      <c r="A3" t="inlineStr">
        <is>
          <t>1. Edita celdas AMARILLAS en PARAMETROS (% objetivo, inventario kg, und ya cortadas).</t>
        </is>
      </c>
    </row>
    <row r="4">
      <c r="A4" t="inlineStr">
        <is>
          <t>2. PLAN COLORES recalcula solo con fórmulas (pendiente, objetivo, und final, kg).</t>
        </is>
      </c>
    </row>
    <row r="5">
      <c r="A5" t="inlineStr">
        <is>
          <t>3. Prioridad de tela: P1 Rio KIDS → P2 Mar KIDS → P3-P6 adultos (50% meta).</t>
        </is>
      </c>
    </row>
    <row r="6">
      <c r="A6" t="inlineStr">
        <is>
          <t>4. Lote Mar Kids ya cortado = UND de producción WIP — NO resta kg del inventario.</t>
        </is>
      </c>
    </row>
    <row r="7">
      <c r="A7" t="inlineStr">
        <is>
          <t>5. Detalle por talla en pestañas: RIO KIDS, MAR KIDS, MAR CAB-DAMA, RIO CAB-DAMA.</t>
        </is>
      </c>
    </row>
    <row r="8">
      <c r="A8" t="inlineStr"/>
    </row>
    <row r="9">
      <c r="A9" t="inlineStr">
        <is>
          <t>Orden prioridad:</t>
        </is>
      </c>
    </row>
    <row r="10">
      <c r="A10" t="inlineStr">
        <is>
          <t xml:space="preserve">  P1 — RIO KIDS (primero — Mar ya tiene lote en corte)</t>
        </is>
      </c>
    </row>
    <row r="11">
      <c r="A11" t="inlineStr">
        <is>
          <t xml:space="preserve">  P2 — MAR KIDS</t>
        </is>
      </c>
    </row>
    <row r="12">
      <c r="A12" t="inlineStr">
        <is>
          <t xml:space="preserve">  P3 — MAR CAB  |  P4 — MAR DAMA  |  P5 — RIO CAB  |  P6 — RIO DAMA (50% meta máx)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PARÁMETROS EDITABLES (celdas amarillas)</t>
        </is>
      </c>
    </row>
    <row r="3">
      <c r="A3" t="inlineStr">
        <is>
          <t>% Objetivo KIDS</t>
        </is>
      </c>
      <c r="B3" s="3" t="n">
        <v>0.5</v>
      </c>
    </row>
    <row r="4">
      <c r="A4" t="inlineStr">
        <is>
          <t>% Objetivo CAB/DAMA</t>
        </is>
      </c>
      <c r="B4" s="3" t="n">
        <v>0.5</v>
      </c>
    </row>
    <row r="6">
      <c r="A6" s="4" t="inlineStr">
        <is>
          <t>Inventario tela Jabón (kg) — foto actual</t>
        </is>
      </c>
    </row>
    <row r="8">
      <c r="A8" s="5" t="inlineStr">
        <is>
          <t>Color</t>
        </is>
      </c>
      <c r="B8" s="5" t="inlineStr">
        <is>
          <t>Inventario kg</t>
        </is>
      </c>
    </row>
    <row r="9">
      <c r="A9" t="inlineStr">
        <is>
          <t>Azul Marino</t>
        </is>
      </c>
      <c r="B9" s="3" t="n">
        <v>689.9</v>
      </c>
    </row>
    <row r="10">
      <c r="A10" t="inlineStr">
        <is>
          <t>Negro</t>
        </is>
      </c>
      <c r="B10" s="3" t="n">
        <v>657.16</v>
      </c>
    </row>
    <row r="11">
      <c r="A11" t="inlineStr">
        <is>
          <t>Aguamarina</t>
        </is>
      </c>
      <c r="B11" s="3" t="n">
        <v>348.34</v>
      </c>
    </row>
    <row r="12">
      <c r="A12" t="inlineStr">
        <is>
          <t>Azul Rey</t>
        </is>
      </c>
      <c r="B12" s="3" t="n">
        <v>271.46</v>
      </c>
    </row>
    <row r="13">
      <c r="A13" t="inlineStr">
        <is>
          <t>Azul Lavanda</t>
        </is>
      </c>
      <c r="B13" s="3" t="n">
        <v>221</v>
      </c>
    </row>
    <row r="14">
      <c r="A14" t="inlineStr">
        <is>
          <t>Lila</t>
        </is>
      </c>
      <c r="B14" s="3" t="n">
        <v>188.44</v>
      </c>
    </row>
    <row r="15">
      <c r="A15" t="inlineStr">
        <is>
          <t>Vinotinto</t>
        </is>
      </c>
      <c r="B15" s="3" t="n">
        <v>175.38</v>
      </c>
    </row>
    <row r="16">
      <c r="A16" t="inlineStr">
        <is>
          <t>Blanco</t>
        </is>
      </c>
      <c r="B16" s="3" t="n">
        <v>162.04</v>
      </c>
    </row>
    <row r="17">
      <c r="A17" t="inlineStr">
        <is>
          <t>Morado</t>
        </is>
      </c>
      <c r="B17" s="3" t="n">
        <v>94.2</v>
      </c>
    </row>
    <row r="18">
      <c r="A18" t="inlineStr">
        <is>
          <t>Amarillo Neón</t>
        </is>
      </c>
      <c r="B18" s="3" t="n">
        <v>57.94</v>
      </c>
    </row>
    <row r="19">
      <c r="A19" t="inlineStr">
        <is>
          <t>Gris Claro</t>
        </is>
      </c>
      <c r="B19" s="3" t="n">
        <v>47.68</v>
      </c>
    </row>
    <row r="20">
      <c r="A20" t="inlineStr">
        <is>
          <t>Verde Militar</t>
        </is>
      </c>
      <c r="B20" s="3" t="n">
        <v>46.02</v>
      </c>
    </row>
    <row r="21">
      <c r="A21" t="inlineStr">
        <is>
          <t>Rosado Pastel</t>
        </is>
      </c>
      <c r="B21" s="3" t="n">
        <v>31.44</v>
      </c>
    </row>
    <row r="22">
      <c r="A22" t="inlineStr">
        <is>
          <t>Rojo</t>
        </is>
      </c>
      <c r="B22" s="3" t="n">
        <v>0.18</v>
      </c>
    </row>
    <row r="24">
      <c r="A24" s="4" t="inlineStr">
        <is>
          <t>Und ya cortadas Mar KIDS (lote producción — solo descuenta meta)</t>
        </is>
      </c>
    </row>
    <row r="26">
      <c r="A26" s="5" t="inlineStr">
        <is>
          <t>Color meta Mar KIDS</t>
        </is>
      </c>
      <c r="B26" s="5" t="inlineStr">
        <is>
          <t>Und cortadas</t>
        </is>
      </c>
    </row>
    <row r="27">
      <c r="A27" t="inlineStr">
        <is>
          <t>Blanco</t>
        </is>
      </c>
      <c r="B27" s="3" t="n">
        <v>0</v>
      </c>
    </row>
    <row r="28">
      <c r="A28" t="inlineStr">
        <is>
          <t>Azul Marino</t>
        </is>
      </c>
      <c r="B28" s="3" t="n">
        <v>118.2</v>
      </c>
    </row>
    <row r="29">
      <c r="A29" t="inlineStr">
        <is>
          <t>Negro</t>
        </is>
      </c>
      <c r="B29" s="3" t="n">
        <v>118.2</v>
      </c>
    </row>
    <row r="30">
      <c r="A30" t="inlineStr">
        <is>
          <t>Lila</t>
        </is>
      </c>
      <c r="B30" s="3" t="n">
        <v>118.2</v>
      </c>
    </row>
    <row r="31">
      <c r="A31" t="inlineStr">
        <is>
          <t>Aguamarina</t>
        </is>
      </c>
      <c r="B31" s="3" t="n">
        <v>118.2</v>
      </c>
    </row>
    <row r="32">
      <c r="A32" t="inlineStr">
        <is>
          <t>Rojo</t>
        </is>
      </c>
      <c r="B32" s="3" t="n">
        <v>118.2</v>
      </c>
    </row>
    <row r="33">
      <c r="A33" t="inlineStr">
        <is>
          <t>Azul Rey</t>
        </is>
      </c>
      <c r="B33" s="3" t="n">
        <v>118.2</v>
      </c>
    </row>
    <row r="34">
      <c r="A34" t="inlineStr">
        <is>
          <t>Verde Militar</t>
        </is>
      </c>
      <c r="B34" s="3" t="n">
        <v>118.2</v>
      </c>
    </row>
    <row r="35">
      <c r="A35" t="inlineStr">
        <is>
          <t>Rosado Pastel</t>
        </is>
      </c>
      <c r="B35" s="3" t="n">
        <v>118.2</v>
      </c>
    </row>
    <row r="36">
      <c r="A36" t="inlineStr">
        <is>
          <t>Púrpura</t>
        </is>
      </c>
      <c r="B36" s="3" t="n">
        <v>0</v>
      </c>
    </row>
    <row r="37">
      <c r="A37" t="inlineStr">
        <is>
          <t>Azul Lavanda</t>
        </is>
      </c>
      <c r="B37" s="3" t="n">
        <v>118.2</v>
      </c>
    </row>
    <row r="38">
      <c r="A38" t="inlineStr">
        <is>
          <t>Amarillo Neón</t>
        </is>
      </c>
      <c r="B3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6" customWidth="1" min="4" max="4"/>
  </cols>
  <sheetData>
    <row r="1">
      <c r="A1" s="5" t="inlineStr">
        <is>
          <t>Modelo</t>
        </is>
      </c>
      <c r="B1" s="5" t="inlineStr">
        <is>
          <t>Género</t>
        </is>
      </c>
      <c r="C1" s="5" t="inlineStr">
        <is>
          <t>Color</t>
        </is>
      </c>
      <c r="D1" s="5" t="inlineStr">
        <is>
          <t>Meta máx Excel</t>
        </is>
      </c>
    </row>
    <row r="2">
      <c r="A2" t="inlineStr">
        <is>
          <t>MAR</t>
        </is>
      </c>
      <c r="B2" t="inlineStr">
        <is>
          <t>KIDS</t>
        </is>
      </c>
      <c r="C2" t="inlineStr">
        <is>
          <t>Blanco</t>
        </is>
      </c>
      <c r="D2" t="n">
        <v>460</v>
      </c>
    </row>
    <row r="3">
      <c r="A3" t="inlineStr">
        <is>
          <t>MAR</t>
        </is>
      </c>
      <c r="B3" t="inlineStr">
        <is>
          <t>KIDS</t>
        </is>
      </c>
      <c r="C3" t="inlineStr">
        <is>
          <t>Azul Marino</t>
        </is>
      </c>
      <c r="D3" t="n">
        <v>409</v>
      </c>
    </row>
    <row r="4">
      <c r="A4" t="inlineStr">
        <is>
          <t>MAR</t>
        </is>
      </c>
      <c r="B4" t="inlineStr">
        <is>
          <t>KIDS</t>
        </is>
      </c>
      <c r="C4" t="inlineStr">
        <is>
          <t>Negro</t>
        </is>
      </c>
      <c r="D4" t="n">
        <v>379</v>
      </c>
    </row>
    <row r="5">
      <c r="A5" t="inlineStr">
        <is>
          <t>MAR</t>
        </is>
      </c>
      <c r="B5" t="inlineStr">
        <is>
          <t>KIDS</t>
        </is>
      </c>
      <c r="C5" t="inlineStr">
        <is>
          <t>Lila</t>
        </is>
      </c>
      <c r="D5" t="n">
        <v>254</v>
      </c>
    </row>
    <row r="6">
      <c r="A6" t="inlineStr">
        <is>
          <t>MAR</t>
        </is>
      </c>
      <c r="B6" t="inlineStr">
        <is>
          <t>KIDS</t>
        </is>
      </c>
      <c r="C6" t="inlineStr">
        <is>
          <t>Aguamarina</t>
        </is>
      </c>
      <c r="D6" t="n">
        <v>243</v>
      </c>
    </row>
    <row r="7">
      <c r="A7" t="inlineStr">
        <is>
          <t>MAR</t>
        </is>
      </c>
      <c r="B7" t="inlineStr">
        <is>
          <t>KIDS</t>
        </is>
      </c>
      <c r="C7" t="inlineStr">
        <is>
          <t>Rojo</t>
        </is>
      </c>
      <c r="D7" t="n">
        <v>239</v>
      </c>
    </row>
    <row r="8">
      <c r="A8" t="inlineStr">
        <is>
          <t>MAR</t>
        </is>
      </c>
      <c r="B8" t="inlineStr">
        <is>
          <t>KIDS</t>
        </is>
      </c>
      <c r="C8" t="inlineStr">
        <is>
          <t>Azul Rey</t>
        </is>
      </c>
      <c r="D8" t="n">
        <v>232</v>
      </c>
    </row>
    <row r="9">
      <c r="A9" t="inlineStr">
        <is>
          <t>MAR</t>
        </is>
      </c>
      <c r="B9" t="inlineStr">
        <is>
          <t>KIDS</t>
        </is>
      </c>
      <c r="C9" t="inlineStr">
        <is>
          <t>Verde Militar</t>
        </is>
      </c>
      <c r="D9" t="n">
        <v>224</v>
      </c>
    </row>
    <row r="10">
      <c r="A10" t="inlineStr">
        <is>
          <t>MAR</t>
        </is>
      </c>
      <c r="B10" t="inlineStr">
        <is>
          <t>KIDS</t>
        </is>
      </c>
      <c r="C10" t="inlineStr">
        <is>
          <t>Rosado Pastel</t>
        </is>
      </c>
      <c r="D10" t="n">
        <v>214</v>
      </c>
    </row>
    <row r="11">
      <c r="A11" t="inlineStr">
        <is>
          <t>MAR</t>
        </is>
      </c>
      <c r="B11" t="inlineStr">
        <is>
          <t>KIDS</t>
        </is>
      </c>
      <c r="C11" t="inlineStr">
        <is>
          <t>Púrpura</t>
        </is>
      </c>
      <c r="D11" t="n">
        <v>180</v>
      </c>
    </row>
    <row r="12">
      <c r="A12" t="inlineStr">
        <is>
          <t>MAR</t>
        </is>
      </c>
      <c r="B12" t="inlineStr">
        <is>
          <t>KIDS</t>
        </is>
      </c>
      <c r="C12" t="inlineStr">
        <is>
          <t>Azul Lavanda</t>
        </is>
      </c>
      <c r="D12" t="n">
        <v>153</v>
      </c>
    </row>
    <row r="13">
      <c r="A13" t="inlineStr">
        <is>
          <t>MAR</t>
        </is>
      </c>
      <c r="B13" t="inlineStr">
        <is>
          <t>KIDS</t>
        </is>
      </c>
      <c r="C13" t="inlineStr">
        <is>
          <t>Amarillo Neón</t>
        </is>
      </c>
      <c r="D13" t="n">
        <v>114</v>
      </c>
    </row>
    <row r="14">
      <c r="A14" t="inlineStr">
        <is>
          <t>MAR</t>
        </is>
      </c>
      <c r="B14" t="inlineStr">
        <is>
          <t>CAB</t>
        </is>
      </c>
      <c r="C14" t="inlineStr">
        <is>
          <t>Negro</t>
        </is>
      </c>
      <c r="D14" t="n">
        <v>555</v>
      </c>
    </row>
    <row r="15">
      <c r="A15" t="inlineStr">
        <is>
          <t>MAR</t>
        </is>
      </c>
      <c r="B15" t="inlineStr">
        <is>
          <t>CAB</t>
        </is>
      </c>
      <c r="C15" t="inlineStr">
        <is>
          <t>Azul Marino</t>
        </is>
      </c>
      <c r="D15" t="n">
        <v>473</v>
      </c>
    </row>
    <row r="16">
      <c r="A16" t="inlineStr">
        <is>
          <t>MAR</t>
        </is>
      </c>
      <c r="B16" t="inlineStr">
        <is>
          <t>CAB</t>
        </is>
      </c>
      <c r="C16" t="inlineStr">
        <is>
          <t>Blanco</t>
        </is>
      </c>
      <c r="D16" t="n">
        <v>390</v>
      </c>
    </row>
    <row r="17">
      <c r="A17" t="inlineStr">
        <is>
          <t>MAR</t>
        </is>
      </c>
      <c r="B17" t="inlineStr">
        <is>
          <t>CAB</t>
        </is>
      </c>
      <c r="C17" t="inlineStr">
        <is>
          <t>Verde Militar</t>
        </is>
      </c>
      <c r="D17" t="n">
        <v>355</v>
      </c>
    </row>
    <row r="18">
      <c r="A18" t="inlineStr">
        <is>
          <t>MAR</t>
        </is>
      </c>
      <c r="B18" t="inlineStr">
        <is>
          <t>CAB</t>
        </is>
      </c>
      <c r="C18" t="inlineStr">
        <is>
          <t>Azul Lavanda</t>
        </is>
      </c>
      <c r="D18" t="n">
        <v>268</v>
      </c>
    </row>
    <row r="19">
      <c r="A19" t="inlineStr">
        <is>
          <t>MAR</t>
        </is>
      </c>
      <c r="B19" t="inlineStr">
        <is>
          <t>CAB</t>
        </is>
      </c>
      <c r="C19" t="inlineStr">
        <is>
          <t>Azul Rey</t>
        </is>
      </c>
      <c r="D19" t="n">
        <v>205</v>
      </c>
    </row>
    <row r="20">
      <c r="A20" t="inlineStr">
        <is>
          <t>MAR</t>
        </is>
      </c>
      <c r="B20" t="inlineStr">
        <is>
          <t>CAB</t>
        </is>
      </c>
      <c r="C20" t="inlineStr">
        <is>
          <t>Gris Claro</t>
        </is>
      </c>
      <c r="D20" t="n">
        <v>190</v>
      </c>
    </row>
    <row r="21">
      <c r="A21" t="inlineStr">
        <is>
          <t>MAR</t>
        </is>
      </c>
      <c r="B21" t="inlineStr">
        <is>
          <t>CAB</t>
        </is>
      </c>
      <c r="C21" t="inlineStr">
        <is>
          <t>Aguamarina</t>
        </is>
      </c>
      <c r="D21" t="n">
        <v>151</v>
      </c>
    </row>
    <row r="22">
      <c r="A22" t="inlineStr">
        <is>
          <t>MAR</t>
        </is>
      </c>
      <c r="B22" t="inlineStr">
        <is>
          <t>CAB</t>
        </is>
      </c>
      <c r="C22" t="inlineStr">
        <is>
          <t>Vinotinto</t>
        </is>
      </c>
      <c r="D22" t="n">
        <v>124</v>
      </c>
    </row>
    <row r="23">
      <c r="A23" t="inlineStr">
        <is>
          <t>MAR</t>
        </is>
      </c>
      <c r="B23" t="inlineStr">
        <is>
          <t>CAB</t>
        </is>
      </c>
      <c r="C23" t="inlineStr">
        <is>
          <t>Rojo</t>
        </is>
      </c>
      <c r="D23" t="n">
        <v>122</v>
      </c>
    </row>
    <row r="24">
      <c r="A24" t="inlineStr">
        <is>
          <t>MAR</t>
        </is>
      </c>
      <c r="B24" t="inlineStr">
        <is>
          <t>CAB</t>
        </is>
      </c>
      <c r="C24" t="inlineStr">
        <is>
          <t>Amarillo Neón</t>
        </is>
      </c>
      <c r="D24" t="n">
        <v>67</v>
      </c>
    </row>
    <row r="25">
      <c r="A25" t="inlineStr">
        <is>
          <t>MAR</t>
        </is>
      </c>
      <c r="B25" t="inlineStr">
        <is>
          <t>DAMA</t>
        </is>
      </c>
      <c r="C25" t="inlineStr">
        <is>
          <t>Negro</t>
        </is>
      </c>
      <c r="D25" t="n">
        <v>417</v>
      </c>
    </row>
    <row r="26">
      <c r="A26" t="inlineStr">
        <is>
          <t>MAR</t>
        </is>
      </c>
      <c r="B26" t="inlineStr">
        <is>
          <t>DAMA</t>
        </is>
      </c>
      <c r="C26" t="inlineStr">
        <is>
          <t>Blanco</t>
        </is>
      </c>
      <c r="D26" t="n">
        <v>393</v>
      </c>
    </row>
    <row r="27">
      <c r="A27" t="inlineStr">
        <is>
          <t>MAR</t>
        </is>
      </c>
      <c r="B27" t="inlineStr">
        <is>
          <t>DAMA</t>
        </is>
      </c>
      <c r="C27" t="inlineStr">
        <is>
          <t>Azul Marino</t>
        </is>
      </c>
      <c r="D27" t="n">
        <v>357</v>
      </c>
    </row>
    <row r="28">
      <c r="A28" t="inlineStr">
        <is>
          <t>MAR</t>
        </is>
      </c>
      <c r="B28" t="inlineStr">
        <is>
          <t>DAMA</t>
        </is>
      </c>
      <c r="C28" t="inlineStr">
        <is>
          <t>Verde Militar</t>
        </is>
      </c>
      <c r="D28" t="n">
        <v>272</v>
      </c>
    </row>
    <row r="29">
      <c r="A29" t="inlineStr">
        <is>
          <t>MAR</t>
        </is>
      </c>
      <c r="B29" t="inlineStr">
        <is>
          <t>DAMA</t>
        </is>
      </c>
      <c r="C29" t="inlineStr">
        <is>
          <t>Azul Lavanda</t>
        </is>
      </c>
      <c r="D29" t="n">
        <v>232</v>
      </c>
    </row>
    <row r="30">
      <c r="A30" t="inlineStr">
        <is>
          <t>MAR</t>
        </is>
      </c>
      <c r="B30" t="inlineStr">
        <is>
          <t>DAMA</t>
        </is>
      </c>
      <c r="C30" t="inlineStr">
        <is>
          <t>Púrpura</t>
        </is>
      </c>
      <c r="D30" t="n">
        <v>196</v>
      </c>
    </row>
    <row r="31">
      <c r="A31" t="inlineStr">
        <is>
          <t>MAR</t>
        </is>
      </c>
      <c r="B31" t="inlineStr">
        <is>
          <t>DAMA</t>
        </is>
      </c>
      <c r="C31" t="inlineStr">
        <is>
          <t>Lila</t>
        </is>
      </c>
      <c r="D31" t="n">
        <v>193</v>
      </c>
    </row>
    <row r="32">
      <c r="A32" t="inlineStr">
        <is>
          <t>MAR</t>
        </is>
      </c>
      <c r="B32" t="inlineStr">
        <is>
          <t>DAMA</t>
        </is>
      </c>
      <c r="C32" t="inlineStr">
        <is>
          <t>Rojo</t>
        </is>
      </c>
      <c r="D32" t="n">
        <v>168</v>
      </c>
    </row>
    <row r="33">
      <c r="A33" t="inlineStr">
        <is>
          <t>MAR</t>
        </is>
      </c>
      <c r="B33" t="inlineStr">
        <is>
          <t>DAMA</t>
        </is>
      </c>
      <c r="C33" t="inlineStr">
        <is>
          <t>Vinotinto</t>
        </is>
      </c>
      <c r="D33" t="n">
        <v>162</v>
      </c>
    </row>
    <row r="34">
      <c r="A34" t="inlineStr">
        <is>
          <t>MAR</t>
        </is>
      </c>
      <c r="B34" t="inlineStr">
        <is>
          <t>DAMA</t>
        </is>
      </c>
      <c r="C34" t="inlineStr">
        <is>
          <t>Aguamarina</t>
        </is>
      </c>
      <c r="D34" t="n">
        <v>135</v>
      </c>
    </row>
    <row r="35">
      <c r="A35" t="inlineStr">
        <is>
          <t>MAR</t>
        </is>
      </c>
      <c r="B35" t="inlineStr">
        <is>
          <t>DAMA</t>
        </is>
      </c>
      <c r="C35" t="inlineStr">
        <is>
          <t>Rosado Pastel</t>
        </is>
      </c>
      <c r="D35" t="n">
        <v>108</v>
      </c>
    </row>
    <row r="36">
      <c r="A36" t="inlineStr">
        <is>
          <t>MAR</t>
        </is>
      </c>
      <c r="B36" t="inlineStr">
        <is>
          <t>DAMA</t>
        </is>
      </c>
      <c r="C36" t="inlineStr">
        <is>
          <t>Amarillo Neón</t>
        </is>
      </c>
      <c r="D36" t="n">
        <v>67</v>
      </c>
    </row>
    <row r="37">
      <c r="A37" t="inlineStr">
        <is>
          <t>RIO</t>
        </is>
      </c>
      <c r="B37" t="inlineStr">
        <is>
          <t>KIDS</t>
        </is>
      </c>
      <c r="C37" t="inlineStr">
        <is>
          <t>Azul Marino</t>
        </is>
      </c>
      <c r="D37" t="n">
        <v>361</v>
      </c>
    </row>
    <row r="38">
      <c r="A38" t="inlineStr">
        <is>
          <t>RIO</t>
        </is>
      </c>
      <c r="B38" t="inlineStr">
        <is>
          <t>KIDS</t>
        </is>
      </c>
      <c r="C38" t="inlineStr">
        <is>
          <t>Azul Lavanda</t>
        </is>
      </c>
      <c r="D38" t="n">
        <v>351</v>
      </c>
    </row>
    <row r="39">
      <c r="A39" t="inlineStr">
        <is>
          <t>RIO</t>
        </is>
      </c>
      <c r="B39" t="inlineStr">
        <is>
          <t>KIDS</t>
        </is>
      </c>
      <c r="C39" t="inlineStr">
        <is>
          <t>Negro</t>
        </is>
      </c>
      <c r="D39" t="n">
        <v>317</v>
      </c>
    </row>
    <row r="40">
      <c r="A40" t="inlineStr">
        <is>
          <t>RIO</t>
        </is>
      </c>
      <c r="B40" t="inlineStr">
        <is>
          <t>KIDS</t>
        </is>
      </c>
      <c r="C40" t="inlineStr">
        <is>
          <t>Lila</t>
        </is>
      </c>
      <c r="D40" t="n">
        <v>294</v>
      </c>
    </row>
    <row r="41">
      <c r="A41" t="inlineStr">
        <is>
          <t>RIO</t>
        </is>
      </c>
      <c r="B41" t="inlineStr">
        <is>
          <t>KIDS</t>
        </is>
      </c>
      <c r="C41" t="inlineStr">
        <is>
          <t>Azul Rey</t>
        </is>
      </c>
      <c r="D41" t="n">
        <v>284</v>
      </c>
    </row>
    <row r="42">
      <c r="A42" t="inlineStr">
        <is>
          <t>RIO</t>
        </is>
      </c>
      <c r="B42" t="inlineStr">
        <is>
          <t>KIDS</t>
        </is>
      </c>
      <c r="C42" t="inlineStr">
        <is>
          <t>Rojo</t>
        </is>
      </c>
      <c r="D42" t="n">
        <v>260</v>
      </c>
    </row>
    <row r="43">
      <c r="A43" t="inlineStr">
        <is>
          <t>RIO</t>
        </is>
      </c>
      <c r="B43" t="inlineStr">
        <is>
          <t>KIDS</t>
        </is>
      </c>
      <c r="C43" t="inlineStr">
        <is>
          <t>Blanco</t>
        </is>
      </c>
      <c r="D43" t="n">
        <v>224</v>
      </c>
    </row>
    <row r="44">
      <c r="A44" t="inlineStr">
        <is>
          <t>RIO</t>
        </is>
      </c>
      <c r="B44" t="inlineStr">
        <is>
          <t>KIDS</t>
        </is>
      </c>
      <c r="C44" t="inlineStr">
        <is>
          <t>Aguamarina</t>
        </is>
      </c>
      <c r="D44" t="n">
        <v>215</v>
      </c>
    </row>
    <row r="45">
      <c r="A45" t="inlineStr">
        <is>
          <t>RIO</t>
        </is>
      </c>
      <c r="B45" t="inlineStr">
        <is>
          <t>KIDS</t>
        </is>
      </c>
      <c r="C45" t="inlineStr">
        <is>
          <t>Púrpura</t>
        </is>
      </c>
      <c r="D45" t="n">
        <v>212</v>
      </c>
    </row>
    <row r="46">
      <c r="A46" t="inlineStr">
        <is>
          <t>RIO</t>
        </is>
      </c>
      <c r="B46" t="inlineStr">
        <is>
          <t>KIDS</t>
        </is>
      </c>
      <c r="C46" t="inlineStr">
        <is>
          <t>Verde Militar</t>
        </is>
      </c>
      <c r="D46" t="n">
        <v>162</v>
      </c>
    </row>
    <row r="47">
      <c r="A47" t="inlineStr">
        <is>
          <t>RIO</t>
        </is>
      </c>
      <c r="B47" t="inlineStr">
        <is>
          <t>KIDS</t>
        </is>
      </c>
      <c r="C47" t="inlineStr">
        <is>
          <t>Rosado Pastel</t>
        </is>
      </c>
      <c r="D47" t="n">
        <v>142</v>
      </c>
    </row>
    <row r="48">
      <c r="A48" t="inlineStr">
        <is>
          <t>RIO</t>
        </is>
      </c>
      <c r="B48" t="inlineStr">
        <is>
          <t>KIDS</t>
        </is>
      </c>
      <c r="C48" t="inlineStr">
        <is>
          <t>Amarillo Neón</t>
        </is>
      </c>
      <c r="D48" t="n">
        <v>130</v>
      </c>
    </row>
    <row r="49">
      <c r="A49" t="inlineStr">
        <is>
          <t>RIO</t>
        </is>
      </c>
      <c r="B49" t="inlineStr">
        <is>
          <t>CAB</t>
        </is>
      </c>
      <c r="C49" t="inlineStr">
        <is>
          <t>Negro</t>
        </is>
      </c>
      <c r="D49" t="n">
        <v>557</v>
      </c>
    </row>
    <row r="50">
      <c r="A50" t="inlineStr">
        <is>
          <t>RIO</t>
        </is>
      </c>
      <c r="B50" t="inlineStr">
        <is>
          <t>CAB</t>
        </is>
      </c>
      <c r="C50" t="inlineStr">
        <is>
          <t>Blanco</t>
        </is>
      </c>
      <c r="D50" t="n">
        <v>356</v>
      </c>
    </row>
    <row r="51">
      <c r="A51" t="inlineStr">
        <is>
          <t>RIO</t>
        </is>
      </c>
      <c r="B51" t="inlineStr">
        <is>
          <t>CAB</t>
        </is>
      </c>
      <c r="C51" t="inlineStr">
        <is>
          <t>Azul Marino</t>
        </is>
      </c>
      <c r="D51" t="n">
        <v>336</v>
      </c>
    </row>
    <row r="52">
      <c r="A52" t="inlineStr">
        <is>
          <t>RIO</t>
        </is>
      </c>
      <c r="B52" t="inlineStr">
        <is>
          <t>CAB</t>
        </is>
      </c>
      <c r="C52" t="inlineStr">
        <is>
          <t>Azul Rey</t>
        </is>
      </c>
      <c r="D52" t="n">
        <v>277</v>
      </c>
    </row>
    <row r="53">
      <c r="A53" t="inlineStr">
        <is>
          <t>RIO</t>
        </is>
      </c>
      <c r="B53" t="inlineStr">
        <is>
          <t>CAB</t>
        </is>
      </c>
      <c r="C53" t="inlineStr">
        <is>
          <t>Azul Lavanda</t>
        </is>
      </c>
      <c r="D53" t="n">
        <v>267</v>
      </c>
    </row>
    <row r="54">
      <c r="A54" t="inlineStr">
        <is>
          <t>RIO</t>
        </is>
      </c>
      <c r="B54" t="inlineStr">
        <is>
          <t>CAB</t>
        </is>
      </c>
      <c r="C54" t="inlineStr">
        <is>
          <t>Verde Militar</t>
        </is>
      </c>
      <c r="D54" t="n">
        <v>245</v>
      </c>
    </row>
    <row r="55">
      <c r="A55" t="inlineStr">
        <is>
          <t>RIO</t>
        </is>
      </c>
      <c r="B55" t="inlineStr">
        <is>
          <t>CAB</t>
        </is>
      </c>
      <c r="C55" t="inlineStr">
        <is>
          <t>Rojo</t>
        </is>
      </c>
      <c r="D55" t="n">
        <v>227</v>
      </c>
    </row>
    <row r="56">
      <c r="A56" t="inlineStr">
        <is>
          <t>RIO</t>
        </is>
      </c>
      <c r="B56" t="inlineStr">
        <is>
          <t>CAB</t>
        </is>
      </c>
      <c r="C56" t="inlineStr">
        <is>
          <t>Vinotinto</t>
        </is>
      </c>
      <c r="D56" t="n">
        <v>183</v>
      </c>
    </row>
    <row r="57">
      <c r="A57" t="inlineStr">
        <is>
          <t>RIO</t>
        </is>
      </c>
      <c r="B57" t="inlineStr">
        <is>
          <t>CAB</t>
        </is>
      </c>
      <c r="C57" t="inlineStr">
        <is>
          <t>Aguamarina</t>
        </is>
      </c>
      <c r="D57" t="n">
        <v>154</v>
      </c>
    </row>
    <row r="58">
      <c r="A58" t="inlineStr">
        <is>
          <t>RIO</t>
        </is>
      </c>
      <c r="B58" t="inlineStr">
        <is>
          <t>CAB</t>
        </is>
      </c>
      <c r="C58" t="inlineStr">
        <is>
          <t>Gris Claro</t>
        </is>
      </c>
      <c r="D58" t="n">
        <v>133</v>
      </c>
    </row>
    <row r="59">
      <c r="A59" t="inlineStr">
        <is>
          <t>RIO</t>
        </is>
      </c>
      <c r="B59" t="inlineStr">
        <is>
          <t>CAB</t>
        </is>
      </c>
      <c r="C59" t="inlineStr">
        <is>
          <t>Amarillo Neón</t>
        </is>
      </c>
      <c r="D59" t="n">
        <v>47</v>
      </c>
    </row>
    <row r="60">
      <c r="A60" t="inlineStr">
        <is>
          <t>RIO</t>
        </is>
      </c>
      <c r="B60" t="inlineStr">
        <is>
          <t>DAMA</t>
        </is>
      </c>
      <c r="C60" t="inlineStr">
        <is>
          <t>Negro</t>
        </is>
      </c>
      <c r="D60" t="n">
        <v>561</v>
      </c>
    </row>
    <row r="61">
      <c r="A61" t="inlineStr">
        <is>
          <t>RIO</t>
        </is>
      </c>
      <c r="B61" t="inlineStr">
        <is>
          <t>DAMA</t>
        </is>
      </c>
      <c r="C61" t="inlineStr">
        <is>
          <t>Azul Marino</t>
        </is>
      </c>
      <c r="D61" t="n">
        <v>388</v>
      </c>
    </row>
    <row r="62">
      <c r="A62" t="inlineStr">
        <is>
          <t>RIO</t>
        </is>
      </c>
      <c r="B62" t="inlineStr">
        <is>
          <t>DAMA</t>
        </is>
      </c>
      <c r="C62" t="inlineStr">
        <is>
          <t>Blanco</t>
        </is>
      </c>
      <c r="D62" t="n">
        <v>343</v>
      </c>
    </row>
    <row r="63">
      <c r="A63" t="inlineStr">
        <is>
          <t>RIO</t>
        </is>
      </c>
      <c r="B63" t="inlineStr">
        <is>
          <t>DAMA</t>
        </is>
      </c>
      <c r="C63" t="inlineStr">
        <is>
          <t>Aguamarina</t>
        </is>
      </c>
      <c r="D63" t="n">
        <v>286</v>
      </c>
    </row>
    <row r="64">
      <c r="A64" t="inlineStr">
        <is>
          <t>RIO</t>
        </is>
      </c>
      <c r="B64" t="inlineStr">
        <is>
          <t>DAMA</t>
        </is>
      </c>
      <c r="C64" t="inlineStr">
        <is>
          <t>Lila</t>
        </is>
      </c>
      <c r="D64" t="n">
        <v>283</v>
      </c>
    </row>
    <row r="65">
      <c r="A65" t="inlineStr">
        <is>
          <t>RIO</t>
        </is>
      </c>
      <c r="B65" t="inlineStr">
        <is>
          <t>DAMA</t>
        </is>
      </c>
      <c r="C65" t="inlineStr">
        <is>
          <t>Azul Lavanda</t>
        </is>
      </c>
      <c r="D65" t="n">
        <v>269</v>
      </c>
    </row>
    <row r="66">
      <c r="A66" t="inlineStr">
        <is>
          <t>RIO</t>
        </is>
      </c>
      <c r="B66" t="inlineStr">
        <is>
          <t>DAMA</t>
        </is>
      </c>
      <c r="C66" t="inlineStr">
        <is>
          <t>Rojo</t>
        </is>
      </c>
      <c r="D66" t="n">
        <v>180</v>
      </c>
    </row>
    <row r="67">
      <c r="A67" t="inlineStr">
        <is>
          <t>RIO</t>
        </is>
      </c>
      <c r="B67" t="inlineStr">
        <is>
          <t>DAMA</t>
        </is>
      </c>
      <c r="C67" t="inlineStr">
        <is>
          <t>Vinotinto</t>
        </is>
      </c>
      <c r="D67" t="n">
        <v>163</v>
      </c>
    </row>
    <row r="68">
      <c r="A68" t="inlineStr">
        <is>
          <t>RIO</t>
        </is>
      </c>
      <c r="B68" t="inlineStr">
        <is>
          <t>DAMA</t>
        </is>
      </c>
      <c r="C68" t="inlineStr">
        <is>
          <t>Verde Militar</t>
        </is>
      </c>
      <c r="D68" t="n">
        <v>146</v>
      </c>
    </row>
    <row r="69">
      <c r="A69" t="inlineStr">
        <is>
          <t>RIO</t>
        </is>
      </c>
      <c r="B69" t="inlineStr">
        <is>
          <t>DAMA</t>
        </is>
      </c>
      <c r="C69" t="inlineStr">
        <is>
          <t>Púrpura</t>
        </is>
      </c>
      <c r="D69" t="n">
        <v>140</v>
      </c>
    </row>
    <row r="70">
      <c r="A70" t="inlineStr">
        <is>
          <t>RIO</t>
        </is>
      </c>
      <c r="B70" t="inlineStr">
        <is>
          <t>DAMA</t>
        </is>
      </c>
      <c r="C70" t="inlineStr">
        <is>
          <t>Rosado Pastel</t>
        </is>
      </c>
      <c r="D70" t="n">
        <v>72</v>
      </c>
    </row>
    <row r="71">
      <c r="A71" t="inlineStr">
        <is>
          <t>RIO</t>
        </is>
      </c>
      <c r="B71" t="inlineStr">
        <is>
          <t>DAMA</t>
        </is>
      </c>
      <c r="C71" t="inlineStr">
        <is>
          <t>Amarillo Neón</t>
        </is>
      </c>
      <c r="D71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7" customWidth="1" min="4" max="4"/>
    <col width="15" customWidth="1" min="5" max="5"/>
    <col width="13" customWidth="1" min="6" max="6"/>
  </cols>
  <sheetData>
    <row r="1">
      <c r="A1" s="5" t="inlineStr">
        <is>
          <t>Modelo</t>
        </is>
      </c>
      <c r="B1" s="5" t="inlineStr">
        <is>
          <t>Género</t>
        </is>
      </c>
      <c r="C1" s="5" t="inlineStr">
        <is>
          <t>Color</t>
        </is>
      </c>
      <c r="D1" s="5" t="inlineStr">
        <is>
          <t>Talla</t>
        </is>
      </c>
      <c r="E1" s="5" t="inlineStr">
        <is>
          <t>Und máx Excel</t>
        </is>
      </c>
      <c r="F1" s="5" t="inlineStr">
        <is>
          <t>Total color</t>
        </is>
      </c>
    </row>
    <row r="2">
      <c r="A2" t="inlineStr">
        <is>
          <t>MAR</t>
        </is>
      </c>
      <c r="B2" t="inlineStr">
        <is>
          <t>CAB</t>
        </is>
      </c>
      <c r="C2" t="inlineStr">
        <is>
          <t>Negro</t>
        </is>
      </c>
      <c r="D2" t="inlineStr">
        <is>
          <t>S</t>
        </is>
      </c>
      <c r="E2" t="n">
        <v>90</v>
      </c>
      <c r="F2" t="n">
        <v>555</v>
      </c>
    </row>
    <row r="3">
      <c r="A3" t="inlineStr">
        <is>
          <t>MAR</t>
        </is>
      </c>
      <c r="B3" t="inlineStr">
        <is>
          <t>CAB</t>
        </is>
      </c>
      <c r="C3" t="inlineStr">
        <is>
          <t>Negro</t>
        </is>
      </c>
      <c r="D3" t="inlineStr">
        <is>
          <t>M</t>
        </is>
      </c>
      <c r="E3" t="n">
        <v>169</v>
      </c>
      <c r="F3" t="n">
        <v>555</v>
      </c>
    </row>
    <row r="4">
      <c r="A4" t="inlineStr">
        <is>
          <t>MAR</t>
        </is>
      </c>
      <c r="B4" t="inlineStr">
        <is>
          <t>CAB</t>
        </is>
      </c>
      <c r="C4" t="inlineStr">
        <is>
          <t>Negro</t>
        </is>
      </c>
      <c r="D4" t="inlineStr">
        <is>
          <t>L</t>
        </is>
      </c>
      <c r="E4" t="n">
        <v>162</v>
      </c>
      <c r="F4" t="n">
        <v>555</v>
      </c>
    </row>
    <row r="5">
      <c r="A5" t="inlineStr">
        <is>
          <t>MAR</t>
        </is>
      </c>
      <c r="B5" t="inlineStr">
        <is>
          <t>CAB</t>
        </is>
      </c>
      <c r="C5" t="inlineStr">
        <is>
          <t>Negro</t>
        </is>
      </c>
      <c r="D5" t="inlineStr">
        <is>
          <t>XL</t>
        </is>
      </c>
      <c r="E5" t="n">
        <v>88</v>
      </c>
      <c r="F5" t="n">
        <v>555</v>
      </c>
    </row>
    <row r="6">
      <c r="A6" t="inlineStr">
        <is>
          <t>MAR</t>
        </is>
      </c>
      <c r="B6" t="inlineStr">
        <is>
          <t>CAB</t>
        </is>
      </c>
      <c r="C6" t="inlineStr">
        <is>
          <t>Negro</t>
        </is>
      </c>
      <c r="D6" t="inlineStr">
        <is>
          <t>2XL</t>
        </is>
      </c>
      <c r="E6" t="n">
        <v>46</v>
      </c>
      <c r="F6" t="n">
        <v>555</v>
      </c>
    </row>
    <row r="7">
      <c r="A7" t="inlineStr">
        <is>
          <t>MAR</t>
        </is>
      </c>
      <c r="B7" t="inlineStr">
        <is>
          <t>CAB</t>
        </is>
      </c>
      <c r="C7" t="inlineStr">
        <is>
          <t>Azul Marino</t>
        </is>
      </c>
      <c r="D7" t="inlineStr">
        <is>
          <t>S</t>
        </is>
      </c>
      <c r="E7" t="n">
        <v>77</v>
      </c>
      <c r="F7" t="n">
        <v>473</v>
      </c>
    </row>
    <row r="8">
      <c r="A8" t="inlineStr">
        <is>
          <t>MAR</t>
        </is>
      </c>
      <c r="B8" t="inlineStr">
        <is>
          <t>CAB</t>
        </is>
      </c>
      <c r="C8" t="inlineStr">
        <is>
          <t>Azul Marino</t>
        </is>
      </c>
      <c r="D8" t="inlineStr">
        <is>
          <t>M</t>
        </is>
      </c>
      <c r="E8" t="n">
        <v>144</v>
      </c>
      <c r="F8" t="n">
        <v>473</v>
      </c>
    </row>
    <row r="9">
      <c r="A9" t="inlineStr">
        <is>
          <t>MAR</t>
        </is>
      </c>
      <c r="B9" t="inlineStr">
        <is>
          <t>CAB</t>
        </is>
      </c>
      <c r="C9" t="inlineStr">
        <is>
          <t>Azul Marino</t>
        </is>
      </c>
      <c r="D9" t="inlineStr">
        <is>
          <t>L</t>
        </is>
      </c>
      <c r="E9" t="n">
        <v>138</v>
      </c>
      <c r="F9" t="n">
        <v>473</v>
      </c>
    </row>
    <row r="10">
      <c r="A10" t="inlineStr">
        <is>
          <t>MAR</t>
        </is>
      </c>
      <c r="B10" t="inlineStr">
        <is>
          <t>CAB</t>
        </is>
      </c>
      <c r="C10" t="inlineStr">
        <is>
          <t>Azul Marino</t>
        </is>
      </c>
      <c r="D10" t="inlineStr">
        <is>
          <t>XL</t>
        </is>
      </c>
      <c r="E10" t="n">
        <v>75</v>
      </c>
      <c r="F10" t="n">
        <v>473</v>
      </c>
    </row>
    <row r="11">
      <c r="A11" t="inlineStr">
        <is>
          <t>MAR</t>
        </is>
      </c>
      <c r="B11" t="inlineStr">
        <is>
          <t>CAB</t>
        </is>
      </c>
      <c r="C11" t="inlineStr">
        <is>
          <t>Azul Marino</t>
        </is>
      </c>
      <c r="D11" t="inlineStr">
        <is>
          <t>2XL</t>
        </is>
      </c>
      <c r="E11" t="n">
        <v>39</v>
      </c>
      <c r="F11" t="n">
        <v>473</v>
      </c>
    </row>
    <row r="12">
      <c r="A12" t="inlineStr">
        <is>
          <t>MAR</t>
        </is>
      </c>
      <c r="B12" t="inlineStr">
        <is>
          <t>CAB</t>
        </is>
      </c>
      <c r="C12" t="inlineStr">
        <is>
          <t>Blanco</t>
        </is>
      </c>
      <c r="D12" t="inlineStr">
        <is>
          <t>S</t>
        </is>
      </c>
      <c r="E12" t="n">
        <v>63</v>
      </c>
      <c r="F12" t="n">
        <v>390</v>
      </c>
    </row>
    <row r="13">
      <c r="A13" t="inlineStr">
        <is>
          <t>MAR</t>
        </is>
      </c>
      <c r="B13" t="inlineStr">
        <is>
          <t>CAB</t>
        </is>
      </c>
      <c r="C13" t="inlineStr">
        <is>
          <t>Blanco</t>
        </is>
      </c>
      <c r="D13" t="inlineStr">
        <is>
          <t>M</t>
        </is>
      </c>
      <c r="E13" t="n">
        <v>119</v>
      </c>
      <c r="F13" t="n">
        <v>390</v>
      </c>
    </row>
    <row r="14">
      <c r="A14" t="inlineStr">
        <is>
          <t>MAR</t>
        </is>
      </c>
      <c r="B14" t="inlineStr">
        <is>
          <t>CAB</t>
        </is>
      </c>
      <c r="C14" t="inlineStr">
        <is>
          <t>Blanco</t>
        </is>
      </c>
      <c r="D14" t="inlineStr">
        <is>
          <t>L</t>
        </is>
      </c>
      <c r="E14" t="n">
        <v>114</v>
      </c>
      <c r="F14" t="n">
        <v>390</v>
      </c>
    </row>
    <row r="15">
      <c r="A15" t="inlineStr">
        <is>
          <t>MAR</t>
        </is>
      </c>
      <c r="B15" t="inlineStr">
        <is>
          <t>CAB</t>
        </is>
      </c>
      <c r="C15" t="inlineStr">
        <is>
          <t>Blanco</t>
        </is>
      </c>
      <c r="D15" t="inlineStr">
        <is>
          <t>XL</t>
        </is>
      </c>
      <c r="E15" t="n">
        <v>62</v>
      </c>
      <c r="F15" t="n">
        <v>390</v>
      </c>
    </row>
    <row r="16">
      <c r="A16" t="inlineStr">
        <is>
          <t>MAR</t>
        </is>
      </c>
      <c r="B16" t="inlineStr">
        <is>
          <t>CAB</t>
        </is>
      </c>
      <c r="C16" t="inlineStr">
        <is>
          <t>Blanco</t>
        </is>
      </c>
      <c r="D16" t="inlineStr">
        <is>
          <t>2XL</t>
        </is>
      </c>
      <c r="E16" t="n">
        <v>32</v>
      </c>
      <c r="F16" t="n">
        <v>390</v>
      </c>
    </row>
    <row r="17">
      <c r="A17" t="inlineStr">
        <is>
          <t>MAR</t>
        </is>
      </c>
      <c r="B17" t="inlineStr">
        <is>
          <t>CAB</t>
        </is>
      </c>
      <c r="C17" t="inlineStr">
        <is>
          <t>Verde Militar</t>
        </is>
      </c>
      <c r="D17" t="inlineStr">
        <is>
          <t>S</t>
        </is>
      </c>
      <c r="E17" t="n">
        <v>58</v>
      </c>
      <c r="F17" t="n">
        <v>355</v>
      </c>
    </row>
    <row r="18">
      <c r="A18" t="inlineStr">
        <is>
          <t>MAR</t>
        </is>
      </c>
      <c r="B18" t="inlineStr">
        <is>
          <t>CAB</t>
        </is>
      </c>
      <c r="C18" t="inlineStr">
        <is>
          <t>Verde Militar</t>
        </is>
      </c>
      <c r="D18" t="inlineStr">
        <is>
          <t>M</t>
        </is>
      </c>
      <c r="E18" t="n">
        <v>108</v>
      </c>
      <c r="F18" t="n">
        <v>355</v>
      </c>
    </row>
    <row r="19">
      <c r="A19" t="inlineStr">
        <is>
          <t>MAR</t>
        </is>
      </c>
      <c r="B19" t="inlineStr">
        <is>
          <t>CAB</t>
        </is>
      </c>
      <c r="C19" t="inlineStr">
        <is>
          <t>Verde Militar</t>
        </is>
      </c>
      <c r="D19" t="inlineStr">
        <is>
          <t>L</t>
        </is>
      </c>
      <c r="E19" t="n">
        <v>104</v>
      </c>
      <c r="F19" t="n">
        <v>355</v>
      </c>
    </row>
    <row r="20">
      <c r="A20" t="inlineStr">
        <is>
          <t>MAR</t>
        </is>
      </c>
      <c r="B20" t="inlineStr">
        <is>
          <t>CAB</t>
        </is>
      </c>
      <c r="C20" t="inlineStr">
        <is>
          <t>Verde Militar</t>
        </is>
      </c>
      <c r="D20" t="inlineStr">
        <is>
          <t>XL</t>
        </is>
      </c>
      <c r="E20" t="n">
        <v>56</v>
      </c>
      <c r="F20" t="n">
        <v>355</v>
      </c>
    </row>
    <row r="21">
      <c r="A21" t="inlineStr">
        <is>
          <t>MAR</t>
        </is>
      </c>
      <c r="B21" t="inlineStr">
        <is>
          <t>CAB</t>
        </is>
      </c>
      <c r="C21" t="inlineStr">
        <is>
          <t>Verde Militar</t>
        </is>
      </c>
      <c r="D21" t="inlineStr">
        <is>
          <t>2XL</t>
        </is>
      </c>
      <c r="E21" t="n">
        <v>29</v>
      </c>
      <c r="F21" t="n">
        <v>355</v>
      </c>
    </row>
    <row r="22">
      <c r="A22" t="inlineStr">
        <is>
          <t>MAR</t>
        </is>
      </c>
      <c r="B22" t="inlineStr">
        <is>
          <t>CAB</t>
        </is>
      </c>
      <c r="C22" t="inlineStr">
        <is>
          <t>Azul Lavanda</t>
        </is>
      </c>
      <c r="D22" t="inlineStr">
        <is>
          <t>S</t>
        </is>
      </c>
      <c r="E22" t="n">
        <v>43</v>
      </c>
      <c r="F22" t="n">
        <v>268</v>
      </c>
    </row>
    <row r="23">
      <c r="A23" t="inlineStr">
        <is>
          <t>MAR</t>
        </is>
      </c>
      <c r="B23" t="inlineStr">
        <is>
          <t>CAB</t>
        </is>
      </c>
      <c r="C23" t="inlineStr">
        <is>
          <t>Azul Lavanda</t>
        </is>
      </c>
      <c r="D23" t="inlineStr">
        <is>
          <t>M</t>
        </is>
      </c>
      <c r="E23" t="n">
        <v>82</v>
      </c>
      <c r="F23" t="n">
        <v>268</v>
      </c>
    </row>
    <row r="24">
      <c r="A24" t="inlineStr">
        <is>
          <t>MAR</t>
        </is>
      </c>
      <c r="B24" t="inlineStr">
        <is>
          <t>CAB</t>
        </is>
      </c>
      <c r="C24" t="inlineStr">
        <is>
          <t>Azul Lavanda</t>
        </is>
      </c>
      <c r="D24" t="inlineStr">
        <is>
          <t>L</t>
        </is>
      </c>
      <c r="E24" t="n">
        <v>78</v>
      </c>
      <c r="F24" t="n">
        <v>268</v>
      </c>
    </row>
    <row r="25">
      <c r="A25" t="inlineStr">
        <is>
          <t>MAR</t>
        </is>
      </c>
      <c r="B25" t="inlineStr">
        <is>
          <t>CAB</t>
        </is>
      </c>
      <c r="C25" t="inlineStr">
        <is>
          <t>Azul Lavanda</t>
        </is>
      </c>
      <c r="D25" t="inlineStr">
        <is>
          <t>XL</t>
        </is>
      </c>
      <c r="E25" t="n">
        <v>43</v>
      </c>
      <c r="F25" t="n">
        <v>268</v>
      </c>
    </row>
    <row r="26">
      <c r="A26" t="inlineStr">
        <is>
          <t>MAR</t>
        </is>
      </c>
      <c r="B26" t="inlineStr">
        <is>
          <t>CAB</t>
        </is>
      </c>
      <c r="C26" t="inlineStr">
        <is>
          <t>Azul Lavanda</t>
        </is>
      </c>
      <c r="D26" t="inlineStr">
        <is>
          <t>2XL</t>
        </is>
      </c>
      <c r="E26" t="n">
        <v>22</v>
      </c>
      <c r="F26" t="n">
        <v>268</v>
      </c>
    </row>
    <row r="27">
      <c r="A27" t="inlineStr">
        <is>
          <t>MAR</t>
        </is>
      </c>
      <c r="B27" t="inlineStr">
        <is>
          <t>CAB</t>
        </is>
      </c>
      <c r="C27" t="inlineStr">
        <is>
          <t>Azul Rey</t>
        </is>
      </c>
      <c r="D27" t="inlineStr">
        <is>
          <t>S</t>
        </is>
      </c>
      <c r="E27" t="n">
        <v>33</v>
      </c>
      <c r="F27" t="n">
        <v>205</v>
      </c>
    </row>
    <row r="28">
      <c r="A28" t="inlineStr">
        <is>
          <t>MAR</t>
        </is>
      </c>
      <c r="B28" t="inlineStr">
        <is>
          <t>CAB</t>
        </is>
      </c>
      <c r="C28" t="inlineStr">
        <is>
          <t>Azul Rey</t>
        </is>
      </c>
      <c r="D28" t="inlineStr">
        <is>
          <t>M</t>
        </is>
      </c>
      <c r="E28" t="n">
        <v>62</v>
      </c>
      <c r="F28" t="n">
        <v>205</v>
      </c>
    </row>
    <row r="29">
      <c r="A29" t="inlineStr">
        <is>
          <t>MAR</t>
        </is>
      </c>
      <c r="B29" t="inlineStr">
        <is>
          <t>CAB</t>
        </is>
      </c>
      <c r="C29" t="inlineStr">
        <is>
          <t>Azul Rey</t>
        </is>
      </c>
      <c r="D29" t="inlineStr">
        <is>
          <t>L</t>
        </is>
      </c>
      <c r="E29" t="n">
        <v>60</v>
      </c>
      <c r="F29" t="n">
        <v>205</v>
      </c>
    </row>
    <row r="30">
      <c r="A30" t="inlineStr">
        <is>
          <t>MAR</t>
        </is>
      </c>
      <c r="B30" t="inlineStr">
        <is>
          <t>CAB</t>
        </is>
      </c>
      <c r="C30" t="inlineStr">
        <is>
          <t>Azul Rey</t>
        </is>
      </c>
      <c r="D30" t="inlineStr">
        <is>
          <t>XL</t>
        </is>
      </c>
      <c r="E30" t="n">
        <v>33</v>
      </c>
      <c r="F30" t="n">
        <v>205</v>
      </c>
    </row>
    <row r="31">
      <c r="A31" t="inlineStr">
        <is>
          <t>MAR</t>
        </is>
      </c>
      <c r="B31" t="inlineStr">
        <is>
          <t>CAB</t>
        </is>
      </c>
      <c r="C31" t="inlineStr">
        <is>
          <t>Azul Rey</t>
        </is>
      </c>
      <c r="D31" t="inlineStr">
        <is>
          <t>2XL</t>
        </is>
      </c>
      <c r="E31" t="n">
        <v>17</v>
      </c>
      <c r="F31" t="n">
        <v>205</v>
      </c>
    </row>
    <row r="32">
      <c r="A32" t="inlineStr">
        <is>
          <t>MAR</t>
        </is>
      </c>
      <c r="B32" t="inlineStr">
        <is>
          <t>CAB</t>
        </is>
      </c>
      <c r="C32" t="inlineStr">
        <is>
          <t>Gris Claro</t>
        </is>
      </c>
      <c r="D32" t="inlineStr">
        <is>
          <t>S</t>
        </is>
      </c>
      <c r="E32" t="n">
        <v>31</v>
      </c>
      <c r="F32" t="n">
        <v>191</v>
      </c>
    </row>
    <row r="33">
      <c r="A33" t="inlineStr">
        <is>
          <t>MAR</t>
        </is>
      </c>
      <c r="B33" t="inlineStr">
        <is>
          <t>CAB</t>
        </is>
      </c>
      <c r="C33" t="inlineStr">
        <is>
          <t>Gris Claro</t>
        </is>
      </c>
      <c r="D33" t="inlineStr">
        <is>
          <t>M</t>
        </is>
      </c>
      <c r="E33" t="n">
        <v>58</v>
      </c>
      <c r="F33" t="n">
        <v>191</v>
      </c>
    </row>
    <row r="34">
      <c r="A34" t="inlineStr">
        <is>
          <t>MAR</t>
        </is>
      </c>
      <c r="B34" t="inlineStr">
        <is>
          <t>CAB</t>
        </is>
      </c>
      <c r="C34" t="inlineStr">
        <is>
          <t>Gris Claro</t>
        </is>
      </c>
      <c r="D34" t="inlineStr">
        <is>
          <t>L</t>
        </is>
      </c>
      <c r="E34" t="n">
        <v>56</v>
      </c>
      <c r="F34" t="n">
        <v>191</v>
      </c>
    </row>
    <row r="35">
      <c r="A35" t="inlineStr">
        <is>
          <t>MAR</t>
        </is>
      </c>
      <c r="B35" t="inlineStr">
        <is>
          <t>CAB</t>
        </is>
      </c>
      <c r="C35" t="inlineStr">
        <is>
          <t>Gris Claro</t>
        </is>
      </c>
      <c r="D35" t="inlineStr">
        <is>
          <t>XL</t>
        </is>
      </c>
      <c r="E35" t="n">
        <v>30</v>
      </c>
      <c r="F35" t="n">
        <v>191</v>
      </c>
    </row>
    <row r="36">
      <c r="A36" t="inlineStr">
        <is>
          <t>MAR</t>
        </is>
      </c>
      <c r="B36" t="inlineStr">
        <is>
          <t>CAB</t>
        </is>
      </c>
      <c r="C36" t="inlineStr">
        <is>
          <t>Gris Claro</t>
        </is>
      </c>
      <c r="D36" t="inlineStr">
        <is>
          <t>2XL</t>
        </is>
      </c>
      <c r="E36" t="n">
        <v>16</v>
      </c>
      <c r="F36" t="n">
        <v>191</v>
      </c>
    </row>
    <row r="37">
      <c r="A37" t="inlineStr">
        <is>
          <t>MAR</t>
        </is>
      </c>
      <c r="B37" t="inlineStr">
        <is>
          <t>CAB</t>
        </is>
      </c>
      <c r="C37" t="inlineStr">
        <is>
          <t>Aguamarina</t>
        </is>
      </c>
      <c r="D37" t="inlineStr">
        <is>
          <t>S</t>
        </is>
      </c>
      <c r="E37" t="n">
        <v>24</v>
      </c>
      <c r="F37" t="n">
        <v>150</v>
      </c>
    </row>
    <row r="38">
      <c r="A38" t="inlineStr">
        <is>
          <t>MAR</t>
        </is>
      </c>
      <c r="B38" t="inlineStr">
        <is>
          <t>CAB</t>
        </is>
      </c>
      <c r="C38" t="inlineStr">
        <is>
          <t>Aguamarina</t>
        </is>
      </c>
      <c r="D38" t="inlineStr">
        <is>
          <t>M</t>
        </is>
      </c>
      <c r="E38" t="n">
        <v>46</v>
      </c>
      <c r="F38" t="n">
        <v>150</v>
      </c>
    </row>
    <row r="39">
      <c r="A39" t="inlineStr">
        <is>
          <t>MAR</t>
        </is>
      </c>
      <c r="B39" t="inlineStr">
        <is>
          <t>CAB</t>
        </is>
      </c>
      <c r="C39" t="inlineStr">
        <is>
          <t>Aguamarina</t>
        </is>
      </c>
      <c r="D39" t="inlineStr">
        <is>
          <t>L</t>
        </is>
      </c>
      <c r="E39" t="n">
        <v>44</v>
      </c>
      <c r="F39" t="n">
        <v>150</v>
      </c>
    </row>
    <row r="40">
      <c r="A40" t="inlineStr">
        <is>
          <t>MAR</t>
        </is>
      </c>
      <c r="B40" t="inlineStr">
        <is>
          <t>CAB</t>
        </is>
      </c>
      <c r="C40" t="inlineStr">
        <is>
          <t>Aguamarina</t>
        </is>
      </c>
      <c r="D40" t="inlineStr">
        <is>
          <t>XL</t>
        </is>
      </c>
      <c r="E40" t="n">
        <v>24</v>
      </c>
      <c r="F40" t="n">
        <v>150</v>
      </c>
    </row>
    <row r="41">
      <c r="A41" t="inlineStr">
        <is>
          <t>MAR</t>
        </is>
      </c>
      <c r="B41" t="inlineStr">
        <is>
          <t>CAB</t>
        </is>
      </c>
      <c r="C41" t="inlineStr">
        <is>
          <t>Aguamarina</t>
        </is>
      </c>
      <c r="D41" t="inlineStr">
        <is>
          <t>2XL</t>
        </is>
      </c>
      <c r="E41" t="n">
        <v>12</v>
      </c>
      <c r="F41" t="n">
        <v>150</v>
      </c>
    </row>
    <row r="42">
      <c r="A42" t="inlineStr">
        <is>
          <t>MAR</t>
        </is>
      </c>
      <c r="B42" t="inlineStr">
        <is>
          <t>CAB</t>
        </is>
      </c>
      <c r="C42" t="inlineStr">
        <is>
          <t>Vinotinto</t>
        </is>
      </c>
      <c r="D42" t="inlineStr">
        <is>
          <t>S</t>
        </is>
      </c>
      <c r="E42" t="n">
        <v>20</v>
      </c>
      <c r="F42" t="n">
        <v>124</v>
      </c>
    </row>
    <row r="43">
      <c r="A43" t="inlineStr">
        <is>
          <t>MAR</t>
        </is>
      </c>
      <c r="B43" t="inlineStr">
        <is>
          <t>CAB</t>
        </is>
      </c>
      <c r="C43" t="inlineStr">
        <is>
          <t>Vinotinto</t>
        </is>
      </c>
      <c r="D43" t="inlineStr">
        <is>
          <t>M</t>
        </is>
      </c>
      <c r="E43" t="n">
        <v>38</v>
      </c>
      <c r="F43" t="n">
        <v>124</v>
      </c>
    </row>
    <row r="44">
      <c r="A44" t="inlineStr">
        <is>
          <t>MAR</t>
        </is>
      </c>
      <c r="B44" t="inlineStr">
        <is>
          <t>CAB</t>
        </is>
      </c>
      <c r="C44" t="inlineStr">
        <is>
          <t>Vinotinto</t>
        </is>
      </c>
      <c r="D44" t="inlineStr">
        <is>
          <t>L</t>
        </is>
      </c>
      <c r="E44" t="n">
        <v>36</v>
      </c>
      <c r="F44" t="n">
        <v>124</v>
      </c>
    </row>
    <row r="45">
      <c r="A45" t="inlineStr">
        <is>
          <t>MAR</t>
        </is>
      </c>
      <c r="B45" t="inlineStr">
        <is>
          <t>CAB</t>
        </is>
      </c>
      <c r="C45" t="inlineStr">
        <is>
          <t>Vinotinto</t>
        </is>
      </c>
      <c r="D45" t="inlineStr">
        <is>
          <t>XL</t>
        </is>
      </c>
      <c r="E45" t="n">
        <v>20</v>
      </c>
      <c r="F45" t="n">
        <v>124</v>
      </c>
    </row>
    <row r="46">
      <c r="A46" t="inlineStr">
        <is>
          <t>MAR</t>
        </is>
      </c>
      <c r="B46" t="inlineStr">
        <is>
          <t>CAB</t>
        </is>
      </c>
      <c r="C46" t="inlineStr">
        <is>
          <t>Vinotinto</t>
        </is>
      </c>
      <c r="D46" t="inlineStr">
        <is>
          <t>2XL</t>
        </is>
      </c>
      <c r="E46" t="n">
        <v>10</v>
      </c>
      <c r="F46" t="n">
        <v>124</v>
      </c>
    </row>
    <row r="47">
      <c r="A47" t="inlineStr">
        <is>
          <t>MAR</t>
        </is>
      </c>
      <c r="B47" t="inlineStr">
        <is>
          <t>CAB</t>
        </is>
      </c>
      <c r="C47" t="inlineStr">
        <is>
          <t>Rojo</t>
        </is>
      </c>
      <c r="D47" t="inlineStr">
        <is>
          <t>S</t>
        </is>
      </c>
      <c r="E47" t="n">
        <v>20</v>
      </c>
      <c r="F47" t="n">
        <v>122</v>
      </c>
    </row>
    <row r="48">
      <c r="A48" t="inlineStr">
        <is>
          <t>MAR</t>
        </is>
      </c>
      <c r="B48" t="inlineStr">
        <is>
          <t>CAB</t>
        </is>
      </c>
      <c r="C48" t="inlineStr">
        <is>
          <t>Rojo</t>
        </is>
      </c>
      <c r="D48" t="inlineStr">
        <is>
          <t>M</t>
        </is>
      </c>
      <c r="E48" t="n">
        <v>37</v>
      </c>
      <c r="F48" t="n">
        <v>122</v>
      </c>
    </row>
    <row r="49">
      <c r="A49" t="inlineStr">
        <is>
          <t>MAR</t>
        </is>
      </c>
      <c r="B49" t="inlineStr">
        <is>
          <t>CAB</t>
        </is>
      </c>
      <c r="C49" t="inlineStr">
        <is>
          <t>Rojo</t>
        </is>
      </c>
      <c r="D49" t="inlineStr">
        <is>
          <t>L</t>
        </is>
      </c>
      <c r="E49" t="n">
        <v>36</v>
      </c>
      <c r="F49" t="n">
        <v>122</v>
      </c>
    </row>
    <row r="50">
      <c r="A50" t="inlineStr">
        <is>
          <t>MAR</t>
        </is>
      </c>
      <c r="B50" t="inlineStr">
        <is>
          <t>CAB</t>
        </is>
      </c>
      <c r="C50" t="inlineStr">
        <is>
          <t>Rojo</t>
        </is>
      </c>
      <c r="D50" t="inlineStr">
        <is>
          <t>XL</t>
        </is>
      </c>
      <c r="E50" t="n">
        <v>19</v>
      </c>
      <c r="F50" t="n">
        <v>122</v>
      </c>
    </row>
    <row r="51">
      <c r="A51" t="inlineStr">
        <is>
          <t>MAR</t>
        </is>
      </c>
      <c r="B51" t="inlineStr">
        <is>
          <t>CAB</t>
        </is>
      </c>
      <c r="C51" t="inlineStr">
        <is>
          <t>Rojo</t>
        </is>
      </c>
      <c r="D51" t="inlineStr">
        <is>
          <t>2XL</t>
        </is>
      </c>
      <c r="E51" t="n">
        <v>10</v>
      </c>
      <c r="F51" t="n">
        <v>122</v>
      </c>
    </row>
    <row r="52">
      <c r="A52" t="inlineStr">
        <is>
          <t>MAR</t>
        </is>
      </c>
      <c r="B52" t="inlineStr">
        <is>
          <t>CAB</t>
        </is>
      </c>
      <c r="C52" t="inlineStr">
        <is>
          <t>Amarillo Neón</t>
        </is>
      </c>
      <c r="D52" t="inlineStr">
        <is>
          <t>S</t>
        </is>
      </c>
      <c r="E52" t="n">
        <v>11</v>
      </c>
      <c r="F52" t="n">
        <v>68</v>
      </c>
    </row>
    <row r="53">
      <c r="A53" t="inlineStr">
        <is>
          <t>MAR</t>
        </is>
      </c>
      <c r="B53" t="inlineStr">
        <is>
          <t>CAB</t>
        </is>
      </c>
      <c r="C53" t="inlineStr">
        <is>
          <t>Amarillo Neón</t>
        </is>
      </c>
      <c r="D53" t="inlineStr">
        <is>
          <t>M</t>
        </is>
      </c>
      <c r="E53" t="n">
        <v>20</v>
      </c>
      <c r="F53" t="n">
        <v>68</v>
      </c>
    </row>
    <row r="54">
      <c r="A54" t="inlineStr">
        <is>
          <t>MAR</t>
        </is>
      </c>
      <c r="B54" t="inlineStr">
        <is>
          <t>CAB</t>
        </is>
      </c>
      <c r="C54" t="inlineStr">
        <is>
          <t>Amarillo Neón</t>
        </is>
      </c>
      <c r="D54" t="inlineStr">
        <is>
          <t>L</t>
        </is>
      </c>
      <c r="E54" t="n">
        <v>20</v>
      </c>
      <c r="F54" t="n">
        <v>68</v>
      </c>
    </row>
    <row r="55">
      <c r="A55" t="inlineStr">
        <is>
          <t>MAR</t>
        </is>
      </c>
      <c r="B55" t="inlineStr">
        <is>
          <t>CAB</t>
        </is>
      </c>
      <c r="C55" t="inlineStr">
        <is>
          <t>Amarillo Neón</t>
        </is>
      </c>
      <c r="D55" t="inlineStr">
        <is>
          <t>XL</t>
        </is>
      </c>
      <c r="E55" t="n">
        <v>11</v>
      </c>
      <c r="F55" t="n">
        <v>68</v>
      </c>
    </row>
    <row r="56">
      <c r="A56" t="inlineStr">
        <is>
          <t>MAR</t>
        </is>
      </c>
      <c r="B56" t="inlineStr">
        <is>
          <t>CAB</t>
        </is>
      </c>
      <c r="C56" t="inlineStr">
        <is>
          <t>Amarillo Neón</t>
        </is>
      </c>
      <c r="D56" t="inlineStr">
        <is>
          <t>2XL</t>
        </is>
      </c>
      <c r="E56" t="n">
        <v>6</v>
      </c>
      <c r="F56" t="n">
        <v>68</v>
      </c>
    </row>
    <row r="57">
      <c r="A57" t="inlineStr">
        <is>
          <t>MAR</t>
        </is>
      </c>
      <c r="B57" t="inlineStr">
        <is>
          <t>DAMA</t>
        </is>
      </c>
      <c r="C57" t="inlineStr">
        <is>
          <t>Negro</t>
        </is>
      </c>
      <c r="D57" t="inlineStr">
        <is>
          <t>XS</t>
        </is>
      </c>
      <c r="E57" t="n">
        <v>94</v>
      </c>
      <c r="F57" t="n">
        <v>417</v>
      </c>
    </row>
    <row r="58">
      <c r="A58" t="inlineStr">
        <is>
          <t>MAR</t>
        </is>
      </c>
      <c r="B58" t="inlineStr">
        <is>
          <t>DAMA</t>
        </is>
      </c>
      <c r="C58" t="inlineStr">
        <is>
          <t>Negro</t>
        </is>
      </c>
      <c r="D58" t="inlineStr">
        <is>
          <t>S</t>
        </is>
      </c>
      <c r="E58" t="n">
        <v>121</v>
      </c>
      <c r="F58" t="n">
        <v>417</v>
      </c>
    </row>
    <row r="59">
      <c r="A59" t="inlineStr">
        <is>
          <t>MAR</t>
        </is>
      </c>
      <c r="B59" t="inlineStr">
        <is>
          <t>DAMA</t>
        </is>
      </c>
      <c r="C59" t="inlineStr">
        <is>
          <t>Negro</t>
        </is>
      </c>
      <c r="D59" t="inlineStr">
        <is>
          <t>M</t>
        </is>
      </c>
      <c r="E59" t="n">
        <v>117</v>
      </c>
      <c r="F59" t="n">
        <v>417</v>
      </c>
    </row>
    <row r="60">
      <c r="A60" t="inlineStr">
        <is>
          <t>MAR</t>
        </is>
      </c>
      <c r="B60" t="inlineStr">
        <is>
          <t>DAMA</t>
        </is>
      </c>
      <c r="C60" t="inlineStr">
        <is>
          <t>Negro</t>
        </is>
      </c>
      <c r="D60" t="inlineStr">
        <is>
          <t>L</t>
        </is>
      </c>
      <c r="E60" t="n">
        <v>60</v>
      </c>
      <c r="F60" t="n">
        <v>417</v>
      </c>
    </row>
    <row r="61">
      <c r="A61" t="inlineStr">
        <is>
          <t>MAR</t>
        </is>
      </c>
      <c r="B61" t="inlineStr">
        <is>
          <t>DAMA</t>
        </is>
      </c>
      <c r="C61" t="inlineStr">
        <is>
          <t>Negro</t>
        </is>
      </c>
      <c r="D61" t="inlineStr">
        <is>
          <t>XL</t>
        </is>
      </c>
      <c r="E61" t="n">
        <v>25</v>
      </c>
      <c r="F61" t="n">
        <v>417</v>
      </c>
    </row>
    <row r="62">
      <c r="A62" t="inlineStr">
        <is>
          <t>MAR</t>
        </is>
      </c>
      <c r="B62" t="inlineStr">
        <is>
          <t>DAMA</t>
        </is>
      </c>
      <c r="C62" t="inlineStr">
        <is>
          <t>Blanco</t>
        </is>
      </c>
      <c r="D62" t="inlineStr">
        <is>
          <t>XS</t>
        </is>
      </c>
      <c r="E62" t="n">
        <v>89</v>
      </c>
      <c r="F62" t="n">
        <v>393</v>
      </c>
    </row>
    <row r="63">
      <c r="A63" t="inlineStr">
        <is>
          <t>MAR</t>
        </is>
      </c>
      <c r="B63" t="inlineStr">
        <is>
          <t>DAMA</t>
        </is>
      </c>
      <c r="C63" t="inlineStr">
        <is>
          <t>Blanco</t>
        </is>
      </c>
      <c r="D63" t="inlineStr">
        <is>
          <t>S</t>
        </is>
      </c>
      <c r="E63" t="n">
        <v>114</v>
      </c>
      <c r="F63" t="n">
        <v>393</v>
      </c>
    </row>
    <row r="64">
      <c r="A64" t="inlineStr">
        <is>
          <t>MAR</t>
        </is>
      </c>
      <c r="B64" t="inlineStr">
        <is>
          <t>DAMA</t>
        </is>
      </c>
      <c r="C64" t="inlineStr">
        <is>
          <t>Blanco</t>
        </is>
      </c>
      <c r="D64" t="inlineStr">
        <is>
          <t>M</t>
        </is>
      </c>
      <c r="E64" t="n">
        <v>110</v>
      </c>
      <c r="F64" t="n">
        <v>393</v>
      </c>
    </row>
    <row r="65">
      <c r="A65" t="inlineStr">
        <is>
          <t>MAR</t>
        </is>
      </c>
      <c r="B65" t="inlineStr">
        <is>
          <t>DAMA</t>
        </is>
      </c>
      <c r="C65" t="inlineStr">
        <is>
          <t>Blanco</t>
        </is>
      </c>
      <c r="D65" t="inlineStr">
        <is>
          <t>L</t>
        </is>
      </c>
      <c r="E65" t="n">
        <v>56</v>
      </c>
      <c r="F65" t="n">
        <v>393</v>
      </c>
    </row>
    <row r="66">
      <c r="A66" t="inlineStr">
        <is>
          <t>MAR</t>
        </is>
      </c>
      <c r="B66" t="inlineStr">
        <is>
          <t>DAMA</t>
        </is>
      </c>
      <c r="C66" t="inlineStr">
        <is>
          <t>Blanco</t>
        </is>
      </c>
      <c r="D66" t="inlineStr">
        <is>
          <t>XL</t>
        </is>
      </c>
      <c r="E66" t="n">
        <v>24</v>
      </c>
      <c r="F66" t="n">
        <v>393</v>
      </c>
    </row>
    <row r="67">
      <c r="A67" t="inlineStr">
        <is>
          <t>MAR</t>
        </is>
      </c>
      <c r="B67" t="inlineStr">
        <is>
          <t>DAMA</t>
        </is>
      </c>
      <c r="C67" t="inlineStr">
        <is>
          <t>Azul Marino</t>
        </is>
      </c>
      <c r="D67" t="inlineStr">
        <is>
          <t>XS</t>
        </is>
      </c>
      <c r="E67" t="n">
        <v>81</v>
      </c>
      <c r="F67" t="n">
        <v>357</v>
      </c>
    </row>
    <row r="68">
      <c r="A68" t="inlineStr">
        <is>
          <t>MAR</t>
        </is>
      </c>
      <c r="B68" t="inlineStr">
        <is>
          <t>DAMA</t>
        </is>
      </c>
      <c r="C68" t="inlineStr">
        <is>
          <t>Azul Marino</t>
        </is>
      </c>
      <c r="D68" t="inlineStr">
        <is>
          <t>S</t>
        </is>
      </c>
      <c r="E68" t="n">
        <v>104</v>
      </c>
      <c r="F68" t="n">
        <v>357</v>
      </c>
    </row>
    <row r="69">
      <c r="A69" t="inlineStr">
        <is>
          <t>MAR</t>
        </is>
      </c>
      <c r="B69" t="inlineStr">
        <is>
          <t>DAMA</t>
        </is>
      </c>
      <c r="C69" t="inlineStr">
        <is>
          <t>Azul Marino</t>
        </is>
      </c>
      <c r="D69" t="inlineStr">
        <is>
          <t>M</t>
        </is>
      </c>
      <c r="E69" t="n">
        <v>100</v>
      </c>
      <c r="F69" t="n">
        <v>357</v>
      </c>
    </row>
    <row r="70">
      <c r="A70" t="inlineStr">
        <is>
          <t>MAR</t>
        </is>
      </c>
      <c r="B70" t="inlineStr">
        <is>
          <t>DAMA</t>
        </is>
      </c>
      <c r="C70" t="inlineStr">
        <is>
          <t>Azul Marino</t>
        </is>
      </c>
      <c r="D70" t="inlineStr">
        <is>
          <t>L</t>
        </is>
      </c>
      <c r="E70" t="n">
        <v>51</v>
      </c>
      <c r="F70" t="n">
        <v>357</v>
      </c>
    </row>
    <row r="71">
      <c r="A71" t="inlineStr">
        <is>
          <t>MAR</t>
        </is>
      </c>
      <c r="B71" t="inlineStr">
        <is>
          <t>DAMA</t>
        </is>
      </c>
      <c r="C71" t="inlineStr">
        <is>
          <t>Azul Marino</t>
        </is>
      </c>
      <c r="D71" t="inlineStr">
        <is>
          <t>XL</t>
        </is>
      </c>
      <c r="E71" t="n">
        <v>21</v>
      </c>
      <c r="F71" t="n">
        <v>357</v>
      </c>
    </row>
    <row r="72">
      <c r="A72" t="inlineStr">
        <is>
          <t>MAR</t>
        </is>
      </c>
      <c r="B72" t="inlineStr">
        <is>
          <t>DAMA</t>
        </is>
      </c>
      <c r="C72" t="inlineStr">
        <is>
          <t>Verde Militar</t>
        </is>
      </c>
      <c r="D72" t="inlineStr">
        <is>
          <t>XS</t>
        </is>
      </c>
      <c r="E72" t="n">
        <v>61</v>
      </c>
      <c r="F72" t="n">
        <v>271</v>
      </c>
    </row>
    <row r="73">
      <c r="A73" t="inlineStr">
        <is>
          <t>MAR</t>
        </is>
      </c>
      <c r="B73" t="inlineStr">
        <is>
          <t>DAMA</t>
        </is>
      </c>
      <c r="C73" t="inlineStr">
        <is>
          <t>Verde Militar</t>
        </is>
      </c>
      <c r="D73" t="inlineStr">
        <is>
          <t>S</t>
        </is>
      </c>
      <c r="E73" t="n">
        <v>79</v>
      </c>
      <c r="F73" t="n">
        <v>271</v>
      </c>
    </row>
    <row r="74">
      <c r="A74" t="inlineStr">
        <is>
          <t>MAR</t>
        </is>
      </c>
      <c r="B74" t="inlineStr">
        <is>
          <t>DAMA</t>
        </is>
      </c>
      <c r="C74" t="inlineStr">
        <is>
          <t>Verde Militar</t>
        </is>
      </c>
      <c r="D74" t="inlineStr">
        <is>
          <t>M</t>
        </is>
      </c>
      <c r="E74" t="n">
        <v>76</v>
      </c>
      <c r="F74" t="n">
        <v>271</v>
      </c>
    </row>
    <row r="75">
      <c r="A75" t="inlineStr">
        <is>
          <t>MAR</t>
        </is>
      </c>
      <c r="B75" t="inlineStr">
        <is>
          <t>DAMA</t>
        </is>
      </c>
      <c r="C75" t="inlineStr">
        <is>
          <t>Verde Militar</t>
        </is>
      </c>
      <c r="D75" t="inlineStr">
        <is>
          <t>L</t>
        </is>
      </c>
      <c r="E75" t="n">
        <v>39</v>
      </c>
      <c r="F75" t="n">
        <v>271</v>
      </c>
    </row>
    <row r="76">
      <c r="A76" t="inlineStr">
        <is>
          <t>MAR</t>
        </is>
      </c>
      <c r="B76" t="inlineStr">
        <is>
          <t>DAMA</t>
        </is>
      </c>
      <c r="C76" t="inlineStr">
        <is>
          <t>Verde Militar</t>
        </is>
      </c>
      <c r="D76" t="inlineStr">
        <is>
          <t>XL</t>
        </is>
      </c>
      <c r="E76" t="n">
        <v>16</v>
      </c>
      <c r="F76" t="n">
        <v>271</v>
      </c>
    </row>
    <row r="77">
      <c r="A77" t="inlineStr">
        <is>
          <t>MAR</t>
        </is>
      </c>
      <c r="B77" t="inlineStr">
        <is>
          <t>DAMA</t>
        </is>
      </c>
      <c r="C77" t="inlineStr">
        <is>
          <t>Azul Lavanda</t>
        </is>
      </c>
      <c r="D77" t="inlineStr">
        <is>
          <t>XS</t>
        </is>
      </c>
      <c r="E77" t="n">
        <v>52</v>
      </c>
      <c r="F77" t="n">
        <v>231</v>
      </c>
    </row>
    <row r="78">
      <c r="A78" t="inlineStr">
        <is>
          <t>MAR</t>
        </is>
      </c>
      <c r="B78" t="inlineStr">
        <is>
          <t>DAMA</t>
        </is>
      </c>
      <c r="C78" t="inlineStr">
        <is>
          <t>Azul Lavanda</t>
        </is>
      </c>
      <c r="D78" t="inlineStr">
        <is>
          <t>S</t>
        </is>
      </c>
      <c r="E78" t="n">
        <v>67</v>
      </c>
      <c r="F78" t="n">
        <v>231</v>
      </c>
    </row>
    <row r="79">
      <c r="A79" t="inlineStr">
        <is>
          <t>MAR</t>
        </is>
      </c>
      <c r="B79" t="inlineStr">
        <is>
          <t>DAMA</t>
        </is>
      </c>
      <c r="C79" t="inlineStr">
        <is>
          <t>Azul Lavanda</t>
        </is>
      </c>
      <c r="D79" t="inlineStr">
        <is>
          <t>M</t>
        </is>
      </c>
      <c r="E79" t="n">
        <v>65</v>
      </c>
      <c r="F79" t="n">
        <v>231</v>
      </c>
    </row>
    <row r="80">
      <c r="A80" t="inlineStr">
        <is>
          <t>MAR</t>
        </is>
      </c>
      <c r="B80" t="inlineStr">
        <is>
          <t>DAMA</t>
        </is>
      </c>
      <c r="C80" t="inlineStr">
        <is>
          <t>Azul Lavanda</t>
        </is>
      </c>
      <c r="D80" t="inlineStr">
        <is>
          <t>L</t>
        </is>
      </c>
      <c r="E80" t="n">
        <v>33</v>
      </c>
      <c r="F80" t="n">
        <v>231</v>
      </c>
    </row>
    <row r="81">
      <c r="A81" t="inlineStr">
        <is>
          <t>MAR</t>
        </is>
      </c>
      <c r="B81" t="inlineStr">
        <is>
          <t>DAMA</t>
        </is>
      </c>
      <c r="C81" t="inlineStr">
        <is>
          <t>Azul Lavanda</t>
        </is>
      </c>
      <c r="D81" t="inlineStr">
        <is>
          <t>XL</t>
        </is>
      </c>
      <c r="E81" t="n">
        <v>14</v>
      </c>
      <c r="F81" t="n">
        <v>231</v>
      </c>
    </row>
    <row r="82">
      <c r="A82" t="inlineStr">
        <is>
          <t>MAR</t>
        </is>
      </c>
      <c r="B82" t="inlineStr">
        <is>
          <t>DAMA</t>
        </is>
      </c>
      <c r="C82" t="inlineStr">
        <is>
          <t>Púrpura</t>
        </is>
      </c>
      <c r="D82" t="inlineStr">
        <is>
          <t>XS</t>
        </is>
      </c>
      <c r="E82" t="n">
        <v>44</v>
      </c>
      <c r="F82" t="n">
        <v>196</v>
      </c>
    </row>
    <row r="83">
      <c r="A83" t="inlineStr">
        <is>
          <t>MAR</t>
        </is>
      </c>
      <c r="B83" t="inlineStr">
        <is>
          <t>DAMA</t>
        </is>
      </c>
      <c r="C83" t="inlineStr">
        <is>
          <t>Púrpura</t>
        </is>
      </c>
      <c r="D83" t="inlineStr">
        <is>
          <t>S</t>
        </is>
      </c>
      <c r="E83" t="n">
        <v>57</v>
      </c>
      <c r="F83" t="n">
        <v>196</v>
      </c>
    </row>
    <row r="84">
      <c r="A84" t="inlineStr">
        <is>
          <t>MAR</t>
        </is>
      </c>
      <c r="B84" t="inlineStr">
        <is>
          <t>DAMA</t>
        </is>
      </c>
      <c r="C84" t="inlineStr">
        <is>
          <t>Púrpura</t>
        </is>
      </c>
      <c r="D84" t="inlineStr">
        <is>
          <t>M</t>
        </is>
      </c>
      <c r="E84" t="n">
        <v>55</v>
      </c>
      <c r="F84" t="n">
        <v>196</v>
      </c>
    </row>
    <row r="85">
      <c r="A85" t="inlineStr">
        <is>
          <t>MAR</t>
        </is>
      </c>
      <c r="B85" t="inlineStr">
        <is>
          <t>DAMA</t>
        </is>
      </c>
      <c r="C85" t="inlineStr">
        <is>
          <t>Púrpura</t>
        </is>
      </c>
      <c r="D85" t="inlineStr">
        <is>
          <t>L</t>
        </is>
      </c>
      <c r="E85" t="n">
        <v>28</v>
      </c>
      <c r="F85" t="n">
        <v>196</v>
      </c>
    </row>
    <row r="86">
      <c r="A86" t="inlineStr">
        <is>
          <t>MAR</t>
        </is>
      </c>
      <c r="B86" t="inlineStr">
        <is>
          <t>DAMA</t>
        </is>
      </c>
      <c r="C86" t="inlineStr">
        <is>
          <t>Púrpura</t>
        </is>
      </c>
      <c r="D86" t="inlineStr">
        <is>
          <t>XL</t>
        </is>
      </c>
      <c r="E86" t="n">
        <v>12</v>
      </c>
      <c r="F86" t="n">
        <v>196</v>
      </c>
    </row>
    <row r="87">
      <c r="A87" t="inlineStr">
        <is>
          <t>MAR</t>
        </is>
      </c>
      <c r="B87" t="inlineStr">
        <is>
          <t>DAMA</t>
        </is>
      </c>
      <c r="C87" t="inlineStr">
        <is>
          <t>Lila</t>
        </is>
      </c>
      <c r="D87" t="inlineStr">
        <is>
          <t>XS</t>
        </is>
      </c>
      <c r="E87" t="n">
        <v>44</v>
      </c>
      <c r="F87" t="n">
        <v>194</v>
      </c>
    </row>
    <row r="88">
      <c r="A88" t="inlineStr">
        <is>
          <t>MAR</t>
        </is>
      </c>
      <c r="B88" t="inlineStr">
        <is>
          <t>DAMA</t>
        </is>
      </c>
      <c r="C88" t="inlineStr">
        <is>
          <t>Lila</t>
        </is>
      </c>
      <c r="D88" t="inlineStr">
        <is>
          <t>S</t>
        </is>
      </c>
      <c r="E88" t="n">
        <v>56</v>
      </c>
      <c r="F88" t="n">
        <v>194</v>
      </c>
    </row>
    <row r="89">
      <c r="A89" t="inlineStr">
        <is>
          <t>MAR</t>
        </is>
      </c>
      <c r="B89" t="inlineStr">
        <is>
          <t>DAMA</t>
        </is>
      </c>
      <c r="C89" t="inlineStr">
        <is>
          <t>Lila</t>
        </is>
      </c>
      <c r="D89" t="inlineStr">
        <is>
          <t>M</t>
        </is>
      </c>
      <c r="E89" t="n">
        <v>54</v>
      </c>
      <c r="F89" t="n">
        <v>194</v>
      </c>
    </row>
    <row r="90">
      <c r="A90" t="inlineStr">
        <is>
          <t>MAR</t>
        </is>
      </c>
      <c r="B90" t="inlineStr">
        <is>
          <t>DAMA</t>
        </is>
      </c>
      <c r="C90" t="inlineStr">
        <is>
          <t>Lila</t>
        </is>
      </c>
      <c r="D90" t="inlineStr">
        <is>
          <t>L</t>
        </is>
      </c>
      <c r="E90" t="n">
        <v>28</v>
      </c>
      <c r="F90" t="n">
        <v>194</v>
      </c>
    </row>
    <row r="91">
      <c r="A91" t="inlineStr">
        <is>
          <t>MAR</t>
        </is>
      </c>
      <c r="B91" t="inlineStr">
        <is>
          <t>DAMA</t>
        </is>
      </c>
      <c r="C91" t="inlineStr">
        <is>
          <t>Lila</t>
        </is>
      </c>
      <c r="D91" t="inlineStr">
        <is>
          <t>XL</t>
        </is>
      </c>
      <c r="E91" t="n">
        <v>12</v>
      </c>
      <c r="F91" t="n">
        <v>194</v>
      </c>
    </row>
    <row r="92">
      <c r="A92" t="inlineStr">
        <is>
          <t>MAR</t>
        </is>
      </c>
      <c r="B92" t="inlineStr">
        <is>
          <t>DAMA</t>
        </is>
      </c>
      <c r="C92" t="inlineStr">
        <is>
          <t>Rojo</t>
        </is>
      </c>
      <c r="D92" t="inlineStr">
        <is>
          <t>XS</t>
        </is>
      </c>
      <c r="E92" t="n">
        <v>38</v>
      </c>
      <c r="F92" t="n">
        <v>168</v>
      </c>
    </row>
    <row r="93">
      <c r="A93" t="inlineStr">
        <is>
          <t>MAR</t>
        </is>
      </c>
      <c r="B93" t="inlineStr">
        <is>
          <t>DAMA</t>
        </is>
      </c>
      <c r="C93" t="inlineStr">
        <is>
          <t>Rojo</t>
        </is>
      </c>
      <c r="D93" t="inlineStr">
        <is>
          <t>S</t>
        </is>
      </c>
      <c r="E93" t="n">
        <v>49</v>
      </c>
      <c r="F93" t="n">
        <v>168</v>
      </c>
    </row>
    <row r="94">
      <c r="A94" t="inlineStr">
        <is>
          <t>MAR</t>
        </is>
      </c>
      <c r="B94" t="inlineStr">
        <is>
          <t>DAMA</t>
        </is>
      </c>
      <c r="C94" t="inlineStr">
        <is>
          <t>Rojo</t>
        </is>
      </c>
      <c r="D94" t="inlineStr">
        <is>
          <t>M</t>
        </is>
      </c>
      <c r="E94" t="n">
        <v>47</v>
      </c>
      <c r="F94" t="n">
        <v>168</v>
      </c>
    </row>
    <row r="95">
      <c r="A95" t="inlineStr">
        <is>
          <t>MAR</t>
        </is>
      </c>
      <c r="B95" t="inlineStr">
        <is>
          <t>DAMA</t>
        </is>
      </c>
      <c r="C95" t="inlineStr">
        <is>
          <t>Rojo</t>
        </is>
      </c>
      <c r="D95" t="inlineStr">
        <is>
          <t>L</t>
        </is>
      </c>
      <c r="E95" t="n">
        <v>24</v>
      </c>
      <c r="F95" t="n">
        <v>168</v>
      </c>
    </row>
    <row r="96">
      <c r="A96" t="inlineStr">
        <is>
          <t>MAR</t>
        </is>
      </c>
      <c r="B96" t="inlineStr">
        <is>
          <t>DAMA</t>
        </is>
      </c>
      <c r="C96" t="inlineStr">
        <is>
          <t>Rojo</t>
        </is>
      </c>
      <c r="D96" t="inlineStr">
        <is>
          <t>XL</t>
        </is>
      </c>
      <c r="E96" t="n">
        <v>10</v>
      </c>
      <c r="F96" t="n">
        <v>168</v>
      </c>
    </row>
    <row r="97">
      <c r="A97" t="inlineStr">
        <is>
          <t>MAR</t>
        </is>
      </c>
      <c r="B97" t="inlineStr">
        <is>
          <t>DAMA</t>
        </is>
      </c>
      <c r="C97" t="inlineStr">
        <is>
          <t>Vinotinto</t>
        </is>
      </c>
      <c r="D97" t="inlineStr">
        <is>
          <t>XS</t>
        </is>
      </c>
      <c r="E97" t="n">
        <v>37</v>
      </c>
      <c r="F97" t="n">
        <v>162</v>
      </c>
    </row>
    <row r="98">
      <c r="A98" t="inlineStr">
        <is>
          <t>MAR</t>
        </is>
      </c>
      <c r="B98" t="inlineStr">
        <is>
          <t>DAMA</t>
        </is>
      </c>
      <c r="C98" t="inlineStr">
        <is>
          <t>Vinotinto</t>
        </is>
      </c>
      <c r="D98" t="inlineStr">
        <is>
          <t>S</t>
        </is>
      </c>
      <c r="E98" t="n">
        <v>47</v>
      </c>
      <c r="F98" t="n">
        <v>162</v>
      </c>
    </row>
    <row r="99">
      <c r="A99" t="inlineStr">
        <is>
          <t>MAR</t>
        </is>
      </c>
      <c r="B99" t="inlineStr">
        <is>
          <t>DAMA</t>
        </is>
      </c>
      <c r="C99" t="inlineStr">
        <is>
          <t>Vinotinto</t>
        </is>
      </c>
      <c r="D99" t="inlineStr">
        <is>
          <t>M</t>
        </is>
      </c>
      <c r="E99" t="n">
        <v>45</v>
      </c>
      <c r="F99" t="n">
        <v>162</v>
      </c>
    </row>
    <row r="100">
      <c r="A100" t="inlineStr">
        <is>
          <t>MAR</t>
        </is>
      </c>
      <c r="B100" t="inlineStr">
        <is>
          <t>DAMA</t>
        </is>
      </c>
      <c r="C100" t="inlineStr">
        <is>
          <t>Vinotinto</t>
        </is>
      </c>
      <c r="D100" t="inlineStr">
        <is>
          <t>L</t>
        </is>
      </c>
      <c r="E100" t="n">
        <v>23</v>
      </c>
      <c r="F100" t="n">
        <v>162</v>
      </c>
    </row>
    <row r="101">
      <c r="A101" t="inlineStr">
        <is>
          <t>MAR</t>
        </is>
      </c>
      <c r="B101" t="inlineStr">
        <is>
          <t>DAMA</t>
        </is>
      </c>
      <c r="C101" t="inlineStr">
        <is>
          <t>Vinotinto</t>
        </is>
      </c>
      <c r="D101" t="inlineStr">
        <is>
          <t>XL</t>
        </is>
      </c>
      <c r="E101" t="n">
        <v>10</v>
      </c>
      <c r="F101" t="n">
        <v>162</v>
      </c>
    </row>
    <row r="102">
      <c r="A102" t="inlineStr">
        <is>
          <t>MAR</t>
        </is>
      </c>
      <c r="B102" t="inlineStr">
        <is>
          <t>DAMA</t>
        </is>
      </c>
      <c r="C102" t="inlineStr">
        <is>
          <t>Aguamarina</t>
        </is>
      </c>
      <c r="D102" t="inlineStr">
        <is>
          <t>XS</t>
        </is>
      </c>
      <c r="E102" t="n">
        <v>30</v>
      </c>
      <c r="F102" t="n">
        <v>134</v>
      </c>
    </row>
    <row r="103">
      <c r="A103" t="inlineStr">
        <is>
          <t>MAR</t>
        </is>
      </c>
      <c r="B103" t="inlineStr">
        <is>
          <t>DAMA</t>
        </is>
      </c>
      <c r="C103" t="inlineStr">
        <is>
          <t>Aguamarina</t>
        </is>
      </c>
      <c r="D103" t="inlineStr">
        <is>
          <t>S</t>
        </is>
      </c>
      <c r="E103" t="n">
        <v>39</v>
      </c>
      <c r="F103" t="n">
        <v>134</v>
      </c>
    </row>
    <row r="104">
      <c r="A104" t="inlineStr">
        <is>
          <t>MAR</t>
        </is>
      </c>
      <c r="B104" t="inlineStr">
        <is>
          <t>DAMA</t>
        </is>
      </c>
      <c r="C104" t="inlineStr">
        <is>
          <t>Aguamarina</t>
        </is>
      </c>
      <c r="D104" t="inlineStr">
        <is>
          <t>M</t>
        </is>
      </c>
      <c r="E104" t="n">
        <v>38</v>
      </c>
      <c r="F104" t="n">
        <v>134</v>
      </c>
    </row>
    <row r="105">
      <c r="A105" t="inlineStr">
        <is>
          <t>MAR</t>
        </is>
      </c>
      <c r="B105" t="inlineStr">
        <is>
          <t>DAMA</t>
        </is>
      </c>
      <c r="C105" t="inlineStr">
        <is>
          <t>Aguamarina</t>
        </is>
      </c>
      <c r="D105" t="inlineStr">
        <is>
          <t>L</t>
        </is>
      </c>
      <c r="E105" t="n">
        <v>19</v>
      </c>
      <c r="F105" t="n">
        <v>134</v>
      </c>
    </row>
    <row r="106">
      <c r="A106" t="inlineStr">
        <is>
          <t>MAR</t>
        </is>
      </c>
      <c r="B106" t="inlineStr">
        <is>
          <t>DAMA</t>
        </is>
      </c>
      <c r="C106" t="inlineStr">
        <is>
          <t>Aguamarina</t>
        </is>
      </c>
      <c r="D106" t="inlineStr">
        <is>
          <t>XL</t>
        </is>
      </c>
      <c r="E106" t="n">
        <v>8</v>
      </c>
      <c r="F106" t="n">
        <v>134</v>
      </c>
    </row>
    <row r="107">
      <c r="A107" t="inlineStr">
        <is>
          <t>MAR</t>
        </is>
      </c>
      <c r="B107" t="inlineStr">
        <is>
          <t>DAMA</t>
        </is>
      </c>
      <c r="C107" t="inlineStr">
        <is>
          <t>Rosado Pastel</t>
        </is>
      </c>
      <c r="D107" t="inlineStr">
        <is>
          <t>XS</t>
        </is>
      </c>
      <c r="E107" t="n">
        <v>24</v>
      </c>
      <c r="F107" t="n">
        <v>106</v>
      </c>
    </row>
    <row r="108">
      <c r="A108" t="inlineStr">
        <is>
          <t>MAR</t>
        </is>
      </c>
      <c r="B108" t="inlineStr">
        <is>
          <t>DAMA</t>
        </is>
      </c>
      <c r="C108" t="inlineStr">
        <is>
          <t>Rosado Pastel</t>
        </is>
      </c>
      <c r="D108" t="inlineStr">
        <is>
          <t>S</t>
        </is>
      </c>
      <c r="E108" t="n">
        <v>31</v>
      </c>
      <c r="F108" t="n">
        <v>106</v>
      </c>
    </row>
    <row r="109">
      <c r="A109" t="inlineStr">
        <is>
          <t>MAR</t>
        </is>
      </c>
      <c r="B109" t="inlineStr">
        <is>
          <t>DAMA</t>
        </is>
      </c>
      <c r="C109" t="inlineStr">
        <is>
          <t>Rosado Pastel</t>
        </is>
      </c>
      <c r="D109" t="inlineStr">
        <is>
          <t>M</t>
        </is>
      </c>
      <c r="E109" t="n">
        <v>30</v>
      </c>
      <c r="F109" t="n">
        <v>106</v>
      </c>
    </row>
    <row r="110">
      <c r="A110" t="inlineStr">
        <is>
          <t>MAR</t>
        </is>
      </c>
      <c r="B110" t="inlineStr">
        <is>
          <t>DAMA</t>
        </is>
      </c>
      <c r="C110" t="inlineStr">
        <is>
          <t>Rosado Pastel</t>
        </is>
      </c>
      <c r="D110" t="inlineStr">
        <is>
          <t>L</t>
        </is>
      </c>
      <c r="E110" t="n">
        <v>15</v>
      </c>
      <c r="F110" t="n">
        <v>106</v>
      </c>
    </row>
    <row r="111">
      <c r="A111" t="inlineStr">
        <is>
          <t>MAR</t>
        </is>
      </c>
      <c r="B111" t="inlineStr">
        <is>
          <t>DAMA</t>
        </is>
      </c>
      <c r="C111" t="inlineStr">
        <is>
          <t>Rosado Pastel</t>
        </is>
      </c>
      <c r="D111" t="inlineStr">
        <is>
          <t>XL</t>
        </is>
      </c>
      <c r="E111" t="n">
        <v>6</v>
      </c>
      <c r="F111" t="n">
        <v>106</v>
      </c>
    </row>
    <row r="112">
      <c r="A112" t="inlineStr">
        <is>
          <t>MAR</t>
        </is>
      </c>
      <c r="B112" t="inlineStr">
        <is>
          <t>DAMA</t>
        </is>
      </c>
      <c r="C112" t="inlineStr">
        <is>
          <t>Amarillo Neón</t>
        </is>
      </c>
      <c r="D112" t="inlineStr">
        <is>
          <t>XS</t>
        </is>
      </c>
      <c r="E112" t="n">
        <v>15</v>
      </c>
      <c r="F112" t="n">
        <v>67</v>
      </c>
    </row>
    <row r="113">
      <c r="A113" t="inlineStr">
        <is>
          <t>MAR</t>
        </is>
      </c>
      <c r="B113" t="inlineStr">
        <is>
          <t>DAMA</t>
        </is>
      </c>
      <c r="C113" t="inlineStr">
        <is>
          <t>Amarillo Neón</t>
        </is>
      </c>
      <c r="D113" t="inlineStr">
        <is>
          <t>S</t>
        </is>
      </c>
      <c r="E113" t="n">
        <v>19</v>
      </c>
      <c r="F113" t="n">
        <v>67</v>
      </c>
    </row>
    <row r="114">
      <c r="A114" t="inlineStr">
        <is>
          <t>MAR</t>
        </is>
      </c>
      <c r="B114" t="inlineStr">
        <is>
          <t>DAMA</t>
        </is>
      </c>
      <c r="C114" t="inlineStr">
        <is>
          <t>Amarillo Neón</t>
        </is>
      </c>
      <c r="D114" t="inlineStr">
        <is>
          <t>M</t>
        </is>
      </c>
      <c r="E114" t="n">
        <v>19</v>
      </c>
      <c r="F114" t="n">
        <v>67</v>
      </c>
    </row>
    <row r="115">
      <c r="A115" t="inlineStr">
        <is>
          <t>MAR</t>
        </is>
      </c>
      <c r="B115" t="inlineStr">
        <is>
          <t>DAMA</t>
        </is>
      </c>
      <c r="C115" t="inlineStr">
        <is>
          <t>Amarillo Neón</t>
        </is>
      </c>
      <c r="D115" t="inlineStr">
        <is>
          <t>L</t>
        </is>
      </c>
      <c r="E115" t="n">
        <v>10</v>
      </c>
      <c r="F115" t="n">
        <v>67</v>
      </c>
    </row>
    <row r="116">
      <c r="A116" t="inlineStr">
        <is>
          <t>MAR</t>
        </is>
      </c>
      <c r="B116" t="inlineStr">
        <is>
          <t>DAMA</t>
        </is>
      </c>
      <c r="C116" t="inlineStr">
        <is>
          <t>Amarillo Neón</t>
        </is>
      </c>
      <c r="D116" t="inlineStr">
        <is>
          <t>XL</t>
        </is>
      </c>
      <c r="E116" t="n">
        <v>4</v>
      </c>
      <c r="F116" t="n">
        <v>67</v>
      </c>
    </row>
    <row r="117">
      <c r="A117" t="inlineStr">
        <is>
          <t>MAR</t>
        </is>
      </c>
      <c r="B117" t="inlineStr">
        <is>
          <t>KIDS</t>
        </is>
      </c>
      <c r="C117" t="inlineStr">
        <is>
          <t>Blanco</t>
        </is>
      </c>
      <c r="D117" t="inlineStr">
        <is>
          <t>2</t>
        </is>
      </c>
      <c r="E117" t="n">
        <v>53</v>
      </c>
      <c r="F117" t="n">
        <v>460</v>
      </c>
    </row>
    <row r="118">
      <c r="A118" t="inlineStr">
        <is>
          <t>MAR</t>
        </is>
      </c>
      <c r="B118" t="inlineStr">
        <is>
          <t>KIDS</t>
        </is>
      </c>
      <c r="C118" t="inlineStr">
        <is>
          <t>Blanco</t>
        </is>
      </c>
      <c r="D118" t="inlineStr">
        <is>
          <t>4</t>
        </is>
      </c>
      <c r="E118" t="n">
        <v>53</v>
      </c>
      <c r="F118" t="n">
        <v>460</v>
      </c>
    </row>
    <row r="119">
      <c r="A119" t="inlineStr">
        <is>
          <t>MAR</t>
        </is>
      </c>
      <c r="B119" t="inlineStr">
        <is>
          <t>KIDS</t>
        </is>
      </c>
      <c r="C119" t="inlineStr">
        <is>
          <t>Blanco</t>
        </is>
      </c>
      <c r="D119" t="inlineStr">
        <is>
          <t>6</t>
        </is>
      </c>
      <c r="E119" t="n">
        <v>71</v>
      </c>
      <c r="F119" t="n">
        <v>460</v>
      </c>
    </row>
    <row r="120">
      <c r="A120" t="inlineStr">
        <is>
          <t>MAR</t>
        </is>
      </c>
      <c r="B120" t="inlineStr">
        <is>
          <t>KIDS</t>
        </is>
      </c>
      <c r="C120" t="inlineStr">
        <is>
          <t>Blanco</t>
        </is>
      </c>
      <c r="D120" t="inlineStr">
        <is>
          <t>8</t>
        </is>
      </c>
      <c r="E120" t="n">
        <v>66</v>
      </c>
      <c r="F120" t="n">
        <v>460</v>
      </c>
    </row>
    <row r="121">
      <c r="A121" t="inlineStr">
        <is>
          <t>MAR</t>
        </is>
      </c>
      <c r="B121" t="inlineStr">
        <is>
          <t>KIDS</t>
        </is>
      </c>
      <c r="C121" t="inlineStr">
        <is>
          <t>Blanco</t>
        </is>
      </c>
      <c r="D121" t="inlineStr">
        <is>
          <t>10</t>
        </is>
      </c>
      <c r="E121" t="n">
        <v>67</v>
      </c>
      <c r="F121" t="n">
        <v>460</v>
      </c>
    </row>
    <row r="122">
      <c r="A122" t="inlineStr">
        <is>
          <t>MAR</t>
        </is>
      </c>
      <c r="B122" t="inlineStr">
        <is>
          <t>KIDS</t>
        </is>
      </c>
      <c r="C122" t="inlineStr">
        <is>
          <t>Blanco</t>
        </is>
      </c>
      <c r="D122" t="inlineStr">
        <is>
          <t>12</t>
        </is>
      </c>
      <c r="E122" t="n">
        <v>73</v>
      </c>
      <c r="F122" t="n">
        <v>460</v>
      </c>
    </row>
    <row r="123">
      <c r="A123" t="inlineStr">
        <is>
          <t>MAR</t>
        </is>
      </c>
      <c r="B123" t="inlineStr">
        <is>
          <t>KIDS</t>
        </is>
      </c>
      <c r="C123" t="inlineStr">
        <is>
          <t>Blanco</t>
        </is>
      </c>
      <c r="D123" t="inlineStr">
        <is>
          <t>14</t>
        </is>
      </c>
      <c r="E123" t="n">
        <v>77</v>
      </c>
      <c r="F123" t="n">
        <v>460</v>
      </c>
    </row>
    <row r="124">
      <c r="A124" t="inlineStr">
        <is>
          <t>MAR</t>
        </is>
      </c>
      <c r="B124" t="inlineStr">
        <is>
          <t>KIDS</t>
        </is>
      </c>
      <c r="C124" t="inlineStr">
        <is>
          <t>Azul Marino</t>
        </is>
      </c>
      <c r="D124" t="inlineStr">
        <is>
          <t>2</t>
        </is>
      </c>
      <c r="E124" t="n">
        <v>47</v>
      </c>
      <c r="F124" t="n">
        <v>410</v>
      </c>
    </row>
    <row r="125">
      <c r="A125" t="inlineStr">
        <is>
          <t>MAR</t>
        </is>
      </c>
      <c r="B125" t="inlineStr">
        <is>
          <t>KIDS</t>
        </is>
      </c>
      <c r="C125" t="inlineStr">
        <is>
          <t>Azul Marino</t>
        </is>
      </c>
      <c r="D125" t="inlineStr">
        <is>
          <t>4</t>
        </is>
      </c>
      <c r="E125" t="n">
        <v>48</v>
      </c>
      <c r="F125" t="n">
        <v>410</v>
      </c>
    </row>
    <row r="126">
      <c r="A126" t="inlineStr">
        <is>
          <t>MAR</t>
        </is>
      </c>
      <c r="B126" t="inlineStr">
        <is>
          <t>KIDS</t>
        </is>
      </c>
      <c r="C126" t="inlineStr">
        <is>
          <t>Azul Marino</t>
        </is>
      </c>
      <c r="D126" t="inlineStr">
        <is>
          <t>6</t>
        </is>
      </c>
      <c r="E126" t="n">
        <v>63</v>
      </c>
      <c r="F126" t="n">
        <v>410</v>
      </c>
    </row>
    <row r="127">
      <c r="A127" t="inlineStr">
        <is>
          <t>MAR</t>
        </is>
      </c>
      <c r="B127" t="inlineStr">
        <is>
          <t>KIDS</t>
        </is>
      </c>
      <c r="C127" t="inlineStr">
        <is>
          <t>Azul Marino</t>
        </is>
      </c>
      <c r="D127" t="inlineStr">
        <is>
          <t>8</t>
        </is>
      </c>
      <c r="E127" t="n">
        <v>59</v>
      </c>
      <c r="F127" t="n">
        <v>410</v>
      </c>
    </row>
    <row r="128">
      <c r="A128" t="inlineStr">
        <is>
          <t>MAR</t>
        </is>
      </c>
      <c r="B128" t="inlineStr">
        <is>
          <t>KIDS</t>
        </is>
      </c>
      <c r="C128" t="inlineStr">
        <is>
          <t>Azul Marino</t>
        </is>
      </c>
      <c r="D128" t="inlineStr">
        <is>
          <t>10</t>
        </is>
      </c>
      <c r="E128" t="n">
        <v>59</v>
      </c>
      <c r="F128" t="n">
        <v>410</v>
      </c>
    </row>
    <row r="129">
      <c r="A129" t="inlineStr">
        <is>
          <t>MAR</t>
        </is>
      </c>
      <c r="B129" t="inlineStr">
        <is>
          <t>KIDS</t>
        </is>
      </c>
      <c r="C129" t="inlineStr">
        <is>
          <t>Azul Marino</t>
        </is>
      </c>
      <c r="D129" t="inlineStr">
        <is>
          <t>12</t>
        </is>
      </c>
      <c r="E129" t="n">
        <v>65</v>
      </c>
      <c r="F129" t="n">
        <v>410</v>
      </c>
    </row>
    <row r="130">
      <c r="A130" t="inlineStr">
        <is>
          <t>MAR</t>
        </is>
      </c>
      <c r="B130" t="inlineStr">
        <is>
          <t>KIDS</t>
        </is>
      </c>
      <c r="C130" t="inlineStr">
        <is>
          <t>Azul Marino</t>
        </is>
      </c>
      <c r="D130" t="inlineStr">
        <is>
          <t>14</t>
        </is>
      </c>
      <c r="E130" t="n">
        <v>69</v>
      </c>
      <c r="F130" t="n">
        <v>410</v>
      </c>
    </row>
    <row r="131">
      <c r="A131" t="inlineStr">
        <is>
          <t>MAR</t>
        </is>
      </c>
      <c r="B131" t="inlineStr">
        <is>
          <t>KIDS</t>
        </is>
      </c>
      <c r="C131" t="inlineStr">
        <is>
          <t>Negro</t>
        </is>
      </c>
      <c r="D131" t="inlineStr">
        <is>
          <t>2</t>
        </is>
      </c>
      <c r="E131" t="n">
        <v>44</v>
      </c>
      <c r="F131" t="n">
        <v>379</v>
      </c>
    </row>
    <row r="132">
      <c r="A132" t="inlineStr">
        <is>
          <t>MAR</t>
        </is>
      </c>
      <c r="B132" t="inlineStr">
        <is>
          <t>KIDS</t>
        </is>
      </c>
      <c r="C132" t="inlineStr">
        <is>
          <t>Negro</t>
        </is>
      </c>
      <c r="D132" t="inlineStr">
        <is>
          <t>4</t>
        </is>
      </c>
      <c r="E132" t="n">
        <v>44</v>
      </c>
      <c r="F132" t="n">
        <v>379</v>
      </c>
    </row>
    <row r="133">
      <c r="A133" t="inlineStr">
        <is>
          <t>MAR</t>
        </is>
      </c>
      <c r="B133" t="inlineStr">
        <is>
          <t>KIDS</t>
        </is>
      </c>
      <c r="C133" t="inlineStr">
        <is>
          <t>Negro</t>
        </is>
      </c>
      <c r="D133" t="inlineStr">
        <is>
          <t>6</t>
        </is>
      </c>
      <c r="E133" t="n">
        <v>58</v>
      </c>
      <c r="F133" t="n">
        <v>379</v>
      </c>
    </row>
    <row r="134">
      <c r="A134" t="inlineStr">
        <is>
          <t>MAR</t>
        </is>
      </c>
      <c r="B134" t="inlineStr">
        <is>
          <t>KIDS</t>
        </is>
      </c>
      <c r="C134" t="inlineStr">
        <is>
          <t>Negro</t>
        </is>
      </c>
      <c r="D134" t="inlineStr">
        <is>
          <t>8</t>
        </is>
      </c>
      <c r="E134" t="n">
        <v>54</v>
      </c>
      <c r="F134" t="n">
        <v>379</v>
      </c>
    </row>
    <row r="135">
      <c r="A135" t="inlineStr">
        <is>
          <t>MAR</t>
        </is>
      </c>
      <c r="B135" t="inlineStr">
        <is>
          <t>KIDS</t>
        </is>
      </c>
      <c r="C135" t="inlineStr">
        <is>
          <t>Negro</t>
        </is>
      </c>
      <c r="D135" t="inlineStr">
        <is>
          <t>10</t>
        </is>
      </c>
      <c r="E135" t="n">
        <v>55</v>
      </c>
      <c r="F135" t="n">
        <v>379</v>
      </c>
    </row>
    <row r="136">
      <c r="A136" t="inlineStr">
        <is>
          <t>MAR</t>
        </is>
      </c>
      <c r="B136" t="inlineStr">
        <is>
          <t>KIDS</t>
        </is>
      </c>
      <c r="C136" t="inlineStr">
        <is>
          <t>Negro</t>
        </is>
      </c>
      <c r="D136" t="inlineStr">
        <is>
          <t>12</t>
        </is>
      </c>
      <c r="E136" t="n">
        <v>60</v>
      </c>
      <c r="F136" t="n">
        <v>379</v>
      </c>
    </row>
    <row r="137">
      <c r="A137" t="inlineStr">
        <is>
          <t>MAR</t>
        </is>
      </c>
      <c r="B137" t="inlineStr">
        <is>
          <t>KIDS</t>
        </is>
      </c>
      <c r="C137" t="inlineStr">
        <is>
          <t>Negro</t>
        </is>
      </c>
      <c r="D137" t="inlineStr">
        <is>
          <t>14</t>
        </is>
      </c>
      <c r="E137" t="n">
        <v>64</v>
      </c>
      <c r="F137" t="n">
        <v>379</v>
      </c>
    </row>
    <row r="138">
      <c r="A138" t="inlineStr">
        <is>
          <t>MAR</t>
        </is>
      </c>
      <c r="B138" t="inlineStr">
        <is>
          <t>KIDS</t>
        </is>
      </c>
      <c r="C138" t="inlineStr">
        <is>
          <t>Lila</t>
        </is>
      </c>
      <c r="D138" t="inlineStr">
        <is>
          <t>2</t>
        </is>
      </c>
      <c r="E138" t="n">
        <v>29</v>
      </c>
      <c r="F138" t="n">
        <v>254</v>
      </c>
    </row>
    <row r="139">
      <c r="A139" t="inlineStr">
        <is>
          <t>MAR</t>
        </is>
      </c>
      <c r="B139" t="inlineStr">
        <is>
          <t>KIDS</t>
        </is>
      </c>
      <c r="C139" t="inlineStr">
        <is>
          <t>Lila</t>
        </is>
      </c>
      <c r="D139" t="inlineStr">
        <is>
          <t>4</t>
        </is>
      </c>
      <c r="E139" t="n">
        <v>30</v>
      </c>
      <c r="F139" t="n">
        <v>254</v>
      </c>
    </row>
    <row r="140">
      <c r="A140" t="inlineStr">
        <is>
          <t>MAR</t>
        </is>
      </c>
      <c r="B140" t="inlineStr">
        <is>
          <t>KIDS</t>
        </is>
      </c>
      <c r="C140" t="inlineStr">
        <is>
          <t>Lila</t>
        </is>
      </c>
      <c r="D140" t="inlineStr">
        <is>
          <t>6</t>
        </is>
      </c>
      <c r="E140" t="n">
        <v>39</v>
      </c>
      <c r="F140" t="n">
        <v>254</v>
      </c>
    </row>
    <row r="141">
      <c r="A141" t="inlineStr">
        <is>
          <t>MAR</t>
        </is>
      </c>
      <c r="B141" t="inlineStr">
        <is>
          <t>KIDS</t>
        </is>
      </c>
      <c r="C141" t="inlineStr">
        <is>
          <t>Lila</t>
        </is>
      </c>
      <c r="D141" t="inlineStr">
        <is>
          <t>8</t>
        </is>
      </c>
      <c r="E141" t="n">
        <v>36</v>
      </c>
      <c r="F141" t="n">
        <v>254</v>
      </c>
    </row>
    <row r="142">
      <c r="A142" t="inlineStr">
        <is>
          <t>MAR</t>
        </is>
      </c>
      <c r="B142" t="inlineStr">
        <is>
          <t>KIDS</t>
        </is>
      </c>
      <c r="C142" t="inlineStr">
        <is>
          <t>Lila</t>
        </is>
      </c>
      <c r="D142" t="inlineStr">
        <is>
          <t>10</t>
        </is>
      </c>
      <c r="E142" t="n">
        <v>37</v>
      </c>
      <c r="F142" t="n">
        <v>254</v>
      </c>
    </row>
    <row r="143">
      <c r="A143" t="inlineStr">
        <is>
          <t>MAR</t>
        </is>
      </c>
      <c r="B143" t="inlineStr">
        <is>
          <t>KIDS</t>
        </is>
      </c>
      <c r="C143" t="inlineStr">
        <is>
          <t>Lila</t>
        </is>
      </c>
      <c r="D143" t="inlineStr">
        <is>
          <t>12</t>
        </is>
      </c>
      <c r="E143" t="n">
        <v>40</v>
      </c>
      <c r="F143" t="n">
        <v>254</v>
      </c>
    </row>
    <row r="144">
      <c r="A144" t="inlineStr">
        <is>
          <t>MAR</t>
        </is>
      </c>
      <c r="B144" t="inlineStr">
        <is>
          <t>KIDS</t>
        </is>
      </c>
      <c r="C144" t="inlineStr">
        <is>
          <t>Lila</t>
        </is>
      </c>
      <c r="D144" t="inlineStr">
        <is>
          <t>14</t>
        </is>
      </c>
      <c r="E144" t="n">
        <v>43</v>
      </c>
      <c r="F144" t="n">
        <v>254</v>
      </c>
    </row>
    <row r="145">
      <c r="A145" t="inlineStr">
        <is>
          <t>MAR</t>
        </is>
      </c>
      <c r="B145" t="inlineStr">
        <is>
          <t>KIDS</t>
        </is>
      </c>
      <c r="C145" t="inlineStr">
        <is>
          <t>Aguamarina</t>
        </is>
      </c>
      <c r="D145" t="inlineStr">
        <is>
          <t>2</t>
        </is>
      </c>
      <c r="E145" t="n">
        <v>28</v>
      </c>
      <c r="F145" t="n">
        <v>242</v>
      </c>
    </row>
    <row r="146">
      <c r="A146" t="inlineStr">
        <is>
          <t>MAR</t>
        </is>
      </c>
      <c r="B146" t="inlineStr">
        <is>
          <t>KIDS</t>
        </is>
      </c>
      <c r="C146" t="inlineStr">
        <is>
          <t>Aguamarina</t>
        </is>
      </c>
      <c r="D146" t="inlineStr">
        <is>
          <t>4</t>
        </is>
      </c>
      <c r="E146" t="n">
        <v>28</v>
      </c>
      <c r="F146" t="n">
        <v>242</v>
      </c>
    </row>
    <row r="147">
      <c r="A147" t="inlineStr">
        <is>
          <t>MAR</t>
        </is>
      </c>
      <c r="B147" t="inlineStr">
        <is>
          <t>KIDS</t>
        </is>
      </c>
      <c r="C147" t="inlineStr">
        <is>
          <t>Aguamarina</t>
        </is>
      </c>
      <c r="D147" t="inlineStr">
        <is>
          <t>6</t>
        </is>
      </c>
      <c r="E147" t="n">
        <v>37</v>
      </c>
      <c r="F147" t="n">
        <v>242</v>
      </c>
    </row>
    <row r="148">
      <c r="A148" t="inlineStr">
        <is>
          <t>MAR</t>
        </is>
      </c>
      <c r="B148" t="inlineStr">
        <is>
          <t>KIDS</t>
        </is>
      </c>
      <c r="C148" t="inlineStr">
        <is>
          <t>Aguamarina</t>
        </is>
      </c>
      <c r="D148" t="inlineStr">
        <is>
          <t>8</t>
        </is>
      </c>
      <c r="E148" t="n">
        <v>35</v>
      </c>
      <c r="F148" t="n">
        <v>242</v>
      </c>
    </row>
    <row r="149">
      <c r="A149" t="inlineStr">
        <is>
          <t>MAR</t>
        </is>
      </c>
      <c r="B149" t="inlineStr">
        <is>
          <t>KIDS</t>
        </is>
      </c>
      <c r="C149" t="inlineStr">
        <is>
          <t>Aguamarina</t>
        </is>
      </c>
      <c r="D149" t="inlineStr">
        <is>
          <t>10</t>
        </is>
      </c>
      <c r="E149" t="n">
        <v>35</v>
      </c>
      <c r="F149" t="n">
        <v>242</v>
      </c>
    </row>
    <row r="150">
      <c r="A150" t="inlineStr">
        <is>
          <t>MAR</t>
        </is>
      </c>
      <c r="B150" t="inlineStr">
        <is>
          <t>KIDS</t>
        </is>
      </c>
      <c r="C150" t="inlineStr">
        <is>
          <t>Aguamarina</t>
        </is>
      </c>
      <c r="D150" t="inlineStr">
        <is>
          <t>12</t>
        </is>
      </c>
      <c r="E150" t="n">
        <v>38</v>
      </c>
      <c r="F150" t="n">
        <v>242</v>
      </c>
    </row>
    <row r="151">
      <c r="A151" t="inlineStr">
        <is>
          <t>MAR</t>
        </is>
      </c>
      <c r="B151" t="inlineStr">
        <is>
          <t>KIDS</t>
        </is>
      </c>
      <c r="C151" t="inlineStr">
        <is>
          <t>Aguamarina</t>
        </is>
      </c>
      <c r="D151" t="inlineStr">
        <is>
          <t>14</t>
        </is>
      </c>
      <c r="E151" t="n">
        <v>41</v>
      </c>
      <c r="F151" t="n">
        <v>242</v>
      </c>
    </row>
    <row r="152">
      <c r="A152" t="inlineStr">
        <is>
          <t>MAR</t>
        </is>
      </c>
      <c r="B152" t="inlineStr">
        <is>
          <t>KIDS</t>
        </is>
      </c>
      <c r="C152" t="inlineStr">
        <is>
          <t>Rojo</t>
        </is>
      </c>
      <c r="D152" t="inlineStr">
        <is>
          <t>2</t>
        </is>
      </c>
      <c r="E152" t="n">
        <v>28</v>
      </c>
      <c r="F152" t="n">
        <v>240</v>
      </c>
    </row>
    <row r="153">
      <c r="A153" t="inlineStr">
        <is>
          <t>MAR</t>
        </is>
      </c>
      <c r="B153" t="inlineStr">
        <is>
          <t>KIDS</t>
        </is>
      </c>
      <c r="C153" t="inlineStr">
        <is>
          <t>Rojo</t>
        </is>
      </c>
      <c r="D153" t="inlineStr">
        <is>
          <t>4</t>
        </is>
      </c>
      <c r="E153" t="n">
        <v>28</v>
      </c>
      <c r="F153" t="n">
        <v>240</v>
      </c>
    </row>
    <row r="154">
      <c r="A154" t="inlineStr">
        <is>
          <t>MAR</t>
        </is>
      </c>
      <c r="B154" t="inlineStr">
        <is>
          <t>KIDS</t>
        </is>
      </c>
      <c r="C154" t="inlineStr">
        <is>
          <t>Rojo</t>
        </is>
      </c>
      <c r="D154" t="inlineStr">
        <is>
          <t>6</t>
        </is>
      </c>
      <c r="E154" t="n">
        <v>37</v>
      </c>
      <c r="F154" t="n">
        <v>240</v>
      </c>
    </row>
    <row r="155">
      <c r="A155" t="inlineStr">
        <is>
          <t>MAR</t>
        </is>
      </c>
      <c r="B155" t="inlineStr">
        <is>
          <t>KIDS</t>
        </is>
      </c>
      <c r="C155" t="inlineStr">
        <is>
          <t>Rojo</t>
        </is>
      </c>
      <c r="D155" t="inlineStr">
        <is>
          <t>8</t>
        </is>
      </c>
      <c r="E155" t="n">
        <v>34</v>
      </c>
      <c r="F155" t="n">
        <v>240</v>
      </c>
    </row>
    <row r="156">
      <c r="A156" t="inlineStr">
        <is>
          <t>MAR</t>
        </is>
      </c>
      <c r="B156" t="inlineStr">
        <is>
          <t>KIDS</t>
        </is>
      </c>
      <c r="C156" t="inlineStr">
        <is>
          <t>Rojo</t>
        </is>
      </c>
      <c r="D156" t="inlineStr">
        <is>
          <t>10</t>
        </is>
      </c>
      <c r="E156" t="n">
        <v>35</v>
      </c>
      <c r="F156" t="n">
        <v>240</v>
      </c>
    </row>
    <row r="157">
      <c r="A157" t="inlineStr">
        <is>
          <t>MAR</t>
        </is>
      </c>
      <c r="B157" t="inlineStr">
        <is>
          <t>KIDS</t>
        </is>
      </c>
      <c r="C157" t="inlineStr">
        <is>
          <t>Rojo</t>
        </is>
      </c>
      <c r="D157" t="inlineStr">
        <is>
          <t>12</t>
        </is>
      </c>
      <c r="E157" t="n">
        <v>38</v>
      </c>
      <c r="F157" t="n">
        <v>240</v>
      </c>
    </row>
    <row r="158">
      <c r="A158" t="inlineStr">
        <is>
          <t>MAR</t>
        </is>
      </c>
      <c r="B158" t="inlineStr">
        <is>
          <t>KIDS</t>
        </is>
      </c>
      <c r="C158" t="inlineStr">
        <is>
          <t>Rojo</t>
        </is>
      </c>
      <c r="D158" t="inlineStr">
        <is>
          <t>14</t>
        </is>
      </c>
      <c r="E158" t="n">
        <v>40</v>
      </c>
      <c r="F158" t="n">
        <v>240</v>
      </c>
    </row>
    <row r="159">
      <c r="A159" t="inlineStr">
        <is>
          <t>MAR</t>
        </is>
      </c>
      <c r="B159" t="inlineStr">
        <is>
          <t>KIDS</t>
        </is>
      </c>
      <c r="C159" t="inlineStr">
        <is>
          <t>Azul Rey</t>
        </is>
      </c>
      <c r="D159" t="inlineStr">
        <is>
          <t>2</t>
        </is>
      </c>
      <c r="E159" t="n">
        <v>27</v>
      </c>
      <c r="F159" t="n">
        <v>233</v>
      </c>
    </row>
    <row r="160">
      <c r="A160" t="inlineStr">
        <is>
          <t>MAR</t>
        </is>
      </c>
      <c r="B160" t="inlineStr">
        <is>
          <t>KIDS</t>
        </is>
      </c>
      <c r="C160" t="inlineStr">
        <is>
          <t>Azul Rey</t>
        </is>
      </c>
      <c r="D160" t="inlineStr">
        <is>
          <t>4</t>
        </is>
      </c>
      <c r="E160" t="n">
        <v>27</v>
      </c>
      <c r="F160" t="n">
        <v>233</v>
      </c>
    </row>
    <row r="161">
      <c r="A161" t="inlineStr">
        <is>
          <t>MAR</t>
        </is>
      </c>
      <c r="B161" t="inlineStr">
        <is>
          <t>KIDS</t>
        </is>
      </c>
      <c r="C161" t="inlineStr">
        <is>
          <t>Azul Rey</t>
        </is>
      </c>
      <c r="D161" t="inlineStr">
        <is>
          <t>6</t>
        </is>
      </c>
      <c r="E161" t="n">
        <v>36</v>
      </c>
      <c r="F161" t="n">
        <v>233</v>
      </c>
    </row>
    <row r="162">
      <c r="A162" t="inlineStr">
        <is>
          <t>MAR</t>
        </is>
      </c>
      <c r="B162" t="inlineStr">
        <is>
          <t>KIDS</t>
        </is>
      </c>
      <c r="C162" t="inlineStr">
        <is>
          <t>Azul Rey</t>
        </is>
      </c>
      <c r="D162" t="inlineStr">
        <is>
          <t>8</t>
        </is>
      </c>
      <c r="E162" t="n">
        <v>33</v>
      </c>
      <c r="F162" t="n">
        <v>233</v>
      </c>
    </row>
    <row r="163">
      <c r="A163" t="inlineStr">
        <is>
          <t>MAR</t>
        </is>
      </c>
      <c r="B163" t="inlineStr">
        <is>
          <t>KIDS</t>
        </is>
      </c>
      <c r="C163" t="inlineStr">
        <is>
          <t>Azul Rey</t>
        </is>
      </c>
      <c r="D163" t="inlineStr">
        <is>
          <t>10</t>
        </is>
      </c>
      <c r="E163" t="n">
        <v>34</v>
      </c>
      <c r="F163" t="n">
        <v>233</v>
      </c>
    </row>
    <row r="164">
      <c r="A164" t="inlineStr">
        <is>
          <t>MAR</t>
        </is>
      </c>
      <c r="B164" t="inlineStr">
        <is>
          <t>KIDS</t>
        </is>
      </c>
      <c r="C164" t="inlineStr">
        <is>
          <t>Azul Rey</t>
        </is>
      </c>
      <c r="D164" t="inlineStr">
        <is>
          <t>12</t>
        </is>
      </c>
      <c r="E164" t="n">
        <v>37</v>
      </c>
      <c r="F164" t="n">
        <v>233</v>
      </c>
    </row>
    <row r="165">
      <c r="A165" t="inlineStr">
        <is>
          <t>MAR</t>
        </is>
      </c>
      <c r="B165" t="inlineStr">
        <is>
          <t>KIDS</t>
        </is>
      </c>
      <c r="C165" t="inlineStr">
        <is>
          <t>Azul Rey</t>
        </is>
      </c>
      <c r="D165" t="inlineStr">
        <is>
          <t>14</t>
        </is>
      </c>
      <c r="E165" t="n">
        <v>39</v>
      </c>
      <c r="F165" t="n">
        <v>233</v>
      </c>
    </row>
    <row r="166">
      <c r="A166" t="inlineStr">
        <is>
          <t>MAR</t>
        </is>
      </c>
      <c r="B166" t="inlineStr">
        <is>
          <t>KIDS</t>
        </is>
      </c>
      <c r="C166" t="inlineStr">
        <is>
          <t>Verde Militar</t>
        </is>
      </c>
      <c r="D166" t="inlineStr">
        <is>
          <t>2</t>
        </is>
      </c>
      <c r="E166" t="n">
        <v>26</v>
      </c>
      <c r="F166" t="n">
        <v>225</v>
      </c>
    </row>
    <row r="167">
      <c r="A167" t="inlineStr">
        <is>
          <t>MAR</t>
        </is>
      </c>
      <c r="B167" t="inlineStr">
        <is>
          <t>KIDS</t>
        </is>
      </c>
      <c r="C167" t="inlineStr">
        <is>
          <t>Verde Militar</t>
        </is>
      </c>
      <c r="D167" t="inlineStr">
        <is>
          <t>4</t>
        </is>
      </c>
      <c r="E167" t="n">
        <v>26</v>
      </c>
      <c r="F167" t="n">
        <v>225</v>
      </c>
    </row>
    <row r="168">
      <c r="A168" t="inlineStr">
        <is>
          <t>MAR</t>
        </is>
      </c>
      <c r="B168" t="inlineStr">
        <is>
          <t>KIDS</t>
        </is>
      </c>
      <c r="C168" t="inlineStr">
        <is>
          <t>Verde Militar</t>
        </is>
      </c>
      <c r="D168" t="inlineStr">
        <is>
          <t>6</t>
        </is>
      </c>
      <c r="E168" t="n">
        <v>35</v>
      </c>
      <c r="F168" t="n">
        <v>225</v>
      </c>
    </row>
    <row r="169">
      <c r="A169" t="inlineStr">
        <is>
          <t>MAR</t>
        </is>
      </c>
      <c r="B169" t="inlineStr">
        <is>
          <t>KIDS</t>
        </is>
      </c>
      <c r="C169" t="inlineStr">
        <is>
          <t>Verde Militar</t>
        </is>
      </c>
      <c r="D169" t="inlineStr">
        <is>
          <t>8</t>
        </is>
      </c>
      <c r="E169" t="n">
        <v>32</v>
      </c>
      <c r="F169" t="n">
        <v>225</v>
      </c>
    </row>
    <row r="170">
      <c r="A170" t="inlineStr">
        <is>
          <t>MAR</t>
        </is>
      </c>
      <c r="B170" t="inlineStr">
        <is>
          <t>KIDS</t>
        </is>
      </c>
      <c r="C170" t="inlineStr">
        <is>
          <t>Verde Militar</t>
        </is>
      </c>
      <c r="D170" t="inlineStr">
        <is>
          <t>10</t>
        </is>
      </c>
      <c r="E170" t="n">
        <v>33</v>
      </c>
      <c r="F170" t="n">
        <v>225</v>
      </c>
    </row>
    <row r="171">
      <c r="A171" t="inlineStr">
        <is>
          <t>MAR</t>
        </is>
      </c>
      <c r="B171" t="inlineStr">
        <is>
          <t>KIDS</t>
        </is>
      </c>
      <c r="C171" t="inlineStr">
        <is>
          <t>Verde Militar</t>
        </is>
      </c>
      <c r="D171" t="inlineStr">
        <is>
          <t>12</t>
        </is>
      </c>
      <c r="E171" t="n">
        <v>35</v>
      </c>
      <c r="F171" t="n">
        <v>225</v>
      </c>
    </row>
    <row r="172">
      <c r="A172" t="inlineStr">
        <is>
          <t>MAR</t>
        </is>
      </c>
      <c r="B172" t="inlineStr">
        <is>
          <t>KIDS</t>
        </is>
      </c>
      <c r="C172" t="inlineStr">
        <is>
          <t>Verde Militar</t>
        </is>
      </c>
      <c r="D172" t="inlineStr">
        <is>
          <t>14</t>
        </is>
      </c>
      <c r="E172" t="n">
        <v>38</v>
      </c>
      <c r="F172" t="n">
        <v>225</v>
      </c>
    </row>
    <row r="173">
      <c r="A173" t="inlineStr">
        <is>
          <t>MAR</t>
        </is>
      </c>
      <c r="B173" t="inlineStr">
        <is>
          <t>KIDS</t>
        </is>
      </c>
      <c r="C173" t="inlineStr">
        <is>
          <t>Rosado Pastel</t>
        </is>
      </c>
      <c r="D173" t="inlineStr">
        <is>
          <t>2</t>
        </is>
      </c>
      <c r="E173" t="n">
        <v>25</v>
      </c>
      <c r="F173" t="n">
        <v>215</v>
      </c>
    </row>
    <row r="174">
      <c r="A174" t="inlineStr">
        <is>
          <t>MAR</t>
        </is>
      </c>
      <c r="B174" t="inlineStr">
        <is>
          <t>KIDS</t>
        </is>
      </c>
      <c r="C174" t="inlineStr">
        <is>
          <t>Rosado Pastel</t>
        </is>
      </c>
      <c r="D174" t="inlineStr">
        <is>
          <t>4</t>
        </is>
      </c>
      <c r="E174" t="n">
        <v>25</v>
      </c>
      <c r="F174" t="n">
        <v>215</v>
      </c>
    </row>
    <row r="175">
      <c r="A175" t="inlineStr">
        <is>
          <t>MAR</t>
        </is>
      </c>
      <c r="B175" t="inlineStr">
        <is>
          <t>KIDS</t>
        </is>
      </c>
      <c r="C175" t="inlineStr">
        <is>
          <t>Rosado Pastel</t>
        </is>
      </c>
      <c r="D175" t="inlineStr">
        <is>
          <t>6</t>
        </is>
      </c>
      <c r="E175" t="n">
        <v>33</v>
      </c>
      <c r="F175" t="n">
        <v>215</v>
      </c>
    </row>
    <row r="176">
      <c r="A176" t="inlineStr">
        <is>
          <t>MAR</t>
        </is>
      </c>
      <c r="B176" t="inlineStr">
        <is>
          <t>KIDS</t>
        </is>
      </c>
      <c r="C176" t="inlineStr">
        <is>
          <t>Rosado Pastel</t>
        </is>
      </c>
      <c r="D176" t="inlineStr">
        <is>
          <t>8</t>
        </is>
      </c>
      <c r="E176" t="n">
        <v>31</v>
      </c>
      <c r="F176" t="n">
        <v>215</v>
      </c>
    </row>
    <row r="177">
      <c r="A177" t="inlineStr">
        <is>
          <t>MAR</t>
        </is>
      </c>
      <c r="B177" t="inlineStr">
        <is>
          <t>KIDS</t>
        </is>
      </c>
      <c r="C177" t="inlineStr">
        <is>
          <t>Rosado Pastel</t>
        </is>
      </c>
      <c r="D177" t="inlineStr">
        <is>
          <t>10</t>
        </is>
      </c>
      <c r="E177" t="n">
        <v>31</v>
      </c>
      <c r="F177" t="n">
        <v>215</v>
      </c>
    </row>
    <row r="178">
      <c r="A178" t="inlineStr">
        <is>
          <t>MAR</t>
        </is>
      </c>
      <c r="B178" t="inlineStr">
        <is>
          <t>KIDS</t>
        </is>
      </c>
      <c r="C178" t="inlineStr">
        <is>
          <t>Rosado Pastel</t>
        </is>
      </c>
      <c r="D178" t="inlineStr">
        <is>
          <t>12</t>
        </is>
      </c>
      <c r="E178" t="n">
        <v>34</v>
      </c>
      <c r="F178" t="n">
        <v>215</v>
      </c>
    </row>
    <row r="179">
      <c r="A179" t="inlineStr">
        <is>
          <t>MAR</t>
        </is>
      </c>
      <c r="B179" t="inlineStr">
        <is>
          <t>KIDS</t>
        </is>
      </c>
      <c r="C179" t="inlineStr">
        <is>
          <t>Rosado Pastel</t>
        </is>
      </c>
      <c r="D179" t="inlineStr">
        <is>
          <t>14</t>
        </is>
      </c>
      <c r="E179" t="n">
        <v>36</v>
      </c>
      <c r="F179" t="n">
        <v>215</v>
      </c>
    </row>
    <row r="180">
      <c r="A180" t="inlineStr">
        <is>
          <t>MAR</t>
        </is>
      </c>
      <c r="B180" t="inlineStr">
        <is>
          <t>KIDS</t>
        </is>
      </c>
      <c r="C180" t="inlineStr">
        <is>
          <t>Púrpura</t>
        </is>
      </c>
      <c r="D180" t="inlineStr">
        <is>
          <t>2</t>
        </is>
      </c>
      <c r="E180" t="n">
        <v>21</v>
      </c>
      <c r="F180" t="n">
        <v>180</v>
      </c>
    </row>
    <row r="181">
      <c r="A181" t="inlineStr">
        <is>
          <t>MAR</t>
        </is>
      </c>
      <c r="B181" t="inlineStr">
        <is>
          <t>KIDS</t>
        </is>
      </c>
      <c r="C181" t="inlineStr">
        <is>
          <t>Púrpura</t>
        </is>
      </c>
      <c r="D181" t="inlineStr">
        <is>
          <t>4</t>
        </is>
      </c>
      <c r="E181" t="n">
        <v>21</v>
      </c>
      <c r="F181" t="n">
        <v>180</v>
      </c>
    </row>
    <row r="182">
      <c r="A182" t="inlineStr">
        <is>
          <t>MAR</t>
        </is>
      </c>
      <c r="B182" t="inlineStr">
        <is>
          <t>KIDS</t>
        </is>
      </c>
      <c r="C182" t="inlineStr">
        <is>
          <t>Púrpura</t>
        </is>
      </c>
      <c r="D182" t="inlineStr">
        <is>
          <t>6</t>
        </is>
      </c>
      <c r="E182" t="n">
        <v>28</v>
      </c>
      <c r="F182" t="n">
        <v>180</v>
      </c>
    </row>
    <row r="183">
      <c r="A183" t="inlineStr">
        <is>
          <t>MAR</t>
        </is>
      </c>
      <c r="B183" t="inlineStr">
        <is>
          <t>KIDS</t>
        </is>
      </c>
      <c r="C183" t="inlineStr">
        <is>
          <t>Púrpura</t>
        </is>
      </c>
      <c r="D183" t="inlineStr">
        <is>
          <t>8</t>
        </is>
      </c>
      <c r="E183" t="n">
        <v>26</v>
      </c>
      <c r="F183" t="n">
        <v>180</v>
      </c>
    </row>
    <row r="184">
      <c r="A184" t="inlineStr">
        <is>
          <t>MAR</t>
        </is>
      </c>
      <c r="B184" t="inlineStr">
        <is>
          <t>KIDS</t>
        </is>
      </c>
      <c r="C184" t="inlineStr">
        <is>
          <t>Púrpura</t>
        </is>
      </c>
      <c r="D184" t="inlineStr">
        <is>
          <t>10</t>
        </is>
      </c>
      <c r="E184" t="n">
        <v>26</v>
      </c>
      <c r="F184" t="n">
        <v>180</v>
      </c>
    </row>
    <row r="185">
      <c r="A185" t="inlineStr">
        <is>
          <t>MAR</t>
        </is>
      </c>
      <c r="B185" t="inlineStr">
        <is>
          <t>KIDS</t>
        </is>
      </c>
      <c r="C185" t="inlineStr">
        <is>
          <t>Púrpura</t>
        </is>
      </c>
      <c r="D185" t="inlineStr">
        <is>
          <t>12</t>
        </is>
      </c>
      <c r="E185" t="n">
        <v>28</v>
      </c>
      <c r="F185" t="n">
        <v>180</v>
      </c>
    </row>
    <row r="186">
      <c r="A186" t="inlineStr">
        <is>
          <t>MAR</t>
        </is>
      </c>
      <c r="B186" t="inlineStr">
        <is>
          <t>KIDS</t>
        </is>
      </c>
      <c r="C186" t="inlineStr">
        <is>
          <t>Púrpura</t>
        </is>
      </c>
      <c r="D186" t="inlineStr">
        <is>
          <t>14</t>
        </is>
      </c>
      <c r="E186" t="n">
        <v>30</v>
      </c>
      <c r="F186" t="n">
        <v>180</v>
      </c>
    </row>
    <row r="187">
      <c r="A187" t="inlineStr">
        <is>
          <t>MAR</t>
        </is>
      </c>
      <c r="B187" t="inlineStr">
        <is>
          <t>KIDS</t>
        </is>
      </c>
      <c r="C187" t="inlineStr">
        <is>
          <t>Azul Lavanda</t>
        </is>
      </c>
      <c r="D187" t="inlineStr">
        <is>
          <t>2</t>
        </is>
      </c>
      <c r="E187" t="n">
        <v>18</v>
      </c>
      <c r="F187" t="n">
        <v>154</v>
      </c>
    </row>
    <row r="188">
      <c r="A188" t="inlineStr">
        <is>
          <t>MAR</t>
        </is>
      </c>
      <c r="B188" t="inlineStr">
        <is>
          <t>KIDS</t>
        </is>
      </c>
      <c r="C188" t="inlineStr">
        <is>
          <t>Azul Lavanda</t>
        </is>
      </c>
      <c r="D188" t="inlineStr">
        <is>
          <t>4</t>
        </is>
      </c>
      <c r="E188" t="n">
        <v>18</v>
      </c>
      <c r="F188" t="n">
        <v>154</v>
      </c>
    </row>
    <row r="189">
      <c r="A189" t="inlineStr">
        <is>
          <t>MAR</t>
        </is>
      </c>
      <c r="B189" t="inlineStr">
        <is>
          <t>KIDS</t>
        </is>
      </c>
      <c r="C189" t="inlineStr">
        <is>
          <t>Azul Lavanda</t>
        </is>
      </c>
      <c r="D189" t="inlineStr">
        <is>
          <t>6</t>
        </is>
      </c>
      <c r="E189" t="n">
        <v>24</v>
      </c>
      <c r="F189" t="n">
        <v>154</v>
      </c>
    </row>
    <row r="190">
      <c r="A190" t="inlineStr">
        <is>
          <t>MAR</t>
        </is>
      </c>
      <c r="B190" t="inlineStr">
        <is>
          <t>KIDS</t>
        </is>
      </c>
      <c r="C190" t="inlineStr">
        <is>
          <t>Azul Lavanda</t>
        </is>
      </c>
      <c r="D190" t="inlineStr">
        <is>
          <t>8</t>
        </is>
      </c>
      <c r="E190" t="n">
        <v>22</v>
      </c>
      <c r="F190" t="n">
        <v>154</v>
      </c>
    </row>
    <row r="191">
      <c r="A191" t="inlineStr">
        <is>
          <t>MAR</t>
        </is>
      </c>
      <c r="B191" t="inlineStr">
        <is>
          <t>KIDS</t>
        </is>
      </c>
      <c r="C191" t="inlineStr">
        <is>
          <t>Azul Lavanda</t>
        </is>
      </c>
      <c r="D191" t="inlineStr">
        <is>
          <t>10</t>
        </is>
      </c>
      <c r="E191" t="n">
        <v>22</v>
      </c>
      <c r="F191" t="n">
        <v>154</v>
      </c>
    </row>
    <row r="192">
      <c r="A192" t="inlineStr">
        <is>
          <t>MAR</t>
        </is>
      </c>
      <c r="B192" t="inlineStr">
        <is>
          <t>KIDS</t>
        </is>
      </c>
      <c r="C192" t="inlineStr">
        <is>
          <t>Azul Lavanda</t>
        </is>
      </c>
      <c r="D192" t="inlineStr">
        <is>
          <t>12</t>
        </is>
      </c>
      <c r="E192" t="n">
        <v>24</v>
      </c>
      <c r="F192" t="n">
        <v>154</v>
      </c>
    </row>
    <row r="193">
      <c r="A193" t="inlineStr">
        <is>
          <t>MAR</t>
        </is>
      </c>
      <c r="B193" t="inlineStr">
        <is>
          <t>KIDS</t>
        </is>
      </c>
      <c r="C193" t="inlineStr">
        <is>
          <t>Azul Lavanda</t>
        </is>
      </c>
      <c r="D193" t="inlineStr">
        <is>
          <t>14</t>
        </is>
      </c>
      <c r="E193" t="n">
        <v>26</v>
      </c>
      <c r="F193" t="n">
        <v>154</v>
      </c>
    </row>
    <row r="194">
      <c r="A194" t="inlineStr">
        <is>
          <t>MAR</t>
        </is>
      </c>
      <c r="B194" t="inlineStr">
        <is>
          <t>KIDS</t>
        </is>
      </c>
      <c r="C194" t="inlineStr">
        <is>
          <t>Amarillo Neón</t>
        </is>
      </c>
      <c r="D194" t="inlineStr">
        <is>
          <t>2</t>
        </is>
      </c>
      <c r="E194" t="n">
        <v>13</v>
      </c>
      <c r="F194" t="n">
        <v>114</v>
      </c>
    </row>
    <row r="195">
      <c r="A195" t="inlineStr">
        <is>
          <t>MAR</t>
        </is>
      </c>
      <c r="B195" t="inlineStr">
        <is>
          <t>KIDS</t>
        </is>
      </c>
      <c r="C195" t="inlineStr">
        <is>
          <t>Amarillo Neón</t>
        </is>
      </c>
      <c r="D195" t="inlineStr">
        <is>
          <t>4</t>
        </is>
      </c>
      <c r="E195" t="n">
        <v>13</v>
      </c>
      <c r="F195" t="n">
        <v>114</v>
      </c>
    </row>
    <row r="196">
      <c r="A196" t="inlineStr">
        <is>
          <t>MAR</t>
        </is>
      </c>
      <c r="B196" t="inlineStr">
        <is>
          <t>KIDS</t>
        </is>
      </c>
      <c r="C196" t="inlineStr">
        <is>
          <t>Amarillo Neón</t>
        </is>
      </c>
      <c r="D196" t="inlineStr">
        <is>
          <t>6</t>
        </is>
      </c>
      <c r="E196" t="n">
        <v>18</v>
      </c>
      <c r="F196" t="n">
        <v>114</v>
      </c>
    </row>
    <row r="197">
      <c r="A197" t="inlineStr">
        <is>
          <t>MAR</t>
        </is>
      </c>
      <c r="B197" t="inlineStr">
        <is>
          <t>KIDS</t>
        </is>
      </c>
      <c r="C197" t="inlineStr">
        <is>
          <t>Amarillo Neón</t>
        </is>
      </c>
      <c r="D197" t="inlineStr">
        <is>
          <t>8</t>
        </is>
      </c>
      <c r="E197" t="n">
        <v>16</v>
      </c>
      <c r="F197" t="n">
        <v>114</v>
      </c>
    </row>
    <row r="198">
      <c r="A198" t="inlineStr">
        <is>
          <t>MAR</t>
        </is>
      </c>
      <c r="B198" t="inlineStr">
        <is>
          <t>KIDS</t>
        </is>
      </c>
      <c r="C198" t="inlineStr">
        <is>
          <t>Amarillo Neón</t>
        </is>
      </c>
      <c r="D198" t="inlineStr">
        <is>
          <t>10</t>
        </is>
      </c>
      <c r="E198" t="n">
        <v>17</v>
      </c>
      <c r="F198" t="n">
        <v>114</v>
      </c>
    </row>
    <row r="199">
      <c r="A199" t="inlineStr">
        <is>
          <t>MAR</t>
        </is>
      </c>
      <c r="B199" t="inlineStr">
        <is>
          <t>KIDS</t>
        </is>
      </c>
      <c r="C199" t="inlineStr">
        <is>
          <t>Amarillo Neón</t>
        </is>
      </c>
      <c r="D199" t="inlineStr">
        <is>
          <t>12</t>
        </is>
      </c>
      <c r="E199" t="n">
        <v>18</v>
      </c>
      <c r="F199" t="n">
        <v>114</v>
      </c>
    </row>
    <row r="200">
      <c r="A200" t="inlineStr">
        <is>
          <t>MAR</t>
        </is>
      </c>
      <c r="B200" t="inlineStr">
        <is>
          <t>KIDS</t>
        </is>
      </c>
      <c r="C200" t="inlineStr">
        <is>
          <t>Amarillo Neón</t>
        </is>
      </c>
      <c r="D200" t="inlineStr">
        <is>
          <t>14</t>
        </is>
      </c>
      <c r="E200" t="n">
        <v>19</v>
      </c>
      <c r="F200" t="n">
        <v>114</v>
      </c>
    </row>
    <row r="201">
      <c r="A201" t="inlineStr">
        <is>
          <t>RIO</t>
        </is>
      </c>
      <c r="B201" t="inlineStr">
        <is>
          <t>CAB</t>
        </is>
      </c>
      <c r="C201" t="inlineStr">
        <is>
          <t>Negro</t>
        </is>
      </c>
      <c r="D201" t="inlineStr">
        <is>
          <t>S</t>
        </is>
      </c>
      <c r="E201" t="n">
        <v>95</v>
      </c>
      <c r="F201" t="n">
        <v>557</v>
      </c>
    </row>
    <row r="202">
      <c r="A202" t="inlineStr">
        <is>
          <t>RIO</t>
        </is>
      </c>
      <c r="B202" t="inlineStr">
        <is>
          <t>CAB</t>
        </is>
      </c>
      <c r="C202" t="inlineStr">
        <is>
          <t>Negro</t>
        </is>
      </c>
      <c r="D202" t="inlineStr">
        <is>
          <t>M</t>
        </is>
      </c>
      <c r="E202" t="n">
        <v>157</v>
      </c>
      <c r="F202" t="n">
        <v>557</v>
      </c>
    </row>
    <row r="203">
      <c r="A203" t="inlineStr">
        <is>
          <t>RIO</t>
        </is>
      </c>
      <c r="B203" t="inlineStr">
        <is>
          <t>CAB</t>
        </is>
      </c>
      <c r="C203" t="inlineStr">
        <is>
          <t>Negro</t>
        </is>
      </c>
      <c r="D203" t="inlineStr">
        <is>
          <t>L</t>
        </is>
      </c>
      <c r="E203" t="n">
        <v>181</v>
      </c>
      <c r="F203" t="n">
        <v>557</v>
      </c>
    </row>
    <row r="204">
      <c r="A204" t="inlineStr">
        <is>
          <t>RIO</t>
        </is>
      </c>
      <c r="B204" t="inlineStr">
        <is>
          <t>CAB</t>
        </is>
      </c>
      <c r="C204" t="inlineStr">
        <is>
          <t>Negro</t>
        </is>
      </c>
      <c r="D204" t="inlineStr">
        <is>
          <t>XL</t>
        </is>
      </c>
      <c r="E204" t="n">
        <v>96</v>
      </c>
      <c r="F204" t="n">
        <v>557</v>
      </c>
    </row>
    <row r="205">
      <c r="A205" t="inlineStr">
        <is>
          <t>RIO</t>
        </is>
      </c>
      <c r="B205" t="inlineStr">
        <is>
          <t>CAB</t>
        </is>
      </c>
      <c r="C205" t="inlineStr">
        <is>
          <t>Negro</t>
        </is>
      </c>
      <c r="D205" t="inlineStr">
        <is>
          <t>2XL</t>
        </is>
      </c>
      <c r="E205" t="n">
        <v>28</v>
      </c>
      <c r="F205" t="n">
        <v>557</v>
      </c>
    </row>
    <row r="206">
      <c r="A206" t="inlineStr">
        <is>
          <t>RIO</t>
        </is>
      </c>
      <c r="B206" t="inlineStr">
        <is>
          <t>CAB</t>
        </is>
      </c>
      <c r="C206" t="inlineStr">
        <is>
          <t>Blanco</t>
        </is>
      </c>
      <c r="D206" t="inlineStr">
        <is>
          <t>S</t>
        </is>
      </c>
      <c r="E206" t="n">
        <v>72</v>
      </c>
      <c r="F206" t="n">
        <v>356</v>
      </c>
    </row>
    <row r="207">
      <c r="A207" t="inlineStr">
        <is>
          <t>RIO</t>
        </is>
      </c>
      <c r="B207" t="inlineStr">
        <is>
          <t>CAB</t>
        </is>
      </c>
      <c r="C207" t="inlineStr">
        <is>
          <t>Blanco</t>
        </is>
      </c>
      <c r="D207" t="inlineStr">
        <is>
          <t>M</t>
        </is>
      </c>
      <c r="E207" t="n">
        <v>76</v>
      </c>
      <c r="F207" t="n">
        <v>356</v>
      </c>
    </row>
    <row r="208">
      <c r="A208" t="inlineStr">
        <is>
          <t>RIO</t>
        </is>
      </c>
      <c r="B208" t="inlineStr">
        <is>
          <t>CAB</t>
        </is>
      </c>
      <c r="C208" t="inlineStr">
        <is>
          <t>Blanco</t>
        </is>
      </c>
      <c r="D208" t="inlineStr">
        <is>
          <t>L</t>
        </is>
      </c>
      <c r="E208" t="n">
        <v>97</v>
      </c>
      <c r="F208" t="n">
        <v>356</v>
      </c>
    </row>
    <row r="209">
      <c r="A209" t="inlineStr">
        <is>
          <t>RIO</t>
        </is>
      </c>
      <c r="B209" t="inlineStr">
        <is>
          <t>CAB</t>
        </is>
      </c>
      <c r="C209" t="inlineStr">
        <is>
          <t>Blanco</t>
        </is>
      </c>
      <c r="D209" t="inlineStr">
        <is>
          <t>XL</t>
        </is>
      </c>
      <c r="E209" t="n">
        <v>90</v>
      </c>
      <c r="F209" t="n">
        <v>356</v>
      </c>
    </row>
    <row r="210">
      <c r="A210" t="inlineStr">
        <is>
          <t>RIO</t>
        </is>
      </c>
      <c r="B210" t="inlineStr">
        <is>
          <t>CAB</t>
        </is>
      </c>
      <c r="C210" t="inlineStr">
        <is>
          <t>Blanco</t>
        </is>
      </c>
      <c r="D210" t="inlineStr">
        <is>
          <t>2XL</t>
        </is>
      </c>
      <c r="E210" t="n">
        <v>21</v>
      </c>
      <c r="F210" t="n">
        <v>356</v>
      </c>
    </row>
    <row r="211">
      <c r="A211" t="inlineStr">
        <is>
          <t>RIO</t>
        </is>
      </c>
      <c r="B211" t="inlineStr">
        <is>
          <t>CAB</t>
        </is>
      </c>
      <c r="C211" t="inlineStr">
        <is>
          <t>Azul Marino</t>
        </is>
      </c>
      <c r="D211" t="inlineStr">
        <is>
          <t>S</t>
        </is>
      </c>
      <c r="E211" t="n">
        <v>72</v>
      </c>
      <c r="F211" t="n">
        <v>336</v>
      </c>
    </row>
    <row r="212">
      <c r="A212" t="inlineStr">
        <is>
          <t>RIO</t>
        </is>
      </c>
      <c r="B212" t="inlineStr">
        <is>
          <t>CAB</t>
        </is>
      </c>
      <c r="C212" t="inlineStr">
        <is>
          <t>Azul Marino</t>
        </is>
      </c>
      <c r="D212" t="inlineStr">
        <is>
          <t>M</t>
        </is>
      </c>
      <c r="E212" t="n">
        <v>99</v>
      </c>
      <c r="F212" t="n">
        <v>336</v>
      </c>
    </row>
    <row r="213">
      <c r="A213" t="inlineStr">
        <is>
          <t>RIO</t>
        </is>
      </c>
      <c r="B213" t="inlineStr">
        <is>
          <t>CAB</t>
        </is>
      </c>
      <c r="C213" t="inlineStr">
        <is>
          <t>Azul Marino</t>
        </is>
      </c>
      <c r="D213" t="inlineStr">
        <is>
          <t>L</t>
        </is>
      </c>
      <c r="E213" t="n">
        <v>45</v>
      </c>
      <c r="F213" t="n">
        <v>336</v>
      </c>
    </row>
    <row r="214">
      <c r="A214" t="inlineStr">
        <is>
          <t>RIO</t>
        </is>
      </c>
      <c r="B214" t="inlineStr">
        <is>
          <t>CAB</t>
        </is>
      </c>
      <c r="C214" t="inlineStr">
        <is>
          <t>Azul Marino</t>
        </is>
      </c>
      <c r="D214" t="inlineStr">
        <is>
          <t>XL</t>
        </is>
      </c>
      <c r="E214" t="n">
        <v>97</v>
      </c>
      <c r="F214" t="n">
        <v>336</v>
      </c>
    </row>
    <row r="215">
      <c r="A215" t="inlineStr">
        <is>
          <t>RIO</t>
        </is>
      </c>
      <c r="B215" t="inlineStr">
        <is>
          <t>CAB</t>
        </is>
      </c>
      <c r="C215" t="inlineStr">
        <is>
          <t>Azul Marino</t>
        </is>
      </c>
      <c r="D215" t="inlineStr">
        <is>
          <t>2XL</t>
        </is>
      </c>
      <c r="E215" t="n">
        <v>23</v>
      </c>
      <c r="F215" t="n">
        <v>336</v>
      </c>
    </row>
    <row r="216">
      <c r="A216" t="inlineStr">
        <is>
          <t>RIO</t>
        </is>
      </c>
      <c r="B216" t="inlineStr">
        <is>
          <t>CAB</t>
        </is>
      </c>
      <c r="C216" t="inlineStr">
        <is>
          <t>Azul Rey</t>
        </is>
      </c>
      <c r="D216" t="inlineStr">
        <is>
          <t>S</t>
        </is>
      </c>
      <c r="E216" t="n">
        <v>58</v>
      </c>
      <c r="F216" t="n">
        <v>277</v>
      </c>
    </row>
    <row r="217">
      <c r="A217" t="inlineStr">
        <is>
          <t>RIO</t>
        </is>
      </c>
      <c r="B217" t="inlineStr">
        <is>
          <t>CAB</t>
        </is>
      </c>
      <c r="C217" t="inlineStr">
        <is>
          <t>Azul Rey</t>
        </is>
      </c>
      <c r="D217" t="inlineStr">
        <is>
          <t>M</t>
        </is>
      </c>
      <c r="E217" t="n">
        <v>60</v>
      </c>
      <c r="F217" t="n">
        <v>277</v>
      </c>
    </row>
    <row r="218">
      <c r="A218" t="inlineStr">
        <is>
          <t>RIO</t>
        </is>
      </c>
      <c r="B218" t="inlineStr">
        <is>
          <t>CAB</t>
        </is>
      </c>
      <c r="C218" t="inlineStr">
        <is>
          <t>Azul Rey</t>
        </is>
      </c>
      <c r="D218" t="inlineStr">
        <is>
          <t>L</t>
        </is>
      </c>
      <c r="E218" t="n">
        <v>66</v>
      </c>
      <c r="F218" t="n">
        <v>277</v>
      </c>
    </row>
    <row r="219">
      <c r="A219" t="inlineStr">
        <is>
          <t>RIO</t>
        </is>
      </c>
      <c r="B219" t="inlineStr">
        <is>
          <t>CAB</t>
        </is>
      </c>
      <c r="C219" t="inlineStr">
        <is>
          <t>Azul Rey</t>
        </is>
      </c>
      <c r="D219" t="inlineStr">
        <is>
          <t>XL</t>
        </is>
      </c>
      <c r="E219" t="n">
        <v>61</v>
      </c>
      <c r="F219" t="n">
        <v>277</v>
      </c>
    </row>
    <row r="220">
      <c r="A220" t="inlineStr">
        <is>
          <t>RIO</t>
        </is>
      </c>
      <c r="B220" t="inlineStr">
        <is>
          <t>CAB</t>
        </is>
      </c>
      <c r="C220" t="inlineStr">
        <is>
          <t>Azul Rey</t>
        </is>
      </c>
      <c r="D220" t="inlineStr">
        <is>
          <t>2XL</t>
        </is>
      </c>
      <c r="E220" t="n">
        <v>32</v>
      </c>
      <c r="F220" t="n">
        <v>277</v>
      </c>
    </row>
    <row r="221">
      <c r="A221" t="inlineStr">
        <is>
          <t>RIO</t>
        </is>
      </c>
      <c r="B221" t="inlineStr">
        <is>
          <t>CAB</t>
        </is>
      </c>
      <c r="C221" t="inlineStr">
        <is>
          <t>Azul Lavanda</t>
        </is>
      </c>
      <c r="D221" t="inlineStr">
        <is>
          <t>S</t>
        </is>
      </c>
      <c r="E221" t="n">
        <v>40</v>
      </c>
      <c r="F221" t="n">
        <v>267</v>
      </c>
    </row>
    <row r="222">
      <c r="A222" t="inlineStr">
        <is>
          <t>RIO</t>
        </is>
      </c>
      <c r="B222" t="inlineStr">
        <is>
          <t>CAB</t>
        </is>
      </c>
      <c r="C222" t="inlineStr">
        <is>
          <t>Azul Lavanda</t>
        </is>
      </c>
      <c r="D222" t="inlineStr">
        <is>
          <t>M</t>
        </is>
      </c>
      <c r="E222" t="n">
        <v>61</v>
      </c>
      <c r="F222" t="n">
        <v>267</v>
      </c>
    </row>
    <row r="223">
      <c r="A223" t="inlineStr">
        <is>
          <t>RIO</t>
        </is>
      </c>
      <c r="B223" t="inlineStr">
        <is>
          <t>CAB</t>
        </is>
      </c>
      <c r="C223" t="inlineStr">
        <is>
          <t>Azul Lavanda</t>
        </is>
      </c>
      <c r="D223" t="inlineStr">
        <is>
          <t>L</t>
        </is>
      </c>
      <c r="E223" t="n">
        <v>83</v>
      </c>
      <c r="F223" t="n">
        <v>267</v>
      </c>
    </row>
    <row r="224">
      <c r="A224" t="inlineStr">
        <is>
          <t>RIO</t>
        </is>
      </c>
      <c r="B224" t="inlineStr">
        <is>
          <t>CAB</t>
        </is>
      </c>
      <c r="C224" t="inlineStr">
        <is>
          <t>Azul Lavanda</t>
        </is>
      </c>
      <c r="D224" t="inlineStr">
        <is>
          <t>XL</t>
        </is>
      </c>
      <c r="E224" t="n">
        <v>62</v>
      </c>
      <c r="F224" t="n">
        <v>267</v>
      </c>
    </row>
    <row r="225">
      <c r="A225" t="inlineStr">
        <is>
          <t>RIO</t>
        </is>
      </c>
      <c r="B225" t="inlineStr">
        <is>
          <t>CAB</t>
        </is>
      </c>
      <c r="C225" t="inlineStr">
        <is>
          <t>Azul Lavanda</t>
        </is>
      </c>
      <c r="D225" t="inlineStr">
        <is>
          <t>2XL</t>
        </is>
      </c>
      <c r="E225" t="n">
        <v>21</v>
      </c>
      <c r="F225" t="n">
        <v>267</v>
      </c>
    </row>
    <row r="226">
      <c r="A226" t="inlineStr">
        <is>
          <t>RIO</t>
        </is>
      </c>
      <c r="B226" t="inlineStr">
        <is>
          <t>CAB</t>
        </is>
      </c>
      <c r="C226" t="inlineStr">
        <is>
          <t>Verde Militar</t>
        </is>
      </c>
      <c r="D226" t="inlineStr">
        <is>
          <t>S</t>
        </is>
      </c>
      <c r="E226" t="n">
        <v>30</v>
      </c>
      <c r="F226" t="n">
        <v>245</v>
      </c>
    </row>
    <row r="227">
      <c r="A227" t="inlineStr">
        <is>
          <t>RIO</t>
        </is>
      </c>
      <c r="B227" t="inlineStr">
        <is>
          <t>CAB</t>
        </is>
      </c>
      <c r="C227" t="inlineStr">
        <is>
          <t>Verde Militar</t>
        </is>
      </c>
      <c r="D227" t="inlineStr">
        <is>
          <t>M</t>
        </is>
      </c>
      <c r="E227" t="n">
        <v>46</v>
      </c>
      <c r="F227" t="n">
        <v>245</v>
      </c>
    </row>
    <row r="228">
      <c r="A228" t="inlineStr">
        <is>
          <t>RIO</t>
        </is>
      </c>
      <c r="B228" t="inlineStr">
        <is>
          <t>CAB</t>
        </is>
      </c>
      <c r="C228" t="inlineStr">
        <is>
          <t>Verde Militar</t>
        </is>
      </c>
      <c r="D228" t="inlineStr">
        <is>
          <t>L</t>
        </is>
      </c>
      <c r="E228" t="n">
        <v>55</v>
      </c>
      <c r="F228" t="n">
        <v>245</v>
      </c>
    </row>
    <row r="229">
      <c r="A229" t="inlineStr">
        <is>
          <t>RIO</t>
        </is>
      </c>
      <c r="B229" t="inlineStr">
        <is>
          <t>CAB</t>
        </is>
      </c>
      <c r="C229" t="inlineStr">
        <is>
          <t>Verde Militar</t>
        </is>
      </c>
      <c r="D229" t="inlineStr">
        <is>
          <t>XL</t>
        </is>
      </c>
      <c r="E229" t="n">
        <v>72</v>
      </c>
      <c r="F229" t="n">
        <v>245</v>
      </c>
    </row>
    <row r="230">
      <c r="A230" t="inlineStr">
        <is>
          <t>RIO</t>
        </is>
      </c>
      <c r="B230" t="inlineStr">
        <is>
          <t>CAB</t>
        </is>
      </c>
      <c r="C230" t="inlineStr">
        <is>
          <t>Verde Militar</t>
        </is>
      </c>
      <c r="D230" t="inlineStr">
        <is>
          <t>2XL</t>
        </is>
      </c>
      <c r="E230" t="n">
        <v>42</v>
      </c>
      <c r="F230" t="n">
        <v>245</v>
      </c>
    </row>
    <row r="231">
      <c r="A231" t="inlineStr">
        <is>
          <t>RIO</t>
        </is>
      </c>
      <c r="B231" t="inlineStr">
        <is>
          <t>CAB</t>
        </is>
      </c>
      <c r="C231" t="inlineStr">
        <is>
          <t>Rojo</t>
        </is>
      </c>
      <c r="D231" t="inlineStr">
        <is>
          <t>S</t>
        </is>
      </c>
      <c r="E231" t="n">
        <v>33</v>
      </c>
      <c r="F231" t="n">
        <v>227</v>
      </c>
    </row>
    <row r="232">
      <c r="A232" t="inlineStr">
        <is>
          <t>RIO</t>
        </is>
      </c>
      <c r="B232" t="inlineStr">
        <is>
          <t>CAB</t>
        </is>
      </c>
      <c r="C232" t="inlineStr">
        <is>
          <t>Rojo</t>
        </is>
      </c>
      <c r="D232" t="inlineStr">
        <is>
          <t>M</t>
        </is>
      </c>
      <c r="E232" t="n">
        <v>66</v>
      </c>
      <c r="F232" t="n">
        <v>227</v>
      </c>
    </row>
    <row r="233">
      <c r="A233" t="inlineStr">
        <is>
          <t>RIO</t>
        </is>
      </c>
      <c r="B233" t="inlineStr">
        <is>
          <t>CAB</t>
        </is>
      </c>
      <c r="C233" t="inlineStr">
        <is>
          <t>Rojo</t>
        </is>
      </c>
      <c r="D233" t="inlineStr">
        <is>
          <t>L</t>
        </is>
      </c>
      <c r="E233" t="n">
        <v>76</v>
      </c>
      <c r="F233" t="n">
        <v>227</v>
      </c>
    </row>
    <row r="234">
      <c r="A234" t="inlineStr">
        <is>
          <t>RIO</t>
        </is>
      </c>
      <c r="B234" t="inlineStr">
        <is>
          <t>CAB</t>
        </is>
      </c>
      <c r="C234" t="inlineStr">
        <is>
          <t>Rojo</t>
        </is>
      </c>
      <c r="D234" t="inlineStr">
        <is>
          <t>XL</t>
        </is>
      </c>
      <c r="E234" t="n">
        <v>33</v>
      </c>
      <c r="F234" t="n">
        <v>227</v>
      </c>
    </row>
    <row r="235">
      <c r="A235" t="inlineStr">
        <is>
          <t>RIO</t>
        </is>
      </c>
      <c r="B235" t="inlineStr">
        <is>
          <t>CAB</t>
        </is>
      </c>
      <c r="C235" t="inlineStr">
        <is>
          <t>Rojo</t>
        </is>
      </c>
      <c r="D235" t="inlineStr">
        <is>
          <t>2XL</t>
        </is>
      </c>
      <c r="E235" t="n">
        <v>19</v>
      </c>
      <c r="F235" t="n">
        <v>227</v>
      </c>
    </row>
    <row r="236">
      <c r="A236" t="inlineStr">
        <is>
          <t>RIO</t>
        </is>
      </c>
      <c r="B236" t="inlineStr">
        <is>
          <t>CAB</t>
        </is>
      </c>
      <c r="C236" t="inlineStr">
        <is>
          <t>Vinotinto</t>
        </is>
      </c>
      <c r="D236" t="inlineStr">
        <is>
          <t>S</t>
        </is>
      </c>
      <c r="E236" t="n">
        <v>37</v>
      </c>
      <c r="F236" t="n">
        <v>183</v>
      </c>
    </row>
    <row r="237">
      <c r="A237" t="inlineStr">
        <is>
          <t>RIO</t>
        </is>
      </c>
      <c r="B237" t="inlineStr">
        <is>
          <t>CAB</t>
        </is>
      </c>
      <c r="C237" t="inlineStr">
        <is>
          <t>Vinotinto</t>
        </is>
      </c>
      <c r="D237" t="inlineStr">
        <is>
          <t>M</t>
        </is>
      </c>
      <c r="E237" t="n">
        <v>52</v>
      </c>
      <c r="F237" t="n">
        <v>183</v>
      </c>
    </row>
    <row r="238">
      <c r="A238" t="inlineStr">
        <is>
          <t>RIO</t>
        </is>
      </c>
      <c r="B238" t="inlineStr">
        <is>
          <t>CAB</t>
        </is>
      </c>
      <c r="C238" t="inlineStr">
        <is>
          <t>Vinotinto</t>
        </is>
      </c>
      <c r="D238" t="inlineStr">
        <is>
          <t>L</t>
        </is>
      </c>
      <c r="E238" t="n">
        <v>56</v>
      </c>
      <c r="F238" t="n">
        <v>183</v>
      </c>
    </row>
    <row r="239">
      <c r="A239" t="inlineStr">
        <is>
          <t>RIO</t>
        </is>
      </c>
      <c r="B239" t="inlineStr">
        <is>
          <t>CAB</t>
        </is>
      </c>
      <c r="C239" t="inlineStr">
        <is>
          <t>Vinotinto</t>
        </is>
      </c>
      <c r="D239" t="inlineStr">
        <is>
          <t>XL</t>
        </is>
      </c>
      <c r="E239" t="n">
        <v>25</v>
      </c>
      <c r="F239" t="n">
        <v>183</v>
      </c>
    </row>
    <row r="240">
      <c r="A240" t="inlineStr">
        <is>
          <t>RIO</t>
        </is>
      </c>
      <c r="B240" t="inlineStr">
        <is>
          <t>CAB</t>
        </is>
      </c>
      <c r="C240" t="inlineStr">
        <is>
          <t>Vinotinto</t>
        </is>
      </c>
      <c r="D240" t="inlineStr">
        <is>
          <t>2XL</t>
        </is>
      </c>
      <c r="E240" t="n">
        <v>13</v>
      </c>
      <c r="F240" t="n">
        <v>183</v>
      </c>
    </row>
    <row r="241">
      <c r="A241" t="inlineStr">
        <is>
          <t>RIO</t>
        </is>
      </c>
      <c r="B241" t="inlineStr">
        <is>
          <t>CAB</t>
        </is>
      </c>
      <c r="C241" t="inlineStr">
        <is>
          <t>Aguamarina</t>
        </is>
      </c>
      <c r="D241" t="inlineStr">
        <is>
          <t>S</t>
        </is>
      </c>
      <c r="E241" t="n">
        <v>24</v>
      </c>
      <c r="F241" t="n">
        <v>154</v>
      </c>
    </row>
    <row r="242">
      <c r="A242" t="inlineStr">
        <is>
          <t>RIO</t>
        </is>
      </c>
      <c r="B242" t="inlineStr">
        <is>
          <t>CAB</t>
        </is>
      </c>
      <c r="C242" t="inlineStr">
        <is>
          <t>Aguamarina</t>
        </is>
      </c>
      <c r="D242" t="inlineStr">
        <is>
          <t>M</t>
        </is>
      </c>
      <c r="E242" t="n">
        <v>35</v>
      </c>
      <c r="F242" t="n">
        <v>154</v>
      </c>
    </row>
    <row r="243">
      <c r="A243" t="inlineStr">
        <is>
          <t>RIO</t>
        </is>
      </c>
      <c r="B243" t="inlineStr">
        <is>
          <t>CAB</t>
        </is>
      </c>
      <c r="C243" t="inlineStr">
        <is>
          <t>Aguamarina</t>
        </is>
      </c>
      <c r="D243" t="inlineStr">
        <is>
          <t>L</t>
        </is>
      </c>
      <c r="E243" t="n">
        <v>55</v>
      </c>
      <c r="F243" t="n">
        <v>154</v>
      </c>
    </row>
    <row r="244">
      <c r="A244" t="inlineStr">
        <is>
          <t>RIO</t>
        </is>
      </c>
      <c r="B244" t="inlineStr">
        <is>
          <t>CAB</t>
        </is>
      </c>
      <c r="C244" t="inlineStr">
        <is>
          <t>Aguamarina</t>
        </is>
      </c>
      <c r="D244" t="inlineStr">
        <is>
          <t>XL</t>
        </is>
      </c>
      <c r="E244" t="n">
        <v>29</v>
      </c>
      <c r="F244" t="n">
        <v>154</v>
      </c>
    </row>
    <row r="245">
      <c r="A245" t="inlineStr">
        <is>
          <t>RIO</t>
        </is>
      </c>
      <c r="B245" t="inlineStr">
        <is>
          <t>CAB</t>
        </is>
      </c>
      <c r="C245" t="inlineStr">
        <is>
          <t>Aguamarina</t>
        </is>
      </c>
      <c r="D245" t="inlineStr">
        <is>
          <t>2XL</t>
        </is>
      </c>
      <c r="E245" t="n">
        <v>11</v>
      </c>
      <c r="F245" t="n">
        <v>154</v>
      </c>
    </row>
    <row r="246">
      <c r="A246" t="inlineStr">
        <is>
          <t>RIO</t>
        </is>
      </c>
      <c r="B246" t="inlineStr">
        <is>
          <t>CAB</t>
        </is>
      </c>
      <c r="C246" t="inlineStr">
        <is>
          <t>Gris Claro</t>
        </is>
      </c>
      <c r="D246" t="inlineStr">
        <is>
          <t>S</t>
        </is>
      </c>
      <c r="E246" t="n">
        <v>24</v>
      </c>
      <c r="F246" t="n">
        <v>133</v>
      </c>
    </row>
    <row r="247">
      <c r="A247" t="inlineStr">
        <is>
          <t>RIO</t>
        </is>
      </c>
      <c r="B247" t="inlineStr">
        <is>
          <t>CAB</t>
        </is>
      </c>
      <c r="C247" t="inlineStr">
        <is>
          <t>Gris Claro</t>
        </is>
      </c>
      <c r="D247" t="inlineStr">
        <is>
          <t>M</t>
        </is>
      </c>
      <c r="E247" t="n">
        <v>30</v>
      </c>
      <c r="F247" t="n">
        <v>133</v>
      </c>
    </row>
    <row r="248">
      <c r="A248" t="inlineStr">
        <is>
          <t>RIO</t>
        </is>
      </c>
      <c r="B248" t="inlineStr">
        <is>
          <t>CAB</t>
        </is>
      </c>
      <c r="C248" t="inlineStr">
        <is>
          <t>Gris Claro</t>
        </is>
      </c>
      <c r="D248" t="inlineStr">
        <is>
          <t>L</t>
        </is>
      </c>
      <c r="E248" t="n">
        <v>34</v>
      </c>
      <c r="F248" t="n">
        <v>133</v>
      </c>
    </row>
    <row r="249">
      <c r="A249" t="inlineStr">
        <is>
          <t>RIO</t>
        </is>
      </c>
      <c r="B249" t="inlineStr">
        <is>
          <t>CAB</t>
        </is>
      </c>
      <c r="C249" t="inlineStr">
        <is>
          <t>Gris Claro</t>
        </is>
      </c>
      <c r="D249" t="inlineStr">
        <is>
          <t>XL</t>
        </is>
      </c>
      <c r="E249" t="n">
        <v>33</v>
      </c>
      <c r="F249" t="n">
        <v>133</v>
      </c>
    </row>
    <row r="250">
      <c r="A250" t="inlineStr">
        <is>
          <t>RIO</t>
        </is>
      </c>
      <c r="B250" t="inlineStr">
        <is>
          <t>CAB</t>
        </is>
      </c>
      <c r="C250" t="inlineStr">
        <is>
          <t>Gris Claro</t>
        </is>
      </c>
      <c r="D250" t="inlineStr">
        <is>
          <t>2XL</t>
        </is>
      </c>
      <c r="E250" t="n">
        <v>12</v>
      </c>
      <c r="F250" t="n">
        <v>133</v>
      </c>
    </row>
    <row r="251">
      <c r="A251" t="inlineStr">
        <is>
          <t>RIO</t>
        </is>
      </c>
      <c r="B251" t="inlineStr">
        <is>
          <t>CAB</t>
        </is>
      </c>
      <c r="C251" t="inlineStr">
        <is>
          <t>Amarillo Neón</t>
        </is>
      </c>
      <c r="D251" t="inlineStr">
        <is>
          <t>S</t>
        </is>
      </c>
      <c r="E251" t="n">
        <v>8</v>
      </c>
      <c r="F251" t="n">
        <v>47</v>
      </c>
    </row>
    <row r="252">
      <c r="A252" t="inlineStr">
        <is>
          <t>RIO</t>
        </is>
      </c>
      <c r="B252" t="inlineStr">
        <is>
          <t>CAB</t>
        </is>
      </c>
      <c r="C252" t="inlineStr">
        <is>
          <t>Amarillo Neón</t>
        </is>
      </c>
      <c r="D252" t="inlineStr">
        <is>
          <t>M</t>
        </is>
      </c>
      <c r="E252" t="n">
        <v>9</v>
      </c>
      <c r="F252" t="n">
        <v>47</v>
      </c>
    </row>
    <row r="253">
      <c r="A253" t="inlineStr">
        <is>
          <t>RIO</t>
        </is>
      </c>
      <c r="B253" t="inlineStr">
        <is>
          <t>CAB</t>
        </is>
      </c>
      <c r="C253" t="inlineStr">
        <is>
          <t>Amarillo Neón</t>
        </is>
      </c>
      <c r="D253" t="inlineStr">
        <is>
          <t>L</t>
        </is>
      </c>
      <c r="E253" t="n">
        <v>11</v>
      </c>
      <c r="F253" t="n">
        <v>47</v>
      </c>
    </row>
    <row r="254">
      <c r="A254" t="inlineStr">
        <is>
          <t>RIO</t>
        </is>
      </c>
      <c r="B254" t="inlineStr">
        <is>
          <t>CAB</t>
        </is>
      </c>
      <c r="C254" t="inlineStr">
        <is>
          <t>Amarillo Neón</t>
        </is>
      </c>
      <c r="D254" t="inlineStr">
        <is>
          <t>XL</t>
        </is>
      </c>
      <c r="E254" t="n">
        <v>11</v>
      </c>
      <c r="F254" t="n">
        <v>47</v>
      </c>
    </row>
    <row r="255">
      <c r="A255" t="inlineStr">
        <is>
          <t>RIO</t>
        </is>
      </c>
      <c r="B255" t="inlineStr">
        <is>
          <t>CAB</t>
        </is>
      </c>
      <c r="C255" t="inlineStr">
        <is>
          <t>Amarillo Neón</t>
        </is>
      </c>
      <c r="D255" t="inlineStr">
        <is>
          <t>2XL</t>
        </is>
      </c>
      <c r="E255" t="n">
        <v>8</v>
      </c>
      <c r="F255" t="n">
        <v>47</v>
      </c>
    </row>
    <row r="256">
      <c r="A256" t="inlineStr">
        <is>
          <t>RIO</t>
        </is>
      </c>
      <c r="B256" t="inlineStr">
        <is>
          <t>DAMA</t>
        </is>
      </c>
      <c r="C256" t="inlineStr">
        <is>
          <t>Negro</t>
        </is>
      </c>
      <c r="D256" t="inlineStr">
        <is>
          <t>XS</t>
        </is>
      </c>
      <c r="E256" t="n">
        <v>138</v>
      </c>
      <c r="F256" t="n">
        <v>561</v>
      </c>
    </row>
    <row r="257">
      <c r="A257" t="inlineStr">
        <is>
          <t>RIO</t>
        </is>
      </c>
      <c r="B257" t="inlineStr">
        <is>
          <t>DAMA</t>
        </is>
      </c>
      <c r="C257" t="inlineStr">
        <is>
          <t>Negro</t>
        </is>
      </c>
      <c r="D257" t="inlineStr">
        <is>
          <t>S</t>
        </is>
      </c>
      <c r="E257" t="n">
        <v>168</v>
      </c>
      <c r="F257" t="n">
        <v>561</v>
      </c>
    </row>
    <row r="258">
      <c r="A258" t="inlineStr">
        <is>
          <t>RIO</t>
        </is>
      </c>
      <c r="B258" t="inlineStr">
        <is>
          <t>DAMA</t>
        </is>
      </c>
      <c r="C258" t="inlineStr">
        <is>
          <t>Negro</t>
        </is>
      </c>
      <c r="D258" t="inlineStr">
        <is>
          <t>M</t>
        </is>
      </c>
      <c r="E258" t="n">
        <v>139</v>
      </c>
      <c r="F258" t="n">
        <v>561</v>
      </c>
    </row>
    <row r="259">
      <c r="A259" t="inlineStr">
        <is>
          <t>RIO</t>
        </is>
      </c>
      <c r="B259" t="inlineStr">
        <is>
          <t>DAMA</t>
        </is>
      </c>
      <c r="C259" t="inlineStr">
        <is>
          <t>Negro</t>
        </is>
      </c>
      <c r="D259" t="inlineStr">
        <is>
          <t>L</t>
        </is>
      </c>
      <c r="E259" t="n">
        <v>73</v>
      </c>
      <c r="F259" t="n">
        <v>561</v>
      </c>
    </row>
    <row r="260">
      <c r="A260" t="inlineStr">
        <is>
          <t>RIO</t>
        </is>
      </c>
      <c r="B260" t="inlineStr">
        <is>
          <t>DAMA</t>
        </is>
      </c>
      <c r="C260" t="inlineStr">
        <is>
          <t>Negro</t>
        </is>
      </c>
      <c r="D260" t="inlineStr">
        <is>
          <t>XL</t>
        </is>
      </c>
      <c r="E260" t="n">
        <v>43</v>
      </c>
      <c r="F260" t="n">
        <v>561</v>
      </c>
    </row>
    <row r="261">
      <c r="A261" t="inlineStr">
        <is>
          <t>RIO</t>
        </is>
      </c>
      <c r="B261" t="inlineStr">
        <is>
          <t>DAMA</t>
        </is>
      </c>
      <c r="C261" t="inlineStr">
        <is>
          <t>Azul Marino</t>
        </is>
      </c>
      <c r="D261" t="inlineStr">
        <is>
          <t>XS</t>
        </is>
      </c>
      <c r="E261" t="n">
        <v>80</v>
      </c>
      <c r="F261" t="n">
        <v>388</v>
      </c>
    </row>
    <row r="262">
      <c r="A262" t="inlineStr">
        <is>
          <t>RIO</t>
        </is>
      </c>
      <c r="B262" t="inlineStr">
        <is>
          <t>DAMA</t>
        </is>
      </c>
      <c r="C262" t="inlineStr">
        <is>
          <t>Azul Marino</t>
        </is>
      </c>
      <c r="D262" t="inlineStr">
        <is>
          <t>S</t>
        </is>
      </c>
      <c r="E262" t="n">
        <v>125</v>
      </c>
      <c r="F262" t="n">
        <v>388</v>
      </c>
    </row>
    <row r="263">
      <c r="A263" t="inlineStr">
        <is>
          <t>RIO</t>
        </is>
      </c>
      <c r="B263" t="inlineStr">
        <is>
          <t>DAMA</t>
        </is>
      </c>
      <c r="C263" t="inlineStr">
        <is>
          <t>Azul Marino</t>
        </is>
      </c>
      <c r="D263" t="inlineStr">
        <is>
          <t>M</t>
        </is>
      </c>
      <c r="E263" t="n">
        <v>97</v>
      </c>
      <c r="F263" t="n">
        <v>388</v>
      </c>
    </row>
    <row r="264">
      <c r="A264" t="inlineStr">
        <is>
          <t>RIO</t>
        </is>
      </c>
      <c r="B264" t="inlineStr">
        <is>
          <t>DAMA</t>
        </is>
      </c>
      <c r="C264" t="inlineStr">
        <is>
          <t>Azul Marino</t>
        </is>
      </c>
      <c r="D264" t="inlineStr">
        <is>
          <t>L</t>
        </is>
      </c>
      <c r="E264" t="n">
        <v>40</v>
      </c>
      <c r="F264" t="n">
        <v>388</v>
      </c>
    </row>
    <row r="265">
      <c r="A265" t="inlineStr">
        <is>
          <t>RIO</t>
        </is>
      </c>
      <c r="B265" t="inlineStr">
        <is>
          <t>DAMA</t>
        </is>
      </c>
      <c r="C265" t="inlineStr">
        <is>
          <t>Azul Marino</t>
        </is>
      </c>
      <c r="D265" t="inlineStr">
        <is>
          <t>XL</t>
        </is>
      </c>
      <c r="E265" t="n">
        <v>46</v>
      </c>
      <c r="F265" t="n">
        <v>388</v>
      </c>
    </row>
    <row r="266">
      <c r="A266" t="inlineStr">
        <is>
          <t>RIO</t>
        </is>
      </c>
      <c r="B266" t="inlineStr">
        <is>
          <t>DAMA</t>
        </is>
      </c>
      <c r="C266" t="inlineStr">
        <is>
          <t>Blanco</t>
        </is>
      </c>
      <c r="D266" t="inlineStr">
        <is>
          <t>XS</t>
        </is>
      </c>
      <c r="E266" t="n">
        <v>48</v>
      </c>
      <c r="F266" t="n">
        <v>343</v>
      </c>
    </row>
    <row r="267">
      <c r="A267" t="inlineStr">
        <is>
          <t>RIO</t>
        </is>
      </c>
      <c r="B267" t="inlineStr">
        <is>
          <t>DAMA</t>
        </is>
      </c>
      <c r="C267" t="inlineStr">
        <is>
          <t>Blanco</t>
        </is>
      </c>
      <c r="D267" t="inlineStr">
        <is>
          <t>S</t>
        </is>
      </c>
      <c r="E267" t="n">
        <v>94</v>
      </c>
      <c r="F267" t="n">
        <v>343</v>
      </c>
    </row>
    <row r="268">
      <c r="A268" t="inlineStr">
        <is>
          <t>RIO</t>
        </is>
      </c>
      <c r="B268" t="inlineStr">
        <is>
          <t>DAMA</t>
        </is>
      </c>
      <c r="C268" t="inlineStr">
        <is>
          <t>Blanco</t>
        </is>
      </c>
      <c r="D268" t="inlineStr">
        <is>
          <t>M</t>
        </is>
      </c>
      <c r="E268" t="n">
        <v>84</v>
      </c>
      <c r="F268" t="n">
        <v>343</v>
      </c>
    </row>
    <row r="269">
      <c r="A269" t="inlineStr">
        <is>
          <t>RIO</t>
        </is>
      </c>
      <c r="B269" t="inlineStr">
        <is>
          <t>DAMA</t>
        </is>
      </c>
      <c r="C269" t="inlineStr">
        <is>
          <t>Blanco</t>
        </is>
      </c>
      <c r="D269" t="inlineStr">
        <is>
          <t>L</t>
        </is>
      </c>
      <c r="E269" t="n">
        <v>79</v>
      </c>
      <c r="F269" t="n">
        <v>343</v>
      </c>
    </row>
    <row r="270">
      <c r="A270" t="inlineStr">
        <is>
          <t>RIO</t>
        </is>
      </c>
      <c r="B270" t="inlineStr">
        <is>
          <t>DAMA</t>
        </is>
      </c>
      <c r="C270" t="inlineStr">
        <is>
          <t>Blanco</t>
        </is>
      </c>
      <c r="D270" t="inlineStr">
        <is>
          <t>XL</t>
        </is>
      </c>
      <c r="E270" t="n">
        <v>38</v>
      </c>
      <c r="F270" t="n">
        <v>343</v>
      </c>
    </row>
    <row r="271">
      <c r="A271" t="inlineStr">
        <is>
          <t>RIO</t>
        </is>
      </c>
      <c r="B271" t="inlineStr">
        <is>
          <t>DAMA</t>
        </is>
      </c>
      <c r="C271" t="inlineStr">
        <is>
          <t>Aguamarina</t>
        </is>
      </c>
      <c r="D271" t="inlineStr">
        <is>
          <t>XS</t>
        </is>
      </c>
      <c r="E271" t="n">
        <v>60</v>
      </c>
      <c r="F271" t="n">
        <v>286</v>
      </c>
    </row>
    <row r="272">
      <c r="A272" t="inlineStr">
        <is>
          <t>RIO</t>
        </is>
      </c>
      <c r="B272" t="inlineStr">
        <is>
          <t>DAMA</t>
        </is>
      </c>
      <c r="C272" t="inlineStr">
        <is>
          <t>Aguamarina</t>
        </is>
      </c>
      <c r="D272" t="inlineStr">
        <is>
          <t>S</t>
        </is>
      </c>
      <c r="E272" t="n">
        <v>79</v>
      </c>
      <c r="F272" t="n">
        <v>286</v>
      </c>
    </row>
    <row r="273">
      <c r="A273" t="inlineStr">
        <is>
          <t>RIO</t>
        </is>
      </c>
      <c r="B273" t="inlineStr">
        <is>
          <t>DAMA</t>
        </is>
      </c>
      <c r="C273" t="inlineStr">
        <is>
          <t>Aguamarina</t>
        </is>
      </c>
      <c r="D273" t="inlineStr">
        <is>
          <t>M</t>
        </is>
      </c>
      <c r="E273" t="n">
        <v>69</v>
      </c>
      <c r="F273" t="n">
        <v>286</v>
      </c>
    </row>
    <row r="274">
      <c r="A274" t="inlineStr">
        <is>
          <t>RIO</t>
        </is>
      </c>
      <c r="B274" t="inlineStr">
        <is>
          <t>DAMA</t>
        </is>
      </c>
      <c r="C274" t="inlineStr">
        <is>
          <t>Aguamarina</t>
        </is>
      </c>
      <c r="D274" t="inlineStr">
        <is>
          <t>L</t>
        </is>
      </c>
      <c r="E274" t="n">
        <v>45</v>
      </c>
      <c r="F274" t="n">
        <v>286</v>
      </c>
    </row>
    <row r="275">
      <c r="A275" t="inlineStr">
        <is>
          <t>RIO</t>
        </is>
      </c>
      <c r="B275" t="inlineStr">
        <is>
          <t>DAMA</t>
        </is>
      </c>
      <c r="C275" t="inlineStr">
        <is>
          <t>Aguamarina</t>
        </is>
      </c>
      <c r="D275" t="inlineStr">
        <is>
          <t>XL</t>
        </is>
      </c>
      <c r="E275" t="n">
        <v>33</v>
      </c>
      <c r="F275" t="n">
        <v>286</v>
      </c>
    </row>
    <row r="276">
      <c r="A276" t="inlineStr">
        <is>
          <t>RIO</t>
        </is>
      </c>
      <c r="B276" t="inlineStr">
        <is>
          <t>DAMA</t>
        </is>
      </c>
      <c r="C276" t="inlineStr">
        <is>
          <t>Lila</t>
        </is>
      </c>
      <c r="D276" t="inlineStr">
        <is>
          <t>XS</t>
        </is>
      </c>
      <c r="E276" t="n">
        <v>57</v>
      </c>
      <c r="F276" t="n">
        <v>283</v>
      </c>
    </row>
    <row r="277">
      <c r="A277" t="inlineStr">
        <is>
          <t>RIO</t>
        </is>
      </c>
      <c r="B277" t="inlineStr">
        <is>
          <t>DAMA</t>
        </is>
      </c>
      <c r="C277" t="inlineStr">
        <is>
          <t>Lila</t>
        </is>
      </c>
      <c r="D277" t="inlineStr">
        <is>
          <t>S</t>
        </is>
      </c>
      <c r="E277" t="n">
        <v>77</v>
      </c>
      <c r="F277" t="n">
        <v>283</v>
      </c>
    </row>
    <row r="278">
      <c r="A278" t="inlineStr">
        <is>
          <t>RIO</t>
        </is>
      </c>
      <c r="B278" t="inlineStr">
        <is>
          <t>DAMA</t>
        </is>
      </c>
      <c r="C278" t="inlineStr">
        <is>
          <t>Lila</t>
        </is>
      </c>
      <c r="D278" t="inlineStr">
        <is>
          <t>M</t>
        </is>
      </c>
      <c r="E278" t="n">
        <v>90</v>
      </c>
      <c r="F278" t="n">
        <v>283</v>
      </c>
    </row>
    <row r="279">
      <c r="A279" t="inlineStr">
        <is>
          <t>RIO</t>
        </is>
      </c>
      <c r="B279" t="inlineStr">
        <is>
          <t>DAMA</t>
        </is>
      </c>
      <c r="C279" t="inlineStr">
        <is>
          <t>Lila</t>
        </is>
      </c>
      <c r="D279" t="inlineStr">
        <is>
          <t>L</t>
        </is>
      </c>
      <c r="E279" t="n">
        <v>33</v>
      </c>
      <c r="F279" t="n">
        <v>283</v>
      </c>
    </row>
    <row r="280">
      <c r="A280" t="inlineStr">
        <is>
          <t>RIO</t>
        </is>
      </c>
      <c r="B280" t="inlineStr">
        <is>
          <t>DAMA</t>
        </is>
      </c>
      <c r="C280" t="inlineStr">
        <is>
          <t>Lila</t>
        </is>
      </c>
      <c r="D280" t="inlineStr">
        <is>
          <t>XL</t>
        </is>
      </c>
      <c r="E280" t="n">
        <v>26</v>
      </c>
      <c r="F280" t="n">
        <v>283</v>
      </c>
    </row>
    <row r="281">
      <c r="A281" t="inlineStr">
        <is>
          <t>RIO</t>
        </is>
      </c>
      <c r="B281" t="inlineStr">
        <is>
          <t>DAMA</t>
        </is>
      </c>
      <c r="C281" t="inlineStr">
        <is>
          <t>Azul Lavanda</t>
        </is>
      </c>
      <c r="D281" t="inlineStr">
        <is>
          <t>XS</t>
        </is>
      </c>
      <c r="E281" t="n">
        <v>51</v>
      </c>
      <c r="F281" t="n">
        <v>269</v>
      </c>
    </row>
    <row r="282">
      <c r="A282" t="inlineStr">
        <is>
          <t>RIO</t>
        </is>
      </c>
      <c r="B282" t="inlineStr">
        <is>
          <t>DAMA</t>
        </is>
      </c>
      <c r="C282" t="inlineStr">
        <is>
          <t>Azul Lavanda</t>
        </is>
      </c>
      <c r="D282" t="inlineStr">
        <is>
          <t>S</t>
        </is>
      </c>
      <c r="E282" t="n">
        <v>85</v>
      </c>
      <c r="F282" t="n">
        <v>269</v>
      </c>
    </row>
    <row r="283">
      <c r="A283" t="inlineStr">
        <is>
          <t>RIO</t>
        </is>
      </c>
      <c r="B283" t="inlineStr">
        <is>
          <t>DAMA</t>
        </is>
      </c>
      <c r="C283" t="inlineStr">
        <is>
          <t>Azul Lavanda</t>
        </is>
      </c>
      <c r="D283" t="inlineStr">
        <is>
          <t>M</t>
        </is>
      </c>
      <c r="E283" t="n">
        <v>65</v>
      </c>
      <c r="F283" t="n">
        <v>269</v>
      </c>
    </row>
    <row r="284">
      <c r="A284" t="inlineStr">
        <is>
          <t>RIO</t>
        </is>
      </c>
      <c r="B284" t="inlineStr">
        <is>
          <t>DAMA</t>
        </is>
      </c>
      <c r="C284" t="inlineStr">
        <is>
          <t>Azul Lavanda</t>
        </is>
      </c>
      <c r="D284" t="inlineStr">
        <is>
          <t>L</t>
        </is>
      </c>
      <c r="E284" t="n">
        <v>38</v>
      </c>
      <c r="F284" t="n">
        <v>269</v>
      </c>
    </row>
    <row r="285">
      <c r="A285" t="inlineStr">
        <is>
          <t>RIO</t>
        </is>
      </c>
      <c r="B285" t="inlineStr">
        <is>
          <t>DAMA</t>
        </is>
      </c>
      <c r="C285" t="inlineStr">
        <is>
          <t>Azul Lavanda</t>
        </is>
      </c>
      <c r="D285" t="inlineStr">
        <is>
          <t>XL</t>
        </is>
      </c>
      <c r="E285" t="n">
        <v>30</v>
      </c>
      <c r="F285" t="n">
        <v>269</v>
      </c>
    </row>
    <row r="286">
      <c r="A286" t="inlineStr">
        <is>
          <t>RIO</t>
        </is>
      </c>
      <c r="B286" t="inlineStr">
        <is>
          <t>DAMA</t>
        </is>
      </c>
      <c r="C286" t="inlineStr">
        <is>
          <t>Rojo</t>
        </is>
      </c>
      <c r="D286" t="inlineStr">
        <is>
          <t>XS</t>
        </is>
      </c>
      <c r="E286" t="n">
        <v>44</v>
      </c>
      <c r="F286" t="n">
        <v>180</v>
      </c>
    </row>
    <row r="287">
      <c r="A287" t="inlineStr">
        <is>
          <t>RIO</t>
        </is>
      </c>
      <c r="B287" t="inlineStr">
        <is>
          <t>DAMA</t>
        </is>
      </c>
      <c r="C287" t="inlineStr">
        <is>
          <t>Rojo</t>
        </is>
      </c>
      <c r="D287" t="inlineStr">
        <is>
          <t>S</t>
        </is>
      </c>
      <c r="E287" t="n">
        <v>56</v>
      </c>
      <c r="F287" t="n">
        <v>180</v>
      </c>
    </row>
    <row r="288">
      <c r="A288" t="inlineStr">
        <is>
          <t>RIO</t>
        </is>
      </c>
      <c r="B288" t="inlineStr">
        <is>
          <t>DAMA</t>
        </is>
      </c>
      <c r="C288" t="inlineStr">
        <is>
          <t>Rojo</t>
        </is>
      </c>
      <c r="D288" t="inlineStr">
        <is>
          <t>M</t>
        </is>
      </c>
      <c r="E288" t="n">
        <v>32</v>
      </c>
      <c r="F288" t="n">
        <v>180</v>
      </c>
    </row>
    <row r="289">
      <c r="A289" t="inlineStr">
        <is>
          <t>RIO</t>
        </is>
      </c>
      <c r="B289" t="inlineStr">
        <is>
          <t>DAMA</t>
        </is>
      </c>
      <c r="C289" t="inlineStr">
        <is>
          <t>Rojo</t>
        </is>
      </c>
      <c r="D289" t="inlineStr">
        <is>
          <t>L</t>
        </is>
      </c>
      <c r="E289" t="n">
        <v>33</v>
      </c>
      <c r="F289" t="n">
        <v>180</v>
      </c>
    </row>
    <row r="290">
      <c r="A290" t="inlineStr">
        <is>
          <t>RIO</t>
        </is>
      </c>
      <c r="B290" t="inlineStr">
        <is>
          <t>DAMA</t>
        </is>
      </c>
      <c r="C290" t="inlineStr">
        <is>
          <t>Rojo</t>
        </is>
      </c>
      <c r="D290" t="inlineStr">
        <is>
          <t>XL</t>
        </is>
      </c>
      <c r="E290" t="n">
        <v>15</v>
      </c>
      <c r="F290" t="n">
        <v>180</v>
      </c>
    </row>
    <row r="291">
      <c r="A291" t="inlineStr">
        <is>
          <t>RIO</t>
        </is>
      </c>
      <c r="B291" t="inlineStr">
        <is>
          <t>DAMA</t>
        </is>
      </c>
      <c r="C291" t="inlineStr">
        <is>
          <t>Vinotinto</t>
        </is>
      </c>
      <c r="D291" t="inlineStr">
        <is>
          <t>XS</t>
        </is>
      </c>
      <c r="E291" t="n">
        <v>51</v>
      </c>
      <c r="F291" t="n">
        <v>163</v>
      </c>
    </row>
    <row r="292">
      <c r="A292" t="inlineStr">
        <is>
          <t>RIO</t>
        </is>
      </c>
      <c r="B292" t="inlineStr">
        <is>
          <t>DAMA</t>
        </is>
      </c>
      <c r="C292" t="inlineStr">
        <is>
          <t>Vinotinto</t>
        </is>
      </c>
      <c r="D292" t="inlineStr">
        <is>
          <t>S</t>
        </is>
      </c>
      <c r="E292" t="n">
        <v>48</v>
      </c>
      <c r="F292" t="n">
        <v>163</v>
      </c>
    </row>
    <row r="293">
      <c r="A293" t="inlineStr">
        <is>
          <t>RIO</t>
        </is>
      </c>
      <c r="B293" t="inlineStr">
        <is>
          <t>DAMA</t>
        </is>
      </c>
      <c r="C293" t="inlineStr">
        <is>
          <t>Vinotinto</t>
        </is>
      </c>
      <c r="D293" t="inlineStr">
        <is>
          <t>M</t>
        </is>
      </c>
      <c r="E293" t="n">
        <v>41</v>
      </c>
      <c r="F293" t="n">
        <v>163</v>
      </c>
    </row>
    <row r="294">
      <c r="A294" t="inlineStr">
        <is>
          <t>RIO</t>
        </is>
      </c>
      <c r="B294" t="inlineStr">
        <is>
          <t>DAMA</t>
        </is>
      </c>
      <c r="C294" t="inlineStr">
        <is>
          <t>Vinotinto</t>
        </is>
      </c>
      <c r="D294" t="inlineStr">
        <is>
          <t>L</t>
        </is>
      </c>
      <c r="E294" t="n">
        <v>15</v>
      </c>
      <c r="F294" t="n">
        <v>163</v>
      </c>
    </row>
    <row r="295">
      <c r="A295" t="inlineStr">
        <is>
          <t>RIO</t>
        </is>
      </c>
      <c r="B295" t="inlineStr">
        <is>
          <t>DAMA</t>
        </is>
      </c>
      <c r="C295" t="inlineStr">
        <is>
          <t>Vinotinto</t>
        </is>
      </c>
      <c r="D295" t="inlineStr">
        <is>
          <t>XL</t>
        </is>
      </c>
      <c r="E295" t="n">
        <v>8</v>
      </c>
      <c r="F295" t="n">
        <v>163</v>
      </c>
    </row>
    <row r="296">
      <c r="A296" t="inlineStr">
        <is>
          <t>RIO</t>
        </is>
      </c>
      <c r="B296" t="inlineStr">
        <is>
          <t>DAMA</t>
        </is>
      </c>
      <c r="C296" t="inlineStr">
        <is>
          <t>Verde Militar</t>
        </is>
      </c>
      <c r="D296" t="inlineStr">
        <is>
          <t>XS</t>
        </is>
      </c>
      <c r="E296" t="n">
        <v>21</v>
      </c>
      <c r="F296" t="n">
        <v>146</v>
      </c>
    </row>
    <row r="297">
      <c r="A297" t="inlineStr">
        <is>
          <t>RIO</t>
        </is>
      </c>
      <c r="B297" t="inlineStr">
        <is>
          <t>DAMA</t>
        </is>
      </c>
      <c r="C297" t="inlineStr">
        <is>
          <t>Verde Militar</t>
        </is>
      </c>
      <c r="D297" t="inlineStr">
        <is>
          <t>S</t>
        </is>
      </c>
      <c r="E297" t="n">
        <v>46</v>
      </c>
      <c r="F297" t="n">
        <v>146</v>
      </c>
    </row>
    <row r="298">
      <c r="A298" t="inlineStr">
        <is>
          <t>RIO</t>
        </is>
      </c>
      <c r="B298" t="inlineStr">
        <is>
          <t>DAMA</t>
        </is>
      </c>
      <c r="C298" t="inlineStr">
        <is>
          <t>Verde Militar</t>
        </is>
      </c>
      <c r="D298" t="inlineStr">
        <is>
          <t>M</t>
        </is>
      </c>
      <c r="E298" t="n">
        <v>27</v>
      </c>
      <c r="F298" t="n">
        <v>146</v>
      </c>
    </row>
    <row r="299">
      <c r="A299" t="inlineStr">
        <is>
          <t>RIO</t>
        </is>
      </c>
      <c r="B299" t="inlineStr">
        <is>
          <t>DAMA</t>
        </is>
      </c>
      <c r="C299" t="inlineStr">
        <is>
          <t>Verde Militar</t>
        </is>
      </c>
      <c r="D299" t="inlineStr">
        <is>
          <t>L</t>
        </is>
      </c>
      <c r="E299" t="n">
        <v>30</v>
      </c>
      <c r="F299" t="n">
        <v>146</v>
      </c>
    </row>
    <row r="300">
      <c r="A300" t="inlineStr">
        <is>
          <t>RIO</t>
        </is>
      </c>
      <c r="B300" t="inlineStr">
        <is>
          <t>DAMA</t>
        </is>
      </c>
      <c r="C300" t="inlineStr">
        <is>
          <t>Verde Militar</t>
        </is>
      </c>
      <c r="D300" t="inlineStr">
        <is>
          <t>XL</t>
        </is>
      </c>
      <c r="E300" t="n">
        <v>22</v>
      </c>
      <c r="F300" t="n">
        <v>146</v>
      </c>
    </row>
    <row r="301">
      <c r="A301" t="inlineStr">
        <is>
          <t>RIO</t>
        </is>
      </c>
      <c r="B301" t="inlineStr">
        <is>
          <t>DAMA</t>
        </is>
      </c>
      <c r="C301" t="inlineStr">
        <is>
          <t>Púrpura</t>
        </is>
      </c>
      <c r="D301" t="inlineStr">
        <is>
          <t>XS</t>
        </is>
      </c>
      <c r="E301" t="n">
        <v>28</v>
      </c>
      <c r="F301" t="n">
        <v>140</v>
      </c>
    </row>
    <row r="302">
      <c r="A302" t="inlineStr">
        <is>
          <t>RIO</t>
        </is>
      </c>
      <c r="B302" t="inlineStr">
        <is>
          <t>DAMA</t>
        </is>
      </c>
      <c r="C302" t="inlineStr">
        <is>
          <t>Púrpura</t>
        </is>
      </c>
      <c r="D302" t="inlineStr">
        <is>
          <t>S</t>
        </is>
      </c>
      <c r="E302" t="n">
        <v>37</v>
      </c>
      <c r="F302" t="n">
        <v>140</v>
      </c>
    </row>
    <row r="303">
      <c r="A303" t="inlineStr">
        <is>
          <t>RIO</t>
        </is>
      </c>
      <c r="B303" t="inlineStr">
        <is>
          <t>DAMA</t>
        </is>
      </c>
      <c r="C303" t="inlineStr">
        <is>
          <t>Púrpura</t>
        </is>
      </c>
      <c r="D303" t="inlineStr">
        <is>
          <t>M</t>
        </is>
      </c>
      <c r="E303" t="n">
        <v>28</v>
      </c>
      <c r="F303" t="n">
        <v>140</v>
      </c>
    </row>
    <row r="304">
      <c r="A304" t="inlineStr">
        <is>
          <t>RIO</t>
        </is>
      </c>
      <c r="B304" t="inlineStr">
        <is>
          <t>DAMA</t>
        </is>
      </c>
      <c r="C304" t="inlineStr">
        <is>
          <t>Púrpura</t>
        </is>
      </c>
      <c r="D304" t="inlineStr">
        <is>
          <t>L</t>
        </is>
      </c>
      <c r="E304" t="n">
        <v>30</v>
      </c>
      <c r="F304" t="n">
        <v>140</v>
      </c>
    </row>
    <row r="305">
      <c r="A305" t="inlineStr">
        <is>
          <t>RIO</t>
        </is>
      </c>
      <c r="B305" t="inlineStr">
        <is>
          <t>DAMA</t>
        </is>
      </c>
      <c r="C305" t="inlineStr">
        <is>
          <t>Púrpura</t>
        </is>
      </c>
      <c r="D305" t="inlineStr">
        <is>
          <t>XL</t>
        </is>
      </c>
      <c r="E305" t="n">
        <v>17</v>
      </c>
      <c r="F305" t="n">
        <v>140</v>
      </c>
    </row>
    <row r="306">
      <c r="A306" t="inlineStr">
        <is>
          <t>RIO</t>
        </is>
      </c>
      <c r="B306" t="inlineStr">
        <is>
          <t>DAMA</t>
        </is>
      </c>
      <c r="C306" t="inlineStr">
        <is>
          <t>Rosado Pastel</t>
        </is>
      </c>
      <c r="D306" t="inlineStr">
        <is>
          <t>XS</t>
        </is>
      </c>
      <c r="E306" t="n">
        <v>10</v>
      </c>
      <c r="F306" t="n">
        <v>72</v>
      </c>
    </row>
    <row r="307">
      <c r="A307" t="inlineStr">
        <is>
          <t>RIO</t>
        </is>
      </c>
      <c r="B307" t="inlineStr">
        <is>
          <t>DAMA</t>
        </is>
      </c>
      <c r="C307" t="inlineStr">
        <is>
          <t>Rosado Pastel</t>
        </is>
      </c>
      <c r="D307" t="inlineStr">
        <is>
          <t>S</t>
        </is>
      </c>
      <c r="E307" t="n">
        <v>11</v>
      </c>
      <c r="F307" t="n">
        <v>72</v>
      </c>
    </row>
    <row r="308">
      <c r="A308" t="inlineStr">
        <is>
          <t>RIO</t>
        </is>
      </c>
      <c r="B308" t="inlineStr">
        <is>
          <t>DAMA</t>
        </is>
      </c>
      <c r="C308" t="inlineStr">
        <is>
          <t>Rosado Pastel</t>
        </is>
      </c>
      <c r="D308" t="inlineStr">
        <is>
          <t>M</t>
        </is>
      </c>
      <c r="E308" t="n">
        <v>13</v>
      </c>
      <c r="F308" t="n">
        <v>72</v>
      </c>
    </row>
    <row r="309">
      <c r="A309" t="inlineStr">
        <is>
          <t>RIO</t>
        </is>
      </c>
      <c r="B309" t="inlineStr">
        <is>
          <t>DAMA</t>
        </is>
      </c>
      <c r="C309" t="inlineStr">
        <is>
          <t>Rosado Pastel</t>
        </is>
      </c>
      <c r="D309" t="inlineStr">
        <is>
          <t>L</t>
        </is>
      </c>
      <c r="E309" t="n">
        <v>21</v>
      </c>
      <c r="F309" t="n">
        <v>72</v>
      </c>
    </row>
    <row r="310">
      <c r="A310" t="inlineStr">
        <is>
          <t>RIO</t>
        </is>
      </c>
      <c r="B310" t="inlineStr">
        <is>
          <t>DAMA</t>
        </is>
      </c>
      <c r="C310" t="inlineStr">
        <is>
          <t>Rosado Pastel</t>
        </is>
      </c>
      <c r="D310" t="inlineStr">
        <is>
          <t>XL</t>
        </is>
      </c>
      <c r="E310" t="n">
        <v>17</v>
      </c>
      <c r="F310" t="n">
        <v>72</v>
      </c>
    </row>
    <row r="311">
      <c r="A311" t="inlineStr">
        <is>
          <t>RIO</t>
        </is>
      </c>
      <c r="B311" t="inlineStr">
        <is>
          <t>DAMA</t>
        </is>
      </c>
      <c r="C311" t="inlineStr">
        <is>
          <t>Amarillo Neón</t>
        </is>
      </c>
      <c r="D311" t="inlineStr">
        <is>
          <t>XS</t>
        </is>
      </c>
      <c r="E311" t="n">
        <v>17</v>
      </c>
      <c r="F311" t="n">
        <v>62</v>
      </c>
    </row>
    <row r="312">
      <c r="A312" t="inlineStr">
        <is>
          <t>RIO</t>
        </is>
      </c>
      <c r="B312" t="inlineStr">
        <is>
          <t>DAMA</t>
        </is>
      </c>
      <c r="C312" t="inlineStr">
        <is>
          <t>Amarillo Neón</t>
        </is>
      </c>
      <c r="D312" t="inlineStr">
        <is>
          <t>S</t>
        </is>
      </c>
      <c r="E312" t="n">
        <v>15</v>
      </c>
      <c r="F312" t="n">
        <v>62</v>
      </c>
    </row>
    <row r="313">
      <c r="A313" t="inlineStr">
        <is>
          <t>RIO</t>
        </is>
      </c>
      <c r="B313" t="inlineStr">
        <is>
          <t>DAMA</t>
        </is>
      </c>
      <c r="C313" t="inlineStr">
        <is>
          <t>Amarillo Neón</t>
        </is>
      </c>
      <c r="D313" t="inlineStr">
        <is>
          <t>M</t>
        </is>
      </c>
      <c r="E313" t="n">
        <v>13</v>
      </c>
      <c r="F313" t="n">
        <v>62</v>
      </c>
    </row>
    <row r="314">
      <c r="A314" t="inlineStr">
        <is>
          <t>RIO</t>
        </is>
      </c>
      <c r="B314" t="inlineStr">
        <is>
          <t>DAMA</t>
        </is>
      </c>
      <c r="C314" t="inlineStr">
        <is>
          <t>Amarillo Neón</t>
        </is>
      </c>
      <c r="D314" t="inlineStr">
        <is>
          <t>L</t>
        </is>
      </c>
      <c r="E314" t="n">
        <v>8</v>
      </c>
      <c r="F314" t="n">
        <v>62</v>
      </c>
    </row>
    <row r="315">
      <c r="A315" t="inlineStr">
        <is>
          <t>RIO</t>
        </is>
      </c>
      <c r="B315" t="inlineStr">
        <is>
          <t>DAMA</t>
        </is>
      </c>
      <c r="C315" t="inlineStr">
        <is>
          <t>Amarillo Neón</t>
        </is>
      </c>
      <c r="D315" t="inlineStr">
        <is>
          <t>XL</t>
        </is>
      </c>
      <c r="E315" t="n">
        <v>9</v>
      </c>
      <c r="F315" t="n">
        <v>62</v>
      </c>
    </row>
    <row r="316">
      <c r="A316" t="inlineStr">
        <is>
          <t>RIO</t>
        </is>
      </c>
      <c r="B316" t="inlineStr">
        <is>
          <t>KIDS</t>
        </is>
      </c>
      <c r="C316" t="inlineStr">
        <is>
          <t>Azul Marino</t>
        </is>
      </c>
      <c r="D316" t="inlineStr">
        <is>
          <t>2</t>
        </is>
      </c>
      <c r="E316" t="n">
        <v>49</v>
      </c>
      <c r="F316" t="n">
        <v>361</v>
      </c>
    </row>
    <row r="317">
      <c r="A317" t="inlineStr">
        <is>
          <t>RIO</t>
        </is>
      </c>
      <c r="B317" t="inlineStr">
        <is>
          <t>KIDS</t>
        </is>
      </c>
      <c r="C317" t="inlineStr">
        <is>
          <t>Azul Marino</t>
        </is>
      </c>
      <c r="D317" t="inlineStr">
        <is>
          <t>4</t>
        </is>
      </c>
      <c r="E317" t="n">
        <v>65</v>
      </c>
      <c r="F317" t="n">
        <v>361</v>
      </c>
    </row>
    <row r="318">
      <c r="A318" t="inlineStr">
        <is>
          <t>RIO</t>
        </is>
      </c>
      <c r="B318" t="inlineStr">
        <is>
          <t>KIDS</t>
        </is>
      </c>
      <c r="C318" t="inlineStr">
        <is>
          <t>Azul Marino</t>
        </is>
      </c>
      <c r="D318" t="inlineStr">
        <is>
          <t>6</t>
        </is>
      </c>
      <c r="E318" t="n">
        <v>55</v>
      </c>
      <c r="F318" t="n">
        <v>361</v>
      </c>
    </row>
    <row r="319">
      <c r="A319" t="inlineStr">
        <is>
          <t>RIO</t>
        </is>
      </c>
      <c r="B319" t="inlineStr">
        <is>
          <t>KIDS</t>
        </is>
      </c>
      <c r="C319" t="inlineStr">
        <is>
          <t>Azul Marino</t>
        </is>
      </c>
      <c r="D319" t="inlineStr">
        <is>
          <t>8</t>
        </is>
      </c>
      <c r="E319" t="n">
        <v>49</v>
      </c>
      <c r="F319" t="n">
        <v>361</v>
      </c>
    </row>
    <row r="320">
      <c r="A320" t="inlineStr">
        <is>
          <t>RIO</t>
        </is>
      </c>
      <c r="B320" t="inlineStr">
        <is>
          <t>KIDS</t>
        </is>
      </c>
      <c r="C320" t="inlineStr">
        <is>
          <t>Azul Marino</t>
        </is>
      </c>
      <c r="D320" t="inlineStr">
        <is>
          <t>10</t>
        </is>
      </c>
      <c r="E320" t="n">
        <v>35</v>
      </c>
      <c r="F320" t="n">
        <v>361</v>
      </c>
    </row>
    <row r="321">
      <c r="A321" t="inlineStr">
        <is>
          <t>RIO</t>
        </is>
      </c>
      <c r="B321" t="inlineStr">
        <is>
          <t>KIDS</t>
        </is>
      </c>
      <c r="C321" t="inlineStr">
        <is>
          <t>Azul Marino</t>
        </is>
      </c>
      <c r="D321" t="inlineStr">
        <is>
          <t>12</t>
        </is>
      </c>
      <c r="E321" t="n">
        <v>48</v>
      </c>
      <c r="F321" t="n">
        <v>361</v>
      </c>
    </row>
    <row r="322">
      <c r="A322" t="inlineStr">
        <is>
          <t>RIO</t>
        </is>
      </c>
      <c r="B322" t="inlineStr">
        <is>
          <t>KIDS</t>
        </is>
      </c>
      <c r="C322" t="inlineStr">
        <is>
          <t>Azul Marino</t>
        </is>
      </c>
      <c r="D322" t="inlineStr">
        <is>
          <t>14</t>
        </is>
      </c>
      <c r="E322" t="n">
        <v>60</v>
      </c>
      <c r="F322" t="n">
        <v>361</v>
      </c>
    </row>
    <row r="323">
      <c r="A323" t="inlineStr">
        <is>
          <t>RIO</t>
        </is>
      </c>
      <c r="B323" t="inlineStr">
        <is>
          <t>KIDS</t>
        </is>
      </c>
      <c r="C323" t="inlineStr">
        <is>
          <t>Azul Lavanda</t>
        </is>
      </c>
      <c r="D323" t="inlineStr">
        <is>
          <t>2</t>
        </is>
      </c>
      <c r="E323" t="n">
        <v>64</v>
      </c>
      <c r="F323" t="n">
        <v>351</v>
      </c>
    </row>
    <row r="324">
      <c r="A324" t="inlineStr">
        <is>
          <t>RIO</t>
        </is>
      </c>
      <c r="B324" t="inlineStr">
        <is>
          <t>KIDS</t>
        </is>
      </c>
      <c r="C324" t="inlineStr">
        <is>
          <t>Azul Lavanda</t>
        </is>
      </c>
      <c r="D324" t="inlineStr">
        <is>
          <t>4</t>
        </is>
      </c>
      <c r="E324" t="n">
        <v>48</v>
      </c>
      <c r="F324" t="n">
        <v>351</v>
      </c>
    </row>
    <row r="325">
      <c r="A325" t="inlineStr">
        <is>
          <t>RIO</t>
        </is>
      </c>
      <c r="B325" t="inlineStr">
        <is>
          <t>KIDS</t>
        </is>
      </c>
      <c r="C325" t="inlineStr">
        <is>
          <t>Azul Lavanda</t>
        </is>
      </c>
      <c r="D325" t="inlineStr">
        <is>
          <t>6</t>
        </is>
      </c>
      <c r="E325" t="n">
        <v>48</v>
      </c>
      <c r="F325" t="n">
        <v>351</v>
      </c>
    </row>
    <row r="326">
      <c r="A326" t="inlineStr">
        <is>
          <t>RIO</t>
        </is>
      </c>
      <c r="B326" t="inlineStr">
        <is>
          <t>KIDS</t>
        </is>
      </c>
      <c r="C326" t="inlineStr">
        <is>
          <t>Azul Lavanda</t>
        </is>
      </c>
      <c r="D326" t="inlineStr">
        <is>
          <t>8</t>
        </is>
      </c>
      <c r="E326" t="n">
        <v>60</v>
      </c>
      <c r="F326" t="n">
        <v>351</v>
      </c>
    </row>
    <row r="327">
      <c r="A327" t="inlineStr">
        <is>
          <t>RIO</t>
        </is>
      </c>
      <c r="B327" t="inlineStr">
        <is>
          <t>KIDS</t>
        </is>
      </c>
      <c r="C327" t="inlineStr">
        <is>
          <t>Azul Lavanda</t>
        </is>
      </c>
      <c r="D327" t="inlineStr">
        <is>
          <t>10</t>
        </is>
      </c>
      <c r="E327" t="n">
        <v>50</v>
      </c>
      <c r="F327" t="n">
        <v>351</v>
      </c>
    </row>
    <row r="328">
      <c r="A328" t="inlineStr">
        <is>
          <t>RIO</t>
        </is>
      </c>
      <c r="B328" t="inlineStr">
        <is>
          <t>KIDS</t>
        </is>
      </c>
      <c r="C328" t="inlineStr">
        <is>
          <t>Azul Lavanda</t>
        </is>
      </c>
      <c r="D328" t="inlineStr">
        <is>
          <t>12</t>
        </is>
      </c>
      <c r="E328" t="n">
        <v>67</v>
      </c>
      <c r="F328" t="n">
        <v>351</v>
      </c>
    </row>
    <row r="329">
      <c r="A329" t="inlineStr">
        <is>
          <t>RIO</t>
        </is>
      </c>
      <c r="B329" t="inlineStr">
        <is>
          <t>KIDS</t>
        </is>
      </c>
      <c r="C329" t="inlineStr">
        <is>
          <t>Azul Lavanda</t>
        </is>
      </c>
      <c r="D329" t="inlineStr">
        <is>
          <t>14</t>
        </is>
      </c>
      <c r="E329" t="n">
        <v>14</v>
      </c>
      <c r="F329" t="n">
        <v>351</v>
      </c>
    </row>
    <row r="330">
      <c r="A330" t="inlineStr">
        <is>
          <t>RIO</t>
        </is>
      </c>
      <c r="B330" t="inlineStr">
        <is>
          <t>KIDS</t>
        </is>
      </c>
      <c r="C330" t="inlineStr">
        <is>
          <t>Negro</t>
        </is>
      </c>
      <c r="D330" t="inlineStr">
        <is>
          <t>2</t>
        </is>
      </c>
      <c r="E330" t="n">
        <v>41</v>
      </c>
      <c r="F330" t="n">
        <v>317</v>
      </c>
    </row>
    <row r="331">
      <c r="A331" t="inlineStr">
        <is>
          <t>RIO</t>
        </is>
      </c>
      <c r="B331" t="inlineStr">
        <is>
          <t>KIDS</t>
        </is>
      </c>
      <c r="C331" t="inlineStr">
        <is>
          <t>Negro</t>
        </is>
      </c>
      <c r="D331" t="inlineStr">
        <is>
          <t>4</t>
        </is>
      </c>
      <c r="E331" t="n">
        <v>33</v>
      </c>
      <c r="F331" t="n">
        <v>317</v>
      </c>
    </row>
    <row r="332">
      <c r="A332" t="inlineStr">
        <is>
          <t>RIO</t>
        </is>
      </c>
      <c r="B332" t="inlineStr">
        <is>
          <t>KIDS</t>
        </is>
      </c>
      <c r="C332" t="inlineStr">
        <is>
          <t>Negro</t>
        </is>
      </c>
      <c r="D332" t="inlineStr">
        <is>
          <t>6</t>
        </is>
      </c>
      <c r="E332" t="n">
        <v>39</v>
      </c>
      <c r="F332" t="n">
        <v>317</v>
      </c>
    </row>
    <row r="333">
      <c r="A333" t="inlineStr">
        <is>
          <t>RIO</t>
        </is>
      </c>
      <c r="B333" t="inlineStr">
        <is>
          <t>KIDS</t>
        </is>
      </c>
      <c r="C333" t="inlineStr">
        <is>
          <t>Negro</t>
        </is>
      </c>
      <c r="D333" t="inlineStr">
        <is>
          <t>8</t>
        </is>
      </c>
      <c r="E333" t="n">
        <v>52</v>
      </c>
      <c r="F333" t="n">
        <v>317</v>
      </c>
    </row>
    <row r="334">
      <c r="A334" t="inlineStr">
        <is>
          <t>RIO</t>
        </is>
      </c>
      <c r="B334" t="inlineStr">
        <is>
          <t>KIDS</t>
        </is>
      </c>
      <c r="C334" t="inlineStr">
        <is>
          <t>Negro</t>
        </is>
      </c>
      <c r="D334" t="inlineStr">
        <is>
          <t>10</t>
        </is>
      </c>
      <c r="E334" t="n">
        <v>52</v>
      </c>
      <c r="F334" t="n">
        <v>317</v>
      </c>
    </row>
    <row r="335">
      <c r="A335" t="inlineStr">
        <is>
          <t>RIO</t>
        </is>
      </c>
      <c r="B335" t="inlineStr">
        <is>
          <t>KIDS</t>
        </is>
      </c>
      <c r="C335" t="inlineStr">
        <is>
          <t>Negro</t>
        </is>
      </c>
      <c r="D335" t="inlineStr">
        <is>
          <t>12</t>
        </is>
      </c>
      <c r="E335" t="n">
        <v>59</v>
      </c>
      <c r="F335" t="n">
        <v>317</v>
      </c>
    </row>
    <row r="336">
      <c r="A336" t="inlineStr">
        <is>
          <t>RIO</t>
        </is>
      </c>
      <c r="B336" t="inlineStr">
        <is>
          <t>KIDS</t>
        </is>
      </c>
      <c r="C336" t="inlineStr">
        <is>
          <t>Negro</t>
        </is>
      </c>
      <c r="D336" t="inlineStr">
        <is>
          <t>14</t>
        </is>
      </c>
      <c r="E336" t="n">
        <v>41</v>
      </c>
      <c r="F336" t="n">
        <v>317</v>
      </c>
    </row>
    <row r="337">
      <c r="A337" t="inlineStr">
        <is>
          <t>RIO</t>
        </is>
      </c>
      <c r="B337" t="inlineStr">
        <is>
          <t>KIDS</t>
        </is>
      </c>
      <c r="C337" t="inlineStr">
        <is>
          <t>Lila</t>
        </is>
      </c>
      <c r="D337" t="inlineStr">
        <is>
          <t>2</t>
        </is>
      </c>
      <c r="E337" t="n">
        <v>35</v>
      </c>
      <c r="F337" t="n">
        <v>294</v>
      </c>
    </row>
    <row r="338">
      <c r="A338" t="inlineStr">
        <is>
          <t>RIO</t>
        </is>
      </c>
      <c r="B338" t="inlineStr">
        <is>
          <t>KIDS</t>
        </is>
      </c>
      <c r="C338" t="inlineStr">
        <is>
          <t>Lila</t>
        </is>
      </c>
      <c r="D338" t="inlineStr">
        <is>
          <t>4</t>
        </is>
      </c>
      <c r="E338" t="n">
        <v>42</v>
      </c>
      <c r="F338" t="n">
        <v>294</v>
      </c>
    </row>
    <row r="339">
      <c r="A339" t="inlineStr">
        <is>
          <t>RIO</t>
        </is>
      </c>
      <c r="B339" t="inlineStr">
        <is>
          <t>KIDS</t>
        </is>
      </c>
      <c r="C339" t="inlineStr">
        <is>
          <t>Lila</t>
        </is>
      </c>
      <c r="D339" t="inlineStr">
        <is>
          <t>6</t>
        </is>
      </c>
      <c r="E339" t="n">
        <v>33</v>
      </c>
      <c r="F339" t="n">
        <v>294</v>
      </c>
    </row>
    <row r="340">
      <c r="A340" t="inlineStr">
        <is>
          <t>RIO</t>
        </is>
      </c>
      <c r="B340" t="inlineStr">
        <is>
          <t>KIDS</t>
        </is>
      </c>
      <c r="C340" t="inlineStr">
        <is>
          <t>Lila</t>
        </is>
      </c>
      <c r="D340" t="inlineStr">
        <is>
          <t>8</t>
        </is>
      </c>
      <c r="E340" t="n">
        <v>51</v>
      </c>
      <c r="F340" t="n">
        <v>294</v>
      </c>
    </row>
    <row r="341">
      <c r="A341" t="inlineStr">
        <is>
          <t>RIO</t>
        </is>
      </c>
      <c r="B341" t="inlineStr">
        <is>
          <t>KIDS</t>
        </is>
      </c>
      <c r="C341" t="inlineStr">
        <is>
          <t>Lila</t>
        </is>
      </c>
      <c r="D341" t="inlineStr">
        <is>
          <t>10</t>
        </is>
      </c>
      <c r="E341" t="n">
        <v>49</v>
      </c>
      <c r="F341" t="n">
        <v>294</v>
      </c>
    </row>
    <row r="342">
      <c r="A342" t="inlineStr">
        <is>
          <t>RIO</t>
        </is>
      </c>
      <c r="B342" t="inlineStr">
        <is>
          <t>KIDS</t>
        </is>
      </c>
      <c r="C342" t="inlineStr">
        <is>
          <t>Lila</t>
        </is>
      </c>
      <c r="D342" t="inlineStr">
        <is>
          <t>12</t>
        </is>
      </c>
      <c r="E342" t="n">
        <v>41</v>
      </c>
      <c r="F342" t="n">
        <v>294</v>
      </c>
    </row>
    <row r="343">
      <c r="A343" t="inlineStr">
        <is>
          <t>RIO</t>
        </is>
      </c>
      <c r="B343" t="inlineStr">
        <is>
          <t>KIDS</t>
        </is>
      </c>
      <c r="C343" t="inlineStr">
        <is>
          <t>Lila</t>
        </is>
      </c>
      <c r="D343" t="inlineStr">
        <is>
          <t>14</t>
        </is>
      </c>
      <c r="E343" t="n">
        <v>43</v>
      </c>
      <c r="F343" t="n">
        <v>294</v>
      </c>
    </row>
    <row r="344">
      <c r="A344" t="inlineStr">
        <is>
          <t>RIO</t>
        </is>
      </c>
      <c r="B344" t="inlineStr">
        <is>
          <t>KIDS</t>
        </is>
      </c>
      <c r="C344" t="inlineStr">
        <is>
          <t>Azul Rey</t>
        </is>
      </c>
      <c r="D344" t="inlineStr">
        <is>
          <t>2</t>
        </is>
      </c>
      <c r="E344" t="n">
        <v>33</v>
      </c>
      <c r="F344" t="n">
        <v>284</v>
      </c>
    </row>
    <row r="345">
      <c r="A345" t="inlineStr">
        <is>
          <t>RIO</t>
        </is>
      </c>
      <c r="B345" t="inlineStr">
        <is>
          <t>KIDS</t>
        </is>
      </c>
      <c r="C345" t="inlineStr">
        <is>
          <t>Azul Rey</t>
        </is>
      </c>
      <c r="D345" t="inlineStr">
        <is>
          <t>4</t>
        </is>
      </c>
      <c r="E345" t="n">
        <v>41</v>
      </c>
      <c r="F345" t="n">
        <v>284</v>
      </c>
    </row>
    <row r="346">
      <c r="A346" t="inlineStr">
        <is>
          <t>RIO</t>
        </is>
      </c>
      <c r="B346" t="inlineStr">
        <is>
          <t>KIDS</t>
        </is>
      </c>
      <c r="C346" t="inlineStr">
        <is>
          <t>Azul Rey</t>
        </is>
      </c>
      <c r="D346" t="inlineStr">
        <is>
          <t>6</t>
        </is>
      </c>
      <c r="E346" t="n">
        <v>44</v>
      </c>
      <c r="F346" t="n">
        <v>284</v>
      </c>
    </row>
    <row r="347">
      <c r="A347" t="inlineStr">
        <is>
          <t>RIO</t>
        </is>
      </c>
      <c r="B347" t="inlineStr">
        <is>
          <t>KIDS</t>
        </is>
      </c>
      <c r="C347" t="inlineStr">
        <is>
          <t>Azul Rey</t>
        </is>
      </c>
      <c r="D347" t="inlineStr">
        <is>
          <t>8</t>
        </is>
      </c>
      <c r="E347" t="n">
        <v>43</v>
      </c>
      <c r="F347" t="n">
        <v>284</v>
      </c>
    </row>
    <row r="348">
      <c r="A348" t="inlineStr">
        <is>
          <t>RIO</t>
        </is>
      </c>
      <c r="B348" t="inlineStr">
        <is>
          <t>KIDS</t>
        </is>
      </c>
      <c r="C348" t="inlineStr">
        <is>
          <t>Azul Rey</t>
        </is>
      </c>
      <c r="D348" t="inlineStr">
        <is>
          <t>10</t>
        </is>
      </c>
      <c r="E348" t="n">
        <v>46</v>
      </c>
      <c r="F348" t="n">
        <v>284</v>
      </c>
    </row>
    <row r="349">
      <c r="A349" t="inlineStr">
        <is>
          <t>RIO</t>
        </is>
      </c>
      <c r="B349" t="inlineStr">
        <is>
          <t>KIDS</t>
        </is>
      </c>
      <c r="C349" t="inlineStr">
        <is>
          <t>Azul Rey</t>
        </is>
      </c>
      <c r="D349" t="inlineStr">
        <is>
          <t>12</t>
        </is>
      </c>
      <c r="E349" t="n">
        <v>50</v>
      </c>
      <c r="F349" t="n">
        <v>284</v>
      </c>
    </row>
    <row r="350">
      <c r="A350" t="inlineStr">
        <is>
          <t>RIO</t>
        </is>
      </c>
      <c r="B350" t="inlineStr">
        <is>
          <t>KIDS</t>
        </is>
      </c>
      <c r="C350" t="inlineStr">
        <is>
          <t>Azul Rey</t>
        </is>
      </c>
      <c r="D350" t="inlineStr">
        <is>
          <t>14</t>
        </is>
      </c>
      <c r="E350" t="n">
        <v>27</v>
      </c>
      <c r="F350" t="n">
        <v>284</v>
      </c>
    </row>
    <row r="351">
      <c r="A351" t="inlineStr">
        <is>
          <t>RIO</t>
        </is>
      </c>
      <c r="B351" t="inlineStr">
        <is>
          <t>KIDS</t>
        </is>
      </c>
      <c r="C351" t="inlineStr">
        <is>
          <t>Rojo</t>
        </is>
      </c>
      <c r="D351" t="inlineStr">
        <is>
          <t>2</t>
        </is>
      </c>
      <c r="E351" t="n">
        <v>34</v>
      </c>
      <c r="F351" t="n">
        <v>260</v>
      </c>
    </row>
    <row r="352">
      <c r="A352" t="inlineStr">
        <is>
          <t>RIO</t>
        </is>
      </c>
      <c r="B352" t="inlineStr">
        <is>
          <t>KIDS</t>
        </is>
      </c>
      <c r="C352" t="inlineStr">
        <is>
          <t>Rojo</t>
        </is>
      </c>
      <c r="D352" t="inlineStr">
        <is>
          <t>4</t>
        </is>
      </c>
      <c r="E352" t="n">
        <v>51</v>
      </c>
      <c r="F352" t="n">
        <v>260</v>
      </c>
    </row>
    <row r="353">
      <c r="A353" t="inlineStr">
        <is>
          <t>RIO</t>
        </is>
      </c>
      <c r="B353" t="inlineStr">
        <is>
          <t>KIDS</t>
        </is>
      </c>
      <c r="C353" t="inlineStr">
        <is>
          <t>Rojo</t>
        </is>
      </c>
      <c r="D353" t="inlineStr">
        <is>
          <t>6</t>
        </is>
      </c>
      <c r="E353" t="n">
        <v>45</v>
      </c>
      <c r="F353" t="n">
        <v>260</v>
      </c>
    </row>
    <row r="354">
      <c r="A354" t="inlineStr">
        <is>
          <t>RIO</t>
        </is>
      </c>
      <c r="B354" t="inlineStr">
        <is>
          <t>KIDS</t>
        </is>
      </c>
      <c r="C354" t="inlineStr">
        <is>
          <t>Rojo</t>
        </is>
      </c>
      <c r="D354" t="inlineStr">
        <is>
          <t>8</t>
        </is>
      </c>
      <c r="E354" t="n">
        <v>35</v>
      </c>
      <c r="F354" t="n">
        <v>260</v>
      </c>
    </row>
    <row r="355">
      <c r="A355" t="inlineStr">
        <is>
          <t>RIO</t>
        </is>
      </c>
      <c r="B355" t="inlineStr">
        <is>
          <t>KIDS</t>
        </is>
      </c>
      <c r="C355" t="inlineStr">
        <is>
          <t>Rojo</t>
        </is>
      </c>
      <c r="D355" t="inlineStr">
        <is>
          <t>10</t>
        </is>
      </c>
      <c r="E355" t="n">
        <v>31</v>
      </c>
      <c r="F355" t="n">
        <v>260</v>
      </c>
    </row>
    <row r="356">
      <c r="A356" t="inlineStr">
        <is>
          <t>RIO</t>
        </is>
      </c>
      <c r="B356" t="inlineStr">
        <is>
          <t>KIDS</t>
        </is>
      </c>
      <c r="C356" t="inlineStr">
        <is>
          <t>Rojo</t>
        </is>
      </c>
      <c r="D356" t="inlineStr">
        <is>
          <t>12</t>
        </is>
      </c>
      <c r="E356" t="n">
        <v>31</v>
      </c>
      <c r="F356" t="n">
        <v>260</v>
      </c>
    </row>
    <row r="357">
      <c r="A357" t="inlineStr">
        <is>
          <t>RIO</t>
        </is>
      </c>
      <c r="B357" t="inlineStr">
        <is>
          <t>KIDS</t>
        </is>
      </c>
      <c r="C357" t="inlineStr">
        <is>
          <t>Rojo</t>
        </is>
      </c>
      <c r="D357" t="inlineStr">
        <is>
          <t>14</t>
        </is>
      </c>
      <c r="E357" t="n">
        <v>33</v>
      </c>
      <c r="F357" t="n">
        <v>260</v>
      </c>
    </row>
    <row r="358">
      <c r="A358" t="inlineStr">
        <is>
          <t>RIO</t>
        </is>
      </c>
      <c r="B358" t="inlineStr">
        <is>
          <t>KIDS</t>
        </is>
      </c>
      <c r="C358" t="inlineStr">
        <is>
          <t>Blanco</t>
        </is>
      </c>
      <c r="D358" t="inlineStr">
        <is>
          <t>2</t>
        </is>
      </c>
      <c r="E358" t="n">
        <v>58</v>
      </c>
      <c r="F358" t="n">
        <v>224</v>
      </c>
    </row>
    <row r="359">
      <c r="A359" t="inlineStr">
        <is>
          <t>RIO</t>
        </is>
      </c>
      <c r="B359" t="inlineStr">
        <is>
          <t>KIDS</t>
        </is>
      </c>
      <c r="C359" t="inlineStr">
        <is>
          <t>Blanco</t>
        </is>
      </c>
      <c r="D359" t="inlineStr">
        <is>
          <t>4</t>
        </is>
      </c>
      <c r="E359" t="n">
        <v>43</v>
      </c>
      <c r="F359" t="n">
        <v>224</v>
      </c>
    </row>
    <row r="360">
      <c r="A360" t="inlineStr">
        <is>
          <t>RIO</t>
        </is>
      </c>
      <c r="B360" t="inlineStr">
        <is>
          <t>KIDS</t>
        </is>
      </c>
      <c r="C360" t="inlineStr">
        <is>
          <t>Blanco</t>
        </is>
      </c>
      <c r="D360" t="inlineStr">
        <is>
          <t>6</t>
        </is>
      </c>
      <c r="E360" t="n">
        <v>35</v>
      </c>
      <c r="F360" t="n">
        <v>224</v>
      </c>
    </row>
    <row r="361">
      <c r="A361" t="inlineStr">
        <is>
          <t>RIO</t>
        </is>
      </c>
      <c r="B361" t="inlineStr">
        <is>
          <t>KIDS</t>
        </is>
      </c>
      <c r="C361" t="inlineStr">
        <is>
          <t>Blanco</t>
        </is>
      </c>
      <c r="D361" t="inlineStr">
        <is>
          <t>8</t>
        </is>
      </c>
      <c r="E361" t="n">
        <v>21</v>
      </c>
      <c r="F361" t="n">
        <v>224</v>
      </c>
    </row>
    <row r="362">
      <c r="A362" t="inlineStr">
        <is>
          <t>RIO</t>
        </is>
      </c>
      <c r="B362" t="inlineStr">
        <is>
          <t>KIDS</t>
        </is>
      </c>
      <c r="C362" t="inlineStr">
        <is>
          <t>Blanco</t>
        </is>
      </c>
      <c r="D362" t="inlineStr">
        <is>
          <t>10</t>
        </is>
      </c>
      <c r="E362" t="n">
        <v>14</v>
      </c>
      <c r="F362" t="n">
        <v>224</v>
      </c>
    </row>
    <row r="363">
      <c r="A363" t="inlineStr">
        <is>
          <t>RIO</t>
        </is>
      </c>
      <c r="B363" t="inlineStr">
        <is>
          <t>KIDS</t>
        </is>
      </c>
      <c r="C363" t="inlineStr">
        <is>
          <t>Blanco</t>
        </is>
      </c>
      <c r="D363" t="inlineStr">
        <is>
          <t>12</t>
        </is>
      </c>
      <c r="E363" t="n">
        <v>24</v>
      </c>
      <c r="F363" t="n">
        <v>224</v>
      </c>
    </row>
    <row r="364">
      <c r="A364" t="inlineStr">
        <is>
          <t>RIO</t>
        </is>
      </c>
      <c r="B364" t="inlineStr">
        <is>
          <t>KIDS</t>
        </is>
      </c>
      <c r="C364" t="inlineStr">
        <is>
          <t>Blanco</t>
        </is>
      </c>
      <c r="D364" t="inlineStr">
        <is>
          <t>14</t>
        </is>
      </c>
      <c r="E364" t="n">
        <v>29</v>
      </c>
      <c r="F364" t="n">
        <v>224</v>
      </c>
    </row>
    <row r="365">
      <c r="A365" t="inlineStr">
        <is>
          <t>RIO</t>
        </is>
      </c>
      <c r="B365" t="inlineStr">
        <is>
          <t>KIDS</t>
        </is>
      </c>
      <c r="C365" t="inlineStr">
        <is>
          <t>Púrpura</t>
        </is>
      </c>
      <c r="D365" t="inlineStr">
        <is>
          <t>2</t>
        </is>
      </c>
      <c r="E365" t="n">
        <v>28</v>
      </c>
      <c r="F365" t="n">
        <v>212</v>
      </c>
    </row>
    <row r="366">
      <c r="A366" t="inlineStr">
        <is>
          <t>RIO</t>
        </is>
      </c>
      <c r="B366" t="inlineStr">
        <is>
          <t>KIDS</t>
        </is>
      </c>
      <c r="C366" t="inlineStr">
        <is>
          <t>Púrpura</t>
        </is>
      </c>
      <c r="D366" t="inlineStr">
        <is>
          <t>4</t>
        </is>
      </c>
      <c r="E366" t="n">
        <v>60</v>
      </c>
      <c r="F366" t="n">
        <v>212</v>
      </c>
    </row>
    <row r="367">
      <c r="A367" t="inlineStr">
        <is>
          <t>RIO</t>
        </is>
      </c>
      <c r="B367" t="inlineStr">
        <is>
          <t>KIDS</t>
        </is>
      </c>
      <c r="C367" t="inlineStr">
        <is>
          <t>Púrpura</t>
        </is>
      </c>
      <c r="D367" t="inlineStr">
        <is>
          <t>6</t>
        </is>
      </c>
      <c r="E367" t="n">
        <v>43</v>
      </c>
      <c r="F367" t="n">
        <v>212</v>
      </c>
    </row>
    <row r="368">
      <c r="A368" t="inlineStr">
        <is>
          <t>RIO</t>
        </is>
      </c>
      <c r="B368" t="inlineStr">
        <is>
          <t>KIDS</t>
        </is>
      </c>
      <c r="C368" t="inlineStr">
        <is>
          <t>Púrpura</t>
        </is>
      </c>
      <c r="D368" t="inlineStr">
        <is>
          <t>8</t>
        </is>
      </c>
      <c r="E368" t="n">
        <v>14</v>
      </c>
      <c r="F368" t="n">
        <v>212</v>
      </c>
    </row>
    <row r="369">
      <c r="A369" t="inlineStr">
        <is>
          <t>RIO</t>
        </is>
      </c>
      <c r="B369" t="inlineStr">
        <is>
          <t>KIDS</t>
        </is>
      </c>
      <c r="C369" t="inlineStr">
        <is>
          <t>Púrpura</t>
        </is>
      </c>
      <c r="D369" t="inlineStr">
        <is>
          <t>10</t>
        </is>
      </c>
      <c r="E369" t="n">
        <v>22</v>
      </c>
      <c r="F369" t="n">
        <v>212</v>
      </c>
    </row>
    <row r="370">
      <c r="A370" t="inlineStr">
        <is>
          <t>RIO</t>
        </is>
      </c>
      <c r="B370" t="inlineStr">
        <is>
          <t>KIDS</t>
        </is>
      </c>
      <c r="C370" t="inlineStr">
        <is>
          <t>Púrpura</t>
        </is>
      </c>
      <c r="D370" t="inlineStr">
        <is>
          <t>12</t>
        </is>
      </c>
      <c r="E370" t="n">
        <v>28</v>
      </c>
      <c r="F370" t="n">
        <v>212</v>
      </c>
    </row>
    <row r="371">
      <c r="A371" t="inlineStr">
        <is>
          <t>RIO</t>
        </is>
      </c>
      <c r="B371" t="inlineStr">
        <is>
          <t>KIDS</t>
        </is>
      </c>
      <c r="C371" t="inlineStr">
        <is>
          <t>Púrpura</t>
        </is>
      </c>
      <c r="D371" t="inlineStr">
        <is>
          <t>14</t>
        </is>
      </c>
      <c r="E371" t="n">
        <v>17</v>
      </c>
      <c r="F371" t="n">
        <v>212</v>
      </c>
    </row>
    <row r="372">
      <c r="A372" t="inlineStr">
        <is>
          <t>RIO</t>
        </is>
      </c>
      <c r="B372" t="inlineStr">
        <is>
          <t>KIDS</t>
        </is>
      </c>
      <c r="C372" t="inlineStr">
        <is>
          <t>Aguamarina</t>
        </is>
      </c>
      <c r="D372" t="inlineStr">
        <is>
          <t>2</t>
        </is>
      </c>
      <c r="E372" t="n">
        <v>43</v>
      </c>
      <c r="F372" t="n">
        <v>215</v>
      </c>
    </row>
    <row r="373">
      <c r="A373" t="inlineStr">
        <is>
          <t>RIO</t>
        </is>
      </c>
      <c r="B373" t="inlineStr">
        <is>
          <t>KIDS</t>
        </is>
      </c>
      <c r="C373" t="inlineStr">
        <is>
          <t>Aguamarina</t>
        </is>
      </c>
      <c r="D373" t="inlineStr">
        <is>
          <t>4</t>
        </is>
      </c>
      <c r="E373" t="n">
        <v>41</v>
      </c>
      <c r="F373" t="n">
        <v>215</v>
      </c>
    </row>
    <row r="374">
      <c r="A374" t="inlineStr">
        <is>
          <t>RIO</t>
        </is>
      </c>
      <c r="B374" t="inlineStr">
        <is>
          <t>KIDS</t>
        </is>
      </c>
      <c r="C374" t="inlineStr">
        <is>
          <t>Aguamarina</t>
        </is>
      </c>
      <c r="D374" t="inlineStr">
        <is>
          <t>6</t>
        </is>
      </c>
      <c r="E374" t="n">
        <v>38</v>
      </c>
      <c r="F374" t="n">
        <v>215</v>
      </c>
    </row>
    <row r="375">
      <c r="A375" t="inlineStr">
        <is>
          <t>RIO</t>
        </is>
      </c>
      <c r="B375" t="inlineStr">
        <is>
          <t>KIDS</t>
        </is>
      </c>
      <c r="C375" t="inlineStr">
        <is>
          <t>Aguamarina</t>
        </is>
      </c>
      <c r="D375" t="inlineStr">
        <is>
          <t>8</t>
        </is>
      </c>
      <c r="E375" t="n">
        <v>27</v>
      </c>
      <c r="F375" t="n">
        <v>215</v>
      </c>
    </row>
    <row r="376">
      <c r="A376" t="inlineStr">
        <is>
          <t>RIO</t>
        </is>
      </c>
      <c r="B376" t="inlineStr">
        <is>
          <t>KIDS</t>
        </is>
      </c>
      <c r="C376" t="inlineStr">
        <is>
          <t>Aguamarina</t>
        </is>
      </c>
      <c r="D376" t="inlineStr">
        <is>
          <t>10</t>
        </is>
      </c>
      <c r="E376" t="n">
        <v>23</v>
      </c>
      <c r="F376" t="n">
        <v>215</v>
      </c>
    </row>
    <row r="377">
      <c r="A377" t="inlineStr">
        <is>
          <t>RIO</t>
        </is>
      </c>
      <c r="B377" t="inlineStr">
        <is>
          <t>KIDS</t>
        </is>
      </c>
      <c r="C377" t="inlineStr">
        <is>
          <t>Aguamarina</t>
        </is>
      </c>
      <c r="D377" t="inlineStr">
        <is>
          <t>12</t>
        </is>
      </c>
      <c r="E377" t="n">
        <v>26</v>
      </c>
      <c r="F377" t="n">
        <v>215</v>
      </c>
    </row>
    <row r="378">
      <c r="A378" t="inlineStr">
        <is>
          <t>RIO</t>
        </is>
      </c>
      <c r="B378" t="inlineStr">
        <is>
          <t>KIDS</t>
        </is>
      </c>
      <c r="C378" t="inlineStr">
        <is>
          <t>Aguamarina</t>
        </is>
      </c>
      <c r="D378" t="inlineStr">
        <is>
          <t>14</t>
        </is>
      </c>
      <c r="E378" t="n">
        <v>17</v>
      </c>
      <c r="F378" t="n">
        <v>215</v>
      </c>
    </row>
    <row r="379">
      <c r="A379" t="inlineStr">
        <is>
          <t>RIO</t>
        </is>
      </c>
      <c r="B379" t="inlineStr">
        <is>
          <t>KIDS</t>
        </is>
      </c>
      <c r="C379" t="inlineStr">
        <is>
          <t>Verde Militar</t>
        </is>
      </c>
      <c r="D379" t="inlineStr">
        <is>
          <t>2</t>
        </is>
      </c>
      <c r="E379" t="n">
        <v>30</v>
      </c>
      <c r="F379" t="n">
        <v>162</v>
      </c>
    </row>
    <row r="380">
      <c r="A380" t="inlineStr">
        <is>
          <t>RIO</t>
        </is>
      </c>
      <c r="B380" t="inlineStr">
        <is>
          <t>KIDS</t>
        </is>
      </c>
      <c r="C380" t="inlineStr">
        <is>
          <t>Verde Militar</t>
        </is>
      </c>
      <c r="D380" t="inlineStr">
        <is>
          <t>4</t>
        </is>
      </c>
      <c r="E380" t="n">
        <v>8</v>
      </c>
      <c r="F380" t="n">
        <v>162</v>
      </c>
    </row>
    <row r="381">
      <c r="A381" t="inlineStr">
        <is>
          <t>RIO</t>
        </is>
      </c>
      <c r="B381" t="inlineStr">
        <is>
          <t>KIDS</t>
        </is>
      </c>
      <c r="C381" t="inlineStr">
        <is>
          <t>Verde Militar</t>
        </is>
      </c>
      <c r="D381" t="inlineStr">
        <is>
          <t>6</t>
        </is>
      </c>
      <c r="E381" t="n">
        <v>9</v>
      </c>
      <c r="F381" t="n">
        <v>162</v>
      </c>
    </row>
    <row r="382">
      <c r="A382" t="inlineStr">
        <is>
          <t>RIO</t>
        </is>
      </c>
      <c r="B382" t="inlineStr">
        <is>
          <t>KIDS</t>
        </is>
      </c>
      <c r="C382" t="inlineStr">
        <is>
          <t>Verde Militar</t>
        </is>
      </c>
      <c r="D382" t="inlineStr">
        <is>
          <t>8</t>
        </is>
      </c>
      <c r="E382" t="n">
        <v>27</v>
      </c>
      <c r="F382" t="n">
        <v>162</v>
      </c>
    </row>
    <row r="383">
      <c r="A383" t="inlineStr">
        <is>
          <t>RIO</t>
        </is>
      </c>
      <c r="B383" t="inlineStr">
        <is>
          <t>KIDS</t>
        </is>
      </c>
      <c r="C383" t="inlineStr">
        <is>
          <t>Verde Militar</t>
        </is>
      </c>
      <c r="D383" t="inlineStr">
        <is>
          <t>10</t>
        </is>
      </c>
      <c r="E383" t="n">
        <v>27</v>
      </c>
      <c r="F383" t="n">
        <v>162</v>
      </c>
    </row>
    <row r="384">
      <c r="A384" t="inlineStr">
        <is>
          <t>RIO</t>
        </is>
      </c>
      <c r="B384" t="inlineStr">
        <is>
          <t>KIDS</t>
        </is>
      </c>
      <c r="C384" t="inlineStr">
        <is>
          <t>Verde Militar</t>
        </is>
      </c>
      <c r="D384" t="inlineStr">
        <is>
          <t>12</t>
        </is>
      </c>
      <c r="E384" t="n">
        <v>35</v>
      </c>
      <c r="F384" t="n">
        <v>162</v>
      </c>
    </row>
    <row r="385">
      <c r="A385" t="inlineStr">
        <is>
          <t>RIO</t>
        </is>
      </c>
      <c r="B385" t="inlineStr">
        <is>
          <t>KIDS</t>
        </is>
      </c>
      <c r="C385" t="inlineStr">
        <is>
          <t>Verde Militar</t>
        </is>
      </c>
      <c r="D385" t="inlineStr">
        <is>
          <t>14</t>
        </is>
      </c>
      <c r="E385" t="n">
        <v>26</v>
      </c>
      <c r="F385" t="n">
        <v>162</v>
      </c>
    </row>
    <row r="386">
      <c r="A386" t="inlineStr">
        <is>
          <t>RIO</t>
        </is>
      </c>
      <c r="B386" t="inlineStr">
        <is>
          <t>KIDS</t>
        </is>
      </c>
      <c r="C386" t="inlineStr">
        <is>
          <t>Rosado Pastel</t>
        </is>
      </c>
      <c r="D386" t="inlineStr">
        <is>
          <t>2</t>
        </is>
      </c>
      <c r="E386" t="n">
        <v>38</v>
      </c>
      <c r="F386" t="n">
        <v>142</v>
      </c>
    </row>
    <row r="387">
      <c r="A387" t="inlineStr">
        <is>
          <t>RIO</t>
        </is>
      </c>
      <c r="B387" t="inlineStr">
        <is>
          <t>KIDS</t>
        </is>
      </c>
      <c r="C387" t="inlineStr">
        <is>
          <t>Rosado Pastel</t>
        </is>
      </c>
      <c r="D387" t="inlineStr">
        <is>
          <t>4</t>
        </is>
      </c>
      <c r="E387" t="n">
        <v>28</v>
      </c>
      <c r="F387" t="n">
        <v>142</v>
      </c>
    </row>
    <row r="388">
      <c r="A388" t="inlineStr">
        <is>
          <t>RIO</t>
        </is>
      </c>
      <c r="B388" t="inlineStr">
        <is>
          <t>KIDS</t>
        </is>
      </c>
      <c r="C388" t="inlineStr">
        <is>
          <t>Rosado Pastel</t>
        </is>
      </c>
      <c r="D388" t="inlineStr">
        <is>
          <t>6</t>
        </is>
      </c>
      <c r="E388" t="n">
        <v>9</v>
      </c>
      <c r="F388" t="n">
        <v>142</v>
      </c>
    </row>
    <row r="389">
      <c r="A389" t="inlineStr">
        <is>
          <t>RIO</t>
        </is>
      </c>
      <c r="B389" t="inlineStr">
        <is>
          <t>KIDS</t>
        </is>
      </c>
      <c r="C389" t="inlineStr">
        <is>
          <t>Rosado Pastel</t>
        </is>
      </c>
      <c r="D389" t="inlineStr">
        <is>
          <t>8</t>
        </is>
      </c>
      <c r="E389" t="n">
        <v>7</v>
      </c>
      <c r="F389" t="n">
        <v>142</v>
      </c>
    </row>
    <row r="390">
      <c r="A390" t="inlineStr">
        <is>
          <t>RIO</t>
        </is>
      </c>
      <c r="B390" t="inlineStr">
        <is>
          <t>KIDS</t>
        </is>
      </c>
      <c r="C390" t="inlineStr">
        <is>
          <t>Rosado Pastel</t>
        </is>
      </c>
      <c r="D390" t="inlineStr">
        <is>
          <t>10</t>
        </is>
      </c>
      <c r="E390" t="n">
        <v>13</v>
      </c>
      <c r="F390" t="n">
        <v>142</v>
      </c>
    </row>
    <row r="391">
      <c r="A391" t="inlineStr">
        <is>
          <t>RIO</t>
        </is>
      </c>
      <c r="B391" t="inlineStr">
        <is>
          <t>KIDS</t>
        </is>
      </c>
      <c r="C391" t="inlineStr">
        <is>
          <t>Rosado Pastel</t>
        </is>
      </c>
      <c r="D391" t="inlineStr">
        <is>
          <t>12</t>
        </is>
      </c>
      <c r="E391" t="n">
        <v>24</v>
      </c>
      <c r="F391" t="n">
        <v>142</v>
      </c>
    </row>
    <row r="392">
      <c r="A392" t="inlineStr">
        <is>
          <t>RIO</t>
        </is>
      </c>
      <c r="B392" t="inlineStr">
        <is>
          <t>KIDS</t>
        </is>
      </c>
      <c r="C392" t="inlineStr">
        <is>
          <t>Rosado Pastel</t>
        </is>
      </c>
      <c r="D392" t="inlineStr">
        <is>
          <t>14</t>
        </is>
      </c>
      <c r="E392" t="n">
        <v>23</v>
      </c>
      <c r="F392" t="n">
        <v>142</v>
      </c>
    </row>
    <row r="393">
      <c r="A393" t="inlineStr">
        <is>
          <t>RIO</t>
        </is>
      </c>
      <c r="B393" t="inlineStr">
        <is>
          <t>KIDS</t>
        </is>
      </c>
      <c r="C393" t="inlineStr">
        <is>
          <t>Amarillo Neón</t>
        </is>
      </c>
      <c r="D393" t="inlineStr">
        <is>
          <t>2</t>
        </is>
      </c>
      <c r="E393" t="n">
        <v>8</v>
      </c>
      <c r="F393" t="n">
        <v>130</v>
      </c>
    </row>
    <row r="394">
      <c r="A394" t="inlineStr">
        <is>
          <t>RIO</t>
        </is>
      </c>
      <c r="B394" t="inlineStr">
        <is>
          <t>KIDS</t>
        </is>
      </c>
      <c r="C394" t="inlineStr">
        <is>
          <t>Amarillo Neón</t>
        </is>
      </c>
      <c r="D394" t="inlineStr">
        <is>
          <t>4</t>
        </is>
      </c>
      <c r="E394" t="n">
        <v>13</v>
      </c>
      <c r="F394" t="n">
        <v>130</v>
      </c>
    </row>
    <row r="395">
      <c r="A395" t="inlineStr">
        <is>
          <t>RIO</t>
        </is>
      </c>
      <c r="B395" t="inlineStr">
        <is>
          <t>KIDS</t>
        </is>
      </c>
      <c r="C395" t="inlineStr">
        <is>
          <t>Amarillo Neón</t>
        </is>
      </c>
      <c r="D395" t="inlineStr">
        <is>
          <t>6</t>
        </is>
      </c>
      <c r="E395" t="n">
        <v>13</v>
      </c>
      <c r="F395" t="n">
        <v>130</v>
      </c>
    </row>
    <row r="396">
      <c r="A396" t="inlineStr">
        <is>
          <t>RIO</t>
        </is>
      </c>
      <c r="B396" t="inlineStr">
        <is>
          <t>KIDS</t>
        </is>
      </c>
      <c r="C396" t="inlineStr">
        <is>
          <t>Amarillo Neón</t>
        </is>
      </c>
      <c r="D396" t="inlineStr">
        <is>
          <t>8</t>
        </is>
      </c>
      <c r="E396" t="n">
        <v>26</v>
      </c>
      <c r="F396" t="n">
        <v>130</v>
      </c>
    </row>
    <row r="397">
      <c r="A397" t="inlineStr">
        <is>
          <t>RIO</t>
        </is>
      </c>
      <c r="B397" t="inlineStr">
        <is>
          <t>KIDS</t>
        </is>
      </c>
      <c r="C397" t="inlineStr">
        <is>
          <t>Amarillo Neón</t>
        </is>
      </c>
      <c r="D397" t="inlineStr">
        <is>
          <t>10</t>
        </is>
      </c>
      <c r="E397" t="n">
        <v>31</v>
      </c>
      <c r="F397" t="n">
        <v>130</v>
      </c>
    </row>
    <row r="398">
      <c r="A398" t="inlineStr">
        <is>
          <t>RIO</t>
        </is>
      </c>
      <c r="B398" t="inlineStr">
        <is>
          <t>KIDS</t>
        </is>
      </c>
      <c r="C398" t="inlineStr">
        <is>
          <t>Amarillo Neón</t>
        </is>
      </c>
      <c r="D398" t="inlineStr">
        <is>
          <t>12</t>
        </is>
      </c>
      <c r="E398" t="n">
        <v>22</v>
      </c>
      <c r="F398" t="n">
        <v>130</v>
      </c>
    </row>
    <row r="399">
      <c r="A399" t="inlineStr">
        <is>
          <t>RIO</t>
        </is>
      </c>
      <c r="B399" t="inlineStr">
        <is>
          <t>KIDS</t>
        </is>
      </c>
      <c r="C399" t="inlineStr">
        <is>
          <t>Amarillo Neón</t>
        </is>
      </c>
      <c r="D399" t="inlineStr">
        <is>
          <t>14</t>
        </is>
      </c>
      <c r="E399" t="n">
        <v>17</v>
      </c>
      <c r="F399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8" customWidth="1" min="4" max="4"/>
    <col width="15" customWidth="1" min="5" max="5"/>
    <col width="10" customWidth="1" min="6" max="6"/>
    <col width="22" customWidth="1" min="7" max="7"/>
    <col width="17" customWidth="1" min="8" max="8"/>
    <col width="22" customWidth="1" min="9" max="9"/>
    <col width="19" customWidth="1" min="10" max="10"/>
    <col width="16" customWidth="1" min="11" max="11"/>
    <col width="22" customWidth="1" min="12" max="12"/>
    <col width="22" customWidth="1" min="13" max="13"/>
    <col width="17" customWidth="1" min="14" max="14"/>
    <col width="22" customWidth="1" min="15" max="15"/>
    <col width="15" customWidth="1" min="16" max="16"/>
    <col width="14" customWidth="1" min="17" max="17"/>
    <col width="22" customWidth="1" min="18" max="18"/>
  </cols>
  <sheetData>
    <row r="1">
      <c r="A1" s="5" t="inlineStr">
        <is>
          <t>P</t>
        </is>
      </c>
      <c r="B1" s="5" t="inlineStr">
        <is>
          <t>Línea</t>
        </is>
      </c>
      <c r="C1" s="5" t="inlineStr">
        <is>
          <t>Modelo</t>
        </is>
      </c>
      <c r="D1" s="5" t="inlineStr">
        <is>
          <t>Género</t>
        </is>
      </c>
      <c r="E1" s="5" t="inlineStr">
        <is>
          <t>Color</t>
        </is>
      </c>
      <c r="F1" s="5" t="inlineStr">
        <is>
          <t>Meta máx</t>
        </is>
      </c>
      <c r="G1" s="5" t="inlineStr">
        <is>
          <t>Ya cortado</t>
        </is>
      </c>
      <c r="H1" s="5" t="inlineStr">
        <is>
          <t>Pendiente</t>
        </is>
      </c>
      <c r="I1" s="5" t="inlineStr">
        <is>
          <t>% Obj</t>
        </is>
      </c>
      <c r="J1" s="5" t="inlineStr">
        <is>
          <t>Und objetivo</t>
        </is>
      </c>
      <c r="K1" s="5" t="inlineStr">
        <is>
          <t>Consumo kg/und</t>
        </is>
      </c>
      <c r="L1" s="5" t="inlineStr">
        <is>
          <t>Inventario kg</t>
        </is>
      </c>
      <c r="M1" s="5" t="inlineStr">
        <is>
          <t>Kg usado antes</t>
        </is>
      </c>
      <c r="N1" s="5" t="inlineStr">
        <is>
          <t>Saldo kg</t>
        </is>
      </c>
      <c r="O1" s="5" t="inlineStr">
        <is>
          <t>Und max tela</t>
        </is>
      </c>
      <c r="P1" s="5" t="inlineStr">
        <is>
          <t>Und FINAL</t>
        </is>
      </c>
      <c r="Q1" s="5" t="inlineStr">
        <is>
          <t>Kg usar</t>
        </is>
      </c>
      <c r="R1" s="5" t="inlineStr">
        <is>
          <t>Estado</t>
        </is>
      </c>
    </row>
    <row r="2">
      <c r="A2" s="6" t="n">
        <v>1</v>
      </c>
      <c r="B2" s="6" t="inlineStr">
        <is>
          <t>RIO KIDS</t>
        </is>
      </c>
      <c r="C2" s="6" t="inlineStr">
        <is>
          <t>RIO</t>
        </is>
      </c>
      <c r="D2" s="6" t="inlineStr">
        <is>
          <t>KIDS</t>
        </is>
      </c>
      <c r="E2" s="6" t="inlineStr">
        <is>
          <t>Azul Marino</t>
        </is>
      </c>
      <c r="F2" s="6" t="n">
        <v>361</v>
      </c>
      <c r="G2" s="6">
        <f>IF(AND(C2="MAR",D2="KIDS"),IFERROR(INDEX(PARAMETROS!$B$27:$B$38,MATCH(E2,PARAMETROS!$A$27:$A$38,0)),0),0)</f>
        <v/>
      </c>
      <c r="H2" s="6">
        <f>MAX(0,F2-G2)</f>
        <v/>
      </c>
      <c r="I2" s="7">
        <f>IF(D2="KIDS",PARAMETROS!$B$3,PARAMETROS!$B$4)</f>
        <v/>
      </c>
      <c r="J2" s="6">
        <f>ROUND(H2*I2,0)</f>
        <v/>
      </c>
      <c r="K2" s="6" t="n">
        <v>0.32</v>
      </c>
      <c r="L2" s="6">
        <f>IFERROR(INDEX(PARAMETROS!$B$9:$B$22,MATCH(E2,PARAMETROS!$A$9:$A$22,0)),IFERROR(INDEX(PARAMETROS!$B$9:$B$22,MATCH("Morado",PARAMETROS!$A$9:$A$22,0)),0))</f>
        <v/>
      </c>
      <c r="M2" s="6" t="n">
        <v>0</v>
      </c>
      <c r="N2" s="6">
        <f>MAX(0,L2-M2)</f>
        <v/>
      </c>
      <c r="O2" s="6">
        <f>IF(N2&lt;5.0,0,FLOOR(N2/K2,1))</f>
        <v/>
      </c>
      <c r="P2" s="6">
        <f>MIN(J2,O2)</f>
        <v/>
      </c>
      <c r="Q2" s="6">
        <f>P2*K2</f>
        <v/>
      </c>
      <c r="R2" s="6">
        <f>IF(P2=0,"SIN TELA",IF(P2&lt;J2,"PARCIAL","OK"))</f>
        <v/>
      </c>
    </row>
    <row r="3">
      <c r="A3" s="6" t="n">
        <v>1</v>
      </c>
      <c r="B3" s="6" t="inlineStr">
        <is>
          <t>RIO KIDS</t>
        </is>
      </c>
      <c r="C3" s="6" t="inlineStr">
        <is>
          <t>RIO</t>
        </is>
      </c>
      <c r="D3" s="6" t="inlineStr">
        <is>
          <t>KIDS</t>
        </is>
      </c>
      <c r="E3" s="6" t="inlineStr">
        <is>
          <t>Azul Lavanda</t>
        </is>
      </c>
      <c r="F3" s="6" t="n">
        <v>351</v>
      </c>
      <c r="G3" s="6">
        <f>IF(AND(C3="MAR",D3="KIDS"),IFERROR(INDEX(PARAMETROS!$B$27:$B$38,MATCH(E3,PARAMETROS!$A$27:$A$38,0)),0),0)</f>
        <v/>
      </c>
      <c r="H3" s="6">
        <f>MAX(0,F3-G3)</f>
        <v/>
      </c>
      <c r="I3" s="7">
        <f>IF(D3="KIDS",PARAMETROS!$B$3,PARAMETROS!$B$4)</f>
        <v/>
      </c>
      <c r="J3" s="6">
        <f>ROUND(H3*I3,0)</f>
        <v/>
      </c>
      <c r="K3" s="6" t="n">
        <v>0.32</v>
      </c>
      <c r="L3" s="6">
        <f>IFERROR(INDEX(PARAMETROS!$B$9:$B$22,MATCH(E3,PARAMETROS!$A$9:$A$22,0)),IFERROR(INDEX(PARAMETROS!$B$9:$B$22,MATCH("Morado",PARAMETROS!$A$9:$A$22,0)),0))</f>
        <v/>
      </c>
      <c r="M3" s="6">
        <f>SUMIFS($Q$2:Q2,$E$2:$E2,E3)</f>
        <v/>
      </c>
      <c r="N3" s="6">
        <f>MAX(0,L3-M3)</f>
        <v/>
      </c>
      <c r="O3" s="6">
        <f>IF(N3&lt;5.0,0,FLOOR(N3/K3,1))</f>
        <v/>
      </c>
      <c r="P3" s="6">
        <f>MIN(J3,O3)</f>
        <v/>
      </c>
      <c r="Q3" s="6">
        <f>P3*K3</f>
        <v/>
      </c>
      <c r="R3" s="6">
        <f>IF(P3=0,"SIN TELA",IF(P3&lt;J3,"PARCIAL","OK"))</f>
        <v/>
      </c>
    </row>
    <row r="4">
      <c r="A4" s="6" t="n">
        <v>1</v>
      </c>
      <c r="B4" s="6" t="inlineStr">
        <is>
          <t>RIO KIDS</t>
        </is>
      </c>
      <c r="C4" s="6" t="inlineStr">
        <is>
          <t>RIO</t>
        </is>
      </c>
      <c r="D4" s="6" t="inlineStr">
        <is>
          <t>KIDS</t>
        </is>
      </c>
      <c r="E4" s="6" t="inlineStr">
        <is>
          <t>Negro</t>
        </is>
      </c>
      <c r="F4" s="6" t="n">
        <v>317</v>
      </c>
      <c r="G4" s="6">
        <f>IF(AND(C4="MAR",D4="KIDS"),IFERROR(INDEX(PARAMETROS!$B$27:$B$38,MATCH(E4,PARAMETROS!$A$27:$A$38,0)),0),0)</f>
        <v/>
      </c>
      <c r="H4" s="6">
        <f>MAX(0,F4-G4)</f>
        <v/>
      </c>
      <c r="I4" s="7">
        <f>IF(D4="KIDS",PARAMETROS!$B$3,PARAMETROS!$B$4)</f>
        <v/>
      </c>
      <c r="J4" s="6">
        <f>ROUND(H4*I4,0)</f>
        <v/>
      </c>
      <c r="K4" s="6" t="n">
        <v>0.32</v>
      </c>
      <c r="L4" s="6">
        <f>IFERROR(INDEX(PARAMETROS!$B$9:$B$22,MATCH(E4,PARAMETROS!$A$9:$A$22,0)),IFERROR(INDEX(PARAMETROS!$B$9:$B$22,MATCH("Morado",PARAMETROS!$A$9:$A$22,0)),0))</f>
        <v/>
      </c>
      <c r="M4" s="6">
        <f>SUMIFS($Q$2:Q3,$E$2:$E3,E4)</f>
        <v/>
      </c>
      <c r="N4" s="6">
        <f>MAX(0,L4-M4)</f>
        <v/>
      </c>
      <c r="O4" s="6">
        <f>IF(N4&lt;5.0,0,FLOOR(N4/K4,1))</f>
        <v/>
      </c>
      <c r="P4" s="6">
        <f>MIN(J4,O4)</f>
        <v/>
      </c>
      <c r="Q4" s="6">
        <f>P4*K4</f>
        <v/>
      </c>
      <c r="R4" s="6">
        <f>IF(P4=0,"SIN TELA",IF(P4&lt;J4,"PARCIAL","OK"))</f>
        <v/>
      </c>
    </row>
    <row r="5">
      <c r="A5" s="6" t="n">
        <v>1</v>
      </c>
      <c r="B5" s="6" t="inlineStr">
        <is>
          <t>RIO KIDS</t>
        </is>
      </c>
      <c r="C5" s="6" t="inlineStr">
        <is>
          <t>RIO</t>
        </is>
      </c>
      <c r="D5" s="6" t="inlineStr">
        <is>
          <t>KIDS</t>
        </is>
      </c>
      <c r="E5" s="6" t="inlineStr">
        <is>
          <t>Lila</t>
        </is>
      </c>
      <c r="F5" s="6" t="n">
        <v>294</v>
      </c>
      <c r="G5" s="6">
        <f>IF(AND(C5="MAR",D5="KIDS"),IFERROR(INDEX(PARAMETROS!$B$27:$B$38,MATCH(E5,PARAMETROS!$A$27:$A$38,0)),0),0)</f>
        <v/>
      </c>
      <c r="H5" s="6">
        <f>MAX(0,F5-G5)</f>
        <v/>
      </c>
      <c r="I5" s="7">
        <f>IF(D5="KIDS",PARAMETROS!$B$3,PARAMETROS!$B$4)</f>
        <v/>
      </c>
      <c r="J5" s="6">
        <f>ROUND(H5*I5,0)</f>
        <v/>
      </c>
      <c r="K5" s="6" t="n">
        <v>0.32</v>
      </c>
      <c r="L5" s="6">
        <f>IFERROR(INDEX(PARAMETROS!$B$9:$B$22,MATCH(E5,PARAMETROS!$A$9:$A$22,0)),IFERROR(INDEX(PARAMETROS!$B$9:$B$22,MATCH("Morado",PARAMETROS!$A$9:$A$22,0)),0))</f>
        <v/>
      </c>
      <c r="M5" s="6">
        <f>SUMIFS($Q$2:Q4,$E$2:$E4,E5)</f>
        <v/>
      </c>
      <c r="N5" s="6">
        <f>MAX(0,L5-M5)</f>
        <v/>
      </c>
      <c r="O5" s="6">
        <f>IF(N5&lt;5.0,0,FLOOR(N5/K5,1))</f>
        <v/>
      </c>
      <c r="P5" s="6">
        <f>MIN(J5,O5)</f>
        <v/>
      </c>
      <c r="Q5" s="6">
        <f>P5*K5</f>
        <v/>
      </c>
      <c r="R5" s="6">
        <f>IF(P5=0,"SIN TELA",IF(P5&lt;J5,"PARCIAL","OK"))</f>
        <v/>
      </c>
    </row>
    <row r="6">
      <c r="A6" s="6" t="n">
        <v>1</v>
      </c>
      <c r="B6" s="6" t="inlineStr">
        <is>
          <t>RIO KIDS</t>
        </is>
      </c>
      <c r="C6" s="6" t="inlineStr">
        <is>
          <t>RIO</t>
        </is>
      </c>
      <c r="D6" s="6" t="inlineStr">
        <is>
          <t>KIDS</t>
        </is>
      </c>
      <c r="E6" s="6" t="inlineStr">
        <is>
          <t>Azul Rey</t>
        </is>
      </c>
      <c r="F6" s="6" t="n">
        <v>284</v>
      </c>
      <c r="G6" s="6">
        <f>IF(AND(C6="MAR",D6="KIDS"),IFERROR(INDEX(PARAMETROS!$B$27:$B$38,MATCH(E6,PARAMETROS!$A$27:$A$38,0)),0),0)</f>
        <v/>
      </c>
      <c r="H6" s="6">
        <f>MAX(0,F6-G6)</f>
        <v/>
      </c>
      <c r="I6" s="7">
        <f>IF(D6="KIDS",PARAMETROS!$B$3,PARAMETROS!$B$4)</f>
        <v/>
      </c>
      <c r="J6" s="6">
        <f>ROUND(H6*I6,0)</f>
        <v/>
      </c>
      <c r="K6" s="6" t="n">
        <v>0.32</v>
      </c>
      <c r="L6" s="6">
        <f>IFERROR(INDEX(PARAMETROS!$B$9:$B$22,MATCH(E6,PARAMETROS!$A$9:$A$22,0)),IFERROR(INDEX(PARAMETROS!$B$9:$B$22,MATCH("Morado",PARAMETROS!$A$9:$A$22,0)),0))</f>
        <v/>
      </c>
      <c r="M6" s="6">
        <f>SUMIFS($Q$2:Q5,$E$2:$E5,E6)</f>
        <v/>
      </c>
      <c r="N6" s="6">
        <f>MAX(0,L6-M6)</f>
        <v/>
      </c>
      <c r="O6" s="6">
        <f>IF(N6&lt;5.0,0,FLOOR(N6/K6,1))</f>
        <v/>
      </c>
      <c r="P6" s="6">
        <f>MIN(J6,O6)</f>
        <v/>
      </c>
      <c r="Q6" s="6">
        <f>P6*K6</f>
        <v/>
      </c>
      <c r="R6" s="6">
        <f>IF(P6=0,"SIN TELA",IF(P6&lt;J6,"PARCIAL","OK"))</f>
        <v/>
      </c>
    </row>
    <row r="7">
      <c r="A7" s="6" t="n">
        <v>1</v>
      </c>
      <c r="B7" s="6" t="inlineStr">
        <is>
          <t>RIO KIDS</t>
        </is>
      </c>
      <c r="C7" s="6" t="inlineStr">
        <is>
          <t>RIO</t>
        </is>
      </c>
      <c r="D7" s="6" t="inlineStr">
        <is>
          <t>KIDS</t>
        </is>
      </c>
      <c r="E7" s="6" t="inlineStr">
        <is>
          <t>Rojo</t>
        </is>
      </c>
      <c r="F7" s="6" t="n">
        <v>260</v>
      </c>
      <c r="G7" s="6">
        <f>IF(AND(C7="MAR",D7="KIDS"),IFERROR(INDEX(PARAMETROS!$B$27:$B$38,MATCH(E7,PARAMETROS!$A$27:$A$38,0)),0),0)</f>
        <v/>
      </c>
      <c r="H7" s="6">
        <f>MAX(0,F7-G7)</f>
        <v/>
      </c>
      <c r="I7" s="7">
        <f>IF(D7="KIDS",PARAMETROS!$B$3,PARAMETROS!$B$4)</f>
        <v/>
      </c>
      <c r="J7" s="6">
        <f>ROUND(H7*I7,0)</f>
        <v/>
      </c>
      <c r="K7" s="6" t="n">
        <v>0.32</v>
      </c>
      <c r="L7" s="6">
        <f>IFERROR(INDEX(PARAMETROS!$B$9:$B$22,MATCH(E7,PARAMETROS!$A$9:$A$22,0)),IFERROR(INDEX(PARAMETROS!$B$9:$B$22,MATCH("Morado",PARAMETROS!$A$9:$A$22,0)),0))</f>
        <v/>
      </c>
      <c r="M7" s="6">
        <f>SUMIFS($Q$2:Q6,$E$2:$E6,E7)</f>
        <v/>
      </c>
      <c r="N7" s="6">
        <f>MAX(0,L7-M7)</f>
        <v/>
      </c>
      <c r="O7" s="6">
        <f>IF(N7&lt;5.0,0,FLOOR(N7/K7,1))</f>
        <v/>
      </c>
      <c r="P7" s="6">
        <f>MIN(J7,O7)</f>
        <v/>
      </c>
      <c r="Q7" s="6">
        <f>P7*K7</f>
        <v/>
      </c>
      <c r="R7" s="6">
        <f>IF(P7=0,"SIN TELA",IF(P7&lt;J7,"PARCIAL","OK"))</f>
        <v/>
      </c>
    </row>
    <row r="8">
      <c r="A8" s="6" t="n">
        <v>1</v>
      </c>
      <c r="B8" s="6" t="inlineStr">
        <is>
          <t>RIO KIDS</t>
        </is>
      </c>
      <c r="C8" s="6" t="inlineStr">
        <is>
          <t>RIO</t>
        </is>
      </c>
      <c r="D8" s="6" t="inlineStr">
        <is>
          <t>KIDS</t>
        </is>
      </c>
      <c r="E8" s="6" t="inlineStr">
        <is>
          <t>Blanco</t>
        </is>
      </c>
      <c r="F8" s="6" t="n">
        <v>224</v>
      </c>
      <c r="G8" s="6">
        <f>IF(AND(C8="MAR",D8="KIDS"),IFERROR(INDEX(PARAMETROS!$B$27:$B$38,MATCH(E8,PARAMETROS!$A$27:$A$38,0)),0),0)</f>
        <v/>
      </c>
      <c r="H8" s="6">
        <f>MAX(0,F8-G8)</f>
        <v/>
      </c>
      <c r="I8" s="7">
        <f>IF(D8="KIDS",PARAMETROS!$B$3,PARAMETROS!$B$4)</f>
        <v/>
      </c>
      <c r="J8" s="6">
        <f>ROUND(H8*I8,0)</f>
        <v/>
      </c>
      <c r="K8" s="6" t="n">
        <v>0.32</v>
      </c>
      <c r="L8" s="6">
        <f>IFERROR(INDEX(PARAMETROS!$B$9:$B$22,MATCH(E8,PARAMETROS!$A$9:$A$22,0)),IFERROR(INDEX(PARAMETROS!$B$9:$B$22,MATCH("Morado",PARAMETROS!$A$9:$A$22,0)),0))</f>
        <v/>
      </c>
      <c r="M8" s="6">
        <f>SUMIFS($Q$2:Q7,$E$2:$E7,E8)</f>
        <v/>
      </c>
      <c r="N8" s="6">
        <f>MAX(0,L8-M8)</f>
        <v/>
      </c>
      <c r="O8" s="6">
        <f>IF(N8&lt;5.0,0,FLOOR(N8/K8,1))</f>
        <v/>
      </c>
      <c r="P8" s="6">
        <f>MIN(J8,O8)</f>
        <v/>
      </c>
      <c r="Q8" s="6">
        <f>P8*K8</f>
        <v/>
      </c>
      <c r="R8" s="6">
        <f>IF(P8=0,"SIN TELA",IF(P8&lt;J8,"PARCIAL","OK"))</f>
        <v/>
      </c>
    </row>
    <row r="9">
      <c r="A9" s="6" t="n">
        <v>1</v>
      </c>
      <c r="B9" s="6" t="inlineStr">
        <is>
          <t>RIO KIDS</t>
        </is>
      </c>
      <c r="C9" s="6" t="inlineStr">
        <is>
          <t>RIO</t>
        </is>
      </c>
      <c r="D9" s="6" t="inlineStr">
        <is>
          <t>KIDS</t>
        </is>
      </c>
      <c r="E9" s="6" t="inlineStr">
        <is>
          <t>Púrpura</t>
        </is>
      </c>
      <c r="F9" s="6" t="n">
        <v>212</v>
      </c>
      <c r="G9" s="6">
        <f>IF(AND(C9="MAR",D9="KIDS"),IFERROR(INDEX(PARAMETROS!$B$27:$B$38,MATCH(E9,PARAMETROS!$A$27:$A$38,0)),0),0)</f>
        <v/>
      </c>
      <c r="H9" s="6">
        <f>MAX(0,F9-G9)</f>
        <v/>
      </c>
      <c r="I9" s="7">
        <f>IF(D9="KIDS",PARAMETROS!$B$3,PARAMETROS!$B$4)</f>
        <v/>
      </c>
      <c r="J9" s="6">
        <f>ROUND(H9*I9,0)</f>
        <v/>
      </c>
      <c r="K9" s="6" t="n">
        <v>0.32</v>
      </c>
      <c r="L9" s="6">
        <f>IFERROR(INDEX(PARAMETROS!$B$9:$B$22,MATCH(E9,PARAMETROS!$A$9:$A$22,0)),IFERROR(INDEX(PARAMETROS!$B$9:$B$22,MATCH("Morado",PARAMETROS!$A$9:$A$22,0)),0))</f>
        <v/>
      </c>
      <c r="M9" s="6">
        <f>SUMIFS($Q$2:Q8,$E$2:$E8,E9)</f>
        <v/>
      </c>
      <c r="N9" s="6">
        <f>MAX(0,L9-M9)</f>
        <v/>
      </c>
      <c r="O9" s="6">
        <f>IF(N9&lt;5.0,0,FLOOR(N9/K9,1))</f>
        <v/>
      </c>
      <c r="P9" s="6">
        <f>MIN(J9,O9)</f>
        <v/>
      </c>
      <c r="Q9" s="6">
        <f>P9*K9</f>
        <v/>
      </c>
      <c r="R9" s="6">
        <f>IF(P9=0,"SIN TELA",IF(P9&lt;J9,"PARCIAL","OK"))</f>
        <v/>
      </c>
    </row>
    <row r="10">
      <c r="A10" s="6" t="n">
        <v>1</v>
      </c>
      <c r="B10" s="6" t="inlineStr">
        <is>
          <t>RIO KIDS</t>
        </is>
      </c>
      <c r="C10" s="6" t="inlineStr">
        <is>
          <t>RIO</t>
        </is>
      </c>
      <c r="D10" s="6" t="inlineStr">
        <is>
          <t>KIDS</t>
        </is>
      </c>
      <c r="E10" s="6" t="inlineStr">
        <is>
          <t>Aguamarina</t>
        </is>
      </c>
      <c r="F10" s="6" t="n">
        <v>215</v>
      </c>
      <c r="G10" s="6">
        <f>IF(AND(C10="MAR",D10="KIDS"),IFERROR(INDEX(PARAMETROS!$B$27:$B$38,MATCH(E10,PARAMETROS!$A$27:$A$38,0)),0),0)</f>
        <v/>
      </c>
      <c r="H10" s="6">
        <f>MAX(0,F10-G10)</f>
        <v/>
      </c>
      <c r="I10" s="7">
        <f>IF(D10="KIDS",PARAMETROS!$B$3,PARAMETROS!$B$4)</f>
        <v/>
      </c>
      <c r="J10" s="6">
        <f>ROUND(H10*I10,0)</f>
        <v/>
      </c>
      <c r="K10" s="6" t="n">
        <v>0.32</v>
      </c>
      <c r="L10" s="6">
        <f>IFERROR(INDEX(PARAMETROS!$B$9:$B$22,MATCH(E10,PARAMETROS!$A$9:$A$22,0)),IFERROR(INDEX(PARAMETROS!$B$9:$B$22,MATCH("Morado",PARAMETROS!$A$9:$A$22,0)),0))</f>
        <v/>
      </c>
      <c r="M10" s="6">
        <f>SUMIFS($Q$2:Q9,$E$2:$E9,E10)</f>
        <v/>
      </c>
      <c r="N10" s="6">
        <f>MAX(0,L10-M10)</f>
        <v/>
      </c>
      <c r="O10" s="6">
        <f>IF(N10&lt;5.0,0,FLOOR(N10/K10,1))</f>
        <v/>
      </c>
      <c r="P10" s="6">
        <f>MIN(J10,O10)</f>
        <v/>
      </c>
      <c r="Q10" s="6">
        <f>P10*K10</f>
        <v/>
      </c>
      <c r="R10" s="6">
        <f>IF(P10=0,"SIN TELA",IF(P10&lt;J10,"PARCIAL","OK"))</f>
        <v/>
      </c>
    </row>
    <row r="11">
      <c r="A11" s="6" t="n">
        <v>1</v>
      </c>
      <c r="B11" s="6" t="inlineStr">
        <is>
          <t>RIO KIDS</t>
        </is>
      </c>
      <c r="C11" s="6" t="inlineStr">
        <is>
          <t>RIO</t>
        </is>
      </c>
      <c r="D11" s="6" t="inlineStr">
        <is>
          <t>KIDS</t>
        </is>
      </c>
      <c r="E11" s="6" t="inlineStr">
        <is>
          <t>Verde Militar</t>
        </is>
      </c>
      <c r="F11" s="6" t="n">
        <v>162</v>
      </c>
      <c r="G11" s="6">
        <f>IF(AND(C11="MAR",D11="KIDS"),IFERROR(INDEX(PARAMETROS!$B$27:$B$38,MATCH(E11,PARAMETROS!$A$27:$A$38,0)),0),0)</f>
        <v/>
      </c>
      <c r="H11" s="6">
        <f>MAX(0,F11-G11)</f>
        <v/>
      </c>
      <c r="I11" s="7">
        <f>IF(D11="KIDS",PARAMETROS!$B$3,PARAMETROS!$B$4)</f>
        <v/>
      </c>
      <c r="J11" s="6">
        <f>ROUND(H11*I11,0)</f>
        <v/>
      </c>
      <c r="K11" s="6" t="n">
        <v>0.32</v>
      </c>
      <c r="L11" s="6">
        <f>IFERROR(INDEX(PARAMETROS!$B$9:$B$22,MATCH(E11,PARAMETROS!$A$9:$A$22,0)),IFERROR(INDEX(PARAMETROS!$B$9:$B$22,MATCH("Morado",PARAMETROS!$A$9:$A$22,0)),0))</f>
        <v/>
      </c>
      <c r="M11" s="6">
        <f>SUMIFS($Q$2:Q10,$E$2:$E10,E11)</f>
        <v/>
      </c>
      <c r="N11" s="6">
        <f>MAX(0,L11-M11)</f>
        <v/>
      </c>
      <c r="O11" s="6">
        <f>IF(N11&lt;5.0,0,FLOOR(N11/K11,1))</f>
        <v/>
      </c>
      <c r="P11" s="6">
        <f>MIN(J11,O11)</f>
        <v/>
      </c>
      <c r="Q11" s="6">
        <f>P11*K11</f>
        <v/>
      </c>
      <c r="R11" s="6">
        <f>IF(P11=0,"SIN TELA",IF(P11&lt;J11,"PARCIAL","OK"))</f>
        <v/>
      </c>
    </row>
    <row r="12">
      <c r="A12" s="6" t="n">
        <v>1</v>
      </c>
      <c r="B12" s="6" t="inlineStr">
        <is>
          <t>RIO KIDS</t>
        </is>
      </c>
      <c r="C12" s="6" t="inlineStr">
        <is>
          <t>RIO</t>
        </is>
      </c>
      <c r="D12" s="6" t="inlineStr">
        <is>
          <t>KIDS</t>
        </is>
      </c>
      <c r="E12" s="6" t="inlineStr">
        <is>
          <t>Rosado Pastel</t>
        </is>
      </c>
      <c r="F12" s="6" t="n">
        <v>142</v>
      </c>
      <c r="G12" s="6">
        <f>IF(AND(C12="MAR",D12="KIDS"),IFERROR(INDEX(PARAMETROS!$B$27:$B$38,MATCH(E12,PARAMETROS!$A$27:$A$38,0)),0),0)</f>
        <v/>
      </c>
      <c r="H12" s="6">
        <f>MAX(0,F12-G12)</f>
        <v/>
      </c>
      <c r="I12" s="7">
        <f>IF(D12="KIDS",PARAMETROS!$B$3,PARAMETROS!$B$4)</f>
        <v/>
      </c>
      <c r="J12" s="6">
        <f>ROUND(H12*I12,0)</f>
        <v/>
      </c>
      <c r="K12" s="6" t="n">
        <v>0.32</v>
      </c>
      <c r="L12" s="6">
        <f>IFERROR(INDEX(PARAMETROS!$B$9:$B$22,MATCH(E12,PARAMETROS!$A$9:$A$22,0)),IFERROR(INDEX(PARAMETROS!$B$9:$B$22,MATCH("Morado",PARAMETROS!$A$9:$A$22,0)),0))</f>
        <v/>
      </c>
      <c r="M12" s="6">
        <f>SUMIFS($Q$2:Q11,$E$2:$E11,E12)</f>
        <v/>
      </c>
      <c r="N12" s="6">
        <f>MAX(0,L12-M12)</f>
        <v/>
      </c>
      <c r="O12" s="6">
        <f>IF(N12&lt;5.0,0,FLOOR(N12/K12,1))</f>
        <v/>
      </c>
      <c r="P12" s="6">
        <f>MIN(J12,O12)</f>
        <v/>
      </c>
      <c r="Q12" s="6">
        <f>P12*K12</f>
        <v/>
      </c>
      <c r="R12" s="6">
        <f>IF(P12=0,"SIN TELA",IF(P12&lt;J12,"PARCIAL","OK"))</f>
        <v/>
      </c>
    </row>
    <row r="13">
      <c r="A13" s="6" t="n">
        <v>1</v>
      </c>
      <c r="B13" s="6" t="inlineStr">
        <is>
          <t>RIO KIDS</t>
        </is>
      </c>
      <c r="C13" s="6" t="inlineStr">
        <is>
          <t>RIO</t>
        </is>
      </c>
      <c r="D13" s="6" t="inlineStr">
        <is>
          <t>KIDS</t>
        </is>
      </c>
      <c r="E13" s="6" t="inlineStr">
        <is>
          <t>Amarillo Neón</t>
        </is>
      </c>
      <c r="F13" s="6" t="n">
        <v>130</v>
      </c>
      <c r="G13" s="6">
        <f>IF(AND(C13="MAR",D13="KIDS"),IFERROR(INDEX(PARAMETROS!$B$27:$B$38,MATCH(E13,PARAMETROS!$A$27:$A$38,0)),0),0)</f>
        <v/>
      </c>
      <c r="H13" s="6">
        <f>MAX(0,F13-G13)</f>
        <v/>
      </c>
      <c r="I13" s="7">
        <f>IF(D13="KIDS",PARAMETROS!$B$3,PARAMETROS!$B$4)</f>
        <v/>
      </c>
      <c r="J13" s="6">
        <f>ROUND(H13*I13,0)</f>
        <v/>
      </c>
      <c r="K13" s="6" t="n">
        <v>0.32</v>
      </c>
      <c r="L13" s="6">
        <f>IFERROR(INDEX(PARAMETROS!$B$9:$B$22,MATCH(E13,PARAMETROS!$A$9:$A$22,0)),IFERROR(INDEX(PARAMETROS!$B$9:$B$22,MATCH("Morado",PARAMETROS!$A$9:$A$22,0)),0))</f>
        <v/>
      </c>
      <c r="M13" s="6">
        <f>SUMIFS($Q$2:Q12,$E$2:$E12,E13)</f>
        <v/>
      </c>
      <c r="N13" s="6">
        <f>MAX(0,L13-M13)</f>
        <v/>
      </c>
      <c r="O13" s="6">
        <f>IF(N13&lt;5.0,0,FLOOR(N13/K13,1))</f>
        <v/>
      </c>
      <c r="P13" s="6">
        <f>MIN(J13,O13)</f>
        <v/>
      </c>
      <c r="Q13" s="6">
        <f>P13*K13</f>
        <v/>
      </c>
      <c r="R13" s="6">
        <f>IF(P13=0,"SIN TELA",IF(P13&lt;J13,"PARCIAL","OK"))</f>
        <v/>
      </c>
    </row>
    <row r="14">
      <c r="A14" s="6" t="n">
        <v>2</v>
      </c>
      <c r="B14" s="6" t="inlineStr">
        <is>
          <t>MAR KIDS</t>
        </is>
      </c>
      <c r="C14" s="6" t="inlineStr">
        <is>
          <t>MAR</t>
        </is>
      </c>
      <c r="D14" s="6" t="inlineStr">
        <is>
          <t>KIDS</t>
        </is>
      </c>
      <c r="E14" s="6" t="inlineStr">
        <is>
          <t>Blanco</t>
        </is>
      </c>
      <c r="F14" s="6" t="n">
        <v>460</v>
      </c>
      <c r="G14" s="6">
        <f>IF(AND(C14="MAR",D14="KIDS"),IFERROR(INDEX(PARAMETROS!$B$27:$B$38,MATCH(E14,PARAMETROS!$A$27:$A$38,0)),0),0)</f>
        <v/>
      </c>
      <c r="H14" s="6">
        <f>MAX(0,F14-G14)</f>
        <v/>
      </c>
      <c r="I14" s="7">
        <f>IF(D14="KIDS",PARAMETROS!$B$3,PARAMETROS!$B$4)</f>
        <v/>
      </c>
      <c r="J14" s="6">
        <f>ROUND(H14*I14,0)</f>
        <v/>
      </c>
      <c r="K14" s="6" t="n">
        <v>0.26</v>
      </c>
      <c r="L14" s="6">
        <f>IFERROR(INDEX(PARAMETROS!$B$9:$B$22,MATCH(E14,PARAMETROS!$A$9:$A$22,0)),IFERROR(INDEX(PARAMETROS!$B$9:$B$22,MATCH("Morado",PARAMETROS!$A$9:$A$22,0)),0))</f>
        <v/>
      </c>
      <c r="M14" s="6">
        <f>SUMIFS($Q$2:Q13,$E$2:$E13,E14)</f>
        <v/>
      </c>
      <c r="N14" s="6">
        <f>MAX(0,L14-M14)</f>
        <v/>
      </c>
      <c r="O14" s="6">
        <f>IF(N14&lt;5.0,0,FLOOR(N14/K14,1))</f>
        <v/>
      </c>
      <c r="P14" s="6">
        <f>MIN(J14,O14)</f>
        <v/>
      </c>
      <c r="Q14" s="6">
        <f>P14*K14</f>
        <v/>
      </c>
      <c r="R14" s="6">
        <f>IF(P14=0,"SIN TELA",IF(P14&lt;J14,"PARCIAL","OK"))</f>
        <v/>
      </c>
    </row>
    <row r="15">
      <c r="A15" s="6" t="n">
        <v>2</v>
      </c>
      <c r="B15" s="6" t="inlineStr">
        <is>
          <t>MAR KIDS</t>
        </is>
      </c>
      <c r="C15" s="6" t="inlineStr">
        <is>
          <t>MAR</t>
        </is>
      </c>
      <c r="D15" s="6" t="inlineStr">
        <is>
          <t>KIDS</t>
        </is>
      </c>
      <c r="E15" s="6" t="inlineStr">
        <is>
          <t>Azul Marino</t>
        </is>
      </c>
      <c r="F15" s="6" t="n">
        <v>409</v>
      </c>
      <c r="G15" s="6">
        <f>IF(AND(C15="MAR",D15="KIDS"),IFERROR(INDEX(PARAMETROS!$B$27:$B$38,MATCH(E15,PARAMETROS!$A$27:$A$38,0)),0),0)</f>
        <v/>
      </c>
      <c r="H15" s="6">
        <f>MAX(0,F15-G15)</f>
        <v/>
      </c>
      <c r="I15" s="7">
        <f>IF(D15="KIDS",PARAMETROS!$B$3,PARAMETROS!$B$4)</f>
        <v/>
      </c>
      <c r="J15" s="6">
        <f>ROUND(H15*I15,0)</f>
        <v/>
      </c>
      <c r="K15" s="6" t="n">
        <v>0.26</v>
      </c>
      <c r="L15" s="6">
        <f>IFERROR(INDEX(PARAMETROS!$B$9:$B$22,MATCH(E15,PARAMETROS!$A$9:$A$22,0)),IFERROR(INDEX(PARAMETROS!$B$9:$B$22,MATCH("Morado",PARAMETROS!$A$9:$A$22,0)),0))</f>
        <v/>
      </c>
      <c r="M15" s="6">
        <f>SUMIFS($Q$2:Q14,$E$2:$E14,E15)</f>
        <v/>
      </c>
      <c r="N15" s="6">
        <f>MAX(0,L15-M15)</f>
        <v/>
      </c>
      <c r="O15" s="6">
        <f>IF(N15&lt;5.0,0,FLOOR(N15/K15,1))</f>
        <v/>
      </c>
      <c r="P15" s="6">
        <f>MIN(J15,O15)</f>
        <v/>
      </c>
      <c r="Q15" s="6">
        <f>P15*K15</f>
        <v/>
      </c>
      <c r="R15" s="6">
        <f>IF(P15=0,"SIN TELA",IF(P15&lt;J15,"PARCIAL","OK"))</f>
        <v/>
      </c>
    </row>
    <row r="16">
      <c r="A16" s="6" t="n">
        <v>2</v>
      </c>
      <c r="B16" s="6" t="inlineStr">
        <is>
          <t>MAR KIDS</t>
        </is>
      </c>
      <c r="C16" s="6" t="inlineStr">
        <is>
          <t>MAR</t>
        </is>
      </c>
      <c r="D16" s="6" t="inlineStr">
        <is>
          <t>KIDS</t>
        </is>
      </c>
      <c r="E16" s="6" t="inlineStr">
        <is>
          <t>Negro</t>
        </is>
      </c>
      <c r="F16" s="6" t="n">
        <v>379</v>
      </c>
      <c r="G16" s="6">
        <f>IF(AND(C16="MAR",D16="KIDS"),IFERROR(INDEX(PARAMETROS!$B$27:$B$38,MATCH(E16,PARAMETROS!$A$27:$A$38,0)),0),0)</f>
        <v/>
      </c>
      <c r="H16" s="6">
        <f>MAX(0,F16-G16)</f>
        <v/>
      </c>
      <c r="I16" s="7">
        <f>IF(D16="KIDS",PARAMETROS!$B$3,PARAMETROS!$B$4)</f>
        <v/>
      </c>
      <c r="J16" s="6">
        <f>ROUND(H16*I16,0)</f>
        <v/>
      </c>
      <c r="K16" s="6" t="n">
        <v>0.26</v>
      </c>
      <c r="L16" s="6">
        <f>IFERROR(INDEX(PARAMETROS!$B$9:$B$22,MATCH(E16,PARAMETROS!$A$9:$A$22,0)),IFERROR(INDEX(PARAMETROS!$B$9:$B$22,MATCH("Morado",PARAMETROS!$A$9:$A$22,0)),0))</f>
        <v/>
      </c>
      <c r="M16" s="6">
        <f>SUMIFS($Q$2:Q15,$E$2:$E15,E16)</f>
        <v/>
      </c>
      <c r="N16" s="6">
        <f>MAX(0,L16-M16)</f>
        <v/>
      </c>
      <c r="O16" s="6">
        <f>IF(N16&lt;5.0,0,FLOOR(N16/K16,1))</f>
        <v/>
      </c>
      <c r="P16" s="6">
        <f>MIN(J16,O16)</f>
        <v/>
      </c>
      <c r="Q16" s="6">
        <f>P16*K16</f>
        <v/>
      </c>
      <c r="R16" s="6">
        <f>IF(P16=0,"SIN TELA",IF(P16&lt;J16,"PARCIAL","OK"))</f>
        <v/>
      </c>
    </row>
    <row r="17">
      <c r="A17" s="6" t="n">
        <v>2</v>
      </c>
      <c r="B17" s="6" t="inlineStr">
        <is>
          <t>MAR KIDS</t>
        </is>
      </c>
      <c r="C17" s="6" t="inlineStr">
        <is>
          <t>MAR</t>
        </is>
      </c>
      <c r="D17" s="6" t="inlineStr">
        <is>
          <t>KIDS</t>
        </is>
      </c>
      <c r="E17" s="6" t="inlineStr">
        <is>
          <t>Lila</t>
        </is>
      </c>
      <c r="F17" s="6" t="n">
        <v>254</v>
      </c>
      <c r="G17" s="6">
        <f>IF(AND(C17="MAR",D17="KIDS"),IFERROR(INDEX(PARAMETROS!$B$27:$B$38,MATCH(E17,PARAMETROS!$A$27:$A$38,0)),0),0)</f>
        <v/>
      </c>
      <c r="H17" s="6">
        <f>MAX(0,F17-G17)</f>
        <v/>
      </c>
      <c r="I17" s="7">
        <f>IF(D17="KIDS",PARAMETROS!$B$3,PARAMETROS!$B$4)</f>
        <v/>
      </c>
      <c r="J17" s="6">
        <f>ROUND(H17*I17,0)</f>
        <v/>
      </c>
      <c r="K17" s="6" t="n">
        <v>0.26</v>
      </c>
      <c r="L17" s="6">
        <f>IFERROR(INDEX(PARAMETROS!$B$9:$B$22,MATCH(E17,PARAMETROS!$A$9:$A$22,0)),IFERROR(INDEX(PARAMETROS!$B$9:$B$22,MATCH("Morado",PARAMETROS!$A$9:$A$22,0)),0))</f>
        <v/>
      </c>
      <c r="M17" s="6">
        <f>SUMIFS($Q$2:Q16,$E$2:$E16,E17)</f>
        <v/>
      </c>
      <c r="N17" s="6">
        <f>MAX(0,L17-M17)</f>
        <v/>
      </c>
      <c r="O17" s="6">
        <f>IF(N17&lt;5.0,0,FLOOR(N17/K17,1))</f>
        <v/>
      </c>
      <c r="P17" s="6">
        <f>MIN(J17,O17)</f>
        <v/>
      </c>
      <c r="Q17" s="6">
        <f>P17*K17</f>
        <v/>
      </c>
      <c r="R17" s="6">
        <f>IF(P17=0,"SIN TELA",IF(P17&lt;J17,"PARCIAL","OK"))</f>
        <v/>
      </c>
    </row>
    <row r="18">
      <c r="A18" s="6" t="n">
        <v>2</v>
      </c>
      <c r="B18" s="6" t="inlineStr">
        <is>
          <t>MAR KIDS</t>
        </is>
      </c>
      <c r="C18" s="6" t="inlineStr">
        <is>
          <t>MAR</t>
        </is>
      </c>
      <c r="D18" s="6" t="inlineStr">
        <is>
          <t>KIDS</t>
        </is>
      </c>
      <c r="E18" s="6" t="inlineStr">
        <is>
          <t>Aguamarina</t>
        </is>
      </c>
      <c r="F18" s="6" t="n">
        <v>243</v>
      </c>
      <c r="G18" s="6">
        <f>IF(AND(C18="MAR",D18="KIDS"),IFERROR(INDEX(PARAMETROS!$B$27:$B$38,MATCH(E18,PARAMETROS!$A$27:$A$38,0)),0),0)</f>
        <v/>
      </c>
      <c r="H18" s="6">
        <f>MAX(0,F18-G18)</f>
        <v/>
      </c>
      <c r="I18" s="7">
        <f>IF(D18="KIDS",PARAMETROS!$B$3,PARAMETROS!$B$4)</f>
        <v/>
      </c>
      <c r="J18" s="6">
        <f>ROUND(H18*I18,0)</f>
        <v/>
      </c>
      <c r="K18" s="6" t="n">
        <v>0.26</v>
      </c>
      <c r="L18" s="6">
        <f>IFERROR(INDEX(PARAMETROS!$B$9:$B$22,MATCH(E18,PARAMETROS!$A$9:$A$22,0)),IFERROR(INDEX(PARAMETROS!$B$9:$B$22,MATCH("Morado",PARAMETROS!$A$9:$A$22,0)),0))</f>
        <v/>
      </c>
      <c r="M18" s="6">
        <f>SUMIFS($Q$2:Q17,$E$2:$E17,E18)</f>
        <v/>
      </c>
      <c r="N18" s="6">
        <f>MAX(0,L18-M18)</f>
        <v/>
      </c>
      <c r="O18" s="6">
        <f>IF(N18&lt;5.0,0,FLOOR(N18/K18,1))</f>
        <v/>
      </c>
      <c r="P18" s="6">
        <f>MIN(J18,O18)</f>
        <v/>
      </c>
      <c r="Q18" s="6">
        <f>P18*K18</f>
        <v/>
      </c>
      <c r="R18" s="6">
        <f>IF(P18=0,"SIN TELA",IF(P18&lt;J18,"PARCIAL","OK"))</f>
        <v/>
      </c>
    </row>
    <row r="19">
      <c r="A19" s="6" t="n">
        <v>2</v>
      </c>
      <c r="B19" s="6" t="inlineStr">
        <is>
          <t>MAR KIDS</t>
        </is>
      </c>
      <c r="C19" s="6" t="inlineStr">
        <is>
          <t>MAR</t>
        </is>
      </c>
      <c r="D19" s="6" t="inlineStr">
        <is>
          <t>KIDS</t>
        </is>
      </c>
      <c r="E19" s="6" t="inlineStr">
        <is>
          <t>Rojo</t>
        </is>
      </c>
      <c r="F19" s="6" t="n">
        <v>239</v>
      </c>
      <c r="G19" s="6">
        <f>IF(AND(C19="MAR",D19="KIDS"),IFERROR(INDEX(PARAMETROS!$B$27:$B$38,MATCH(E19,PARAMETROS!$A$27:$A$38,0)),0),0)</f>
        <v/>
      </c>
      <c r="H19" s="6">
        <f>MAX(0,F19-G19)</f>
        <v/>
      </c>
      <c r="I19" s="7">
        <f>IF(D19="KIDS",PARAMETROS!$B$3,PARAMETROS!$B$4)</f>
        <v/>
      </c>
      <c r="J19" s="6">
        <f>ROUND(H19*I19,0)</f>
        <v/>
      </c>
      <c r="K19" s="6" t="n">
        <v>0.26</v>
      </c>
      <c r="L19" s="6">
        <f>IFERROR(INDEX(PARAMETROS!$B$9:$B$22,MATCH(E19,PARAMETROS!$A$9:$A$22,0)),IFERROR(INDEX(PARAMETROS!$B$9:$B$22,MATCH("Morado",PARAMETROS!$A$9:$A$22,0)),0))</f>
        <v/>
      </c>
      <c r="M19" s="6">
        <f>SUMIFS($Q$2:Q18,$E$2:$E18,E19)</f>
        <v/>
      </c>
      <c r="N19" s="6">
        <f>MAX(0,L19-M19)</f>
        <v/>
      </c>
      <c r="O19" s="6">
        <f>IF(N19&lt;5.0,0,FLOOR(N19/K19,1))</f>
        <v/>
      </c>
      <c r="P19" s="6">
        <f>MIN(J19,O19)</f>
        <v/>
      </c>
      <c r="Q19" s="6">
        <f>P19*K19</f>
        <v/>
      </c>
      <c r="R19" s="6">
        <f>IF(P19=0,"SIN TELA",IF(P19&lt;J19,"PARCIAL","OK"))</f>
        <v/>
      </c>
    </row>
    <row r="20">
      <c r="A20" s="6" t="n">
        <v>2</v>
      </c>
      <c r="B20" s="6" t="inlineStr">
        <is>
          <t>MAR KIDS</t>
        </is>
      </c>
      <c r="C20" s="6" t="inlineStr">
        <is>
          <t>MAR</t>
        </is>
      </c>
      <c r="D20" s="6" t="inlineStr">
        <is>
          <t>KIDS</t>
        </is>
      </c>
      <c r="E20" s="6" t="inlineStr">
        <is>
          <t>Azul Rey</t>
        </is>
      </c>
      <c r="F20" s="6" t="n">
        <v>232</v>
      </c>
      <c r="G20" s="6">
        <f>IF(AND(C20="MAR",D20="KIDS"),IFERROR(INDEX(PARAMETROS!$B$27:$B$38,MATCH(E20,PARAMETROS!$A$27:$A$38,0)),0),0)</f>
        <v/>
      </c>
      <c r="H20" s="6">
        <f>MAX(0,F20-G20)</f>
        <v/>
      </c>
      <c r="I20" s="7">
        <f>IF(D20="KIDS",PARAMETROS!$B$3,PARAMETROS!$B$4)</f>
        <v/>
      </c>
      <c r="J20" s="6">
        <f>ROUND(H20*I20,0)</f>
        <v/>
      </c>
      <c r="K20" s="6" t="n">
        <v>0.26</v>
      </c>
      <c r="L20" s="6">
        <f>IFERROR(INDEX(PARAMETROS!$B$9:$B$22,MATCH(E20,PARAMETROS!$A$9:$A$22,0)),IFERROR(INDEX(PARAMETROS!$B$9:$B$22,MATCH("Morado",PARAMETROS!$A$9:$A$22,0)),0))</f>
        <v/>
      </c>
      <c r="M20" s="6">
        <f>SUMIFS($Q$2:Q19,$E$2:$E19,E20)</f>
        <v/>
      </c>
      <c r="N20" s="6">
        <f>MAX(0,L20-M20)</f>
        <v/>
      </c>
      <c r="O20" s="6">
        <f>IF(N20&lt;5.0,0,FLOOR(N20/K20,1))</f>
        <v/>
      </c>
      <c r="P20" s="6">
        <f>MIN(J20,O20)</f>
        <v/>
      </c>
      <c r="Q20" s="6">
        <f>P20*K20</f>
        <v/>
      </c>
      <c r="R20" s="6">
        <f>IF(P20=0,"SIN TELA",IF(P20&lt;J20,"PARCIAL","OK"))</f>
        <v/>
      </c>
    </row>
    <row r="21">
      <c r="A21" s="6" t="n">
        <v>2</v>
      </c>
      <c r="B21" s="6" t="inlineStr">
        <is>
          <t>MAR KIDS</t>
        </is>
      </c>
      <c r="C21" s="6" t="inlineStr">
        <is>
          <t>MAR</t>
        </is>
      </c>
      <c r="D21" s="6" t="inlineStr">
        <is>
          <t>KIDS</t>
        </is>
      </c>
      <c r="E21" s="6" t="inlineStr">
        <is>
          <t>Verde Militar</t>
        </is>
      </c>
      <c r="F21" s="6" t="n">
        <v>224</v>
      </c>
      <c r="G21" s="6">
        <f>IF(AND(C21="MAR",D21="KIDS"),IFERROR(INDEX(PARAMETROS!$B$27:$B$38,MATCH(E21,PARAMETROS!$A$27:$A$38,0)),0),0)</f>
        <v/>
      </c>
      <c r="H21" s="6">
        <f>MAX(0,F21-G21)</f>
        <v/>
      </c>
      <c r="I21" s="7">
        <f>IF(D21="KIDS",PARAMETROS!$B$3,PARAMETROS!$B$4)</f>
        <v/>
      </c>
      <c r="J21" s="6">
        <f>ROUND(H21*I21,0)</f>
        <v/>
      </c>
      <c r="K21" s="6" t="n">
        <v>0.26</v>
      </c>
      <c r="L21" s="6">
        <f>IFERROR(INDEX(PARAMETROS!$B$9:$B$22,MATCH(E21,PARAMETROS!$A$9:$A$22,0)),IFERROR(INDEX(PARAMETROS!$B$9:$B$22,MATCH("Morado",PARAMETROS!$A$9:$A$22,0)),0))</f>
        <v/>
      </c>
      <c r="M21" s="6">
        <f>SUMIFS($Q$2:Q20,$E$2:$E20,E21)</f>
        <v/>
      </c>
      <c r="N21" s="6">
        <f>MAX(0,L21-M21)</f>
        <v/>
      </c>
      <c r="O21" s="6">
        <f>IF(N21&lt;5.0,0,FLOOR(N21/K21,1))</f>
        <v/>
      </c>
      <c r="P21" s="6">
        <f>MIN(J21,O21)</f>
        <v/>
      </c>
      <c r="Q21" s="6">
        <f>P21*K21</f>
        <v/>
      </c>
      <c r="R21" s="6">
        <f>IF(P21=0,"SIN TELA",IF(P21&lt;J21,"PARCIAL","OK"))</f>
        <v/>
      </c>
    </row>
    <row r="22">
      <c r="A22" s="6" t="n">
        <v>2</v>
      </c>
      <c r="B22" s="6" t="inlineStr">
        <is>
          <t>MAR KIDS</t>
        </is>
      </c>
      <c r="C22" s="6" t="inlineStr">
        <is>
          <t>MAR</t>
        </is>
      </c>
      <c r="D22" s="6" t="inlineStr">
        <is>
          <t>KIDS</t>
        </is>
      </c>
      <c r="E22" s="6" t="inlineStr">
        <is>
          <t>Rosado Pastel</t>
        </is>
      </c>
      <c r="F22" s="6" t="n">
        <v>214</v>
      </c>
      <c r="G22" s="6">
        <f>IF(AND(C22="MAR",D22="KIDS"),IFERROR(INDEX(PARAMETROS!$B$27:$B$38,MATCH(E22,PARAMETROS!$A$27:$A$38,0)),0),0)</f>
        <v/>
      </c>
      <c r="H22" s="6">
        <f>MAX(0,F22-G22)</f>
        <v/>
      </c>
      <c r="I22" s="7">
        <f>IF(D22="KIDS",PARAMETROS!$B$3,PARAMETROS!$B$4)</f>
        <v/>
      </c>
      <c r="J22" s="6">
        <f>ROUND(H22*I22,0)</f>
        <v/>
      </c>
      <c r="K22" s="6" t="n">
        <v>0.26</v>
      </c>
      <c r="L22" s="6">
        <f>IFERROR(INDEX(PARAMETROS!$B$9:$B$22,MATCH(E22,PARAMETROS!$A$9:$A$22,0)),IFERROR(INDEX(PARAMETROS!$B$9:$B$22,MATCH("Morado",PARAMETROS!$A$9:$A$22,0)),0))</f>
        <v/>
      </c>
      <c r="M22" s="6">
        <f>SUMIFS($Q$2:Q21,$E$2:$E21,E22)</f>
        <v/>
      </c>
      <c r="N22" s="6">
        <f>MAX(0,L22-M22)</f>
        <v/>
      </c>
      <c r="O22" s="6">
        <f>IF(N22&lt;5.0,0,FLOOR(N22/K22,1))</f>
        <v/>
      </c>
      <c r="P22" s="6">
        <f>MIN(J22,O22)</f>
        <v/>
      </c>
      <c r="Q22" s="6">
        <f>P22*K22</f>
        <v/>
      </c>
      <c r="R22" s="6">
        <f>IF(P22=0,"SIN TELA",IF(P22&lt;J22,"PARCIAL","OK"))</f>
        <v/>
      </c>
    </row>
    <row r="23">
      <c r="A23" s="6" t="n">
        <v>2</v>
      </c>
      <c r="B23" s="6" t="inlineStr">
        <is>
          <t>MAR KIDS</t>
        </is>
      </c>
      <c r="C23" s="6" t="inlineStr">
        <is>
          <t>MAR</t>
        </is>
      </c>
      <c r="D23" s="6" t="inlineStr">
        <is>
          <t>KIDS</t>
        </is>
      </c>
      <c r="E23" s="6" t="inlineStr">
        <is>
          <t>Púrpura</t>
        </is>
      </c>
      <c r="F23" s="6" t="n">
        <v>180</v>
      </c>
      <c r="G23" s="6">
        <f>IF(AND(C23="MAR",D23="KIDS"),IFERROR(INDEX(PARAMETROS!$B$27:$B$38,MATCH(E23,PARAMETROS!$A$27:$A$38,0)),0),0)</f>
        <v/>
      </c>
      <c r="H23" s="6">
        <f>MAX(0,F23-G23)</f>
        <v/>
      </c>
      <c r="I23" s="7">
        <f>IF(D23="KIDS",PARAMETROS!$B$3,PARAMETROS!$B$4)</f>
        <v/>
      </c>
      <c r="J23" s="6">
        <f>ROUND(H23*I23,0)</f>
        <v/>
      </c>
      <c r="K23" s="6" t="n">
        <v>0.26</v>
      </c>
      <c r="L23" s="6">
        <f>IFERROR(INDEX(PARAMETROS!$B$9:$B$22,MATCH(E23,PARAMETROS!$A$9:$A$22,0)),IFERROR(INDEX(PARAMETROS!$B$9:$B$22,MATCH("Morado",PARAMETROS!$A$9:$A$22,0)),0))</f>
        <v/>
      </c>
      <c r="M23" s="6">
        <f>SUMIFS($Q$2:Q22,$E$2:$E22,E23)</f>
        <v/>
      </c>
      <c r="N23" s="6">
        <f>MAX(0,L23-M23)</f>
        <v/>
      </c>
      <c r="O23" s="6">
        <f>IF(N23&lt;5.0,0,FLOOR(N23/K23,1))</f>
        <v/>
      </c>
      <c r="P23" s="6">
        <f>MIN(J23,O23)</f>
        <v/>
      </c>
      <c r="Q23" s="6">
        <f>P23*K23</f>
        <v/>
      </c>
      <c r="R23" s="6">
        <f>IF(P23=0,"SIN TELA",IF(P23&lt;J23,"PARCIAL","OK"))</f>
        <v/>
      </c>
    </row>
    <row r="24">
      <c r="A24" s="6" t="n">
        <v>2</v>
      </c>
      <c r="B24" s="6" t="inlineStr">
        <is>
          <t>MAR KIDS</t>
        </is>
      </c>
      <c r="C24" s="6" t="inlineStr">
        <is>
          <t>MAR</t>
        </is>
      </c>
      <c r="D24" s="6" t="inlineStr">
        <is>
          <t>KIDS</t>
        </is>
      </c>
      <c r="E24" s="6" t="inlineStr">
        <is>
          <t>Azul Lavanda</t>
        </is>
      </c>
      <c r="F24" s="6" t="n">
        <v>153</v>
      </c>
      <c r="G24" s="6">
        <f>IF(AND(C24="MAR",D24="KIDS"),IFERROR(INDEX(PARAMETROS!$B$27:$B$38,MATCH(E24,PARAMETROS!$A$27:$A$38,0)),0),0)</f>
        <v/>
      </c>
      <c r="H24" s="6">
        <f>MAX(0,F24-G24)</f>
        <v/>
      </c>
      <c r="I24" s="7">
        <f>IF(D24="KIDS",PARAMETROS!$B$3,PARAMETROS!$B$4)</f>
        <v/>
      </c>
      <c r="J24" s="6">
        <f>ROUND(H24*I24,0)</f>
        <v/>
      </c>
      <c r="K24" s="6" t="n">
        <v>0.26</v>
      </c>
      <c r="L24" s="6">
        <f>IFERROR(INDEX(PARAMETROS!$B$9:$B$22,MATCH(E24,PARAMETROS!$A$9:$A$22,0)),IFERROR(INDEX(PARAMETROS!$B$9:$B$22,MATCH("Morado",PARAMETROS!$A$9:$A$22,0)),0))</f>
        <v/>
      </c>
      <c r="M24" s="6">
        <f>SUMIFS($Q$2:Q23,$E$2:$E23,E24)</f>
        <v/>
      </c>
      <c r="N24" s="6">
        <f>MAX(0,L24-M24)</f>
        <v/>
      </c>
      <c r="O24" s="6">
        <f>IF(N24&lt;5.0,0,FLOOR(N24/K24,1))</f>
        <v/>
      </c>
      <c r="P24" s="6">
        <f>MIN(J24,O24)</f>
        <v/>
      </c>
      <c r="Q24" s="6">
        <f>P24*K24</f>
        <v/>
      </c>
      <c r="R24" s="6">
        <f>IF(P24=0,"SIN TELA",IF(P24&lt;J24,"PARCIAL","OK"))</f>
        <v/>
      </c>
    </row>
    <row r="25">
      <c r="A25" s="6" t="n">
        <v>2</v>
      </c>
      <c r="B25" s="6" t="inlineStr">
        <is>
          <t>MAR KIDS</t>
        </is>
      </c>
      <c r="C25" s="6" t="inlineStr">
        <is>
          <t>MAR</t>
        </is>
      </c>
      <c r="D25" s="6" t="inlineStr">
        <is>
          <t>KIDS</t>
        </is>
      </c>
      <c r="E25" s="6" t="inlineStr">
        <is>
          <t>Amarillo Neón</t>
        </is>
      </c>
      <c r="F25" s="6" t="n">
        <v>114</v>
      </c>
      <c r="G25" s="6">
        <f>IF(AND(C25="MAR",D25="KIDS"),IFERROR(INDEX(PARAMETROS!$B$27:$B$38,MATCH(E25,PARAMETROS!$A$27:$A$38,0)),0),0)</f>
        <v/>
      </c>
      <c r="H25" s="6">
        <f>MAX(0,F25-G25)</f>
        <v/>
      </c>
      <c r="I25" s="7">
        <f>IF(D25="KIDS",PARAMETROS!$B$3,PARAMETROS!$B$4)</f>
        <v/>
      </c>
      <c r="J25" s="6">
        <f>ROUND(H25*I25,0)</f>
        <v/>
      </c>
      <c r="K25" s="6" t="n">
        <v>0.26</v>
      </c>
      <c r="L25" s="6">
        <f>IFERROR(INDEX(PARAMETROS!$B$9:$B$22,MATCH(E25,PARAMETROS!$A$9:$A$22,0)),IFERROR(INDEX(PARAMETROS!$B$9:$B$22,MATCH("Morado",PARAMETROS!$A$9:$A$22,0)),0))</f>
        <v/>
      </c>
      <c r="M25" s="6">
        <f>SUMIFS($Q$2:Q24,$E$2:$E24,E25)</f>
        <v/>
      </c>
      <c r="N25" s="6">
        <f>MAX(0,L25-M25)</f>
        <v/>
      </c>
      <c r="O25" s="6">
        <f>IF(N25&lt;5.0,0,FLOOR(N25/K25,1))</f>
        <v/>
      </c>
      <c r="P25" s="6">
        <f>MIN(J25,O25)</f>
        <v/>
      </c>
      <c r="Q25" s="6">
        <f>P25*K25</f>
        <v/>
      </c>
      <c r="R25" s="6">
        <f>IF(P25=0,"SIN TELA",IF(P25&lt;J25,"PARCIAL","OK"))</f>
        <v/>
      </c>
    </row>
    <row r="26">
      <c r="A26" t="n">
        <v>3</v>
      </c>
      <c r="B26" t="inlineStr">
        <is>
          <t>MAR CAB</t>
        </is>
      </c>
      <c r="C26" t="inlineStr">
        <is>
          <t>MAR</t>
        </is>
      </c>
      <c r="D26" t="inlineStr">
        <is>
          <t>CAB</t>
        </is>
      </c>
      <c r="E26" t="inlineStr">
        <is>
          <t>Negro</t>
        </is>
      </c>
      <c r="F26" t="n">
        <v>555</v>
      </c>
      <c r="G26">
        <f>IF(AND(C26="MAR",D26="KIDS"),IFERROR(INDEX(PARAMETROS!$B$27:$B$38,MATCH(E26,PARAMETROS!$A$27:$A$38,0)),0),0)</f>
        <v/>
      </c>
      <c r="H26">
        <f>MAX(0,F26-G26)</f>
        <v/>
      </c>
      <c r="I26" s="8">
        <f>IF(D26="KIDS",PARAMETROS!$B$3,PARAMETROS!$B$4)</f>
        <v/>
      </c>
      <c r="J26">
        <f>ROUND(H26*I26,0)</f>
        <v/>
      </c>
      <c r="K26" t="n">
        <v>0.5</v>
      </c>
      <c r="L26">
        <f>IFERROR(INDEX(PARAMETROS!$B$9:$B$22,MATCH(E26,PARAMETROS!$A$9:$A$22,0)),IFERROR(INDEX(PARAMETROS!$B$9:$B$22,MATCH("Morado",PARAMETROS!$A$9:$A$22,0)),0))</f>
        <v/>
      </c>
      <c r="M26">
        <f>SUMIFS($Q$2:Q25,$E$2:$E25,E26)</f>
        <v/>
      </c>
      <c r="N26">
        <f>MAX(0,L26-M26)</f>
        <v/>
      </c>
      <c r="O26">
        <f>IF(N26&lt;5.0,0,FLOOR(N26/K26,1))</f>
        <v/>
      </c>
      <c r="P26">
        <f>MIN(J26,O26)</f>
        <v/>
      </c>
      <c r="Q26">
        <f>P26*K26</f>
        <v/>
      </c>
      <c r="R26">
        <f>IF(P26=0,"SIN TELA",IF(P26&lt;J26,"PARCIAL","OK"))</f>
        <v/>
      </c>
    </row>
    <row r="27">
      <c r="A27" t="n">
        <v>3</v>
      </c>
      <c r="B27" t="inlineStr">
        <is>
          <t>MAR CAB</t>
        </is>
      </c>
      <c r="C27" t="inlineStr">
        <is>
          <t>MAR</t>
        </is>
      </c>
      <c r="D27" t="inlineStr">
        <is>
          <t>CAB</t>
        </is>
      </c>
      <c r="E27" t="inlineStr">
        <is>
          <t>Azul Marino</t>
        </is>
      </c>
      <c r="F27" t="n">
        <v>473</v>
      </c>
      <c r="G27">
        <f>IF(AND(C27="MAR",D27="KIDS"),IFERROR(INDEX(PARAMETROS!$B$27:$B$38,MATCH(E27,PARAMETROS!$A$27:$A$38,0)),0),0)</f>
        <v/>
      </c>
      <c r="H27">
        <f>MAX(0,F27-G27)</f>
        <v/>
      </c>
      <c r="I27" s="8">
        <f>IF(D27="KIDS",PARAMETROS!$B$3,PARAMETROS!$B$4)</f>
        <v/>
      </c>
      <c r="J27">
        <f>ROUND(H27*I27,0)</f>
        <v/>
      </c>
      <c r="K27" t="n">
        <v>0.5</v>
      </c>
      <c r="L27">
        <f>IFERROR(INDEX(PARAMETROS!$B$9:$B$22,MATCH(E27,PARAMETROS!$A$9:$A$22,0)),IFERROR(INDEX(PARAMETROS!$B$9:$B$22,MATCH("Morado",PARAMETROS!$A$9:$A$22,0)),0))</f>
        <v/>
      </c>
      <c r="M27">
        <f>SUMIFS($Q$2:Q26,$E$2:$E26,E27)</f>
        <v/>
      </c>
      <c r="N27">
        <f>MAX(0,L27-M27)</f>
        <v/>
      </c>
      <c r="O27">
        <f>IF(N27&lt;5.0,0,FLOOR(N27/K27,1))</f>
        <v/>
      </c>
      <c r="P27">
        <f>MIN(J27,O27)</f>
        <v/>
      </c>
      <c r="Q27">
        <f>P27*K27</f>
        <v/>
      </c>
      <c r="R27">
        <f>IF(P27=0,"SIN TELA",IF(P27&lt;J27,"PARCIAL","OK"))</f>
        <v/>
      </c>
    </row>
    <row r="28">
      <c r="A28" t="n">
        <v>3</v>
      </c>
      <c r="B28" t="inlineStr">
        <is>
          <t>MAR CAB</t>
        </is>
      </c>
      <c r="C28" t="inlineStr">
        <is>
          <t>MAR</t>
        </is>
      </c>
      <c r="D28" t="inlineStr">
        <is>
          <t>CAB</t>
        </is>
      </c>
      <c r="E28" t="inlineStr">
        <is>
          <t>Blanco</t>
        </is>
      </c>
      <c r="F28" t="n">
        <v>390</v>
      </c>
      <c r="G28">
        <f>IF(AND(C28="MAR",D28="KIDS"),IFERROR(INDEX(PARAMETROS!$B$27:$B$38,MATCH(E28,PARAMETROS!$A$27:$A$38,0)),0),0)</f>
        <v/>
      </c>
      <c r="H28">
        <f>MAX(0,F28-G28)</f>
        <v/>
      </c>
      <c r="I28" s="8">
        <f>IF(D28="KIDS",PARAMETROS!$B$3,PARAMETROS!$B$4)</f>
        <v/>
      </c>
      <c r="J28">
        <f>ROUND(H28*I28,0)</f>
        <v/>
      </c>
      <c r="K28" t="n">
        <v>0.5</v>
      </c>
      <c r="L28">
        <f>IFERROR(INDEX(PARAMETROS!$B$9:$B$22,MATCH(E28,PARAMETROS!$A$9:$A$22,0)),IFERROR(INDEX(PARAMETROS!$B$9:$B$22,MATCH("Morado",PARAMETROS!$A$9:$A$22,0)),0))</f>
        <v/>
      </c>
      <c r="M28">
        <f>SUMIFS($Q$2:Q27,$E$2:$E27,E28)</f>
        <v/>
      </c>
      <c r="N28">
        <f>MAX(0,L28-M28)</f>
        <v/>
      </c>
      <c r="O28">
        <f>IF(N28&lt;5.0,0,FLOOR(N28/K28,1))</f>
        <v/>
      </c>
      <c r="P28">
        <f>MIN(J28,O28)</f>
        <v/>
      </c>
      <c r="Q28">
        <f>P28*K28</f>
        <v/>
      </c>
      <c r="R28">
        <f>IF(P28=0,"SIN TELA",IF(P28&lt;J28,"PARCIAL","OK"))</f>
        <v/>
      </c>
    </row>
    <row r="29">
      <c r="A29" t="n">
        <v>3</v>
      </c>
      <c r="B29" t="inlineStr">
        <is>
          <t>MAR CAB</t>
        </is>
      </c>
      <c r="C29" t="inlineStr">
        <is>
          <t>MAR</t>
        </is>
      </c>
      <c r="D29" t="inlineStr">
        <is>
          <t>CAB</t>
        </is>
      </c>
      <c r="E29" t="inlineStr">
        <is>
          <t>Verde Militar</t>
        </is>
      </c>
      <c r="F29" t="n">
        <v>355</v>
      </c>
      <c r="G29">
        <f>IF(AND(C29="MAR",D29="KIDS"),IFERROR(INDEX(PARAMETROS!$B$27:$B$38,MATCH(E29,PARAMETROS!$A$27:$A$38,0)),0),0)</f>
        <v/>
      </c>
      <c r="H29">
        <f>MAX(0,F29-G29)</f>
        <v/>
      </c>
      <c r="I29" s="8">
        <f>IF(D29="KIDS",PARAMETROS!$B$3,PARAMETROS!$B$4)</f>
        <v/>
      </c>
      <c r="J29">
        <f>ROUND(H29*I29,0)</f>
        <v/>
      </c>
      <c r="K29" t="n">
        <v>0.5</v>
      </c>
      <c r="L29">
        <f>IFERROR(INDEX(PARAMETROS!$B$9:$B$22,MATCH(E29,PARAMETROS!$A$9:$A$22,0)),IFERROR(INDEX(PARAMETROS!$B$9:$B$22,MATCH("Morado",PARAMETROS!$A$9:$A$22,0)),0))</f>
        <v/>
      </c>
      <c r="M29">
        <f>SUMIFS($Q$2:Q28,$E$2:$E28,E29)</f>
        <v/>
      </c>
      <c r="N29">
        <f>MAX(0,L29-M29)</f>
        <v/>
      </c>
      <c r="O29">
        <f>IF(N29&lt;5.0,0,FLOOR(N29/K29,1))</f>
        <v/>
      </c>
      <c r="P29">
        <f>MIN(J29,O29)</f>
        <v/>
      </c>
      <c r="Q29">
        <f>P29*K29</f>
        <v/>
      </c>
      <c r="R29">
        <f>IF(P29=0,"SIN TELA",IF(P29&lt;J29,"PARCIAL","OK"))</f>
        <v/>
      </c>
    </row>
    <row r="30">
      <c r="A30" t="n">
        <v>3</v>
      </c>
      <c r="B30" t="inlineStr">
        <is>
          <t>MAR CAB</t>
        </is>
      </c>
      <c r="C30" t="inlineStr">
        <is>
          <t>MAR</t>
        </is>
      </c>
      <c r="D30" t="inlineStr">
        <is>
          <t>CAB</t>
        </is>
      </c>
      <c r="E30" t="inlineStr">
        <is>
          <t>Azul Lavanda</t>
        </is>
      </c>
      <c r="F30" t="n">
        <v>268</v>
      </c>
      <c r="G30">
        <f>IF(AND(C30="MAR",D30="KIDS"),IFERROR(INDEX(PARAMETROS!$B$27:$B$38,MATCH(E30,PARAMETROS!$A$27:$A$38,0)),0),0)</f>
        <v/>
      </c>
      <c r="H30">
        <f>MAX(0,F30-G30)</f>
        <v/>
      </c>
      <c r="I30" s="8">
        <f>IF(D30="KIDS",PARAMETROS!$B$3,PARAMETROS!$B$4)</f>
        <v/>
      </c>
      <c r="J30">
        <f>ROUND(H30*I30,0)</f>
        <v/>
      </c>
      <c r="K30" t="n">
        <v>0.5</v>
      </c>
      <c r="L30">
        <f>IFERROR(INDEX(PARAMETROS!$B$9:$B$22,MATCH(E30,PARAMETROS!$A$9:$A$22,0)),IFERROR(INDEX(PARAMETROS!$B$9:$B$22,MATCH("Morado",PARAMETROS!$A$9:$A$22,0)),0))</f>
        <v/>
      </c>
      <c r="M30">
        <f>SUMIFS($Q$2:Q29,$E$2:$E29,E30)</f>
        <v/>
      </c>
      <c r="N30">
        <f>MAX(0,L30-M30)</f>
        <v/>
      </c>
      <c r="O30">
        <f>IF(N30&lt;5.0,0,FLOOR(N30/K30,1))</f>
        <v/>
      </c>
      <c r="P30">
        <f>MIN(J30,O30)</f>
        <v/>
      </c>
      <c r="Q30">
        <f>P30*K30</f>
        <v/>
      </c>
      <c r="R30">
        <f>IF(P30=0,"SIN TELA",IF(P30&lt;J30,"PARCIAL","OK"))</f>
        <v/>
      </c>
    </row>
    <row r="31">
      <c r="A31" t="n">
        <v>3</v>
      </c>
      <c r="B31" t="inlineStr">
        <is>
          <t>MAR CAB</t>
        </is>
      </c>
      <c r="C31" t="inlineStr">
        <is>
          <t>MAR</t>
        </is>
      </c>
      <c r="D31" t="inlineStr">
        <is>
          <t>CAB</t>
        </is>
      </c>
      <c r="E31" t="inlineStr">
        <is>
          <t>Azul Rey</t>
        </is>
      </c>
      <c r="F31" t="n">
        <v>205</v>
      </c>
      <c r="G31">
        <f>IF(AND(C31="MAR",D31="KIDS"),IFERROR(INDEX(PARAMETROS!$B$27:$B$38,MATCH(E31,PARAMETROS!$A$27:$A$38,0)),0),0)</f>
        <v/>
      </c>
      <c r="H31">
        <f>MAX(0,F31-G31)</f>
        <v/>
      </c>
      <c r="I31" s="8">
        <f>IF(D31="KIDS",PARAMETROS!$B$3,PARAMETROS!$B$4)</f>
        <v/>
      </c>
      <c r="J31">
        <f>ROUND(H31*I31,0)</f>
        <v/>
      </c>
      <c r="K31" t="n">
        <v>0.5</v>
      </c>
      <c r="L31">
        <f>IFERROR(INDEX(PARAMETROS!$B$9:$B$22,MATCH(E31,PARAMETROS!$A$9:$A$22,0)),IFERROR(INDEX(PARAMETROS!$B$9:$B$22,MATCH("Morado",PARAMETROS!$A$9:$A$22,0)),0))</f>
        <v/>
      </c>
      <c r="M31">
        <f>SUMIFS($Q$2:Q30,$E$2:$E30,E31)</f>
        <v/>
      </c>
      <c r="N31">
        <f>MAX(0,L31-M31)</f>
        <v/>
      </c>
      <c r="O31">
        <f>IF(N31&lt;5.0,0,FLOOR(N31/K31,1))</f>
        <v/>
      </c>
      <c r="P31">
        <f>MIN(J31,O31)</f>
        <v/>
      </c>
      <c r="Q31">
        <f>P31*K31</f>
        <v/>
      </c>
      <c r="R31">
        <f>IF(P31=0,"SIN TELA",IF(P31&lt;J31,"PARCIAL","OK"))</f>
        <v/>
      </c>
    </row>
    <row r="32">
      <c r="A32" t="n">
        <v>3</v>
      </c>
      <c r="B32" t="inlineStr">
        <is>
          <t>MAR CAB</t>
        </is>
      </c>
      <c r="C32" t="inlineStr">
        <is>
          <t>MAR</t>
        </is>
      </c>
      <c r="D32" t="inlineStr">
        <is>
          <t>CAB</t>
        </is>
      </c>
      <c r="E32" t="inlineStr">
        <is>
          <t>Gris Claro</t>
        </is>
      </c>
      <c r="F32" t="n">
        <v>190</v>
      </c>
      <c r="G32">
        <f>IF(AND(C32="MAR",D32="KIDS"),IFERROR(INDEX(PARAMETROS!$B$27:$B$38,MATCH(E32,PARAMETROS!$A$27:$A$38,0)),0),0)</f>
        <v/>
      </c>
      <c r="H32">
        <f>MAX(0,F32-G32)</f>
        <v/>
      </c>
      <c r="I32" s="8">
        <f>IF(D32="KIDS",PARAMETROS!$B$3,PARAMETROS!$B$4)</f>
        <v/>
      </c>
      <c r="J32">
        <f>ROUND(H32*I32,0)</f>
        <v/>
      </c>
      <c r="K32" t="n">
        <v>0.5</v>
      </c>
      <c r="L32">
        <f>IFERROR(INDEX(PARAMETROS!$B$9:$B$22,MATCH(E32,PARAMETROS!$A$9:$A$22,0)),IFERROR(INDEX(PARAMETROS!$B$9:$B$22,MATCH("Morado",PARAMETROS!$A$9:$A$22,0)),0))</f>
        <v/>
      </c>
      <c r="M32">
        <f>SUMIFS($Q$2:Q31,$E$2:$E31,E32)</f>
        <v/>
      </c>
      <c r="N32">
        <f>MAX(0,L32-M32)</f>
        <v/>
      </c>
      <c r="O32">
        <f>IF(N32&lt;5.0,0,FLOOR(N32/K32,1))</f>
        <v/>
      </c>
      <c r="P32">
        <f>MIN(J32,O32)</f>
        <v/>
      </c>
      <c r="Q32">
        <f>P32*K32</f>
        <v/>
      </c>
      <c r="R32">
        <f>IF(P32=0,"SIN TELA",IF(P32&lt;J32,"PARCIAL","OK"))</f>
        <v/>
      </c>
    </row>
    <row r="33">
      <c r="A33" t="n">
        <v>3</v>
      </c>
      <c r="B33" t="inlineStr">
        <is>
          <t>MAR CAB</t>
        </is>
      </c>
      <c r="C33" t="inlineStr">
        <is>
          <t>MAR</t>
        </is>
      </c>
      <c r="D33" t="inlineStr">
        <is>
          <t>CAB</t>
        </is>
      </c>
      <c r="E33" t="inlineStr">
        <is>
          <t>Aguamarina</t>
        </is>
      </c>
      <c r="F33" t="n">
        <v>151</v>
      </c>
      <c r="G33">
        <f>IF(AND(C33="MAR",D33="KIDS"),IFERROR(INDEX(PARAMETROS!$B$27:$B$38,MATCH(E33,PARAMETROS!$A$27:$A$38,0)),0),0)</f>
        <v/>
      </c>
      <c r="H33">
        <f>MAX(0,F33-G33)</f>
        <v/>
      </c>
      <c r="I33" s="8">
        <f>IF(D33="KIDS",PARAMETROS!$B$3,PARAMETROS!$B$4)</f>
        <v/>
      </c>
      <c r="J33">
        <f>ROUND(H33*I33,0)</f>
        <v/>
      </c>
      <c r="K33" t="n">
        <v>0.5</v>
      </c>
      <c r="L33">
        <f>IFERROR(INDEX(PARAMETROS!$B$9:$B$22,MATCH(E33,PARAMETROS!$A$9:$A$22,0)),IFERROR(INDEX(PARAMETROS!$B$9:$B$22,MATCH("Morado",PARAMETROS!$A$9:$A$22,0)),0))</f>
        <v/>
      </c>
      <c r="M33">
        <f>SUMIFS($Q$2:Q32,$E$2:$E32,E33)</f>
        <v/>
      </c>
      <c r="N33">
        <f>MAX(0,L33-M33)</f>
        <v/>
      </c>
      <c r="O33">
        <f>IF(N33&lt;5.0,0,FLOOR(N33/K33,1))</f>
        <v/>
      </c>
      <c r="P33">
        <f>MIN(J33,O33)</f>
        <v/>
      </c>
      <c r="Q33">
        <f>P33*K33</f>
        <v/>
      </c>
      <c r="R33">
        <f>IF(P33=0,"SIN TELA",IF(P33&lt;J33,"PARCIAL","OK"))</f>
        <v/>
      </c>
    </row>
    <row r="34">
      <c r="A34" t="n">
        <v>3</v>
      </c>
      <c r="B34" t="inlineStr">
        <is>
          <t>MAR CAB</t>
        </is>
      </c>
      <c r="C34" t="inlineStr">
        <is>
          <t>MAR</t>
        </is>
      </c>
      <c r="D34" t="inlineStr">
        <is>
          <t>CAB</t>
        </is>
      </c>
      <c r="E34" t="inlineStr">
        <is>
          <t>Vinotinto</t>
        </is>
      </c>
      <c r="F34" t="n">
        <v>124</v>
      </c>
      <c r="G34">
        <f>IF(AND(C34="MAR",D34="KIDS"),IFERROR(INDEX(PARAMETROS!$B$27:$B$38,MATCH(E34,PARAMETROS!$A$27:$A$38,0)),0),0)</f>
        <v/>
      </c>
      <c r="H34">
        <f>MAX(0,F34-G34)</f>
        <v/>
      </c>
      <c r="I34" s="8">
        <f>IF(D34="KIDS",PARAMETROS!$B$3,PARAMETROS!$B$4)</f>
        <v/>
      </c>
      <c r="J34">
        <f>ROUND(H34*I34,0)</f>
        <v/>
      </c>
      <c r="K34" t="n">
        <v>0.5</v>
      </c>
      <c r="L34">
        <f>IFERROR(INDEX(PARAMETROS!$B$9:$B$22,MATCH(E34,PARAMETROS!$A$9:$A$22,0)),IFERROR(INDEX(PARAMETROS!$B$9:$B$22,MATCH("Morado",PARAMETROS!$A$9:$A$22,0)),0))</f>
        <v/>
      </c>
      <c r="M34">
        <f>SUMIFS($Q$2:Q33,$E$2:$E33,E34)</f>
        <v/>
      </c>
      <c r="N34">
        <f>MAX(0,L34-M34)</f>
        <v/>
      </c>
      <c r="O34">
        <f>IF(N34&lt;5.0,0,FLOOR(N34/K34,1))</f>
        <v/>
      </c>
      <c r="P34">
        <f>MIN(J34,O34)</f>
        <v/>
      </c>
      <c r="Q34">
        <f>P34*K34</f>
        <v/>
      </c>
      <c r="R34">
        <f>IF(P34=0,"SIN TELA",IF(P34&lt;J34,"PARCIAL","OK"))</f>
        <v/>
      </c>
    </row>
    <row r="35">
      <c r="A35" t="n">
        <v>3</v>
      </c>
      <c r="B35" t="inlineStr">
        <is>
          <t>MAR CAB</t>
        </is>
      </c>
      <c r="C35" t="inlineStr">
        <is>
          <t>MAR</t>
        </is>
      </c>
      <c r="D35" t="inlineStr">
        <is>
          <t>CAB</t>
        </is>
      </c>
      <c r="E35" t="inlineStr">
        <is>
          <t>Rojo</t>
        </is>
      </c>
      <c r="F35" t="n">
        <v>122</v>
      </c>
      <c r="G35">
        <f>IF(AND(C35="MAR",D35="KIDS"),IFERROR(INDEX(PARAMETROS!$B$27:$B$38,MATCH(E35,PARAMETROS!$A$27:$A$38,0)),0),0)</f>
        <v/>
      </c>
      <c r="H35">
        <f>MAX(0,F35-G35)</f>
        <v/>
      </c>
      <c r="I35" s="8">
        <f>IF(D35="KIDS",PARAMETROS!$B$3,PARAMETROS!$B$4)</f>
        <v/>
      </c>
      <c r="J35">
        <f>ROUND(H35*I35,0)</f>
        <v/>
      </c>
      <c r="K35" t="n">
        <v>0.5</v>
      </c>
      <c r="L35">
        <f>IFERROR(INDEX(PARAMETROS!$B$9:$B$22,MATCH(E35,PARAMETROS!$A$9:$A$22,0)),IFERROR(INDEX(PARAMETROS!$B$9:$B$22,MATCH("Morado",PARAMETROS!$A$9:$A$22,0)),0))</f>
        <v/>
      </c>
      <c r="M35">
        <f>SUMIFS($Q$2:Q34,$E$2:$E34,E35)</f>
        <v/>
      </c>
      <c r="N35">
        <f>MAX(0,L35-M35)</f>
        <v/>
      </c>
      <c r="O35">
        <f>IF(N35&lt;5.0,0,FLOOR(N35/K35,1))</f>
        <v/>
      </c>
      <c r="P35">
        <f>MIN(J35,O35)</f>
        <v/>
      </c>
      <c r="Q35">
        <f>P35*K35</f>
        <v/>
      </c>
      <c r="R35">
        <f>IF(P35=0,"SIN TELA",IF(P35&lt;J35,"PARCIAL","OK"))</f>
        <v/>
      </c>
    </row>
    <row r="36">
      <c r="A36" t="n">
        <v>3</v>
      </c>
      <c r="B36" t="inlineStr">
        <is>
          <t>MAR CAB</t>
        </is>
      </c>
      <c r="C36" t="inlineStr">
        <is>
          <t>MAR</t>
        </is>
      </c>
      <c r="D36" t="inlineStr">
        <is>
          <t>CAB</t>
        </is>
      </c>
      <c r="E36" t="inlineStr">
        <is>
          <t>Amarillo Neón</t>
        </is>
      </c>
      <c r="F36" t="n">
        <v>67</v>
      </c>
      <c r="G36">
        <f>IF(AND(C36="MAR",D36="KIDS"),IFERROR(INDEX(PARAMETROS!$B$27:$B$38,MATCH(E36,PARAMETROS!$A$27:$A$38,0)),0),0)</f>
        <v/>
      </c>
      <c r="H36">
        <f>MAX(0,F36-G36)</f>
        <v/>
      </c>
      <c r="I36" s="8">
        <f>IF(D36="KIDS",PARAMETROS!$B$3,PARAMETROS!$B$4)</f>
        <v/>
      </c>
      <c r="J36">
        <f>ROUND(H36*I36,0)</f>
        <v/>
      </c>
      <c r="K36" t="n">
        <v>0.5</v>
      </c>
      <c r="L36">
        <f>IFERROR(INDEX(PARAMETROS!$B$9:$B$22,MATCH(E36,PARAMETROS!$A$9:$A$22,0)),IFERROR(INDEX(PARAMETROS!$B$9:$B$22,MATCH("Morado",PARAMETROS!$A$9:$A$22,0)),0))</f>
        <v/>
      </c>
      <c r="M36">
        <f>SUMIFS($Q$2:Q35,$E$2:$E35,E36)</f>
        <v/>
      </c>
      <c r="N36">
        <f>MAX(0,L36-M36)</f>
        <v/>
      </c>
      <c r="O36">
        <f>IF(N36&lt;5.0,0,FLOOR(N36/K36,1))</f>
        <v/>
      </c>
      <c r="P36">
        <f>MIN(J36,O36)</f>
        <v/>
      </c>
      <c r="Q36">
        <f>P36*K36</f>
        <v/>
      </c>
      <c r="R36">
        <f>IF(P36=0,"SIN TELA",IF(P36&lt;J36,"PARCIAL","OK"))</f>
        <v/>
      </c>
    </row>
    <row r="37">
      <c r="A37" t="n">
        <v>4</v>
      </c>
      <c r="B37" t="inlineStr">
        <is>
          <t>MAR DAMA</t>
        </is>
      </c>
      <c r="C37" t="inlineStr">
        <is>
          <t>MAR</t>
        </is>
      </c>
      <c r="D37" t="inlineStr">
        <is>
          <t>DAMA</t>
        </is>
      </c>
      <c r="E37" t="inlineStr">
        <is>
          <t>Negro</t>
        </is>
      </c>
      <c r="F37" t="n">
        <v>417</v>
      </c>
      <c r="G37">
        <f>IF(AND(C37="MAR",D37="KIDS"),IFERROR(INDEX(PARAMETROS!$B$27:$B$38,MATCH(E37,PARAMETROS!$A$27:$A$38,0)),0),0)</f>
        <v/>
      </c>
      <c r="H37">
        <f>MAX(0,F37-G37)</f>
        <v/>
      </c>
      <c r="I37" s="8">
        <f>IF(D37="KIDS",PARAMETROS!$B$3,PARAMETROS!$B$4)</f>
        <v/>
      </c>
      <c r="J37">
        <f>ROUND(H37*I37,0)</f>
        <v/>
      </c>
      <c r="K37" t="n">
        <v>0.4</v>
      </c>
      <c r="L37">
        <f>IFERROR(INDEX(PARAMETROS!$B$9:$B$22,MATCH(E37,PARAMETROS!$A$9:$A$22,0)),IFERROR(INDEX(PARAMETROS!$B$9:$B$22,MATCH("Morado",PARAMETROS!$A$9:$A$22,0)),0))</f>
        <v/>
      </c>
      <c r="M37">
        <f>SUMIFS($Q$2:Q36,$E$2:$E36,E37)</f>
        <v/>
      </c>
      <c r="N37">
        <f>MAX(0,L37-M37)</f>
        <v/>
      </c>
      <c r="O37">
        <f>IF(N37&lt;5.0,0,FLOOR(N37/K37,1))</f>
        <v/>
      </c>
      <c r="P37">
        <f>MIN(J37,O37)</f>
        <v/>
      </c>
      <c r="Q37">
        <f>P37*K37</f>
        <v/>
      </c>
      <c r="R37">
        <f>IF(P37=0,"SIN TELA",IF(P37&lt;J37,"PARCIAL","OK"))</f>
        <v/>
      </c>
    </row>
    <row r="38">
      <c r="A38" t="n">
        <v>4</v>
      </c>
      <c r="B38" t="inlineStr">
        <is>
          <t>MAR DAMA</t>
        </is>
      </c>
      <c r="C38" t="inlineStr">
        <is>
          <t>MAR</t>
        </is>
      </c>
      <c r="D38" t="inlineStr">
        <is>
          <t>DAMA</t>
        </is>
      </c>
      <c r="E38" t="inlineStr">
        <is>
          <t>Blanco</t>
        </is>
      </c>
      <c r="F38" t="n">
        <v>393</v>
      </c>
      <c r="G38">
        <f>IF(AND(C38="MAR",D38="KIDS"),IFERROR(INDEX(PARAMETROS!$B$27:$B$38,MATCH(E38,PARAMETROS!$A$27:$A$38,0)),0),0)</f>
        <v/>
      </c>
      <c r="H38">
        <f>MAX(0,F38-G38)</f>
        <v/>
      </c>
      <c r="I38" s="8">
        <f>IF(D38="KIDS",PARAMETROS!$B$3,PARAMETROS!$B$4)</f>
        <v/>
      </c>
      <c r="J38">
        <f>ROUND(H38*I38,0)</f>
        <v/>
      </c>
      <c r="K38" t="n">
        <v>0.4</v>
      </c>
      <c r="L38">
        <f>IFERROR(INDEX(PARAMETROS!$B$9:$B$22,MATCH(E38,PARAMETROS!$A$9:$A$22,0)),IFERROR(INDEX(PARAMETROS!$B$9:$B$22,MATCH("Morado",PARAMETROS!$A$9:$A$22,0)),0))</f>
        <v/>
      </c>
      <c r="M38">
        <f>SUMIFS($Q$2:Q37,$E$2:$E37,E38)</f>
        <v/>
      </c>
      <c r="N38">
        <f>MAX(0,L38-M38)</f>
        <v/>
      </c>
      <c r="O38">
        <f>IF(N38&lt;5.0,0,FLOOR(N38/K38,1))</f>
        <v/>
      </c>
      <c r="P38">
        <f>MIN(J38,O38)</f>
        <v/>
      </c>
      <c r="Q38">
        <f>P38*K38</f>
        <v/>
      </c>
      <c r="R38">
        <f>IF(P38=0,"SIN TELA",IF(P38&lt;J38,"PARCIAL","OK"))</f>
        <v/>
      </c>
    </row>
    <row r="39">
      <c r="A39" t="n">
        <v>4</v>
      </c>
      <c r="B39" t="inlineStr">
        <is>
          <t>MAR DAMA</t>
        </is>
      </c>
      <c r="C39" t="inlineStr">
        <is>
          <t>MAR</t>
        </is>
      </c>
      <c r="D39" t="inlineStr">
        <is>
          <t>DAMA</t>
        </is>
      </c>
      <c r="E39" t="inlineStr">
        <is>
          <t>Azul Marino</t>
        </is>
      </c>
      <c r="F39" t="n">
        <v>357</v>
      </c>
      <c r="G39">
        <f>IF(AND(C39="MAR",D39="KIDS"),IFERROR(INDEX(PARAMETROS!$B$27:$B$38,MATCH(E39,PARAMETROS!$A$27:$A$38,0)),0),0)</f>
        <v/>
      </c>
      <c r="H39">
        <f>MAX(0,F39-G39)</f>
        <v/>
      </c>
      <c r="I39" s="8">
        <f>IF(D39="KIDS",PARAMETROS!$B$3,PARAMETROS!$B$4)</f>
        <v/>
      </c>
      <c r="J39">
        <f>ROUND(H39*I39,0)</f>
        <v/>
      </c>
      <c r="K39" t="n">
        <v>0.4</v>
      </c>
      <c r="L39">
        <f>IFERROR(INDEX(PARAMETROS!$B$9:$B$22,MATCH(E39,PARAMETROS!$A$9:$A$22,0)),IFERROR(INDEX(PARAMETROS!$B$9:$B$22,MATCH("Morado",PARAMETROS!$A$9:$A$22,0)),0))</f>
        <v/>
      </c>
      <c r="M39">
        <f>SUMIFS($Q$2:Q38,$E$2:$E38,E39)</f>
        <v/>
      </c>
      <c r="N39">
        <f>MAX(0,L39-M39)</f>
        <v/>
      </c>
      <c r="O39">
        <f>IF(N39&lt;5.0,0,FLOOR(N39/K39,1))</f>
        <v/>
      </c>
      <c r="P39">
        <f>MIN(J39,O39)</f>
        <v/>
      </c>
      <c r="Q39">
        <f>P39*K39</f>
        <v/>
      </c>
      <c r="R39">
        <f>IF(P39=0,"SIN TELA",IF(P39&lt;J39,"PARCIAL","OK"))</f>
        <v/>
      </c>
    </row>
    <row r="40">
      <c r="A40" t="n">
        <v>4</v>
      </c>
      <c r="B40" t="inlineStr">
        <is>
          <t>MAR DAMA</t>
        </is>
      </c>
      <c r="C40" t="inlineStr">
        <is>
          <t>MAR</t>
        </is>
      </c>
      <c r="D40" t="inlineStr">
        <is>
          <t>DAMA</t>
        </is>
      </c>
      <c r="E40" t="inlineStr">
        <is>
          <t>Verde Militar</t>
        </is>
      </c>
      <c r="F40" t="n">
        <v>272</v>
      </c>
      <c r="G40">
        <f>IF(AND(C40="MAR",D40="KIDS"),IFERROR(INDEX(PARAMETROS!$B$27:$B$38,MATCH(E40,PARAMETROS!$A$27:$A$38,0)),0),0)</f>
        <v/>
      </c>
      <c r="H40">
        <f>MAX(0,F40-G40)</f>
        <v/>
      </c>
      <c r="I40" s="8">
        <f>IF(D40="KIDS",PARAMETROS!$B$3,PARAMETROS!$B$4)</f>
        <v/>
      </c>
      <c r="J40">
        <f>ROUND(H40*I40,0)</f>
        <v/>
      </c>
      <c r="K40" t="n">
        <v>0.4</v>
      </c>
      <c r="L40">
        <f>IFERROR(INDEX(PARAMETROS!$B$9:$B$22,MATCH(E40,PARAMETROS!$A$9:$A$22,0)),IFERROR(INDEX(PARAMETROS!$B$9:$B$22,MATCH("Morado",PARAMETROS!$A$9:$A$22,0)),0))</f>
        <v/>
      </c>
      <c r="M40">
        <f>SUMIFS($Q$2:Q39,$E$2:$E39,E40)</f>
        <v/>
      </c>
      <c r="N40">
        <f>MAX(0,L40-M40)</f>
        <v/>
      </c>
      <c r="O40">
        <f>IF(N40&lt;5.0,0,FLOOR(N40/K40,1))</f>
        <v/>
      </c>
      <c r="P40">
        <f>MIN(J40,O40)</f>
        <v/>
      </c>
      <c r="Q40">
        <f>P40*K40</f>
        <v/>
      </c>
      <c r="R40">
        <f>IF(P40=0,"SIN TELA",IF(P40&lt;J40,"PARCIAL","OK"))</f>
        <v/>
      </c>
    </row>
    <row r="41">
      <c r="A41" t="n">
        <v>4</v>
      </c>
      <c r="B41" t="inlineStr">
        <is>
          <t>MAR DAMA</t>
        </is>
      </c>
      <c r="C41" t="inlineStr">
        <is>
          <t>MAR</t>
        </is>
      </c>
      <c r="D41" t="inlineStr">
        <is>
          <t>DAMA</t>
        </is>
      </c>
      <c r="E41" t="inlineStr">
        <is>
          <t>Azul Lavanda</t>
        </is>
      </c>
      <c r="F41" t="n">
        <v>232</v>
      </c>
      <c r="G41">
        <f>IF(AND(C41="MAR",D41="KIDS"),IFERROR(INDEX(PARAMETROS!$B$27:$B$38,MATCH(E41,PARAMETROS!$A$27:$A$38,0)),0),0)</f>
        <v/>
      </c>
      <c r="H41">
        <f>MAX(0,F41-G41)</f>
        <v/>
      </c>
      <c r="I41" s="8">
        <f>IF(D41="KIDS",PARAMETROS!$B$3,PARAMETROS!$B$4)</f>
        <v/>
      </c>
      <c r="J41">
        <f>ROUND(H41*I41,0)</f>
        <v/>
      </c>
      <c r="K41" t="n">
        <v>0.4</v>
      </c>
      <c r="L41">
        <f>IFERROR(INDEX(PARAMETROS!$B$9:$B$22,MATCH(E41,PARAMETROS!$A$9:$A$22,0)),IFERROR(INDEX(PARAMETROS!$B$9:$B$22,MATCH("Morado",PARAMETROS!$A$9:$A$22,0)),0))</f>
        <v/>
      </c>
      <c r="M41">
        <f>SUMIFS($Q$2:Q40,$E$2:$E40,E41)</f>
        <v/>
      </c>
      <c r="N41">
        <f>MAX(0,L41-M41)</f>
        <v/>
      </c>
      <c r="O41">
        <f>IF(N41&lt;5.0,0,FLOOR(N41/K41,1))</f>
        <v/>
      </c>
      <c r="P41">
        <f>MIN(J41,O41)</f>
        <v/>
      </c>
      <c r="Q41">
        <f>P41*K41</f>
        <v/>
      </c>
      <c r="R41">
        <f>IF(P41=0,"SIN TELA",IF(P41&lt;J41,"PARCIAL","OK"))</f>
        <v/>
      </c>
    </row>
    <row r="42">
      <c r="A42" t="n">
        <v>4</v>
      </c>
      <c r="B42" t="inlineStr">
        <is>
          <t>MAR DAMA</t>
        </is>
      </c>
      <c r="C42" t="inlineStr">
        <is>
          <t>MAR</t>
        </is>
      </c>
      <c r="D42" t="inlineStr">
        <is>
          <t>DAMA</t>
        </is>
      </c>
      <c r="E42" t="inlineStr">
        <is>
          <t>Púrpura</t>
        </is>
      </c>
      <c r="F42" t="n">
        <v>196</v>
      </c>
      <c r="G42">
        <f>IF(AND(C42="MAR",D42="KIDS"),IFERROR(INDEX(PARAMETROS!$B$27:$B$38,MATCH(E42,PARAMETROS!$A$27:$A$38,0)),0),0)</f>
        <v/>
      </c>
      <c r="H42">
        <f>MAX(0,F42-G42)</f>
        <v/>
      </c>
      <c r="I42" s="8">
        <f>IF(D42="KIDS",PARAMETROS!$B$3,PARAMETROS!$B$4)</f>
        <v/>
      </c>
      <c r="J42">
        <f>ROUND(H42*I42,0)</f>
        <v/>
      </c>
      <c r="K42" t="n">
        <v>0.4</v>
      </c>
      <c r="L42">
        <f>IFERROR(INDEX(PARAMETROS!$B$9:$B$22,MATCH(E42,PARAMETROS!$A$9:$A$22,0)),IFERROR(INDEX(PARAMETROS!$B$9:$B$22,MATCH("Morado",PARAMETROS!$A$9:$A$22,0)),0))</f>
        <v/>
      </c>
      <c r="M42">
        <f>SUMIFS($Q$2:Q41,$E$2:$E41,E42)</f>
        <v/>
      </c>
      <c r="N42">
        <f>MAX(0,L42-M42)</f>
        <v/>
      </c>
      <c r="O42">
        <f>IF(N42&lt;5.0,0,FLOOR(N42/K42,1))</f>
        <v/>
      </c>
      <c r="P42">
        <f>MIN(J42,O42)</f>
        <v/>
      </c>
      <c r="Q42">
        <f>P42*K42</f>
        <v/>
      </c>
      <c r="R42">
        <f>IF(P42=0,"SIN TELA",IF(P42&lt;J42,"PARCIAL","OK"))</f>
        <v/>
      </c>
    </row>
    <row r="43">
      <c r="A43" t="n">
        <v>4</v>
      </c>
      <c r="B43" t="inlineStr">
        <is>
          <t>MAR DAMA</t>
        </is>
      </c>
      <c r="C43" t="inlineStr">
        <is>
          <t>MAR</t>
        </is>
      </c>
      <c r="D43" t="inlineStr">
        <is>
          <t>DAMA</t>
        </is>
      </c>
      <c r="E43" t="inlineStr">
        <is>
          <t>Lila</t>
        </is>
      </c>
      <c r="F43" t="n">
        <v>193</v>
      </c>
      <c r="G43">
        <f>IF(AND(C43="MAR",D43="KIDS"),IFERROR(INDEX(PARAMETROS!$B$27:$B$38,MATCH(E43,PARAMETROS!$A$27:$A$38,0)),0),0)</f>
        <v/>
      </c>
      <c r="H43">
        <f>MAX(0,F43-G43)</f>
        <v/>
      </c>
      <c r="I43" s="8">
        <f>IF(D43="KIDS",PARAMETROS!$B$3,PARAMETROS!$B$4)</f>
        <v/>
      </c>
      <c r="J43">
        <f>ROUND(H43*I43,0)</f>
        <v/>
      </c>
      <c r="K43" t="n">
        <v>0.4</v>
      </c>
      <c r="L43">
        <f>IFERROR(INDEX(PARAMETROS!$B$9:$B$22,MATCH(E43,PARAMETROS!$A$9:$A$22,0)),IFERROR(INDEX(PARAMETROS!$B$9:$B$22,MATCH("Morado",PARAMETROS!$A$9:$A$22,0)),0))</f>
        <v/>
      </c>
      <c r="M43">
        <f>SUMIFS($Q$2:Q42,$E$2:$E42,E43)</f>
        <v/>
      </c>
      <c r="N43">
        <f>MAX(0,L43-M43)</f>
        <v/>
      </c>
      <c r="O43">
        <f>IF(N43&lt;5.0,0,FLOOR(N43/K43,1))</f>
        <v/>
      </c>
      <c r="P43">
        <f>MIN(J43,O43)</f>
        <v/>
      </c>
      <c r="Q43">
        <f>P43*K43</f>
        <v/>
      </c>
      <c r="R43">
        <f>IF(P43=0,"SIN TELA",IF(P43&lt;J43,"PARCIAL","OK"))</f>
        <v/>
      </c>
    </row>
    <row r="44">
      <c r="A44" t="n">
        <v>4</v>
      </c>
      <c r="B44" t="inlineStr">
        <is>
          <t>MAR DAMA</t>
        </is>
      </c>
      <c r="C44" t="inlineStr">
        <is>
          <t>MAR</t>
        </is>
      </c>
      <c r="D44" t="inlineStr">
        <is>
          <t>DAMA</t>
        </is>
      </c>
      <c r="E44" t="inlineStr">
        <is>
          <t>Rojo</t>
        </is>
      </c>
      <c r="F44" t="n">
        <v>168</v>
      </c>
      <c r="G44">
        <f>IF(AND(C44="MAR",D44="KIDS"),IFERROR(INDEX(PARAMETROS!$B$27:$B$38,MATCH(E44,PARAMETROS!$A$27:$A$38,0)),0),0)</f>
        <v/>
      </c>
      <c r="H44">
        <f>MAX(0,F44-G44)</f>
        <v/>
      </c>
      <c r="I44" s="8">
        <f>IF(D44="KIDS",PARAMETROS!$B$3,PARAMETROS!$B$4)</f>
        <v/>
      </c>
      <c r="J44">
        <f>ROUND(H44*I44,0)</f>
        <v/>
      </c>
      <c r="K44" t="n">
        <v>0.4</v>
      </c>
      <c r="L44">
        <f>IFERROR(INDEX(PARAMETROS!$B$9:$B$22,MATCH(E44,PARAMETROS!$A$9:$A$22,0)),IFERROR(INDEX(PARAMETROS!$B$9:$B$22,MATCH("Morado",PARAMETROS!$A$9:$A$22,0)),0))</f>
        <v/>
      </c>
      <c r="M44">
        <f>SUMIFS($Q$2:Q43,$E$2:$E43,E44)</f>
        <v/>
      </c>
      <c r="N44">
        <f>MAX(0,L44-M44)</f>
        <v/>
      </c>
      <c r="O44">
        <f>IF(N44&lt;5.0,0,FLOOR(N44/K44,1))</f>
        <v/>
      </c>
      <c r="P44">
        <f>MIN(J44,O44)</f>
        <v/>
      </c>
      <c r="Q44">
        <f>P44*K44</f>
        <v/>
      </c>
      <c r="R44">
        <f>IF(P44=0,"SIN TELA",IF(P44&lt;J44,"PARCIAL","OK"))</f>
        <v/>
      </c>
    </row>
    <row r="45">
      <c r="A45" t="n">
        <v>4</v>
      </c>
      <c r="B45" t="inlineStr">
        <is>
          <t>MAR DAMA</t>
        </is>
      </c>
      <c r="C45" t="inlineStr">
        <is>
          <t>MAR</t>
        </is>
      </c>
      <c r="D45" t="inlineStr">
        <is>
          <t>DAMA</t>
        </is>
      </c>
      <c r="E45" t="inlineStr">
        <is>
          <t>Vinotinto</t>
        </is>
      </c>
      <c r="F45" t="n">
        <v>162</v>
      </c>
      <c r="G45">
        <f>IF(AND(C45="MAR",D45="KIDS"),IFERROR(INDEX(PARAMETROS!$B$27:$B$38,MATCH(E45,PARAMETROS!$A$27:$A$38,0)),0),0)</f>
        <v/>
      </c>
      <c r="H45">
        <f>MAX(0,F45-G45)</f>
        <v/>
      </c>
      <c r="I45" s="8">
        <f>IF(D45="KIDS",PARAMETROS!$B$3,PARAMETROS!$B$4)</f>
        <v/>
      </c>
      <c r="J45">
        <f>ROUND(H45*I45,0)</f>
        <v/>
      </c>
      <c r="K45" t="n">
        <v>0.4</v>
      </c>
      <c r="L45">
        <f>IFERROR(INDEX(PARAMETROS!$B$9:$B$22,MATCH(E45,PARAMETROS!$A$9:$A$22,0)),IFERROR(INDEX(PARAMETROS!$B$9:$B$22,MATCH("Morado",PARAMETROS!$A$9:$A$22,0)),0))</f>
        <v/>
      </c>
      <c r="M45">
        <f>SUMIFS($Q$2:Q44,$E$2:$E44,E45)</f>
        <v/>
      </c>
      <c r="N45">
        <f>MAX(0,L45-M45)</f>
        <v/>
      </c>
      <c r="O45">
        <f>IF(N45&lt;5.0,0,FLOOR(N45/K45,1))</f>
        <v/>
      </c>
      <c r="P45">
        <f>MIN(J45,O45)</f>
        <v/>
      </c>
      <c r="Q45">
        <f>P45*K45</f>
        <v/>
      </c>
      <c r="R45">
        <f>IF(P45=0,"SIN TELA",IF(P45&lt;J45,"PARCIAL","OK"))</f>
        <v/>
      </c>
    </row>
    <row r="46">
      <c r="A46" t="n">
        <v>4</v>
      </c>
      <c r="B46" t="inlineStr">
        <is>
          <t>MAR DAMA</t>
        </is>
      </c>
      <c r="C46" t="inlineStr">
        <is>
          <t>MAR</t>
        </is>
      </c>
      <c r="D46" t="inlineStr">
        <is>
          <t>DAMA</t>
        </is>
      </c>
      <c r="E46" t="inlineStr">
        <is>
          <t>Aguamarina</t>
        </is>
      </c>
      <c r="F46" t="n">
        <v>135</v>
      </c>
      <c r="G46">
        <f>IF(AND(C46="MAR",D46="KIDS"),IFERROR(INDEX(PARAMETROS!$B$27:$B$38,MATCH(E46,PARAMETROS!$A$27:$A$38,0)),0),0)</f>
        <v/>
      </c>
      <c r="H46">
        <f>MAX(0,F46-G46)</f>
        <v/>
      </c>
      <c r="I46" s="8">
        <f>IF(D46="KIDS",PARAMETROS!$B$3,PARAMETROS!$B$4)</f>
        <v/>
      </c>
      <c r="J46">
        <f>ROUND(H46*I46,0)</f>
        <v/>
      </c>
      <c r="K46" t="n">
        <v>0.4</v>
      </c>
      <c r="L46">
        <f>IFERROR(INDEX(PARAMETROS!$B$9:$B$22,MATCH(E46,PARAMETROS!$A$9:$A$22,0)),IFERROR(INDEX(PARAMETROS!$B$9:$B$22,MATCH("Morado",PARAMETROS!$A$9:$A$22,0)),0))</f>
        <v/>
      </c>
      <c r="M46">
        <f>SUMIFS($Q$2:Q45,$E$2:$E45,E46)</f>
        <v/>
      </c>
      <c r="N46">
        <f>MAX(0,L46-M46)</f>
        <v/>
      </c>
      <c r="O46">
        <f>IF(N46&lt;5.0,0,FLOOR(N46/K46,1))</f>
        <v/>
      </c>
      <c r="P46">
        <f>MIN(J46,O46)</f>
        <v/>
      </c>
      <c r="Q46">
        <f>P46*K46</f>
        <v/>
      </c>
      <c r="R46">
        <f>IF(P46=0,"SIN TELA",IF(P46&lt;J46,"PARCIAL","OK"))</f>
        <v/>
      </c>
    </row>
    <row r="47">
      <c r="A47" t="n">
        <v>4</v>
      </c>
      <c r="B47" t="inlineStr">
        <is>
          <t>MAR DAMA</t>
        </is>
      </c>
      <c r="C47" t="inlineStr">
        <is>
          <t>MAR</t>
        </is>
      </c>
      <c r="D47" t="inlineStr">
        <is>
          <t>DAMA</t>
        </is>
      </c>
      <c r="E47" t="inlineStr">
        <is>
          <t>Rosado Pastel</t>
        </is>
      </c>
      <c r="F47" t="n">
        <v>108</v>
      </c>
      <c r="G47">
        <f>IF(AND(C47="MAR",D47="KIDS"),IFERROR(INDEX(PARAMETROS!$B$27:$B$38,MATCH(E47,PARAMETROS!$A$27:$A$38,0)),0),0)</f>
        <v/>
      </c>
      <c r="H47">
        <f>MAX(0,F47-G47)</f>
        <v/>
      </c>
      <c r="I47" s="8">
        <f>IF(D47="KIDS",PARAMETROS!$B$3,PARAMETROS!$B$4)</f>
        <v/>
      </c>
      <c r="J47">
        <f>ROUND(H47*I47,0)</f>
        <v/>
      </c>
      <c r="K47" t="n">
        <v>0.4</v>
      </c>
      <c r="L47">
        <f>IFERROR(INDEX(PARAMETROS!$B$9:$B$22,MATCH(E47,PARAMETROS!$A$9:$A$22,0)),IFERROR(INDEX(PARAMETROS!$B$9:$B$22,MATCH("Morado",PARAMETROS!$A$9:$A$22,0)),0))</f>
        <v/>
      </c>
      <c r="M47">
        <f>SUMIFS($Q$2:Q46,$E$2:$E46,E47)</f>
        <v/>
      </c>
      <c r="N47">
        <f>MAX(0,L47-M47)</f>
        <v/>
      </c>
      <c r="O47">
        <f>IF(N47&lt;5.0,0,FLOOR(N47/K47,1))</f>
        <v/>
      </c>
      <c r="P47">
        <f>MIN(J47,O47)</f>
        <v/>
      </c>
      <c r="Q47">
        <f>P47*K47</f>
        <v/>
      </c>
      <c r="R47">
        <f>IF(P47=0,"SIN TELA",IF(P47&lt;J47,"PARCIAL","OK"))</f>
        <v/>
      </c>
    </row>
    <row r="48">
      <c r="A48" t="n">
        <v>4</v>
      </c>
      <c r="B48" t="inlineStr">
        <is>
          <t>MAR DAMA</t>
        </is>
      </c>
      <c r="C48" t="inlineStr">
        <is>
          <t>MAR</t>
        </is>
      </c>
      <c r="D48" t="inlineStr">
        <is>
          <t>DAMA</t>
        </is>
      </c>
      <c r="E48" t="inlineStr">
        <is>
          <t>Amarillo Neón</t>
        </is>
      </c>
      <c r="F48" t="n">
        <v>67</v>
      </c>
      <c r="G48">
        <f>IF(AND(C48="MAR",D48="KIDS"),IFERROR(INDEX(PARAMETROS!$B$27:$B$38,MATCH(E48,PARAMETROS!$A$27:$A$38,0)),0),0)</f>
        <v/>
      </c>
      <c r="H48">
        <f>MAX(0,F48-G48)</f>
        <v/>
      </c>
      <c r="I48" s="8">
        <f>IF(D48="KIDS",PARAMETROS!$B$3,PARAMETROS!$B$4)</f>
        <v/>
      </c>
      <c r="J48">
        <f>ROUND(H48*I48,0)</f>
        <v/>
      </c>
      <c r="K48" t="n">
        <v>0.4</v>
      </c>
      <c r="L48">
        <f>IFERROR(INDEX(PARAMETROS!$B$9:$B$22,MATCH(E48,PARAMETROS!$A$9:$A$22,0)),IFERROR(INDEX(PARAMETROS!$B$9:$B$22,MATCH("Morado",PARAMETROS!$A$9:$A$22,0)),0))</f>
        <v/>
      </c>
      <c r="M48">
        <f>SUMIFS($Q$2:Q47,$E$2:$E47,E48)</f>
        <v/>
      </c>
      <c r="N48">
        <f>MAX(0,L48-M48)</f>
        <v/>
      </c>
      <c r="O48">
        <f>IF(N48&lt;5.0,0,FLOOR(N48/K48,1))</f>
        <v/>
      </c>
      <c r="P48">
        <f>MIN(J48,O48)</f>
        <v/>
      </c>
      <c r="Q48">
        <f>P48*K48</f>
        <v/>
      </c>
      <c r="R48">
        <f>IF(P48=0,"SIN TELA",IF(P48&lt;J48,"PARCIAL","OK"))</f>
        <v/>
      </c>
    </row>
    <row r="49">
      <c r="A49" t="n">
        <v>5</v>
      </c>
      <c r="B49" t="inlineStr">
        <is>
          <t>RIO CAB</t>
        </is>
      </c>
      <c r="C49" t="inlineStr">
        <is>
          <t>RIO</t>
        </is>
      </c>
      <c r="D49" t="inlineStr">
        <is>
          <t>CAB</t>
        </is>
      </c>
      <c r="E49" t="inlineStr">
        <is>
          <t>Negro</t>
        </is>
      </c>
      <c r="F49" t="n">
        <v>557</v>
      </c>
      <c r="G49">
        <f>IF(AND(C49="MAR",D49="KIDS"),IFERROR(INDEX(PARAMETROS!$B$27:$B$38,MATCH(E49,PARAMETROS!$A$27:$A$38,0)),0),0)</f>
        <v/>
      </c>
      <c r="H49">
        <f>MAX(0,F49-G49)</f>
        <v/>
      </c>
      <c r="I49" s="8">
        <f>IF(D49="KIDS",PARAMETROS!$B$3,PARAMETROS!$B$4)</f>
        <v/>
      </c>
      <c r="J49">
        <f>ROUND(H49*I49,0)</f>
        <v/>
      </c>
      <c r="K49" t="n">
        <v>0.66</v>
      </c>
      <c r="L49">
        <f>IFERROR(INDEX(PARAMETROS!$B$9:$B$22,MATCH(E49,PARAMETROS!$A$9:$A$22,0)),IFERROR(INDEX(PARAMETROS!$B$9:$B$22,MATCH("Morado",PARAMETROS!$A$9:$A$22,0)),0))</f>
        <v/>
      </c>
      <c r="M49">
        <f>SUMIFS($Q$2:Q48,$E$2:$E48,E49)</f>
        <v/>
      </c>
      <c r="N49">
        <f>MAX(0,L49-M49)</f>
        <v/>
      </c>
      <c r="O49">
        <f>IF(N49&lt;5.0,0,FLOOR(N49/K49,1))</f>
        <v/>
      </c>
      <c r="P49">
        <f>MIN(J49,O49)</f>
        <v/>
      </c>
      <c r="Q49">
        <f>P49*K49</f>
        <v/>
      </c>
      <c r="R49">
        <f>IF(P49=0,"SIN TELA",IF(P49&lt;J49,"PARCIAL","OK"))</f>
        <v/>
      </c>
    </row>
    <row r="50">
      <c r="A50" t="n">
        <v>5</v>
      </c>
      <c r="B50" t="inlineStr">
        <is>
          <t>RIO CAB</t>
        </is>
      </c>
      <c r="C50" t="inlineStr">
        <is>
          <t>RIO</t>
        </is>
      </c>
      <c r="D50" t="inlineStr">
        <is>
          <t>CAB</t>
        </is>
      </c>
      <c r="E50" t="inlineStr">
        <is>
          <t>Blanco</t>
        </is>
      </c>
      <c r="F50" t="n">
        <v>356</v>
      </c>
      <c r="G50">
        <f>IF(AND(C50="MAR",D50="KIDS"),IFERROR(INDEX(PARAMETROS!$B$27:$B$38,MATCH(E50,PARAMETROS!$A$27:$A$38,0)),0),0)</f>
        <v/>
      </c>
      <c r="H50">
        <f>MAX(0,F50-G50)</f>
        <v/>
      </c>
      <c r="I50" s="8">
        <f>IF(D50="KIDS",PARAMETROS!$B$3,PARAMETROS!$B$4)</f>
        <v/>
      </c>
      <c r="J50">
        <f>ROUND(H50*I50,0)</f>
        <v/>
      </c>
      <c r="K50" t="n">
        <v>0.66</v>
      </c>
      <c r="L50">
        <f>IFERROR(INDEX(PARAMETROS!$B$9:$B$22,MATCH(E50,PARAMETROS!$A$9:$A$22,0)),IFERROR(INDEX(PARAMETROS!$B$9:$B$22,MATCH("Morado",PARAMETROS!$A$9:$A$22,0)),0))</f>
        <v/>
      </c>
      <c r="M50">
        <f>SUMIFS($Q$2:Q49,$E$2:$E49,E50)</f>
        <v/>
      </c>
      <c r="N50">
        <f>MAX(0,L50-M50)</f>
        <v/>
      </c>
      <c r="O50">
        <f>IF(N50&lt;5.0,0,FLOOR(N50/K50,1))</f>
        <v/>
      </c>
      <c r="P50">
        <f>MIN(J50,O50)</f>
        <v/>
      </c>
      <c r="Q50">
        <f>P50*K50</f>
        <v/>
      </c>
      <c r="R50">
        <f>IF(P50=0,"SIN TELA",IF(P50&lt;J50,"PARCIAL","OK"))</f>
        <v/>
      </c>
    </row>
    <row r="51">
      <c r="A51" t="n">
        <v>5</v>
      </c>
      <c r="B51" t="inlineStr">
        <is>
          <t>RIO CAB</t>
        </is>
      </c>
      <c r="C51" t="inlineStr">
        <is>
          <t>RIO</t>
        </is>
      </c>
      <c r="D51" t="inlineStr">
        <is>
          <t>CAB</t>
        </is>
      </c>
      <c r="E51" t="inlineStr">
        <is>
          <t>Azul Marino</t>
        </is>
      </c>
      <c r="F51" t="n">
        <v>336</v>
      </c>
      <c r="G51">
        <f>IF(AND(C51="MAR",D51="KIDS"),IFERROR(INDEX(PARAMETROS!$B$27:$B$38,MATCH(E51,PARAMETROS!$A$27:$A$38,0)),0),0)</f>
        <v/>
      </c>
      <c r="H51">
        <f>MAX(0,F51-G51)</f>
        <v/>
      </c>
      <c r="I51" s="8">
        <f>IF(D51="KIDS",PARAMETROS!$B$3,PARAMETROS!$B$4)</f>
        <v/>
      </c>
      <c r="J51">
        <f>ROUND(H51*I51,0)</f>
        <v/>
      </c>
      <c r="K51" t="n">
        <v>0.66</v>
      </c>
      <c r="L51">
        <f>IFERROR(INDEX(PARAMETROS!$B$9:$B$22,MATCH(E51,PARAMETROS!$A$9:$A$22,0)),IFERROR(INDEX(PARAMETROS!$B$9:$B$22,MATCH("Morado",PARAMETROS!$A$9:$A$22,0)),0))</f>
        <v/>
      </c>
      <c r="M51">
        <f>SUMIFS($Q$2:Q50,$E$2:$E50,E51)</f>
        <v/>
      </c>
      <c r="N51">
        <f>MAX(0,L51-M51)</f>
        <v/>
      </c>
      <c r="O51">
        <f>IF(N51&lt;5.0,0,FLOOR(N51/K51,1))</f>
        <v/>
      </c>
      <c r="P51">
        <f>MIN(J51,O51)</f>
        <v/>
      </c>
      <c r="Q51">
        <f>P51*K51</f>
        <v/>
      </c>
      <c r="R51">
        <f>IF(P51=0,"SIN TELA",IF(P51&lt;J51,"PARCIAL","OK"))</f>
        <v/>
      </c>
    </row>
    <row r="52">
      <c r="A52" t="n">
        <v>5</v>
      </c>
      <c r="B52" t="inlineStr">
        <is>
          <t>RIO CAB</t>
        </is>
      </c>
      <c r="C52" t="inlineStr">
        <is>
          <t>RIO</t>
        </is>
      </c>
      <c r="D52" t="inlineStr">
        <is>
          <t>CAB</t>
        </is>
      </c>
      <c r="E52" t="inlineStr">
        <is>
          <t>Azul Rey</t>
        </is>
      </c>
      <c r="F52" t="n">
        <v>277</v>
      </c>
      <c r="G52">
        <f>IF(AND(C52="MAR",D52="KIDS"),IFERROR(INDEX(PARAMETROS!$B$27:$B$38,MATCH(E52,PARAMETROS!$A$27:$A$38,0)),0),0)</f>
        <v/>
      </c>
      <c r="H52">
        <f>MAX(0,F52-G52)</f>
        <v/>
      </c>
      <c r="I52" s="8">
        <f>IF(D52="KIDS",PARAMETROS!$B$3,PARAMETROS!$B$4)</f>
        <v/>
      </c>
      <c r="J52">
        <f>ROUND(H52*I52,0)</f>
        <v/>
      </c>
      <c r="K52" t="n">
        <v>0.66</v>
      </c>
      <c r="L52">
        <f>IFERROR(INDEX(PARAMETROS!$B$9:$B$22,MATCH(E52,PARAMETROS!$A$9:$A$22,0)),IFERROR(INDEX(PARAMETROS!$B$9:$B$22,MATCH("Morado",PARAMETROS!$A$9:$A$22,0)),0))</f>
        <v/>
      </c>
      <c r="M52">
        <f>SUMIFS($Q$2:Q51,$E$2:$E51,E52)</f>
        <v/>
      </c>
      <c r="N52">
        <f>MAX(0,L52-M52)</f>
        <v/>
      </c>
      <c r="O52">
        <f>IF(N52&lt;5.0,0,FLOOR(N52/K52,1))</f>
        <v/>
      </c>
      <c r="P52">
        <f>MIN(J52,O52)</f>
        <v/>
      </c>
      <c r="Q52">
        <f>P52*K52</f>
        <v/>
      </c>
      <c r="R52">
        <f>IF(P52=0,"SIN TELA",IF(P52&lt;J52,"PARCIAL","OK"))</f>
        <v/>
      </c>
    </row>
    <row r="53">
      <c r="A53" t="n">
        <v>5</v>
      </c>
      <c r="B53" t="inlineStr">
        <is>
          <t>RIO CAB</t>
        </is>
      </c>
      <c r="C53" t="inlineStr">
        <is>
          <t>RIO</t>
        </is>
      </c>
      <c r="D53" t="inlineStr">
        <is>
          <t>CAB</t>
        </is>
      </c>
      <c r="E53" t="inlineStr">
        <is>
          <t>Azul Lavanda</t>
        </is>
      </c>
      <c r="F53" t="n">
        <v>267</v>
      </c>
      <c r="G53">
        <f>IF(AND(C53="MAR",D53="KIDS"),IFERROR(INDEX(PARAMETROS!$B$27:$B$38,MATCH(E53,PARAMETROS!$A$27:$A$38,0)),0),0)</f>
        <v/>
      </c>
      <c r="H53">
        <f>MAX(0,F53-G53)</f>
        <v/>
      </c>
      <c r="I53" s="8">
        <f>IF(D53="KIDS",PARAMETROS!$B$3,PARAMETROS!$B$4)</f>
        <v/>
      </c>
      <c r="J53">
        <f>ROUND(H53*I53,0)</f>
        <v/>
      </c>
      <c r="K53" t="n">
        <v>0.66</v>
      </c>
      <c r="L53">
        <f>IFERROR(INDEX(PARAMETROS!$B$9:$B$22,MATCH(E53,PARAMETROS!$A$9:$A$22,0)),IFERROR(INDEX(PARAMETROS!$B$9:$B$22,MATCH("Morado",PARAMETROS!$A$9:$A$22,0)),0))</f>
        <v/>
      </c>
      <c r="M53">
        <f>SUMIFS($Q$2:Q52,$E$2:$E52,E53)</f>
        <v/>
      </c>
      <c r="N53">
        <f>MAX(0,L53-M53)</f>
        <v/>
      </c>
      <c r="O53">
        <f>IF(N53&lt;5.0,0,FLOOR(N53/K53,1))</f>
        <v/>
      </c>
      <c r="P53">
        <f>MIN(J53,O53)</f>
        <v/>
      </c>
      <c r="Q53">
        <f>P53*K53</f>
        <v/>
      </c>
      <c r="R53">
        <f>IF(P53=0,"SIN TELA",IF(P53&lt;J53,"PARCIAL","OK"))</f>
        <v/>
      </c>
    </row>
    <row r="54">
      <c r="A54" t="n">
        <v>5</v>
      </c>
      <c r="B54" t="inlineStr">
        <is>
          <t>RIO CAB</t>
        </is>
      </c>
      <c r="C54" t="inlineStr">
        <is>
          <t>RIO</t>
        </is>
      </c>
      <c r="D54" t="inlineStr">
        <is>
          <t>CAB</t>
        </is>
      </c>
      <c r="E54" t="inlineStr">
        <is>
          <t>Verde Militar</t>
        </is>
      </c>
      <c r="F54" t="n">
        <v>245</v>
      </c>
      <c r="G54">
        <f>IF(AND(C54="MAR",D54="KIDS"),IFERROR(INDEX(PARAMETROS!$B$27:$B$38,MATCH(E54,PARAMETROS!$A$27:$A$38,0)),0),0)</f>
        <v/>
      </c>
      <c r="H54">
        <f>MAX(0,F54-G54)</f>
        <v/>
      </c>
      <c r="I54" s="8">
        <f>IF(D54="KIDS",PARAMETROS!$B$3,PARAMETROS!$B$4)</f>
        <v/>
      </c>
      <c r="J54">
        <f>ROUND(H54*I54,0)</f>
        <v/>
      </c>
      <c r="K54" t="n">
        <v>0.66</v>
      </c>
      <c r="L54">
        <f>IFERROR(INDEX(PARAMETROS!$B$9:$B$22,MATCH(E54,PARAMETROS!$A$9:$A$22,0)),IFERROR(INDEX(PARAMETROS!$B$9:$B$22,MATCH("Morado",PARAMETROS!$A$9:$A$22,0)),0))</f>
        <v/>
      </c>
      <c r="M54">
        <f>SUMIFS($Q$2:Q53,$E$2:$E53,E54)</f>
        <v/>
      </c>
      <c r="N54">
        <f>MAX(0,L54-M54)</f>
        <v/>
      </c>
      <c r="O54">
        <f>IF(N54&lt;5.0,0,FLOOR(N54/K54,1))</f>
        <v/>
      </c>
      <c r="P54">
        <f>MIN(J54,O54)</f>
        <v/>
      </c>
      <c r="Q54">
        <f>P54*K54</f>
        <v/>
      </c>
      <c r="R54">
        <f>IF(P54=0,"SIN TELA",IF(P54&lt;J54,"PARCIAL","OK"))</f>
        <v/>
      </c>
    </row>
    <row r="55">
      <c r="A55" t="n">
        <v>5</v>
      </c>
      <c r="B55" t="inlineStr">
        <is>
          <t>RIO CAB</t>
        </is>
      </c>
      <c r="C55" t="inlineStr">
        <is>
          <t>RIO</t>
        </is>
      </c>
      <c r="D55" t="inlineStr">
        <is>
          <t>CAB</t>
        </is>
      </c>
      <c r="E55" t="inlineStr">
        <is>
          <t>Rojo</t>
        </is>
      </c>
      <c r="F55" t="n">
        <v>227</v>
      </c>
      <c r="G55">
        <f>IF(AND(C55="MAR",D55="KIDS"),IFERROR(INDEX(PARAMETROS!$B$27:$B$38,MATCH(E55,PARAMETROS!$A$27:$A$38,0)),0),0)</f>
        <v/>
      </c>
      <c r="H55">
        <f>MAX(0,F55-G55)</f>
        <v/>
      </c>
      <c r="I55" s="8">
        <f>IF(D55="KIDS",PARAMETROS!$B$3,PARAMETROS!$B$4)</f>
        <v/>
      </c>
      <c r="J55">
        <f>ROUND(H55*I55,0)</f>
        <v/>
      </c>
      <c r="K55" t="n">
        <v>0.66</v>
      </c>
      <c r="L55">
        <f>IFERROR(INDEX(PARAMETROS!$B$9:$B$22,MATCH(E55,PARAMETROS!$A$9:$A$22,0)),IFERROR(INDEX(PARAMETROS!$B$9:$B$22,MATCH("Morado",PARAMETROS!$A$9:$A$22,0)),0))</f>
        <v/>
      </c>
      <c r="M55">
        <f>SUMIFS($Q$2:Q54,$E$2:$E54,E55)</f>
        <v/>
      </c>
      <c r="N55">
        <f>MAX(0,L55-M55)</f>
        <v/>
      </c>
      <c r="O55">
        <f>IF(N55&lt;5.0,0,FLOOR(N55/K55,1))</f>
        <v/>
      </c>
      <c r="P55">
        <f>MIN(J55,O55)</f>
        <v/>
      </c>
      <c r="Q55">
        <f>P55*K55</f>
        <v/>
      </c>
      <c r="R55">
        <f>IF(P55=0,"SIN TELA",IF(P55&lt;J55,"PARCIAL","OK"))</f>
        <v/>
      </c>
    </row>
    <row r="56">
      <c r="A56" t="n">
        <v>5</v>
      </c>
      <c r="B56" t="inlineStr">
        <is>
          <t>RIO CAB</t>
        </is>
      </c>
      <c r="C56" t="inlineStr">
        <is>
          <t>RIO</t>
        </is>
      </c>
      <c r="D56" t="inlineStr">
        <is>
          <t>CAB</t>
        </is>
      </c>
      <c r="E56" t="inlineStr">
        <is>
          <t>Vinotinto</t>
        </is>
      </c>
      <c r="F56" t="n">
        <v>183</v>
      </c>
      <c r="G56">
        <f>IF(AND(C56="MAR",D56="KIDS"),IFERROR(INDEX(PARAMETROS!$B$27:$B$38,MATCH(E56,PARAMETROS!$A$27:$A$38,0)),0),0)</f>
        <v/>
      </c>
      <c r="H56">
        <f>MAX(0,F56-G56)</f>
        <v/>
      </c>
      <c r="I56" s="8">
        <f>IF(D56="KIDS",PARAMETROS!$B$3,PARAMETROS!$B$4)</f>
        <v/>
      </c>
      <c r="J56">
        <f>ROUND(H56*I56,0)</f>
        <v/>
      </c>
      <c r="K56" t="n">
        <v>0.66</v>
      </c>
      <c r="L56">
        <f>IFERROR(INDEX(PARAMETROS!$B$9:$B$22,MATCH(E56,PARAMETROS!$A$9:$A$22,0)),IFERROR(INDEX(PARAMETROS!$B$9:$B$22,MATCH("Morado",PARAMETROS!$A$9:$A$22,0)),0))</f>
        <v/>
      </c>
      <c r="M56">
        <f>SUMIFS($Q$2:Q55,$E$2:$E55,E56)</f>
        <v/>
      </c>
      <c r="N56">
        <f>MAX(0,L56-M56)</f>
        <v/>
      </c>
      <c r="O56">
        <f>IF(N56&lt;5.0,0,FLOOR(N56/K56,1))</f>
        <v/>
      </c>
      <c r="P56">
        <f>MIN(J56,O56)</f>
        <v/>
      </c>
      <c r="Q56">
        <f>P56*K56</f>
        <v/>
      </c>
      <c r="R56">
        <f>IF(P56=0,"SIN TELA",IF(P56&lt;J56,"PARCIAL","OK"))</f>
        <v/>
      </c>
    </row>
    <row r="57">
      <c r="A57" t="n">
        <v>5</v>
      </c>
      <c r="B57" t="inlineStr">
        <is>
          <t>RIO CAB</t>
        </is>
      </c>
      <c r="C57" t="inlineStr">
        <is>
          <t>RIO</t>
        </is>
      </c>
      <c r="D57" t="inlineStr">
        <is>
          <t>CAB</t>
        </is>
      </c>
      <c r="E57" t="inlineStr">
        <is>
          <t>Aguamarina</t>
        </is>
      </c>
      <c r="F57" t="n">
        <v>154</v>
      </c>
      <c r="G57">
        <f>IF(AND(C57="MAR",D57="KIDS"),IFERROR(INDEX(PARAMETROS!$B$27:$B$38,MATCH(E57,PARAMETROS!$A$27:$A$38,0)),0),0)</f>
        <v/>
      </c>
      <c r="H57">
        <f>MAX(0,F57-G57)</f>
        <v/>
      </c>
      <c r="I57" s="8">
        <f>IF(D57="KIDS",PARAMETROS!$B$3,PARAMETROS!$B$4)</f>
        <v/>
      </c>
      <c r="J57">
        <f>ROUND(H57*I57,0)</f>
        <v/>
      </c>
      <c r="K57" t="n">
        <v>0.66</v>
      </c>
      <c r="L57">
        <f>IFERROR(INDEX(PARAMETROS!$B$9:$B$22,MATCH(E57,PARAMETROS!$A$9:$A$22,0)),IFERROR(INDEX(PARAMETROS!$B$9:$B$22,MATCH("Morado",PARAMETROS!$A$9:$A$22,0)),0))</f>
        <v/>
      </c>
      <c r="M57">
        <f>SUMIFS($Q$2:Q56,$E$2:$E56,E57)</f>
        <v/>
      </c>
      <c r="N57">
        <f>MAX(0,L57-M57)</f>
        <v/>
      </c>
      <c r="O57">
        <f>IF(N57&lt;5.0,0,FLOOR(N57/K57,1))</f>
        <v/>
      </c>
      <c r="P57">
        <f>MIN(J57,O57)</f>
        <v/>
      </c>
      <c r="Q57">
        <f>P57*K57</f>
        <v/>
      </c>
      <c r="R57">
        <f>IF(P57=0,"SIN TELA",IF(P57&lt;J57,"PARCIAL","OK"))</f>
        <v/>
      </c>
    </row>
    <row r="58">
      <c r="A58" t="n">
        <v>5</v>
      </c>
      <c r="B58" t="inlineStr">
        <is>
          <t>RIO CAB</t>
        </is>
      </c>
      <c r="C58" t="inlineStr">
        <is>
          <t>RIO</t>
        </is>
      </c>
      <c r="D58" t="inlineStr">
        <is>
          <t>CAB</t>
        </is>
      </c>
      <c r="E58" t="inlineStr">
        <is>
          <t>Gris Claro</t>
        </is>
      </c>
      <c r="F58" t="n">
        <v>133</v>
      </c>
      <c r="G58">
        <f>IF(AND(C58="MAR",D58="KIDS"),IFERROR(INDEX(PARAMETROS!$B$27:$B$38,MATCH(E58,PARAMETROS!$A$27:$A$38,0)),0),0)</f>
        <v/>
      </c>
      <c r="H58">
        <f>MAX(0,F58-G58)</f>
        <v/>
      </c>
      <c r="I58" s="8">
        <f>IF(D58="KIDS",PARAMETROS!$B$3,PARAMETROS!$B$4)</f>
        <v/>
      </c>
      <c r="J58">
        <f>ROUND(H58*I58,0)</f>
        <v/>
      </c>
      <c r="K58" t="n">
        <v>0.66</v>
      </c>
      <c r="L58">
        <f>IFERROR(INDEX(PARAMETROS!$B$9:$B$22,MATCH(E58,PARAMETROS!$A$9:$A$22,0)),IFERROR(INDEX(PARAMETROS!$B$9:$B$22,MATCH("Morado",PARAMETROS!$A$9:$A$22,0)),0))</f>
        <v/>
      </c>
      <c r="M58">
        <f>SUMIFS($Q$2:Q57,$E$2:$E57,E58)</f>
        <v/>
      </c>
      <c r="N58">
        <f>MAX(0,L58-M58)</f>
        <v/>
      </c>
      <c r="O58">
        <f>IF(N58&lt;5.0,0,FLOOR(N58/K58,1))</f>
        <v/>
      </c>
      <c r="P58">
        <f>MIN(J58,O58)</f>
        <v/>
      </c>
      <c r="Q58">
        <f>P58*K58</f>
        <v/>
      </c>
      <c r="R58">
        <f>IF(P58=0,"SIN TELA",IF(P58&lt;J58,"PARCIAL","OK"))</f>
        <v/>
      </c>
    </row>
    <row r="59">
      <c r="A59" t="n">
        <v>5</v>
      </c>
      <c r="B59" t="inlineStr">
        <is>
          <t>RIO CAB</t>
        </is>
      </c>
      <c r="C59" t="inlineStr">
        <is>
          <t>RIO</t>
        </is>
      </c>
      <c r="D59" t="inlineStr">
        <is>
          <t>CAB</t>
        </is>
      </c>
      <c r="E59" t="inlineStr">
        <is>
          <t>Amarillo Neón</t>
        </is>
      </c>
      <c r="F59" t="n">
        <v>47</v>
      </c>
      <c r="G59">
        <f>IF(AND(C59="MAR",D59="KIDS"),IFERROR(INDEX(PARAMETROS!$B$27:$B$38,MATCH(E59,PARAMETROS!$A$27:$A$38,0)),0),0)</f>
        <v/>
      </c>
      <c r="H59">
        <f>MAX(0,F59-G59)</f>
        <v/>
      </c>
      <c r="I59" s="8">
        <f>IF(D59="KIDS",PARAMETROS!$B$3,PARAMETROS!$B$4)</f>
        <v/>
      </c>
      <c r="J59">
        <f>ROUND(H59*I59,0)</f>
        <v/>
      </c>
      <c r="K59" t="n">
        <v>0.66</v>
      </c>
      <c r="L59">
        <f>IFERROR(INDEX(PARAMETROS!$B$9:$B$22,MATCH(E59,PARAMETROS!$A$9:$A$22,0)),IFERROR(INDEX(PARAMETROS!$B$9:$B$22,MATCH("Morado",PARAMETROS!$A$9:$A$22,0)),0))</f>
        <v/>
      </c>
      <c r="M59">
        <f>SUMIFS($Q$2:Q58,$E$2:$E58,E59)</f>
        <v/>
      </c>
      <c r="N59">
        <f>MAX(0,L59-M59)</f>
        <v/>
      </c>
      <c r="O59">
        <f>IF(N59&lt;5.0,0,FLOOR(N59/K59,1))</f>
        <v/>
      </c>
      <c r="P59">
        <f>MIN(J59,O59)</f>
        <v/>
      </c>
      <c r="Q59">
        <f>P59*K59</f>
        <v/>
      </c>
      <c r="R59">
        <f>IF(P59=0,"SIN TELA",IF(P59&lt;J59,"PARCIAL","OK"))</f>
        <v/>
      </c>
    </row>
    <row r="60">
      <c r="A60" t="n">
        <v>6</v>
      </c>
      <c r="B60" t="inlineStr">
        <is>
          <t>RIO DAMA</t>
        </is>
      </c>
      <c r="C60" t="inlineStr">
        <is>
          <t>RIO</t>
        </is>
      </c>
      <c r="D60" t="inlineStr">
        <is>
          <t>DAMA</t>
        </is>
      </c>
      <c r="E60" t="inlineStr">
        <is>
          <t>Negro</t>
        </is>
      </c>
      <c r="F60" t="n">
        <v>561</v>
      </c>
      <c r="G60">
        <f>IF(AND(C60="MAR",D60="KIDS"),IFERROR(INDEX(PARAMETROS!$B$27:$B$38,MATCH(E60,PARAMETROS!$A$27:$A$38,0)),0),0)</f>
        <v/>
      </c>
      <c r="H60">
        <f>MAX(0,F60-G60)</f>
        <v/>
      </c>
      <c r="I60" s="8">
        <f>IF(D60="KIDS",PARAMETROS!$B$3,PARAMETROS!$B$4)</f>
        <v/>
      </c>
      <c r="J60">
        <f>ROUND(H60*I60,0)</f>
        <v/>
      </c>
      <c r="K60" t="n">
        <v>0.52</v>
      </c>
      <c r="L60">
        <f>IFERROR(INDEX(PARAMETROS!$B$9:$B$22,MATCH(E60,PARAMETROS!$A$9:$A$22,0)),IFERROR(INDEX(PARAMETROS!$B$9:$B$22,MATCH("Morado",PARAMETROS!$A$9:$A$22,0)),0))</f>
        <v/>
      </c>
      <c r="M60">
        <f>SUMIFS($Q$2:Q59,$E$2:$E59,E60)</f>
        <v/>
      </c>
      <c r="N60">
        <f>MAX(0,L60-M60)</f>
        <v/>
      </c>
      <c r="O60">
        <f>IF(N60&lt;5.0,0,FLOOR(N60/K60,1))</f>
        <v/>
      </c>
      <c r="P60">
        <f>MIN(J60,O60)</f>
        <v/>
      </c>
      <c r="Q60">
        <f>P60*K60</f>
        <v/>
      </c>
      <c r="R60">
        <f>IF(P60=0,"SIN TELA",IF(P60&lt;J60,"PARCIAL","OK"))</f>
        <v/>
      </c>
    </row>
    <row r="61">
      <c r="A61" t="n">
        <v>6</v>
      </c>
      <c r="B61" t="inlineStr">
        <is>
          <t>RIO DAMA</t>
        </is>
      </c>
      <c r="C61" t="inlineStr">
        <is>
          <t>RIO</t>
        </is>
      </c>
      <c r="D61" t="inlineStr">
        <is>
          <t>DAMA</t>
        </is>
      </c>
      <c r="E61" t="inlineStr">
        <is>
          <t>Azul Marino</t>
        </is>
      </c>
      <c r="F61" t="n">
        <v>388</v>
      </c>
      <c r="G61">
        <f>IF(AND(C61="MAR",D61="KIDS"),IFERROR(INDEX(PARAMETROS!$B$27:$B$38,MATCH(E61,PARAMETROS!$A$27:$A$38,0)),0),0)</f>
        <v/>
      </c>
      <c r="H61">
        <f>MAX(0,F61-G61)</f>
        <v/>
      </c>
      <c r="I61" s="8">
        <f>IF(D61="KIDS",PARAMETROS!$B$3,PARAMETROS!$B$4)</f>
        <v/>
      </c>
      <c r="J61">
        <f>ROUND(H61*I61,0)</f>
        <v/>
      </c>
      <c r="K61" t="n">
        <v>0.52</v>
      </c>
      <c r="L61">
        <f>IFERROR(INDEX(PARAMETROS!$B$9:$B$22,MATCH(E61,PARAMETROS!$A$9:$A$22,0)),IFERROR(INDEX(PARAMETROS!$B$9:$B$22,MATCH("Morado",PARAMETROS!$A$9:$A$22,0)),0))</f>
        <v/>
      </c>
      <c r="M61">
        <f>SUMIFS($Q$2:Q60,$E$2:$E60,E61)</f>
        <v/>
      </c>
      <c r="N61">
        <f>MAX(0,L61-M61)</f>
        <v/>
      </c>
      <c r="O61">
        <f>IF(N61&lt;5.0,0,FLOOR(N61/K61,1))</f>
        <v/>
      </c>
      <c r="P61">
        <f>MIN(J61,O61)</f>
        <v/>
      </c>
      <c r="Q61">
        <f>P61*K61</f>
        <v/>
      </c>
      <c r="R61">
        <f>IF(P61=0,"SIN TELA",IF(P61&lt;J61,"PARCIAL","OK"))</f>
        <v/>
      </c>
    </row>
    <row r="62">
      <c r="A62" t="n">
        <v>6</v>
      </c>
      <c r="B62" t="inlineStr">
        <is>
          <t>RIO DAMA</t>
        </is>
      </c>
      <c r="C62" t="inlineStr">
        <is>
          <t>RIO</t>
        </is>
      </c>
      <c r="D62" t="inlineStr">
        <is>
          <t>DAMA</t>
        </is>
      </c>
      <c r="E62" t="inlineStr">
        <is>
          <t>Blanco</t>
        </is>
      </c>
      <c r="F62" t="n">
        <v>343</v>
      </c>
      <c r="G62">
        <f>IF(AND(C62="MAR",D62="KIDS"),IFERROR(INDEX(PARAMETROS!$B$27:$B$38,MATCH(E62,PARAMETROS!$A$27:$A$38,0)),0),0)</f>
        <v/>
      </c>
      <c r="H62">
        <f>MAX(0,F62-G62)</f>
        <v/>
      </c>
      <c r="I62" s="8">
        <f>IF(D62="KIDS",PARAMETROS!$B$3,PARAMETROS!$B$4)</f>
        <v/>
      </c>
      <c r="J62">
        <f>ROUND(H62*I62,0)</f>
        <v/>
      </c>
      <c r="K62" t="n">
        <v>0.52</v>
      </c>
      <c r="L62">
        <f>IFERROR(INDEX(PARAMETROS!$B$9:$B$22,MATCH(E62,PARAMETROS!$A$9:$A$22,0)),IFERROR(INDEX(PARAMETROS!$B$9:$B$22,MATCH("Morado",PARAMETROS!$A$9:$A$22,0)),0))</f>
        <v/>
      </c>
      <c r="M62">
        <f>SUMIFS($Q$2:Q61,$E$2:$E61,E62)</f>
        <v/>
      </c>
      <c r="N62">
        <f>MAX(0,L62-M62)</f>
        <v/>
      </c>
      <c r="O62">
        <f>IF(N62&lt;5.0,0,FLOOR(N62/K62,1))</f>
        <v/>
      </c>
      <c r="P62">
        <f>MIN(J62,O62)</f>
        <v/>
      </c>
      <c r="Q62">
        <f>P62*K62</f>
        <v/>
      </c>
      <c r="R62">
        <f>IF(P62=0,"SIN TELA",IF(P62&lt;J62,"PARCIAL","OK"))</f>
        <v/>
      </c>
    </row>
    <row r="63">
      <c r="A63" t="n">
        <v>6</v>
      </c>
      <c r="B63" t="inlineStr">
        <is>
          <t>RIO DAMA</t>
        </is>
      </c>
      <c r="C63" t="inlineStr">
        <is>
          <t>RIO</t>
        </is>
      </c>
      <c r="D63" t="inlineStr">
        <is>
          <t>DAMA</t>
        </is>
      </c>
      <c r="E63" t="inlineStr">
        <is>
          <t>Aguamarina</t>
        </is>
      </c>
      <c r="F63" t="n">
        <v>286</v>
      </c>
      <c r="G63">
        <f>IF(AND(C63="MAR",D63="KIDS"),IFERROR(INDEX(PARAMETROS!$B$27:$B$38,MATCH(E63,PARAMETROS!$A$27:$A$38,0)),0),0)</f>
        <v/>
      </c>
      <c r="H63">
        <f>MAX(0,F63-G63)</f>
        <v/>
      </c>
      <c r="I63" s="8">
        <f>IF(D63="KIDS",PARAMETROS!$B$3,PARAMETROS!$B$4)</f>
        <v/>
      </c>
      <c r="J63">
        <f>ROUND(H63*I63,0)</f>
        <v/>
      </c>
      <c r="K63" t="n">
        <v>0.52</v>
      </c>
      <c r="L63">
        <f>IFERROR(INDEX(PARAMETROS!$B$9:$B$22,MATCH(E63,PARAMETROS!$A$9:$A$22,0)),IFERROR(INDEX(PARAMETROS!$B$9:$B$22,MATCH("Morado",PARAMETROS!$A$9:$A$22,0)),0))</f>
        <v/>
      </c>
      <c r="M63">
        <f>SUMIFS($Q$2:Q62,$E$2:$E62,E63)</f>
        <v/>
      </c>
      <c r="N63">
        <f>MAX(0,L63-M63)</f>
        <v/>
      </c>
      <c r="O63">
        <f>IF(N63&lt;5.0,0,FLOOR(N63/K63,1))</f>
        <v/>
      </c>
      <c r="P63">
        <f>MIN(J63,O63)</f>
        <v/>
      </c>
      <c r="Q63">
        <f>P63*K63</f>
        <v/>
      </c>
      <c r="R63">
        <f>IF(P63=0,"SIN TELA",IF(P63&lt;J63,"PARCIAL","OK"))</f>
        <v/>
      </c>
    </row>
    <row r="64">
      <c r="A64" t="n">
        <v>6</v>
      </c>
      <c r="B64" t="inlineStr">
        <is>
          <t>RIO DAMA</t>
        </is>
      </c>
      <c r="C64" t="inlineStr">
        <is>
          <t>RIO</t>
        </is>
      </c>
      <c r="D64" t="inlineStr">
        <is>
          <t>DAMA</t>
        </is>
      </c>
      <c r="E64" t="inlineStr">
        <is>
          <t>Lila</t>
        </is>
      </c>
      <c r="F64" t="n">
        <v>283</v>
      </c>
      <c r="G64">
        <f>IF(AND(C64="MAR",D64="KIDS"),IFERROR(INDEX(PARAMETROS!$B$27:$B$38,MATCH(E64,PARAMETROS!$A$27:$A$38,0)),0),0)</f>
        <v/>
      </c>
      <c r="H64">
        <f>MAX(0,F64-G64)</f>
        <v/>
      </c>
      <c r="I64" s="8">
        <f>IF(D64="KIDS",PARAMETROS!$B$3,PARAMETROS!$B$4)</f>
        <v/>
      </c>
      <c r="J64">
        <f>ROUND(H64*I64,0)</f>
        <v/>
      </c>
      <c r="K64" t="n">
        <v>0.52</v>
      </c>
      <c r="L64">
        <f>IFERROR(INDEX(PARAMETROS!$B$9:$B$22,MATCH(E64,PARAMETROS!$A$9:$A$22,0)),IFERROR(INDEX(PARAMETROS!$B$9:$B$22,MATCH("Morado",PARAMETROS!$A$9:$A$22,0)),0))</f>
        <v/>
      </c>
      <c r="M64">
        <f>SUMIFS($Q$2:Q63,$E$2:$E63,E64)</f>
        <v/>
      </c>
      <c r="N64">
        <f>MAX(0,L64-M64)</f>
        <v/>
      </c>
      <c r="O64">
        <f>IF(N64&lt;5.0,0,FLOOR(N64/K64,1))</f>
        <v/>
      </c>
      <c r="P64">
        <f>MIN(J64,O64)</f>
        <v/>
      </c>
      <c r="Q64">
        <f>P64*K64</f>
        <v/>
      </c>
      <c r="R64">
        <f>IF(P64=0,"SIN TELA",IF(P64&lt;J64,"PARCIAL","OK"))</f>
        <v/>
      </c>
    </row>
    <row r="65">
      <c r="A65" t="n">
        <v>6</v>
      </c>
      <c r="B65" t="inlineStr">
        <is>
          <t>RIO DAMA</t>
        </is>
      </c>
      <c r="C65" t="inlineStr">
        <is>
          <t>RIO</t>
        </is>
      </c>
      <c r="D65" t="inlineStr">
        <is>
          <t>DAMA</t>
        </is>
      </c>
      <c r="E65" t="inlineStr">
        <is>
          <t>Azul Lavanda</t>
        </is>
      </c>
      <c r="F65" t="n">
        <v>269</v>
      </c>
      <c r="G65">
        <f>IF(AND(C65="MAR",D65="KIDS"),IFERROR(INDEX(PARAMETROS!$B$27:$B$38,MATCH(E65,PARAMETROS!$A$27:$A$38,0)),0),0)</f>
        <v/>
      </c>
      <c r="H65">
        <f>MAX(0,F65-G65)</f>
        <v/>
      </c>
      <c r="I65" s="8">
        <f>IF(D65="KIDS",PARAMETROS!$B$3,PARAMETROS!$B$4)</f>
        <v/>
      </c>
      <c r="J65">
        <f>ROUND(H65*I65,0)</f>
        <v/>
      </c>
      <c r="K65" t="n">
        <v>0.52</v>
      </c>
      <c r="L65">
        <f>IFERROR(INDEX(PARAMETROS!$B$9:$B$22,MATCH(E65,PARAMETROS!$A$9:$A$22,0)),IFERROR(INDEX(PARAMETROS!$B$9:$B$22,MATCH("Morado",PARAMETROS!$A$9:$A$22,0)),0))</f>
        <v/>
      </c>
      <c r="M65">
        <f>SUMIFS($Q$2:Q64,$E$2:$E64,E65)</f>
        <v/>
      </c>
      <c r="N65">
        <f>MAX(0,L65-M65)</f>
        <v/>
      </c>
      <c r="O65">
        <f>IF(N65&lt;5.0,0,FLOOR(N65/K65,1))</f>
        <v/>
      </c>
      <c r="P65">
        <f>MIN(J65,O65)</f>
        <v/>
      </c>
      <c r="Q65">
        <f>P65*K65</f>
        <v/>
      </c>
      <c r="R65">
        <f>IF(P65=0,"SIN TELA",IF(P65&lt;J65,"PARCIAL","OK"))</f>
        <v/>
      </c>
    </row>
    <row r="66">
      <c r="A66" t="n">
        <v>6</v>
      </c>
      <c r="B66" t="inlineStr">
        <is>
          <t>RIO DAMA</t>
        </is>
      </c>
      <c r="C66" t="inlineStr">
        <is>
          <t>RIO</t>
        </is>
      </c>
      <c r="D66" t="inlineStr">
        <is>
          <t>DAMA</t>
        </is>
      </c>
      <c r="E66" t="inlineStr">
        <is>
          <t>Rojo</t>
        </is>
      </c>
      <c r="F66" t="n">
        <v>180</v>
      </c>
      <c r="G66">
        <f>IF(AND(C66="MAR",D66="KIDS"),IFERROR(INDEX(PARAMETROS!$B$27:$B$38,MATCH(E66,PARAMETROS!$A$27:$A$38,0)),0),0)</f>
        <v/>
      </c>
      <c r="H66">
        <f>MAX(0,F66-G66)</f>
        <v/>
      </c>
      <c r="I66" s="8">
        <f>IF(D66="KIDS",PARAMETROS!$B$3,PARAMETROS!$B$4)</f>
        <v/>
      </c>
      <c r="J66">
        <f>ROUND(H66*I66,0)</f>
        <v/>
      </c>
      <c r="K66" t="n">
        <v>0.52</v>
      </c>
      <c r="L66">
        <f>IFERROR(INDEX(PARAMETROS!$B$9:$B$22,MATCH(E66,PARAMETROS!$A$9:$A$22,0)),IFERROR(INDEX(PARAMETROS!$B$9:$B$22,MATCH("Morado",PARAMETROS!$A$9:$A$22,0)),0))</f>
        <v/>
      </c>
      <c r="M66">
        <f>SUMIFS($Q$2:Q65,$E$2:$E65,E66)</f>
        <v/>
      </c>
      <c r="N66">
        <f>MAX(0,L66-M66)</f>
        <v/>
      </c>
      <c r="O66">
        <f>IF(N66&lt;5.0,0,FLOOR(N66/K66,1))</f>
        <v/>
      </c>
      <c r="P66">
        <f>MIN(J66,O66)</f>
        <v/>
      </c>
      <c r="Q66">
        <f>P66*K66</f>
        <v/>
      </c>
      <c r="R66">
        <f>IF(P66=0,"SIN TELA",IF(P66&lt;J66,"PARCIAL","OK"))</f>
        <v/>
      </c>
    </row>
    <row r="67">
      <c r="A67" t="n">
        <v>6</v>
      </c>
      <c r="B67" t="inlineStr">
        <is>
          <t>RIO DAMA</t>
        </is>
      </c>
      <c r="C67" t="inlineStr">
        <is>
          <t>RIO</t>
        </is>
      </c>
      <c r="D67" t="inlineStr">
        <is>
          <t>DAMA</t>
        </is>
      </c>
      <c r="E67" t="inlineStr">
        <is>
          <t>Vinotinto</t>
        </is>
      </c>
      <c r="F67" t="n">
        <v>163</v>
      </c>
      <c r="G67">
        <f>IF(AND(C67="MAR",D67="KIDS"),IFERROR(INDEX(PARAMETROS!$B$27:$B$38,MATCH(E67,PARAMETROS!$A$27:$A$38,0)),0),0)</f>
        <v/>
      </c>
      <c r="H67">
        <f>MAX(0,F67-G67)</f>
        <v/>
      </c>
      <c r="I67" s="8">
        <f>IF(D67="KIDS",PARAMETROS!$B$3,PARAMETROS!$B$4)</f>
        <v/>
      </c>
      <c r="J67">
        <f>ROUND(H67*I67,0)</f>
        <v/>
      </c>
      <c r="K67" t="n">
        <v>0.52</v>
      </c>
      <c r="L67">
        <f>IFERROR(INDEX(PARAMETROS!$B$9:$B$22,MATCH(E67,PARAMETROS!$A$9:$A$22,0)),IFERROR(INDEX(PARAMETROS!$B$9:$B$22,MATCH("Morado",PARAMETROS!$A$9:$A$22,0)),0))</f>
        <v/>
      </c>
      <c r="M67">
        <f>SUMIFS($Q$2:Q66,$E$2:$E66,E67)</f>
        <v/>
      </c>
      <c r="N67">
        <f>MAX(0,L67-M67)</f>
        <v/>
      </c>
      <c r="O67">
        <f>IF(N67&lt;5.0,0,FLOOR(N67/K67,1))</f>
        <v/>
      </c>
      <c r="P67">
        <f>MIN(J67,O67)</f>
        <v/>
      </c>
      <c r="Q67">
        <f>P67*K67</f>
        <v/>
      </c>
      <c r="R67">
        <f>IF(P67=0,"SIN TELA",IF(P67&lt;J67,"PARCIAL","OK"))</f>
        <v/>
      </c>
    </row>
    <row r="68">
      <c r="A68" t="n">
        <v>6</v>
      </c>
      <c r="B68" t="inlineStr">
        <is>
          <t>RIO DAMA</t>
        </is>
      </c>
      <c r="C68" t="inlineStr">
        <is>
          <t>RIO</t>
        </is>
      </c>
      <c r="D68" t="inlineStr">
        <is>
          <t>DAMA</t>
        </is>
      </c>
      <c r="E68" t="inlineStr">
        <is>
          <t>Verde Militar</t>
        </is>
      </c>
      <c r="F68" t="n">
        <v>146</v>
      </c>
      <c r="G68">
        <f>IF(AND(C68="MAR",D68="KIDS"),IFERROR(INDEX(PARAMETROS!$B$27:$B$38,MATCH(E68,PARAMETROS!$A$27:$A$38,0)),0),0)</f>
        <v/>
      </c>
      <c r="H68">
        <f>MAX(0,F68-G68)</f>
        <v/>
      </c>
      <c r="I68" s="8">
        <f>IF(D68="KIDS",PARAMETROS!$B$3,PARAMETROS!$B$4)</f>
        <v/>
      </c>
      <c r="J68">
        <f>ROUND(H68*I68,0)</f>
        <v/>
      </c>
      <c r="K68" t="n">
        <v>0.52</v>
      </c>
      <c r="L68">
        <f>IFERROR(INDEX(PARAMETROS!$B$9:$B$22,MATCH(E68,PARAMETROS!$A$9:$A$22,0)),IFERROR(INDEX(PARAMETROS!$B$9:$B$22,MATCH("Morado",PARAMETROS!$A$9:$A$22,0)),0))</f>
        <v/>
      </c>
      <c r="M68">
        <f>SUMIFS($Q$2:Q67,$E$2:$E67,E68)</f>
        <v/>
      </c>
      <c r="N68">
        <f>MAX(0,L68-M68)</f>
        <v/>
      </c>
      <c r="O68">
        <f>IF(N68&lt;5.0,0,FLOOR(N68/K68,1))</f>
        <v/>
      </c>
      <c r="P68">
        <f>MIN(J68,O68)</f>
        <v/>
      </c>
      <c r="Q68">
        <f>P68*K68</f>
        <v/>
      </c>
      <c r="R68">
        <f>IF(P68=0,"SIN TELA",IF(P68&lt;J68,"PARCIAL","OK"))</f>
        <v/>
      </c>
    </row>
    <row r="69">
      <c r="A69" t="n">
        <v>6</v>
      </c>
      <c r="B69" t="inlineStr">
        <is>
          <t>RIO DAMA</t>
        </is>
      </c>
      <c r="C69" t="inlineStr">
        <is>
          <t>RIO</t>
        </is>
      </c>
      <c r="D69" t="inlineStr">
        <is>
          <t>DAMA</t>
        </is>
      </c>
      <c r="E69" t="inlineStr">
        <is>
          <t>Púrpura</t>
        </is>
      </c>
      <c r="F69" t="n">
        <v>140</v>
      </c>
      <c r="G69">
        <f>IF(AND(C69="MAR",D69="KIDS"),IFERROR(INDEX(PARAMETROS!$B$27:$B$38,MATCH(E69,PARAMETROS!$A$27:$A$38,0)),0),0)</f>
        <v/>
      </c>
      <c r="H69">
        <f>MAX(0,F69-G69)</f>
        <v/>
      </c>
      <c r="I69" s="8">
        <f>IF(D69="KIDS",PARAMETROS!$B$3,PARAMETROS!$B$4)</f>
        <v/>
      </c>
      <c r="J69">
        <f>ROUND(H69*I69,0)</f>
        <v/>
      </c>
      <c r="K69" t="n">
        <v>0.52</v>
      </c>
      <c r="L69">
        <f>IFERROR(INDEX(PARAMETROS!$B$9:$B$22,MATCH(E69,PARAMETROS!$A$9:$A$22,0)),IFERROR(INDEX(PARAMETROS!$B$9:$B$22,MATCH("Morado",PARAMETROS!$A$9:$A$22,0)),0))</f>
        <v/>
      </c>
      <c r="M69">
        <f>SUMIFS($Q$2:Q68,$E$2:$E68,E69)</f>
        <v/>
      </c>
      <c r="N69">
        <f>MAX(0,L69-M69)</f>
        <v/>
      </c>
      <c r="O69">
        <f>IF(N69&lt;5.0,0,FLOOR(N69/K69,1))</f>
        <v/>
      </c>
      <c r="P69">
        <f>MIN(J69,O69)</f>
        <v/>
      </c>
      <c r="Q69">
        <f>P69*K69</f>
        <v/>
      </c>
      <c r="R69">
        <f>IF(P69=0,"SIN TELA",IF(P69&lt;J69,"PARCIAL","OK"))</f>
        <v/>
      </c>
    </row>
    <row r="70">
      <c r="A70" t="n">
        <v>6</v>
      </c>
      <c r="B70" t="inlineStr">
        <is>
          <t>RIO DAMA</t>
        </is>
      </c>
      <c r="C70" t="inlineStr">
        <is>
          <t>RIO</t>
        </is>
      </c>
      <c r="D70" t="inlineStr">
        <is>
          <t>DAMA</t>
        </is>
      </c>
      <c r="E70" t="inlineStr">
        <is>
          <t>Rosado Pastel</t>
        </is>
      </c>
      <c r="F70" t="n">
        <v>72</v>
      </c>
      <c r="G70">
        <f>IF(AND(C70="MAR",D70="KIDS"),IFERROR(INDEX(PARAMETROS!$B$27:$B$38,MATCH(E70,PARAMETROS!$A$27:$A$38,0)),0),0)</f>
        <v/>
      </c>
      <c r="H70">
        <f>MAX(0,F70-G70)</f>
        <v/>
      </c>
      <c r="I70" s="8">
        <f>IF(D70="KIDS",PARAMETROS!$B$3,PARAMETROS!$B$4)</f>
        <v/>
      </c>
      <c r="J70">
        <f>ROUND(H70*I70,0)</f>
        <v/>
      </c>
      <c r="K70" t="n">
        <v>0.52</v>
      </c>
      <c r="L70">
        <f>IFERROR(INDEX(PARAMETROS!$B$9:$B$22,MATCH(E70,PARAMETROS!$A$9:$A$22,0)),IFERROR(INDEX(PARAMETROS!$B$9:$B$22,MATCH("Morado",PARAMETROS!$A$9:$A$22,0)),0))</f>
        <v/>
      </c>
      <c r="M70">
        <f>SUMIFS($Q$2:Q69,$E$2:$E69,E70)</f>
        <v/>
      </c>
      <c r="N70">
        <f>MAX(0,L70-M70)</f>
        <v/>
      </c>
      <c r="O70">
        <f>IF(N70&lt;5.0,0,FLOOR(N70/K70,1))</f>
        <v/>
      </c>
      <c r="P70">
        <f>MIN(J70,O70)</f>
        <v/>
      </c>
      <c r="Q70">
        <f>P70*K70</f>
        <v/>
      </c>
      <c r="R70">
        <f>IF(P70=0,"SIN TELA",IF(P70&lt;J70,"PARCIAL","OK"))</f>
        <v/>
      </c>
    </row>
    <row r="71">
      <c r="A71" t="n">
        <v>6</v>
      </c>
      <c r="B71" t="inlineStr">
        <is>
          <t>RIO DAMA</t>
        </is>
      </c>
      <c r="C71" t="inlineStr">
        <is>
          <t>RIO</t>
        </is>
      </c>
      <c r="D71" t="inlineStr">
        <is>
          <t>DAMA</t>
        </is>
      </c>
      <c r="E71" t="inlineStr">
        <is>
          <t>Amarillo Neón</t>
        </is>
      </c>
      <c r="F71" t="n">
        <v>62</v>
      </c>
      <c r="G71">
        <f>IF(AND(C71="MAR",D71="KIDS"),IFERROR(INDEX(PARAMETROS!$B$27:$B$38,MATCH(E71,PARAMETROS!$A$27:$A$38,0)),0),0)</f>
        <v/>
      </c>
      <c r="H71">
        <f>MAX(0,F71-G71)</f>
        <v/>
      </c>
      <c r="I71" s="8">
        <f>IF(D71="KIDS",PARAMETROS!$B$3,PARAMETROS!$B$4)</f>
        <v/>
      </c>
      <c r="J71">
        <f>ROUND(H71*I71,0)</f>
        <v/>
      </c>
      <c r="K71" t="n">
        <v>0.52</v>
      </c>
      <c r="L71">
        <f>IFERROR(INDEX(PARAMETROS!$B$9:$B$22,MATCH(E71,PARAMETROS!$A$9:$A$22,0)),IFERROR(INDEX(PARAMETROS!$B$9:$B$22,MATCH("Morado",PARAMETROS!$A$9:$A$22,0)),0))</f>
        <v/>
      </c>
      <c r="M71">
        <f>SUMIFS($Q$2:Q70,$E$2:$E70,E71)</f>
        <v/>
      </c>
      <c r="N71">
        <f>MAX(0,L71-M71)</f>
        <v/>
      </c>
      <c r="O71">
        <f>IF(N71&lt;5.0,0,FLOOR(N71/K71,1))</f>
        <v/>
      </c>
      <c r="P71">
        <f>MIN(J71,O71)</f>
        <v/>
      </c>
      <c r="Q71">
        <f>P71*K71</f>
        <v/>
      </c>
      <c r="R71">
        <f>IF(P71=0,"SIN TELA",IF(P71&lt;J71,"PARCIAL","OK"))</f>
        <v/>
      </c>
    </row>
    <row r="72"/>
    <row r="73">
      <c r="B73" t="inlineStr">
        <is>
          <t>TOTALES</t>
        </is>
      </c>
      <c r="P73">
        <f>SUM(P2:P71)</f>
        <v/>
      </c>
      <c r="Q73">
        <f>SUM(Q2:Q71)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7" customWidth="1" min="4" max="4"/>
    <col width="21" customWidth="1" min="5" max="5"/>
    <col width="19" customWidth="1" min="6" max="6"/>
    <col width="21" customWidth="1" min="7" max="7"/>
    <col width="22" customWidth="1" min="8" max="8"/>
  </cols>
  <sheetData>
    <row r="1">
      <c r="A1" s="5" t="inlineStr">
        <is>
          <t>Modelo</t>
        </is>
      </c>
      <c r="B1" s="5" t="inlineStr">
        <is>
          <t>Género</t>
        </is>
      </c>
      <c r="C1" s="5" t="inlineStr">
        <is>
          <t>Color</t>
        </is>
      </c>
      <c r="D1" s="5" t="inlineStr">
        <is>
          <t>Talla</t>
        </is>
      </c>
      <c r="E1" s="5" t="inlineStr">
        <is>
          <t>Und máx Excel (mix)</t>
        </is>
      </c>
      <c r="F1" s="5" t="inlineStr">
        <is>
          <t>Total color Excel</t>
        </is>
      </c>
      <c r="G1" s="5" t="inlineStr">
        <is>
          <t>Und FINAL color</t>
        </is>
      </c>
      <c r="H1" s="5" t="inlineStr">
        <is>
          <t>Und talla A PRODUCIR</t>
        </is>
      </c>
    </row>
    <row r="2">
      <c r="A2" t="inlineStr">
        <is>
          <t>RIO</t>
        </is>
      </c>
      <c r="B2" t="inlineStr">
        <is>
          <t>KIDS</t>
        </is>
      </c>
      <c r="C2" t="inlineStr">
        <is>
          <t>Azul Marino</t>
        </is>
      </c>
      <c r="D2" t="inlineStr">
        <is>
          <t>10</t>
        </is>
      </c>
      <c r="E2" t="n">
        <v>35</v>
      </c>
      <c r="F2" t="n">
        <v>361</v>
      </c>
      <c r="G2">
        <f>'PLAN COLORES'!P2</f>
        <v/>
      </c>
      <c r="H2">
        <f>IF(G2=0,0,IF(F2=0,0,ROUND(G2*E2/F2,0)))</f>
        <v/>
      </c>
    </row>
    <row r="3">
      <c r="A3" t="inlineStr">
        <is>
          <t>RIO</t>
        </is>
      </c>
      <c r="B3" t="inlineStr">
        <is>
          <t>KIDS</t>
        </is>
      </c>
      <c r="C3" t="inlineStr">
        <is>
          <t>Azul Marino</t>
        </is>
      </c>
      <c r="D3" t="inlineStr">
        <is>
          <t>12</t>
        </is>
      </c>
      <c r="E3" t="n">
        <v>48</v>
      </c>
      <c r="F3" t="n">
        <v>361</v>
      </c>
      <c r="G3">
        <f>'PLAN COLORES'!P2</f>
        <v/>
      </c>
      <c r="H3">
        <f>IF(G3=0,0,IF(F3=0,0,ROUND(G3*E3/F3,0)))</f>
        <v/>
      </c>
    </row>
    <row r="4">
      <c r="A4" t="inlineStr">
        <is>
          <t>RIO</t>
        </is>
      </c>
      <c r="B4" t="inlineStr">
        <is>
          <t>KIDS</t>
        </is>
      </c>
      <c r="C4" t="inlineStr">
        <is>
          <t>Azul Marino</t>
        </is>
      </c>
      <c r="D4" t="inlineStr">
        <is>
          <t>14</t>
        </is>
      </c>
      <c r="E4" t="n">
        <v>60</v>
      </c>
      <c r="F4" t="n">
        <v>361</v>
      </c>
      <c r="G4">
        <f>'PLAN COLORES'!P2</f>
        <v/>
      </c>
      <c r="H4">
        <f>IF(G4=0,0,IF(F4=0,0,ROUND(G4*E4/F4,0)))</f>
        <v/>
      </c>
    </row>
    <row r="5">
      <c r="A5" t="inlineStr">
        <is>
          <t>RIO</t>
        </is>
      </c>
      <c r="B5" t="inlineStr">
        <is>
          <t>KIDS</t>
        </is>
      </c>
      <c r="C5" t="inlineStr">
        <is>
          <t>Azul Marino</t>
        </is>
      </c>
      <c r="D5" t="inlineStr">
        <is>
          <t>2</t>
        </is>
      </c>
      <c r="E5" t="n">
        <v>49</v>
      </c>
      <c r="F5" t="n">
        <v>361</v>
      </c>
      <c r="G5">
        <f>'PLAN COLORES'!P2</f>
        <v/>
      </c>
      <c r="H5">
        <f>IF(G5=0,0,IF(F5=0,0,ROUND(G5*E5/F5,0)))</f>
        <v/>
      </c>
    </row>
    <row r="6">
      <c r="A6" t="inlineStr">
        <is>
          <t>RIO</t>
        </is>
      </c>
      <c r="B6" t="inlineStr">
        <is>
          <t>KIDS</t>
        </is>
      </c>
      <c r="C6" t="inlineStr">
        <is>
          <t>Azul Marino</t>
        </is>
      </c>
      <c r="D6" t="inlineStr">
        <is>
          <t>4</t>
        </is>
      </c>
      <c r="E6" t="n">
        <v>65</v>
      </c>
      <c r="F6" t="n">
        <v>361</v>
      </c>
      <c r="G6">
        <f>'PLAN COLORES'!P2</f>
        <v/>
      </c>
      <c r="H6">
        <f>IF(G6=0,0,IF(F6=0,0,ROUND(G6*E6/F6,0)))</f>
        <v/>
      </c>
    </row>
    <row r="7">
      <c r="A7" t="inlineStr">
        <is>
          <t>RIO</t>
        </is>
      </c>
      <c r="B7" t="inlineStr">
        <is>
          <t>KIDS</t>
        </is>
      </c>
      <c r="C7" t="inlineStr">
        <is>
          <t>Azul Marino</t>
        </is>
      </c>
      <c r="D7" t="inlineStr">
        <is>
          <t>6</t>
        </is>
      </c>
      <c r="E7" t="n">
        <v>55</v>
      </c>
      <c r="F7" t="n">
        <v>361</v>
      </c>
      <c r="G7">
        <f>'PLAN COLORES'!P2</f>
        <v/>
      </c>
      <c r="H7">
        <f>IF(G7=0,0,IF(F7=0,0,ROUND(G7*E7/F7,0)))</f>
        <v/>
      </c>
    </row>
    <row r="8">
      <c r="A8" t="inlineStr">
        <is>
          <t>RIO</t>
        </is>
      </c>
      <c r="B8" t="inlineStr">
        <is>
          <t>KIDS</t>
        </is>
      </c>
      <c r="C8" t="inlineStr">
        <is>
          <t>Azul Marino</t>
        </is>
      </c>
      <c r="D8" t="inlineStr">
        <is>
          <t>8</t>
        </is>
      </c>
      <c r="E8" t="n">
        <v>49</v>
      </c>
      <c r="F8" t="n">
        <v>361</v>
      </c>
      <c r="G8">
        <f>'PLAN COLORES'!P2</f>
        <v/>
      </c>
      <c r="H8">
        <f>IF(G8=0,0,IF(F8=0,0,ROUND(G8*E8/F8,0)))</f>
        <v/>
      </c>
    </row>
    <row r="9">
      <c r="A9" t="inlineStr">
        <is>
          <t>RIO</t>
        </is>
      </c>
      <c r="B9" t="inlineStr">
        <is>
          <t>KIDS</t>
        </is>
      </c>
      <c r="C9" t="inlineStr">
        <is>
          <t>Azul Lavanda</t>
        </is>
      </c>
      <c r="D9" t="inlineStr">
        <is>
          <t>10</t>
        </is>
      </c>
      <c r="E9" t="n">
        <v>50</v>
      </c>
      <c r="F9" t="n">
        <v>351</v>
      </c>
      <c r="G9">
        <f>'PLAN COLORES'!P3</f>
        <v/>
      </c>
      <c r="H9">
        <f>IF(G9=0,0,IF(F9=0,0,ROUND(G9*E9/F9,0)))</f>
        <v/>
      </c>
    </row>
    <row r="10">
      <c r="A10" t="inlineStr">
        <is>
          <t>RIO</t>
        </is>
      </c>
      <c r="B10" t="inlineStr">
        <is>
          <t>KIDS</t>
        </is>
      </c>
      <c r="C10" t="inlineStr">
        <is>
          <t>Azul Lavanda</t>
        </is>
      </c>
      <c r="D10" t="inlineStr">
        <is>
          <t>12</t>
        </is>
      </c>
      <c r="E10" t="n">
        <v>67</v>
      </c>
      <c r="F10" t="n">
        <v>351</v>
      </c>
      <c r="G10">
        <f>'PLAN COLORES'!P3</f>
        <v/>
      </c>
      <c r="H10">
        <f>IF(G10=0,0,IF(F10=0,0,ROUND(G10*E10/F10,0)))</f>
        <v/>
      </c>
    </row>
    <row r="11">
      <c r="A11" t="inlineStr">
        <is>
          <t>RIO</t>
        </is>
      </c>
      <c r="B11" t="inlineStr">
        <is>
          <t>KIDS</t>
        </is>
      </c>
      <c r="C11" t="inlineStr">
        <is>
          <t>Azul Lavanda</t>
        </is>
      </c>
      <c r="D11" t="inlineStr">
        <is>
          <t>14</t>
        </is>
      </c>
      <c r="E11" t="n">
        <v>14</v>
      </c>
      <c r="F11" t="n">
        <v>351</v>
      </c>
      <c r="G11">
        <f>'PLAN COLORES'!P3</f>
        <v/>
      </c>
      <c r="H11">
        <f>IF(G11=0,0,IF(F11=0,0,ROUND(G11*E11/F11,0)))</f>
        <v/>
      </c>
    </row>
    <row r="12">
      <c r="A12" t="inlineStr">
        <is>
          <t>RIO</t>
        </is>
      </c>
      <c r="B12" t="inlineStr">
        <is>
          <t>KIDS</t>
        </is>
      </c>
      <c r="C12" t="inlineStr">
        <is>
          <t>Azul Lavanda</t>
        </is>
      </c>
      <c r="D12" t="inlineStr">
        <is>
          <t>2</t>
        </is>
      </c>
      <c r="E12" t="n">
        <v>64</v>
      </c>
      <c r="F12" t="n">
        <v>351</v>
      </c>
      <c r="G12">
        <f>'PLAN COLORES'!P3</f>
        <v/>
      </c>
      <c r="H12">
        <f>IF(G12=0,0,IF(F12=0,0,ROUND(G12*E12/F12,0)))</f>
        <v/>
      </c>
    </row>
    <row r="13">
      <c r="A13" t="inlineStr">
        <is>
          <t>RIO</t>
        </is>
      </c>
      <c r="B13" t="inlineStr">
        <is>
          <t>KIDS</t>
        </is>
      </c>
      <c r="C13" t="inlineStr">
        <is>
          <t>Azul Lavanda</t>
        </is>
      </c>
      <c r="D13" t="inlineStr">
        <is>
          <t>4</t>
        </is>
      </c>
      <c r="E13" t="n">
        <v>48</v>
      </c>
      <c r="F13" t="n">
        <v>351</v>
      </c>
      <c r="G13">
        <f>'PLAN COLORES'!P3</f>
        <v/>
      </c>
      <c r="H13">
        <f>IF(G13=0,0,IF(F13=0,0,ROUND(G13*E13/F13,0)))</f>
        <v/>
      </c>
    </row>
    <row r="14">
      <c r="A14" t="inlineStr">
        <is>
          <t>RIO</t>
        </is>
      </c>
      <c r="B14" t="inlineStr">
        <is>
          <t>KIDS</t>
        </is>
      </c>
      <c r="C14" t="inlineStr">
        <is>
          <t>Azul Lavanda</t>
        </is>
      </c>
      <c r="D14" t="inlineStr">
        <is>
          <t>6</t>
        </is>
      </c>
      <c r="E14" t="n">
        <v>48</v>
      </c>
      <c r="F14" t="n">
        <v>351</v>
      </c>
      <c r="G14">
        <f>'PLAN COLORES'!P3</f>
        <v/>
      </c>
      <c r="H14">
        <f>IF(G14=0,0,IF(F14=0,0,ROUND(G14*E14/F14,0)))</f>
        <v/>
      </c>
    </row>
    <row r="15">
      <c r="A15" t="inlineStr">
        <is>
          <t>RIO</t>
        </is>
      </c>
      <c r="B15" t="inlineStr">
        <is>
          <t>KIDS</t>
        </is>
      </c>
      <c r="C15" t="inlineStr">
        <is>
          <t>Azul Lavanda</t>
        </is>
      </c>
      <c r="D15" t="inlineStr">
        <is>
          <t>8</t>
        </is>
      </c>
      <c r="E15" t="n">
        <v>60</v>
      </c>
      <c r="F15" t="n">
        <v>351</v>
      </c>
      <c r="G15">
        <f>'PLAN COLORES'!P3</f>
        <v/>
      </c>
      <c r="H15">
        <f>IF(G15=0,0,IF(F15=0,0,ROUND(G15*E15/F15,0)))</f>
        <v/>
      </c>
    </row>
    <row r="16">
      <c r="A16" t="inlineStr">
        <is>
          <t>RIO</t>
        </is>
      </c>
      <c r="B16" t="inlineStr">
        <is>
          <t>KIDS</t>
        </is>
      </c>
      <c r="C16" t="inlineStr">
        <is>
          <t>Negro</t>
        </is>
      </c>
      <c r="D16" t="inlineStr">
        <is>
          <t>10</t>
        </is>
      </c>
      <c r="E16" t="n">
        <v>52</v>
      </c>
      <c r="F16" t="n">
        <v>317</v>
      </c>
      <c r="G16">
        <f>'PLAN COLORES'!P4</f>
        <v/>
      </c>
      <c r="H16">
        <f>IF(G16=0,0,IF(F16=0,0,ROUND(G16*E16/F16,0)))</f>
        <v/>
      </c>
    </row>
    <row r="17">
      <c r="A17" t="inlineStr">
        <is>
          <t>RIO</t>
        </is>
      </c>
      <c r="B17" t="inlineStr">
        <is>
          <t>KIDS</t>
        </is>
      </c>
      <c r="C17" t="inlineStr">
        <is>
          <t>Negro</t>
        </is>
      </c>
      <c r="D17" t="inlineStr">
        <is>
          <t>12</t>
        </is>
      </c>
      <c r="E17" t="n">
        <v>59</v>
      </c>
      <c r="F17" t="n">
        <v>317</v>
      </c>
      <c r="G17">
        <f>'PLAN COLORES'!P4</f>
        <v/>
      </c>
      <c r="H17">
        <f>IF(G17=0,0,IF(F17=0,0,ROUND(G17*E17/F17,0)))</f>
        <v/>
      </c>
    </row>
    <row r="18">
      <c r="A18" t="inlineStr">
        <is>
          <t>RIO</t>
        </is>
      </c>
      <c r="B18" t="inlineStr">
        <is>
          <t>KIDS</t>
        </is>
      </c>
      <c r="C18" t="inlineStr">
        <is>
          <t>Negro</t>
        </is>
      </c>
      <c r="D18" t="inlineStr">
        <is>
          <t>14</t>
        </is>
      </c>
      <c r="E18" t="n">
        <v>41</v>
      </c>
      <c r="F18" t="n">
        <v>317</v>
      </c>
      <c r="G18">
        <f>'PLAN COLORES'!P4</f>
        <v/>
      </c>
      <c r="H18">
        <f>IF(G18=0,0,IF(F18=0,0,ROUND(G18*E18/F18,0)))</f>
        <v/>
      </c>
    </row>
    <row r="19">
      <c r="A19" t="inlineStr">
        <is>
          <t>RIO</t>
        </is>
      </c>
      <c r="B19" t="inlineStr">
        <is>
          <t>KIDS</t>
        </is>
      </c>
      <c r="C19" t="inlineStr">
        <is>
          <t>Negro</t>
        </is>
      </c>
      <c r="D19" t="inlineStr">
        <is>
          <t>2</t>
        </is>
      </c>
      <c r="E19" t="n">
        <v>41</v>
      </c>
      <c r="F19" t="n">
        <v>317</v>
      </c>
      <c r="G19">
        <f>'PLAN COLORES'!P4</f>
        <v/>
      </c>
      <c r="H19">
        <f>IF(G19=0,0,IF(F19=0,0,ROUND(G19*E19/F19,0)))</f>
        <v/>
      </c>
    </row>
    <row r="20">
      <c r="A20" t="inlineStr">
        <is>
          <t>RIO</t>
        </is>
      </c>
      <c r="B20" t="inlineStr">
        <is>
          <t>KIDS</t>
        </is>
      </c>
      <c r="C20" t="inlineStr">
        <is>
          <t>Negro</t>
        </is>
      </c>
      <c r="D20" t="inlineStr">
        <is>
          <t>4</t>
        </is>
      </c>
      <c r="E20" t="n">
        <v>33</v>
      </c>
      <c r="F20" t="n">
        <v>317</v>
      </c>
      <c r="G20">
        <f>'PLAN COLORES'!P4</f>
        <v/>
      </c>
      <c r="H20">
        <f>IF(G20=0,0,IF(F20=0,0,ROUND(G20*E20/F20,0)))</f>
        <v/>
      </c>
    </row>
    <row r="21">
      <c r="A21" t="inlineStr">
        <is>
          <t>RIO</t>
        </is>
      </c>
      <c r="B21" t="inlineStr">
        <is>
          <t>KIDS</t>
        </is>
      </c>
      <c r="C21" t="inlineStr">
        <is>
          <t>Negro</t>
        </is>
      </c>
      <c r="D21" t="inlineStr">
        <is>
          <t>6</t>
        </is>
      </c>
      <c r="E21" t="n">
        <v>39</v>
      </c>
      <c r="F21" t="n">
        <v>317</v>
      </c>
      <c r="G21">
        <f>'PLAN COLORES'!P4</f>
        <v/>
      </c>
      <c r="H21">
        <f>IF(G21=0,0,IF(F21=0,0,ROUND(G21*E21/F21,0)))</f>
        <v/>
      </c>
    </row>
    <row r="22">
      <c r="A22" t="inlineStr">
        <is>
          <t>RIO</t>
        </is>
      </c>
      <c r="B22" t="inlineStr">
        <is>
          <t>KIDS</t>
        </is>
      </c>
      <c r="C22" t="inlineStr">
        <is>
          <t>Negro</t>
        </is>
      </c>
      <c r="D22" t="inlineStr">
        <is>
          <t>8</t>
        </is>
      </c>
      <c r="E22" t="n">
        <v>52</v>
      </c>
      <c r="F22" t="n">
        <v>317</v>
      </c>
      <c r="G22">
        <f>'PLAN COLORES'!P4</f>
        <v/>
      </c>
      <c r="H22">
        <f>IF(G22=0,0,IF(F22=0,0,ROUND(G22*E22/F22,0)))</f>
        <v/>
      </c>
    </row>
    <row r="23">
      <c r="A23" t="inlineStr">
        <is>
          <t>RIO</t>
        </is>
      </c>
      <c r="B23" t="inlineStr">
        <is>
          <t>KIDS</t>
        </is>
      </c>
      <c r="C23" t="inlineStr">
        <is>
          <t>Lila</t>
        </is>
      </c>
      <c r="D23" t="inlineStr">
        <is>
          <t>10</t>
        </is>
      </c>
      <c r="E23" t="n">
        <v>49</v>
      </c>
      <c r="F23" t="n">
        <v>294</v>
      </c>
      <c r="G23">
        <f>'PLAN COLORES'!P5</f>
        <v/>
      </c>
      <c r="H23">
        <f>IF(G23=0,0,IF(F23=0,0,ROUND(G23*E23/F23,0)))</f>
        <v/>
      </c>
    </row>
    <row r="24">
      <c r="A24" t="inlineStr">
        <is>
          <t>RIO</t>
        </is>
      </c>
      <c r="B24" t="inlineStr">
        <is>
          <t>KIDS</t>
        </is>
      </c>
      <c r="C24" t="inlineStr">
        <is>
          <t>Lila</t>
        </is>
      </c>
      <c r="D24" t="inlineStr">
        <is>
          <t>12</t>
        </is>
      </c>
      <c r="E24" t="n">
        <v>41</v>
      </c>
      <c r="F24" t="n">
        <v>294</v>
      </c>
      <c r="G24">
        <f>'PLAN COLORES'!P5</f>
        <v/>
      </c>
      <c r="H24">
        <f>IF(G24=0,0,IF(F24=0,0,ROUND(G24*E24/F24,0)))</f>
        <v/>
      </c>
    </row>
    <row r="25">
      <c r="A25" t="inlineStr">
        <is>
          <t>RIO</t>
        </is>
      </c>
      <c r="B25" t="inlineStr">
        <is>
          <t>KIDS</t>
        </is>
      </c>
      <c r="C25" t="inlineStr">
        <is>
          <t>Lila</t>
        </is>
      </c>
      <c r="D25" t="inlineStr">
        <is>
          <t>14</t>
        </is>
      </c>
      <c r="E25" t="n">
        <v>43</v>
      </c>
      <c r="F25" t="n">
        <v>294</v>
      </c>
      <c r="G25">
        <f>'PLAN COLORES'!P5</f>
        <v/>
      </c>
      <c r="H25">
        <f>IF(G25=0,0,IF(F25=0,0,ROUND(G25*E25/F25,0)))</f>
        <v/>
      </c>
    </row>
    <row r="26">
      <c r="A26" t="inlineStr">
        <is>
          <t>RIO</t>
        </is>
      </c>
      <c r="B26" t="inlineStr">
        <is>
          <t>KIDS</t>
        </is>
      </c>
      <c r="C26" t="inlineStr">
        <is>
          <t>Lila</t>
        </is>
      </c>
      <c r="D26" t="inlineStr">
        <is>
          <t>2</t>
        </is>
      </c>
      <c r="E26" t="n">
        <v>35</v>
      </c>
      <c r="F26" t="n">
        <v>294</v>
      </c>
      <c r="G26">
        <f>'PLAN COLORES'!P5</f>
        <v/>
      </c>
      <c r="H26">
        <f>IF(G26=0,0,IF(F26=0,0,ROUND(G26*E26/F26,0)))</f>
        <v/>
      </c>
    </row>
    <row r="27">
      <c r="A27" t="inlineStr">
        <is>
          <t>RIO</t>
        </is>
      </c>
      <c r="B27" t="inlineStr">
        <is>
          <t>KIDS</t>
        </is>
      </c>
      <c r="C27" t="inlineStr">
        <is>
          <t>Lila</t>
        </is>
      </c>
      <c r="D27" t="inlineStr">
        <is>
          <t>4</t>
        </is>
      </c>
      <c r="E27" t="n">
        <v>42</v>
      </c>
      <c r="F27" t="n">
        <v>294</v>
      </c>
      <c r="G27">
        <f>'PLAN COLORES'!P5</f>
        <v/>
      </c>
      <c r="H27">
        <f>IF(G27=0,0,IF(F27=0,0,ROUND(G27*E27/F27,0)))</f>
        <v/>
      </c>
    </row>
    <row r="28">
      <c r="A28" t="inlineStr">
        <is>
          <t>RIO</t>
        </is>
      </c>
      <c r="B28" t="inlineStr">
        <is>
          <t>KIDS</t>
        </is>
      </c>
      <c r="C28" t="inlineStr">
        <is>
          <t>Lila</t>
        </is>
      </c>
      <c r="D28" t="inlineStr">
        <is>
          <t>6</t>
        </is>
      </c>
      <c r="E28" t="n">
        <v>33</v>
      </c>
      <c r="F28" t="n">
        <v>294</v>
      </c>
      <c r="G28">
        <f>'PLAN COLORES'!P5</f>
        <v/>
      </c>
      <c r="H28">
        <f>IF(G28=0,0,IF(F28=0,0,ROUND(G28*E28/F28,0)))</f>
        <v/>
      </c>
    </row>
    <row r="29">
      <c r="A29" t="inlineStr">
        <is>
          <t>RIO</t>
        </is>
      </c>
      <c r="B29" t="inlineStr">
        <is>
          <t>KIDS</t>
        </is>
      </c>
      <c r="C29" t="inlineStr">
        <is>
          <t>Lila</t>
        </is>
      </c>
      <c r="D29" t="inlineStr">
        <is>
          <t>8</t>
        </is>
      </c>
      <c r="E29" t="n">
        <v>51</v>
      </c>
      <c r="F29" t="n">
        <v>294</v>
      </c>
      <c r="G29">
        <f>'PLAN COLORES'!P5</f>
        <v/>
      </c>
      <c r="H29">
        <f>IF(G29=0,0,IF(F29=0,0,ROUND(G29*E29/F29,0)))</f>
        <v/>
      </c>
    </row>
    <row r="30">
      <c r="A30" t="inlineStr">
        <is>
          <t>RIO</t>
        </is>
      </c>
      <c r="B30" t="inlineStr">
        <is>
          <t>KIDS</t>
        </is>
      </c>
      <c r="C30" t="inlineStr">
        <is>
          <t>Azul Rey</t>
        </is>
      </c>
      <c r="D30" t="inlineStr">
        <is>
          <t>10</t>
        </is>
      </c>
      <c r="E30" t="n">
        <v>46</v>
      </c>
      <c r="F30" t="n">
        <v>284</v>
      </c>
      <c r="G30">
        <f>'PLAN COLORES'!P6</f>
        <v/>
      </c>
      <c r="H30">
        <f>IF(G30=0,0,IF(F30=0,0,ROUND(G30*E30/F30,0)))</f>
        <v/>
      </c>
    </row>
    <row r="31">
      <c r="A31" t="inlineStr">
        <is>
          <t>RIO</t>
        </is>
      </c>
      <c r="B31" t="inlineStr">
        <is>
          <t>KIDS</t>
        </is>
      </c>
      <c r="C31" t="inlineStr">
        <is>
          <t>Azul Rey</t>
        </is>
      </c>
      <c r="D31" t="inlineStr">
        <is>
          <t>12</t>
        </is>
      </c>
      <c r="E31" t="n">
        <v>50</v>
      </c>
      <c r="F31" t="n">
        <v>284</v>
      </c>
      <c r="G31">
        <f>'PLAN COLORES'!P6</f>
        <v/>
      </c>
      <c r="H31">
        <f>IF(G31=0,0,IF(F31=0,0,ROUND(G31*E31/F31,0)))</f>
        <v/>
      </c>
    </row>
    <row r="32">
      <c r="A32" t="inlineStr">
        <is>
          <t>RIO</t>
        </is>
      </c>
      <c r="B32" t="inlineStr">
        <is>
          <t>KIDS</t>
        </is>
      </c>
      <c r="C32" t="inlineStr">
        <is>
          <t>Azul Rey</t>
        </is>
      </c>
      <c r="D32" t="inlineStr">
        <is>
          <t>14</t>
        </is>
      </c>
      <c r="E32" t="n">
        <v>27</v>
      </c>
      <c r="F32" t="n">
        <v>284</v>
      </c>
      <c r="G32">
        <f>'PLAN COLORES'!P6</f>
        <v/>
      </c>
      <c r="H32">
        <f>IF(G32=0,0,IF(F32=0,0,ROUND(G32*E32/F32,0)))</f>
        <v/>
      </c>
    </row>
    <row r="33">
      <c r="A33" t="inlineStr">
        <is>
          <t>RIO</t>
        </is>
      </c>
      <c r="B33" t="inlineStr">
        <is>
          <t>KIDS</t>
        </is>
      </c>
      <c r="C33" t="inlineStr">
        <is>
          <t>Azul Rey</t>
        </is>
      </c>
      <c r="D33" t="inlineStr">
        <is>
          <t>2</t>
        </is>
      </c>
      <c r="E33" t="n">
        <v>33</v>
      </c>
      <c r="F33" t="n">
        <v>284</v>
      </c>
      <c r="G33">
        <f>'PLAN COLORES'!P6</f>
        <v/>
      </c>
      <c r="H33">
        <f>IF(G33=0,0,IF(F33=0,0,ROUND(G33*E33/F33,0)))</f>
        <v/>
      </c>
    </row>
    <row r="34">
      <c r="A34" t="inlineStr">
        <is>
          <t>RIO</t>
        </is>
      </c>
      <c r="B34" t="inlineStr">
        <is>
          <t>KIDS</t>
        </is>
      </c>
      <c r="C34" t="inlineStr">
        <is>
          <t>Azul Rey</t>
        </is>
      </c>
      <c r="D34" t="inlineStr">
        <is>
          <t>4</t>
        </is>
      </c>
      <c r="E34" t="n">
        <v>41</v>
      </c>
      <c r="F34" t="n">
        <v>284</v>
      </c>
      <c r="G34">
        <f>'PLAN COLORES'!P6</f>
        <v/>
      </c>
      <c r="H34">
        <f>IF(G34=0,0,IF(F34=0,0,ROUND(G34*E34/F34,0)))</f>
        <v/>
      </c>
    </row>
    <row r="35">
      <c r="A35" t="inlineStr">
        <is>
          <t>RIO</t>
        </is>
      </c>
      <c r="B35" t="inlineStr">
        <is>
          <t>KIDS</t>
        </is>
      </c>
      <c r="C35" t="inlineStr">
        <is>
          <t>Azul Rey</t>
        </is>
      </c>
      <c r="D35" t="inlineStr">
        <is>
          <t>6</t>
        </is>
      </c>
      <c r="E35" t="n">
        <v>44</v>
      </c>
      <c r="F35" t="n">
        <v>284</v>
      </c>
      <c r="G35">
        <f>'PLAN COLORES'!P6</f>
        <v/>
      </c>
      <c r="H35">
        <f>IF(G35=0,0,IF(F35=0,0,ROUND(G35*E35/F35,0)))</f>
        <v/>
      </c>
    </row>
    <row r="36">
      <c r="A36" t="inlineStr">
        <is>
          <t>RIO</t>
        </is>
      </c>
      <c r="B36" t="inlineStr">
        <is>
          <t>KIDS</t>
        </is>
      </c>
      <c r="C36" t="inlineStr">
        <is>
          <t>Azul Rey</t>
        </is>
      </c>
      <c r="D36" t="inlineStr">
        <is>
          <t>8</t>
        </is>
      </c>
      <c r="E36" t="n">
        <v>43</v>
      </c>
      <c r="F36" t="n">
        <v>284</v>
      </c>
      <c r="G36">
        <f>'PLAN COLORES'!P6</f>
        <v/>
      </c>
      <c r="H36">
        <f>IF(G36=0,0,IF(F36=0,0,ROUND(G36*E36/F36,0)))</f>
        <v/>
      </c>
    </row>
    <row r="37">
      <c r="A37" t="inlineStr">
        <is>
          <t>RIO</t>
        </is>
      </c>
      <c r="B37" t="inlineStr">
        <is>
          <t>KIDS</t>
        </is>
      </c>
      <c r="C37" t="inlineStr">
        <is>
          <t>Rojo</t>
        </is>
      </c>
      <c r="D37" t="inlineStr">
        <is>
          <t>10</t>
        </is>
      </c>
      <c r="E37" t="n">
        <v>31</v>
      </c>
      <c r="F37" t="n">
        <v>260</v>
      </c>
      <c r="G37">
        <f>'PLAN COLORES'!P7</f>
        <v/>
      </c>
      <c r="H37">
        <f>IF(G37=0,0,IF(F37=0,0,ROUND(G37*E37/F37,0)))</f>
        <v/>
      </c>
    </row>
    <row r="38">
      <c r="A38" t="inlineStr">
        <is>
          <t>RIO</t>
        </is>
      </c>
      <c r="B38" t="inlineStr">
        <is>
          <t>KIDS</t>
        </is>
      </c>
      <c r="C38" t="inlineStr">
        <is>
          <t>Rojo</t>
        </is>
      </c>
      <c r="D38" t="inlineStr">
        <is>
          <t>12</t>
        </is>
      </c>
      <c r="E38" t="n">
        <v>31</v>
      </c>
      <c r="F38" t="n">
        <v>260</v>
      </c>
      <c r="G38">
        <f>'PLAN COLORES'!P7</f>
        <v/>
      </c>
      <c r="H38">
        <f>IF(G38=0,0,IF(F38=0,0,ROUND(G38*E38/F38,0)))</f>
        <v/>
      </c>
    </row>
    <row r="39">
      <c r="A39" t="inlineStr">
        <is>
          <t>RIO</t>
        </is>
      </c>
      <c r="B39" t="inlineStr">
        <is>
          <t>KIDS</t>
        </is>
      </c>
      <c r="C39" t="inlineStr">
        <is>
          <t>Rojo</t>
        </is>
      </c>
      <c r="D39" t="inlineStr">
        <is>
          <t>14</t>
        </is>
      </c>
      <c r="E39" t="n">
        <v>33</v>
      </c>
      <c r="F39" t="n">
        <v>260</v>
      </c>
      <c r="G39">
        <f>'PLAN COLORES'!P7</f>
        <v/>
      </c>
      <c r="H39">
        <f>IF(G39=0,0,IF(F39=0,0,ROUND(G39*E39/F39,0)))</f>
        <v/>
      </c>
    </row>
    <row r="40">
      <c r="A40" t="inlineStr">
        <is>
          <t>RIO</t>
        </is>
      </c>
      <c r="B40" t="inlineStr">
        <is>
          <t>KIDS</t>
        </is>
      </c>
      <c r="C40" t="inlineStr">
        <is>
          <t>Rojo</t>
        </is>
      </c>
      <c r="D40" t="inlineStr">
        <is>
          <t>2</t>
        </is>
      </c>
      <c r="E40" t="n">
        <v>34</v>
      </c>
      <c r="F40" t="n">
        <v>260</v>
      </c>
      <c r="G40">
        <f>'PLAN COLORES'!P7</f>
        <v/>
      </c>
      <c r="H40">
        <f>IF(G40=0,0,IF(F40=0,0,ROUND(G40*E40/F40,0)))</f>
        <v/>
      </c>
    </row>
    <row r="41">
      <c r="A41" t="inlineStr">
        <is>
          <t>RIO</t>
        </is>
      </c>
      <c r="B41" t="inlineStr">
        <is>
          <t>KIDS</t>
        </is>
      </c>
      <c r="C41" t="inlineStr">
        <is>
          <t>Rojo</t>
        </is>
      </c>
      <c r="D41" t="inlineStr">
        <is>
          <t>4</t>
        </is>
      </c>
      <c r="E41" t="n">
        <v>51</v>
      </c>
      <c r="F41" t="n">
        <v>260</v>
      </c>
      <c r="G41">
        <f>'PLAN COLORES'!P7</f>
        <v/>
      </c>
      <c r="H41">
        <f>IF(G41=0,0,IF(F41=0,0,ROUND(G41*E41/F41,0)))</f>
        <v/>
      </c>
    </row>
    <row r="42">
      <c r="A42" t="inlineStr">
        <is>
          <t>RIO</t>
        </is>
      </c>
      <c r="B42" t="inlineStr">
        <is>
          <t>KIDS</t>
        </is>
      </c>
      <c r="C42" t="inlineStr">
        <is>
          <t>Rojo</t>
        </is>
      </c>
      <c r="D42" t="inlineStr">
        <is>
          <t>6</t>
        </is>
      </c>
      <c r="E42" t="n">
        <v>45</v>
      </c>
      <c r="F42" t="n">
        <v>260</v>
      </c>
      <c r="G42">
        <f>'PLAN COLORES'!P7</f>
        <v/>
      </c>
      <c r="H42">
        <f>IF(G42=0,0,IF(F42=0,0,ROUND(G42*E42/F42,0)))</f>
        <v/>
      </c>
    </row>
    <row r="43">
      <c r="A43" t="inlineStr">
        <is>
          <t>RIO</t>
        </is>
      </c>
      <c r="B43" t="inlineStr">
        <is>
          <t>KIDS</t>
        </is>
      </c>
      <c r="C43" t="inlineStr">
        <is>
          <t>Rojo</t>
        </is>
      </c>
      <c r="D43" t="inlineStr">
        <is>
          <t>8</t>
        </is>
      </c>
      <c r="E43" t="n">
        <v>35</v>
      </c>
      <c r="F43" t="n">
        <v>260</v>
      </c>
      <c r="G43">
        <f>'PLAN COLORES'!P7</f>
        <v/>
      </c>
      <c r="H43">
        <f>IF(G43=0,0,IF(F43=0,0,ROUND(G43*E43/F43,0)))</f>
        <v/>
      </c>
    </row>
    <row r="44">
      <c r="A44" t="inlineStr">
        <is>
          <t>RIO</t>
        </is>
      </c>
      <c r="B44" t="inlineStr">
        <is>
          <t>KIDS</t>
        </is>
      </c>
      <c r="C44" t="inlineStr">
        <is>
          <t>Blanco</t>
        </is>
      </c>
      <c r="D44" t="inlineStr">
        <is>
          <t>10</t>
        </is>
      </c>
      <c r="E44" t="n">
        <v>14</v>
      </c>
      <c r="F44" t="n">
        <v>224</v>
      </c>
      <c r="G44">
        <f>'PLAN COLORES'!P8</f>
        <v/>
      </c>
      <c r="H44">
        <f>IF(G44=0,0,IF(F44=0,0,ROUND(G44*E44/F44,0)))</f>
        <v/>
      </c>
    </row>
    <row r="45">
      <c r="A45" t="inlineStr">
        <is>
          <t>RIO</t>
        </is>
      </c>
      <c r="B45" t="inlineStr">
        <is>
          <t>KIDS</t>
        </is>
      </c>
      <c r="C45" t="inlineStr">
        <is>
          <t>Blanco</t>
        </is>
      </c>
      <c r="D45" t="inlineStr">
        <is>
          <t>12</t>
        </is>
      </c>
      <c r="E45" t="n">
        <v>24</v>
      </c>
      <c r="F45" t="n">
        <v>224</v>
      </c>
      <c r="G45">
        <f>'PLAN COLORES'!P8</f>
        <v/>
      </c>
      <c r="H45">
        <f>IF(G45=0,0,IF(F45=0,0,ROUND(G45*E45/F45,0)))</f>
        <v/>
      </c>
    </row>
    <row r="46">
      <c r="A46" t="inlineStr">
        <is>
          <t>RIO</t>
        </is>
      </c>
      <c r="B46" t="inlineStr">
        <is>
          <t>KIDS</t>
        </is>
      </c>
      <c r="C46" t="inlineStr">
        <is>
          <t>Blanco</t>
        </is>
      </c>
      <c r="D46" t="inlineStr">
        <is>
          <t>14</t>
        </is>
      </c>
      <c r="E46" t="n">
        <v>29</v>
      </c>
      <c r="F46" t="n">
        <v>224</v>
      </c>
      <c r="G46">
        <f>'PLAN COLORES'!P8</f>
        <v/>
      </c>
      <c r="H46">
        <f>IF(G46=0,0,IF(F46=0,0,ROUND(G46*E46/F46,0)))</f>
        <v/>
      </c>
    </row>
    <row r="47">
      <c r="A47" t="inlineStr">
        <is>
          <t>RIO</t>
        </is>
      </c>
      <c r="B47" t="inlineStr">
        <is>
          <t>KIDS</t>
        </is>
      </c>
      <c r="C47" t="inlineStr">
        <is>
          <t>Blanco</t>
        </is>
      </c>
      <c r="D47" t="inlineStr">
        <is>
          <t>2</t>
        </is>
      </c>
      <c r="E47" t="n">
        <v>58</v>
      </c>
      <c r="F47" t="n">
        <v>224</v>
      </c>
      <c r="G47">
        <f>'PLAN COLORES'!P8</f>
        <v/>
      </c>
      <c r="H47">
        <f>IF(G47=0,0,IF(F47=0,0,ROUND(G47*E47/F47,0)))</f>
        <v/>
      </c>
    </row>
    <row r="48">
      <c r="A48" t="inlineStr">
        <is>
          <t>RIO</t>
        </is>
      </c>
      <c r="B48" t="inlineStr">
        <is>
          <t>KIDS</t>
        </is>
      </c>
      <c r="C48" t="inlineStr">
        <is>
          <t>Blanco</t>
        </is>
      </c>
      <c r="D48" t="inlineStr">
        <is>
          <t>4</t>
        </is>
      </c>
      <c r="E48" t="n">
        <v>43</v>
      </c>
      <c r="F48" t="n">
        <v>224</v>
      </c>
      <c r="G48">
        <f>'PLAN COLORES'!P8</f>
        <v/>
      </c>
      <c r="H48">
        <f>IF(G48=0,0,IF(F48=0,0,ROUND(G48*E48/F48,0)))</f>
        <v/>
      </c>
    </row>
    <row r="49">
      <c r="A49" t="inlineStr">
        <is>
          <t>RIO</t>
        </is>
      </c>
      <c r="B49" t="inlineStr">
        <is>
          <t>KIDS</t>
        </is>
      </c>
      <c r="C49" t="inlineStr">
        <is>
          <t>Blanco</t>
        </is>
      </c>
      <c r="D49" t="inlineStr">
        <is>
          <t>6</t>
        </is>
      </c>
      <c r="E49" t="n">
        <v>35</v>
      </c>
      <c r="F49" t="n">
        <v>224</v>
      </c>
      <c r="G49">
        <f>'PLAN COLORES'!P8</f>
        <v/>
      </c>
      <c r="H49">
        <f>IF(G49=0,0,IF(F49=0,0,ROUND(G49*E49/F49,0)))</f>
        <v/>
      </c>
    </row>
    <row r="50">
      <c r="A50" t="inlineStr">
        <is>
          <t>RIO</t>
        </is>
      </c>
      <c r="B50" t="inlineStr">
        <is>
          <t>KIDS</t>
        </is>
      </c>
      <c r="C50" t="inlineStr">
        <is>
          <t>Blanco</t>
        </is>
      </c>
      <c r="D50" t="inlineStr">
        <is>
          <t>8</t>
        </is>
      </c>
      <c r="E50" t="n">
        <v>21</v>
      </c>
      <c r="F50" t="n">
        <v>224</v>
      </c>
      <c r="G50">
        <f>'PLAN COLORES'!P8</f>
        <v/>
      </c>
      <c r="H50">
        <f>IF(G50=0,0,IF(F50=0,0,ROUND(G50*E50/F50,0)))</f>
        <v/>
      </c>
    </row>
    <row r="51">
      <c r="A51" t="inlineStr">
        <is>
          <t>RIO</t>
        </is>
      </c>
      <c r="B51" t="inlineStr">
        <is>
          <t>KIDS</t>
        </is>
      </c>
      <c r="C51" t="inlineStr">
        <is>
          <t>Púrpura</t>
        </is>
      </c>
      <c r="D51" t="inlineStr">
        <is>
          <t>10</t>
        </is>
      </c>
      <c r="E51" t="n">
        <v>22</v>
      </c>
      <c r="F51" t="n">
        <v>212</v>
      </c>
      <c r="G51">
        <f>'PLAN COLORES'!P9</f>
        <v/>
      </c>
      <c r="H51">
        <f>IF(G51=0,0,IF(F51=0,0,ROUND(G51*E51/F51,0)))</f>
        <v/>
      </c>
    </row>
    <row r="52">
      <c r="A52" t="inlineStr">
        <is>
          <t>RIO</t>
        </is>
      </c>
      <c r="B52" t="inlineStr">
        <is>
          <t>KIDS</t>
        </is>
      </c>
      <c r="C52" t="inlineStr">
        <is>
          <t>Púrpura</t>
        </is>
      </c>
      <c r="D52" t="inlineStr">
        <is>
          <t>12</t>
        </is>
      </c>
      <c r="E52" t="n">
        <v>28</v>
      </c>
      <c r="F52" t="n">
        <v>212</v>
      </c>
      <c r="G52">
        <f>'PLAN COLORES'!P9</f>
        <v/>
      </c>
      <c r="H52">
        <f>IF(G52=0,0,IF(F52=0,0,ROUND(G52*E52/F52,0)))</f>
        <v/>
      </c>
    </row>
    <row r="53">
      <c r="A53" t="inlineStr">
        <is>
          <t>RIO</t>
        </is>
      </c>
      <c r="B53" t="inlineStr">
        <is>
          <t>KIDS</t>
        </is>
      </c>
      <c r="C53" t="inlineStr">
        <is>
          <t>Púrpura</t>
        </is>
      </c>
      <c r="D53" t="inlineStr">
        <is>
          <t>14</t>
        </is>
      </c>
      <c r="E53" t="n">
        <v>17</v>
      </c>
      <c r="F53" t="n">
        <v>212</v>
      </c>
      <c r="G53">
        <f>'PLAN COLORES'!P9</f>
        <v/>
      </c>
      <c r="H53">
        <f>IF(G53=0,0,IF(F53=0,0,ROUND(G53*E53/F53,0)))</f>
        <v/>
      </c>
    </row>
    <row r="54">
      <c r="A54" t="inlineStr">
        <is>
          <t>RIO</t>
        </is>
      </c>
      <c r="B54" t="inlineStr">
        <is>
          <t>KIDS</t>
        </is>
      </c>
      <c r="C54" t="inlineStr">
        <is>
          <t>Púrpura</t>
        </is>
      </c>
      <c r="D54" t="inlineStr">
        <is>
          <t>2</t>
        </is>
      </c>
      <c r="E54" t="n">
        <v>28</v>
      </c>
      <c r="F54" t="n">
        <v>212</v>
      </c>
      <c r="G54">
        <f>'PLAN COLORES'!P9</f>
        <v/>
      </c>
      <c r="H54">
        <f>IF(G54=0,0,IF(F54=0,0,ROUND(G54*E54/F54,0)))</f>
        <v/>
      </c>
    </row>
    <row r="55">
      <c r="A55" t="inlineStr">
        <is>
          <t>RIO</t>
        </is>
      </c>
      <c r="B55" t="inlineStr">
        <is>
          <t>KIDS</t>
        </is>
      </c>
      <c r="C55" t="inlineStr">
        <is>
          <t>Púrpura</t>
        </is>
      </c>
      <c r="D55" t="inlineStr">
        <is>
          <t>4</t>
        </is>
      </c>
      <c r="E55" t="n">
        <v>60</v>
      </c>
      <c r="F55" t="n">
        <v>212</v>
      </c>
      <c r="G55">
        <f>'PLAN COLORES'!P9</f>
        <v/>
      </c>
      <c r="H55">
        <f>IF(G55=0,0,IF(F55=0,0,ROUND(G55*E55/F55,0)))</f>
        <v/>
      </c>
    </row>
    <row r="56">
      <c r="A56" t="inlineStr">
        <is>
          <t>RIO</t>
        </is>
      </c>
      <c r="B56" t="inlineStr">
        <is>
          <t>KIDS</t>
        </is>
      </c>
      <c r="C56" t="inlineStr">
        <is>
          <t>Púrpura</t>
        </is>
      </c>
      <c r="D56" t="inlineStr">
        <is>
          <t>6</t>
        </is>
      </c>
      <c r="E56" t="n">
        <v>43</v>
      </c>
      <c r="F56" t="n">
        <v>212</v>
      </c>
      <c r="G56">
        <f>'PLAN COLORES'!P9</f>
        <v/>
      </c>
      <c r="H56">
        <f>IF(G56=0,0,IF(F56=0,0,ROUND(G56*E56/F56,0)))</f>
        <v/>
      </c>
    </row>
    <row r="57">
      <c r="A57" t="inlineStr">
        <is>
          <t>RIO</t>
        </is>
      </c>
      <c r="B57" t="inlineStr">
        <is>
          <t>KIDS</t>
        </is>
      </c>
      <c r="C57" t="inlineStr">
        <is>
          <t>Púrpura</t>
        </is>
      </c>
      <c r="D57" t="inlineStr">
        <is>
          <t>8</t>
        </is>
      </c>
      <c r="E57" t="n">
        <v>14</v>
      </c>
      <c r="F57" t="n">
        <v>212</v>
      </c>
      <c r="G57">
        <f>'PLAN COLORES'!P9</f>
        <v/>
      </c>
      <c r="H57">
        <f>IF(G57=0,0,IF(F57=0,0,ROUND(G57*E57/F57,0)))</f>
        <v/>
      </c>
    </row>
    <row r="58">
      <c r="A58" t="inlineStr">
        <is>
          <t>RIO</t>
        </is>
      </c>
      <c r="B58" t="inlineStr">
        <is>
          <t>KIDS</t>
        </is>
      </c>
      <c r="C58" t="inlineStr">
        <is>
          <t>Aguamarina</t>
        </is>
      </c>
      <c r="D58" t="inlineStr">
        <is>
          <t>10</t>
        </is>
      </c>
      <c r="E58" t="n">
        <v>23</v>
      </c>
      <c r="F58" t="n">
        <v>215</v>
      </c>
      <c r="G58">
        <f>'PLAN COLORES'!P10</f>
        <v/>
      </c>
      <c r="H58">
        <f>IF(G58=0,0,IF(F58=0,0,ROUND(G58*E58/F58,0)))</f>
        <v/>
      </c>
    </row>
    <row r="59">
      <c r="A59" t="inlineStr">
        <is>
          <t>RIO</t>
        </is>
      </c>
      <c r="B59" t="inlineStr">
        <is>
          <t>KIDS</t>
        </is>
      </c>
      <c r="C59" t="inlineStr">
        <is>
          <t>Aguamarina</t>
        </is>
      </c>
      <c r="D59" t="inlineStr">
        <is>
          <t>12</t>
        </is>
      </c>
      <c r="E59" t="n">
        <v>26</v>
      </c>
      <c r="F59" t="n">
        <v>215</v>
      </c>
      <c r="G59">
        <f>'PLAN COLORES'!P10</f>
        <v/>
      </c>
      <c r="H59">
        <f>IF(G59=0,0,IF(F59=0,0,ROUND(G59*E59/F59,0)))</f>
        <v/>
      </c>
    </row>
    <row r="60">
      <c r="A60" t="inlineStr">
        <is>
          <t>RIO</t>
        </is>
      </c>
      <c r="B60" t="inlineStr">
        <is>
          <t>KIDS</t>
        </is>
      </c>
      <c r="C60" t="inlineStr">
        <is>
          <t>Aguamarina</t>
        </is>
      </c>
      <c r="D60" t="inlineStr">
        <is>
          <t>14</t>
        </is>
      </c>
      <c r="E60" t="n">
        <v>17</v>
      </c>
      <c r="F60" t="n">
        <v>215</v>
      </c>
      <c r="G60">
        <f>'PLAN COLORES'!P10</f>
        <v/>
      </c>
      <c r="H60">
        <f>IF(G60=0,0,IF(F60=0,0,ROUND(G60*E60/F60,0)))</f>
        <v/>
      </c>
    </row>
    <row r="61">
      <c r="A61" t="inlineStr">
        <is>
          <t>RIO</t>
        </is>
      </c>
      <c r="B61" t="inlineStr">
        <is>
          <t>KIDS</t>
        </is>
      </c>
      <c r="C61" t="inlineStr">
        <is>
          <t>Aguamarina</t>
        </is>
      </c>
      <c r="D61" t="inlineStr">
        <is>
          <t>2</t>
        </is>
      </c>
      <c r="E61" t="n">
        <v>43</v>
      </c>
      <c r="F61" t="n">
        <v>215</v>
      </c>
      <c r="G61">
        <f>'PLAN COLORES'!P10</f>
        <v/>
      </c>
      <c r="H61">
        <f>IF(G61=0,0,IF(F61=0,0,ROUND(G61*E61/F61,0)))</f>
        <v/>
      </c>
    </row>
    <row r="62">
      <c r="A62" t="inlineStr">
        <is>
          <t>RIO</t>
        </is>
      </c>
      <c r="B62" t="inlineStr">
        <is>
          <t>KIDS</t>
        </is>
      </c>
      <c r="C62" t="inlineStr">
        <is>
          <t>Aguamarina</t>
        </is>
      </c>
      <c r="D62" t="inlineStr">
        <is>
          <t>4</t>
        </is>
      </c>
      <c r="E62" t="n">
        <v>41</v>
      </c>
      <c r="F62" t="n">
        <v>215</v>
      </c>
      <c r="G62">
        <f>'PLAN COLORES'!P10</f>
        <v/>
      </c>
      <c r="H62">
        <f>IF(G62=0,0,IF(F62=0,0,ROUND(G62*E62/F62,0)))</f>
        <v/>
      </c>
    </row>
    <row r="63">
      <c r="A63" t="inlineStr">
        <is>
          <t>RIO</t>
        </is>
      </c>
      <c r="B63" t="inlineStr">
        <is>
          <t>KIDS</t>
        </is>
      </c>
      <c r="C63" t="inlineStr">
        <is>
          <t>Aguamarina</t>
        </is>
      </c>
      <c r="D63" t="inlineStr">
        <is>
          <t>6</t>
        </is>
      </c>
      <c r="E63" t="n">
        <v>38</v>
      </c>
      <c r="F63" t="n">
        <v>215</v>
      </c>
      <c r="G63">
        <f>'PLAN COLORES'!P10</f>
        <v/>
      </c>
      <c r="H63">
        <f>IF(G63=0,0,IF(F63=0,0,ROUND(G63*E63/F63,0)))</f>
        <v/>
      </c>
    </row>
    <row r="64">
      <c r="A64" t="inlineStr">
        <is>
          <t>RIO</t>
        </is>
      </c>
      <c r="B64" t="inlineStr">
        <is>
          <t>KIDS</t>
        </is>
      </c>
      <c r="C64" t="inlineStr">
        <is>
          <t>Aguamarina</t>
        </is>
      </c>
      <c r="D64" t="inlineStr">
        <is>
          <t>8</t>
        </is>
      </c>
      <c r="E64" t="n">
        <v>27</v>
      </c>
      <c r="F64" t="n">
        <v>215</v>
      </c>
      <c r="G64">
        <f>'PLAN COLORES'!P10</f>
        <v/>
      </c>
      <c r="H64">
        <f>IF(G64=0,0,IF(F64=0,0,ROUND(G64*E64/F64,0)))</f>
        <v/>
      </c>
    </row>
    <row r="65">
      <c r="A65" t="inlineStr">
        <is>
          <t>RIO</t>
        </is>
      </c>
      <c r="B65" t="inlineStr">
        <is>
          <t>KIDS</t>
        </is>
      </c>
      <c r="C65" t="inlineStr">
        <is>
          <t>Verde Militar</t>
        </is>
      </c>
      <c r="D65" t="inlineStr">
        <is>
          <t>10</t>
        </is>
      </c>
      <c r="E65" t="n">
        <v>27</v>
      </c>
      <c r="F65" t="n">
        <v>162</v>
      </c>
      <c r="G65">
        <f>'PLAN COLORES'!P11</f>
        <v/>
      </c>
      <c r="H65">
        <f>IF(G65=0,0,IF(F65=0,0,ROUND(G65*E65/F65,0)))</f>
        <v/>
      </c>
    </row>
    <row r="66">
      <c r="A66" t="inlineStr">
        <is>
          <t>RIO</t>
        </is>
      </c>
      <c r="B66" t="inlineStr">
        <is>
          <t>KIDS</t>
        </is>
      </c>
      <c r="C66" t="inlineStr">
        <is>
          <t>Verde Militar</t>
        </is>
      </c>
      <c r="D66" t="inlineStr">
        <is>
          <t>12</t>
        </is>
      </c>
      <c r="E66" t="n">
        <v>35</v>
      </c>
      <c r="F66" t="n">
        <v>162</v>
      </c>
      <c r="G66">
        <f>'PLAN COLORES'!P11</f>
        <v/>
      </c>
      <c r="H66">
        <f>IF(G66=0,0,IF(F66=0,0,ROUND(G66*E66/F66,0)))</f>
        <v/>
      </c>
    </row>
    <row r="67">
      <c r="A67" t="inlineStr">
        <is>
          <t>RIO</t>
        </is>
      </c>
      <c r="B67" t="inlineStr">
        <is>
          <t>KIDS</t>
        </is>
      </c>
      <c r="C67" t="inlineStr">
        <is>
          <t>Verde Militar</t>
        </is>
      </c>
      <c r="D67" t="inlineStr">
        <is>
          <t>14</t>
        </is>
      </c>
      <c r="E67" t="n">
        <v>26</v>
      </c>
      <c r="F67" t="n">
        <v>162</v>
      </c>
      <c r="G67">
        <f>'PLAN COLORES'!P11</f>
        <v/>
      </c>
      <c r="H67">
        <f>IF(G67=0,0,IF(F67=0,0,ROUND(G67*E67/F67,0)))</f>
        <v/>
      </c>
    </row>
    <row r="68">
      <c r="A68" t="inlineStr">
        <is>
          <t>RIO</t>
        </is>
      </c>
      <c r="B68" t="inlineStr">
        <is>
          <t>KIDS</t>
        </is>
      </c>
      <c r="C68" t="inlineStr">
        <is>
          <t>Verde Militar</t>
        </is>
      </c>
      <c r="D68" t="inlineStr">
        <is>
          <t>2</t>
        </is>
      </c>
      <c r="E68" t="n">
        <v>30</v>
      </c>
      <c r="F68" t="n">
        <v>162</v>
      </c>
      <c r="G68">
        <f>'PLAN COLORES'!P11</f>
        <v/>
      </c>
      <c r="H68">
        <f>IF(G68=0,0,IF(F68=0,0,ROUND(G68*E68/F68,0)))</f>
        <v/>
      </c>
    </row>
    <row r="69">
      <c r="A69" t="inlineStr">
        <is>
          <t>RIO</t>
        </is>
      </c>
      <c r="B69" t="inlineStr">
        <is>
          <t>KIDS</t>
        </is>
      </c>
      <c r="C69" t="inlineStr">
        <is>
          <t>Verde Militar</t>
        </is>
      </c>
      <c r="D69" t="inlineStr">
        <is>
          <t>4</t>
        </is>
      </c>
      <c r="E69" t="n">
        <v>8</v>
      </c>
      <c r="F69" t="n">
        <v>162</v>
      </c>
      <c r="G69">
        <f>'PLAN COLORES'!P11</f>
        <v/>
      </c>
      <c r="H69">
        <f>IF(G69=0,0,IF(F69=0,0,ROUND(G69*E69/F69,0)))</f>
        <v/>
      </c>
    </row>
    <row r="70">
      <c r="A70" t="inlineStr">
        <is>
          <t>RIO</t>
        </is>
      </c>
      <c r="B70" t="inlineStr">
        <is>
          <t>KIDS</t>
        </is>
      </c>
      <c r="C70" t="inlineStr">
        <is>
          <t>Verde Militar</t>
        </is>
      </c>
      <c r="D70" t="inlineStr">
        <is>
          <t>6</t>
        </is>
      </c>
      <c r="E70" t="n">
        <v>9</v>
      </c>
      <c r="F70" t="n">
        <v>162</v>
      </c>
      <c r="G70">
        <f>'PLAN COLORES'!P11</f>
        <v/>
      </c>
      <c r="H70">
        <f>IF(G70=0,0,IF(F70=0,0,ROUND(G70*E70/F70,0)))</f>
        <v/>
      </c>
    </row>
    <row r="71">
      <c r="A71" t="inlineStr">
        <is>
          <t>RIO</t>
        </is>
      </c>
      <c r="B71" t="inlineStr">
        <is>
          <t>KIDS</t>
        </is>
      </c>
      <c r="C71" t="inlineStr">
        <is>
          <t>Verde Militar</t>
        </is>
      </c>
      <c r="D71" t="inlineStr">
        <is>
          <t>8</t>
        </is>
      </c>
      <c r="E71" t="n">
        <v>27</v>
      </c>
      <c r="F71" t="n">
        <v>162</v>
      </c>
      <c r="G71">
        <f>'PLAN COLORES'!P11</f>
        <v/>
      </c>
      <c r="H71">
        <f>IF(G71=0,0,IF(F71=0,0,ROUND(G71*E71/F71,0)))</f>
        <v/>
      </c>
    </row>
    <row r="72">
      <c r="A72" t="inlineStr">
        <is>
          <t>RIO</t>
        </is>
      </c>
      <c r="B72" t="inlineStr">
        <is>
          <t>KIDS</t>
        </is>
      </c>
      <c r="C72" t="inlineStr">
        <is>
          <t>Rosado Pastel</t>
        </is>
      </c>
      <c r="D72" t="inlineStr">
        <is>
          <t>10</t>
        </is>
      </c>
      <c r="E72" t="n">
        <v>13</v>
      </c>
      <c r="F72" t="n">
        <v>142</v>
      </c>
      <c r="G72">
        <f>'PLAN COLORES'!P12</f>
        <v/>
      </c>
      <c r="H72">
        <f>IF(G72=0,0,IF(F72=0,0,ROUND(G72*E72/F72,0)))</f>
        <v/>
      </c>
    </row>
    <row r="73">
      <c r="A73" t="inlineStr">
        <is>
          <t>RIO</t>
        </is>
      </c>
      <c r="B73" t="inlineStr">
        <is>
          <t>KIDS</t>
        </is>
      </c>
      <c r="C73" t="inlineStr">
        <is>
          <t>Rosado Pastel</t>
        </is>
      </c>
      <c r="D73" t="inlineStr">
        <is>
          <t>12</t>
        </is>
      </c>
      <c r="E73" t="n">
        <v>24</v>
      </c>
      <c r="F73" t="n">
        <v>142</v>
      </c>
      <c r="G73">
        <f>'PLAN COLORES'!P12</f>
        <v/>
      </c>
      <c r="H73">
        <f>IF(G73=0,0,IF(F73=0,0,ROUND(G73*E73/F73,0)))</f>
        <v/>
      </c>
    </row>
    <row r="74">
      <c r="A74" t="inlineStr">
        <is>
          <t>RIO</t>
        </is>
      </c>
      <c r="B74" t="inlineStr">
        <is>
          <t>KIDS</t>
        </is>
      </c>
      <c r="C74" t="inlineStr">
        <is>
          <t>Rosado Pastel</t>
        </is>
      </c>
      <c r="D74" t="inlineStr">
        <is>
          <t>14</t>
        </is>
      </c>
      <c r="E74" t="n">
        <v>23</v>
      </c>
      <c r="F74" t="n">
        <v>142</v>
      </c>
      <c r="G74">
        <f>'PLAN COLORES'!P12</f>
        <v/>
      </c>
      <c r="H74">
        <f>IF(G74=0,0,IF(F74=0,0,ROUND(G74*E74/F74,0)))</f>
        <v/>
      </c>
    </row>
    <row r="75">
      <c r="A75" t="inlineStr">
        <is>
          <t>RIO</t>
        </is>
      </c>
      <c r="B75" t="inlineStr">
        <is>
          <t>KIDS</t>
        </is>
      </c>
      <c r="C75" t="inlineStr">
        <is>
          <t>Rosado Pastel</t>
        </is>
      </c>
      <c r="D75" t="inlineStr">
        <is>
          <t>2</t>
        </is>
      </c>
      <c r="E75" t="n">
        <v>38</v>
      </c>
      <c r="F75" t="n">
        <v>142</v>
      </c>
      <c r="G75">
        <f>'PLAN COLORES'!P12</f>
        <v/>
      </c>
      <c r="H75">
        <f>IF(G75=0,0,IF(F75=0,0,ROUND(G75*E75/F75,0)))</f>
        <v/>
      </c>
    </row>
    <row r="76">
      <c r="A76" t="inlineStr">
        <is>
          <t>RIO</t>
        </is>
      </c>
      <c r="B76" t="inlineStr">
        <is>
          <t>KIDS</t>
        </is>
      </c>
      <c r="C76" t="inlineStr">
        <is>
          <t>Rosado Pastel</t>
        </is>
      </c>
      <c r="D76" t="inlineStr">
        <is>
          <t>4</t>
        </is>
      </c>
      <c r="E76" t="n">
        <v>28</v>
      </c>
      <c r="F76" t="n">
        <v>142</v>
      </c>
      <c r="G76">
        <f>'PLAN COLORES'!P12</f>
        <v/>
      </c>
      <c r="H76">
        <f>IF(G76=0,0,IF(F76=0,0,ROUND(G76*E76/F76,0)))</f>
        <v/>
      </c>
    </row>
    <row r="77">
      <c r="A77" t="inlineStr">
        <is>
          <t>RIO</t>
        </is>
      </c>
      <c r="B77" t="inlineStr">
        <is>
          <t>KIDS</t>
        </is>
      </c>
      <c r="C77" t="inlineStr">
        <is>
          <t>Rosado Pastel</t>
        </is>
      </c>
      <c r="D77" t="inlineStr">
        <is>
          <t>6</t>
        </is>
      </c>
      <c r="E77" t="n">
        <v>9</v>
      </c>
      <c r="F77" t="n">
        <v>142</v>
      </c>
      <c r="G77">
        <f>'PLAN COLORES'!P12</f>
        <v/>
      </c>
      <c r="H77">
        <f>IF(G77=0,0,IF(F77=0,0,ROUND(G77*E77/F77,0)))</f>
        <v/>
      </c>
    </row>
    <row r="78">
      <c r="A78" t="inlineStr">
        <is>
          <t>RIO</t>
        </is>
      </c>
      <c r="B78" t="inlineStr">
        <is>
          <t>KIDS</t>
        </is>
      </c>
      <c r="C78" t="inlineStr">
        <is>
          <t>Rosado Pastel</t>
        </is>
      </c>
      <c r="D78" t="inlineStr">
        <is>
          <t>8</t>
        </is>
      </c>
      <c r="E78" t="n">
        <v>7</v>
      </c>
      <c r="F78" t="n">
        <v>142</v>
      </c>
      <c r="G78">
        <f>'PLAN COLORES'!P12</f>
        <v/>
      </c>
      <c r="H78">
        <f>IF(G78=0,0,IF(F78=0,0,ROUND(G78*E78/F78,0)))</f>
        <v/>
      </c>
    </row>
    <row r="79">
      <c r="A79" t="inlineStr">
        <is>
          <t>RIO</t>
        </is>
      </c>
      <c r="B79" t="inlineStr">
        <is>
          <t>KIDS</t>
        </is>
      </c>
      <c r="C79" t="inlineStr">
        <is>
          <t>Amarillo Neón</t>
        </is>
      </c>
      <c r="D79" t="inlineStr">
        <is>
          <t>10</t>
        </is>
      </c>
      <c r="E79" t="n">
        <v>31</v>
      </c>
      <c r="F79" t="n">
        <v>130</v>
      </c>
      <c r="G79">
        <f>'PLAN COLORES'!P13</f>
        <v/>
      </c>
      <c r="H79">
        <f>IF(G79=0,0,IF(F79=0,0,ROUND(G79*E79/F79,0)))</f>
        <v/>
      </c>
    </row>
    <row r="80">
      <c r="A80" t="inlineStr">
        <is>
          <t>RIO</t>
        </is>
      </c>
      <c r="B80" t="inlineStr">
        <is>
          <t>KIDS</t>
        </is>
      </c>
      <c r="C80" t="inlineStr">
        <is>
          <t>Amarillo Neón</t>
        </is>
      </c>
      <c r="D80" t="inlineStr">
        <is>
          <t>12</t>
        </is>
      </c>
      <c r="E80" t="n">
        <v>22</v>
      </c>
      <c r="F80" t="n">
        <v>130</v>
      </c>
      <c r="G80">
        <f>'PLAN COLORES'!P13</f>
        <v/>
      </c>
      <c r="H80">
        <f>IF(G80=0,0,IF(F80=0,0,ROUND(G80*E80/F80,0)))</f>
        <v/>
      </c>
    </row>
    <row r="81">
      <c r="A81" t="inlineStr">
        <is>
          <t>RIO</t>
        </is>
      </c>
      <c r="B81" t="inlineStr">
        <is>
          <t>KIDS</t>
        </is>
      </c>
      <c r="C81" t="inlineStr">
        <is>
          <t>Amarillo Neón</t>
        </is>
      </c>
      <c r="D81" t="inlineStr">
        <is>
          <t>14</t>
        </is>
      </c>
      <c r="E81" t="n">
        <v>17</v>
      </c>
      <c r="F81" t="n">
        <v>130</v>
      </c>
      <c r="G81">
        <f>'PLAN COLORES'!P13</f>
        <v/>
      </c>
      <c r="H81">
        <f>IF(G81=0,0,IF(F81=0,0,ROUND(G81*E81/F81,0)))</f>
        <v/>
      </c>
    </row>
    <row r="82">
      <c r="A82" t="inlineStr">
        <is>
          <t>RIO</t>
        </is>
      </c>
      <c r="B82" t="inlineStr">
        <is>
          <t>KIDS</t>
        </is>
      </c>
      <c r="C82" t="inlineStr">
        <is>
          <t>Amarillo Neón</t>
        </is>
      </c>
      <c r="D82" t="inlineStr">
        <is>
          <t>2</t>
        </is>
      </c>
      <c r="E82" t="n">
        <v>8</v>
      </c>
      <c r="F82" t="n">
        <v>130</v>
      </c>
      <c r="G82">
        <f>'PLAN COLORES'!P13</f>
        <v/>
      </c>
      <c r="H82">
        <f>IF(G82=0,0,IF(F82=0,0,ROUND(G82*E82/F82,0)))</f>
        <v/>
      </c>
    </row>
    <row r="83">
      <c r="A83" t="inlineStr">
        <is>
          <t>RIO</t>
        </is>
      </c>
      <c r="B83" t="inlineStr">
        <is>
          <t>KIDS</t>
        </is>
      </c>
      <c r="C83" t="inlineStr">
        <is>
          <t>Amarillo Neón</t>
        </is>
      </c>
      <c r="D83" t="inlineStr">
        <is>
          <t>4</t>
        </is>
      </c>
      <c r="E83" t="n">
        <v>13</v>
      </c>
      <c r="F83" t="n">
        <v>130</v>
      </c>
      <c r="G83">
        <f>'PLAN COLORES'!P13</f>
        <v/>
      </c>
      <c r="H83">
        <f>IF(G83=0,0,IF(F83=0,0,ROUND(G83*E83/F83,0)))</f>
        <v/>
      </c>
    </row>
    <row r="84">
      <c r="A84" t="inlineStr">
        <is>
          <t>RIO</t>
        </is>
      </c>
      <c r="B84" t="inlineStr">
        <is>
          <t>KIDS</t>
        </is>
      </c>
      <c r="C84" t="inlineStr">
        <is>
          <t>Amarillo Neón</t>
        </is>
      </c>
      <c r="D84" t="inlineStr">
        <is>
          <t>6</t>
        </is>
      </c>
      <c r="E84" t="n">
        <v>13</v>
      </c>
      <c r="F84" t="n">
        <v>130</v>
      </c>
      <c r="G84">
        <f>'PLAN COLORES'!P13</f>
        <v/>
      </c>
      <c r="H84">
        <f>IF(G84=0,0,IF(F84=0,0,ROUND(G84*E84/F84,0)))</f>
        <v/>
      </c>
    </row>
    <row r="85">
      <c r="A85" t="inlineStr">
        <is>
          <t>RIO</t>
        </is>
      </c>
      <c r="B85" t="inlineStr">
        <is>
          <t>KIDS</t>
        </is>
      </c>
      <c r="C85" t="inlineStr">
        <is>
          <t>Amarillo Neón</t>
        </is>
      </c>
      <c r="D85" t="inlineStr">
        <is>
          <t>8</t>
        </is>
      </c>
      <c r="E85" t="n">
        <v>26</v>
      </c>
      <c r="F85" t="n">
        <v>130</v>
      </c>
      <c r="G85">
        <f>'PLAN COLORES'!P13</f>
        <v/>
      </c>
      <c r="H85">
        <f>IF(G85=0,0,IF(F85=0,0,ROUND(G85*E85/F85,0)))</f>
        <v/>
      </c>
    </row>
    <row r="86"/>
    <row r="87">
      <c r="C87" t="inlineStr">
        <is>
          <t>Verificar: suma tallas ≈ und color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7" customWidth="1" min="4" max="4"/>
    <col width="21" customWidth="1" min="5" max="5"/>
    <col width="19" customWidth="1" min="6" max="6"/>
    <col width="21" customWidth="1" min="7" max="7"/>
    <col width="22" customWidth="1" min="8" max="8"/>
  </cols>
  <sheetData>
    <row r="1">
      <c r="A1" s="5" t="inlineStr">
        <is>
          <t>Modelo</t>
        </is>
      </c>
      <c r="B1" s="5" t="inlineStr">
        <is>
          <t>Género</t>
        </is>
      </c>
      <c r="C1" s="5" t="inlineStr">
        <is>
          <t>Color</t>
        </is>
      </c>
      <c r="D1" s="5" t="inlineStr">
        <is>
          <t>Talla</t>
        </is>
      </c>
      <c r="E1" s="5" t="inlineStr">
        <is>
          <t>Und máx Excel (mix)</t>
        </is>
      </c>
      <c r="F1" s="5" t="inlineStr">
        <is>
          <t>Total color Excel</t>
        </is>
      </c>
      <c r="G1" s="5" t="inlineStr">
        <is>
          <t>Und FINAL color</t>
        </is>
      </c>
      <c r="H1" s="5" t="inlineStr">
        <is>
          <t>Und talla A PRODUCIR</t>
        </is>
      </c>
    </row>
    <row r="2">
      <c r="A2" t="inlineStr">
        <is>
          <t>MAR</t>
        </is>
      </c>
      <c r="B2" t="inlineStr">
        <is>
          <t>KIDS</t>
        </is>
      </c>
      <c r="C2" t="inlineStr">
        <is>
          <t>Blanco</t>
        </is>
      </c>
      <c r="D2" t="inlineStr">
        <is>
          <t>10</t>
        </is>
      </c>
      <c r="E2" t="n">
        <v>67</v>
      </c>
      <c r="F2" t="n">
        <v>460</v>
      </c>
      <c r="G2">
        <f>'PLAN COLORES'!P14</f>
        <v/>
      </c>
      <c r="H2">
        <f>IF(G2=0,0,IF(F2=0,0,ROUND(G2*E2/F2,0)))</f>
        <v/>
      </c>
    </row>
    <row r="3">
      <c r="A3" t="inlineStr">
        <is>
          <t>MAR</t>
        </is>
      </c>
      <c r="B3" t="inlineStr">
        <is>
          <t>KIDS</t>
        </is>
      </c>
      <c r="C3" t="inlineStr">
        <is>
          <t>Blanco</t>
        </is>
      </c>
      <c r="D3" t="inlineStr">
        <is>
          <t>12</t>
        </is>
      </c>
      <c r="E3" t="n">
        <v>73</v>
      </c>
      <c r="F3" t="n">
        <v>460</v>
      </c>
      <c r="G3">
        <f>'PLAN COLORES'!P14</f>
        <v/>
      </c>
      <c r="H3">
        <f>IF(G3=0,0,IF(F3=0,0,ROUND(G3*E3/F3,0)))</f>
        <v/>
      </c>
    </row>
    <row r="4">
      <c r="A4" t="inlineStr">
        <is>
          <t>MAR</t>
        </is>
      </c>
      <c r="B4" t="inlineStr">
        <is>
          <t>KIDS</t>
        </is>
      </c>
      <c r="C4" t="inlineStr">
        <is>
          <t>Blanco</t>
        </is>
      </c>
      <c r="D4" t="inlineStr">
        <is>
          <t>14</t>
        </is>
      </c>
      <c r="E4" t="n">
        <v>77</v>
      </c>
      <c r="F4" t="n">
        <v>460</v>
      </c>
      <c r="G4">
        <f>'PLAN COLORES'!P14</f>
        <v/>
      </c>
      <c r="H4">
        <f>IF(G4=0,0,IF(F4=0,0,ROUND(G4*E4/F4,0)))</f>
        <v/>
      </c>
    </row>
    <row r="5">
      <c r="A5" t="inlineStr">
        <is>
          <t>MAR</t>
        </is>
      </c>
      <c r="B5" t="inlineStr">
        <is>
          <t>KIDS</t>
        </is>
      </c>
      <c r="C5" t="inlineStr">
        <is>
          <t>Blanco</t>
        </is>
      </c>
      <c r="D5" t="inlineStr">
        <is>
          <t>2</t>
        </is>
      </c>
      <c r="E5" t="n">
        <v>53</v>
      </c>
      <c r="F5" t="n">
        <v>460</v>
      </c>
      <c r="G5">
        <f>'PLAN COLORES'!P14</f>
        <v/>
      </c>
      <c r="H5">
        <f>IF(G5=0,0,IF(F5=0,0,ROUND(G5*E5/F5,0)))</f>
        <v/>
      </c>
    </row>
    <row r="6">
      <c r="A6" t="inlineStr">
        <is>
          <t>MAR</t>
        </is>
      </c>
      <c r="B6" t="inlineStr">
        <is>
          <t>KIDS</t>
        </is>
      </c>
      <c r="C6" t="inlineStr">
        <is>
          <t>Blanco</t>
        </is>
      </c>
      <c r="D6" t="inlineStr">
        <is>
          <t>4</t>
        </is>
      </c>
      <c r="E6" t="n">
        <v>53</v>
      </c>
      <c r="F6" t="n">
        <v>460</v>
      </c>
      <c r="G6">
        <f>'PLAN COLORES'!P14</f>
        <v/>
      </c>
      <c r="H6">
        <f>IF(G6=0,0,IF(F6=0,0,ROUND(G6*E6/F6,0)))</f>
        <v/>
      </c>
    </row>
    <row r="7">
      <c r="A7" t="inlineStr">
        <is>
          <t>MAR</t>
        </is>
      </c>
      <c r="B7" t="inlineStr">
        <is>
          <t>KIDS</t>
        </is>
      </c>
      <c r="C7" t="inlineStr">
        <is>
          <t>Blanco</t>
        </is>
      </c>
      <c r="D7" t="inlineStr">
        <is>
          <t>6</t>
        </is>
      </c>
      <c r="E7" t="n">
        <v>71</v>
      </c>
      <c r="F7" t="n">
        <v>460</v>
      </c>
      <c r="G7">
        <f>'PLAN COLORES'!P14</f>
        <v/>
      </c>
      <c r="H7">
        <f>IF(G7=0,0,IF(F7=0,0,ROUND(G7*E7/F7,0)))</f>
        <v/>
      </c>
    </row>
    <row r="8">
      <c r="A8" t="inlineStr">
        <is>
          <t>MAR</t>
        </is>
      </c>
      <c r="B8" t="inlineStr">
        <is>
          <t>KIDS</t>
        </is>
      </c>
      <c r="C8" t="inlineStr">
        <is>
          <t>Blanco</t>
        </is>
      </c>
      <c r="D8" t="inlineStr">
        <is>
          <t>8</t>
        </is>
      </c>
      <c r="E8" t="n">
        <v>66</v>
      </c>
      <c r="F8" t="n">
        <v>460</v>
      </c>
      <c r="G8">
        <f>'PLAN COLORES'!P14</f>
        <v/>
      </c>
      <c r="H8">
        <f>IF(G8=0,0,IF(F8=0,0,ROUND(G8*E8/F8,0)))</f>
        <v/>
      </c>
    </row>
    <row r="9">
      <c r="A9" t="inlineStr">
        <is>
          <t>MAR</t>
        </is>
      </c>
      <c r="B9" t="inlineStr">
        <is>
          <t>KIDS</t>
        </is>
      </c>
      <c r="C9" t="inlineStr">
        <is>
          <t>Azul Marino</t>
        </is>
      </c>
      <c r="D9" t="inlineStr">
        <is>
          <t>10</t>
        </is>
      </c>
      <c r="E9" t="n">
        <v>59</v>
      </c>
      <c r="F9" t="n">
        <v>410</v>
      </c>
      <c r="G9">
        <f>'PLAN COLORES'!P15</f>
        <v/>
      </c>
      <c r="H9">
        <f>IF(G9=0,0,IF(F9=0,0,ROUND(G9*E9/F9,0)))</f>
        <v/>
      </c>
    </row>
    <row r="10">
      <c r="A10" t="inlineStr">
        <is>
          <t>MAR</t>
        </is>
      </c>
      <c r="B10" t="inlineStr">
        <is>
          <t>KIDS</t>
        </is>
      </c>
      <c r="C10" t="inlineStr">
        <is>
          <t>Azul Marino</t>
        </is>
      </c>
      <c r="D10" t="inlineStr">
        <is>
          <t>12</t>
        </is>
      </c>
      <c r="E10" t="n">
        <v>65</v>
      </c>
      <c r="F10" t="n">
        <v>410</v>
      </c>
      <c r="G10">
        <f>'PLAN COLORES'!P15</f>
        <v/>
      </c>
      <c r="H10">
        <f>IF(G10=0,0,IF(F10=0,0,ROUND(G10*E10/F10,0)))</f>
        <v/>
      </c>
    </row>
    <row r="11">
      <c r="A11" t="inlineStr">
        <is>
          <t>MAR</t>
        </is>
      </c>
      <c r="B11" t="inlineStr">
        <is>
          <t>KIDS</t>
        </is>
      </c>
      <c r="C11" t="inlineStr">
        <is>
          <t>Azul Marino</t>
        </is>
      </c>
      <c r="D11" t="inlineStr">
        <is>
          <t>14</t>
        </is>
      </c>
      <c r="E11" t="n">
        <v>69</v>
      </c>
      <c r="F11" t="n">
        <v>410</v>
      </c>
      <c r="G11">
        <f>'PLAN COLORES'!P15</f>
        <v/>
      </c>
      <c r="H11">
        <f>IF(G11=0,0,IF(F11=0,0,ROUND(G11*E11/F11,0)))</f>
        <v/>
      </c>
    </row>
    <row r="12">
      <c r="A12" t="inlineStr">
        <is>
          <t>MAR</t>
        </is>
      </c>
      <c r="B12" t="inlineStr">
        <is>
          <t>KIDS</t>
        </is>
      </c>
      <c r="C12" t="inlineStr">
        <is>
          <t>Azul Marino</t>
        </is>
      </c>
      <c r="D12" t="inlineStr">
        <is>
          <t>2</t>
        </is>
      </c>
      <c r="E12" t="n">
        <v>47</v>
      </c>
      <c r="F12" t="n">
        <v>410</v>
      </c>
      <c r="G12">
        <f>'PLAN COLORES'!P15</f>
        <v/>
      </c>
      <c r="H12">
        <f>IF(G12=0,0,IF(F12=0,0,ROUND(G12*E12/F12,0)))</f>
        <v/>
      </c>
    </row>
    <row r="13">
      <c r="A13" t="inlineStr">
        <is>
          <t>MAR</t>
        </is>
      </c>
      <c r="B13" t="inlineStr">
        <is>
          <t>KIDS</t>
        </is>
      </c>
      <c r="C13" t="inlineStr">
        <is>
          <t>Azul Marino</t>
        </is>
      </c>
      <c r="D13" t="inlineStr">
        <is>
          <t>4</t>
        </is>
      </c>
      <c r="E13" t="n">
        <v>48</v>
      </c>
      <c r="F13" t="n">
        <v>410</v>
      </c>
      <c r="G13">
        <f>'PLAN COLORES'!P15</f>
        <v/>
      </c>
      <c r="H13">
        <f>IF(G13=0,0,IF(F13=0,0,ROUND(G13*E13/F13,0)))</f>
        <v/>
      </c>
    </row>
    <row r="14">
      <c r="A14" t="inlineStr">
        <is>
          <t>MAR</t>
        </is>
      </c>
      <c r="B14" t="inlineStr">
        <is>
          <t>KIDS</t>
        </is>
      </c>
      <c r="C14" t="inlineStr">
        <is>
          <t>Azul Marino</t>
        </is>
      </c>
      <c r="D14" t="inlineStr">
        <is>
          <t>6</t>
        </is>
      </c>
      <c r="E14" t="n">
        <v>63</v>
      </c>
      <c r="F14" t="n">
        <v>410</v>
      </c>
      <c r="G14">
        <f>'PLAN COLORES'!P15</f>
        <v/>
      </c>
      <c r="H14">
        <f>IF(G14=0,0,IF(F14=0,0,ROUND(G14*E14/F14,0)))</f>
        <v/>
      </c>
    </row>
    <row r="15">
      <c r="A15" t="inlineStr">
        <is>
          <t>MAR</t>
        </is>
      </c>
      <c r="B15" t="inlineStr">
        <is>
          <t>KIDS</t>
        </is>
      </c>
      <c r="C15" t="inlineStr">
        <is>
          <t>Azul Marino</t>
        </is>
      </c>
      <c r="D15" t="inlineStr">
        <is>
          <t>8</t>
        </is>
      </c>
      <c r="E15" t="n">
        <v>59</v>
      </c>
      <c r="F15" t="n">
        <v>410</v>
      </c>
      <c r="G15">
        <f>'PLAN COLORES'!P15</f>
        <v/>
      </c>
      <c r="H15">
        <f>IF(G15=0,0,IF(F15=0,0,ROUND(G15*E15/F15,0)))</f>
        <v/>
      </c>
    </row>
    <row r="16">
      <c r="A16" t="inlineStr">
        <is>
          <t>MAR</t>
        </is>
      </c>
      <c r="B16" t="inlineStr">
        <is>
          <t>KIDS</t>
        </is>
      </c>
      <c r="C16" t="inlineStr">
        <is>
          <t>Negro</t>
        </is>
      </c>
      <c r="D16" t="inlineStr">
        <is>
          <t>10</t>
        </is>
      </c>
      <c r="E16" t="n">
        <v>55</v>
      </c>
      <c r="F16" t="n">
        <v>379</v>
      </c>
      <c r="G16">
        <f>'PLAN COLORES'!P16</f>
        <v/>
      </c>
      <c r="H16">
        <f>IF(G16=0,0,IF(F16=0,0,ROUND(G16*E16/F16,0)))</f>
        <v/>
      </c>
    </row>
    <row r="17">
      <c r="A17" t="inlineStr">
        <is>
          <t>MAR</t>
        </is>
      </c>
      <c r="B17" t="inlineStr">
        <is>
          <t>KIDS</t>
        </is>
      </c>
      <c r="C17" t="inlineStr">
        <is>
          <t>Negro</t>
        </is>
      </c>
      <c r="D17" t="inlineStr">
        <is>
          <t>12</t>
        </is>
      </c>
      <c r="E17" t="n">
        <v>60</v>
      </c>
      <c r="F17" t="n">
        <v>379</v>
      </c>
      <c r="G17">
        <f>'PLAN COLORES'!P16</f>
        <v/>
      </c>
      <c r="H17">
        <f>IF(G17=0,0,IF(F17=0,0,ROUND(G17*E17/F17,0)))</f>
        <v/>
      </c>
    </row>
    <row r="18">
      <c r="A18" t="inlineStr">
        <is>
          <t>MAR</t>
        </is>
      </c>
      <c r="B18" t="inlineStr">
        <is>
          <t>KIDS</t>
        </is>
      </c>
      <c r="C18" t="inlineStr">
        <is>
          <t>Negro</t>
        </is>
      </c>
      <c r="D18" t="inlineStr">
        <is>
          <t>14</t>
        </is>
      </c>
      <c r="E18" t="n">
        <v>64</v>
      </c>
      <c r="F18" t="n">
        <v>379</v>
      </c>
      <c r="G18">
        <f>'PLAN COLORES'!P16</f>
        <v/>
      </c>
      <c r="H18">
        <f>IF(G18=0,0,IF(F18=0,0,ROUND(G18*E18/F18,0)))</f>
        <v/>
      </c>
    </row>
    <row r="19">
      <c r="A19" t="inlineStr">
        <is>
          <t>MAR</t>
        </is>
      </c>
      <c r="B19" t="inlineStr">
        <is>
          <t>KIDS</t>
        </is>
      </c>
      <c r="C19" t="inlineStr">
        <is>
          <t>Negro</t>
        </is>
      </c>
      <c r="D19" t="inlineStr">
        <is>
          <t>2</t>
        </is>
      </c>
      <c r="E19" t="n">
        <v>44</v>
      </c>
      <c r="F19" t="n">
        <v>379</v>
      </c>
      <c r="G19">
        <f>'PLAN COLORES'!P16</f>
        <v/>
      </c>
      <c r="H19">
        <f>IF(G19=0,0,IF(F19=0,0,ROUND(G19*E19/F19,0)))</f>
        <v/>
      </c>
    </row>
    <row r="20">
      <c r="A20" t="inlineStr">
        <is>
          <t>MAR</t>
        </is>
      </c>
      <c r="B20" t="inlineStr">
        <is>
          <t>KIDS</t>
        </is>
      </c>
      <c r="C20" t="inlineStr">
        <is>
          <t>Negro</t>
        </is>
      </c>
      <c r="D20" t="inlineStr">
        <is>
          <t>4</t>
        </is>
      </c>
      <c r="E20" t="n">
        <v>44</v>
      </c>
      <c r="F20" t="n">
        <v>379</v>
      </c>
      <c r="G20">
        <f>'PLAN COLORES'!P16</f>
        <v/>
      </c>
      <c r="H20">
        <f>IF(G20=0,0,IF(F20=0,0,ROUND(G20*E20/F20,0)))</f>
        <v/>
      </c>
    </row>
    <row r="21">
      <c r="A21" t="inlineStr">
        <is>
          <t>MAR</t>
        </is>
      </c>
      <c r="B21" t="inlineStr">
        <is>
          <t>KIDS</t>
        </is>
      </c>
      <c r="C21" t="inlineStr">
        <is>
          <t>Negro</t>
        </is>
      </c>
      <c r="D21" t="inlineStr">
        <is>
          <t>6</t>
        </is>
      </c>
      <c r="E21" t="n">
        <v>58</v>
      </c>
      <c r="F21" t="n">
        <v>379</v>
      </c>
      <c r="G21">
        <f>'PLAN COLORES'!P16</f>
        <v/>
      </c>
      <c r="H21">
        <f>IF(G21=0,0,IF(F21=0,0,ROUND(G21*E21/F21,0)))</f>
        <v/>
      </c>
    </row>
    <row r="22">
      <c r="A22" t="inlineStr">
        <is>
          <t>MAR</t>
        </is>
      </c>
      <c r="B22" t="inlineStr">
        <is>
          <t>KIDS</t>
        </is>
      </c>
      <c r="C22" t="inlineStr">
        <is>
          <t>Negro</t>
        </is>
      </c>
      <c r="D22" t="inlineStr">
        <is>
          <t>8</t>
        </is>
      </c>
      <c r="E22" t="n">
        <v>54</v>
      </c>
      <c r="F22" t="n">
        <v>379</v>
      </c>
      <c r="G22">
        <f>'PLAN COLORES'!P16</f>
        <v/>
      </c>
      <c r="H22">
        <f>IF(G22=0,0,IF(F22=0,0,ROUND(G22*E22/F22,0)))</f>
        <v/>
      </c>
    </row>
    <row r="23">
      <c r="A23" t="inlineStr">
        <is>
          <t>MAR</t>
        </is>
      </c>
      <c r="B23" t="inlineStr">
        <is>
          <t>KIDS</t>
        </is>
      </c>
      <c r="C23" t="inlineStr">
        <is>
          <t>Lila</t>
        </is>
      </c>
      <c r="D23" t="inlineStr">
        <is>
          <t>10</t>
        </is>
      </c>
      <c r="E23" t="n">
        <v>37</v>
      </c>
      <c r="F23" t="n">
        <v>254</v>
      </c>
      <c r="G23">
        <f>'PLAN COLORES'!P17</f>
        <v/>
      </c>
      <c r="H23">
        <f>IF(G23=0,0,IF(F23=0,0,ROUND(G23*E23/F23,0)))</f>
        <v/>
      </c>
    </row>
    <row r="24">
      <c r="A24" t="inlineStr">
        <is>
          <t>MAR</t>
        </is>
      </c>
      <c r="B24" t="inlineStr">
        <is>
          <t>KIDS</t>
        </is>
      </c>
      <c r="C24" t="inlineStr">
        <is>
          <t>Lila</t>
        </is>
      </c>
      <c r="D24" t="inlineStr">
        <is>
          <t>12</t>
        </is>
      </c>
      <c r="E24" t="n">
        <v>40</v>
      </c>
      <c r="F24" t="n">
        <v>254</v>
      </c>
      <c r="G24">
        <f>'PLAN COLORES'!P17</f>
        <v/>
      </c>
      <c r="H24">
        <f>IF(G24=0,0,IF(F24=0,0,ROUND(G24*E24/F24,0)))</f>
        <v/>
      </c>
    </row>
    <row r="25">
      <c r="A25" t="inlineStr">
        <is>
          <t>MAR</t>
        </is>
      </c>
      <c r="B25" t="inlineStr">
        <is>
          <t>KIDS</t>
        </is>
      </c>
      <c r="C25" t="inlineStr">
        <is>
          <t>Lila</t>
        </is>
      </c>
      <c r="D25" t="inlineStr">
        <is>
          <t>14</t>
        </is>
      </c>
      <c r="E25" t="n">
        <v>43</v>
      </c>
      <c r="F25" t="n">
        <v>254</v>
      </c>
      <c r="G25">
        <f>'PLAN COLORES'!P17</f>
        <v/>
      </c>
      <c r="H25">
        <f>IF(G25=0,0,IF(F25=0,0,ROUND(G25*E25/F25,0)))</f>
        <v/>
      </c>
    </row>
    <row r="26">
      <c r="A26" t="inlineStr">
        <is>
          <t>MAR</t>
        </is>
      </c>
      <c r="B26" t="inlineStr">
        <is>
          <t>KIDS</t>
        </is>
      </c>
      <c r="C26" t="inlineStr">
        <is>
          <t>Lila</t>
        </is>
      </c>
      <c r="D26" t="inlineStr">
        <is>
          <t>2</t>
        </is>
      </c>
      <c r="E26" t="n">
        <v>29</v>
      </c>
      <c r="F26" t="n">
        <v>254</v>
      </c>
      <c r="G26">
        <f>'PLAN COLORES'!P17</f>
        <v/>
      </c>
      <c r="H26">
        <f>IF(G26=0,0,IF(F26=0,0,ROUND(G26*E26/F26,0)))</f>
        <v/>
      </c>
    </row>
    <row r="27">
      <c r="A27" t="inlineStr">
        <is>
          <t>MAR</t>
        </is>
      </c>
      <c r="B27" t="inlineStr">
        <is>
          <t>KIDS</t>
        </is>
      </c>
      <c r="C27" t="inlineStr">
        <is>
          <t>Lila</t>
        </is>
      </c>
      <c r="D27" t="inlineStr">
        <is>
          <t>4</t>
        </is>
      </c>
      <c r="E27" t="n">
        <v>30</v>
      </c>
      <c r="F27" t="n">
        <v>254</v>
      </c>
      <c r="G27">
        <f>'PLAN COLORES'!P17</f>
        <v/>
      </c>
      <c r="H27">
        <f>IF(G27=0,0,IF(F27=0,0,ROUND(G27*E27/F27,0)))</f>
        <v/>
      </c>
    </row>
    <row r="28">
      <c r="A28" t="inlineStr">
        <is>
          <t>MAR</t>
        </is>
      </c>
      <c r="B28" t="inlineStr">
        <is>
          <t>KIDS</t>
        </is>
      </c>
      <c r="C28" t="inlineStr">
        <is>
          <t>Lila</t>
        </is>
      </c>
      <c r="D28" t="inlineStr">
        <is>
          <t>6</t>
        </is>
      </c>
      <c r="E28" t="n">
        <v>39</v>
      </c>
      <c r="F28" t="n">
        <v>254</v>
      </c>
      <c r="G28">
        <f>'PLAN COLORES'!P17</f>
        <v/>
      </c>
      <c r="H28">
        <f>IF(G28=0,0,IF(F28=0,0,ROUND(G28*E28/F28,0)))</f>
        <v/>
      </c>
    </row>
    <row r="29">
      <c r="A29" t="inlineStr">
        <is>
          <t>MAR</t>
        </is>
      </c>
      <c r="B29" t="inlineStr">
        <is>
          <t>KIDS</t>
        </is>
      </c>
      <c r="C29" t="inlineStr">
        <is>
          <t>Lila</t>
        </is>
      </c>
      <c r="D29" t="inlineStr">
        <is>
          <t>8</t>
        </is>
      </c>
      <c r="E29" t="n">
        <v>36</v>
      </c>
      <c r="F29" t="n">
        <v>254</v>
      </c>
      <c r="G29">
        <f>'PLAN COLORES'!P17</f>
        <v/>
      </c>
      <c r="H29">
        <f>IF(G29=0,0,IF(F29=0,0,ROUND(G29*E29/F29,0)))</f>
        <v/>
      </c>
    </row>
    <row r="30">
      <c r="A30" t="inlineStr">
        <is>
          <t>MAR</t>
        </is>
      </c>
      <c r="B30" t="inlineStr">
        <is>
          <t>KIDS</t>
        </is>
      </c>
      <c r="C30" t="inlineStr">
        <is>
          <t>Aguamarina</t>
        </is>
      </c>
      <c r="D30" t="inlineStr">
        <is>
          <t>10</t>
        </is>
      </c>
      <c r="E30" t="n">
        <v>35</v>
      </c>
      <c r="F30" t="n">
        <v>242</v>
      </c>
      <c r="G30">
        <f>'PLAN COLORES'!P18</f>
        <v/>
      </c>
      <c r="H30">
        <f>IF(G30=0,0,IF(F30=0,0,ROUND(G30*E30/F30,0)))</f>
        <v/>
      </c>
    </row>
    <row r="31">
      <c r="A31" t="inlineStr">
        <is>
          <t>MAR</t>
        </is>
      </c>
      <c r="B31" t="inlineStr">
        <is>
          <t>KIDS</t>
        </is>
      </c>
      <c r="C31" t="inlineStr">
        <is>
          <t>Aguamarina</t>
        </is>
      </c>
      <c r="D31" t="inlineStr">
        <is>
          <t>12</t>
        </is>
      </c>
      <c r="E31" t="n">
        <v>38</v>
      </c>
      <c r="F31" t="n">
        <v>242</v>
      </c>
      <c r="G31">
        <f>'PLAN COLORES'!P18</f>
        <v/>
      </c>
      <c r="H31">
        <f>IF(G31=0,0,IF(F31=0,0,ROUND(G31*E31/F31,0)))</f>
        <v/>
      </c>
    </row>
    <row r="32">
      <c r="A32" t="inlineStr">
        <is>
          <t>MAR</t>
        </is>
      </c>
      <c r="B32" t="inlineStr">
        <is>
          <t>KIDS</t>
        </is>
      </c>
      <c r="C32" t="inlineStr">
        <is>
          <t>Aguamarina</t>
        </is>
      </c>
      <c r="D32" t="inlineStr">
        <is>
          <t>14</t>
        </is>
      </c>
      <c r="E32" t="n">
        <v>41</v>
      </c>
      <c r="F32" t="n">
        <v>242</v>
      </c>
      <c r="G32">
        <f>'PLAN COLORES'!P18</f>
        <v/>
      </c>
      <c r="H32">
        <f>IF(G32=0,0,IF(F32=0,0,ROUND(G32*E32/F32,0)))</f>
        <v/>
      </c>
    </row>
    <row r="33">
      <c r="A33" t="inlineStr">
        <is>
          <t>MAR</t>
        </is>
      </c>
      <c r="B33" t="inlineStr">
        <is>
          <t>KIDS</t>
        </is>
      </c>
      <c r="C33" t="inlineStr">
        <is>
          <t>Aguamarina</t>
        </is>
      </c>
      <c r="D33" t="inlineStr">
        <is>
          <t>2</t>
        </is>
      </c>
      <c r="E33" t="n">
        <v>28</v>
      </c>
      <c r="F33" t="n">
        <v>242</v>
      </c>
      <c r="G33">
        <f>'PLAN COLORES'!P18</f>
        <v/>
      </c>
      <c r="H33">
        <f>IF(G33=0,0,IF(F33=0,0,ROUND(G33*E33/F33,0)))</f>
        <v/>
      </c>
    </row>
    <row r="34">
      <c r="A34" t="inlineStr">
        <is>
          <t>MAR</t>
        </is>
      </c>
      <c r="B34" t="inlineStr">
        <is>
          <t>KIDS</t>
        </is>
      </c>
      <c r="C34" t="inlineStr">
        <is>
          <t>Aguamarina</t>
        </is>
      </c>
      <c r="D34" t="inlineStr">
        <is>
          <t>4</t>
        </is>
      </c>
      <c r="E34" t="n">
        <v>28</v>
      </c>
      <c r="F34" t="n">
        <v>242</v>
      </c>
      <c r="G34">
        <f>'PLAN COLORES'!P18</f>
        <v/>
      </c>
      <c r="H34">
        <f>IF(G34=0,0,IF(F34=0,0,ROUND(G34*E34/F34,0)))</f>
        <v/>
      </c>
    </row>
    <row r="35">
      <c r="A35" t="inlineStr">
        <is>
          <t>MAR</t>
        </is>
      </c>
      <c r="B35" t="inlineStr">
        <is>
          <t>KIDS</t>
        </is>
      </c>
      <c r="C35" t="inlineStr">
        <is>
          <t>Aguamarina</t>
        </is>
      </c>
      <c r="D35" t="inlineStr">
        <is>
          <t>6</t>
        </is>
      </c>
      <c r="E35" t="n">
        <v>37</v>
      </c>
      <c r="F35" t="n">
        <v>242</v>
      </c>
      <c r="G35">
        <f>'PLAN COLORES'!P18</f>
        <v/>
      </c>
      <c r="H35">
        <f>IF(G35=0,0,IF(F35=0,0,ROUND(G35*E35/F35,0)))</f>
        <v/>
      </c>
    </row>
    <row r="36">
      <c r="A36" t="inlineStr">
        <is>
          <t>MAR</t>
        </is>
      </c>
      <c r="B36" t="inlineStr">
        <is>
          <t>KIDS</t>
        </is>
      </c>
      <c r="C36" t="inlineStr">
        <is>
          <t>Aguamarina</t>
        </is>
      </c>
      <c r="D36" t="inlineStr">
        <is>
          <t>8</t>
        </is>
      </c>
      <c r="E36" t="n">
        <v>35</v>
      </c>
      <c r="F36" t="n">
        <v>242</v>
      </c>
      <c r="G36">
        <f>'PLAN COLORES'!P18</f>
        <v/>
      </c>
      <c r="H36">
        <f>IF(G36=0,0,IF(F36=0,0,ROUND(G36*E36/F36,0)))</f>
        <v/>
      </c>
    </row>
    <row r="37">
      <c r="A37" t="inlineStr">
        <is>
          <t>MAR</t>
        </is>
      </c>
      <c r="B37" t="inlineStr">
        <is>
          <t>KIDS</t>
        </is>
      </c>
      <c r="C37" t="inlineStr">
        <is>
          <t>Rojo</t>
        </is>
      </c>
      <c r="D37" t="inlineStr">
        <is>
          <t>10</t>
        </is>
      </c>
      <c r="E37" t="n">
        <v>35</v>
      </c>
      <c r="F37" t="n">
        <v>240</v>
      </c>
      <c r="G37">
        <f>'PLAN COLORES'!P19</f>
        <v/>
      </c>
      <c r="H37">
        <f>IF(G37=0,0,IF(F37=0,0,ROUND(G37*E37/F37,0)))</f>
        <v/>
      </c>
    </row>
    <row r="38">
      <c r="A38" t="inlineStr">
        <is>
          <t>MAR</t>
        </is>
      </c>
      <c r="B38" t="inlineStr">
        <is>
          <t>KIDS</t>
        </is>
      </c>
      <c r="C38" t="inlineStr">
        <is>
          <t>Rojo</t>
        </is>
      </c>
      <c r="D38" t="inlineStr">
        <is>
          <t>12</t>
        </is>
      </c>
      <c r="E38" t="n">
        <v>38</v>
      </c>
      <c r="F38" t="n">
        <v>240</v>
      </c>
      <c r="G38">
        <f>'PLAN COLORES'!P19</f>
        <v/>
      </c>
      <c r="H38">
        <f>IF(G38=0,0,IF(F38=0,0,ROUND(G38*E38/F38,0)))</f>
        <v/>
      </c>
    </row>
    <row r="39">
      <c r="A39" t="inlineStr">
        <is>
          <t>MAR</t>
        </is>
      </c>
      <c r="B39" t="inlineStr">
        <is>
          <t>KIDS</t>
        </is>
      </c>
      <c r="C39" t="inlineStr">
        <is>
          <t>Rojo</t>
        </is>
      </c>
      <c r="D39" t="inlineStr">
        <is>
          <t>14</t>
        </is>
      </c>
      <c r="E39" t="n">
        <v>40</v>
      </c>
      <c r="F39" t="n">
        <v>240</v>
      </c>
      <c r="G39">
        <f>'PLAN COLORES'!P19</f>
        <v/>
      </c>
      <c r="H39">
        <f>IF(G39=0,0,IF(F39=0,0,ROUND(G39*E39/F39,0)))</f>
        <v/>
      </c>
    </row>
    <row r="40">
      <c r="A40" t="inlineStr">
        <is>
          <t>MAR</t>
        </is>
      </c>
      <c r="B40" t="inlineStr">
        <is>
          <t>KIDS</t>
        </is>
      </c>
      <c r="C40" t="inlineStr">
        <is>
          <t>Rojo</t>
        </is>
      </c>
      <c r="D40" t="inlineStr">
        <is>
          <t>2</t>
        </is>
      </c>
      <c r="E40" t="n">
        <v>28</v>
      </c>
      <c r="F40" t="n">
        <v>240</v>
      </c>
      <c r="G40">
        <f>'PLAN COLORES'!P19</f>
        <v/>
      </c>
      <c r="H40">
        <f>IF(G40=0,0,IF(F40=0,0,ROUND(G40*E40/F40,0)))</f>
        <v/>
      </c>
    </row>
    <row r="41">
      <c r="A41" t="inlineStr">
        <is>
          <t>MAR</t>
        </is>
      </c>
      <c r="B41" t="inlineStr">
        <is>
          <t>KIDS</t>
        </is>
      </c>
      <c r="C41" t="inlineStr">
        <is>
          <t>Rojo</t>
        </is>
      </c>
      <c r="D41" t="inlineStr">
        <is>
          <t>4</t>
        </is>
      </c>
      <c r="E41" t="n">
        <v>28</v>
      </c>
      <c r="F41" t="n">
        <v>240</v>
      </c>
      <c r="G41">
        <f>'PLAN COLORES'!P19</f>
        <v/>
      </c>
      <c r="H41">
        <f>IF(G41=0,0,IF(F41=0,0,ROUND(G41*E41/F41,0)))</f>
        <v/>
      </c>
    </row>
    <row r="42">
      <c r="A42" t="inlineStr">
        <is>
          <t>MAR</t>
        </is>
      </c>
      <c r="B42" t="inlineStr">
        <is>
          <t>KIDS</t>
        </is>
      </c>
      <c r="C42" t="inlineStr">
        <is>
          <t>Rojo</t>
        </is>
      </c>
      <c r="D42" t="inlineStr">
        <is>
          <t>6</t>
        </is>
      </c>
      <c r="E42" t="n">
        <v>37</v>
      </c>
      <c r="F42" t="n">
        <v>240</v>
      </c>
      <c r="G42">
        <f>'PLAN COLORES'!P19</f>
        <v/>
      </c>
      <c r="H42">
        <f>IF(G42=0,0,IF(F42=0,0,ROUND(G42*E42/F42,0)))</f>
        <v/>
      </c>
    </row>
    <row r="43">
      <c r="A43" t="inlineStr">
        <is>
          <t>MAR</t>
        </is>
      </c>
      <c r="B43" t="inlineStr">
        <is>
          <t>KIDS</t>
        </is>
      </c>
      <c r="C43" t="inlineStr">
        <is>
          <t>Rojo</t>
        </is>
      </c>
      <c r="D43" t="inlineStr">
        <is>
          <t>8</t>
        </is>
      </c>
      <c r="E43" t="n">
        <v>34</v>
      </c>
      <c r="F43" t="n">
        <v>240</v>
      </c>
      <c r="G43">
        <f>'PLAN COLORES'!P19</f>
        <v/>
      </c>
      <c r="H43">
        <f>IF(G43=0,0,IF(F43=0,0,ROUND(G43*E43/F43,0)))</f>
        <v/>
      </c>
    </row>
    <row r="44">
      <c r="A44" t="inlineStr">
        <is>
          <t>MAR</t>
        </is>
      </c>
      <c r="B44" t="inlineStr">
        <is>
          <t>KIDS</t>
        </is>
      </c>
      <c r="C44" t="inlineStr">
        <is>
          <t>Azul Rey</t>
        </is>
      </c>
      <c r="D44" t="inlineStr">
        <is>
          <t>10</t>
        </is>
      </c>
      <c r="E44" t="n">
        <v>34</v>
      </c>
      <c r="F44" t="n">
        <v>233</v>
      </c>
      <c r="G44">
        <f>'PLAN COLORES'!P20</f>
        <v/>
      </c>
      <c r="H44">
        <f>IF(G44=0,0,IF(F44=0,0,ROUND(G44*E44/F44,0)))</f>
        <v/>
      </c>
    </row>
    <row r="45">
      <c r="A45" t="inlineStr">
        <is>
          <t>MAR</t>
        </is>
      </c>
      <c r="B45" t="inlineStr">
        <is>
          <t>KIDS</t>
        </is>
      </c>
      <c r="C45" t="inlineStr">
        <is>
          <t>Azul Rey</t>
        </is>
      </c>
      <c r="D45" t="inlineStr">
        <is>
          <t>12</t>
        </is>
      </c>
      <c r="E45" t="n">
        <v>37</v>
      </c>
      <c r="F45" t="n">
        <v>233</v>
      </c>
      <c r="G45">
        <f>'PLAN COLORES'!P20</f>
        <v/>
      </c>
      <c r="H45">
        <f>IF(G45=0,0,IF(F45=0,0,ROUND(G45*E45/F45,0)))</f>
        <v/>
      </c>
    </row>
    <row r="46">
      <c r="A46" t="inlineStr">
        <is>
          <t>MAR</t>
        </is>
      </c>
      <c r="B46" t="inlineStr">
        <is>
          <t>KIDS</t>
        </is>
      </c>
      <c r="C46" t="inlineStr">
        <is>
          <t>Azul Rey</t>
        </is>
      </c>
      <c r="D46" t="inlineStr">
        <is>
          <t>14</t>
        </is>
      </c>
      <c r="E46" t="n">
        <v>39</v>
      </c>
      <c r="F46" t="n">
        <v>233</v>
      </c>
      <c r="G46">
        <f>'PLAN COLORES'!P20</f>
        <v/>
      </c>
      <c r="H46">
        <f>IF(G46=0,0,IF(F46=0,0,ROUND(G46*E46/F46,0)))</f>
        <v/>
      </c>
    </row>
    <row r="47">
      <c r="A47" t="inlineStr">
        <is>
          <t>MAR</t>
        </is>
      </c>
      <c r="B47" t="inlineStr">
        <is>
          <t>KIDS</t>
        </is>
      </c>
      <c r="C47" t="inlineStr">
        <is>
          <t>Azul Rey</t>
        </is>
      </c>
      <c r="D47" t="inlineStr">
        <is>
          <t>2</t>
        </is>
      </c>
      <c r="E47" t="n">
        <v>27</v>
      </c>
      <c r="F47" t="n">
        <v>233</v>
      </c>
      <c r="G47">
        <f>'PLAN COLORES'!P20</f>
        <v/>
      </c>
      <c r="H47">
        <f>IF(G47=0,0,IF(F47=0,0,ROUND(G47*E47/F47,0)))</f>
        <v/>
      </c>
    </row>
    <row r="48">
      <c r="A48" t="inlineStr">
        <is>
          <t>MAR</t>
        </is>
      </c>
      <c r="B48" t="inlineStr">
        <is>
          <t>KIDS</t>
        </is>
      </c>
      <c r="C48" t="inlineStr">
        <is>
          <t>Azul Rey</t>
        </is>
      </c>
      <c r="D48" t="inlineStr">
        <is>
          <t>4</t>
        </is>
      </c>
      <c r="E48" t="n">
        <v>27</v>
      </c>
      <c r="F48" t="n">
        <v>233</v>
      </c>
      <c r="G48">
        <f>'PLAN COLORES'!P20</f>
        <v/>
      </c>
      <c r="H48">
        <f>IF(G48=0,0,IF(F48=0,0,ROUND(G48*E48/F48,0)))</f>
        <v/>
      </c>
    </row>
    <row r="49">
      <c r="A49" t="inlineStr">
        <is>
          <t>MAR</t>
        </is>
      </c>
      <c r="B49" t="inlineStr">
        <is>
          <t>KIDS</t>
        </is>
      </c>
      <c r="C49" t="inlineStr">
        <is>
          <t>Azul Rey</t>
        </is>
      </c>
      <c r="D49" t="inlineStr">
        <is>
          <t>6</t>
        </is>
      </c>
      <c r="E49" t="n">
        <v>36</v>
      </c>
      <c r="F49" t="n">
        <v>233</v>
      </c>
      <c r="G49">
        <f>'PLAN COLORES'!P20</f>
        <v/>
      </c>
      <c r="H49">
        <f>IF(G49=0,0,IF(F49=0,0,ROUND(G49*E49/F49,0)))</f>
        <v/>
      </c>
    </row>
    <row r="50">
      <c r="A50" t="inlineStr">
        <is>
          <t>MAR</t>
        </is>
      </c>
      <c r="B50" t="inlineStr">
        <is>
          <t>KIDS</t>
        </is>
      </c>
      <c r="C50" t="inlineStr">
        <is>
          <t>Azul Rey</t>
        </is>
      </c>
      <c r="D50" t="inlineStr">
        <is>
          <t>8</t>
        </is>
      </c>
      <c r="E50" t="n">
        <v>33</v>
      </c>
      <c r="F50" t="n">
        <v>233</v>
      </c>
      <c r="G50">
        <f>'PLAN COLORES'!P20</f>
        <v/>
      </c>
      <c r="H50">
        <f>IF(G50=0,0,IF(F50=0,0,ROUND(G50*E50/F50,0)))</f>
        <v/>
      </c>
    </row>
    <row r="51">
      <c r="A51" t="inlineStr">
        <is>
          <t>MAR</t>
        </is>
      </c>
      <c r="B51" t="inlineStr">
        <is>
          <t>KIDS</t>
        </is>
      </c>
      <c r="C51" t="inlineStr">
        <is>
          <t>Verde Militar</t>
        </is>
      </c>
      <c r="D51" t="inlineStr">
        <is>
          <t>10</t>
        </is>
      </c>
      <c r="E51" t="n">
        <v>33</v>
      </c>
      <c r="F51" t="n">
        <v>225</v>
      </c>
      <c r="G51">
        <f>'PLAN COLORES'!P21</f>
        <v/>
      </c>
      <c r="H51">
        <f>IF(G51=0,0,IF(F51=0,0,ROUND(G51*E51/F51,0)))</f>
        <v/>
      </c>
    </row>
    <row r="52">
      <c r="A52" t="inlineStr">
        <is>
          <t>MAR</t>
        </is>
      </c>
      <c r="B52" t="inlineStr">
        <is>
          <t>KIDS</t>
        </is>
      </c>
      <c r="C52" t="inlineStr">
        <is>
          <t>Verde Militar</t>
        </is>
      </c>
      <c r="D52" t="inlineStr">
        <is>
          <t>12</t>
        </is>
      </c>
      <c r="E52" t="n">
        <v>35</v>
      </c>
      <c r="F52" t="n">
        <v>225</v>
      </c>
      <c r="G52">
        <f>'PLAN COLORES'!P21</f>
        <v/>
      </c>
      <c r="H52">
        <f>IF(G52=0,0,IF(F52=0,0,ROUND(G52*E52/F52,0)))</f>
        <v/>
      </c>
    </row>
    <row r="53">
      <c r="A53" t="inlineStr">
        <is>
          <t>MAR</t>
        </is>
      </c>
      <c r="B53" t="inlineStr">
        <is>
          <t>KIDS</t>
        </is>
      </c>
      <c r="C53" t="inlineStr">
        <is>
          <t>Verde Militar</t>
        </is>
      </c>
      <c r="D53" t="inlineStr">
        <is>
          <t>14</t>
        </is>
      </c>
      <c r="E53" t="n">
        <v>38</v>
      </c>
      <c r="F53" t="n">
        <v>225</v>
      </c>
      <c r="G53">
        <f>'PLAN COLORES'!P21</f>
        <v/>
      </c>
      <c r="H53">
        <f>IF(G53=0,0,IF(F53=0,0,ROUND(G53*E53/F53,0)))</f>
        <v/>
      </c>
    </row>
    <row r="54">
      <c r="A54" t="inlineStr">
        <is>
          <t>MAR</t>
        </is>
      </c>
      <c r="B54" t="inlineStr">
        <is>
          <t>KIDS</t>
        </is>
      </c>
      <c r="C54" t="inlineStr">
        <is>
          <t>Verde Militar</t>
        </is>
      </c>
      <c r="D54" t="inlineStr">
        <is>
          <t>2</t>
        </is>
      </c>
      <c r="E54" t="n">
        <v>26</v>
      </c>
      <c r="F54" t="n">
        <v>225</v>
      </c>
      <c r="G54">
        <f>'PLAN COLORES'!P21</f>
        <v/>
      </c>
      <c r="H54">
        <f>IF(G54=0,0,IF(F54=0,0,ROUND(G54*E54/F54,0)))</f>
        <v/>
      </c>
    </row>
    <row r="55">
      <c r="A55" t="inlineStr">
        <is>
          <t>MAR</t>
        </is>
      </c>
      <c r="B55" t="inlineStr">
        <is>
          <t>KIDS</t>
        </is>
      </c>
      <c r="C55" t="inlineStr">
        <is>
          <t>Verde Militar</t>
        </is>
      </c>
      <c r="D55" t="inlineStr">
        <is>
          <t>4</t>
        </is>
      </c>
      <c r="E55" t="n">
        <v>26</v>
      </c>
      <c r="F55" t="n">
        <v>225</v>
      </c>
      <c r="G55">
        <f>'PLAN COLORES'!P21</f>
        <v/>
      </c>
      <c r="H55">
        <f>IF(G55=0,0,IF(F55=0,0,ROUND(G55*E55/F55,0)))</f>
        <v/>
      </c>
    </row>
    <row r="56">
      <c r="A56" t="inlineStr">
        <is>
          <t>MAR</t>
        </is>
      </c>
      <c r="B56" t="inlineStr">
        <is>
          <t>KIDS</t>
        </is>
      </c>
      <c r="C56" t="inlineStr">
        <is>
          <t>Verde Militar</t>
        </is>
      </c>
      <c r="D56" t="inlineStr">
        <is>
          <t>6</t>
        </is>
      </c>
      <c r="E56" t="n">
        <v>35</v>
      </c>
      <c r="F56" t="n">
        <v>225</v>
      </c>
      <c r="G56">
        <f>'PLAN COLORES'!P21</f>
        <v/>
      </c>
      <c r="H56">
        <f>IF(G56=0,0,IF(F56=0,0,ROUND(G56*E56/F56,0)))</f>
        <v/>
      </c>
    </row>
    <row r="57">
      <c r="A57" t="inlineStr">
        <is>
          <t>MAR</t>
        </is>
      </c>
      <c r="B57" t="inlineStr">
        <is>
          <t>KIDS</t>
        </is>
      </c>
      <c r="C57" t="inlineStr">
        <is>
          <t>Verde Militar</t>
        </is>
      </c>
      <c r="D57" t="inlineStr">
        <is>
          <t>8</t>
        </is>
      </c>
      <c r="E57" t="n">
        <v>32</v>
      </c>
      <c r="F57" t="n">
        <v>225</v>
      </c>
      <c r="G57">
        <f>'PLAN COLORES'!P21</f>
        <v/>
      </c>
      <c r="H57">
        <f>IF(G57=0,0,IF(F57=0,0,ROUND(G57*E57/F57,0)))</f>
        <v/>
      </c>
    </row>
    <row r="58">
      <c r="A58" t="inlineStr">
        <is>
          <t>MAR</t>
        </is>
      </c>
      <c r="B58" t="inlineStr">
        <is>
          <t>KIDS</t>
        </is>
      </c>
      <c r="C58" t="inlineStr">
        <is>
          <t>Rosado Pastel</t>
        </is>
      </c>
      <c r="D58" t="inlineStr">
        <is>
          <t>10</t>
        </is>
      </c>
      <c r="E58" t="n">
        <v>31</v>
      </c>
      <c r="F58" t="n">
        <v>215</v>
      </c>
      <c r="G58">
        <f>'PLAN COLORES'!P22</f>
        <v/>
      </c>
      <c r="H58">
        <f>IF(G58=0,0,IF(F58=0,0,ROUND(G58*E58/F58,0)))</f>
        <v/>
      </c>
    </row>
    <row r="59">
      <c r="A59" t="inlineStr">
        <is>
          <t>MAR</t>
        </is>
      </c>
      <c r="B59" t="inlineStr">
        <is>
          <t>KIDS</t>
        </is>
      </c>
      <c r="C59" t="inlineStr">
        <is>
          <t>Rosado Pastel</t>
        </is>
      </c>
      <c r="D59" t="inlineStr">
        <is>
          <t>12</t>
        </is>
      </c>
      <c r="E59" t="n">
        <v>34</v>
      </c>
      <c r="F59" t="n">
        <v>215</v>
      </c>
      <c r="G59">
        <f>'PLAN COLORES'!P22</f>
        <v/>
      </c>
      <c r="H59">
        <f>IF(G59=0,0,IF(F59=0,0,ROUND(G59*E59/F59,0)))</f>
        <v/>
      </c>
    </row>
    <row r="60">
      <c r="A60" t="inlineStr">
        <is>
          <t>MAR</t>
        </is>
      </c>
      <c r="B60" t="inlineStr">
        <is>
          <t>KIDS</t>
        </is>
      </c>
      <c r="C60" t="inlineStr">
        <is>
          <t>Rosado Pastel</t>
        </is>
      </c>
      <c r="D60" t="inlineStr">
        <is>
          <t>14</t>
        </is>
      </c>
      <c r="E60" t="n">
        <v>36</v>
      </c>
      <c r="F60" t="n">
        <v>215</v>
      </c>
      <c r="G60">
        <f>'PLAN COLORES'!P22</f>
        <v/>
      </c>
      <c r="H60">
        <f>IF(G60=0,0,IF(F60=0,0,ROUND(G60*E60/F60,0)))</f>
        <v/>
      </c>
    </row>
    <row r="61">
      <c r="A61" t="inlineStr">
        <is>
          <t>MAR</t>
        </is>
      </c>
      <c r="B61" t="inlineStr">
        <is>
          <t>KIDS</t>
        </is>
      </c>
      <c r="C61" t="inlineStr">
        <is>
          <t>Rosado Pastel</t>
        </is>
      </c>
      <c r="D61" t="inlineStr">
        <is>
          <t>2</t>
        </is>
      </c>
      <c r="E61" t="n">
        <v>25</v>
      </c>
      <c r="F61" t="n">
        <v>215</v>
      </c>
      <c r="G61">
        <f>'PLAN COLORES'!P22</f>
        <v/>
      </c>
      <c r="H61">
        <f>IF(G61=0,0,IF(F61=0,0,ROUND(G61*E61/F61,0)))</f>
        <v/>
      </c>
    </row>
    <row r="62">
      <c r="A62" t="inlineStr">
        <is>
          <t>MAR</t>
        </is>
      </c>
      <c r="B62" t="inlineStr">
        <is>
          <t>KIDS</t>
        </is>
      </c>
      <c r="C62" t="inlineStr">
        <is>
          <t>Rosado Pastel</t>
        </is>
      </c>
      <c r="D62" t="inlineStr">
        <is>
          <t>4</t>
        </is>
      </c>
      <c r="E62" t="n">
        <v>25</v>
      </c>
      <c r="F62" t="n">
        <v>215</v>
      </c>
      <c r="G62">
        <f>'PLAN COLORES'!P22</f>
        <v/>
      </c>
      <c r="H62">
        <f>IF(G62=0,0,IF(F62=0,0,ROUND(G62*E62/F62,0)))</f>
        <v/>
      </c>
    </row>
    <row r="63">
      <c r="A63" t="inlineStr">
        <is>
          <t>MAR</t>
        </is>
      </c>
      <c r="B63" t="inlineStr">
        <is>
          <t>KIDS</t>
        </is>
      </c>
      <c r="C63" t="inlineStr">
        <is>
          <t>Rosado Pastel</t>
        </is>
      </c>
      <c r="D63" t="inlineStr">
        <is>
          <t>6</t>
        </is>
      </c>
      <c r="E63" t="n">
        <v>33</v>
      </c>
      <c r="F63" t="n">
        <v>215</v>
      </c>
      <c r="G63">
        <f>'PLAN COLORES'!P22</f>
        <v/>
      </c>
      <c r="H63">
        <f>IF(G63=0,0,IF(F63=0,0,ROUND(G63*E63/F63,0)))</f>
        <v/>
      </c>
    </row>
    <row r="64">
      <c r="A64" t="inlineStr">
        <is>
          <t>MAR</t>
        </is>
      </c>
      <c r="B64" t="inlineStr">
        <is>
          <t>KIDS</t>
        </is>
      </c>
      <c r="C64" t="inlineStr">
        <is>
          <t>Rosado Pastel</t>
        </is>
      </c>
      <c r="D64" t="inlineStr">
        <is>
          <t>8</t>
        </is>
      </c>
      <c r="E64" t="n">
        <v>31</v>
      </c>
      <c r="F64" t="n">
        <v>215</v>
      </c>
      <c r="G64">
        <f>'PLAN COLORES'!P22</f>
        <v/>
      </c>
      <c r="H64">
        <f>IF(G64=0,0,IF(F64=0,0,ROUND(G64*E64/F64,0)))</f>
        <v/>
      </c>
    </row>
    <row r="65">
      <c r="A65" t="inlineStr">
        <is>
          <t>MAR</t>
        </is>
      </c>
      <c r="B65" t="inlineStr">
        <is>
          <t>KIDS</t>
        </is>
      </c>
      <c r="C65" t="inlineStr">
        <is>
          <t>Púrpura</t>
        </is>
      </c>
      <c r="D65" t="inlineStr">
        <is>
          <t>10</t>
        </is>
      </c>
      <c r="E65" t="n">
        <v>26</v>
      </c>
      <c r="F65" t="n">
        <v>180</v>
      </c>
      <c r="G65">
        <f>'PLAN COLORES'!P23</f>
        <v/>
      </c>
      <c r="H65">
        <f>IF(G65=0,0,IF(F65=0,0,ROUND(G65*E65/F65,0)))</f>
        <v/>
      </c>
    </row>
    <row r="66">
      <c r="A66" t="inlineStr">
        <is>
          <t>MAR</t>
        </is>
      </c>
      <c r="B66" t="inlineStr">
        <is>
          <t>KIDS</t>
        </is>
      </c>
      <c r="C66" t="inlineStr">
        <is>
          <t>Púrpura</t>
        </is>
      </c>
      <c r="D66" t="inlineStr">
        <is>
          <t>12</t>
        </is>
      </c>
      <c r="E66" t="n">
        <v>28</v>
      </c>
      <c r="F66" t="n">
        <v>180</v>
      </c>
      <c r="G66">
        <f>'PLAN COLORES'!P23</f>
        <v/>
      </c>
      <c r="H66">
        <f>IF(G66=0,0,IF(F66=0,0,ROUND(G66*E66/F66,0)))</f>
        <v/>
      </c>
    </row>
    <row r="67">
      <c r="A67" t="inlineStr">
        <is>
          <t>MAR</t>
        </is>
      </c>
      <c r="B67" t="inlineStr">
        <is>
          <t>KIDS</t>
        </is>
      </c>
      <c r="C67" t="inlineStr">
        <is>
          <t>Púrpura</t>
        </is>
      </c>
      <c r="D67" t="inlineStr">
        <is>
          <t>14</t>
        </is>
      </c>
      <c r="E67" t="n">
        <v>30</v>
      </c>
      <c r="F67" t="n">
        <v>180</v>
      </c>
      <c r="G67">
        <f>'PLAN COLORES'!P23</f>
        <v/>
      </c>
      <c r="H67">
        <f>IF(G67=0,0,IF(F67=0,0,ROUND(G67*E67/F67,0)))</f>
        <v/>
      </c>
    </row>
    <row r="68">
      <c r="A68" t="inlineStr">
        <is>
          <t>MAR</t>
        </is>
      </c>
      <c r="B68" t="inlineStr">
        <is>
          <t>KIDS</t>
        </is>
      </c>
      <c r="C68" t="inlineStr">
        <is>
          <t>Púrpura</t>
        </is>
      </c>
      <c r="D68" t="inlineStr">
        <is>
          <t>2</t>
        </is>
      </c>
      <c r="E68" t="n">
        <v>21</v>
      </c>
      <c r="F68" t="n">
        <v>180</v>
      </c>
      <c r="G68">
        <f>'PLAN COLORES'!P23</f>
        <v/>
      </c>
      <c r="H68">
        <f>IF(G68=0,0,IF(F68=0,0,ROUND(G68*E68/F68,0)))</f>
        <v/>
      </c>
    </row>
    <row r="69">
      <c r="A69" t="inlineStr">
        <is>
          <t>MAR</t>
        </is>
      </c>
      <c r="B69" t="inlineStr">
        <is>
          <t>KIDS</t>
        </is>
      </c>
      <c r="C69" t="inlineStr">
        <is>
          <t>Púrpura</t>
        </is>
      </c>
      <c r="D69" t="inlineStr">
        <is>
          <t>4</t>
        </is>
      </c>
      <c r="E69" t="n">
        <v>21</v>
      </c>
      <c r="F69" t="n">
        <v>180</v>
      </c>
      <c r="G69">
        <f>'PLAN COLORES'!P23</f>
        <v/>
      </c>
      <c r="H69">
        <f>IF(G69=0,0,IF(F69=0,0,ROUND(G69*E69/F69,0)))</f>
        <v/>
      </c>
    </row>
    <row r="70">
      <c r="A70" t="inlineStr">
        <is>
          <t>MAR</t>
        </is>
      </c>
      <c r="B70" t="inlineStr">
        <is>
          <t>KIDS</t>
        </is>
      </c>
      <c r="C70" t="inlineStr">
        <is>
          <t>Púrpura</t>
        </is>
      </c>
      <c r="D70" t="inlineStr">
        <is>
          <t>6</t>
        </is>
      </c>
      <c r="E70" t="n">
        <v>28</v>
      </c>
      <c r="F70" t="n">
        <v>180</v>
      </c>
      <c r="G70">
        <f>'PLAN COLORES'!P23</f>
        <v/>
      </c>
      <c r="H70">
        <f>IF(G70=0,0,IF(F70=0,0,ROUND(G70*E70/F70,0)))</f>
        <v/>
      </c>
    </row>
    <row r="71">
      <c r="A71" t="inlineStr">
        <is>
          <t>MAR</t>
        </is>
      </c>
      <c r="B71" t="inlineStr">
        <is>
          <t>KIDS</t>
        </is>
      </c>
      <c r="C71" t="inlineStr">
        <is>
          <t>Púrpura</t>
        </is>
      </c>
      <c r="D71" t="inlineStr">
        <is>
          <t>8</t>
        </is>
      </c>
      <c r="E71" t="n">
        <v>26</v>
      </c>
      <c r="F71" t="n">
        <v>180</v>
      </c>
      <c r="G71">
        <f>'PLAN COLORES'!P23</f>
        <v/>
      </c>
      <c r="H71">
        <f>IF(G71=0,0,IF(F71=0,0,ROUND(G71*E71/F71,0)))</f>
        <v/>
      </c>
    </row>
    <row r="72">
      <c r="A72" t="inlineStr">
        <is>
          <t>MAR</t>
        </is>
      </c>
      <c r="B72" t="inlineStr">
        <is>
          <t>KIDS</t>
        </is>
      </c>
      <c r="C72" t="inlineStr">
        <is>
          <t>Azul Lavanda</t>
        </is>
      </c>
      <c r="D72" t="inlineStr">
        <is>
          <t>10</t>
        </is>
      </c>
      <c r="E72" t="n">
        <v>22</v>
      </c>
      <c r="F72" t="n">
        <v>154</v>
      </c>
      <c r="G72">
        <f>'PLAN COLORES'!P24</f>
        <v/>
      </c>
      <c r="H72">
        <f>IF(G72=0,0,IF(F72=0,0,ROUND(G72*E72/F72,0)))</f>
        <v/>
      </c>
    </row>
    <row r="73">
      <c r="A73" t="inlineStr">
        <is>
          <t>MAR</t>
        </is>
      </c>
      <c r="B73" t="inlineStr">
        <is>
          <t>KIDS</t>
        </is>
      </c>
      <c r="C73" t="inlineStr">
        <is>
          <t>Azul Lavanda</t>
        </is>
      </c>
      <c r="D73" t="inlineStr">
        <is>
          <t>12</t>
        </is>
      </c>
      <c r="E73" t="n">
        <v>24</v>
      </c>
      <c r="F73" t="n">
        <v>154</v>
      </c>
      <c r="G73">
        <f>'PLAN COLORES'!P24</f>
        <v/>
      </c>
      <c r="H73">
        <f>IF(G73=0,0,IF(F73=0,0,ROUND(G73*E73/F73,0)))</f>
        <v/>
      </c>
    </row>
    <row r="74">
      <c r="A74" t="inlineStr">
        <is>
          <t>MAR</t>
        </is>
      </c>
      <c r="B74" t="inlineStr">
        <is>
          <t>KIDS</t>
        </is>
      </c>
      <c r="C74" t="inlineStr">
        <is>
          <t>Azul Lavanda</t>
        </is>
      </c>
      <c r="D74" t="inlineStr">
        <is>
          <t>14</t>
        </is>
      </c>
      <c r="E74" t="n">
        <v>26</v>
      </c>
      <c r="F74" t="n">
        <v>154</v>
      </c>
      <c r="G74">
        <f>'PLAN COLORES'!P24</f>
        <v/>
      </c>
      <c r="H74">
        <f>IF(G74=0,0,IF(F74=0,0,ROUND(G74*E74/F74,0)))</f>
        <v/>
      </c>
    </row>
    <row r="75">
      <c r="A75" t="inlineStr">
        <is>
          <t>MAR</t>
        </is>
      </c>
      <c r="B75" t="inlineStr">
        <is>
          <t>KIDS</t>
        </is>
      </c>
      <c r="C75" t="inlineStr">
        <is>
          <t>Azul Lavanda</t>
        </is>
      </c>
      <c r="D75" t="inlineStr">
        <is>
          <t>2</t>
        </is>
      </c>
      <c r="E75" t="n">
        <v>18</v>
      </c>
      <c r="F75" t="n">
        <v>154</v>
      </c>
      <c r="G75">
        <f>'PLAN COLORES'!P24</f>
        <v/>
      </c>
      <c r="H75">
        <f>IF(G75=0,0,IF(F75=0,0,ROUND(G75*E75/F75,0)))</f>
        <v/>
      </c>
    </row>
    <row r="76">
      <c r="A76" t="inlineStr">
        <is>
          <t>MAR</t>
        </is>
      </c>
      <c r="B76" t="inlineStr">
        <is>
          <t>KIDS</t>
        </is>
      </c>
      <c r="C76" t="inlineStr">
        <is>
          <t>Azul Lavanda</t>
        </is>
      </c>
      <c r="D76" t="inlineStr">
        <is>
          <t>4</t>
        </is>
      </c>
      <c r="E76" t="n">
        <v>18</v>
      </c>
      <c r="F76" t="n">
        <v>154</v>
      </c>
      <c r="G76">
        <f>'PLAN COLORES'!P24</f>
        <v/>
      </c>
      <c r="H76">
        <f>IF(G76=0,0,IF(F76=0,0,ROUND(G76*E76/F76,0)))</f>
        <v/>
      </c>
    </row>
    <row r="77">
      <c r="A77" t="inlineStr">
        <is>
          <t>MAR</t>
        </is>
      </c>
      <c r="B77" t="inlineStr">
        <is>
          <t>KIDS</t>
        </is>
      </c>
      <c r="C77" t="inlineStr">
        <is>
          <t>Azul Lavanda</t>
        </is>
      </c>
      <c r="D77" t="inlineStr">
        <is>
          <t>6</t>
        </is>
      </c>
      <c r="E77" t="n">
        <v>24</v>
      </c>
      <c r="F77" t="n">
        <v>154</v>
      </c>
      <c r="G77">
        <f>'PLAN COLORES'!P24</f>
        <v/>
      </c>
      <c r="H77">
        <f>IF(G77=0,0,IF(F77=0,0,ROUND(G77*E77/F77,0)))</f>
        <v/>
      </c>
    </row>
    <row r="78">
      <c r="A78" t="inlineStr">
        <is>
          <t>MAR</t>
        </is>
      </c>
      <c r="B78" t="inlineStr">
        <is>
          <t>KIDS</t>
        </is>
      </c>
      <c r="C78" t="inlineStr">
        <is>
          <t>Azul Lavanda</t>
        </is>
      </c>
      <c r="D78" t="inlineStr">
        <is>
          <t>8</t>
        </is>
      </c>
      <c r="E78" t="n">
        <v>22</v>
      </c>
      <c r="F78" t="n">
        <v>154</v>
      </c>
      <c r="G78">
        <f>'PLAN COLORES'!P24</f>
        <v/>
      </c>
      <c r="H78">
        <f>IF(G78=0,0,IF(F78=0,0,ROUND(G78*E78/F78,0)))</f>
        <v/>
      </c>
    </row>
    <row r="79">
      <c r="A79" t="inlineStr">
        <is>
          <t>MAR</t>
        </is>
      </c>
      <c r="B79" t="inlineStr">
        <is>
          <t>KIDS</t>
        </is>
      </c>
      <c r="C79" t="inlineStr">
        <is>
          <t>Amarillo Neón</t>
        </is>
      </c>
      <c r="D79" t="inlineStr">
        <is>
          <t>10</t>
        </is>
      </c>
      <c r="E79" t="n">
        <v>17</v>
      </c>
      <c r="F79" t="n">
        <v>114</v>
      </c>
      <c r="G79">
        <f>'PLAN COLORES'!P25</f>
        <v/>
      </c>
      <c r="H79">
        <f>IF(G79=0,0,IF(F79=0,0,ROUND(G79*E79/F79,0)))</f>
        <v/>
      </c>
    </row>
    <row r="80">
      <c r="A80" t="inlineStr">
        <is>
          <t>MAR</t>
        </is>
      </c>
      <c r="B80" t="inlineStr">
        <is>
          <t>KIDS</t>
        </is>
      </c>
      <c r="C80" t="inlineStr">
        <is>
          <t>Amarillo Neón</t>
        </is>
      </c>
      <c r="D80" t="inlineStr">
        <is>
          <t>12</t>
        </is>
      </c>
      <c r="E80" t="n">
        <v>18</v>
      </c>
      <c r="F80" t="n">
        <v>114</v>
      </c>
      <c r="G80">
        <f>'PLAN COLORES'!P25</f>
        <v/>
      </c>
      <c r="H80">
        <f>IF(G80=0,0,IF(F80=0,0,ROUND(G80*E80/F80,0)))</f>
        <v/>
      </c>
    </row>
    <row r="81">
      <c r="A81" t="inlineStr">
        <is>
          <t>MAR</t>
        </is>
      </c>
      <c r="B81" t="inlineStr">
        <is>
          <t>KIDS</t>
        </is>
      </c>
      <c r="C81" t="inlineStr">
        <is>
          <t>Amarillo Neón</t>
        </is>
      </c>
      <c r="D81" t="inlineStr">
        <is>
          <t>14</t>
        </is>
      </c>
      <c r="E81" t="n">
        <v>19</v>
      </c>
      <c r="F81" t="n">
        <v>114</v>
      </c>
      <c r="G81">
        <f>'PLAN COLORES'!P25</f>
        <v/>
      </c>
      <c r="H81">
        <f>IF(G81=0,0,IF(F81=0,0,ROUND(G81*E81/F81,0)))</f>
        <v/>
      </c>
    </row>
    <row r="82">
      <c r="A82" t="inlineStr">
        <is>
          <t>MAR</t>
        </is>
      </c>
      <c r="B82" t="inlineStr">
        <is>
          <t>KIDS</t>
        </is>
      </c>
      <c r="C82" t="inlineStr">
        <is>
          <t>Amarillo Neón</t>
        </is>
      </c>
      <c r="D82" t="inlineStr">
        <is>
          <t>2</t>
        </is>
      </c>
      <c r="E82" t="n">
        <v>13</v>
      </c>
      <c r="F82" t="n">
        <v>114</v>
      </c>
      <c r="G82">
        <f>'PLAN COLORES'!P25</f>
        <v/>
      </c>
      <c r="H82">
        <f>IF(G82=0,0,IF(F82=0,0,ROUND(G82*E82/F82,0)))</f>
        <v/>
      </c>
    </row>
    <row r="83">
      <c r="A83" t="inlineStr">
        <is>
          <t>MAR</t>
        </is>
      </c>
      <c r="B83" t="inlineStr">
        <is>
          <t>KIDS</t>
        </is>
      </c>
      <c r="C83" t="inlineStr">
        <is>
          <t>Amarillo Neón</t>
        </is>
      </c>
      <c r="D83" t="inlineStr">
        <is>
          <t>4</t>
        </is>
      </c>
      <c r="E83" t="n">
        <v>13</v>
      </c>
      <c r="F83" t="n">
        <v>114</v>
      </c>
      <c r="G83">
        <f>'PLAN COLORES'!P25</f>
        <v/>
      </c>
      <c r="H83">
        <f>IF(G83=0,0,IF(F83=0,0,ROUND(G83*E83/F83,0)))</f>
        <v/>
      </c>
    </row>
    <row r="84">
      <c r="A84" t="inlineStr">
        <is>
          <t>MAR</t>
        </is>
      </c>
      <c r="B84" t="inlineStr">
        <is>
          <t>KIDS</t>
        </is>
      </c>
      <c r="C84" t="inlineStr">
        <is>
          <t>Amarillo Neón</t>
        </is>
      </c>
      <c r="D84" t="inlineStr">
        <is>
          <t>6</t>
        </is>
      </c>
      <c r="E84" t="n">
        <v>18</v>
      </c>
      <c r="F84" t="n">
        <v>114</v>
      </c>
      <c r="G84">
        <f>'PLAN COLORES'!P25</f>
        <v/>
      </c>
      <c r="H84">
        <f>IF(G84=0,0,IF(F84=0,0,ROUND(G84*E84/F84,0)))</f>
        <v/>
      </c>
    </row>
    <row r="85">
      <c r="A85" t="inlineStr">
        <is>
          <t>MAR</t>
        </is>
      </c>
      <c r="B85" t="inlineStr">
        <is>
          <t>KIDS</t>
        </is>
      </c>
      <c r="C85" t="inlineStr">
        <is>
          <t>Amarillo Neón</t>
        </is>
      </c>
      <c r="D85" t="inlineStr">
        <is>
          <t>8</t>
        </is>
      </c>
      <c r="E85" t="n">
        <v>16</v>
      </c>
      <c r="F85" t="n">
        <v>114</v>
      </c>
      <c r="G85">
        <f>'PLAN COLORES'!P25</f>
        <v/>
      </c>
      <c r="H85">
        <f>IF(G85=0,0,IF(F85=0,0,ROUND(G85*E85/F85,0)))</f>
        <v/>
      </c>
    </row>
    <row r="86"/>
    <row r="87">
      <c r="C87" t="inlineStr">
        <is>
          <t>Verificar: suma tallas ≈ und color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7" customWidth="1" min="4" max="4"/>
    <col width="21" customWidth="1" min="5" max="5"/>
    <col width="19" customWidth="1" min="6" max="6"/>
    <col width="21" customWidth="1" min="7" max="7"/>
    <col width="22" customWidth="1" min="8" max="8"/>
  </cols>
  <sheetData>
    <row r="1">
      <c r="A1" s="5" t="inlineStr">
        <is>
          <t>Modelo</t>
        </is>
      </c>
      <c r="B1" s="5" t="inlineStr">
        <is>
          <t>Género</t>
        </is>
      </c>
      <c r="C1" s="5" t="inlineStr">
        <is>
          <t>Color</t>
        </is>
      </c>
      <c r="D1" s="5" t="inlineStr">
        <is>
          <t>Talla</t>
        </is>
      </c>
      <c r="E1" s="5" t="inlineStr">
        <is>
          <t>Und máx Excel (mix)</t>
        </is>
      </c>
      <c r="F1" s="5" t="inlineStr">
        <is>
          <t>Total color Excel</t>
        </is>
      </c>
      <c r="G1" s="5" t="inlineStr">
        <is>
          <t>Und FINAL color</t>
        </is>
      </c>
      <c r="H1" s="5" t="inlineStr">
        <is>
          <t>Und talla A PRODUCIR</t>
        </is>
      </c>
    </row>
    <row r="2">
      <c r="A2" t="inlineStr">
        <is>
          <t>MAR</t>
        </is>
      </c>
      <c r="B2" t="inlineStr">
        <is>
          <t>CAB</t>
        </is>
      </c>
      <c r="C2" t="inlineStr">
        <is>
          <t>Negro</t>
        </is>
      </c>
      <c r="D2" t="inlineStr">
        <is>
          <t>2XL</t>
        </is>
      </c>
      <c r="E2" t="n">
        <v>46</v>
      </c>
      <c r="F2" t="n">
        <v>555</v>
      </c>
      <c r="G2">
        <f>'PLAN COLORES'!P26</f>
        <v/>
      </c>
      <c r="H2">
        <f>IF(G2=0,0,IF(F2=0,0,ROUND(G2*E2/F2,0)))</f>
        <v/>
      </c>
    </row>
    <row r="3">
      <c r="A3" t="inlineStr">
        <is>
          <t>MAR</t>
        </is>
      </c>
      <c r="B3" t="inlineStr">
        <is>
          <t>CAB</t>
        </is>
      </c>
      <c r="C3" t="inlineStr">
        <is>
          <t>Negro</t>
        </is>
      </c>
      <c r="D3" t="inlineStr">
        <is>
          <t>L</t>
        </is>
      </c>
      <c r="E3" t="n">
        <v>162</v>
      </c>
      <c r="F3" t="n">
        <v>555</v>
      </c>
      <c r="G3">
        <f>'PLAN COLORES'!P26</f>
        <v/>
      </c>
      <c r="H3">
        <f>IF(G3=0,0,IF(F3=0,0,ROUND(G3*E3/F3,0)))</f>
        <v/>
      </c>
    </row>
    <row r="4">
      <c r="A4" t="inlineStr">
        <is>
          <t>MAR</t>
        </is>
      </c>
      <c r="B4" t="inlineStr">
        <is>
          <t>CAB</t>
        </is>
      </c>
      <c r="C4" t="inlineStr">
        <is>
          <t>Negro</t>
        </is>
      </c>
      <c r="D4" t="inlineStr">
        <is>
          <t>M</t>
        </is>
      </c>
      <c r="E4" t="n">
        <v>169</v>
      </c>
      <c r="F4" t="n">
        <v>555</v>
      </c>
      <c r="G4">
        <f>'PLAN COLORES'!P26</f>
        <v/>
      </c>
      <c r="H4">
        <f>IF(G4=0,0,IF(F4=0,0,ROUND(G4*E4/F4,0)))</f>
        <v/>
      </c>
    </row>
    <row r="5">
      <c r="A5" t="inlineStr">
        <is>
          <t>MAR</t>
        </is>
      </c>
      <c r="B5" t="inlineStr">
        <is>
          <t>CAB</t>
        </is>
      </c>
      <c r="C5" t="inlineStr">
        <is>
          <t>Negro</t>
        </is>
      </c>
      <c r="D5" t="inlineStr">
        <is>
          <t>S</t>
        </is>
      </c>
      <c r="E5" t="n">
        <v>90</v>
      </c>
      <c r="F5" t="n">
        <v>555</v>
      </c>
      <c r="G5">
        <f>'PLAN COLORES'!P26</f>
        <v/>
      </c>
      <c r="H5">
        <f>IF(G5=0,0,IF(F5=0,0,ROUND(G5*E5/F5,0)))</f>
        <v/>
      </c>
    </row>
    <row r="6">
      <c r="A6" t="inlineStr">
        <is>
          <t>MAR</t>
        </is>
      </c>
      <c r="B6" t="inlineStr">
        <is>
          <t>CAB</t>
        </is>
      </c>
      <c r="C6" t="inlineStr">
        <is>
          <t>Negro</t>
        </is>
      </c>
      <c r="D6" t="inlineStr">
        <is>
          <t>XL</t>
        </is>
      </c>
      <c r="E6" t="n">
        <v>88</v>
      </c>
      <c r="F6" t="n">
        <v>555</v>
      </c>
      <c r="G6">
        <f>'PLAN COLORES'!P26</f>
        <v/>
      </c>
      <c r="H6">
        <f>IF(G6=0,0,IF(F6=0,0,ROUND(G6*E6/F6,0)))</f>
        <v/>
      </c>
    </row>
    <row r="7">
      <c r="A7" t="inlineStr">
        <is>
          <t>MAR</t>
        </is>
      </c>
      <c r="B7" t="inlineStr">
        <is>
          <t>CAB</t>
        </is>
      </c>
      <c r="C7" t="inlineStr">
        <is>
          <t>Azul Marino</t>
        </is>
      </c>
      <c r="D7" t="inlineStr">
        <is>
          <t>2XL</t>
        </is>
      </c>
      <c r="E7" t="n">
        <v>39</v>
      </c>
      <c r="F7" t="n">
        <v>473</v>
      </c>
      <c r="G7">
        <f>'PLAN COLORES'!P27</f>
        <v/>
      </c>
      <c r="H7">
        <f>IF(G7=0,0,IF(F7=0,0,ROUND(G7*E7/F7,0)))</f>
        <v/>
      </c>
    </row>
    <row r="8">
      <c r="A8" t="inlineStr">
        <is>
          <t>MAR</t>
        </is>
      </c>
      <c r="B8" t="inlineStr">
        <is>
          <t>CAB</t>
        </is>
      </c>
      <c r="C8" t="inlineStr">
        <is>
          <t>Azul Marino</t>
        </is>
      </c>
      <c r="D8" t="inlineStr">
        <is>
          <t>L</t>
        </is>
      </c>
      <c r="E8" t="n">
        <v>138</v>
      </c>
      <c r="F8" t="n">
        <v>473</v>
      </c>
      <c r="G8">
        <f>'PLAN COLORES'!P27</f>
        <v/>
      </c>
      <c r="H8">
        <f>IF(G8=0,0,IF(F8=0,0,ROUND(G8*E8/F8,0)))</f>
        <v/>
      </c>
    </row>
    <row r="9">
      <c r="A9" t="inlineStr">
        <is>
          <t>MAR</t>
        </is>
      </c>
      <c r="B9" t="inlineStr">
        <is>
          <t>CAB</t>
        </is>
      </c>
      <c r="C9" t="inlineStr">
        <is>
          <t>Azul Marino</t>
        </is>
      </c>
      <c r="D9" t="inlineStr">
        <is>
          <t>M</t>
        </is>
      </c>
      <c r="E9" t="n">
        <v>144</v>
      </c>
      <c r="F9" t="n">
        <v>473</v>
      </c>
      <c r="G9">
        <f>'PLAN COLORES'!P27</f>
        <v/>
      </c>
      <c r="H9">
        <f>IF(G9=0,0,IF(F9=0,0,ROUND(G9*E9/F9,0)))</f>
        <v/>
      </c>
    </row>
    <row r="10">
      <c r="A10" t="inlineStr">
        <is>
          <t>MAR</t>
        </is>
      </c>
      <c r="B10" t="inlineStr">
        <is>
          <t>CAB</t>
        </is>
      </c>
      <c r="C10" t="inlineStr">
        <is>
          <t>Azul Marino</t>
        </is>
      </c>
      <c r="D10" t="inlineStr">
        <is>
          <t>S</t>
        </is>
      </c>
      <c r="E10" t="n">
        <v>77</v>
      </c>
      <c r="F10" t="n">
        <v>473</v>
      </c>
      <c r="G10">
        <f>'PLAN COLORES'!P27</f>
        <v/>
      </c>
      <c r="H10">
        <f>IF(G10=0,0,IF(F10=0,0,ROUND(G10*E10/F10,0)))</f>
        <v/>
      </c>
    </row>
    <row r="11">
      <c r="A11" t="inlineStr">
        <is>
          <t>MAR</t>
        </is>
      </c>
      <c r="B11" t="inlineStr">
        <is>
          <t>CAB</t>
        </is>
      </c>
      <c r="C11" t="inlineStr">
        <is>
          <t>Azul Marino</t>
        </is>
      </c>
      <c r="D11" t="inlineStr">
        <is>
          <t>XL</t>
        </is>
      </c>
      <c r="E11" t="n">
        <v>75</v>
      </c>
      <c r="F11" t="n">
        <v>473</v>
      </c>
      <c r="G11">
        <f>'PLAN COLORES'!P27</f>
        <v/>
      </c>
      <c r="H11">
        <f>IF(G11=0,0,IF(F11=0,0,ROUND(G11*E11/F11,0)))</f>
        <v/>
      </c>
    </row>
    <row r="12">
      <c r="A12" t="inlineStr">
        <is>
          <t>MAR</t>
        </is>
      </c>
      <c r="B12" t="inlineStr">
        <is>
          <t>CAB</t>
        </is>
      </c>
      <c r="C12" t="inlineStr">
        <is>
          <t>Blanco</t>
        </is>
      </c>
      <c r="D12" t="inlineStr">
        <is>
          <t>2XL</t>
        </is>
      </c>
      <c r="E12" t="n">
        <v>32</v>
      </c>
      <c r="F12" t="n">
        <v>390</v>
      </c>
      <c r="G12">
        <f>'PLAN COLORES'!P28</f>
        <v/>
      </c>
      <c r="H12">
        <f>IF(G12=0,0,IF(F12=0,0,ROUND(G12*E12/F12,0)))</f>
        <v/>
      </c>
    </row>
    <row r="13">
      <c r="A13" t="inlineStr">
        <is>
          <t>MAR</t>
        </is>
      </c>
      <c r="B13" t="inlineStr">
        <is>
          <t>CAB</t>
        </is>
      </c>
      <c r="C13" t="inlineStr">
        <is>
          <t>Blanco</t>
        </is>
      </c>
      <c r="D13" t="inlineStr">
        <is>
          <t>L</t>
        </is>
      </c>
      <c r="E13" t="n">
        <v>114</v>
      </c>
      <c r="F13" t="n">
        <v>390</v>
      </c>
      <c r="G13">
        <f>'PLAN COLORES'!P28</f>
        <v/>
      </c>
      <c r="H13">
        <f>IF(G13=0,0,IF(F13=0,0,ROUND(G13*E13/F13,0)))</f>
        <v/>
      </c>
    </row>
    <row r="14">
      <c r="A14" t="inlineStr">
        <is>
          <t>MAR</t>
        </is>
      </c>
      <c r="B14" t="inlineStr">
        <is>
          <t>CAB</t>
        </is>
      </c>
      <c r="C14" t="inlineStr">
        <is>
          <t>Blanco</t>
        </is>
      </c>
      <c r="D14" t="inlineStr">
        <is>
          <t>M</t>
        </is>
      </c>
      <c r="E14" t="n">
        <v>119</v>
      </c>
      <c r="F14" t="n">
        <v>390</v>
      </c>
      <c r="G14">
        <f>'PLAN COLORES'!P28</f>
        <v/>
      </c>
      <c r="H14">
        <f>IF(G14=0,0,IF(F14=0,0,ROUND(G14*E14/F14,0)))</f>
        <v/>
      </c>
    </row>
    <row r="15">
      <c r="A15" t="inlineStr">
        <is>
          <t>MAR</t>
        </is>
      </c>
      <c r="B15" t="inlineStr">
        <is>
          <t>CAB</t>
        </is>
      </c>
      <c r="C15" t="inlineStr">
        <is>
          <t>Blanco</t>
        </is>
      </c>
      <c r="D15" t="inlineStr">
        <is>
          <t>S</t>
        </is>
      </c>
      <c r="E15" t="n">
        <v>63</v>
      </c>
      <c r="F15" t="n">
        <v>390</v>
      </c>
      <c r="G15">
        <f>'PLAN COLORES'!P28</f>
        <v/>
      </c>
      <c r="H15">
        <f>IF(G15=0,0,IF(F15=0,0,ROUND(G15*E15/F15,0)))</f>
        <v/>
      </c>
    </row>
    <row r="16">
      <c r="A16" t="inlineStr">
        <is>
          <t>MAR</t>
        </is>
      </c>
      <c r="B16" t="inlineStr">
        <is>
          <t>CAB</t>
        </is>
      </c>
      <c r="C16" t="inlineStr">
        <is>
          <t>Blanco</t>
        </is>
      </c>
      <c r="D16" t="inlineStr">
        <is>
          <t>XL</t>
        </is>
      </c>
      <c r="E16" t="n">
        <v>62</v>
      </c>
      <c r="F16" t="n">
        <v>390</v>
      </c>
      <c r="G16">
        <f>'PLAN COLORES'!P28</f>
        <v/>
      </c>
      <c r="H16">
        <f>IF(G16=0,0,IF(F16=0,0,ROUND(G16*E16/F16,0)))</f>
        <v/>
      </c>
    </row>
    <row r="17">
      <c r="A17" t="inlineStr">
        <is>
          <t>MAR</t>
        </is>
      </c>
      <c r="B17" t="inlineStr">
        <is>
          <t>CAB</t>
        </is>
      </c>
      <c r="C17" t="inlineStr">
        <is>
          <t>Verde Militar</t>
        </is>
      </c>
      <c r="D17" t="inlineStr">
        <is>
          <t>2XL</t>
        </is>
      </c>
      <c r="E17" t="n">
        <v>29</v>
      </c>
      <c r="F17" t="n">
        <v>355</v>
      </c>
      <c r="G17">
        <f>'PLAN COLORES'!P29</f>
        <v/>
      </c>
      <c r="H17">
        <f>IF(G17=0,0,IF(F17=0,0,ROUND(G17*E17/F17,0)))</f>
        <v/>
      </c>
    </row>
    <row r="18">
      <c r="A18" t="inlineStr">
        <is>
          <t>MAR</t>
        </is>
      </c>
      <c r="B18" t="inlineStr">
        <is>
          <t>CAB</t>
        </is>
      </c>
      <c r="C18" t="inlineStr">
        <is>
          <t>Verde Militar</t>
        </is>
      </c>
      <c r="D18" t="inlineStr">
        <is>
          <t>L</t>
        </is>
      </c>
      <c r="E18" t="n">
        <v>104</v>
      </c>
      <c r="F18" t="n">
        <v>355</v>
      </c>
      <c r="G18">
        <f>'PLAN COLORES'!P29</f>
        <v/>
      </c>
      <c r="H18">
        <f>IF(G18=0,0,IF(F18=0,0,ROUND(G18*E18/F18,0)))</f>
        <v/>
      </c>
    </row>
    <row r="19">
      <c r="A19" t="inlineStr">
        <is>
          <t>MAR</t>
        </is>
      </c>
      <c r="B19" t="inlineStr">
        <is>
          <t>CAB</t>
        </is>
      </c>
      <c r="C19" t="inlineStr">
        <is>
          <t>Verde Militar</t>
        </is>
      </c>
      <c r="D19" t="inlineStr">
        <is>
          <t>M</t>
        </is>
      </c>
      <c r="E19" t="n">
        <v>108</v>
      </c>
      <c r="F19" t="n">
        <v>355</v>
      </c>
      <c r="G19">
        <f>'PLAN COLORES'!P29</f>
        <v/>
      </c>
      <c r="H19">
        <f>IF(G19=0,0,IF(F19=0,0,ROUND(G19*E19/F19,0)))</f>
        <v/>
      </c>
    </row>
    <row r="20">
      <c r="A20" t="inlineStr">
        <is>
          <t>MAR</t>
        </is>
      </c>
      <c r="B20" t="inlineStr">
        <is>
          <t>CAB</t>
        </is>
      </c>
      <c r="C20" t="inlineStr">
        <is>
          <t>Verde Militar</t>
        </is>
      </c>
      <c r="D20" t="inlineStr">
        <is>
          <t>S</t>
        </is>
      </c>
      <c r="E20" t="n">
        <v>58</v>
      </c>
      <c r="F20" t="n">
        <v>355</v>
      </c>
      <c r="G20">
        <f>'PLAN COLORES'!P29</f>
        <v/>
      </c>
      <c r="H20">
        <f>IF(G20=0,0,IF(F20=0,0,ROUND(G20*E20/F20,0)))</f>
        <v/>
      </c>
    </row>
    <row r="21">
      <c r="A21" t="inlineStr">
        <is>
          <t>MAR</t>
        </is>
      </c>
      <c r="B21" t="inlineStr">
        <is>
          <t>CAB</t>
        </is>
      </c>
      <c r="C21" t="inlineStr">
        <is>
          <t>Verde Militar</t>
        </is>
      </c>
      <c r="D21" t="inlineStr">
        <is>
          <t>XL</t>
        </is>
      </c>
      <c r="E21" t="n">
        <v>56</v>
      </c>
      <c r="F21" t="n">
        <v>355</v>
      </c>
      <c r="G21">
        <f>'PLAN COLORES'!P29</f>
        <v/>
      </c>
      <c r="H21">
        <f>IF(G21=0,0,IF(F21=0,0,ROUND(G21*E21/F21,0)))</f>
        <v/>
      </c>
    </row>
    <row r="22">
      <c r="A22" t="inlineStr">
        <is>
          <t>MAR</t>
        </is>
      </c>
      <c r="B22" t="inlineStr">
        <is>
          <t>CAB</t>
        </is>
      </c>
      <c r="C22" t="inlineStr">
        <is>
          <t>Azul Lavanda</t>
        </is>
      </c>
      <c r="D22" t="inlineStr">
        <is>
          <t>2XL</t>
        </is>
      </c>
      <c r="E22" t="n">
        <v>22</v>
      </c>
      <c r="F22" t="n">
        <v>268</v>
      </c>
      <c r="G22">
        <f>'PLAN COLORES'!P30</f>
        <v/>
      </c>
      <c r="H22">
        <f>IF(G22=0,0,IF(F22=0,0,ROUND(G22*E22/F22,0)))</f>
        <v/>
      </c>
    </row>
    <row r="23">
      <c r="A23" t="inlineStr">
        <is>
          <t>MAR</t>
        </is>
      </c>
      <c r="B23" t="inlineStr">
        <is>
          <t>CAB</t>
        </is>
      </c>
      <c r="C23" t="inlineStr">
        <is>
          <t>Azul Lavanda</t>
        </is>
      </c>
      <c r="D23" t="inlineStr">
        <is>
          <t>L</t>
        </is>
      </c>
      <c r="E23" t="n">
        <v>78</v>
      </c>
      <c r="F23" t="n">
        <v>268</v>
      </c>
      <c r="G23">
        <f>'PLAN COLORES'!P30</f>
        <v/>
      </c>
      <c r="H23">
        <f>IF(G23=0,0,IF(F23=0,0,ROUND(G23*E23/F23,0)))</f>
        <v/>
      </c>
    </row>
    <row r="24">
      <c r="A24" t="inlineStr">
        <is>
          <t>MAR</t>
        </is>
      </c>
      <c r="B24" t="inlineStr">
        <is>
          <t>CAB</t>
        </is>
      </c>
      <c r="C24" t="inlineStr">
        <is>
          <t>Azul Lavanda</t>
        </is>
      </c>
      <c r="D24" t="inlineStr">
        <is>
          <t>M</t>
        </is>
      </c>
      <c r="E24" t="n">
        <v>82</v>
      </c>
      <c r="F24" t="n">
        <v>268</v>
      </c>
      <c r="G24">
        <f>'PLAN COLORES'!P30</f>
        <v/>
      </c>
      <c r="H24">
        <f>IF(G24=0,0,IF(F24=0,0,ROUND(G24*E24/F24,0)))</f>
        <v/>
      </c>
    </row>
    <row r="25">
      <c r="A25" t="inlineStr">
        <is>
          <t>MAR</t>
        </is>
      </c>
      <c r="B25" t="inlineStr">
        <is>
          <t>CAB</t>
        </is>
      </c>
      <c r="C25" t="inlineStr">
        <is>
          <t>Azul Lavanda</t>
        </is>
      </c>
      <c r="D25" t="inlineStr">
        <is>
          <t>S</t>
        </is>
      </c>
      <c r="E25" t="n">
        <v>43</v>
      </c>
      <c r="F25" t="n">
        <v>268</v>
      </c>
      <c r="G25">
        <f>'PLAN COLORES'!P30</f>
        <v/>
      </c>
      <c r="H25">
        <f>IF(G25=0,0,IF(F25=0,0,ROUND(G25*E25/F25,0)))</f>
        <v/>
      </c>
    </row>
    <row r="26">
      <c r="A26" t="inlineStr">
        <is>
          <t>MAR</t>
        </is>
      </c>
      <c r="B26" t="inlineStr">
        <is>
          <t>CAB</t>
        </is>
      </c>
      <c r="C26" t="inlineStr">
        <is>
          <t>Azul Lavanda</t>
        </is>
      </c>
      <c r="D26" t="inlineStr">
        <is>
          <t>XL</t>
        </is>
      </c>
      <c r="E26" t="n">
        <v>43</v>
      </c>
      <c r="F26" t="n">
        <v>268</v>
      </c>
      <c r="G26">
        <f>'PLAN COLORES'!P30</f>
        <v/>
      </c>
      <c r="H26">
        <f>IF(G26=0,0,IF(F26=0,0,ROUND(G26*E26/F26,0)))</f>
        <v/>
      </c>
    </row>
    <row r="27">
      <c r="A27" t="inlineStr">
        <is>
          <t>MAR</t>
        </is>
      </c>
      <c r="B27" t="inlineStr">
        <is>
          <t>CAB</t>
        </is>
      </c>
      <c r="C27" t="inlineStr">
        <is>
          <t>Azul Rey</t>
        </is>
      </c>
      <c r="D27" t="inlineStr">
        <is>
          <t>2XL</t>
        </is>
      </c>
      <c r="E27" t="n">
        <v>17</v>
      </c>
      <c r="F27" t="n">
        <v>205</v>
      </c>
      <c r="G27">
        <f>'PLAN COLORES'!P31</f>
        <v/>
      </c>
      <c r="H27">
        <f>IF(G27=0,0,IF(F27=0,0,ROUND(G27*E27/F27,0)))</f>
        <v/>
      </c>
    </row>
    <row r="28">
      <c r="A28" t="inlineStr">
        <is>
          <t>MAR</t>
        </is>
      </c>
      <c r="B28" t="inlineStr">
        <is>
          <t>CAB</t>
        </is>
      </c>
      <c r="C28" t="inlineStr">
        <is>
          <t>Azul Rey</t>
        </is>
      </c>
      <c r="D28" t="inlineStr">
        <is>
          <t>L</t>
        </is>
      </c>
      <c r="E28" t="n">
        <v>60</v>
      </c>
      <c r="F28" t="n">
        <v>205</v>
      </c>
      <c r="G28">
        <f>'PLAN COLORES'!P31</f>
        <v/>
      </c>
      <c r="H28">
        <f>IF(G28=0,0,IF(F28=0,0,ROUND(G28*E28/F28,0)))</f>
        <v/>
      </c>
    </row>
    <row r="29">
      <c r="A29" t="inlineStr">
        <is>
          <t>MAR</t>
        </is>
      </c>
      <c r="B29" t="inlineStr">
        <is>
          <t>CAB</t>
        </is>
      </c>
      <c r="C29" t="inlineStr">
        <is>
          <t>Azul Rey</t>
        </is>
      </c>
      <c r="D29" t="inlineStr">
        <is>
          <t>M</t>
        </is>
      </c>
      <c r="E29" t="n">
        <v>62</v>
      </c>
      <c r="F29" t="n">
        <v>205</v>
      </c>
      <c r="G29">
        <f>'PLAN COLORES'!P31</f>
        <v/>
      </c>
      <c r="H29">
        <f>IF(G29=0,0,IF(F29=0,0,ROUND(G29*E29/F29,0)))</f>
        <v/>
      </c>
    </row>
    <row r="30">
      <c r="A30" t="inlineStr">
        <is>
          <t>MAR</t>
        </is>
      </c>
      <c r="B30" t="inlineStr">
        <is>
          <t>CAB</t>
        </is>
      </c>
      <c r="C30" t="inlineStr">
        <is>
          <t>Azul Rey</t>
        </is>
      </c>
      <c r="D30" t="inlineStr">
        <is>
          <t>S</t>
        </is>
      </c>
      <c r="E30" t="n">
        <v>33</v>
      </c>
      <c r="F30" t="n">
        <v>205</v>
      </c>
      <c r="G30">
        <f>'PLAN COLORES'!P31</f>
        <v/>
      </c>
      <c r="H30">
        <f>IF(G30=0,0,IF(F30=0,0,ROUND(G30*E30/F30,0)))</f>
        <v/>
      </c>
    </row>
    <row r="31">
      <c r="A31" t="inlineStr">
        <is>
          <t>MAR</t>
        </is>
      </c>
      <c r="B31" t="inlineStr">
        <is>
          <t>CAB</t>
        </is>
      </c>
      <c r="C31" t="inlineStr">
        <is>
          <t>Azul Rey</t>
        </is>
      </c>
      <c r="D31" t="inlineStr">
        <is>
          <t>XL</t>
        </is>
      </c>
      <c r="E31" t="n">
        <v>33</v>
      </c>
      <c r="F31" t="n">
        <v>205</v>
      </c>
      <c r="G31">
        <f>'PLAN COLORES'!P31</f>
        <v/>
      </c>
      <c r="H31">
        <f>IF(G31=0,0,IF(F31=0,0,ROUND(G31*E31/F31,0)))</f>
        <v/>
      </c>
    </row>
    <row r="32">
      <c r="A32" t="inlineStr">
        <is>
          <t>MAR</t>
        </is>
      </c>
      <c r="B32" t="inlineStr">
        <is>
          <t>CAB</t>
        </is>
      </c>
      <c r="C32" t="inlineStr">
        <is>
          <t>Gris Claro</t>
        </is>
      </c>
      <c r="D32" t="inlineStr">
        <is>
          <t>2XL</t>
        </is>
      </c>
      <c r="E32" t="n">
        <v>16</v>
      </c>
      <c r="F32" t="n">
        <v>191</v>
      </c>
      <c r="G32">
        <f>'PLAN COLORES'!P32</f>
        <v/>
      </c>
      <c r="H32">
        <f>IF(G32=0,0,IF(F32=0,0,ROUND(G32*E32/F32,0)))</f>
        <v/>
      </c>
    </row>
    <row r="33">
      <c r="A33" t="inlineStr">
        <is>
          <t>MAR</t>
        </is>
      </c>
      <c r="B33" t="inlineStr">
        <is>
          <t>CAB</t>
        </is>
      </c>
      <c r="C33" t="inlineStr">
        <is>
          <t>Gris Claro</t>
        </is>
      </c>
      <c r="D33" t="inlineStr">
        <is>
          <t>L</t>
        </is>
      </c>
      <c r="E33" t="n">
        <v>56</v>
      </c>
      <c r="F33" t="n">
        <v>191</v>
      </c>
      <c r="G33">
        <f>'PLAN COLORES'!P32</f>
        <v/>
      </c>
      <c r="H33">
        <f>IF(G33=0,0,IF(F33=0,0,ROUND(G33*E33/F33,0)))</f>
        <v/>
      </c>
    </row>
    <row r="34">
      <c r="A34" t="inlineStr">
        <is>
          <t>MAR</t>
        </is>
      </c>
      <c r="B34" t="inlineStr">
        <is>
          <t>CAB</t>
        </is>
      </c>
      <c r="C34" t="inlineStr">
        <is>
          <t>Gris Claro</t>
        </is>
      </c>
      <c r="D34" t="inlineStr">
        <is>
          <t>M</t>
        </is>
      </c>
      <c r="E34" t="n">
        <v>58</v>
      </c>
      <c r="F34" t="n">
        <v>191</v>
      </c>
      <c r="G34">
        <f>'PLAN COLORES'!P32</f>
        <v/>
      </c>
      <c r="H34">
        <f>IF(G34=0,0,IF(F34=0,0,ROUND(G34*E34/F34,0)))</f>
        <v/>
      </c>
    </row>
    <row r="35">
      <c r="A35" t="inlineStr">
        <is>
          <t>MAR</t>
        </is>
      </c>
      <c r="B35" t="inlineStr">
        <is>
          <t>CAB</t>
        </is>
      </c>
      <c r="C35" t="inlineStr">
        <is>
          <t>Gris Claro</t>
        </is>
      </c>
      <c r="D35" t="inlineStr">
        <is>
          <t>S</t>
        </is>
      </c>
      <c r="E35" t="n">
        <v>31</v>
      </c>
      <c r="F35" t="n">
        <v>191</v>
      </c>
      <c r="G35">
        <f>'PLAN COLORES'!P32</f>
        <v/>
      </c>
      <c r="H35">
        <f>IF(G35=0,0,IF(F35=0,0,ROUND(G35*E35/F35,0)))</f>
        <v/>
      </c>
    </row>
    <row r="36">
      <c r="A36" t="inlineStr">
        <is>
          <t>MAR</t>
        </is>
      </c>
      <c r="B36" t="inlineStr">
        <is>
          <t>CAB</t>
        </is>
      </c>
      <c r="C36" t="inlineStr">
        <is>
          <t>Gris Claro</t>
        </is>
      </c>
      <c r="D36" t="inlineStr">
        <is>
          <t>XL</t>
        </is>
      </c>
      <c r="E36" t="n">
        <v>30</v>
      </c>
      <c r="F36" t="n">
        <v>191</v>
      </c>
      <c r="G36">
        <f>'PLAN COLORES'!P32</f>
        <v/>
      </c>
      <c r="H36">
        <f>IF(G36=0,0,IF(F36=0,0,ROUND(G36*E36/F36,0)))</f>
        <v/>
      </c>
    </row>
    <row r="37">
      <c r="A37" t="inlineStr">
        <is>
          <t>MAR</t>
        </is>
      </c>
      <c r="B37" t="inlineStr">
        <is>
          <t>CAB</t>
        </is>
      </c>
      <c r="C37" t="inlineStr">
        <is>
          <t>Aguamarina</t>
        </is>
      </c>
      <c r="D37" t="inlineStr">
        <is>
          <t>2XL</t>
        </is>
      </c>
      <c r="E37" t="n">
        <v>12</v>
      </c>
      <c r="F37" t="n">
        <v>150</v>
      </c>
      <c r="G37">
        <f>'PLAN COLORES'!P33</f>
        <v/>
      </c>
      <c r="H37">
        <f>IF(G37=0,0,IF(F37=0,0,ROUND(G37*E37/F37,0)))</f>
        <v/>
      </c>
    </row>
    <row r="38">
      <c r="A38" t="inlineStr">
        <is>
          <t>MAR</t>
        </is>
      </c>
      <c r="B38" t="inlineStr">
        <is>
          <t>CAB</t>
        </is>
      </c>
      <c r="C38" t="inlineStr">
        <is>
          <t>Aguamarina</t>
        </is>
      </c>
      <c r="D38" t="inlineStr">
        <is>
          <t>L</t>
        </is>
      </c>
      <c r="E38" t="n">
        <v>44</v>
      </c>
      <c r="F38" t="n">
        <v>150</v>
      </c>
      <c r="G38">
        <f>'PLAN COLORES'!P33</f>
        <v/>
      </c>
      <c r="H38">
        <f>IF(G38=0,0,IF(F38=0,0,ROUND(G38*E38/F38,0)))</f>
        <v/>
      </c>
    </row>
    <row r="39">
      <c r="A39" t="inlineStr">
        <is>
          <t>MAR</t>
        </is>
      </c>
      <c r="B39" t="inlineStr">
        <is>
          <t>CAB</t>
        </is>
      </c>
      <c r="C39" t="inlineStr">
        <is>
          <t>Aguamarina</t>
        </is>
      </c>
      <c r="D39" t="inlineStr">
        <is>
          <t>M</t>
        </is>
      </c>
      <c r="E39" t="n">
        <v>46</v>
      </c>
      <c r="F39" t="n">
        <v>150</v>
      </c>
      <c r="G39">
        <f>'PLAN COLORES'!P33</f>
        <v/>
      </c>
      <c r="H39">
        <f>IF(G39=0,0,IF(F39=0,0,ROUND(G39*E39/F39,0)))</f>
        <v/>
      </c>
    </row>
    <row r="40">
      <c r="A40" t="inlineStr">
        <is>
          <t>MAR</t>
        </is>
      </c>
      <c r="B40" t="inlineStr">
        <is>
          <t>CAB</t>
        </is>
      </c>
      <c r="C40" t="inlineStr">
        <is>
          <t>Aguamarina</t>
        </is>
      </c>
      <c r="D40" t="inlineStr">
        <is>
          <t>S</t>
        </is>
      </c>
      <c r="E40" t="n">
        <v>24</v>
      </c>
      <c r="F40" t="n">
        <v>150</v>
      </c>
      <c r="G40">
        <f>'PLAN COLORES'!P33</f>
        <v/>
      </c>
      <c r="H40">
        <f>IF(G40=0,0,IF(F40=0,0,ROUND(G40*E40/F40,0)))</f>
        <v/>
      </c>
    </row>
    <row r="41">
      <c r="A41" t="inlineStr">
        <is>
          <t>MAR</t>
        </is>
      </c>
      <c r="B41" t="inlineStr">
        <is>
          <t>CAB</t>
        </is>
      </c>
      <c r="C41" t="inlineStr">
        <is>
          <t>Aguamarina</t>
        </is>
      </c>
      <c r="D41" t="inlineStr">
        <is>
          <t>XL</t>
        </is>
      </c>
      <c r="E41" t="n">
        <v>24</v>
      </c>
      <c r="F41" t="n">
        <v>150</v>
      </c>
      <c r="G41">
        <f>'PLAN COLORES'!P33</f>
        <v/>
      </c>
      <c r="H41">
        <f>IF(G41=0,0,IF(F41=0,0,ROUND(G41*E41/F41,0)))</f>
        <v/>
      </c>
    </row>
    <row r="42">
      <c r="A42" t="inlineStr">
        <is>
          <t>MAR</t>
        </is>
      </c>
      <c r="B42" t="inlineStr">
        <is>
          <t>CAB</t>
        </is>
      </c>
      <c r="C42" t="inlineStr">
        <is>
          <t>Vinotinto</t>
        </is>
      </c>
      <c r="D42" t="inlineStr">
        <is>
          <t>2XL</t>
        </is>
      </c>
      <c r="E42" t="n">
        <v>10</v>
      </c>
      <c r="F42" t="n">
        <v>124</v>
      </c>
      <c r="G42">
        <f>'PLAN COLORES'!P34</f>
        <v/>
      </c>
      <c r="H42">
        <f>IF(G42=0,0,IF(F42=0,0,ROUND(G42*E42/F42,0)))</f>
        <v/>
      </c>
    </row>
    <row r="43">
      <c r="A43" t="inlineStr">
        <is>
          <t>MAR</t>
        </is>
      </c>
      <c r="B43" t="inlineStr">
        <is>
          <t>CAB</t>
        </is>
      </c>
      <c r="C43" t="inlineStr">
        <is>
          <t>Vinotinto</t>
        </is>
      </c>
      <c r="D43" t="inlineStr">
        <is>
          <t>L</t>
        </is>
      </c>
      <c r="E43" t="n">
        <v>36</v>
      </c>
      <c r="F43" t="n">
        <v>124</v>
      </c>
      <c r="G43">
        <f>'PLAN COLORES'!P34</f>
        <v/>
      </c>
      <c r="H43">
        <f>IF(G43=0,0,IF(F43=0,0,ROUND(G43*E43/F43,0)))</f>
        <v/>
      </c>
    </row>
    <row r="44">
      <c r="A44" t="inlineStr">
        <is>
          <t>MAR</t>
        </is>
      </c>
      <c r="B44" t="inlineStr">
        <is>
          <t>CAB</t>
        </is>
      </c>
      <c r="C44" t="inlineStr">
        <is>
          <t>Vinotinto</t>
        </is>
      </c>
      <c r="D44" t="inlineStr">
        <is>
          <t>M</t>
        </is>
      </c>
      <c r="E44" t="n">
        <v>38</v>
      </c>
      <c r="F44" t="n">
        <v>124</v>
      </c>
      <c r="G44">
        <f>'PLAN COLORES'!P34</f>
        <v/>
      </c>
      <c r="H44">
        <f>IF(G44=0,0,IF(F44=0,0,ROUND(G44*E44/F44,0)))</f>
        <v/>
      </c>
    </row>
    <row r="45">
      <c r="A45" t="inlineStr">
        <is>
          <t>MAR</t>
        </is>
      </c>
      <c r="B45" t="inlineStr">
        <is>
          <t>CAB</t>
        </is>
      </c>
      <c r="C45" t="inlineStr">
        <is>
          <t>Vinotinto</t>
        </is>
      </c>
      <c r="D45" t="inlineStr">
        <is>
          <t>S</t>
        </is>
      </c>
      <c r="E45" t="n">
        <v>20</v>
      </c>
      <c r="F45" t="n">
        <v>124</v>
      </c>
      <c r="G45">
        <f>'PLAN COLORES'!P34</f>
        <v/>
      </c>
      <c r="H45">
        <f>IF(G45=0,0,IF(F45=0,0,ROUND(G45*E45/F45,0)))</f>
        <v/>
      </c>
    </row>
    <row r="46">
      <c r="A46" t="inlineStr">
        <is>
          <t>MAR</t>
        </is>
      </c>
      <c r="B46" t="inlineStr">
        <is>
          <t>CAB</t>
        </is>
      </c>
      <c r="C46" t="inlineStr">
        <is>
          <t>Vinotinto</t>
        </is>
      </c>
      <c r="D46" t="inlineStr">
        <is>
          <t>XL</t>
        </is>
      </c>
      <c r="E46" t="n">
        <v>20</v>
      </c>
      <c r="F46" t="n">
        <v>124</v>
      </c>
      <c r="G46">
        <f>'PLAN COLORES'!P34</f>
        <v/>
      </c>
      <c r="H46">
        <f>IF(G46=0,0,IF(F46=0,0,ROUND(G46*E46/F46,0)))</f>
        <v/>
      </c>
    </row>
    <row r="47">
      <c r="A47" t="inlineStr">
        <is>
          <t>MAR</t>
        </is>
      </c>
      <c r="B47" t="inlineStr">
        <is>
          <t>CAB</t>
        </is>
      </c>
      <c r="C47" t="inlineStr">
        <is>
          <t>Rojo</t>
        </is>
      </c>
      <c r="D47" t="inlineStr">
        <is>
          <t>2XL</t>
        </is>
      </c>
      <c r="E47" t="n">
        <v>10</v>
      </c>
      <c r="F47" t="n">
        <v>122</v>
      </c>
      <c r="G47">
        <f>'PLAN COLORES'!P35</f>
        <v/>
      </c>
      <c r="H47">
        <f>IF(G47=0,0,IF(F47=0,0,ROUND(G47*E47/F47,0)))</f>
        <v/>
      </c>
    </row>
    <row r="48">
      <c r="A48" t="inlineStr">
        <is>
          <t>MAR</t>
        </is>
      </c>
      <c r="B48" t="inlineStr">
        <is>
          <t>CAB</t>
        </is>
      </c>
      <c r="C48" t="inlineStr">
        <is>
          <t>Rojo</t>
        </is>
      </c>
      <c r="D48" t="inlineStr">
        <is>
          <t>L</t>
        </is>
      </c>
      <c r="E48" t="n">
        <v>36</v>
      </c>
      <c r="F48" t="n">
        <v>122</v>
      </c>
      <c r="G48">
        <f>'PLAN COLORES'!P35</f>
        <v/>
      </c>
      <c r="H48">
        <f>IF(G48=0,0,IF(F48=0,0,ROUND(G48*E48/F48,0)))</f>
        <v/>
      </c>
    </row>
    <row r="49">
      <c r="A49" t="inlineStr">
        <is>
          <t>MAR</t>
        </is>
      </c>
      <c r="B49" t="inlineStr">
        <is>
          <t>CAB</t>
        </is>
      </c>
      <c r="C49" t="inlineStr">
        <is>
          <t>Rojo</t>
        </is>
      </c>
      <c r="D49" t="inlineStr">
        <is>
          <t>M</t>
        </is>
      </c>
      <c r="E49" t="n">
        <v>37</v>
      </c>
      <c r="F49" t="n">
        <v>122</v>
      </c>
      <c r="G49">
        <f>'PLAN COLORES'!P35</f>
        <v/>
      </c>
      <c r="H49">
        <f>IF(G49=0,0,IF(F49=0,0,ROUND(G49*E49/F49,0)))</f>
        <v/>
      </c>
    </row>
    <row r="50">
      <c r="A50" t="inlineStr">
        <is>
          <t>MAR</t>
        </is>
      </c>
      <c r="B50" t="inlineStr">
        <is>
          <t>CAB</t>
        </is>
      </c>
      <c r="C50" t="inlineStr">
        <is>
          <t>Rojo</t>
        </is>
      </c>
      <c r="D50" t="inlineStr">
        <is>
          <t>S</t>
        </is>
      </c>
      <c r="E50" t="n">
        <v>20</v>
      </c>
      <c r="F50" t="n">
        <v>122</v>
      </c>
      <c r="G50">
        <f>'PLAN COLORES'!P35</f>
        <v/>
      </c>
      <c r="H50">
        <f>IF(G50=0,0,IF(F50=0,0,ROUND(G50*E50/F50,0)))</f>
        <v/>
      </c>
    </row>
    <row r="51">
      <c r="A51" t="inlineStr">
        <is>
          <t>MAR</t>
        </is>
      </c>
      <c r="B51" t="inlineStr">
        <is>
          <t>CAB</t>
        </is>
      </c>
      <c r="C51" t="inlineStr">
        <is>
          <t>Rojo</t>
        </is>
      </c>
      <c r="D51" t="inlineStr">
        <is>
          <t>XL</t>
        </is>
      </c>
      <c r="E51" t="n">
        <v>19</v>
      </c>
      <c r="F51" t="n">
        <v>122</v>
      </c>
      <c r="G51">
        <f>'PLAN COLORES'!P35</f>
        <v/>
      </c>
      <c r="H51">
        <f>IF(G51=0,0,IF(F51=0,0,ROUND(G51*E51/F51,0)))</f>
        <v/>
      </c>
    </row>
    <row r="52">
      <c r="A52" t="inlineStr">
        <is>
          <t>MAR</t>
        </is>
      </c>
      <c r="B52" t="inlineStr">
        <is>
          <t>CAB</t>
        </is>
      </c>
      <c r="C52" t="inlineStr">
        <is>
          <t>Amarillo Neón</t>
        </is>
      </c>
      <c r="D52" t="inlineStr">
        <is>
          <t>2XL</t>
        </is>
      </c>
      <c r="E52" t="n">
        <v>6</v>
      </c>
      <c r="F52" t="n">
        <v>68</v>
      </c>
      <c r="G52">
        <f>'PLAN COLORES'!P36</f>
        <v/>
      </c>
      <c r="H52">
        <f>IF(G52=0,0,IF(F52=0,0,ROUND(G52*E52/F52,0)))</f>
        <v/>
      </c>
    </row>
    <row r="53">
      <c r="A53" t="inlineStr">
        <is>
          <t>MAR</t>
        </is>
      </c>
      <c r="B53" t="inlineStr">
        <is>
          <t>CAB</t>
        </is>
      </c>
      <c r="C53" t="inlineStr">
        <is>
          <t>Amarillo Neón</t>
        </is>
      </c>
      <c r="D53" t="inlineStr">
        <is>
          <t>L</t>
        </is>
      </c>
      <c r="E53" t="n">
        <v>20</v>
      </c>
      <c r="F53" t="n">
        <v>68</v>
      </c>
      <c r="G53">
        <f>'PLAN COLORES'!P36</f>
        <v/>
      </c>
      <c r="H53">
        <f>IF(G53=0,0,IF(F53=0,0,ROUND(G53*E53/F53,0)))</f>
        <v/>
      </c>
    </row>
    <row r="54">
      <c r="A54" t="inlineStr">
        <is>
          <t>MAR</t>
        </is>
      </c>
      <c r="B54" t="inlineStr">
        <is>
          <t>CAB</t>
        </is>
      </c>
      <c r="C54" t="inlineStr">
        <is>
          <t>Amarillo Neón</t>
        </is>
      </c>
      <c r="D54" t="inlineStr">
        <is>
          <t>M</t>
        </is>
      </c>
      <c r="E54" t="n">
        <v>20</v>
      </c>
      <c r="F54" t="n">
        <v>68</v>
      </c>
      <c r="G54">
        <f>'PLAN COLORES'!P36</f>
        <v/>
      </c>
      <c r="H54">
        <f>IF(G54=0,0,IF(F54=0,0,ROUND(G54*E54/F54,0)))</f>
        <v/>
      </c>
    </row>
    <row r="55">
      <c r="A55" t="inlineStr">
        <is>
          <t>MAR</t>
        </is>
      </c>
      <c r="B55" t="inlineStr">
        <is>
          <t>CAB</t>
        </is>
      </c>
      <c r="C55" t="inlineStr">
        <is>
          <t>Amarillo Neón</t>
        </is>
      </c>
      <c r="D55" t="inlineStr">
        <is>
          <t>S</t>
        </is>
      </c>
      <c r="E55" t="n">
        <v>11</v>
      </c>
      <c r="F55" t="n">
        <v>68</v>
      </c>
      <c r="G55">
        <f>'PLAN COLORES'!P36</f>
        <v/>
      </c>
      <c r="H55">
        <f>IF(G55=0,0,IF(F55=0,0,ROUND(G55*E55/F55,0)))</f>
        <v/>
      </c>
    </row>
    <row r="56">
      <c r="A56" t="inlineStr">
        <is>
          <t>MAR</t>
        </is>
      </c>
      <c r="B56" t="inlineStr">
        <is>
          <t>CAB</t>
        </is>
      </c>
      <c r="C56" t="inlineStr">
        <is>
          <t>Amarillo Neón</t>
        </is>
      </c>
      <c r="D56" t="inlineStr">
        <is>
          <t>XL</t>
        </is>
      </c>
      <c r="E56" t="n">
        <v>11</v>
      </c>
      <c r="F56" t="n">
        <v>68</v>
      </c>
      <c r="G56">
        <f>'PLAN COLORES'!P36</f>
        <v/>
      </c>
      <c r="H56">
        <f>IF(G56=0,0,IF(F56=0,0,ROUND(G56*E56/F56,0)))</f>
        <v/>
      </c>
    </row>
    <row r="57">
      <c r="A57" t="inlineStr">
        <is>
          <t>MAR</t>
        </is>
      </c>
      <c r="B57" t="inlineStr">
        <is>
          <t>DAMA</t>
        </is>
      </c>
      <c r="C57" t="inlineStr">
        <is>
          <t>Negro</t>
        </is>
      </c>
      <c r="D57" t="inlineStr">
        <is>
          <t>L</t>
        </is>
      </c>
      <c r="E57" t="n">
        <v>60</v>
      </c>
      <c r="F57" t="n">
        <v>417</v>
      </c>
      <c r="G57">
        <f>'PLAN COLORES'!P37</f>
        <v/>
      </c>
      <c r="H57">
        <f>IF(G57=0,0,IF(F57=0,0,ROUND(G57*E57/F57,0)))</f>
        <v/>
      </c>
    </row>
    <row r="58">
      <c r="A58" t="inlineStr">
        <is>
          <t>MAR</t>
        </is>
      </c>
      <c r="B58" t="inlineStr">
        <is>
          <t>DAMA</t>
        </is>
      </c>
      <c r="C58" t="inlineStr">
        <is>
          <t>Negro</t>
        </is>
      </c>
      <c r="D58" t="inlineStr">
        <is>
          <t>M</t>
        </is>
      </c>
      <c r="E58" t="n">
        <v>117</v>
      </c>
      <c r="F58" t="n">
        <v>417</v>
      </c>
      <c r="G58">
        <f>'PLAN COLORES'!P37</f>
        <v/>
      </c>
      <c r="H58">
        <f>IF(G58=0,0,IF(F58=0,0,ROUND(G58*E58/F58,0)))</f>
        <v/>
      </c>
    </row>
    <row r="59">
      <c r="A59" t="inlineStr">
        <is>
          <t>MAR</t>
        </is>
      </c>
      <c r="B59" t="inlineStr">
        <is>
          <t>DAMA</t>
        </is>
      </c>
      <c r="C59" t="inlineStr">
        <is>
          <t>Negro</t>
        </is>
      </c>
      <c r="D59" t="inlineStr">
        <is>
          <t>S</t>
        </is>
      </c>
      <c r="E59" t="n">
        <v>121</v>
      </c>
      <c r="F59" t="n">
        <v>417</v>
      </c>
      <c r="G59">
        <f>'PLAN COLORES'!P37</f>
        <v/>
      </c>
      <c r="H59">
        <f>IF(G59=0,0,IF(F59=0,0,ROUND(G59*E59/F59,0)))</f>
        <v/>
      </c>
    </row>
    <row r="60">
      <c r="A60" t="inlineStr">
        <is>
          <t>MAR</t>
        </is>
      </c>
      <c r="B60" t="inlineStr">
        <is>
          <t>DAMA</t>
        </is>
      </c>
      <c r="C60" t="inlineStr">
        <is>
          <t>Negro</t>
        </is>
      </c>
      <c r="D60" t="inlineStr">
        <is>
          <t>XL</t>
        </is>
      </c>
      <c r="E60" t="n">
        <v>25</v>
      </c>
      <c r="F60" t="n">
        <v>417</v>
      </c>
      <c r="G60">
        <f>'PLAN COLORES'!P37</f>
        <v/>
      </c>
      <c r="H60">
        <f>IF(G60=0,0,IF(F60=0,0,ROUND(G60*E60/F60,0)))</f>
        <v/>
      </c>
    </row>
    <row r="61">
      <c r="A61" t="inlineStr">
        <is>
          <t>MAR</t>
        </is>
      </c>
      <c r="B61" t="inlineStr">
        <is>
          <t>DAMA</t>
        </is>
      </c>
      <c r="C61" t="inlineStr">
        <is>
          <t>Negro</t>
        </is>
      </c>
      <c r="D61" t="inlineStr">
        <is>
          <t>XS</t>
        </is>
      </c>
      <c r="E61" t="n">
        <v>94</v>
      </c>
      <c r="F61" t="n">
        <v>417</v>
      </c>
      <c r="G61">
        <f>'PLAN COLORES'!P37</f>
        <v/>
      </c>
      <c r="H61">
        <f>IF(G61=0,0,IF(F61=0,0,ROUND(G61*E61/F61,0)))</f>
        <v/>
      </c>
    </row>
    <row r="62">
      <c r="A62" t="inlineStr">
        <is>
          <t>MAR</t>
        </is>
      </c>
      <c r="B62" t="inlineStr">
        <is>
          <t>DAMA</t>
        </is>
      </c>
      <c r="C62" t="inlineStr">
        <is>
          <t>Blanco</t>
        </is>
      </c>
      <c r="D62" t="inlineStr">
        <is>
          <t>L</t>
        </is>
      </c>
      <c r="E62" t="n">
        <v>56</v>
      </c>
      <c r="F62" t="n">
        <v>393</v>
      </c>
      <c r="G62">
        <f>'PLAN COLORES'!P38</f>
        <v/>
      </c>
      <c r="H62">
        <f>IF(G62=0,0,IF(F62=0,0,ROUND(G62*E62/F62,0)))</f>
        <v/>
      </c>
    </row>
    <row r="63">
      <c r="A63" t="inlineStr">
        <is>
          <t>MAR</t>
        </is>
      </c>
      <c r="B63" t="inlineStr">
        <is>
          <t>DAMA</t>
        </is>
      </c>
      <c r="C63" t="inlineStr">
        <is>
          <t>Blanco</t>
        </is>
      </c>
      <c r="D63" t="inlineStr">
        <is>
          <t>M</t>
        </is>
      </c>
      <c r="E63" t="n">
        <v>110</v>
      </c>
      <c r="F63" t="n">
        <v>393</v>
      </c>
      <c r="G63">
        <f>'PLAN COLORES'!P38</f>
        <v/>
      </c>
      <c r="H63">
        <f>IF(G63=0,0,IF(F63=0,0,ROUND(G63*E63/F63,0)))</f>
        <v/>
      </c>
    </row>
    <row r="64">
      <c r="A64" t="inlineStr">
        <is>
          <t>MAR</t>
        </is>
      </c>
      <c r="B64" t="inlineStr">
        <is>
          <t>DAMA</t>
        </is>
      </c>
      <c r="C64" t="inlineStr">
        <is>
          <t>Blanco</t>
        </is>
      </c>
      <c r="D64" t="inlineStr">
        <is>
          <t>S</t>
        </is>
      </c>
      <c r="E64" t="n">
        <v>114</v>
      </c>
      <c r="F64" t="n">
        <v>393</v>
      </c>
      <c r="G64">
        <f>'PLAN COLORES'!P38</f>
        <v/>
      </c>
      <c r="H64">
        <f>IF(G64=0,0,IF(F64=0,0,ROUND(G64*E64/F64,0)))</f>
        <v/>
      </c>
    </row>
    <row r="65">
      <c r="A65" t="inlineStr">
        <is>
          <t>MAR</t>
        </is>
      </c>
      <c r="B65" t="inlineStr">
        <is>
          <t>DAMA</t>
        </is>
      </c>
      <c r="C65" t="inlineStr">
        <is>
          <t>Blanco</t>
        </is>
      </c>
      <c r="D65" t="inlineStr">
        <is>
          <t>XL</t>
        </is>
      </c>
      <c r="E65" t="n">
        <v>24</v>
      </c>
      <c r="F65" t="n">
        <v>393</v>
      </c>
      <c r="G65">
        <f>'PLAN COLORES'!P38</f>
        <v/>
      </c>
      <c r="H65">
        <f>IF(G65=0,0,IF(F65=0,0,ROUND(G65*E65/F65,0)))</f>
        <v/>
      </c>
    </row>
    <row r="66">
      <c r="A66" t="inlineStr">
        <is>
          <t>MAR</t>
        </is>
      </c>
      <c r="B66" t="inlineStr">
        <is>
          <t>DAMA</t>
        </is>
      </c>
      <c r="C66" t="inlineStr">
        <is>
          <t>Blanco</t>
        </is>
      </c>
      <c r="D66" t="inlineStr">
        <is>
          <t>XS</t>
        </is>
      </c>
      <c r="E66" t="n">
        <v>89</v>
      </c>
      <c r="F66" t="n">
        <v>393</v>
      </c>
      <c r="G66">
        <f>'PLAN COLORES'!P38</f>
        <v/>
      </c>
      <c r="H66">
        <f>IF(G66=0,0,IF(F66=0,0,ROUND(G66*E66/F66,0)))</f>
        <v/>
      </c>
    </row>
    <row r="67">
      <c r="A67" t="inlineStr">
        <is>
          <t>MAR</t>
        </is>
      </c>
      <c r="B67" t="inlineStr">
        <is>
          <t>DAMA</t>
        </is>
      </c>
      <c r="C67" t="inlineStr">
        <is>
          <t>Azul Marino</t>
        </is>
      </c>
      <c r="D67" t="inlineStr">
        <is>
          <t>L</t>
        </is>
      </c>
      <c r="E67" t="n">
        <v>51</v>
      </c>
      <c r="F67" t="n">
        <v>357</v>
      </c>
      <c r="G67">
        <f>'PLAN COLORES'!P39</f>
        <v/>
      </c>
      <c r="H67">
        <f>IF(G67=0,0,IF(F67=0,0,ROUND(G67*E67/F67,0)))</f>
        <v/>
      </c>
    </row>
    <row r="68">
      <c r="A68" t="inlineStr">
        <is>
          <t>MAR</t>
        </is>
      </c>
      <c r="B68" t="inlineStr">
        <is>
          <t>DAMA</t>
        </is>
      </c>
      <c r="C68" t="inlineStr">
        <is>
          <t>Azul Marino</t>
        </is>
      </c>
      <c r="D68" t="inlineStr">
        <is>
          <t>M</t>
        </is>
      </c>
      <c r="E68" t="n">
        <v>100</v>
      </c>
      <c r="F68" t="n">
        <v>357</v>
      </c>
      <c r="G68">
        <f>'PLAN COLORES'!P39</f>
        <v/>
      </c>
      <c r="H68">
        <f>IF(G68=0,0,IF(F68=0,0,ROUND(G68*E68/F68,0)))</f>
        <v/>
      </c>
    </row>
    <row r="69">
      <c r="A69" t="inlineStr">
        <is>
          <t>MAR</t>
        </is>
      </c>
      <c r="B69" t="inlineStr">
        <is>
          <t>DAMA</t>
        </is>
      </c>
      <c r="C69" t="inlineStr">
        <is>
          <t>Azul Marino</t>
        </is>
      </c>
      <c r="D69" t="inlineStr">
        <is>
          <t>S</t>
        </is>
      </c>
      <c r="E69" t="n">
        <v>104</v>
      </c>
      <c r="F69" t="n">
        <v>357</v>
      </c>
      <c r="G69">
        <f>'PLAN COLORES'!P39</f>
        <v/>
      </c>
      <c r="H69">
        <f>IF(G69=0,0,IF(F69=0,0,ROUND(G69*E69/F69,0)))</f>
        <v/>
      </c>
    </row>
    <row r="70">
      <c r="A70" t="inlineStr">
        <is>
          <t>MAR</t>
        </is>
      </c>
      <c r="B70" t="inlineStr">
        <is>
          <t>DAMA</t>
        </is>
      </c>
      <c r="C70" t="inlineStr">
        <is>
          <t>Azul Marino</t>
        </is>
      </c>
      <c r="D70" t="inlineStr">
        <is>
          <t>XL</t>
        </is>
      </c>
      <c r="E70" t="n">
        <v>21</v>
      </c>
      <c r="F70" t="n">
        <v>357</v>
      </c>
      <c r="G70">
        <f>'PLAN COLORES'!P39</f>
        <v/>
      </c>
      <c r="H70">
        <f>IF(G70=0,0,IF(F70=0,0,ROUND(G70*E70/F70,0)))</f>
        <v/>
      </c>
    </row>
    <row r="71">
      <c r="A71" t="inlineStr">
        <is>
          <t>MAR</t>
        </is>
      </c>
      <c r="B71" t="inlineStr">
        <is>
          <t>DAMA</t>
        </is>
      </c>
      <c r="C71" t="inlineStr">
        <is>
          <t>Azul Marino</t>
        </is>
      </c>
      <c r="D71" t="inlineStr">
        <is>
          <t>XS</t>
        </is>
      </c>
      <c r="E71" t="n">
        <v>81</v>
      </c>
      <c r="F71" t="n">
        <v>357</v>
      </c>
      <c r="G71">
        <f>'PLAN COLORES'!P39</f>
        <v/>
      </c>
      <c r="H71">
        <f>IF(G71=0,0,IF(F71=0,0,ROUND(G71*E71/F71,0)))</f>
        <v/>
      </c>
    </row>
    <row r="72">
      <c r="A72" t="inlineStr">
        <is>
          <t>MAR</t>
        </is>
      </c>
      <c r="B72" t="inlineStr">
        <is>
          <t>DAMA</t>
        </is>
      </c>
      <c r="C72" t="inlineStr">
        <is>
          <t>Verde Militar</t>
        </is>
      </c>
      <c r="D72" t="inlineStr">
        <is>
          <t>L</t>
        </is>
      </c>
      <c r="E72" t="n">
        <v>39</v>
      </c>
      <c r="F72" t="n">
        <v>271</v>
      </c>
      <c r="G72">
        <f>'PLAN COLORES'!P40</f>
        <v/>
      </c>
      <c r="H72">
        <f>IF(G72=0,0,IF(F72=0,0,ROUND(G72*E72/F72,0)))</f>
        <v/>
      </c>
    </row>
    <row r="73">
      <c r="A73" t="inlineStr">
        <is>
          <t>MAR</t>
        </is>
      </c>
      <c r="B73" t="inlineStr">
        <is>
          <t>DAMA</t>
        </is>
      </c>
      <c r="C73" t="inlineStr">
        <is>
          <t>Verde Militar</t>
        </is>
      </c>
      <c r="D73" t="inlineStr">
        <is>
          <t>M</t>
        </is>
      </c>
      <c r="E73" t="n">
        <v>76</v>
      </c>
      <c r="F73" t="n">
        <v>271</v>
      </c>
      <c r="G73">
        <f>'PLAN COLORES'!P40</f>
        <v/>
      </c>
      <c r="H73">
        <f>IF(G73=0,0,IF(F73=0,0,ROUND(G73*E73/F73,0)))</f>
        <v/>
      </c>
    </row>
    <row r="74">
      <c r="A74" t="inlineStr">
        <is>
          <t>MAR</t>
        </is>
      </c>
      <c r="B74" t="inlineStr">
        <is>
          <t>DAMA</t>
        </is>
      </c>
      <c r="C74" t="inlineStr">
        <is>
          <t>Verde Militar</t>
        </is>
      </c>
      <c r="D74" t="inlineStr">
        <is>
          <t>S</t>
        </is>
      </c>
      <c r="E74" t="n">
        <v>79</v>
      </c>
      <c r="F74" t="n">
        <v>271</v>
      </c>
      <c r="G74">
        <f>'PLAN COLORES'!P40</f>
        <v/>
      </c>
      <c r="H74">
        <f>IF(G74=0,0,IF(F74=0,0,ROUND(G74*E74/F74,0)))</f>
        <v/>
      </c>
    </row>
    <row r="75">
      <c r="A75" t="inlineStr">
        <is>
          <t>MAR</t>
        </is>
      </c>
      <c r="B75" t="inlineStr">
        <is>
          <t>DAMA</t>
        </is>
      </c>
      <c r="C75" t="inlineStr">
        <is>
          <t>Verde Militar</t>
        </is>
      </c>
      <c r="D75" t="inlineStr">
        <is>
          <t>XL</t>
        </is>
      </c>
      <c r="E75" t="n">
        <v>16</v>
      </c>
      <c r="F75" t="n">
        <v>271</v>
      </c>
      <c r="G75">
        <f>'PLAN COLORES'!P40</f>
        <v/>
      </c>
      <c r="H75">
        <f>IF(G75=0,0,IF(F75=0,0,ROUND(G75*E75/F75,0)))</f>
        <v/>
      </c>
    </row>
    <row r="76">
      <c r="A76" t="inlineStr">
        <is>
          <t>MAR</t>
        </is>
      </c>
      <c r="B76" t="inlineStr">
        <is>
          <t>DAMA</t>
        </is>
      </c>
      <c r="C76" t="inlineStr">
        <is>
          <t>Verde Militar</t>
        </is>
      </c>
      <c r="D76" t="inlineStr">
        <is>
          <t>XS</t>
        </is>
      </c>
      <c r="E76" t="n">
        <v>61</v>
      </c>
      <c r="F76" t="n">
        <v>271</v>
      </c>
      <c r="G76">
        <f>'PLAN COLORES'!P40</f>
        <v/>
      </c>
      <c r="H76">
        <f>IF(G76=0,0,IF(F76=0,0,ROUND(G76*E76/F76,0)))</f>
        <v/>
      </c>
    </row>
    <row r="77">
      <c r="A77" t="inlineStr">
        <is>
          <t>MAR</t>
        </is>
      </c>
      <c r="B77" t="inlineStr">
        <is>
          <t>DAMA</t>
        </is>
      </c>
      <c r="C77" t="inlineStr">
        <is>
          <t>Azul Lavanda</t>
        </is>
      </c>
      <c r="D77" t="inlineStr">
        <is>
          <t>L</t>
        </is>
      </c>
      <c r="E77" t="n">
        <v>33</v>
      </c>
      <c r="F77" t="n">
        <v>231</v>
      </c>
      <c r="G77">
        <f>'PLAN COLORES'!P41</f>
        <v/>
      </c>
      <c r="H77">
        <f>IF(G77=0,0,IF(F77=0,0,ROUND(G77*E77/F77,0)))</f>
        <v/>
      </c>
    </row>
    <row r="78">
      <c r="A78" t="inlineStr">
        <is>
          <t>MAR</t>
        </is>
      </c>
      <c r="B78" t="inlineStr">
        <is>
          <t>DAMA</t>
        </is>
      </c>
      <c r="C78" t="inlineStr">
        <is>
          <t>Azul Lavanda</t>
        </is>
      </c>
      <c r="D78" t="inlineStr">
        <is>
          <t>M</t>
        </is>
      </c>
      <c r="E78" t="n">
        <v>65</v>
      </c>
      <c r="F78" t="n">
        <v>231</v>
      </c>
      <c r="G78">
        <f>'PLAN COLORES'!P41</f>
        <v/>
      </c>
      <c r="H78">
        <f>IF(G78=0,0,IF(F78=0,0,ROUND(G78*E78/F78,0)))</f>
        <v/>
      </c>
    </row>
    <row r="79">
      <c r="A79" t="inlineStr">
        <is>
          <t>MAR</t>
        </is>
      </c>
      <c r="B79" t="inlineStr">
        <is>
          <t>DAMA</t>
        </is>
      </c>
      <c r="C79" t="inlineStr">
        <is>
          <t>Azul Lavanda</t>
        </is>
      </c>
      <c r="D79" t="inlineStr">
        <is>
          <t>S</t>
        </is>
      </c>
      <c r="E79" t="n">
        <v>67</v>
      </c>
      <c r="F79" t="n">
        <v>231</v>
      </c>
      <c r="G79">
        <f>'PLAN COLORES'!P41</f>
        <v/>
      </c>
      <c r="H79">
        <f>IF(G79=0,0,IF(F79=0,0,ROUND(G79*E79/F79,0)))</f>
        <v/>
      </c>
    </row>
    <row r="80">
      <c r="A80" t="inlineStr">
        <is>
          <t>MAR</t>
        </is>
      </c>
      <c r="B80" t="inlineStr">
        <is>
          <t>DAMA</t>
        </is>
      </c>
      <c r="C80" t="inlineStr">
        <is>
          <t>Azul Lavanda</t>
        </is>
      </c>
      <c r="D80" t="inlineStr">
        <is>
          <t>XL</t>
        </is>
      </c>
      <c r="E80" t="n">
        <v>14</v>
      </c>
      <c r="F80" t="n">
        <v>231</v>
      </c>
      <c r="G80">
        <f>'PLAN COLORES'!P41</f>
        <v/>
      </c>
      <c r="H80">
        <f>IF(G80=0,0,IF(F80=0,0,ROUND(G80*E80/F80,0)))</f>
        <v/>
      </c>
    </row>
    <row r="81">
      <c r="A81" t="inlineStr">
        <is>
          <t>MAR</t>
        </is>
      </c>
      <c r="B81" t="inlineStr">
        <is>
          <t>DAMA</t>
        </is>
      </c>
      <c r="C81" t="inlineStr">
        <is>
          <t>Azul Lavanda</t>
        </is>
      </c>
      <c r="D81" t="inlineStr">
        <is>
          <t>XS</t>
        </is>
      </c>
      <c r="E81" t="n">
        <v>52</v>
      </c>
      <c r="F81" t="n">
        <v>231</v>
      </c>
      <c r="G81">
        <f>'PLAN COLORES'!P41</f>
        <v/>
      </c>
      <c r="H81">
        <f>IF(G81=0,0,IF(F81=0,0,ROUND(G81*E81/F81,0)))</f>
        <v/>
      </c>
    </row>
    <row r="82">
      <c r="A82" t="inlineStr">
        <is>
          <t>MAR</t>
        </is>
      </c>
      <c r="B82" t="inlineStr">
        <is>
          <t>DAMA</t>
        </is>
      </c>
      <c r="C82" t="inlineStr">
        <is>
          <t>Púrpura</t>
        </is>
      </c>
      <c r="D82" t="inlineStr">
        <is>
          <t>L</t>
        </is>
      </c>
      <c r="E82" t="n">
        <v>28</v>
      </c>
      <c r="F82" t="n">
        <v>196</v>
      </c>
      <c r="G82">
        <f>'PLAN COLORES'!P42</f>
        <v/>
      </c>
      <c r="H82">
        <f>IF(G82=0,0,IF(F82=0,0,ROUND(G82*E82/F82,0)))</f>
        <v/>
      </c>
    </row>
    <row r="83">
      <c r="A83" t="inlineStr">
        <is>
          <t>MAR</t>
        </is>
      </c>
      <c r="B83" t="inlineStr">
        <is>
          <t>DAMA</t>
        </is>
      </c>
      <c r="C83" t="inlineStr">
        <is>
          <t>Púrpura</t>
        </is>
      </c>
      <c r="D83" t="inlineStr">
        <is>
          <t>M</t>
        </is>
      </c>
      <c r="E83" t="n">
        <v>55</v>
      </c>
      <c r="F83" t="n">
        <v>196</v>
      </c>
      <c r="G83">
        <f>'PLAN COLORES'!P42</f>
        <v/>
      </c>
      <c r="H83">
        <f>IF(G83=0,0,IF(F83=0,0,ROUND(G83*E83/F83,0)))</f>
        <v/>
      </c>
    </row>
    <row r="84">
      <c r="A84" t="inlineStr">
        <is>
          <t>MAR</t>
        </is>
      </c>
      <c r="B84" t="inlineStr">
        <is>
          <t>DAMA</t>
        </is>
      </c>
      <c r="C84" t="inlineStr">
        <is>
          <t>Púrpura</t>
        </is>
      </c>
      <c r="D84" t="inlineStr">
        <is>
          <t>S</t>
        </is>
      </c>
      <c r="E84" t="n">
        <v>57</v>
      </c>
      <c r="F84" t="n">
        <v>196</v>
      </c>
      <c r="G84">
        <f>'PLAN COLORES'!P42</f>
        <v/>
      </c>
      <c r="H84">
        <f>IF(G84=0,0,IF(F84=0,0,ROUND(G84*E84/F84,0)))</f>
        <v/>
      </c>
    </row>
    <row r="85">
      <c r="A85" t="inlineStr">
        <is>
          <t>MAR</t>
        </is>
      </c>
      <c r="B85" t="inlineStr">
        <is>
          <t>DAMA</t>
        </is>
      </c>
      <c r="C85" t="inlineStr">
        <is>
          <t>Púrpura</t>
        </is>
      </c>
      <c r="D85" t="inlineStr">
        <is>
          <t>XL</t>
        </is>
      </c>
      <c r="E85" t="n">
        <v>12</v>
      </c>
      <c r="F85" t="n">
        <v>196</v>
      </c>
      <c r="G85">
        <f>'PLAN COLORES'!P42</f>
        <v/>
      </c>
      <c r="H85">
        <f>IF(G85=0,0,IF(F85=0,0,ROUND(G85*E85/F85,0)))</f>
        <v/>
      </c>
    </row>
    <row r="86">
      <c r="A86" t="inlineStr">
        <is>
          <t>MAR</t>
        </is>
      </c>
      <c r="B86" t="inlineStr">
        <is>
          <t>DAMA</t>
        </is>
      </c>
      <c r="C86" t="inlineStr">
        <is>
          <t>Púrpura</t>
        </is>
      </c>
      <c r="D86" t="inlineStr">
        <is>
          <t>XS</t>
        </is>
      </c>
      <c r="E86" t="n">
        <v>44</v>
      </c>
      <c r="F86" t="n">
        <v>196</v>
      </c>
      <c r="G86">
        <f>'PLAN COLORES'!P42</f>
        <v/>
      </c>
      <c r="H86">
        <f>IF(G86=0,0,IF(F86=0,0,ROUND(G86*E86/F86,0)))</f>
        <v/>
      </c>
    </row>
    <row r="87">
      <c r="A87" t="inlineStr">
        <is>
          <t>MAR</t>
        </is>
      </c>
      <c r="B87" t="inlineStr">
        <is>
          <t>DAMA</t>
        </is>
      </c>
      <c r="C87" t="inlineStr">
        <is>
          <t>Lila</t>
        </is>
      </c>
      <c r="D87" t="inlineStr">
        <is>
          <t>L</t>
        </is>
      </c>
      <c r="E87" t="n">
        <v>28</v>
      </c>
      <c r="F87" t="n">
        <v>194</v>
      </c>
      <c r="G87">
        <f>'PLAN COLORES'!P43</f>
        <v/>
      </c>
      <c r="H87">
        <f>IF(G87=0,0,IF(F87=0,0,ROUND(G87*E87/F87,0)))</f>
        <v/>
      </c>
    </row>
    <row r="88">
      <c r="A88" t="inlineStr">
        <is>
          <t>MAR</t>
        </is>
      </c>
      <c r="B88" t="inlineStr">
        <is>
          <t>DAMA</t>
        </is>
      </c>
      <c r="C88" t="inlineStr">
        <is>
          <t>Lila</t>
        </is>
      </c>
      <c r="D88" t="inlineStr">
        <is>
          <t>M</t>
        </is>
      </c>
      <c r="E88" t="n">
        <v>54</v>
      </c>
      <c r="F88" t="n">
        <v>194</v>
      </c>
      <c r="G88">
        <f>'PLAN COLORES'!P43</f>
        <v/>
      </c>
      <c r="H88">
        <f>IF(G88=0,0,IF(F88=0,0,ROUND(G88*E88/F88,0)))</f>
        <v/>
      </c>
    </row>
    <row r="89">
      <c r="A89" t="inlineStr">
        <is>
          <t>MAR</t>
        </is>
      </c>
      <c r="B89" t="inlineStr">
        <is>
          <t>DAMA</t>
        </is>
      </c>
      <c r="C89" t="inlineStr">
        <is>
          <t>Lila</t>
        </is>
      </c>
      <c r="D89" t="inlineStr">
        <is>
          <t>S</t>
        </is>
      </c>
      <c r="E89" t="n">
        <v>56</v>
      </c>
      <c r="F89" t="n">
        <v>194</v>
      </c>
      <c r="G89">
        <f>'PLAN COLORES'!P43</f>
        <v/>
      </c>
      <c r="H89">
        <f>IF(G89=0,0,IF(F89=0,0,ROUND(G89*E89/F89,0)))</f>
        <v/>
      </c>
    </row>
    <row r="90">
      <c r="A90" t="inlineStr">
        <is>
          <t>MAR</t>
        </is>
      </c>
      <c r="B90" t="inlineStr">
        <is>
          <t>DAMA</t>
        </is>
      </c>
      <c r="C90" t="inlineStr">
        <is>
          <t>Lila</t>
        </is>
      </c>
      <c r="D90" t="inlineStr">
        <is>
          <t>XL</t>
        </is>
      </c>
      <c r="E90" t="n">
        <v>12</v>
      </c>
      <c r="F90" t="n">
        <v>194</v>
      </c>
      <c r="G90">
        <f>'PLAN COLORES'!P43</f>
        <v/>
      </c>
      <c r="H90">
        <f>IF(G90=0,0,IF(F90=0,0,ROUND(G90*E90/F90,0)))</f>
        <v/>
      </c>
    </row>
    <row r="91">
      <c r="A91" t="inlineStr">
        <is>
          <t>MAR</t>
        </is>
      </c>
      <c r="B91" t="inlineStr">
        <is>
          <t>DAMA</t>
        </is>
      </c>
      <c r="C91" t="inlineStr">
        <is>
          <t>Lila</t>
        </is>
      </c>
      <c r="D91" t="inlineStr">
        <is>
          <t>XS</t>
        </is>
      </c>
      <c r="E91" t="n">
        <v>44</v>
      </c>
      <c r="F91" t="n">
        <v>194</v>
      </c>
      <c r="G91">
        <f>'PLAN COLORES'!P43</f>
        <v/>
      </c>
      <c r="H91">
        <f>IF(G91=0,0,IF(F91=0,0,ROUND(G91*E91/F91,0)))</f>
        <v/>
      </c>
    </row>
    <row r="92">
      <c r="A92" t="inlineStr">
        <is>
          <t>MAR</t>
        </is>
      </c>
      <c r="B92" t="inlineStr">
        <is>
          <t>DAMA</t>
        </is>
      </c>
      <c r="C92" t="inlineStr">
        <is>
          <t>Rojo</t>
        </is>
      </c>
      <c r="D92" t="inlineStr">
        <is>
          <t>L</t>
        </is>
      </c>
      <c r="E92" t="n">
        <v>24</v>
      </c>
      <c r="F92" t="n">
        <v>168</v>
      </c>
      <c r="G92">
        <f>'PLAN COLORES'!P44</f>
        <v/>
      </c>
      <c r="H92">
        <f>IF(G92=0,0,IF(F92=0,0,ROUND(G92*E92/F92,0)))</f>
        <v/>
      </c>
    </row>
    <row r="93">
      <c r="A93" t="inlineStr">
        <is>
          <t>MAR</t>
        </is>
      </c>
      <c r="B93" t="inlineStr">
        <is>
          <t>DAMA</t>
        </is>
      </c>
      <c r="C93" t="inlineStr">
        <is>
          <t>Rojo</t>
        </is>
      </c>
      <c r="D93" t="inlineStr">
        <is>
          <t>M</t>
        </is>
      </c>
      <c r="E93" t="n">
        <v>47</v>
      </c>
      <c r="F93" t="n">
        <v>168</v>
      </c>
      <c r="G93">
        <f>'PLAN COLORES'!P44</f>
        <v/>
      </c>
      <c r="H93">
        <f>IF(G93=0,0,IF(F93=0,0,ROUND(G93*E93/F93,0)))</f>
        <v/>
      </c>
    </row>
    <row r="94">
      <c r="A94" t="inlineStr">
        <is>
          <t>MAR</t>
        </is>
      </c>
      <c r="B94" t="inlineStr">
        <is>
          <t>DAMA</t>
        </is>
      </c>
      <c r="C94" t="inlineStr">
        <is>
          <t>Rojo</t>
        </is>
      </c>
      <c r="D94" t="inlineStr">
        <is>
          <t>S</t>
        </is>
      </c>
      <c r="E94" t="n">
        <v>49</v>
      </c>
      <c r="F94" t="n">
        <v>168</v>
      </c>
      <c r="G94">
        <f>'PLAN COLORES'!P44</f>
        <v/>
      </c>
      <c r="H94">
        <f>IF(G94=0,0,IF(F94=0,0,ROUND(G94*E94/F94,0)))</f>
        <v/>
      </c>
    </row>
    <row r="95">
      <c r="A95" t="inlineStr">
        <is>
          <t>MAR</t>
        </is>
      </c>
      <c r="B95" t="inlineStr">
        <is>
          <t>DAMA</t>
        </is>
      </c>
      <c r="C95" t="inlineStr">
        <is>
          <t>Rojo</t>
        </is>
      </c>
      <c r="D95" t="inlineStr">
        <is>
          <t>XL</t>
        </is>
      </c>
      <c r="E95" t="n">
        <v>10</v>
      </c>
      <c r="F95" t="n">
        <v>168</v>
      </c>
      <c r="G95">
        <f>'PLAN COLORES'!P44</f>
        <v/>
      </c>
      <c r="H95">
        <f>IF(G95=0,0,IF(F95=0,0,ROUND(G95*E95/F95,0)))</f>
        <v/>
      </c>
    </row>
    <row r="96">
      <c r="A96" t="inlineStr">
        <is>
          <t>MAR</t>
        </is>
      </c>
      <c r="B96" t="inlineStr">
        <is>
          <t>DAMA</t>
        </is>
      </c>
      <c r="C96" t="inlineStr">
        <is>
          <t>Rojo</t>
        </is>
      </c>
      <c r="D96" t="inlineStr">
        <is>
          <t>XS</t>
        </is>
      </c>
      <c r="E96" t="n">
        <v>38</v>
      </c>
      <c r="F96" t="n">
        <v>168</v>
      </c>
      <c r="G96">
        <f>'PLAN COLORES'!P44</f>
        <v/>
      </c>
      <c r="H96">
        <f>IF(G96=0,0,IF(F96=0,0,ROUND(G96*E96/F96,0)))</f>
        <v/>
      </c>
    </row>
    <row r="97">
      <c r="A97" t="inlineStr">
        <is>
          <t>MAR</t>
        </is>
      </c>
      <c r="B97" t="inlineStr">
        <is>
          <t>DAMA</t>
        </is>
      </c>
      <c r="C97" t="inlineStr">
        <is>
          <t>Vinotinto</t>
        </is>
      </c>
      <c r="D97" t="inlineStr">
        <is>
          <t>L</t>
        </is>
      </c>
      <c r="E97" t="n">
        <v>23</v>
      </c>
      <c r="F97" t="n">
        <v>162</v>
      </c>
      <c r="G97">
        <f>'PLAN COLORES'!P45</f>
        <v/>
      </c>
      <c r="H97">
        <f>IF(G97=0,0,IF(F97=0,0,ROUND(G97*E97/F97,0)))</f>
        <v/>
      </c>
    </row>
    <row r="98">
      <c r="A98" t="inlineStr">
        <is>
          <t>MAR</t>
        </is>
      </c>
      <c r="B98" t="inlineStr">
        <is>
          <t>DAMA</t>
        </is>
      </c>
      <c r="C98" t="inlineStr">
        <is>
          <t>Vinotinto</t>
        </is>
      </c>
      <c r="D98" t="inlineStr">
        <is>
          <t>M</t>
        </is>
      </c>
      <c r="E98" t="n">
        <v>45</v>
      </c>
      <c r="F98" t="n">
        <v>162</v>
      </c>
      <c r="G98">
        <f>'PLAN COLORES'!P45</f>
        <v/>
      </c>
      <c r="H98">
        <f>IF(G98=0,0,IF(F98=0,0,ROUND(G98*E98/F98,0)))</f>
        <v/>
      </c>
    </row>
    <row r="99">
      <c r="A99" t="inlineStr">
        <is>
          <t>MAR</t>
        </is>
      </c>
      <c r="B99" t="inlineStr">
        <is>
          <t>DAMA</t>
        </is>
      </c>
      <c r="C99" t="inlineStr">
        <is>
          <t>Vinotinto</t>
        </is>
      </c>
      <c r="D99" t="inlineStr">
        <is>
          <t>S</t>
        </is>
      </c>
      <c r="E99" t="n">
        <v>47</v>
      </c>
      <c r="F99" t="n">
        <v>162</v>
      </c>
      <c r="G99">
        <f>'PLAN COLORES'!P45</f>
        <v/>
      </c>
      <c r="H99">
        <f>IF(G99=0,0,IF(F99=0,0,ROUND(G99*E99/F99,0)))</f>
        <v/>
      </c>
    </row>
    <row r="100">
      <c r="A100" t="inlineStr">
        <is>
          <t>MAR</t>
        </is>
      </c>
      <c r="B100" t="inlineStr">
        <is>
          <t>DAMA</t>
        </is>
      </c>
      <c r="C100" t="inlineStr">
        <is>
          <t>Vinotinto</t>
        </is>
      </c>
      <c r="D100" t="inlineStr">
        <is>
          <t>XL</t>
        </is>
      </c>
      <c r="E100" t="n">
        <v>10</v>
      </c>
      <c r="F100" t="n">
        <v>162</v>
      </c>
      <c r="G100">
        <f>'PLAN COLORES'!P45</f>
        <v/>
      </c>
      <c r="H100">
        <f>IF(G100=0,0,IF(F100=0,0,ROUND(G100*E100/F100,0)))</f>
        <v/>
      </c>
    </row>
    <row r="101">
      <c r="A101" t="inlineStr">
        <is>
          <t>MAR</t>
        </is>
      </c>
      <c r="B101" t="inlineStr">
        <is>
          <t>DAMA</t>
        </is>
      </c>
      <c r="C101" t="inlineStr">
        <is>
          <t>Vinotinto</t>
        </is>
      </c>
      <c r="D101" t="inlineStr">
        <is>
          <t>XS</t>
        </is>
      </c>
      <c r="E101" t="n">
        <v>37</v>
      </c>
      <c r="F101" t="n">
        <v>162</v>
      </c>
      <c r="G101">
        <f>'PLAN COLORES'!P45</f>
        <v/>
      </c>
      <c r="H101">
        <f>IF(G101=0,0,IF(F101=0,0,ROUND(G101*E101/F101,0)))</f>
        <v/>
      </c>
    </row>
    <row r="102">
      <c r="A102" t="inlineStr">
        <is>
          <t>MAR</t>
        </is>
      </c>
      <c r="B102" t="inlineStr">
        <is>
          <t>DAMA</t>
        </is>
      </c>
      <c r="C102" t="inlineStr">
        <is>
          <t>Aguamarina</t>
        </is>
      </c>
      <c r="D102" t="inlineStr">
        <is>
          <t>L</t>
        </is>
      </c>
      <c r="E102" t="n">
        <v>19</v>
      </c>
      <c r="F102" t="n">
        <v>134</v>
      </c>
      <c r="G102">
        <f>'PLAN COLORES'!P46</f>
        <v/>
      </c>
      <c r="H102">
        <f>IF(G102=0,0,IF(F102=0,0,ROUND(G102*E102/F102,0)))</f>
        <v/>
      </c>
    </row>
    <row r="103">
      <c r="A103" t="inlineStr">
        <is>
          <t>MAR</t>
        </is>
      </c>
      <c r="B103" t="inlineStr">
        <is>
          <t>DAMA</t>
        </is>
      </c>
      <c r="C103" t="inlineStr">
        <is>
          <t>Aguamarina</t>
        </is>
      </c>
      <c r="D103" t="inlineStr">
        <is>
          <t>M</t>
        </is>
      </c>
      <c r="E103" t="n">
        <v>38</v>
      </c>
      <c r="F103" t="n">
        <v>134</v>
      </c>
      <c r="G103">
        <f>'PLAN COLORES'!P46</f>
        <v/>
      </c>
      <c r="H103">
        <f>IF(G103=0,0,IF(F103=0,0,ROUND(G103*E103/F103,0)))</f>
        <v/>
      </c>
    </row>
    <row r="104">
      <c r="A104" t="inlineStr">
        <is>
          <t>MAR</t>
        </is>
      </c>
      <c r="B104" t="inlineStr">
        <is>
          <t>DAMA</t>
        </is>
      </c>
      <c r="C104" t="inlineStr">
        <is>
          <t>Aguamarina</t>
        </is>
      </c>
      <c r="D104" t="inlineStr">
        <is>
          <t>S</t>
        </is>
      </c>
      <c r="E104" t="n">
        <v>39</v>
      </c>
      <c r="F104" t="n">
        <v>134</v>
      </c>
      <c r="G104">
        <f>'PLAN COLORES'!P46</f>
        <v/>
      </c>
      <c r="H104">
        <f>IF(G104=0,0,IF(F104=0,0,ROUND(G104*E104/F104,0)))</f>
        <v/>
      </c>
    </row>
    <row r="105">
      <c r="A105" t="inlineStr">
        <is>
          <t>MAR</t>
        </is>
      </c>
      <c r="B105" t="inlineStr">
        <is>
          <t>DAMA</t>
        </is>
      </c>
      <c r="C105" t="inlineStr">
        <is>
          <t>Aguamarina</t>
        </is>
      </c>
      <c r="D105" t="inlineStr">
        <is>
          <t>XL</t>
        </is>
      </c>
      <c r="E105" t="n">
        <v>8</v>
      </c>
      <c r="F105" t="n">
        <v>134</v>
      </c>
      <c r="G105">
        <f>'PLAN COLORES'!P46</f>
        <v/>
      </c>
      <c r="H105">
        <f>IF(G105=0,0,IF(F105=0,0,ROUND(G105*E105/F105,0)))</f>
        <v/>
      </c>
    </row>
    <row r="106">
      <c r="A106" t="inlineStr">
        <is>
          <t>MAR</t>
        </is>
      </c>
      <c r="B106" t="inlineStr">
        <is>
          <t>DAMA</t>
        </is>
      </c>
      <c r="C106" t="inlineStr">
        <is>
          <t>Aguamarina</t>
        </is>
      </c>
      <c r="D106" t="inlineStr">
        <is>
          <t>XS</t>
        </is>
      </c>
      <c r="E106" t="n">
        <v>30</v>
      </c>
      <c r="F106" t="n">
        <v>134</v>
      </c>
      <c r="G106">
        <f>'PLAN COLORES'!P46</f>
        <v/>
      </c>
      <c r="H106">
        <f>IF(G106=0,0,IF(F106=0,0,ROUND(G106*E106/F106,0)))</f>
        <v/>
      </c>
    </row>
    <row r="107">
      <c r="A107" t="inlineStr">
        <is>
          <t>MAR</t>
        </is>
      </c>
      <c r="B107" t="inlineStr">
        <is>
          <t>DAMA</t>
        </is>
      </c>
      <c r="C107" t="inlineStr">
        <is>
          <t>Rosado Pastel</t>
        </is>
      </c>
      <c r="D107" t="inlineStr">
        <is>
          <t>L</t>
        </is>
      </c>
      <c r="E107" t="n">
        <v>15</v>
      </c>
      <c r="F107" t="n">
        <v>106</v>
      </c>
      <c r="G107">
        <f>'PLAN COLORES'!P47</f>
        <v/>
      </c>
      <c r="H107">
        <f>IF(G107=0,0,IF(F107=0,0,ROUND(G107*E107/F107,0)))</f>
        <v/>
      </c>
    </row>
    <row r="108">
      <c r="A108" t="inlineStr">
        <is>
          <t>MAR</t>
        </is>
      </c>
      <c r="B108" t="inlineStr">
        <is>
          <t>DAMA</t>
        </is>
      </c>
      <c r="C108" t="inlineStr">
        <is>
          <t>Rosado Pastel</t>
        </is>
      </c>
      <c r="D108" t="inlineStr">
        <is>
          <t>M</t>
        </is>
      </c>
      <c r="E108" t="n">
        <v>30</v>
      </c>
      <c r="F108" t="n">
        <v>106</v>
      </c>
      <c r="G108">
        <f>'PLAN COLORES'!P47</f>
        <v/>
      </c>
      <c r="H108">
        <f>IF(G108=0,0,IF(F108=0,0,ROUND(G108*E108/F108,0)))</f>
        <v/>
      </c>
    </row>
    <row r="109">
      <c r="A109" t="inlineStr">
        <is>
          <t>MAR</t>
        </is>
      </c>
      <c r="B109" t="inlineStr">
        <is>
          <t>DAMA</t>
        </is>
      </c>
      <c r="C109" t="inlineStr">
        <is>
          <t>Rosado Pastel</t>
        </is>
      </c>
      <c r="D109" t="inlineStr">
        <is>
          <t>S</t>
        </is>
      </c>
      <c r="E109" t="n">
        <v>31</v>
      </c>
      <c r="F109" t="n">
        <v>106</v>
      </c>
      <c r="G109">
        <f>'PLAN COLORES'!P47</f>
        <v/>
      </c>
      <c r="H109">
        <f>IF(G109=0,0,IF(F109=0,0,ROUND(G109*E109/F109,0)))</f>
        <v/>
      </c>
    </row>
    <row r="110">
      <c r="A110" t="inlineStr">
        <is>
          <t>MAR</t>
        </is>
      </c>
      <c r="B110" t="inlineStr">
        <is>
          <t>DAMA</t>
        </is>
      </c>
      <c r="C110" t="inlineStr">
        <is>
          <t>Rosado Pastel</t>
        </is>
      </c>
      <c r="D110" t="inlineStr">
        <is>
          <t>XL</t>
        </is>
      </c>
      <c r="E110" t="n">
        <v>6</v>
      </c>
      <c r="F110" t="n">
        <v>106</v>
      </c>
      <c r="G110">
        <f>'PLAN COLORES'!P47</f>
        <v/>
      </c>
      <c r="H110">
        <f>IF(G110=0,0,IF(F110=0,0,ROUND(G110*E110/F110,0)))</f>
        <v/>
      </c>
    </row>
    <row r="111">
      <c r="A111" t="inlineStr">
        <is>
          <t>MAR</t>
        </is>
      </c>
      <c r="B111" t="inlineStr">
        <is>
          <t>DAMA</t>
        </is>
      </c>
      <c r="C111" t="inlineStr">
        <is>
          <t>Rosado Pastel</t>
        </is>
      </c>
      <c r="D111" t="inlineStr">
        <is>
          <t>XS</t>
        </is>
      </c>
      <c r="E111" t="n">
        <v>24</v>
      </c>
      <c r="F111" t="n">
        <v>106</v>
      </c>
      <c r="G111">
        <f>'PLAN COLORES'!P47</f>
        <v/>
      </c>
      <c r="H111">
        <f>IF(G111=0,0,IF(F111=0,0,ROUND(G111*E111/F111,0)))</f>
        <v/>
      </c>
    </row>
    <row r="112">
      <c r="A112" t="inlineStr">
        <is>
          <t>MAR</t>
        </is>
      </c>
      <c r="B112" t="inlineStr">
        <is>
          <t>DAMA</t>
        </is>
      </c>
      <c r="C112" t="inlineStr">
        <is>
          <t>Amarillo Neón</t>
        </is>
      </c>
      <c r="D112" t="inlineStr">
        <is>
          <t>L</t>
        </is>
      </c>
      <c r="E112" t="n">
        <v>10</v>
      </c>
      <c r="F112" t="n">
        <v>67</v>
      </c>
      <c r="G112">
        <f>'PLAN COLORES'!P48</f>
        <v/>
      </c>
      <c r="H112">
        <f>IF(G112=0,0,IF(F112=0,0,ROUND(G112*E112/F112,0)))</f>
        <v/>
      </c>
    </row>
    <row r="113">
      <c r="A113" t="inlineStr">
        <is>
          <t>MAR</t>
        </is>
      </c>
      <c r="B113" t="inlineStr">
        <is>
          <t>DAMA</t>
        </is>
      </c>
      <c r="C113" t="inlineStr">
        <is>
          <t>Amarillo Neón</t>
        </is>
      </c>
      <c r="D113" t="inlineStr">
        <is>
          <t>M</t>
        </is>
      </c>
      <c r="E113" t="n">
        <v>19</v>
      </c>
      <c r="F113" t="n">
        <v>67</v>
      </c>
      <c r="G113">
        <f>'PLAN COLORES'!P48</f>
        <v/>
      </c>
      <c r="H113">
        <f>IF(G113=0,0,IF(F113=0,0,ROUND(G113*E113/F113,0)))</f>
        <v/>
      </c>
    </row>
    <row r="114">
      <c r="A114" t="inlineStr">
        <is>
          <t>MAR</t>
        </is>
      </c>
      <c r="B114" t="inlineStr">
        <is>
          <t>DAMA</t>
        </is>
      </c>
      <c r="C114" t="inlineStr">
        <is>
          <t>Amarillo Neón</t>
        </is>
      </c>
      <c r="D114" t="inlineStr">
        <is>
          <t>S</t>
        </is>
      </c>
      <c r="E114" t="n">
        <v>19</v>
      </c>
      <c r="F114" t="n">
        <v>67</v>
      </c>
      <c r="G114">
        <f>'PLAN COLORES'!P48</f>
        <v/>
      </c>
      <c r="H114">
        <f>IF(G114=0,0,IF(F114=0,0,ROUND(G114*E114/F114,0)))</f>
        <v/>
      </c>
    </row>
    <row r="115">
      <c r="A115" t="inlineStr">
        <is>
          <t>MAR</t>
        </is>
      </c>
      <c r="B115" t="inlineStr">
        <is>
          <t>DAMA</t>
        </is>
      </c>
      <c r="C115" t="inlineStr">
        <is>
          <t>Amarillo Neón</t>
        </is>
      </c>
      <c r="D115" t="inlineStr">
        <is>
          <t>XL</t>
        </is>
      </c>
      <c r="E115" t="n">
        <v>4</v>
      </c>
      <c r="F115" t="n">
        <v>67</v>
      </c>
      <c r="G115">
        <f>'PLAN COLORES'!P48</f>
        <v/>
      </c>
      <c r="H115">
        <f>IF(G115=0,0,IF(F115=0,0,ROUND(G115*E115/F115,0)))</f>
        <v/>
      </c>
    </row>
    <row r="116">
      <c r="A116" t="inlineStr">
        <is>
          <t>MAR</t>
        </is>
      </c>
      <c r="B116" t="inlineStr">
        <is>
          <t>DAMA</t>
        </is>
      </c>
      <c r="C116" t="inlineStr">
        <is>
          <t>Amarillo Neón</t>
        </is>
      </c>
      <c r="D116" t="inlineStr">
        <is>
          <t>XS</t>
        </is>
      </c>
      <c r="E116" t="n">
        <v>15</v>
      </c>
      <c r="F116" t="n">
        <v>67</v>
      </c>
      <c r="G116">
        <f>'PLAN COLORES'!P48</f>
        <v/>
      </c>
      <c r="H116">
        <f>IF(G116=0,0,IF(F116=0,0,ROUND(G116*E116/F116,0)))</f>
        <v/>
      </c>
    </row>
    <row r="117"/>
    <row r="118">
      <c r="C118" t="inlineStr">
        <is>
          <t>Verificar: suma tallas ≈ und color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7" customWidth="1" min="4" max="4"/>
    <col width="21" customWidth="1" min="5" max="5"/>
    <col width="19" customWidth="1" min="6" max="6"/>
    <col width="21" customWidth="1" min="7" max="7"/>
    <col width="22" customWidth="1" min="8" max="8"/>
  </cols>
  <sheetData>
    <row r="1">
      <c r="A1" s="5" t="inlineStr">
        <is>
          <t>Modelo</t>
        </is>
      </c>
      <c r="B1" s="5" t="inlineStr">
        <is>
          <t>Género</t>
        </is>
      </c>
      <c r="C1" s="5" t="inlineStr">
        <is>
          <t>Color</t>
        </is>
      </c>
      <c r="D1" s="5" t="inlineStr">
        <is>
          <t>Talla</t>
        </is>
      </c>
      <c r="E1" s="5" t="inlineStr">
        <is>
          <t>Und máx Excel (mix)</t>
        </is>
      </c>
      <c r="F1" s="5" t="inlineStr">
        <is>
          <t>Total color Excel</t>
        </is>
      </c>
      <c r="G1" s="5" t="inlineStr">
        <is>
          <t>Und FINAL color</t>
        </is>
      </c>
      <c r="H1" s="5" t="inlineStr">
        <is>
          <t>Und talla A PRODUCIR</t>
        </is>
      </c>
    </row>
    <row r="2">
      <c r="A2" t="inlineStr">
        <is>
          <t>RIO</t>
        </is>
      </c>
      <c r="B2" t="inlineStr">
        <is>
          <t>CAB</t>
        </is>
      </c>
      <c r="C2" t="inlineStr">
        <is>
          <t>Negro</t>
        </is>
      </c>
      <c r="D2" t="inlineStr">
        <is>
          <t>2XL</t>
        </is>
      </c>
      <c r="E2" t="n">
        <v>28</v>
      </c>
      <c r="F2" t="n">
        <v>557</v>
      </c>
      <c r="G2">
        <f>'PLAN COLORES'!P49</f>
        <v/>
      </c>
      <c r="H2">
        <f>IF(G2=0,0,IF(F2=0,0,ROUND(G2*E2/F2,0)))</f>
        <v/>
      </c>
    </row>
    <row r="3">
      <c r="A3" t="inlineStr">
        <is>
          <t>RIO</t>
        </is>
      </c>
      <c r="B3" t="inlineStr">
        <is>
          <t>CAB</t>
        </is>
      </c>
      <c r="C3" t="inlineStr">
        <is>
          <t>Negro</t>
        </is>
      </c>
      <c r="D3" t="inlineStr">
        <is>
          <t>L</t>
        </is>
      </c>
      <c r="E3" t="n">
        <v>181</v>
      </c>
      <c r="F3" t="n">
        <v>557</v>
      </c>
      <c r="G3">
        <f>'PLAN COLORES'!P49</f>
        <v/>
      </c>
      <c r="H3">
        <f>IF(G3=0,0,IF(F3=0,0,ROUND(G3*E3/F3,0)))</f>
        <v/>
      </c>
    </row>
    <row r="4">
      <c r="A4" t="inlineStr">
        <is>
          <t>RIO</t>
        </is>
      </c>
      <c r="B4" t="inlineStr">
        <is>
          <t>CAB</t>
        </is>
      </c>
      <c r="C4" t="inlineStr">
        <is>
          <t>Negro</t>
        </is>
      </c>
      <c r="D4" t="inlineStr">
        <is>
          <t>M</t>
        </is>
      </c>
      <c r="E4" t="n">
        <v>157</v>
      </c>
      <c r="F4" t="n">
        <v>557</v>
      </c>
      <c r="G4">
        <f>'PLAN COLORES'!P49</f>
        <v/>
      </c>
      <c r="H4">
        <f>IF(G4=0,0,IF(F4=0,0,ROUND(G4*E4/F4,0)))</f>
        <v/>
      </c>
    </row>
    <row r="5">
      <c r="A5" t="inlineStr">
        <is>
          <t>RIO</t>
        </is>
      </c>
      <c r="B5" t="inlineStr">
        <is>
          <t>CAB</t>
        </is>
      </c>
      <c r="C5" t="inlineStr">
        <is>
          <t>Negro</t>
        </is>
      </c>
      <c r="D5" t="inlineStr">
        <is>
          <t>S</t>
        </is>
      </c>
      <c r="E5" t="n">
        <v>95</v>
      </c>
      <c r="F5" t="n">
        <v>557</v>
      </c>
      <c r="G5">
        <f>'PLAN COLORES'!P49</f>
        <v/>
      </c>
      <c r="H5">
        <f>IF(G5=0,0,IF(F5=0,0,ROUND(G5*E5/F5,0)))</f>
        <v/>
      </c>
    </row>
    <row r="6">
      <c r="A6" t="inlineStr">
        <is>
          <t>RIO</t>
        </is>
      </c>
      <c r="B6" t="inlineStr">
        <is>
          <t>CAB</t>
        </is>
      </c>
      <c r="C6" t="inlineStr">
        <is>
          <t>Negro</t>
        </is>
      </c>
      <c r="D6" t="inlineStr">
        <is>
          <t>XL</t>
        </is>
      </c>
      <c r="E6" t="n">
        <v>96</v>
      </c>
      <c r="F6" t="n">
        <v>557</v>
      </c>
      <c r="G6">
        <f>'PLAN COLORES'!P49</f>
        <v/>
      </c>
      <c r="H6">
        <f>IF(G6=0,0,IF(F6=0,0,ROUND(G6*E6/F6,0)))</f>
        <v/>
      </c>
    </row>
    <row r="7">
      <c r="A7" t="inlineStr">
        <is>
          <t>RIO</t>
        </is>
      </c>
      <c r="B7" t="inlineStr">
        <is>
          <t>CAB</t>
        </is>
      </c>
      <c r="C7" t="inlineStr">
        <is>
          <t>Blanco</t>
        </is>
      </c>
      <c r="D7" t="inlineStr">
        <is>
          <t>2XL</t>
        </is>
      </c>
      <c r="E7" t="n">
        <v>21</v>
      </c>
      <c r="F7" t="n">
        <v>356</v>
      </c>
      <c r="G7">
        <f>'PLAN COLORES'!P50</f>
        <v/>
      </c>
      <c r="H7">
        <f>IF(G7=0,0,IF(F7=0,0,ROUND(G7*E7/F7,0)))</f>
        <v/>
      </c>
    </row>
    <row r="8">
      <c r="A8" t="inlineStr">
        <is>
          <t>RIO</t>
        </is>
      </c>
      <c r="B8" t="inlineStr">
        <is>
          <t>CAB</t>
        </is>
      </c>
      <c r="C8" t="inlineStr">
        <is>
          <t>Blanco</t>
        </is>
      </c>
      <c r="D8" t="inlineStr">
        <is>
          <t>L</t>
        </is>
      </c>
      <c r="E8" t="n">
        <v>97</v>
      </c>
      <c r="F8" t="n">
        <v>356</v>
      </c>
      <c r="G8">
        <f>'PLAN COLORES'!P50</f>
        <v/>
      </c>
      <c r="H8">
        <f>IF(G8=0,0,IF(F8=0,0,ROUND(G8*E8/F8,0)))</f>
        <v/>
      </c>
    </row>
    <row r="9">
      <c r="A9" t="inlineStr">
        <is>
          <t>RIO</t>
        </is>
      </c>
      <c r="B9" t="inlineStr">
        <is>
          <t>CAB</t>
        </is>
      </c>
      <c r="C9" t="inlineStr">
        <is>
          <t>Blanco</t>
        </is>
      </c>
      <c r="D9" t="inlineStr">
        <is>
          <t>M</t>
        </is>
      </c>
      <c r="E9" t="n">
        <v>76</v>
      </c>
      <c r="F9" t="n">
        <v>356</v>
      </c>
      <c r="G9">
        <f>'PLAN COLORES'!P50</f>
        <v/>
      </c>
      <c r="H9">
        <f>IF(G9=0,0,IF(F9=0,0,ROUND(G9*E9/F9,0)))</f>
        <v/>
      </c>
    </row>
    <row r="10">
      <c r="A10" t="inlineStr">
        <is>
          <t>RIO</t>
        </is>
      </c>
      <c r="B10" t="inlineStr">
        <is>
          <t>CAB</t>
        </is>
      </c>
      <c r="C10" t="inlineStr">
        <is>
          <t>Blanco</t>
        </is>
      </c>
      <c r="D10" t="inlineStr">
        <is>
          <t>S</t>
        </is>
      </c>
      <c r="E10" t="n">
        <v>72</v>
      </c>
      <c r="F10" t="n">
        <v>356</v>
      </c>
      <c r="G10">
        <f>'PLAN COLORES'!P50</f>
        <v/>
      </c>
      <c r="H10">
        <f>IF(G10=0,0,IF(F10=0,0,ROUND(G10*E10/F10,0)))</f>
        <v/>
      </c>
    </row>
    <row r="11">
      <c r="A11" t="inlineStr">
        <is>
          <t>RIO</t>
        </is>
      </c>
      <c r="B11" t="inlineStr">
        <is>
          <t>CAB</t>
        </is>
      </c>
      <c r="C11" t="inlineStr">
        <is>
          <t>Blanco</t>
        </is>
      </c>
      <c r="D11" t="inlineStr">
        <is>
          <t>XL</t>
        </is>
      </c>
      <c r="E11" t="n">
        <v>90</v>
      </c>
      <c r="F11" t="n">
        <v>356</v>
      </c>
      <c r="G11">
        <f>'PLAN COLORES'!P50</f>
        <v/>
      </c>
      <c r="H11">
        <f>IF(G11=0,0,IF(F11=0,0,ROUND(G11*E11/F11,0)))</f>
        <v/>
      </c>
    </row>
    <row r="12">
      <c r="A12" t="inlineStr">
        <is>
          <t>RIO</t>
        </is>
      </c>
      <c r="B12" t="inlineStr">
        <is>
          <t>CAB</t>
        </is>
      </c>
      <c r="C12" t="inlineStr">
        <is>
          <t>Azul Marino</t>
        </is>
      </c>
      <c r="D12" t="inlineStr">
        <is>
          <t>2XL</t>
        </is>
      </c>
      <c r="E12" t="n">
        <v>23</v>
      </c>
      <c r="F12" t="n">
        <v>336</v>
      </c>
      <c r="G12">
        <f>'PLAN COLORES'!P51</f>
        <v/>
      </c>
      <c r="H12">
        <f>IF(G12=0,0,IF(F12=0,0,ROUND(G12*E12/F12,0)))</f>
        <v/>
      </c>
    </row>
    <row r="13">
      <c r="A13" t="inlineStr">
        <is>
          <t>RIO</t>
        </is>
      </c>
      <c r="B13" t="inlineStr">
        <is>
          <t>CAB</t>
        </is>
      </c>
      <c r="C13" t="inlineStr">
        <is>
          <t>Azul Marino</t>
        </is>
      </c>
      <c r="D13" t="inlineStr">
        <is>
          <t>L</t>
        </is>
      </c>
      <c r="E13" t="n">
        <v>45</v>
      </c>
      <c r="F13" t="n">
        <v>336</v>
      </c>
      <c r="G13">
        <f>'PLAN COLORES'!P51</f>
        <v/>
      </c>
      <c r="H13">
        <f>IF(G13=0,0,IF(F13=0,0,ROUND(G13*E13/F13,0)))</f>
        <v/>
      </c>
    </row>
    <row r="14">
      <c r="A14" t="inlineStr">
        <is>
          <t>RIO</t>
        </is>
      </c>
      <c r="B14" t="inlineStr">
        <is>
          <t>CAB</t>
        </is>
      </c>
      <c r="C14" t="inlineStr">
        <is>
          <t>Azul Marino</t>
        </is>
      </c>
      <c r="D14" t="inlineStr">
        <is>
          <t>M</t>
        </is>
      </c>
      <c r="E14" t="n">
        <v>99</v>
      </c>
      <c r="F14" t="n">
        <v>336</v>
      </c>
      <c r="G14">
        <f>'PLAN COLORES'!P51</f>
        <v/>
      </c>
      <c r="H14">
        <f>IF(G14=0,0,IF(F14=0,0,ROUND(G14*E14/F14,0)))</f>
        <v/>
      </c>
    </row>
    <row r="15">
      <c r="A15" t="inlineStr">
        <is>
          <t>RIO</t>
        </is>
      </c>
      <c r="B15" t="inlineStr">
        <is>
          <t>CAB</t>
        </is>
      </c>
      <c r="C15" t="inlineStr">
        <is>
          <t>Azul Marino</t>
        </is>
      </c>
      <c r="D15" t="inlineStr">
        <is>
          <t>S</t>
        </is>
      </c>
      <c r="E15" t="n">
        <v>72</v>
      </c>
      <c r="F15" t="n">
        <v>336</v>
      </c>
      <c r="G15">
        <f>'PLAN COLORES'!P51</f>
        <v/>
      </c>
      <c r="H15">
        <f>IF(G15=0,0,IF(F15=0,0,ROUND(G15*E15/F15,0)))</f>
        <v/>
      </c>
    </row>
    <row r="16">
      <c r="A16" t="inlineStr">
        <is>
          <t>RIO</t>
        </is>
      </c>
      <c r="B16" t="inlineStr">
        <is>
          <t>CAB</t>
        </is>
      </c>
      <c r="C16" t="inlineStr">
        <is>
          <t>Azul Marino</t>
        </is>
      </c>
      <c r="D16" t="inlineStr">
        <is>
          <t>XL</t>
        </is>
      </c>
      <c r="E16" t="n">
        <v>97</v>
      </c>
      <c r="F16" t="n">
        <v>336</v>
      </c>
      <c r="G16">
        <f>'PLAN COLORES'!P51</f>
        <v/>
      </c>
      <c r="H16">
        <f>IF(G16=0,0,IF(F16=0,0,ROUND(G16*E16/F16,0)))</f>
        <v/>
      </c>
    </row>
    <row r="17">
      <c r="A17" t="inlineStr">
        <is>
          <t>RIO</t>
        </is>
      </c>
      <c r="B17" t="inlineStr">
        <is>
          <t>CAB</t>
        </is>
      </c>
      <c r="C17" t="inlineStr">
        <is>
          <t>Azul Rey</t>
        </is>
      </c>
      <c r="D17" t="inlineStr">
        <is>
          <t>2XL</t>
        </is>
      </c>
      <c r="E17" t="n">
        <v>32</v>
      </c>
      <c r="F17" t="n">
        <v>277</v>
      </c>
      <c r="G17">
        <f>'PLAN COLORES'!P52</f>
        <v/>
      </c>
      <c r="H17">
        <f>IF(G17=0,0,IF(F17=0,0,ROUND(G17*E17/F17,0)))</f>
        <v/>
      </c>
    </row>
    <row r="18">
      <c r="A18" t="inlineStr">
        <is>
          <t>RIO</t>
        </is>
      </c>
      <c r="B18" t="inlineStr">
        <is>
          <t>CAB</t>
        </is>
      </c>
      <c r="C18" t="inlineStr">
        <is>
          <t>Azul Rey</t>
        </is>
      </c>
      <c r="D18" t="inlineStr">
        <is>
          <t>L</t>
        </is>
      </c>
      <c r="E18" t="n">
        <v>66</v>
      </c>
      <c r="F18" t="n">
        <v>277</v>
      </c>
      <c r="G18">
        <f>'PLAN COLORES'!P52</f>
        <v/>
      </c>
      <c r="H18">
        <f>IF(G18=0,0,IF(F18=0,0,ROUND(G18*E18/F18,0)))</f>
        <v/>
      </c>
    </row>
    <row r="19">
      <c r="A19" t="inlineStr">
        <is>
          <t>RIO</t>
        </is>
      </c>
      <c r="B19" t="inlineStr">
        <is>
          <t>CAB</t>
        </is>
      </c>
      <c r="C19" t="inlineStr">
        <is>
          <t>Azul Rey</t>
        </is>
      </c>
      <c r="D19" t="inlineStr">
        <is>
          <t>M</t>
        </is>
      </c>
      <c r="E19" t="n">
        <v>60</v>
      </c>
      <c r="F19" t="n">
        <v>277</v>
      </c>
      <c r="G19">
        <f>'PLAN COLORES'!P52</f>
        <v/>
      </c>
      <c r="H19">
        <f>IF(G19=0,0,IF(F19=0,0,ROUND(G19*E19/F19,0)))</f>
        <v/>
      </c>
    </row>
    <row r="20">
      <c r="A20" t="inlineStr">
        <is>
          <t>RIO</t>
        </is>
      </c>
      <c r="B20" t="inlineStr">
        <is>
          <t>CAB</t>
        </is>
      </c>
      <c r="C20" t="inlineStr">
        <is>
          <t>Azul Rey</t>
        </is>
      </c>
      <c r="D20" t="inlineStr">
        <is>
          <t>S</t>
        </is>
      </c>
      <c r="E20" t="n">
        <v>58</v>
      </c>
      <c r="F20" t="n">
        <v>277</v>
      </c>
      <c r="G20">
        <f>'PLAN COLORES'!P52</f>
        <v/>
      </c>
      <c r="H20">
        <f>IF(G20=0,0,IF(F20=0,0,ROUND(G20*E20/F20,0)))</f>
        <v/>
      </c>
    </row>
    <row r="21">
      <c r="A21" t="inlineStr">
        <is>
          <t>RIO</t>
        </is>
      </c>
      <c r="B21" t="inlineStr">
        <is>
          <t>CAB</t>
        </is>
      </c>
      <c r="C21" t="inlineStr">
        <is>
          <t>Azul Rey</t>
        </is>
      </c>
      <c r="D21" t="inlineStr">
        <is>
          <t>XL</t>
        </is>
      </c>
      <c r="E21" t="n">
        <v>61</v>
      </c>
      <c r="F21" t="n">
        <v>277</v>
      </c>
      <c r="G21">
        <f>'PLAN COLORES'!P52</f>
        <v/>
      </c>
      <c r="H21">
        <f>IF(G21=0,0,IF(F21=0,0,ROUND(G21*E21/F21,0)))</f>
        <v/>
      </c>
    </row>
    <row r="22">
      <c r="A22" t="inlineStr">
        <is>
          <t>RIO</t>
        </is>
      </c>
      <c r="B22" t="inlineStr">
        <is>
          <t>CAB</t>
        </is>
      </c>
      <c r="C22" t="inlineStr">
        <is>
          <t>Azul Lavanda</t>
        </is>
      </c>
      <c r="D22" t="inlineStr">
        <is>
          <t>2XL</t>
        </is>
      </c>
      <c r="E22" t="n">
        <v>21</v>
      </c>
      <c r="F22" t="n">
        <v>267</v>
      </c>
      <c r="G22">
        <f>'PLAN COLORES'!P53</f>
        <v/>
      </c>
      <c r="H22">
        <f>IF(G22=0,0,IF(F22=0,0,ROUND(G22*E22/F22,0)))</f>
        <v/>
      </c>
    </row>
    <row r="23">
      <c r="A23" t="inlineStr">
        <is>
          <t>RIO</t>
        </is>
      </c>
      <c r="B23" t="inlineStr">
        <is>
          <t>CAB</t>
        </is>
      </c>
      <c r="C23" t="inlineStr">
        <is>
          <t>Azul Lavanda</t>
        </is>
      </c>
      <c r="D23" t="inlineStr">
        <is>
          <t>L</t>
        </is>
      </c>
      <c r="E23" t="n">
        <v>83</v>
      </c>
      <c r="F23" t="n">
        <v>267</v>
      </c>
      <c r="G23">
        <f>'PLAN COLORES'!P53</f>
        <v/>
      </c>
      <c r="H23">
        <f>IF(G23=0,0,IF(F23=0,0,ROUND(G23*E23/F23,0)))</f>
        <v/>
      </c>
    </row>
    <row r="24">
      <c r="A24" t="inlineStr">
        <is>
          <t>RIO</t>
        </is>
      </c>
      <c r="B24" t="inlineStr">
        <is>
          <t>CAB</t>
        </is>
      </c>
      <c r="C24" t="inlineStr">
        <is>
          <t>Azul Lavanda</t>
        </is>
      </c>
      <c r="D24" t="inlineStr">
        <is>
          <t>M</t>
        </is>
      </c>
      <c r="E24" t="n">
        <v>61</v>
      </c>
      <c r="F24" t="n">
        <v>267</v>
      </c>
      <c r="G24">
        <f>'PLAN COLORES'!P53</f>
        <v/>
      </c>
      <c r="H24">
        <f>IF(G24=0,0,IF(F24=0,0,ROUND(G24*E24/F24,0)))</f>
        <v/>
      </c>
    </row>
    <row r="25">
      <c r="A25" t="inlineStr">
        <is>
          <t>RIO</t>
        </is>
      </c>
      <c r="B25" t="inlineStr">
        <is>
          <t>CAB</t>
        </is>
      </c>
      <c r="C25" t="inlineStr">
        <is>
          <t>Azul Lavanda</t>
        </is>
      </c>
      <c r="D25" t="inlineStr">
        <is>
          <t>S</t>
        </is>
      </c>
      <c r="E25" t="n">
        <v>40</v>
      </c>
      <c r="F25" t="n">
        <v>267</v>
      </c>
      <c r="G25">
        <f>'PLAN COLORES'!P53</f>
        <v/>
      </c>
      <c r="H25">
        <f>IF(G25=0,0,IF(F25=0,0,ROUND(G25*E25/F25,0)))</f>
        <v/>
      </c>
    </row>
    <row r="26">
      <c r="A26" t="inlineStr">
        <is>
          <t>RIO</t>
        </is>
      </c>
      <c r="B26" t="inlineStr">
        <is>
          <t>CAB</t>
        </is>
      </c>
      <c r="C26" t="inlineStr">
        <is>
          <t>Azul Lavanda</t>
        </is>
      </c>
      <c r="D26" t="inlineStr">
        <is>
          <t>XL</t>
        </is>
      </c>
      <c r="E26" t="n">
        <v>62</v>
      </c>
      <c r="F26" t="n">
        <v>267</v>
      </c>
      <c r="G26">
        <f>'PLAN COLORES'!P53</f>
        <v/>
      </c>
      <c r="H26">
        <f>IF(G26=0,0,IF(F26=0,0,ROUND(G26*E26/F26,0)))</f>
        <v/>
      </c>
    </row>
    <row r="27">
      <c r="A27" t="inlineStr">
        <is>
          <t>RIO</t>
        </is>
      </c>
      <c r="B27" t="inlineStr">
        <is>
          <t>CAB</t>
        </is>
      </c>
      <c r="C27" t="inlineStr">
        <is>
          <t>Verde Militar</t>
        </is>
      </c>
      <c r="D27" t="inlineStr">
        <is>
          <t>2XL</t>
        </is>
      </c>
      <c r="E27" t="n">
        <v>42</v>
      </c>
      <c r="F27" t="n">
        <v>245</v>
      </c>
      <c r="G27">
        <f>'PLAN COLORES'!P54</f>
        <v/>
      </c>
      <c r="H27">
        <f>IF(G27=0,0,IF(F27=0,0,ROUND(G27*E27/F27,0)))</f>
        <v/>
      </c>
    </row>
    <row r="28">
      <c r="A28" t="inlineStr">
        <is>
          <t>RIO</t>
        </is>
      </c>
      <c r="B28" t="inlineStr">
        <is>
          <t>CAB</t>
        </is>
      </c>
      <c r="C28" t="inlineStr">
        <is>
          <t>Verde Militar</t>
        </is>
      </c>
      <c r="D28" t="inlineStr">
        <is>
          <t>L</t>
        </is>
      </c>
      <c r="E28" t="n">
        <v>55</v>
      </c>
      <c r="F28" t="n">
        <v>245</v>
      </c>
      <c r="G28">
        <f>'PLAN COLORES'!P54</f>
        <v/>
      </c>
      <c r="H28">
        <f>IF(G28=0,0,IF(F28=0,0,ROUND(G28*E28/F28,0)))</f>
        <v/>
      </c>
    </row>
    <row r="29">
      <c r="A29" t="inlineStr">
        <is>
          <t>RIO</t>
        </is>
      </c>
      <c r="B29" t="inlineStr">
        <is>
          <t>CAB</t>
        </is>
      </c>
      <c r="C29" t="inlineStr">
        <is>
          <t>Verde Militar</t>
        </is>
      </c>
      <c r="D29" t="inlineStr">
        <is>
          <t>M</t>
        </is>
      </c>
      <c r="E29" t="n">
        <v>46</v>
      </c>
      <c r="F29" t="n">
        <v>245</v>
      </c>
      <c r="G29">
        <f>'PLAN COLORES'!P54</f>
        <v/>
      </c>
      <c r="H29">
        <f>IF(G29=0,0,IF(F29=0,0,ROUND(G29*E29/F29,0)))</f>
        <v/>
      </c>
    </row>
    <row r="30">
      <c r="A30" t="inlineStr">
        <is>
          <t>RIO</t>
        </is>
      </c>
      <c r="B30" t="inlineStr">
        <is>
          <t>CAB</t>
        </is>
      </c>
      <c r="C30" t="inlineStr">
        <is>
          <t>Verde Militar</t>
        </is>
      </c>
      <c r="D30" t="inlineStr">
        <is>
          <t>S</t>
        </is>
      </c>
      <c r="E30" t="n">
        <v>30</v>
      </c>
      <c r="F30" t="n">
        <v>245</v>
      </c>
      <c r="G30">
        <f>'PLAN COLORES'!P54</f>
        <v/>
      </c>
      <c r="H30">
        <f>IF(G30=0,0,IF(F30=0,0,ROUND(G30*E30/F30,0)))</f>
        <v/>
      </c>
    </row>
    <row r="31">
      <c r="A31" t="inlineStr">
        <is>
          <t>RIO</t>
        </is>
      </c>
      <c r="B31" t="inlineStr">
        <is>
          <t>CAB</t>
        </is>
      </c>
      <c r="C31" t="inlineStr">
        <is>
          <t>Verde Militar</t>
        </is>
      </c>
      <c r="D31" t="inlineStr">
        <is>
          <t>XL</t>
        </is>
      </c>
      <c r="E31" t="n">
        <v>72</v>
      </c>
      <c r="F31" t="n">
        <v>245</v>
      </c>
      <c r="G31">
        <f>'PLAN COLORES'!P54</f>
        <v/>
      </c>
      <c r="H31">
        <f>IF(G31=0,0,IF(F31=0,0,ROUND(G31*E31/F31,0)))</f>
        <v/>
      </c>
    </row>
    <row r="32">
      <c r="A32" t="inlineStr">
        <is>
          <t>RIO</t>
        </is>
      </c>
      <c r="B32" t="inlineStr">
        <is>
          <t>CAB</t>
        </is>
      </c>
      <c r="C32" t="inlineStr">
        <is>
          <t>Rojo</t>
        </is>
      </c>
      <c r="D32" t="inlineStr">
        <is>
          <t>2XL</t>
        </is>
      </c>
      <c r="E32" t="n">
        <v>19</v>
      </c>
      <c r="F32" t="n">
        <v>227</v>
      </c>
      <c r="G32">
        <f>'PLAN COLORES'!P55</f>
        <v/>
      </c>
      <c r="H32">
        <f>IF(G32=0,0,IF(F32=0,0,ROUND(G32*E32/F32,0)))</f>
        <v/>
      </c>
    </row>
    <row r="33">
      <c r="A33" t="inlineStr">
        <is>
          <t>RIO</t>
        </is>
      </c>
      <c r="B33" t="inlineStr">
        <is>
          <t>CAB</t>
        </is>
      </c>
      <c r="C33" t="inlineStr">
        <is>
          <t>Rojo</t>
        </is>
      </c>
      <c r="D33" t="inlineStr">
        <is>
          <t>L</t>
        </is>
      </c>
      <c r="E33" t="n">
        <v>76</v>
      </c>
      <c r="F33" t="n">
        <v>227</v>
      </c>
      <c r="G33">
        <f>'PLAN COLORES'!P55</f>
        <v/>
      </c>
      <c r="H33">
        <f>IF(G33=0,0,IF(F33=0,0,ROUND(G33*E33/F33,0)))</f>
        <v/>
      </c>
    </row>
    <row r="34">
      <c r="A34" t="inlineStr">
        <is>
          <t>RIO</t>
        </is>
      </c>
      <c r="B34" t="inlineStr">
        <is>
          <t>CAB</t>
        </is>
      </c>
      <c r="C34" t="inlineStr">
        <is>
          <t>Rojo</t>
        </is>
      </c>
      <c r="D34" t="inlineStr">
        <is>
          <t>M</t>
        </is>
      </c>
      <c r="E34" t="n">
        <v>66</v>
      </c>
      <c r="F34" t="n">
        <v>227</v>
      </c>
      <c r="G34">
        <f>'PLAN COLORES'!P55</f>
        <v/>
      </c>
      <c r="H34">
        <f>IF(G34=0,0,IF(F34=0,0,ROUND(G34*E34/F34,0)))</f>
        <v/>
      </c>
    </row>
    <row r="35">
      <c r="A35" t="inlineStr">
        <is>
          <t>RIO</t>
        </is>
      </c>
      <c r="B35" t="inlineStr">
        <is>
          <t>CAB</t>
        </is>
      </c>
      <c r="C35" t="inlineStr">
        <is>
          <t>Rojo</t>
        </is>
      </c>
      <c r="D35" t="inlineStr">
        <is>
          <t>S</t>
        </is>
      </c>
      <c r="E35" t="n">
        <v>33</v>
      </c>
      <c r="F35" t="n">
        <v>227</v>
      </c>
      <c r="G35">
        <f>'PLAN COLORES'!P55</f>
        <v/>
      </c>
      <c r="H35">
        <f>IF(G35=0,0,IF(F35=0,0,ROUND(G35*E35/F35,0)))</f>
        <v/>
      </c>
    </row>
    <row r="36">
      <c r="A36" t="inlineStr">
        <is>
          <t>RIO</t>
        </is>
      </c>
      <c r="B36" t="inlineStr">
        <is>
          <t>CAB</t>
        </is>
      </c>
      <c r="C36" t="inlineStr">
        <is>
          <t>Rojo</t>
        </is>
      </c>
      <c r="D36" t="inlineStr">
        <is>
          <t>XL</t>
        </is>
      </c>
      <c r="E36" t="n">
        <v>33</v>
      </c>
      <c r="F36" t="n">
        <v>227</v>
      </c>
      <c r="G36">
        <f>'PLAN COLORES'!P55</f>
        <v/>
      </c>
      <c r="H36">
        <f>IF(G36=0,0,IF(F36=0,0,ROUND(G36*E36/F36,0)))</f>
        <v/>
      </c>
    </row>
    <row r="37">
      <c r="A37" t="inlineStr">
        <is>
          <t>RIO</t>
        </is>
      </c>
      <c r="B37" t="inlineStr">
        <is>
          <t>CAB</t>
        </is>
      </c>
      <c r="C37" t="inlineStr">
        <is>
          <t>Vinotinto</t>
        </is>
      </c>
      <c r="D37" t="inlineStr">
        <is>
          <t>2XL</t>
        </is>
      </c>
      <c r="E37" t="n">
        <v>13</v>
      </c>
      <c r="F37" t="n">
        <v>183</v>
      </c>
      <c r="G37">
        <f>'PLAN COLORES'!P56</f>
        <v/>
      </c>
      <c r="H37">
        <f>IF(G37=0,0,IF(F37=0,0,ROUND(G37*E37/F37,0)))</f>
        <v/>
      </c>
    </row>
    <row r="38">
      <c r="A38" t="inlineStr">
        <is>
          <t>RIO</t>
        </is>
      </c>
      <c r="B38" t="inlineStr">
        <is>
          <t>CAB</t>
        </is>
      </c>
      <c r="C38" t="inlineStr">
        <is>
          <t>Vinotinto</t>
        </is>
      </c>
      <c r="D38" t="inlineStr">
        <is>
          <t>L</t>
        </is>
      </c>
      <c r="E38" t="n">
        <v>56</v>
      </c>
      <c r="F38" t="n">
        <v>183</v>
      </c>
      <c r="G38">
        <f>'PLAN COLORES'!P56</f>
        <v/>
      </c>
      <c r="H38">
        <f>IF(G38=0,0,IF(F38=0,0,ROUND(G38*E38/F38,0)))</f>
        <v/>
      </c>
    </row>
    <row r="39">
      <c r="A39" t="inlineStr">
        <is>
          <t>RIO</t>
        </is>
      </c>
      <c r="B39" t="inlineStr">
        <is>
          <t>CAB</t>
        </is>
      </c>
      <c r="C39" t="inlineStr">
        <is>
          <t>Vinotinto</t>
        </is>
      </c>
      <c r="D39" t="inlineStr">
        <is>
          <t>M</t>
        </is>
      </c>
      <c r="E39" t="n">
        <v>52</v>
      </c>
      <c r="F39" t="n">
        <v>183</v>
      </c>
      <c r="G39">
        <f>'PLAN COLORES'!P56</f>
        <v/>
      </c>
      <c r="H39">
        <f>IF(G39=0,0,IF(F39=0,0,ROUND(G39*E39/F39,0)))</f>
        <v/>
      </c>
    </row>
    <row r="40">
      <c r="A40" t="inlineStr">
        <is>
          <t>RIO</t>
        </is>
      </c>
      <c r="B40" t="inlineStr">
        <is>
          <t>CAB</t>
        </is>
      </c>
      <c r="C40" t="inlineStr">
        <is>
          <t>Vinotinto</t>
        </is>
      </c>
      <c r="D40" t="inlineStr">
        <is>
          <t>S</t>
        </is>
      </c>
      <c r="E40" t="n">
        <v>37</v>
      </c>
      <c r="F40" t="n">
        <v>183</v>
      </c>
      <c r="G40">
        <f>'PLAN COLORES'!P56</f>
        <v/>
      </c>
      <c r="H40">
        <f>IF(G40=0,0,IF(F40=0,0,ROUND(G40*E40/F40,0)))</f>
        <v/>
      </c>
    </row>
    <row r="41">
      <c r="A41" t="inlineStr">
        <is>
          <t>RIO</t>
        </is>
      </c>
      <c r="B41" t="inlineStr">
        <is>
          <t>CAB</t>
        </is>
      </c>
      <c r="C41" t="inlineStr">
        <is>
          <t>Vinotinto</t>
        </is>
      </c>
      <c r="D41" t="inlineStr">
        <is>
          <t>XL</t>
        </is>
      </c>
      <c r="E41" t="n">
        <v>25</v>
      </c>
      <c r="F41" t="n">
        <v>183</v>
      </c>
      <c r="G41">
        <f>'PLAN COLORES'!P56</f>
        <v/>
      </c>
      <c r="H41">
        <f>IF(G41=0,0,IF(F41=0,0,ROUND(G41*E41/F41,0)))</f>
        <v/>
      </c>
    </row>
    <row r="42">
      <c r="A42" t="inlineStr">
        <is>
          <t>RIO</t>
        </is>
      </c>
      <c r="B42" t="inlineStr">
        <is>
          <t>CAB</t>
        </is>
      </c>
      <c r="C42" t="inlineStr">
        <is>
          <t>Aguamarina</t>
        </is>
      </c>
      <c r="D42" t="inlineStr">
        <is>
          <t>2XL</t>
        </is>
      </c>
      <c r="E42" t="n">
        <v>11</v>
      </c>
      <c r="F42" t="n">
        <v>154</v>
      </c>
      <c r="G42">
        <f>'PLAN COLORES'!P57</f>
        <v/>
      </c>
      <c r="H42">
        <f>IF(G42=0,0,IF(F42=0,0,ROUND(G42*E42/F42,0)))</f>
        <v/>
      </c>
    </row>
    <row r="43">
      <c r="A43" t="inlineStr">
        <is>
          <t>RIO</t>
        </is>
      </c>
      <c r="B43" t="inlineStr">
        <is>
          <t>CAB</t>
        </is>
      </c>
      <c r="C43" t="inlineStr">
        <is>
          <t>Aguamarina</t>
        </is>
      </c>
      <c r="D43" t="inlineStr">
        <is>
          <t>L</t>
        </is>
      </c>
      <c r="E43" t="n">
        <v>55</v>
      </c>
      <c r="F43" t="n">
        <v>154</v>
      </c>
      <c r="G43">
        <f>'PLAN COLORES'!P57</f>
        <v/>
      </c>
      <c r="H43">
        <f>IF(G43=0,0,IF(F43=0,0,ROUND(G43*E43/F43,0)))</f>
        <v/>
      </c>
    </row>
    <row r="44">
      <c r="A44" t="inlineStr">
        <is>
          <t>RIO</t>
        </is>
      </c>
      <c r="B44" t="inlineStr">
        <is>
          <t>CAB</t>
        </is>
      </c>
      <c r="C44" t="inlineStr">
        <is>
          <t>Aguamarina</t>
        </is>
      </c>
      <c r="D44" t="inlineStr">
        <is>
          <t>M</t>
        </is>
      </c>
      <c r="E44" t="n">
        <v>35</v>
      </c>
      <c r="F44" t="n">
        <v>154</v>
      </c>
      <c r="G44">
        <f>'PLAN COLORES'!P57</f>
        <v/>
      </c>
      <c r="H44">
        <f>IF(G44=0,0,IF(F44=0,0,ROUND(G44*E44/F44,0)))</f>
        <v/>
      </c>
    </row>
    <row r="45">
      <c r="A45" t="inlineStr">
        <is>
          <t>RIO</t>
        </is>
      </c>
      <c r="B45" t="inlineStr">
        <is>
          <t>CAB</t>
        </is>
      </c>
      <c r="C45" t="inlineStr">
        <is>
          <t>Aguamarina</t>
        </is>
      </c>
      <c r="D45" t="inlineStr">
        <is>
          <t>S</t>
        </is>
      </c>
      <c r="E45" t="n">
        <v>24</v>
      </c>
      <c r="F45" t="n">
        <v>154</v>
      </c>
      <c r="G45">
        <f>'PLAN COLORES'!P57</f>
        <v/>
      </c>
      <c r="H45">
        <f>IF(G45=0,0,IF(F45=0,0,ROUND(G45*E45/F45,0)))</f>
        <v/>
      </c>
    </row>
    <row r="46">
      <c r="A46" t="inlineStr">
        <is>
          <t>RIO</t>
        </is>
      </c>
      <c r="B46" t="inlineStr">
        <is>
          <t>CAB</t>
        </is>
      </c>
      <c r="C46" t="inlineStr">
        <is>
          <t>Aguamarina</t>
        </is>
      </c>
      <c r="D46" t="inlineStr">
        <is>
          <t>XL</t>
        </is>
      </c>
      <c r="E46" t="n">
        <v>29</v>
      </c>
      <c r="F46" t="n">
        <v>154</v>
      </c>
      <c r="G46">
        <f>'PLAN COLORES'!P57</f>
        <v/>
      </c>
      <c r="H46">
        <f>IF(G46=0,0,IF(F46=0,0,ROUND(G46*E46/F46,0)))</f>
        <v/>
      </c>
    </row>
    <row r="47">
      <c r="A47" t="inlineStr">
        <is>
          <t>RIO</t>
        </is>
      </c>
      <c r="B47" t="inlineStr">
        <is>
          <t>CAB</t>
        </is>
      </c>
      <c r="C47" t="inlineStr">
        <is>
          <t>Gris Claro</t>
        </is>
      </c>
      <c r="D47" t="inlineStr">
        <is>
          <t>2XL</t>
        </is>
      </c>
      <c r="E47" t="n">
        <v>12</v>
      </c>
      <c r="F47" t="n">
        <v>133</v>
      </c>
      <c r="G47">
        <f>'PLAN COLORES'!P58</f>
        <v/>
      </c>
      <c r="H47">
        <f>IF(G47=0,0,IF(F47=0,0,ROUND(G47*E47/F47,0)))</f>
        <v/>
      </c>
    </row>
    <row r="48">
      <c r="A48" t="inlineStr">
        <is>
          <t>RIO</t>
        </is>
      </c>
      <c r="B48" t="inlineStr">
        <is>
          <t>CAB</t>
        </is>
      </c>
      <c r="C48" t="inlineStr">
        <is>
          <t>Gris Claro</t>
        </is>
      </c>
      <c r="D48" t="inlineStr">
        <is>
          <t>L</t>
        </is>
      </c>
      <c r="E48" t="n">
        <v>34</v>
      </c>
      <c r="F48" t="n">
        <v>133</v>
      </c>
      <c r="G48">
        <f>'PLAN COLORES'!P58</f>
        <v/>
      </c>
      <c r="H48">
        <f>IF(G48=0,0,IF(F48=0,0,ROUND(G48*E48/F48,0)))</f>
        <v/>
      </c>
    </row>
    <row r="49">
      <c r="A49" t="inlineStr">
        <is>
          <t>RIO</t>
        </is>
      </c>
      <c r="B49" t="inlineStr">
        <is>
          <t>CAB</t>
        </is>
      </c>
      <c r="C49" t="inlineStr">
        <is>
          <t>Gris Claro</t>
        </is>
      </c>
      <c r="D49" t="inlineStr">
        <is>
          <t>M</t>
        </is>
      </c>
      <c r="E49" t="n">
        <v>30</v>
      </c>
      <c r="F49" t="n">
        <v>133</v>
      </c>
      <c r="G49">
        <f>'PLAN COLORES'!P58</f>
        <v/>
      </c>
      <c r="H49">
        <f>IF(G49=0,0,IF(F49=0,0,ROUND(G49*E49/F49,0)))</f>
        <v/>
      </c>
    </row>
    <row r="50">
      <c r="A50" t="inlineStr">
        <is>
          <t>RIO</t>
        </is>
      </c>
      <c r="B50" t="inlineStr">
        <is>
          <t>CAB</t>
        </is>
      </c>
      <c r="C50" t="inlineStr">
        <is>
          <t>Gris Claro</t>
        </is>
      </c>
      <c r="D50" t="inlineStr">
        <is>
          <t>S</t>
        </is>
      </c>
      <c r="E50" t="n">
        <v>24</v>
      </c>
      <c r="F50" t="n">
        <v>133</v>
      </c>
      <c r="G50">
        <f>'PLAN COLORES'!P58</f>
        <v/>
      </c>
      <c r="H50">
        <f>IF(G50=0,0,IF(F50=0,0,ROUND(G50*E50/F50,0)))</f>
        <v/>
      </c>
    </row>
    <row r="51">
      <c r="A51" t="inlineStr">
        <is>
          <t>RIO</t>
        </is>
      </c>
      <c r="B51" t="inlineStr">
        <is>
          <t>CAB</t>
        </is>
      </c>
      <c r="C51" t="inlineStr">
        <is>
          <t>Gris Claro</t>
        </is>
      </c>
      <c r="D51" t="inlineStr">
        <is>
          <t>XL</t>
        </is>
      </c>
      <c r="E51" t="n">
        <v>33</v>
      </c>
      <c r="F51" t="n">
        <v>133</v>
      </c>
      <c r="G51">
        <f>'PLAN COLORES'!P58</f>
        <v/>
      </c>
      <c r="H51">
        <f>IF(G51=0,0,IF(F51=0,0,ROUND(G51*E51/F51,0)))</f>
        <v/>
      </c>
    </row>
    <row r="52">
      <c r="A52" t="inlineStr">
        <is>
          <t>RIO</t>
        </is>
      </c>
      <c r="B52" t="inlineStr">
        <is>
          <t>CAB</t>
        </is>
      </c>
      <c r="C52" t="inlineStr">
        <is>
          <t>Amarillo Neón</t>
        </is>
      </c>
      <c r="D52" t="inlineStr">
        <is>
          <t>2XL</t>
        </is>
      </c>
      <c r="E52" t="n">
        <v>8</v>
      </c>
      <c r="F52" t="n">
        <v>47</v>
      </c>
      <c r="G52">
        <f>'PLAN COLORES'!P59</f>
        <v/>
      </c>
      <c r="H52">
        <f>IF(G52=0,0,IF(F52=0,0,ROUND(G52*E52/F52,0)))</f>
        <v/>
      </c>
    </row>
    <row r="53">
      <c r="A53" t="inlineStr">
        <is>
          <t>RIO</t>
        </is>
      </c>
      <c r="B53" t="inlineStr">
        <is>
          <t>CAB</t>
        </is>
      </c>
      <c r="C53" t="inlineStr">
        <is>
          <t>Amarillo Neón</t>
        </is>
      </c>
      <c r="D53" t="inlineStr">
        <is>
          <t>L</t>
        </is>
      </c>
      <c r="E53" t="n">
        <v>11</v>
      </c>
      <c r="F53" t="n">
        <v>47</v>
      </c>
      <c r="G53">
        <f>'PLAN COLORES'!P59</f>
        <v/>
      </c>
      <c r="H53">
        <f>IF(G53=0,0,IF(F53=0,0,ROUND(G53*E53/F53,0)))</f>
        <v/>
      </c>
    </row>
    <row r="54">
      <c r="A54" t="inlineStr">
        <is>
          <t>RIO</t>
        </is>
      </c>
      <c r="B54" t="inlineStr">
        <is>
          <t>CAB</t>
        </is>
      </c>
      <c r="C54" t="inlineStr">
        <is>
          <t>Amarillo Neón</t>
        </is>
      </c>
      <c r="D54" t="inlineStr">
        <is>
          <t>M</t>
        </is>
      </c>
      <c r="E54" t="n">
        <v>9</v>
      </c>
      <c r="F54" t="n">
        <v>47</v>
      </c>
      <c r="G54">
        <f>'PLAN COLORES'!P59</f>
        <v/>
      </c>
      <c r="H54">
        <f>IF(G54=0,0,IF(F54=0,0,ROUND(G54*E54/F54,0)))</f>
        <v/>
      </c>
    </row>
    <row r="55">
      <c r="A55" t="inlineStr">
        <is>
          <t>RIO</t>
        </is>
      </c>
      <c r="B55" t="inlineStr">
        <is>
          <t>CAB</t>
        </is>
      </c>
      <c r="C55" t="inlineStr">
        <is>
          <t>Amarillo Neón</t>
        </is>
      </c>
      <c r="D55" t="inlineStr">
        <is>
          <t>S</t>
        </is>
      </c>
      <c r="E55" t="n">
        <v>8</v>
      </c>
      <c r="F55" t="n">
        <v>47</v>
      </c>
      <c r="G55">
        <f>'PLAN COLORES'!P59</f>
        <v/>
      </c>
      <c r="H55">
        <f>IF(G55=0,0,IF(F55=0,0,ROUND(G55*E55/F55,0)))</f>
        <v/>
      </c>
    </row>
    <row r="56">
      <c r="A56" t="inlineStr">
        <is>
          <t>RIO</t>
        </is>
      </c>
      <c r="B56" t="inlineStr">
        <is>
          <t>CAB</t>
        </is>
      </c>
      <c r="C56" t="inlineStr">
        <is>
          <t>Amarillo Neón</t>
        </is>
      </c>
      <c r="D56" t="inlineStr">
        <is>
          <t>XL</t>
        </is>
      </c>
      <c r="E56" t="n">
        <v>11</v>
      </c>
      <c r="F56" t="n">
        <v>47</v>
      </c>
      <c r="G56">
        <f>'PLAN COLORES'!P59</f>
        <v/>
      </c>
      <c r="H56">
        <f>IF(G56=0,0,IF(F56=0,0,ROUND(G56*E56/F56,0)))</f>
        <v/>
      </c>
    </row>
    <row r="57">
      <c r="A57" t="inlineStr">
        <is>
          <t>RIO</t>
        </is>
      </c>
      <c r="B57" t="inlineStr">
        <is>
          <t>DAMA</t>
        </is>
      </c>
      <c r="C57" t="inlineStr">
        <is>
          <t>Negro</t>
        </is>
      </c>
      <c r="D57" t="inlineStr">
        <is>
          <t>L</t>
        </is>
      </c>
      <c r="E57" t="n">
        <v>73</v>
      </c>
      <c r="F57" t="n">
        <v>561</v>
      </c>
      <c r="G57">
        <f>'PLAN COLORES'!P60</f>
        <v/>
      </c>
      <c r="H57">
        <f>IF(G57=0,0,IF(F57=0,0,ROUND(G57*E57/F57,0)))</f>
        <v/>
      </c>
    </row>
    <row r="58">
      <c r="A58" t="inlineStr">
        <is>
          <t>RIO</t>
        </is>
      </c>
      <c r="B58" t="inlineStr">
        <is>
          <t>DAMA</t>
        </is>
      </c>
      <c r="C58" t="inlineStr">
        <is>
          <t>Negro</t>
        </is>
      </c>
      <c r="D58" t="inlineStr">
        <is>
          <t>M</t>
        </is>
      </c>
      <c r="E58" t="n">
        <v>139</v>
      </c>
      <c r="F58" t="n">
        <v>561</v>
      </c>
      <c r="G58">
        <f>'PLAN COLORES'!P60</f>
        <v/>
      </c>
      <c r="H58">
        <f>IF(G58=0,0,IF(F58=0,0,ROUND(G58*E58/F58,0)))</f>
        <v/>
      </c>
    </row>
    <row r="59">
      <c r="A59" t="inlineStr">
        <is>
          <t>RIO</t>
        </is>
      </c>
      <c r="B59" t="inlineStr">
        <is>
          <t>DAMA</t>
        </is>
      </c>
      <c r="C59" t="inlineStr">
        <is>
          <t>Negro</t>
        </is>
      </c>
      <c r="D59" t="inlineStr">
        <is>
          <t>S</t>
        </is>
      </c>
      <c r="E59" t="n">
        <v>168</v>
      </c>
      <c r="F59" t="n">
        <v>561</v>
      </c>
      <c r="G59">
        <f>'PLAN COLORES'!P60</f>
        <v/>
      </c>
      <c r="H59">
        <f>IF(G59=0,0,IF(F59=0,0,ROUND(G59*E59/F59,0)))</f>
        <v/>
      </c>
    </row>
    <row r="60">
      <c r="A60" t="inlineStr">
        <is>
          <t>RIO</t>
        </is>
      </c>
      <c r="B60" t="inlineStr">
        <is>
          <t>DAMA</t>
        </is>
      </c>
      <c r="C60" t="inlineStr">
        <is>
          <t>Negro</t>
        </is>
      </c>
      <c r="D60" t="inlineStr">
        <is>
          <t>XL</t>
        </is>
      </c>
      <c r="E60" t="n">
        <v>43</v>
      </c>
      <c r="F60" t="n">
        <v>561</v>
      </c>
      <c r="G60">
        <f>'PLAN COLORES'!P60</f>
        <v/>
      </c>
      <c r="H60">
        <f>IF(G60=0,0,IF(F60=0,0,ROUND(G60*E60/F60,0)))</f>
        <v/>
      </c>
    </row>
    <row r="61">
      <c r="A61" t="inlineStr">
        <is>
          <t>RIO</t>
        </is>
      </c>
      <c r="B61" t="inlineStr">
        <is>
          <t>DAMA</t>
        </is>
      </c>
      <c r="C61" t="inlineStr">
        <is>
          <t>Negro</t>
        </is>
      </c>
      <c r="D61" t="inlineStr">
        <is>
          <t>XS</t>
        </is>
      </c>
      <c r="E61" t="n">
        <v>138</v>
      </c>
      <c r="F61" t="n">
        <v>561</v>
      </c>
      <c r="G61">
        <f>'PLAN COLORES'!P60</f>
        <v/>
      </c>
      <c r="H61">
        <f>IF(G61=0,0,IF(F61=0,0,ROUND(G61*E61/F61,0)))</f>
        <v/>
      </c>
    </row>
    <row r="62">
      <c r="A62" t="inlineStr">
        <is>
          <t>RIO</t>
        </is>
      </c>
      <c r="B62" t="inlineStr">
        <is>
          <t>DAMA</t>
        </is>
      </c>
      <c r="C62" t="inlineStr">
        <is>
          <t>Azul Marino</t>
        </is>
      </c>
      <c r="D62" t="inlineStr">
        <is>
          <t>L</t>
        </is>
      </c>
      <c r="E62" t="n">
        <v>40</v>
      </c>
      <c r="F62" t="n">
        <v>388</v>
      </c>
      <c r="G62">
        <f>'PLAN COLORES'!P61</f>
        <v/>
      </c>
      <c r="H62">
        <f>IF(G62=0,0,IF(F62=0,0,ROUND(G62*E62/F62,0)))</f>
        <v/>
      </c>
    </row>
    <row r="63">
      <c r="A63" t="inlineStr">
        <is>
          <t>RIO</t>
        </is>
      </c>
      <c r="B63" t="inlineStr">
        <is>
          <t>DAMA</t>
        </is>
      </c>
      <c r="C63" t="inlineStr">
        <is>
          <t>Azul Marino</t>
        </is>
      </c>
      <c r="D63" t="inlineStr">
        <is>
          <t>M</t>
        </is>
      </c>
      <c r="E63" t="n">
        <v>97</v>
      </c>
      <c r="F63" t="n">
        <v>388</v>
      </c>
      <c r="G63">
        <f>'PLAN COLORES'!P61</f>
        <v/>
      </c>
      <c r="H63">
        <f>IF(G63=0,0,IF(F63=0,0,ROUND(G63*E63/F63,0)))</f>
        <v/>
      </c>
    </row>
    <row r="64">
      <c r="A64" t="inlineStr">
        <is>
          <t>RIO</t>
        </is>
      </c>
      <c r="B64" t="inlineStr">
        <is>
          <t>DAMA</t>
        </is>
      </c>
      <c r="C64" t="inlineStr">
        <is>
          <t>Azul Marino</t>
        </is>
      </c>
      <c r="D64" t="inlineStr">
        <is>
          <t>S</t>
        </is>
      </c>
      <c r="E64" t="n">
        <v>125</v>
      </c>
      <c r="F64" t="n">
        <v>388</v>
      </c>
      <c r="G64">
        <f>'PLAN COLORES'!P61</f>
        <v/>
      </c>
      <c r="H64">
        <f>IF(G64=0,0,IF(F64=0,0,ROUND(G64*E64/F64,0)))</f>
        <v/>
      </c>
    </row>
    <row r="65">
      <c r="A65" t="inlineStr">
        <is>
          <t>RIO</t>
        </is>
      </c>
      <c r="B65" t="inlineStr">
        <is>
          <t>DAMA</t>
        </is>
      </c>
      <c r="C65" t="inlineStr">
        <is>
          <t>Azul Marino</t>
        </is>
      </c>
      <c r="D65" t="inlineStr">
        <is>
          <t>XL</t>
        </is>
      </c>
      <c r="E65" t="n">
        <v>46</v>
      </c>
      <c r="F65" t="n">
        <v>388</v>
      </c>
      <c r="G65">
        <f>'PLAN COLORES'!P61</f>
        <v/>
      </c>
      <c r="H65">
        <f>IF(G65=0,0,IF(F65=0,0,ROUND(G65*E65/F65,0)))</f>
        <v/>
      </c>
    </row>
    <row r="66">
      <c r="A66" t="inlineStr">
        <is>
          <t>RIO</t>
        </is>
      </c>
      <c r="B66" t="inlineStr">
        <is>
          <t>DAMA</t>
        </is>
      </c>
      <c r="C66" t="inlineStr">
        <is>
          <t>Azul Marino</t>
        </is>
      </c>
      <c r="D66" t="inlineStr">
        <is>
          <t>XS</t>
        </is>
      </c>
      <c r="E66" t="n">
        <v>80</v>
      </c>
      <c r="F66" t="n">
        <v>388</v>
      </c>
      <c r="G66">
        <f>'PLAN COLORES'!P61</f>
        <v/>
      </c>
      <c r="H66">
        <f>IF(G66=0,0,IF(F66=0,0,ROUND(G66*E66/F66,0)))</f>
        <v/>
      </c>
    </row>
    <row r="67">
      <c r="A67" t="inlineStr">
        <is>
          <t>RIO</t>
        </is>
      </c>
      <c r="B67" t="inlineStr">
        <is>
          <t>DAMA</t>
        </is>
      </c>
      <c r="C67" t="inlineStr">
        <is>
          <t>Blanco</t>
        </is>
      </c>
      <c r="D67" t="inlineStr">
        <is>
          <t>L</t>
        </is>
      </c>
      <c r="E67" t="n">
        <v>79</v>
      </c>
      <c r="F67" t="n">
        <v>343</v>
      </c>
      <c r="G67">
        <f>'PLAN COLORES'!P62</f>
        <v/>
      </c>
      <c r="H67">
        <f>IF(G67=0,0,IF(F67=0,0,ROUND(G67*E67/F67,0)))</f>
        <v/>
      </c>
    </row>
    <row r="68">
      <c r="A68" t="inlineStr">
        <is>
          <t>RIO</t>
        </is>
      </c>
      <c r="B68" t="inlineStr">
        <is>
          <t>DAMA</t>
        </is>
      </c>
      <c r="C68" t="inlineStr">
        <is>
          <t>Blanco</t>
        </is>
      </c>
      <c r="D68" t="inlineStr">
        <is>
          <t>M</t>
        </is>
      </c>
      <c r="E68" t="n">
        <v>84</v>
      </c>
      <c r="F68" t="n">
        <v>343</v>
      </c>
      <c r="G68">
        <f>'PLAN COLORES'!P62</f>
        <v/>
      </c>
      <c r="H68">
        <f>IF(G68=0,0,IF(F68=0,0,ROUND(G68*E68/F68,0)))</f>
        <v/>
      </c>
    </row>
    <row r="69">
      <c r="A69" t="inlineStr">
        <is>
          <t>RIO</t>
        </is>
      </c>
      <c r="B69" t="inlineStr">
        <is>
          <t>DAMA</t>
        </is>
      </c>
      <c r="C69" t="inlineStr">
        <is>
          <t>Blanco</t>
        </is>
      </c>
      <c r="D69" t="inlineStr">
        <is>
          <t>S</t>
        </is>
      </c>
      <c r="E69" t="n">
        <v>94</v>
      </c>
      <c r="F69" t="n">
        <v>343</v>
      </c>
      <c r="G69">
        <f>'PLAN COLORES'!P62</f>
        <v/>
      </c>
      <c r="H69">
        <f>IF(G69=0,0,IF(F69=0,0,ROUND(G69*E69/F69,0)))</f>
        <v/>
      </c>
    </row>
    <row r="70">
      <c r="A70" t="inlineStr">
        <is>
          <t>RIO</t>
        </is>
      </c>
      <c r="B70" t="inlineStr">
        <is>
          <t>DAMA</t>
        </is>
      </c>
      <c r="C70" t="inlineStr">
        <is>
          <t>Blanco</t>
        </is>
      </c>
      <c r="D70" t="inlineStr">
        <is>
          <t>XL</t>
        </is>
      </c>
      <c r="E70" t="n">
        <v>38</v>
      </c>
      <c r="F70" t="n">
        <v>343</v>
      </c>
      <c r="G70">
        <f>'PLAN COLORES'!P62</f>
        <v/>
      </c>
      <c r="H70">
        <f>IF(G70=0,0,IF(F70=0,0,ROUND(G70*E70/F70,0)))</f>
        <v/>
      </c>
    </row>
    <row r="71">
      <c r="A71" t="inlineStr">
        <is>
          <t>RIO</t>
        </is>
      </c>
      <c r="B71" t="inlineStr">
        <is>
          <t>DAMA</t>
        </is>
      </c>
      <c r="C71" t="inlineStr">
        <is>
          <t>Blanco</t>
        </is>
      </c>
      <c r="D71" t="inlineStr">
        <is>
          <t>XS</t>
        </is>
      </c>
      <c r="E71" t="n">
        <v>48</v>
      </c>
      <c r="F71" t="n">
        <v>343</v>
      </c>
      <c r="G71">
        <f>'PLAN COLORES'!P62</f>
        <v/>
      </c>
      <c r="H71">
        <f>IF(G71=0,0,IF(F71=0,0,ROUND(G71*E71/F71,0)))</f>
        <v/>
      </c>
    </row>
    <row r="72">
      <c r="A72" t="inlineStr">
        <is>
          <t>RIO</t>
        </is>
      </c>
      <c r="B72" t="inlineStr">
        <is>
          <t>DAMA</t>
        </is>
      </c>
      <c r="C72" t="inlineStr">
        <is>
          <t>Aguamarina</t>
        </is>
      </c>
      <c r="D72" t="inlineStr">
        <is>
          <t>L</t>
        </is>
      </c>
      <c r="E72" t="n">
        <v>45</v>
      </c>
      <c r="F72" t="n">
        <v>286</v>
      </c>
      <c r="G72">
        <f>'PLAN COLORES'!P63</f>
        <v/>
      </c>
      <c r="H72">
        <f>IF(G72=0,0,IF(F72=0,0,ROUND(G72*E72/F72,0)))</f>
        <v/>
      </c>
    </row>
    <row r="73">
      <c r="A73" t="inlineStr">
        <is>
          <t>RIO</t>
        </is>
      </c>
      <c r="B73" t="inlineStr">
        <is>
          <t>DAMA</t>
        </is>
      </c>
      <c r="C73" t="inlineStr">
        <is>
          <t>Aguamarina</t>
        </is>
      </c>
      <c r="D73" t="inlineStr">
        <is>
          <t>M</t>
        </is>
      </c>
      <c r="E73" t="n">
        <v>69</v>
      </c>
      <c r="F73" t="n">
        <v>286</v>
      </c>
      <c r="G73">
        <f>'PLAN COLORES'!P63</f>
        <v/>
      </c>
      <c r="H73">
        <f>IF(G73=0,0,IF(F73=0,0,ROUND(G73*E73/F73,0)))</f>
        <v/>
      </c>
    </row>
    <row r="74">
      <c r="A74" t="inlineStr">
        <is>
          <t>RIO</t>
        </is>
      </c>
      <c r="B74" t="inlineStr">
        <is>
          <t>DAMA</t>
        </is>
      </c>
      <c r="C74" t="inlineStr">
        <is>
          <t>Aguamarina</t>
        </is>
      </c>
      <c r="D74" t="inlineStr">
        <is>
          <t>S</t>
        </is>
      </c>
      <c r="E74" t="n">
        <v>79</v>
      </c>
      <c r="F74" t="n">
        <v>286</v>
      </c>
      <c r="G74">
        <f>'PLAN COLORES'!P63</f>
        <v/>
      </c>
      <c r="H74">
        <f>IF(G74=0,0,IF(F74=0,0,ROUND(G74*E74/F74,0)))</f>
        <v/>
      </c>
    </row>
    <row r="75">
      <c r="A75" t="inlineStr">
        <is>
          <t>RIO</t>
        </is>
      </c>
      <c r="B75" t="inlineStr">
        <is>
          <t>DAMA</t>
        </is>
      </c>
      <c r="C75" t="inlineStr">
        <is>
          <t>Aguamarina</t>
        </is>
      </c>
      <c r="D75" t="inlineStr">
        <is>
          <t>XL</t>
        </is>
      </c>
      <c r="E75" t="n">
        <v>33</v>
      </c>
      <c r="F75" t="n">
        <v>286</v>
      </c>
      <c r="G75">
        <f>'PLAN COLORES'!P63</f>
        <v/>
      </c>
      <c r="H75">
        <f>IF(G75=0,0,IF(F75=0,0,ROUND(G75*E75/F75,0)))</f>
        <v/>
      </c>
    </row>
    <row r="76">
      <c r="A76" t="inlineStr">
        <is>
          <t>RIO</t>
        </is>
      </c>
      <c r="B76" t="inlineStr">
        <is>
          <t>DAMA</t>
        </is>
      </c>
      <c r="C76" t="inlineStr">
        <is>
          <t>Aguamarina</t>
        </is>
      </c>
      <c r="D76" t="inlineStr">
        <is>
          <t>XS</t>
        </is>
      </c>
      <c r="E76" t="n">
        <v>60</v>
      </c>
      <c r="F76" t="n">
        <v>286</v>
      </c>
      <c r="G76">
        <f>'PLAN COLORES'!P63</f>
        <v/>
      </c>
      <c r="H76">
        <f>IF(G76=0,0,IF(F76=0,0,ROUND(G76*E76/F76,0)))</f>
        <v/>
      </c>
    </row>
    <row r="77">
      <c r="A77" t="inlineStr">
        <is>
          <t>RIO</t>
        </is>
      </c>
      <c r="B77" t="inlineStr">
        <is>
          <t>DAMA</t>
        </is>
      </c>
      <c r="C77" t="inlineStr">
        <is>
          <t>Lila</t>
        </is>
      </c>
      <c r="D77" t="inlineStr">
        <is>
          <t>L</t>
        </is>
      </c>
      <c r="E77" t="n">
        <v>33</v>
      </c>
      <c r="F77" t="n">
        <v>283</v>
      </c>
      <c r="G77">
        <f>'PLAN COLORES'!P64</f>
        <v/>
      </c>
      <c r="H77">
        <f>IF(G77=0,0,IF(F77=0,0,ROUND(G77*E77/F77,0)))</f>
        <v/>
      </c>
    </row>
    <row r="78">
      <c r="A78" t="inlineStr">
        <is>
          <t>RIO</t>
        </is>
      </c>
      <c r="B78" t="inlineStr">
        <is>
          <t>DAMA</t>
        </is>
      </c>
      <c r="C78" t="inlineStr">
        <is>
          <t>Lila</t>
        </is>
      </c>
      <c r="D78" t="inlineStr">
        <is>
          <t>M</t>
        </is>
      </c>
      <c r="E78" t="n">
        <v>90</v>
      </c>
      <c r="F78" t="n">
        <v>283</v>
      </c>
      <c r="G78">
        <f>'PLAN COLORES'!P64</f>
        <v/>
      </c>
      <c r="H78">
        <f>IF(G78=0,0,IF(F78=0,0,ROUND(G78*E78/F78,0)))</f>
        <v/>
      </c>
    </row>
    <row r="79">
      <c r="A79" t="inlineStr">
        <is>
          <t>RIO</t>
        </is>
      </c>
      <c r="B79" t="inlineStr">
        <is>
          <t>DAMA</t>
        </is>
      </c>
      <c r="C79" t="inlineStr">
        <is>
          <t>Lila</t>
        </is>
      </c>
      <c r="D79" t="inlineStr">
        <is>
          <t>S</t>
        </is>
      </c>
      <c r="E79" t="n">
        <v>77</v>
      </c>
      <c r="F79" t="n">
        <v>283</v>
      </c>
      <c r="G79">
        <f>'PLAN COLORES'!P64</f>
        <v/>
      </c>
      <c r="H79">
        <f>IF(G79=0,0,IF(F79=0,0,ROUND(G79*E79/F79,0)))</f>
        <v/>
      </c>
    </row>
    <row r="80">
      <c r="A80" t="inlineStr">
        <is>
          <t>RIO</t>
        </is>
      </c>
      <c r="B80" t="inlineStr">
        <is>
          <t>DAMA</t>
        </is>
      </c>
      <c r="C80" t="inlineStr">
        <is>
          <t>Lila</t>
        </is>
      </c>
      <c r="D80" t="inlineStr">
        <is>
          <t>XL</t>
        </is>
      </c>
      <c r="E80" t="n">
        <v>26</v>
      </c>
      <c r="F80" t="n">
        <v>283</v>
      </c>
      <c r="G80">
        <f>'PLAN COLORES'!P64</f>
        <v/>
      </c>
      <c r="H80">
        <f>IF(G80=0,0,IF(F80=0,0,ROUND(G80*E80/F80,0)))</f>
        <v/>
      </c>
    </row>
    <row r="81">
      <c r="A81" t="inlineStr">
        <is>
          <t>RIO</t>
        </is>
      </c>
      <c r="B81" t="inlineStr">
        <is>
          <t>DAMA</t>
        </is>
      </c>
      <c r="C81" t="inlineStr">
        <is>
          <t>Lila</t>
        </is>
      </c>
      <c r="D81" t="inlineStr">
        <is>
          <t>XS</t>
        </is>
      </c>
      <c r="E81" t="n">
        <v>57</v>
      </c>
      <c r="F81" t="n">
        <v>283</v>
      </c>
      <c r="G81">
        <f>'PLAN COLORES'!P64</f>
        <v/>
      </c>
      <c r="H81">
        <f>IF(G81=0,0,IF(F81=0,0,ROUND(G81*E81/F81,0)))</f>
        <v/>
      </c>
    </row>
    <row r="82">
      <c r="A82" t="inlineStr">
        <is>
          <t>RIO</t>
        </is>
      </c>
      <c r="B82" t="inlineStr">
        <is>
          <t>DAMA</t>
        </is>
      </c>
      <c r="C82" t="inlineStr">
        <is>
          <t>Azul Lavanda</t>
        </is>
      </c>
      <c r="D82" t="inlineStr">
        <is>
          <t>L</t>
        </is>
      </c>
      <c r="E82" t="n">
        <v>38</v>
      </c>
      <c r="F82" t="n">
        <v>269</v>
      </c>
      <c r="G82">
        <f>'PLAN COLORES'!P65</f>
        <v/>
      </c>
      <c r="H82">
        <f>IF(G82=0,0,IF(F82=0,0,ROUND(G82*E82/F82,0)))</f>
        <v/>
      </c>
    </row>
    <row r="83">
      <c r="A83" t="inlineStr">
        <is>
          <t>RIO</t>
        </is>
      </c>
      <c r="B83" t="inlineStr">
        <is>
          <t>DAMA</t>
        </is>
      </c>
      <c r="C83" t="inlineStr">
        <is>
          <t>Azul Lavanda</t>
        </is>
      </c>
      <c r="D83" t="inlineStr">
        <is>
          <t>M</t>
        </is>
      </c>
      <c r="E83" t="n">
        <v>65</v>
      </c>
      <c r="F83" t="n">
        <v>269</v>
      </c>
      <c r="G83">
        <f>'PLAN COLORES'!P65</f>
        <v/>
      </c>
      <c r="H83">
        <f>IF(G83=0,0,IF(F83=0,0,ROUND(G83*E83/F83,0)))</f>
        <v/>
      </c>
    </row>
    <row r="84">
      <c r="A84" t="inlineStr">
        <is>
          <t>RIO</t>
        </is>
      </c>
      <c r="B84" t="inlineStr">
        <is>
          <t>DAMA</t>
        </is>
      </c>
      <c r="C84" t="inlineStr">
        <is>
          <t>Azul Lavanda</t>
        </is>
      </c>
      <c r="D84" t="inlineStr">
        <is>
          <t>S</t>
        </is>
      </c>
      <c r="E84" t="n">
        <v>85</v>
      </c>
      <c r="F84" t="n">
        <v>269</v>
      </c>
      <c r="G84">
        <f>'PLAN COLORES'!P65</f>
        <v/>
      </c>
      <c r="H84">
        <f>IF(G84=0,0,IF(F84=0,0,ROUND(G84*E84/F84,0)))</f>
        <v/>
      </c>
    </row>
    <row r="85">
      <c r="A85" t="inlineStr">
        <is>
          <t>RIO</t>
        </is>
      </c>
      <c r="B85" t="inlineStr">
        <is>
          <t>DAMA</t>
        </is>
      </c>
      <c r="C85" t="inlineStr">
        <is>
          <t>Azul Lavanda</t>
        </is>
      </c>
      <c r="D85" t="inlineStr">
        <is>
          <t>XL</t>
        </is>
      </c>
      <c r="E85" t="n">
        <v>30</v>
      </c>
      <c r="F85" t="n">
        <v>269</v>
      </c>
      <c r="G85">
        <f>'PLAN COLORES'!P65</f>
        <v/>
      </c>
      <c r="H85">
        <f>IF(G85=0,0,IF(F85=0,0,ROUND(G85*E85/F85,0)))</f>
        <v/>
      </c>
    </row>
    <row r="86">
      <c r="A86" t="inlineStr">
        <is>
          <t>RIO</t>
        </is>
      </c>
      <c r="B86" t="inlineStr">
        <is>
          <t>DAMA</t>
        </is>
      </c>
      <c r="C86" t="inlineStr">
        <is>
          <t>Azul Lavanda</t>
        </is>
      </c>
      <c r="D86" t="inlineStr">
        <is>
          <t>XS</t>
        </is>
      </c>
      <c r="E86" t="n">
        <v>51</v>
      </c>
      <c r="F86" t="n">
        <v>269</v>
      </c>
      <c r="G86">
        <f>'PLAN COLORES'!P65</f>
        <v/>
      </c>
      <c r="H86">
        <f>IF(G86=0,0,IF(F86=0,0,ROUND(G86*E86/F86,0)))</f>
        <v/>
      </c>
    </row>
    <row r="87">
      <c r="A87" t="inlineStr">
        <is>
          <t>RIO</t>
        </is>
      </c>
      <c r="B87" t="inlineStr">
        <is>
          <t>DAMA</t>
        </is>
      </c>
      <c r="C87" t="inlineStr">
        <is>
          <t>Rojo</t>
        </is>
      </c>
      <c r="D87" t="inlineStr">
        <is>
          <t>L</t>
        </is>
      </c>
      <c r="E87" t="n">
        <v>33</v>
      </c>
      <c r="F87" t="n">
        <v>180</v>
      </c>
      <c r="G87">
        <f>'PLAN COLORES'!P66</f>
        <v/>
      </c>
      <c r="H87">
        <f>IF(G87=0,0,IF(F87=0,0,ROUND(G87*E87/F87,0)))</f>
        <v/>
      </c>
    </row>
    <row r="88">
      <c r="A88" t="inlineStr">
        <is>
          <t>RIO</t>
        </is>
      </c>
      <c r="B88" t="inlineStr">
        <is>
          <t>DAMA</t>
        </is>
      </c>
      <c r="C88" t="inlineStr">
        <is>
          <t>Rojo</t>
        </is>
      </c>
      <c r="D88" t="inlineStr">
        <is>
          <t>M</t>
        </is>
      </c>
      <c r="E88" t="n">
        <v>32</v>
      </c>
      <c r="F88" t="n">
        <v>180</v>
      </c>
      <c r="G88">
        <f>'PLAN COLORES'!P66</f>
        <v/>
      </c>
      <c r="H88">
        <f>IF(G88=0,0,IF(F88=0,0,ROUND(G88*E88/F88,0)))</f>
        <v/>
      </c>
    </row>
    <row r="89">
      <c r="A89" t="inlineStr">
        <is>
          <t>RIO</t>
        </is>
      </c>
      <c r="B89" t="inlineStr">
        <is>
          <t>DAMA</t>
        </is>
      </c>
      <c r="C89" t="inlineStr">
        <is>
          <t>Rojo</t>
        </is>
      </c>
      <c r="D89" t="inlineStr">
        <is>
          <t>S</t>
        </is>
      </c>
      <c r="E89" t="n">
        <v>56</v>
      </c>
      <c r="F89" t="n">
        <v>180</v>
      </c>
      <c r="G89">
        <f>'PLAN COLORES'!P66</f>
        <v/>
      </c>
      <c r="H89">
        <f>IF(G89=0,0,IF(F89=0,0,ROUND(G89*E89/F89,0)))</f>
        <v/>
      </c>
    </row>
    <row r="90">
      <c r="A90" t="inlineStr">
        <is>
          <t>RIO</t>
        </is>
      </c>
      <c r="B90" t="inlineStr">
        <is>
          <t>DAMA</t>
        </is>
      </c>
      <c r="C90" t="inlineStr">
        <is>
          <t>Rojo</t>
        </is>
      </c>
      <c r="D90" t="inlineStr">
        <is>
          <t>XL</t>
        </is>
      </c>
      <c r="E90" t="n">
        <v>15</v>
      </c>
      <c r="F90" t="n">
        <v>180</v>
      </c>
      <c r="G90">
        <f>'PLAN COLORES'!P66</f>
        <v/>
      </c>
      <c r="H90">
        <f>IF(G90=0,0,IF(F90=0,0,ROUND(G90*E90/F90,0)))</f>
        <v/>
      </c>
    </row>
    <row r="91">
      <c r="A91" t="inlineStr">
        <is>
          <t>RIO</t>
        </is>
      </c>
      <c r="B91" t="inlineStr">
        <is>
          <t>DAMA</t>
        </is>
      </c>
      <c r="C91" t="inlineStr">
        <is>
          <t>Rojo</t>
        </is>
      </c>
      <c r="D91" t="inlineStr">
        <is>
          <t>XS</t>
        </is>
      </c>
      <c r="E91" t="n">
        <v>44</v>
      </c>
      <c r="F91" t="n">
        <v>180</v>
      </c>
      <c r="G91">
        <f>'PLAN COLORES'!P66</f>
        <v/>
      </c>
      <c r="H91">
        <f>IF(G91=0,0,IF(F91=0,0,ROUND(G91*E91/F91,0)))</f>
        <v/>
      </c>
    </row>
    <row r="92">
      <c r="A92" t="inlineStr">
        <is>
          <t>RIO</t>
        </is>
      </c>
      <c r="B92" t="inlineStr">
        <is>
          <t>DAMA</t>
        </is>
      </c>
      <c r="C92" t="inlineStr">
        <is>
          <t>Vinotinto</t>
        </is>
      </c>
      <c r="D92" t="inlineStr">
        <is>
          <t>L</t>
        </is>
      </c>
      <c r="E92" t="n">
        <v>15</v>
      </c>
      <c r="F92" t="n">
        <v>163</v>
      </c>
      <c r="G92">
        <f>'PLAN COLORES'!P67</f>
        <v/>
      </c>
      <c r="H92">
        <f>IF(G92=0,0,IF(F92=0,0,ROUND(G92*E92/F92,0)))</f>
        <v/>
      </c>
    </row>
    <row r="93">
      <c r="A93" t="inlineStr">
        <is>
          <t>RIO</t>
        </is>
      </c>
      <c r="B93" t="inlineStr">
        <is>
          <t>DAMA</t>
        </is>
      </c>
      <c r="C93" t="inlineStr">
        <is>
          <t>Vinotinto</t>
        </is>
      </c>
      <c r="D93" t="inlineStr">
        <is>
          <t>M</t>
        </is>
      </c>
      <c r="E93" t="n">
        <v>41</v>
      </c>
      <c r="F93" t="n">
        <v>163</v>
      </c>
      <c r="G93">
        <f>'PLAN COLORES'!P67</f>
        <v/>
      </c>
      <c r="H93">
        <f>IF(G93=0,0,IF(F93=0,0,ROUND(G93*E93/F93,0)))</f>
        <v/>
      </c>
    </row>
    <row r="94">
      <c r="A94" t="inlineStr">
        <is>
          <t>RIO</t>
        </is>
      </c>
      <c r="B94" t="inlineStr">
        <is>
          <t>DAMA</t>
        </is>
      </c>
      <c r="C94" t="inlineStr">
        <is>
          <t>Vinotinto</t>
        </is>
      </c>
      <c r="D94" t="inlineStr">
        <is>
          <t>S</t>
        </is>
      </c>
      <c r="E94" t="n">
        <v>48</v>
      </c>
      <c r="F94" t="n">
        <v>163</v>
      </c>
      <c r="G94">
        <f>'PLAN COLORES'!P67</f>
        <v/>
      </c>
      <c r="H94">
        <f>IF(G94=0,0,IF(F94=0,0,ROUND(G94*E94/F94,0)))</f>
        <v/>
      </c>
    </row>
    <row r="95">
      <c r="A95" t="inlineStr">
        <is>
          <t>RIO</t>
        </is>
      </c>
      <c r="B95" t="inlineStr">
        <is>
          <t>DAMA</t>
        </is>
      </c>
      <c r="C95" t="inlineStr">
        <is>
          <t>Vinotinto</t>
        </is>
      </c>
      <c r="D95" t="inlineStr">
        <is>
          <t>XL</t>
        </is>
      </c>
      <c r="E95" t="n">
        <v>8</v>
      </c>
      <c r="F95" t="n">
        <v>163</v>
      </c>
      <c r="G95">
        <f>'PLAN COLORES'!P67</f>
        <v/>
      </c>
      <c r="H95">
        <f>IF(G95=0,0,IF(F95=0,0,ROUND(G95*E95/F95,0)))</f>
        <v/>
      </c>
    </row>
    <row r="96">
      <c r="A96" t="inlineStr">
        <is>
          <t>RIO</t>
        </is>
      </c>
      <c r="B96" t="inlineStr">
        <is>
          <t>DAMA</t>
        </is>
      </c>
      <c r="C96" t="inlineStr">
        <is>
          <t>Vinotinto</t>
        </is>
      </c>
      <c r="D96" t="inlineStr">
        <is>
          <t>XS</t>
        </is>
      </c>
      <c r="E96" t="n">
        <v>51</v>
      </c>
      <c r="F96" t="n">
        <v>163</v>
      </c>
      <c r="G96">
        <f>'PLAN COLORES'!P67</f>
        <v/>
      </c>
      <c r="H96">
        <f>IF(G96=0,0,IF(F96=0,0,ROUND(G96*E96/F96,0)))</f>
        <v/>
      </c>
    </row>
    <row r="97">
      <c r="A97" t="inlineStr">
        <is>
          <t>RIO</t>
        </is>
      </c>
      <c r="B97" t="inlineStr">
        <is>
          <t>DAMA</t>
        </is>
      </c>
      <c r="C97" t="inlineStr">
        <is>
          <t>Verde Militar</t>
        </is>
      </c>
      <c r="D97" t="inlineStr">
        <is>
          <t>L</t>
        </is>
      </c>
      <c r="E97" t="n">
        <v>30</v>
      </c>
      <c r="F97" t="n">
        <v>146</v>
      </c>
      <c r="G97">
        <f>'PLAN COLORES'!P68</f>
        <v/>
      </c>
      <c r="H97">
        <f>IF(G97=0,0,IF(F97=0,0,ROUND(G97*E97/F97,0)))</f>
        <v/>
      </c>
    </row>
    <row r="98">
      <c r="A98" t="inlineStr">
        <is>
          <t>RIO</t>
        </is>
      </c>
      <c r="B98" t="inlineStr">
        <is>
          <t>DAMA</t>
        </is>
      </c>
      <c r="C98" t="inlineStr">
        <is>
          <t>Verde Militar</t>
        </is>
      </c>
      <c r="D98" t="inlineStr">
        <is>
          <t>M</t>
        </is>
      </c>
      <c r="E98" t="n">
        <v>27</v>
      </c>
      <c r="F98" t="n">
        <v>146</v>
      </c>
      <c r="G98">
        <f>'PLAN COLORES'!P68</f>
        <v/>
      </c>
      <c r="H98">
        <f>IF(G98=0,0,IF(F98=0,0,ROUND(G98*E98/F98,0)))</f>
        <v/>
      </c>
    </row>
    <row r="99">
      <c r="A99" t="inlineStr">
        <is>
          <t>RIO</t>
        </is>
      </c>
      <c r="B99" t="inlineStr">
        <is>
          <t>DAMA</t>
        </is>
      </c>
      <c r="C99" t="inlineStr">
        <is>
          <t>Verde Militar</t>
        </is>
      </c>
      <c r="D99" t="inlineStr">
        <is>
          <t>S</t>
        </is>
      </c>
      <c r="E99" t="n">
        <v>46</v>
      </c>
      <c r="F99" t="n">
        <v>146</v>
      </c>
      <c r="G99">
        <f>'PLAN COLORES'!P68</f>
        <v/>
      </c>
      <c r="H99">
        <f>IF(G99=0,0,IF(F99=0,0,ROUND(G99*E99/F99,0)))</f>
        <v/>
      </c>
    </row>
    <row r="100">
      <c r="A100" t="inlineStr">
        <is>
          <t>RIO</t>
        </is>
      </c>
      <c r="B100" t="inlineStr">
        <is>
          <t>DAMA</t>
        </is>
      </c>
      <c r="C100" t="inlineStr">
        <is>
          <t>Verde Militar</t>
        </is>
      </c>
      <c r="D100" t="inlineStr">
        <is>
          <t>XL</t>
        </is>
      </c>
      <c r="E100" t="n">
        <v>22</v>
      </c>
      <c r="F100" t="n">
        <v>146</v>
      </c>
      <c r="G100">
        <f>'PLAN COLORES'!P68</f>
        <v/>
      </c>
      <c r="H100">
        <f>IF(G100=0,0,IF(F100=0,0,ROUND(G100*E100/F100,0)))</f>
        <v/>
      </c>
    </row>
    <row r="101">
      <c r="A101" t="inlineStr">
        <is>
          <t>RIO</t>
        </is>
      </c>
      <c r="B101" t="inlineStr">
        <is>
          <t>DAMA</t>
        </is>
      </c>
      <c r="C101" t="inlineStr">
        <is>
          <t>Verde Militar</t>
        </is>
      </c>
      <c r="D101" t="inlineStr">
        <is>
          <t>XS</t>
        </is>
      </c>
      <c r="E101" t="n">
        <v>21</v>
      </c>
      <c r="F101" t="n">
        <v>146</v>
      </c>
      <c r="G101">
        <f>'PLAN COLORES'!P68</f>
        <v/>
      </c>
      <c r="H101">
        <f>IF(G101=0,0,IF(F101=0,0,ROUND(G101*E101/F101,0)))</f>
        <v/>
      </c>
    </row>
    <row r="102">
      <c r="A102" t="inlineStr">
        <is>
          <t>RIO</t>
        </is>
      </c>
      <c r="B102" t="inlineStr">
        <is>
          <t>DAMA</t>
        </is>
      </c>
      <c r="C102" t="inlineStr">
        <is>
          <t>Púrpura</t>
        </is>
      </c>
      <c r="D102" t="inlineStr">
        <is>
          <t>L</t>
        </is>
      </c>
      <c r="E102" t="n">
        <v>30</v>
      </c>
      <c r="F102" t="n">
        <v>140</v>
      </c>
      <c r="G102">
        <f>'PLAN COLORES'!P69</f>
        <v/>
      </c>
      <c r="H102">
        <f>IF(G102=0,0,IF(F102=0,0,ROUND(G102*E102/F102,0)))</f>
        <v/>
      </c>
    </row>
    <row r="103">
      <c r="A103" t="inlineStr">
        <is>
          <t>RIO</t>
        </is>
      </c>
      <c r="B103" t="inlineStr">
        <is>
          <t>DAMA</t>
        </is>
      </c>
      <c r="C103" t="inlineStr">
        <is>
          <t>Púrpura</t>
        </is>
      </c>
      <c r="D103" t="inlineStr">
        <is>
          <t>M</t>
        </is>
      </c>
      <c r="E103" t="n">
        <v>28</v>
      </c>
      <c r="F103" t="n">
        <v>140</v>
      </c>
      <c r="G103">
        <f>'PLAN COLORES'!P69</f>
        <v/>
      </c>
      <c r="H103">
        <f>IF(G103=0,0,IF(F103=0,0,ROUND(G103*E103/F103,0)))</f>
        <v/>
      </c>
    </row>
    <row r="104">
      <c r="A104" t="inlineStr">
        <is>
          <t>RIO</t>
        </is>
      </c>
      <c r="B104" t="inlineStr">
        <is>
          <t>DAMA</t>
        </is>
      </c>
      <c r="C104" t="inlineStr">
        <is>
          <t>Púrpura</t>
        </is>
      </c>
      <c r="D104" t="inlineStr">
        <is>
          <t>S</t>
        </is>
      </c>
      <c r="E104" t="n">
        <v>37</v>
      </c>
      <c r="F104" t="n">
        <v>140</v>
      </c>
      <c r="G104">
        <f>'PLAN COLORES'!P69</f>
        <v/>
      </c>
      <c r="H104">
        <f>IF(G104=0,0,IF(F104=0,0,ROUND(G104*E104/F104,0)))</f>
        <v/>
      </c>
    </row>
    <row r="105">
      <c r="A105" t="inlineStr">
        <is>
          <t>RIO</t>
        </is>
      </c>
      <c r="B105" t="inlineStr">
        <is>
          <t>DAMA</t>
        </is>
      </c>
      <c r="C105" t="inlineStr">
        <is>
          <t>Púrpura</t>
        </is>
      </c>
      <c r="D105" t="inlineStr">
        <is>
          <t>XL</t>
        </is>
      </c>
      <c r="E105" t="n">
        <v>17</v>
      </c>
      <c r="F105" t="n">
        <v>140</v>
      </c>
      <c r="G105">
        <f>'PLAN COLORES'!P69</f>
        <v/>
      </c>
      <c r="H105">
        <f>IF(G105=0,0,IF(F105=0,0,ROUND(G105*E105/F105,0)))</f>
        <v/>
      </c>
    </row>
    <row r="106">
      <c r="A106" t="inlineStr">
        <is>
          <t>RIO</t>
        </is>
      </c>
      <c r="B106" t="inlineStr">
        <is>
          <t>DAMA</t>
        </is>
      </c>
      <c r="C106" t="inlineStr">
        <is>
          <t>Púrpura</t>
        </is>
      </c>
      <c r="D106" t="inlineStr">
        <is>
          <t>XS</t>
        </is>
      </c>
      <c r="E106" t="n">
        <v>28</v>
      </c>
      <c r="F106" t="n">
        <v>140</v>
      </c>
      <c r="G106">
        <f>'PLAN COLORES'!P69</f>
        <v/>
      </c>
      <c r="H106">
        <f>IF(G106=0,0,IF(F106=0,0,ROUND(G106*E106/F106,0)))</f>
        <v/>
      </c>
    </row>
    <row r="107">
      <c r="A107" t="inlineStr">
        <is>
          <t>RIO</t>
        </is>
      </c>
      <c r="B107" t="inlineStr">
        <is>
          <t>DAMA</t>
        </is>
      </c>
      <c r="C107" t="inlineStr">
        <is>
          <t>Rosado Pastel</t>
        </is>
      </c>
      <c r="D107" t="inlineStr">
        <is>
          <t>L</t>
        </is>
      </c>
      <c r="E107" t="n">
        <v>21</v>
      </c>
      <c r="F107" t="n">
        <v>72</v>
      </c>
      <c r="G107">
        <f>'PLAN COLORES'!P70</f>
        <v/>
      </c>
      <c r="H107">
        <f>IF(G107=0,0,IF(F107=0,0,ROUND(G107*E107/F107,0)))</f>
        <v/>
      </c>
    </row>
    <row r="108">
      <c r="A108" t="inlineStr">
        <is>
          <t>RIO</t>
        </is>
      </c>
      <c r="B108" t="inlineStr">
        <is>
          <t>DAMA</t>
        </is>
      </c>
      <c r="C108" t="inlineStr">
        <is>
          <t>Rosado Pastel</t>
        </is>
      </c>
      <c r="D108" t="inlineStr">
        <is>
          <t>M</t>
        </is>
      </c>
      <c r="E108" t="n">
        <v>13</v>
      </c>
      <c r="F108" t="n">
        <v>72</v>
      </c>
      <c r="G108">
        <f>'PLAN COLORES'!P70</f>
        <v/>
      </c>
      <c r="H108">
        <f>IF(G108=0,0,IF(F108=0,0,ROUND(G108*E108/F108,0)))</f>
        <v/>
      </c>
    </row>
    <row r="109">
      <c r="A109" t="inlineStr">
        <is>
          <t>RIO</t>
        </is>
      </c>
      <c r="B109" t="inlineStr">
        <is>
          <t>DAMA</t>
        </is>
      </c>
      <c r="C109" t="inlineStr">
        <is>
          <t>Rosado Pastel</t>
        </is>
      </c>
      <c r="D109" t="inlineStr">
        <is>
          <t>S</t>
        </is>
      </c>
      <c r="E109" t="n">
        <v>11</v>
      </c>
      <c r="F109" t="n">
        <v>72</v>
      </c>
      <c r="G109">
        <f>'PLAN COLORES'!P70</f>
        <v/>
      </c>
      <c r="H109">
        <f>IF(G109=0,0,IF(F109=0,0,ROUND(G109*E109/F109,0)))</f>
        <v/>
      </c>
    </row>
    <row r="110">
      <c r="A110" t="inlineStr">
        <is>
          <t>RIO</t>
        </is>
      </c>
      <c r="B110" t="inlineStr">
        <is>
          <t>DAMA</t>
        </is>
      </c>
      <c r="C110" t="inlineStr">
        <is>
          <t>Rosado Pastel</t>
        </is>
      </c>
      <c r="D110" t="inlineStr">
        <is>
          <t>XL</t>
        </is>
      </c>
      <c r="E110" t="n">
        <v>17</v>
      </c>
      <c r="F110" t="n">
        <v>72</v>
      </c>
      <c r="G110">
        <f>'PLAN COLORES'!P70</f>
        <v/>
      </c>
      <c r="H110">
        <f>IF(G110=0,0,IF(F110=0,0,ROUND(G110*E110/F110,0)))</f>
        <v/>
      </c>
    </row>
    <row r="111">
      <c r="A111" t="inlineStr">
        <is>
          <t>RIO</t>
        </is>
      </c>
      <c r="B111" t="inlineStr">
        <is>
          <t>DAMA</t>
        </is>
      </c>
      <c r="C111" t="inlineStr">
        <is>
          <t>Rosado Pastel</t>
        </is>
      </c>
      <c r="D111" t="inlineStr">
        <is>
          <t>XS</t>
        </is>
      </c>
      <c r="E111" t="n">
        <v>10</v>
      </c>
      <c r="F111" t="n">
        <v>72</v>
      </c>
      <c r="G111">
        <f>'PLAN COLORES'!P70</f>
        <v/>
      </c>
      <c r="H111">
        <f>IF(G111=0,0,IF(F111=0,0,ROUND(G111*E111/F111,0)))</f>
        <v/>
      </c>
    </row>
    <row r="112">
      <c r="A112" t="inlineStr">
        <is>
          <t>RIO</t>
        </is>
      </c>
      <c r="B112" t="inlineStr">
        <is>
          <t>DAMA</t>
        </is>
      </c>
      <c r="C112" t="inlineStr">
        <is>
          <t>Amarillo Neón</t>
        </is>
      </c>
      <c r="D112" t="inlineStr">
        <is>
          <t>L</t>
        </is>
      </c>
      <c r="E112" t="n">
        <v>8</v>
      </c>
      <c r="F112" t="n">
        <v>62</v>
      </c>
      <c r="G112">
        <f>'PLAN COLORES'!P71</f>
        <v/>
      </c>
      <c r="H112">
        <f>IF(G112=0,0,IF(F112=0,0,ROUND(G112*E112/F112,0)))</f>
        <v/>
      </c>
    </row>
    <row r="113">
      <c r="A113" t="inlineStr">
        <is>
          <t>RIO</t>
        </is>
      </c>
      <c r="B113" t="inlineStr">
        <is>
          <t>DAMA</t>
        </is>
      </c>
      <c r="C113" t="inlineStr">
        <is>
          <t>Amarillo Neón</t>
        </is>
      </c>
      <c r="D113" t="inlineStr">
        <is>
          <t>M</t>
        </is>
      </c>
      <c r="E113" t="n">
        <v>13</v>
      </c>
      <c r="F113" t="n">
        <v>62</v>
      </c>
      <c r="G113">
        <f>'PLAN COLORES'!P71</f>
        <v/>
      </c>
      <c r="H113">
        <f>IF(G113=0,0,IF(F113=0,0,ROUND(G113*E113/F113,0)))</f>
        <v/>
      </c>
    </row>
    <row r="114">
      <c r="A114" t="inlineStr">
        <is>
          <t>RIO</t>
        </is>
      </c>
      <c r="B114" t="inlineStr">
        <is>
          <t>DAMA</t>
        </is>
      </c>
      <c r="C114" t="inlineStr">
        <is>
          <t>Amarillo Neón</t>
        </is>
      </c>
      <c r="D114" t="inlineStr">
        <is>
          <t>S</t>
        </is>
      </c>
      <c r="E114" t="n">
        <v>15</v>
      </c>
      <c r="F114" t="n">
        <v>62</v>
      </c>
      <c r="G114">
        <f>'PLAN COLORES'!P71</f>
        <v/>
      </c>
      <c r="H114">
        <f>IF(G114=0,0,IF(F114=0,0,ROUND(G114*E114/F114,0)))</f>
        <v/>
      </c>
    </row>
    <row r="115">
      <c r="A115" t="inlineStr">
        <is>
          <t>RIO</t>
        </is>
      </c>
      <c r="B115" t="inlineStr">
        <is>
          <t>DAMA</t>
        </is>
      </c>
      <c r="C115" t="inlineStr">
        <is>
          <t>Amarillo Neón</t>
        </is>
      </c>
      <c r="D115" t="inlineStr">
        <is>
          <t>XL</t>
        </is>
      </c>
      <c r="E115" t="n">
        <v>9</v>
      </c>
      <c r="F115" t="n">
        <v>62</v>
      </c>
      <c r="G115">
        <f>'PLAN COLORES'!P71</f>
        <v/>
      </c>
      <c r="H115">
        <f>IF(G115=0,0,IF(F115=0,0,ROUND(G115*E115/F115,0)))</f>
        <v/>
      </c>
    </row>
    <row r="116">
      <c r="A116" t="inlineStr">
        <is>
          <t>RIO</t>
        </is>
      </c>
      <c r="B116" t="inlineStr">
        <is>
          <t>DAMA</t>
        </is>
      </c>
      <c r="C116" t="inlineStr">
        <is>
          <t>Amarillo Neón</t>
        </is>
      </c>
      <c r="D116" t="inlineStr">
        <is>
          <t>XS</t>
        </is>
      </c>
      <c r="E116" t="n">
        <v>17</v>
      </c>
      <c r="F116" t="n">
        <v>62</v>
      </c>
      <c r="G116">
        <f>'PLAN COLORES'!P71</f>
        <v/>
      </c>
      <c r="H116">
        <f>IF(G116=0,0,IF(F116=0,0,ROUND(G116*E116/F116,0)))</f>
        <v/>
      </c>
    </row>
    <row r="117"/>
    <row r="118">
      <c r="C118" t="inlineStr">
        <is>
          <t>Verificar: suma tallas ≈ und color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RESUMEN POR LÍNEA (desde PLAN COLORES)</t>
        </is>
      </c>
    </row>
    <row r="2"/>
    <row r="3">
      <c r="A3" s="5" t="inlineStr">
        <is>
          <t>Línea</t>
        </is>
      </c>
      <c r="B3" s="5" t="inlineStr">
        <is>
          <t>Und FINAL</t>
        </is>
      </c>
      <c r="C3" s="5" t="inlineStr">
        <is>
          <t>Kg usar</t>
        </is>
      </c>
    </row>
    <row r="4">
      <c r="A4" t="inlineStr">
        <is>
          <t>RIO KIDS</t>
        </is>
      </c>
      <c r="B4">
        <f>SUMIF('PLAN COLORES'!$B$2:$B$71,"RIO KIDS",'PLAN COLORES'!$P$2:$P$71)</f>
        <v/>
      </c>
      <c r="C4">
        <f>SUMIF('PLAN COLORES'!$B$2:$B$71,"RIO KIDS",'PLAN COLORES'!$Q$2:$Q$71)</f>
        <v/>
      </c>
    </row>
    <row r="5">
      <c r="A5" t="inlineStr">
        <is>
          <t>MAR KIDS</t>
        </is>
      </c>
      <c r="B5">
        <f>SUMIF('PLAN COLORES'!$B$2:$B$71,"MAR KIDS",'PLAN COLORES'!$P$2:$P$71)</f>
        <v/>
      </c>
      <c r="C5">
        <f>SUMIF('PLAN COLORES'!$B$2:$B$71,"MAR KIDS",'PLAN COLORES'!$Q$2:$Q$71)</f>
        <v/>
      </c>
    </row>
    <row r="6">
      <c r="A6" t="inlineStr">
        <is>
          <t>MAR CAB</t>
        </is>
      </c>
      <c r="B6">
        <f>SUMIF('PLAN COLORES'!$B$2:$B$71,"MAR CAB",'PLAN COLORES'!$P$2:$P$71)</f>
        <v/>
      </c>
      <c r="C6">
        <f>SUMIF('PLAN COLORES'!$B$2:$B$71,"MAR CAB",'PLAN COLORES'!$Q$2:$Q$71)</f>
        <v/>
      </c>
    </row>
    <row r="7">
      <c r="A7" t="inlineStr">
        <is>
          <t>MAR DAMA</t>
        </is>
      </c>
      <c r="B7">
        <f>SUMIF('PLAN COLORES'!$B$2:$B$71,"MAR DAMA",'PLAN COLORES'!$P$2:$P$71)</f>
        <v/>
      </c>
      <c r="C7">
        <f>SUMIF('PLAN COLORES'!$B$2:$B$71,"MAR DAMA",'PLAN COLORES'!$Q$2:$Q$71)</f>
        <v/>
      </c>
    </row>
    <row r="8">
      <c r="A8" t="inlineStr">
        <is>
          <t>RIO CAB</t>
        </is>
      </c>
      <c r="B8">
        <f>SUMIF('PLAN COLORES'!$B$2:$B$71,"RIO CAB",'PLAN COLORES'!$P$2:$P$71)</f>
        <v/>
      </c>
      <c r="C8">
        <f>SUMIF('PLAN COLORES'!$B$2:$B$71,"RIO CAB",'PLAN COLORES'!$Q$2:$Q$71)</f>
        <v/>
      </c>
    </row>
    <row r="9">
      <c r="A9" t="inlineStr">
        <is>
          <t>RIO DAMA</t>
        </is>
      </c>
      <c r="B9">
        <f>SUMIF('PLAN COLORES'!$B$2:$B$71,"RIO DAMA",'PLAN COLORES'!$P$2:$P$71)</f>
        <v/>
      </c>
      <c r="C9">
        <f>SUMIF('PLAN COLORES'!$B$2:$B$71,"RIO DAMA",'PLAN COLORES'!$Q$2:$Q$71)</f>
        <v/>
      </c>
    </row>
    <row r="10"/>
    <row r="11">
      <c r="A11" t="inlineStr">
        <is>
          <t>TOTAL</t>
        </is>
      </c>
      <c r="B11">
        <f>SUM(P4:P9)</f>
        <v/>
      </c>
      <c r="C11">
        <f>SUM(C4:C9)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2026-09-14T00:32:15Z</dcterms:created>
  <dcterms:modified xsi:type="dcterms:W3CDTF">2026-09-14T00:32:15Z</dcterms:modified>
</cp:coreProperties>
</file>