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uel Grisanti\Downloads\"/>
    </mc:Choice>
  </mc:AlternateContent>
  <xr:revisionPtr revIDLastSave="0" documentId="8_{390828AC-5AAE-453B-A0D0-33CEB03A653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ESUMEN" sheetId="1" r:id="rId1"/>
    <sheet name="RANKING (14 COLORES)" sheetId="2" r:id="rId2"/>
    <sheet name="JUSTIFICACIÓN POR COLOR" sheetId="3" r:id="rId3"/>
    <sheet name="ROTACIÓN Y RIESGO" sheetId="4" r:id="rId4"/>
    <sheet name="CANTIDADES" sheetId="5" r:id="rId5"/>
    <sheet name="CONSUMO Y PROYECCIÓ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9" i="6" l="1"/>
  <c r="E39" i="6"/>
  <c r="D39" i="6"/>
  <c r="C39" i="6"/>
  <c r="B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39" i="6" s="1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H31" i="5"/>
  <c r="G31" i="5"/>
  <c r="F31" i="5"/>
  <c r="E31" i="5"/>
  <c r="D31" i="5"/>
  <c r="C31" i="5"/>
  <c r="B31" i="5"/>
  <c r="I30" i="5"/>
  <c r="I29" i="5"/>
  <c r="I28" i="5"/>
  <c r="I27" i="5"/>
  <c r="I26" i="5"/>
  <c r="I25" i="5"/>
  <c r="I24" i="5"/>
  <c r="I23" i="5"/>
  <c r="I31" i="5" s="1"/>
  <c r="H19" i="5"/>
  <c r="G19" i="5"/>
  <c r="F19" i="5"/>
  <c r="E19" i="5"/>
  <c r="D19" i="5"/>
  <c r="C19" i="5"/>
  <c r="B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19" i="5" s="1"/>
</calcChain>
</file>

<file path=xl/sharedStrings.xml><?xml version="1.0" encoding="utf-8"?>
<sst xmlns="http://schemas.openxmlformats.org/spreadsheetml/2006/main" count="359" uniqueCount="207">
  <si>
    <t>RESULTADO POR COLOR</t>
  </si>
  <si>
    <t>1. Negro</t>
  </si>
  <si>
    <t>Rotación: 426 u/mes, la máxima del catálogo (16% de la venta), demanda estable (CV 0,40), presente en 19 modelos y 3 géneros. Riesgo de inmovilización: bajo — autonomía total 11,2 meses (7,2 de PT + 4,0 de tela), dentro del rango sano.</t>
  </si>
  <si>
    <t>2. Blanco</t>
  </si>
  <si>
    <t>Rotación: 345 u/mes, segundo del catálogo, la demanda más estable de todas (CV 0,32), en 18 modelos y 3 géneros. Riesgo de inmovilización: bajo — autonomía total 12,5 meses (6,6 de PT + 5,9 de tela), sano.</t>
  </si>
  <si>
    <t>3. Azul Marino</t>
  </si>
  <si>
    <t>Rotación: 321 u/mes, tercero del catálogo, demanda moderadamente estable (CV 0,58), en 18 modelos y 3 géneros. Riesgo de inmovilización: el más bajo del top — autonomía total 10,7 meses (5,7 de PT + 4,9 de tela), es el que más rápido fluye.</t>
  </si>
  <si>
    <t>4. Verde Militar</t>
  </si>
  <si>
    <t>Rotación: 199 u/mes, demanda estable (CV 0,46) sostenida todo el año, sin depender de eventos comerciales, en 16 modelos y 3 géneros. Riesgo de inmovilización: bajo — autonomía total 10,0 meses (8,4 de PT + 1,6 de tela); la tela es el componente que ajusta primero y ya se considera para próxima compra.</t>
  </si>
  <si>
    <t>5. Azul Lavanda</t>
  </si>
  <si>
    <t>Rotación: 220 u/mes, quinto en volumen sostenido, demanda variable (CV 0,77), en 17 modelos y 3 géneros. Riesgo de inmovilización: bajo — autonomía total 9,1 meses (6,7 de PT + 2,4 de tela), sano.</t>
  </si>
  <si>
    <t>Alterno: Azul Rey</t>
  </si>
  <si>
    <t>Rotación: 147 u/mes, demanda muy estable (CV 0,37, la segunda del catálogo). Riesgo de inmovilización: moderado — autonomía total 15,6 meses, ya holgada; es intercambiable con Azul Lavanda si se prioriza estabilidad sobre volumen.</t>
  </si>
  <si>
    <t>METODOLOGÍA DEL SCORE (0 a 100)</t>
  </si>
  <si>
    <t>Criterio 1 · Rotación — peso 40%</t>
  </si>
  <si>
    <t>(venta promedio mensual del color ÷ venta del color líder) × 100.</t>
  </si>
  <si>
    <t>Criterio 2 · Constancia de la venta — peso 25%</t>
  </si>
  <si>
    <t>Mide si un color vende parecido mes a mes o si depende de picos puntuales. Se calcula con el coeficiente de variación (CV): se saca cuánto varía la venta mensual respecto a su propio promedio. Un CV bajo significa que el color vende una cantidad similar todos los meses (demanda predecible); un CV alto significa que casi toda la venta se concentró en uno o dos meses (por ejemplo, un lanzamiento) y el resto del tiempo casi no se movió. Un color que vende "a golpes" es más riesgoso: si ese pico no se repite, la producción que se hizo pensando en él puede quedar sin vender. Escala usada: CV ≤ 0,45 constante · 0,45-0,75 medianamente constante · 0,75-1,10 irregular · &gt; 1,10 muy irregular (dependiente de picos).</t>
  </si>
  <si>
    <t>Criterio 3 · Presencia en el catálogo — peso 20%</t>
  </si>
  <si>
    <t>Mide si el color se vende en muchos productos y para los tres públicos (caballero, dama y kids), o si depende de un solo modelo. Se calcula combinando dos cosas en partes iguales: en cuántos de los 19 modelos vende, y en cuántos de los 3 géneros tiene venta real. Un color presente en todo el catálogo es más seguro para el negocio: si un modelo puntual deja de venderse, el color sigue teniendo demanda por otros lados.</t>
  </si>
  <si>
    <t>Criterio 4 · No-inmovilización — peso 15%</t>
  </si>
  <si>
    <t>Score total</t>
  </si>
  <si>
    <t>Score = 0,40×Rotación + 0,25×Regularidad + 0,20×Transversalidad + 0,15×No-inmovilización.</t>
  </si>
  <si>
    <t>RANKING — 14 COLORES ACTIVOS (10 meses de venta, oct-25 a jul-26 · corte 10-ago-26)</t>
  </si>
  <si>
    <t>#</t>
  </si>
  <si>
    <t>Color</t>
  </si>
  <si>
    <t>Venta prom (u/mes) — ROTACIÓN</t>
  </si>
  <si>
    <t>Regularidad — CV</t>
  </si>
  <si>
    <t>Modelos donde vende</t>
  </si>
  <si>
    <t>Géneros</t>
  </si>
  <si>
    <t>Cob. PT (m)</t>
  </si>
  <si>
    <t>Cob. tela (m)</t>
  </si>
  <si>
    <t>AUTONOMÍA TOTAL (m) — INMOVILIZACIÓN</t>
  </si>
  <si>
    <t>Score rotación (40%)</t>
  </si>
  <si>
    <t>Score regularidad (25%)</t>
  </si>
  <si>
    <t>Score presencia en catálogo (20%)</t>
  </si>
  <si>
    <t>Score no-inmoviliz. (15%)</t>
  </si>
  <si>
    <t>SCORE TOTAL</t>
  </si>
  <si>
    <t>Diagnóstico</t>
  </si>
  <si>
    <t>NEGRO</t>
  </si>
  <si>
    <t>Estable (CV 0.40)</t>
  </si>
  <si>
    <t>TOP 5</t>
  </si>
  <si>
    <t>BLANCO</t>
  </si>
  <si>
    <t>Estable (CV 0.32)</t>
  </si>
  <si>
    <t>AZUL MARINO</t>
  </si>
  <si>
    <t>Moderada (CV 0.58)</t>
  </si>
  <si>
    <t>VERDE MILITAR</t>
  </si>
  <si>
    <t>Moderada (CV 0.46)</t>
  </si>
  <si>
    <t>AZUL LAVANDA</t>
  </si>
  <si>
    <t>Variable (CV 0.77)</t>
  </si>
  <si>
    <t>AZUL REY</t>
  </si>
  <si>
    <t>Estable (CV 0.37)</t>
  </si>
  <si>
    <t>Alterno del top</t>
  </si>
  <si>
    <t>GRIS CLARO</t>
  </si>
  <si>
    <t>Moderada (CV 0.53)</t>
  </si>
  <si>
    <t>Desempeño correcto, sin el volumen del top</t>
  </si>
  <si>
    <t>VINOTINTO</t>
  </si>
  <si>
    <t>Estable (CV 0.35)</t>
  </si>
  <si>
    <t>Autonomía amplia: moderar producción</t>
  </si>
  <si>
    <t>ROJO</t>
  </si>
  <si>
    <t>PÚRPURA</t>
  </si>
  <si>
    <t>Estable (CV 0.42)</t>
  </si>
  <si>
    <t>LILA</t>
  </si>
  <si>
    <t>Volátil (CV 1.67)</t>
  </si>
  <si>
    <t>Demanda de tendencia — gestionar por temporada</t>
  </si>
  <si>
    <t>AGUAMARINA</t>
  </si>
  <si>
    <t>Moderada (CV 0.52)</t>
  </si>
  <si>
    <t>ROSADO PASTEL</t>
  </si>
  <si>
    <t>AMARILLO NEÓN</t>
  </si>
  <si>
    <t>Lectura</t>
  </si>
  <si>
    <t>EVALUACIÓN DE LOS 4 CRITERIOS, COLOR POR COLOR (14 colores activos)</t>
  </si>
  <si>
    <t>Rotación (venta/mes)</t>
  </si>
  <si>
    <t>Regularidad (CV)</t>
  </si>
  <si>
    <t>Presencia en el catálogo</t>
  </si>
  <si>
    <t>Inmovilización (autonomía total = PT + tela)</t>
  </si>
  <si>
    <t>Veredicto</t>
  </si>
  <si>
    <t>426 u/mes — la máxima del catálogo (16% de la venta)</t>
  </si>
  <si>
    <t>CV 0,40 — demanda estable los 10 meses</t>
  </si>
  <si>
    <t>19 modelos · 3 géneros — presencia total</t>
  </si>
  <si>
    <t>11,2 meses (7,2 PT + 4,0 tela) — flujo sano</t>
  </si>
  <si>
    <t>TOP 5 (#1). Score 97.5.</t>
  </si>
  <si>
    <t>345 u/mes — 2ª rotación</t>
  </si>
  <si>
    <t>CV 0,32 — la demanda más estable del catálogo</t>
  </si>
  <si>
    <t>18 modelos · 3 géneros</t>
  </si>
  <si>
    <t>12,5 meses (6,6 PT + 5,9 tela) — flujo sano</t>
  </si>
  <si>
    <t>TOP 5 (#2). Score 89.2.</t>
  </si>
  <si>
    <t>321 u/mes — 3ª rotación</t>
  </si>
  <si>
    <t>CV 0,58 — demanda moderada</t>
  </si>
  <si>
    <t>10,7 meses (5,7 PT + 4,9 tela) — el más ágil del top</t>
  </si>
  <si>
    <t>TOP 5 (#3). Score 85.4.</t>
  </si>
  <si>
    <t>199 u/mes</t>
  </si>
  <si>
    <t>CV 0,46 — estable, sin dependencia de eventos</t>
  </si>
  <si>
    <t>16 modelos · 3 géneros</t>
  </si>
  <si>
    <t>10,0 meses (8,4 PT + 1,6 tela) — sano; se considera para la próxima compra de tela</t>
  </si>
  <si>
    <t>TOP 5 (#4). Score 74.9.</t>
  </si>
  <si>
    <t>220 u/mes — 5º volumen sostenido</t>
  </si>
  <si>
    <t>CV 0,77 — variable, con picos puntuales</t>
  </si>
  <si>
    <t>17 modelos · 3 géneros</t>
  </si>
  <si>
    <t>9,1 meses (6,7 PT + 2,4 tela) — flujo sano</t>
  </si>
  <si>
    <t>TOP 5 (#5). Score 74.0.</t>
  </si>
  <si>
    <t>147 u/mes</t>
  </si>
  <si>
    <t>CV 0,37 — 2ª demanda más estable</t>
  </si>
  <si>
    <t>15,6 meses (9,7 PT + 5,9 tela) — holgado</t>
  </si>
  <si>
    <t>ALTERNO (#6). Score 66.1. Intercambiable con Azul Lavanda si se prioriza estabilidad.</t>
  </si>
  <si>
    <t>97 u/mes</t>
  </si>
  <si>
    <t>CV 0,53 — moderada</t>
  </si>
  <si>
    <t>15 modelos · 3 géneros</t>
  </si>
  <si>
    <t>9,4 meses (5,7 PT + 3,6 tela) — sano</t>
  </si>
  <si>
    <t>#7. Score 64.4.</t>
  </si>
  <si>
    <t>113 u/mes</t>
  </si>
  <si>
    <t>CV 0,35 — muy estable</t>
  </si>
  <si>
    <t>15,8 meses (12,2 PT + 3,6 tela) — exceso, moderar producción</t>
  </si>
  <si>
    <t>#8. Score 63.6.</t>
  </si>
  <si>
    <t>122 u/mes</t>
  </si>
  <si>
    <t>CV 0,53 — estable</t>
  </si>
  <si>
    <t>14,0 meses (solo PT; sin tela en almacén, pero no urge)</t>
  </si>
  <si>
    <t>#9. Score 62.7. Buen desempeño de venta; no entra al top por volumen relativo, no por inmovilización — su PT sostiene 14 meses.</t>
  </si>
  <si>
    <t>89 u/mes</t>
  </si>
  <si>
    <t>CV 0,44 — estable</t>
  </si>
  <si>
    <t>15 modelos · 2 géneros</t>
  </si>
  <si>
    <t>11,1 meses (solo PT; sin consumo de tela activo)</t>
  </si>
  <si>
    <t>#10. Score 60.3.</t>
  </si>
  <si>
    <t>227 u/mes — 4º por volumen bruto</t>
  </si>
  <si>
    <t>CV 1,67 — el más volátil: 57% de la venta en un solo mes</t>
  </si>
  <si>
    <t>17 modelos · 2 géneros (79% dama)</t>
  </si>
  <si>
    <t>6,8 meses (4,2 PT + 2,7 tela) — la autonomía más baja del catálogo</t>
  </si>
  <si>
    <t>#11. Score 60.2. Demanda de tendencia, autonomía más ajustada del catálogo: gestionar por temporada. Prioridad #1 de una eventual compra de tela.</t>
  </si>
  <si>
    <t>137 u/mes</t>
  </si>
  <si>
    <t>CV 0,52 — moderada</t>
  </si>
  <si>
    <t>18,7 meses (12,5 PT + 6,2 tela) — exceso amplio</t>
  </si>
  <si>
    <t>#12. Score 60.0.</t>
  </si>
  <si>
    <t>62 u/mes</t>
  </si>
  <si>
    <t>16 modelos · 2 géneros</t>
  </si>
  <si>
    <t>14,4 meses (12,9 PT + 1,4 tela) — exceso</t>
  </si>
  <si>
    <t>#13. Score 54.0.</t>
  </si>
  <si>
    <t>55 u/mes</t>
  </si>
  <si>
    <t>CV 0,33 — estable</t>
  </si>
  <si>
    <t>14 modelos · 3 géneros</t>
  </si>
  <si>
    <t>26,8 meses (24,3 PT + 2,5 tela) — el caso extremo del catálogo</t>
  </si>
  <si>
    <t>#14. Score 47.5.</t>
  </si>
  <si>
    <t>Venta prom (u/mes)</t>
  </si>
  <si>
    <t>Inventario PT (u)</t>
  </si>
  <si>
    <t>Cobertura PT (meses)</t>
  </si>
  <si>
    <t>Tela en almacén (kg)</t>
  </si>
  <si>
    <t>Cobertura tela (meses)</t>
  </si>
  <si>
    <t>AUTONOMÍA TOTAL (meses)</t>
  </si>
  <si>
    <t>Estado</t>
  </si>
  <si>
    <t>Acción recomendada</t>
  </si>
  <si>
    <t>AJUSTADO</t>
  </si>
  <si>
    <t>Considerar para próxima compra de tela</t>
  </si>
  <si>
    <t>SANO</t>
  </si>
  <si>
    <t>Mantener; monitoreo mensual</t>
  </si>
  <si>
    <t>EXCESO</t>
  </si>
  <si>
    <t>No producir; redistribuir entre tiendas y rotar el stock existente</t>
  </si>
  <si>
    <t>INVENTARIOS ACTUALES — PRODUCTO TERMINADO Y TELA (14 colores activos, corte 10-ago-26)</t>
  </si>
  <si>
    <t>A) INVENTARIO PT POR COLOR Y MODELO (unidades, todas las ubicaciones)</t>
  </si>
  <si>
    <t>CLASICA</t>
  </si>
  <si>
    <t>LARISA</t>
  </si>
  <si>
    <t>MAFE</t>
  </si>
  <si>
    <t>MAR</t>
  </si>
  <si>
    <t>RIO</t>
  </si>
  <si>
    <t>VIVI</t>
  </si>
  <si>
    <t>ZOE</t>
  </si>
  <si>
    <t>TOTAL</t>
  </si>
  <si>
    <t>B) INVENTARIO PT POR UBICACIÓN (todos los colores, incluye marginales)</t>
  </si>
  <si>
    <t>Ubicación</t>
  </si>
  <si>
    <t>CERRO VERDE</t>
  </si>
  <si>
    <t>CHACAO</t>
  </si>
  <si>
    <t>GRANDPLAZ</t>
  </si>
  <si>
    <t>GRIETA</t>
  </si>
  <si>
    <t>SAMBIL</t>
  </si>
  <si>
    <t>TALLER PT</t>
  </si>
  <si>
    <t>TOLON</t>
  </si>
  <si>
    <t>VELA</t>
  </si>
  <si>
    <t>C) TELA EN ALMACÉN POR COLOR Y AUTONOMÍA TOTAL</t>
  </si>
  <si>
    <t>Kg en inventario</t>
  </si>
  <si>
    <t>Consumo de tela (kg/mes)</t>
  </si>
  <si>
    <t>ESTACIONALIDAD Y PROYECCIÓN (temporada Nov-Dic + apertura de tienda nueva)</t>
  </si>
  <si>
    <t>A) VENTA MENSUAL TOTAL E ÍNDICE ESTACIONAL (base = promedio de meses sin pico: 2.444 u/mes, todos los colores)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</si>
  <si>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</si>
  <si>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</si>
  <si>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</si>
  <si>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</si>
  <si>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</si>
  <si>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</si>
  <si>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</si>
  <si>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</si>
  <si>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</si>
  <si>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</si>
  <si>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Unidades vendidas</t>
  </si>
  <si>
    <t>Índice estacional</t>
  </si>
  <si>
    <t>Total</t>
  </si>
  <si>
    <t>C) PROYECCIÓN AGO-DIC 2026 POR COLOR (unidades)</t>
  </si>
  <si>
    <t>AGO (resto)</t>
  </si>
  <si>
    <t>SEP</t>
  </si>
  <si>
    <t>OCT</t>
  </si>
  <si>
    <t>NOV</t>
  </si>
  <si>
    <t>DIC</t>
  </si>
  <si>
    <t>Total Ago-Dic</t>
  </si>
  <si>
    <t>Supuestos de la proyección</t>
  </si>
  <si>
    <t xml:space="preserve"> 5 COLORES CON MEJOR ROTACIÓN Y MENOR RIESGO DE QUEDAR INMOVILIZADOS EN INVENTARIO</t>
  </si>
  <si>
    <t>1. NEGRO   ·   2. BLANCO   ·   3. AZUL MARINO   ·   4. VERDE MILITAR   ·   5. AZUL LAVANDA      (alterno: AZUL REY)</t>
  </si>
  <si>
    <t>ROTACIÓN Y RIESGO POR COLOR — AUTONOMÍA TOTAL (PT + TELA)</t>
  </si>
  <si>
    <t>B) VENTA MENSUAL POR COLOR (unidades) — 14 colores activos</t>
  </si>
  <si>
    <t>Proyección mensual = venta promedio del color × índice estacional del mes × factor de tienda nueva (+10% a partir de octubre). Agosto se prorratea al 67% restante del mes con índice 0,75.</t>
  </si>
  <si>
    <t>Usa la AUTONOMÍA TOTAL (PT + tela en serie), no la cobertura de PT sola. 100 puntos si autonomía ≤ 9,5 meses (8 meses de PT sano + 1,5 del lead time de tela); por encima, se descuentan 6 puntos por cada mes adicional.</t>
  </si>
  <si>
    <t>Autonomía total = Cobertura PT + Cobertura de tela . ≤ 9,5 meses = flujo sano · 9,5-15 = en observación · &gt; 15 = exceso de cobertura, moderar producción. CV bajo = demanda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</si>
</sst>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\1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name val="Arial"/>
      <charset val="1"/>
    </font>
    <font>
      <b/>
      <sz val="8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7"/>
        <bgColor rgb="FF1F3864"/>
      </patternFill>
    </fill>
    <fill>
      <patternFill patternType="solid">
        <fgColor rgb="FFD6DCE5"/>
        <bgColor rgb="FFC6EFCE"/>
      </patternFill>
    </fill>
    <fill>
      <patternFill patternType="solid">
        <fgColor rgb="FFC6EFCE"/>
        <bgColor rgb="FFD6DCE5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/>
    <xf numFmtId="0" fontId="3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64" fontId="4" fillId="5" borderId="1" xfId="0" applyNumberFormat="1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3" fontId="3" fillId="0" borderId="1" xfId="0" applyNumberFormat="1" applyFont="1" applyBorder="1"/>
    <xf numFmtId="3" fontId="3" fillId="4" borderId="1" xfId="0" applyNumberFormat="1" applyFont="1" applyFill="1" applyBorder="1"/>
    <xf numFmtId="165" fontId="4" fillId="0" borderId="1" xfId="0" applyNumberFormat="1" applyFont="1" applyBorder="1"/>
    <xf numFmtId="0" fontId="4" fillId="6" borderId="1" xfId="0" applyFont="1" applyFill="1" applyBorder="1"/>
    <xf numFmtId="0" fontId="4" fillId="5" borderId="1" xfId="0" applyFont="1" applyFill="1" applyBorder="1"/>
    <xf numFmtId="2" fontId="4" fillId="0" borderId="1" xfId="0" applyNumberFormat="1" applyFont="1" applyBorder="1"/>
    <xf numFmtId="2" fontId="4" fillId="7" borderId="1" xfId="0" applyNumberFormat="1" applyFont="1" applyFill="1" applyBorder="1"/>
    <xf numFmtId="2" fontId="4" fillId="6" borderId="1" xfId="0" applyNumberFormat="1" applyFont="1" applyFill="1" applyBorder="1"/>
    <xf numFmtId="0" fontId="3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3" fillId="6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Normal="100" workbookViewId="0">
      <selection activeCell="B22" sqref="B22"/>
    </sheetView>
  </sheetViews>
  <sheetFormatPr baseColWidth="10" defaultColWidth="8.7109375" defaultRowHeight="15" x14ac:dyDescent="0.25"/>
  <cols>
    <col min="1" max="1" width="40.85546875" bestFit="1" customWidth="1"/>
    <col min="2" max="2" width="105" customWidth="1"/>
  </cols>
  <sheetData>
    <row r="1" spans="1:10" ht="24" customHeight="1" x14ac:dyDescent="0.25">
      <c r="A1" s="39" t="s">
        <v>200</v>
      </c>
      <c r="B1" s="39"/>
      <c r="C1" s="39"/>
      <c r="D1" s="39"/>
      <c r="E1" s="39"/>
      <c r="F1" s="39"/>
      <c r="G1" s="39"/>
      <c r="H1" s="39"/>
      <c r="I1" s="39"/>
      <c r="J1" s="39"/>
    </row>
    <row r="3" spans="1:10" ht="30" customHeight="1" x14ac:dyDescent="0.25">
      <c r="A3" s="2" t="s">
        <v>201</v>
      </c>
      <c r="B3" s="2"/>
      <c r="C3" s="2"/>
      <c r="D3" s="2"/>
      <c r="E3" s="2"/>
      <c r="F3" s="2"/>
      <c r="G3" s="2"/>
      <c r="H3" s="2"/>
      <c r="I3" s="2"/>
      <c r="J3" s="2"/>
    </row>
    <row r="5" spans="1:10" ht="15" customHeight="1" x14ac:dyDescent="0.25">
      <c r="A5" s="31" t="s">
        <v>0</v>
      </c>
      <c r="B5" s="32"/>
      <c r="C5" s="32"/>
      <c r="D5" s="32"/>
      <c r="E5" s="32"/>
      <c r="F5" s="32"/>
      <c r="G5" s="32"/>
      <c r="H5" s="32"/>
      <c r="I5" s="32"/>
      <c r="J5" s="33"/>
    </row>
    <row r="6" spans="1:10" ht="39" customHeight="1" x14ac:dyDescent="0.25">
      <c r="A6" s="28" t="s">
        <v>1</v>
      </c>
      <c r="B6" s="29" t="s">
        <v>2</v>
      </c>
      <c r="C6" s="29"/>
      <c r="D6" s="29"/>
      <c r="E6" s="29"/>
      <c r="F6" s="29"/>
      <c r="G6" s="29"/>
      <c r="H6" s="29"/>
      <c r="I6" s="29"/>
      <c r="J6" s="29"/>
    </row>
    <row r="7" spans="1:10" ht="39" customHeight="1" x14ac:dyDescent="0.25">
      <c r="A7" s="28" t="s">
        <v>3</v>
      </c>
      <c r="B7" s="29" t="s">
        <v>4</v>
      </c>
      <c r="C7" s="29"/>
      <c r="D7" s="29"/>
      <c r="E7" s="29"/>
      <c r="F7" s="29"/>
      <c r="G7" s="29"/>
      <c r="H7" s="29"/>
      <c r="I7" s="29"/>
      <c r="J7" s="29"/>
    </row>
    <row r="8" spans="1:10" ht="39" customHeight="1" x14ac:dyDescent="0.25">
      <c r="A8" s="28" t="s">
        <v>5</v>
      </c>
      <c r="B8" s="29" t="s">
        <v>6</v>
      </c>
      <c r="C8" s="29"/>
      <c r="D8" s="29"/>
      <c r="E8" s="29"/>
      <c r="F8" s="29"/>
      <c r="G8" s="29"/>
      <c r="H8" s="29"/>
      <c r="I8" s="29"/>
      <c r="J8" s="29"/>
    </row>
    <row r="9" spans="1:10" ht="51.75" customHeight="1" x14ac:dyDescent="0.25">
      <c r="A9" s="28" t="s">
        <v>7</v>
      </c>
      <c r="B9" s="29" t="s">
        <v>8</v>
      </c>
      <c r="C9" s="29"/>
      <c r="D9" s="29"/>
      <c r="E9" s="29"/>
      <c r="F9" s="29"/>
      <c r="G9" s="29"/>
      <c r="H9" s="29"/>
      <c r="I9" s="29"/>
      <c r="J9" s="29"/>
    </row>
    <row r="10" spans="1:10" ht="25.5" customHeight="1" x14ac:dyDescent="0.25">
      <c r="A10" s="28" t="s">
        <v>9</v>
      </c>
      <c r="B10" s="29" t="s">
        <v>10</v>
      </c>
      <c r="C10" s="29"/>
      <c r="D10" s="29"/>
      <c r="E10" s="29"/>
      <c r="F10" s="29"/>
      <c r="G10" s="29"/>
      <c r="H10" s="29"/>
      <c r="I10" s="29"/>
      <c r="J10" s="29"/>
    </row>
    <row r="11" spans="1:10" ht="39" customHeight="1" x14ac:dyDescent="0.25">
      <c r="A11" s="30" t="s">
        <v>11</v>
      </c>
      <c r="B11" s="29" t="s">
        <v>12</v>
      </c>
      <c r="C11" s="29"/>
      <c r="D11" s="29"/>
      <c r="E11" s="29"/>
      <c r="F11" s="29"/>
      <c r="G11" s="29"/>
      <c r="H11" s="29"/>
      <c r="I11" s="29"/>
      <c r="J11" s="29"/>
    </row>
    <row r="14" spans="1:10" ht="15" customHeight="1" x14ac:dyDescent="0.25">
      <c r="A14" s="34" t="s">
        <v>13</v>
      </c>
      <c r="B14" s="34"/>
      <c r="C14" s="34"/>
      <c r="D14" s="34"/>
      <c r="E14" s="34"/>
      <c r="F14" s="34"/>
      <c r="G14" s="34"/>
      <c r="H14" s="34"/>
      <c r="I14" s="34"/>
      <c r="J14" s="34"/>
    </row>
    <row r="15" spans="1:10" ht="25.5" customHeight="1" x14ac:dyDescent="0.25">
      <c r="A15" s="36" t="s">
        <v>14</v>
      </c>
      <c r="B15" s="37" t="s">
        <v>15</v>
      </c>
      <c r="C15" s="37"/>
      <c r="D15" s="37"/>
      <c r="E15" s="37"/>
      <c r="F15" s="37"/>
      <c r="G15" s="37"/>
      <c r="H15" s="37"/>
      <c r="I15" s="37"/>
      <c r="J15" s="37"/>
    </row>
    <row r="16" spans="1:10" ht="56.25" customHeight="1" x14ac:dyDescent="0.25">
      <c r="A16" s="36" t="s">
        <v>16</v>
      </c>
      <c r="B16" s="37" t="s">
        <v>17</v>
      </c>
      <c r="C16" s="37"/>
      <c r="D16" s="37"/>
      <c r="E16" s="37"/>
      <c r="F16" s="37"/>
      <c r="G16" s="37"/>
      <c r="H16" s="37"/>
      <c r="I16" s="37"/>
      <c r="J16" s="37"/>
    </row>
    <row r="17" spans="1:10" ht="32.25" customHeight="1" x14ac:dyDescent="0.25">
      <c r="A17" s="36" t="s">
        <v>18</v>
      </c>
      <c r="B17" s="37" t="s">
        <v>19</v>
      </c>
      <c r="C17" s="37"/>
      <c r="D17" s="37"/>
      <c r="E17" s="37"/>
      <c r="F17" s="37"/>
      <c r="G17" s="37"/>
      <c r="H17" s="37"/>
      <c r="I17" s="37"/>
      <c r="J17" s="37"/>
    </row>
    <row r="18" spans="1:10" ht="28.5" customHeight="1" x14ac:dyDescent="0.25">
      <c r="A18" s="36" t="s">
        <v>20</v>
      </c>
      <c r="B18" s="37" t="s">
        <v>205</v>
      </c>
      <c r="C18" s="37"/>
      <c r="D18" s="37"/>
      <c r="E18" s="37"/>
      <c r="F18" s="37"/>
      <c r="G18" s="37"/>
      <c r="H18" s="37"/>
      <c r="I18" s="37"/>
      <c r="J18" s="37"/>
    </row>
    <row r="19" spans="1:10" ht="25.5" customHeight="1" x14ac:dyDescent="0.25">
      <c r="A19" s="35" t="s">
        <v>21</v>
      </c>
      <c r="B19" s="29" t="s">
        <v>22</v>
      </c>
      <c r="C19" s="29"/>
      <c r="D19" s="29"/>
      <c r="E19" s="29"/>
      <c r="F19" s="29"/>
      <c r="G19" s="29"/>
      <c r="H19" s="29"/>
      <c r="I19" s="29"/>
      <c r="J19" s="29"/>
    </row>
  </sheetData>
  <mergeCells count="15">
    <mergeCell ref="B18:J18"/>
    <mergeCell ref="B19:J19"/>
    <mergeCell ref="A5:J5"/>
    <mergeCell ref="A14:J14"/>
    <mergeCell ref="B15:J15"/>
    <mergeCell ref="B16:J16"/>
    <mergeCell ref="B17:J17"/>
    <mergeCell ref="B7:J7"/>
    <mergeCell ref="B8:J8"/>
    <mergeCell ref="B9:J9"/>
    <mergeCell ref="B10:J10"/>
    <mergeCell ref="B11:J11"/>
    <mergeCell ref="A1:J1"/>
    <mergeCell ref="A3:J3"/>
    <mergeCell ref="B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zoomScaleNormal="100" workbookViewId="0">
      <selection activeCell="J20" sqref="J20"/>
    </sheetView>
  </sheetViews>
  <sheetFormatPr baseColWidth="10" defaultColWidth="8.7109375" defaultRowHeight="15" x14ac:dyDescent="0.25"/>
  <cols>
    <col min="1" max="1" width="4" customWidth="1"/>
    <col min="2" max="2" width="16" customWidth="1"/>
    <col min="3" max="3" width="11" customWidth="1"/>
    <col min="4" max="4" width="17.140625" customWidth="1"/>
    <col min="5" max="5" width="9" customWidth="1"/>
    <col min="6" max="6" width="7" customWidth="1"/>
    <col min="7" max="8" width="9" customWidth="1"/>
    <col min="9" max="9" width="13" customWidth="1"/>
    <col min="10" max="10" width="9" customWidth="1"/>
    <col min="11" max="11" width="10" customWidth="1"/>
    <col min="12" max="12" width="18.42578125" customWidth="1"/>
    <col min="13" max="13" width="13" customWidth="1"/>
    <col min="14" max="14" width="8" customWidth="1"/>
    <col min="15" max="15" width="32" customWidth="1"/>
  </cols>
  <sheetData>
    <row r="1" spans="1:15" ht="24" customHeight="1" x14ac:dyDescent="0.25">
      <c r="A1" s="3" t="s">
        <v>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5" ht="51" customHeight="1" x14ac:dyDescent="0.25">
      <c r="A3" s="5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37</v>
      </c>
      <c r="O3" s="5" t="s">
        <v>38</v>
      </c>
    </row>
    <row r="4" spans="1:15" ht="15" customHeight="1" x14ac:dyDescent="0.25">
      <c r="A4" s="6">
        <v>1</v>
      </c>
      <c r="B4" s="7" t="s">
        <v>39</v>
      </c>
      <c r="C4" s="8">
        <v>425.6</v>
      </c>
      <c r="D4" s="6" t="s">
        <v>40</v>
      </c>
      <c r="E4" s="6">
        <v>19</v>
      </c>
      <c r="F4" s="6">
        <v>3</v>
      </c>
      <c r="G4" s="6">
        <v>7.2</v>
      </c>
      <c r="H4" s="6">
        <v>4</v>
      </c>
      <c r="I4" s="9">
        <v>11.2</v>
      </c>
      <c r="J4" s="6">
        <v>100</v>
      </c>
      <c r="K4" s="6">
        <v>96</v>
      </c>
      <c r="L4" s="6">
        <v>100</v>
      </c>
      <c r="M4" s="6">
        <v>90</v>
      </c>
      <c r="N4" s="7">
        <v>97.5</v>
      </c>
      <c r="O4" s="6" t="s">
        <v>41</v>
      </c>
    </row>
    <row r="5" spans="1:15" ht="15" customHeight="1" x14ac:dyDescent="0.25">
      <c r="A5" s="6">
        <v>2</v>
      </c>
      <c r="B5" s="7" t="s">
        <v>42</v>
      </c>
      <c r="C5" s="8">
        <v>345</v>
      </c>
      <c r="D5" s="6" t="s">
        <v>43</v>
      </c>
      <c r="E5" s="6">
        <v>18</v>
      </c>
      <c r="F5" s="6">
        <v>3</v>
      </c>
      <c r="G5" s="6">
        <v>6.6</v>
      </c>
      <c r="H5" s="6">
        <v>5.9</v>
      </c>
      <c r="I5" s="9">
        <v>12.5</v>
      </c>
      <c r="J5" s="6">
        <v>81</v>
      </c>
      <c r="K5" s="6">
        <v>100</v>
      </c>
      <c r="L5" s="6">
        <v>97</v>
      </c>
      <c r="M5" s="6">
        <v>82</v>
      </c>
      <c r="N5" s="7">
        <v>89.2</v>
      </c>
      <c r="O5" s="6" t="s">
        <v>41</v>
      </c>
    </row>
    <row r="6" spans="1:15" ht="21.75" customHeight="1" x14ac:dyDescent="0.25">
      <c r="A6" s="6">
        <v>3</v>
      </c>
      <c r="B6" s="7" t="s">
        <v>44</v>
      </c>
      <c r="C6" s="8">
        <v>321.39999999999998</v>
      </c>
      <c r="D6" s="6" t="s">
        <v>45</v>
      </c>
      <c r="E6" s="6">
        <v>18</v>
      </c>
      <c r="F6" s="6">
        <v>3</v>
      </c>
      <c r="G6" s="6">
        <v>5.7</v>
      </c>
      <c r="H6" s="6">
        <v>4.9000000000000004</v>
      </c>
      <c r="I6" s="9">
        <v>10.7</v>
      </c>
      <c r="J6" s="6">
        <v>76</v>
      </c>
      <c r="K6" s="6">
        <v>87</v>
      </c>
      <c r="L6" s="6">
        <v>97</v>
      </c>
      <c r="M6" s="6">
        <v>93</v>
      </c>
      <c r="N6" s="7">
        <v>85.4</v>
      </c>
      <c r="O6" s="6" t="s">
        <v>41</v>
      </c>
    </row>
    <row r="7" spans="1:15" ht="21.75" customHeight="1" x14ac:dyDescent="0.25">
      <c r="A7" s="6">
        <v>4</v>
      </c>
      <c r="B7" s="7" t="s">
        <v>46</v>
      </c>
      <c r="C7" s="8">
        <v>198.7</v>
      </c>
      <c r="D7" s="6" t="s">
        <v>47</v>
      </c>
      <c r="E7" s="6">
        <v>16</v>
      </c>
      <c r="F7" s="6">
        <v>3</v>
      </c>
      <c r="G7" s="6">
        <v>8.4</v>
      </c>
      <c r="H7" s="6">
        <v>1.6</v>
      </c>
      <c r="I7" s="9">
        <v>10</v>
      </c>
      <c r="J7" s="6">
        <v>47</v>
      </c>
      <c r="K7" s="6">
        <v>93</v>
      </c>
      <c r="L7" s="6">
        <v>92</v>
      </c>
      <c r="M7" s="6">
        <v>97</v>
      </c>
      <c r="N7" s="7">
        <v>74.900000000000006</v>
      </c>
      <c r="O7" s="6" t="s">
        <v>41</v>
      </c>
    </row>
    <row r="8" spans="1:15" ht="15" customHeight="1" x14ac:dyDescent="0.25">
      <c r="A8" s="6">
        <v>5</v>
      </c>
      <c r="B8" s="7" t="s">
        <v>48</v>
      </c>
      <c r="C8" s="8">
        <v>219.9</v>
      </c>
      <c r="D8" s="6" t="s">
        <v>49</v>
      </c>
      <c r="E8" s="6">
        <v>17</v>
      </c>
      <c r="F8" s="6">
        <v>3</v>
      </c>
      <c r="G8" s="6">
        <v>6.7</v>
      </c>
      <c r="H8" s="6">
        <v>2.4</v>
      </c>
      <c r="I8" s="6">
        <v>9.1</v>
      </c>
      <c r="J8" s="6">
        <v>52</v>
      </c>
      <c r="K8" s="6">
        <v>77</v>
      </c>
      <c r="L8" s="6">
        <v>95</v>
      </c>
      <c r="M8" s="6">
        <v>100</v>
      </c>
      <c r="N8" s="7">
        <v>74</v>
      </c>
      <c r="O8" s="6" t="s">
        <v>41</v>
      </c>
    </row>
    <row r="9" spans="1:15" ht="15" customHeight="1" x14ac:dyDescent="0.25">
      <c r="A9" s="10">
        <v>6</v>
      </c>
      <c r="B9" s="10" t="s">
        <v>50</v>
      </c>
      <c r="C9" s="11">
        <v>146.69999999999999</v>
      </c>
      <c r="D9" s="10" t="s">
        <v>51</v>
      </c>
      <c r="E9" s="10">
        <v>16</v>
      </c>
      <c r="F9" s="10">
        <v>3</v>
      </c>
      <c r="G9" s="10">
        <v>9.6999999999999993</v>
      </c>
      <c r="H9" s="10">
        <v>5.9</v>
      </c>
      <c r="I9" s="12">
        <v>15.6</v>
      </c>
      <c r="J9" s="10">
        <v>34</v>
      </c>
      <c r="K9" s="10">
        <v>98</v>
      </c>
      <c r="L9" s="10">
        <v>92</v>
      </c>
      <c r="M9" s="10">
        <v>63</v>
      </c>
      <c r="N9" s="13">
        <v>66.099999999999994</v>
      </c>
      <c r="O9" s="9" t="s">
        <v>52</v>
      </c>
    </row>
    <row r="10" spans="1:15" ht="21.75" customHeight="1" x14ac:dyDescent="0.25">
      <c r="A10" s="10">
        <v>7</v>
      </c>
      <c r="B10" s="10" t="s">
        <v>53</v>
      </c>
      <c r="C10" s="11">
        <v>97.1</v>
      </c>
      <c r="D10" s="10" t="s">
        <v>54</v>
      </c>
      <c r="E10" s="10">
        <v>15</v>
      </c>
      <c r="F10" s="10">
        <v>3</v>
      </c>
      <c r="G10" s="10">
        <v>5.7</v>
      </c>
      <c r="H10" s="10">
        <v>3.6</v>
      </c>
      <c r="I10" s="6">
        <v>9.4</v>
      </c>
      <c r="J10" s="10">
        <v>23</v>
      </c>
      <c r="K10" s="10">
        <v>90</v>
      </c>
      <c r="L10" s="10">
        <v>89</v>
      </c>
      <c r="M10" s="10">
        <v>100</v>
      </c>
      <c r="N10" s="13">
        <v>64.400000000000006</v>
      </c>
      <c r="O10" s="9" t="s">
        <v>55</v>
      </c>
    </row>
    <row r="11" spans="1:15" ht="15" customHeight="1" x14ac:dyDescent="0.25">
      <c r="A11" s="10">
        <v>8</v>
      </c>
      <c r="B11" s="10" t="s">
        <v>56</v>
      </c>
      <c r="C11" s="11">
        <v>113.3</v>
      </c>
      <c r="D11" s="10" t="s">
        <v>57</v>
      </c>
      <c r="E11" s="10">
        <v>17</v>
      </c>
      <c r="F11" s="10">
        <v>3</v>
      </c>
      <c r="G11" s="10">
        <v>12.2</v>
      </c>
      <c r="H11" s="10">
        <v>3.6</v>
      </c>
      <c r="I11" s="12">
        <v>15.8</v>
      </c>
      <c r="J11" s="10">
        <v>27</v>
      </c>
      <c r="K11" s="10">
        <v>99</v>
      </c>
      <c r="L11" s="10">
        <v>95</v>
      </c>
      <c r="M11" s="10">
        <v>62</v>
      </c>
      <c r="N11" s="13">
        <v>63.6</v>
      </c>
      <c r="O11" s="12" t="s">
        <v>58</v>
      </c>
    </row>
    <row r="12" spans="1:15" ht="21.75" customHeight="1" x14ac:dyDescent="0.25">
      <c r="A12" s="10">
        <v>9</v>
      </c>
      <c r="B12" s="10" t="s">
        <v>59</v>
      </c>
      <c r="C12" s="11">
        <v>121.5</v>
      </c>
      <c r="D12" s="10" t="s">
        <v>54</v>
      </c>
      <c r="E12" s="10">
        <v>15</v>
      </c>
      <c r="F12" s="10">
        <v>3</v>
      </c>
      <c r="G12" s="10">
        <v>14</v>
      </c>
      <c r="H12" s="10">
        <v>0</v>
      </c>
      <c r="I12" s="9">
        <v>14</v>
      </c>
      <c r="J12" s="10">
        <v>29</v>
      </c>
      <c r="K12" s="10">
        <v>90</v>
      </c>
      <c r="L12" s="10">
        <v>89</v>
      </c>
      <c r="M12" s="10">
        <v>73</v>
      </c>
      <c r="N12" s="13">
        <v>62.7</v>
      </c>
      <c r="O12" s="9" t="s">
        <v>55</v>
      </c>
    </row>
    <row r="13" spans="1:15" ht="21.75" customHeight="1" x14ac:dyDescent="0.25">
      <c r="A13" s="10">
        <v>10</v>
      </c>
      <c r="B13" s="10" t="s">
        <v>60</v>
      </c>
      <c r="C13" s="11">
        <v>88.7</v>
      </c>
      <c r="D13" s="10" t="s">
        <v>61</v>
      </c>
      <c r="E13" s="10">
        <v>15</v>
      </c>
      <c r="F13" s="10">
        <v>2</v>
      </c>
      <c r="G13" s="10">
        <v>11.1</v>
      </c>
      <c r="H13" s="10">
        <v>0</v>
      </c>
      <c r="I13" s="9">
        <v>11.1</v>
      </c>
      <c r="J13" s="10">
        <v>21</v>
      </c>
      <c r="K13" s="10">
        <v>95</v>
      </c>
      <c r="L13" s="10">
        <v>73</v>
      </c>
      <c r="M13" s="10">
        <v>91</v>
      </c>
      <c r="N13" s="13">
        <v>60.3</v>
      </c>
      <c r="O13" s="9" t="s">
        <v>55</v>
      </c>
    </row>
    <row r="14" spans="1:15" ht="33.75" customHeight="1" x14ac:dyDescent="0.25">
      <c r="A14" s="10">
        <v>11</v>
      </c>
      <c r="B14" s="10" t="s">
        <v>62</v>
      </c>
      <c r="C14" s="11">
        <v>227.5</v>
      </c>
      <c r="D14" s="10" t="s">
        <v>63</v>
      </c>
      <c r="E14" s="10">
        <v>17</v>
      </c>
      <c r="F14" s="10">
        <v>2</v>
      </c>
      <c r="G14" s="10">
        <v>4.2</v>
      </c>
      <c r="H14" s="10">
        <v>2.7</v>
      </c>
      <c r="I14" s="6">
        <v>6.8</v>
      </c>
      <c r="J14" s="10">
        <v>53</v>
      </c>
      <c r="K14" s="10">
        <v>33</v>
      </c>
      <c r="L14" s="10">
        <v>78</v>
      </c>
      <c r="M14" s="10">
        <v>100</v>
      </c>
      <c r="N14" s="13">
        <v>60.2</v>
      </c>
      <c r="O14" s="9" t="s">
        <v>64</v>
      </c>
    </row>
    <row r="15" spans="1:15" ht="21.75" customHeight="1" x14ac:dyDescent="0.25">
      <c r="A15" s="10">
        <v>12</v>
      </c>
      <c r="B15" s="10" t="s">
        <v>65</v>
      </c>
      <c r="C15" s="11">
        <v>137.19999999999999</v>
      </c>
      <c r="D15" s="10" t="s">
        <v>66</v>
      </c>
      <c r="E15" s="10">
        <v>15</v>
      </c>
      <c r="F15" s="10">
        <v>3</v>
      </c>
      <c r="G15" s="10">
        <v>12.5</v>
      </c>
      <c r="H15" s="10">
        <v>6.2</v>
      </c>
      <c r="I15" s="12">
        <v>18.7</v>
      </c>
      <c r="J15" s="10">
        <v>32</v>
      </c>
      <c r="K15" s="10">
        <v>90</v>
      </c>
      <c r="L15" s="10">
        <v>89</v>
      </c>
      <c r="M15" s="10">
        <v>45</v>
      </c>
      <c r="N15" s="13">
        <v>60</v>
      </c>
      <c r="O15" s="12" t="s">
        <v>58</v>
      </c>
    </row>
    <row r="16" spans="1:15" ht="21.75" customHeight="1" x14ac:dyDescent="0.25">
      <c r="A16" s="10">
        <v>13</v>
      </c>
      <c r="B16" s="10" t="s">
        <v>67</v>
      </c>
      <c r="C16" s="11">
        <v>61.6</v>
      </c>
      <c r="D16" s="10" t="s">
        <v>66</v>
      </c>
      <c r="E16" s="10">
        <v>16</v>
      </c>
      <c r="F16" s="10">
        <v>2</v>
      </c>
      <c r="G16" s="10">
        <v>12.9</v>
      </c>
      <c r="H16" s="10">
        <v>1.4</v>
      </c>
      <c r="I16" s="9">
        <v>14.4</v>
      </c>
      <c r="J16" s="10">
        <v>14</v>
      </c>
      <c r="K16" s="10">
        <v>90</v>
      </c>
      <c r="L16" s="10">
        <v>75</v>
      </c>
      <c r="M16" s="10">
        <v>71</v>
      </c>
      <c r="N16" s="13">
        <v>54</v>
      </c>
      <c r="O16" s="12" t="s">
        <v>58</v>
      </c>
    </row>
    <row r="17" spans="1:15" ht="15" customHeight="1" x14ac:dyDescent="0.25">
      <c r="A17" s="10">
        <v>14</v>
      </c>
      <c r="B17" s="10" t="s">
        <v>68</v>
      </c>
      <c r="C17" s="11">
        <v>54.6</v>
      </c>
      <c r="D17" s="10" t="s">
        <v>43</v>
      </c>
      <c r="E17" s="10">
        <v>14</v>
      </c>
      <c r="F17" s="10">
        <v>3</v>
      </c>
      <c r="G17" s="10">
        <v>24.3</v>
      </c>
      <c r="H17" s="10">
        <v>2.5</v>
      </c>
      <c r="I17" s="12">
        <v>26.8</v>
      </c>
      <c r="J17" s="10">
        <v>13</v>
      </c>
      <c r="K17" s="10">
        <v>100</v>
      </c>
      <c r="L17" s="10">
        <v>87</v>
      </c>
      <c r="M17" s="10">
        <v>0</v>
      </c>
      <c r="N17" s="13">
        <v>47.5</v>
      </c>
      <c r="O17" s="12" t="s">
        <v>58</v>
      </c>
    </row>
    <row r="18" spans="1:15" ht="51.75" customHeight="1" x14ac:dyDescent="0.25">
      <c r="A18" s="4" t="s">
        <v>69</v>
      </c>
      <c r="B18" s="1" t="s">
        <v>206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</sheetData>
  <mergeCells count="2">
    <mergeCell ref="A1:M1"/>
    <mergeCell ref="B18:O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zoomScaleNormal="100" workbookViewId="0">
      <selection activeCell="E6" sqref="E6"/>
    </sheetView>
  </sheetViews>
  <sheetFormatPr baseColWidth="10" defaultColWidth="8.7109375" defaultRowHeight="15" x14ac:dyDescent="0.25"/>
  <cols>
    <col min="1" max="1" width="14" customWidth="1"/>
    <col min="2" max="5" width="28" customWidth="1"/>
    <col min="6" max="6" width="48" customWidth="1"/>
  </cols>
  <sheetData>
    <row r="1" spans="1:7" ht="24" customHeight="1" x14ac:dyDescent="0.25">
      <c r="A1" s="3" t="s">
        <v>70</v>
      </c>
      <c r="B1" s="3"/>
      <c r="C1" s="3"/>
      <c r="D1" s="3"/>
      <c r="E1" s="3"/>
      <c r="F1" s="3"/>
      <c r="G1" s="3"/>
    </row>
    <row r="3" spans="1:7" ht="24" customHeight="1" x14ac:dyDescent="0.25">
      <c r="A3" s="5" t="s">
        <v>25</v>
      </c>
      <c r="B3" s="5" t="s">
        <v>71</v>
      </c>
      <c r="C3" s="5" t="s">
        <v>72</v>
      </c>
      <c r="D3" s="5" t="s">
        <v>73</v>
      </c>
      <c r="E3" s="5" t="s">
        <v>74</v>
      </c>
      <c r="F3" s="5" t="s">
        <v>75</v>
      </c>
    </row>
    <row r="4" spans="1:7" ht="27" customHeight="1" x14ac:dyDescent="0.25">
      <c r="A4" s="7" t="s">
        <v>39</v>
      </c>
      <c r="B4" s="10" t="s">
        <v>76</v>
      </c>
      <c r="C4" s="10" t="s">
        <v>77</v>
      </c>
      <c r="D4" s="10" t="s">
        <v>78</v>
      </c>
      <c r="E4" s="10" t="s">
        <v>79</v>
      </c>
      <c r="F4" s="10" t="s">
        <v>80</v>
      </c>
    </row>
    <row r="5" spans="1:7" ht="27" customHeight="1" x14ac:dyDescent="0.25">
      <c r="A5" s="7" t="s">
        <v>42</v>
      </c>
      <c r="B5" s="10" t="s">
        <v>81</v>
      </c>
      <c r="C5" s="10" t="s">
        <v>82</v>
      </c>
      <c r="D5" s="10" t="s">
        <v>83</v>
      </c>
      <c r="E5" s="10" t="s">
        <v>84</v>
      </c>
      <c r="F5" s="10" t="s">
        <v>85</v>
      </c>
    </row>
    <row r="6" spans="1:7" ht="27" customHeight="1" x14ac:dyDescent="0.25">
      <c r="A6" s="7" t="s">
        <v>44</v>
      </c>
      <c r="B6" s="10" t="s">
        <v>86</v>
      </c>
      <c r="C6" s="10" t="s">
        <v>87</v>
      </c>
      <c r="D6" s="10" t="s">
        <v>83</v>
      </c>
      <c r="E6" s="10" t="s">
        <v>88</v>
      </c>
      <c r="F6" s="10" t="s">
        <v>89</v>
      </c>
    </row>
    <row r="7" spans="1:7" ht="27" customHeight="1" x14ac:dyDescent="0.25">
      <c r="A7" s="7" t="s">
        <v>46</v>
      </c>
      <c r="B7" s="10" t="s">
        <v>90</v>
      </c>
      <c r="C7" s="10" t="s">
        <v>91</v>
      </c>
      <c r="D7" s="10" t="s">
        <v>92</v>
      </c>
      <c r="E7" s="10" t="s">
        <v>93</v>
      </c>
      <c r="F7" s="10" t="s">
        <v>94</v>
      </c>
    </row>
    <row r="8" spans="1:7" ht="27" customHeight="1" x14ac:dyDescent="0.25">
      <c r="A8" s="7" t="s">
        <v>48</v>
      </c>
      <c r="B8" s="10" t="s">
        <v>95</v>
      </c>
      <c r="C8" s="10" t="s">
        <v>96</v>
      </c>
      <c r="D8" s="10" t="s">
        <v>97</v>
      </c>
      <c r="E8" s="10" t="s">
        <v>98</v>
      </c>
      <c r="F8" s="10" t="s">
        <v>99</v>
      </c>
    </row>
    <row r="9" spans="1:7" ht="27" customHeight="1" x14ac:dyDescent="0.25">
      <c r="A9" s="14" t="s">
        <v>50</v>
      </c>
      <c r="B9" s="10" t="s">
        <v>100</v>
      </c>
      <c r="C9" s="10" t="s">
        <v>101</v>
      </c>
      <c r="D9" s="10" t="s">
        <v>92</v>
      </c>
      <c r="E9" s="10" t="s">
        <v>102</v>
      </c>
      <c r="F9" s="10" t="s">
        <v>103</v>
      </c>
    </row>
    <row r="10" spans="1:7" ht="27" customHeight="1" x14ac:dyDescent="0.25">
      <c r="A10" s="14" t="s">
        <v>53</v>
      </c>
      <c r="B10" s="10" t="s">
        <v>104</v>
      </c>
      <c r="C10" s="10" t="s">
        <v>105</v>
      </c>
      <c r="D10" s="10" t="s">
        <v>106</v>
      </c>
      <c r="E10" s="10" t="s">
        <v>107</v>
      </c>
      <c r="F10" s="10" t="s">
        <v>108</v>
      </c>
    </row>
    <row r="11" spans="1:7" ht="27" customHeight="1" x14ac:dyDescent="0.25">
      <c r="A11" s="15" t="s">
        <v>56</v>
      </c>
      <c r="B11" s="10" t="s">
        <v>109</v>
      </c>
      <c r="C11" s="10" t="s">
        <v>110</v>
      </c>
      <c r="D11" s="10" t="s">
        <v>97</v>
      </c>
      <c r="E11" s="10" t="s">
        <v>111</v>
      </c>
      <c r="F11" s="10" t="s">
        <v>112</v>
      </c>
    </row>
    <row r="12" spans="1:7" ht="27" customHeight="1" x14ac:dyDescent="0.25">
      <c r="A12" s="14" t="s">
        <v>59</v>
      </c>
      <c r="B12" s="10" t="s">
        <v>113</v>
      </c>
      <c r="C12" s="10" t="s">
        <v>114</v>
      </c>
      <c r="D12" s="10" t="s">
        <v>106</v>
      </c>
      <c r="E12" s="10" t="s">
        <v>115</v>
      </c>
      <c r="F12" s="10" t="s">
        <v>116</v>
      </c>
    </row>
    <row r="13" spans="1:7" ht="27" customHeight="1" x14ac:dyDescent="0.25">
      <c r="A13" s="14" t="s">
        <v>60</v>
      </c>
      <c r="B13" s="10" t="s">
        <v>117</v>
      </c>
      <c r="C13" s="10" t="s">
        <v>118</v>
      </c>
      <c r="D13" s="10" t="s">
        <v>119</v>
      </c>
      <c r="E13" s="10" t="s">
        <v>120</v>
      </c>
      <c r="F13" s="10" t="s">
        <v>121</v>
      </c>
    </row>
    <row r="14" spans="1:7" ht="27" customHeight="1" x14ac:dyDescent="0.25">
      <c r="A14" s="14" t="s">
        <v>62</v>
      </c>
      <c r="B14" s="10" t="s">
        <v>122</v>
      </c>
      <c r="C14" s="10" t="s">
        <v>123</v>
      </c>
      <c r="D14" s="10" t="s">
        <v>124</v>
      </c>
      <c r="E14" s="10" t="s">
        <v>125</v>
      </c>
      <c r="F14" s="10" t="s">
        <v>126</v>
      </c>
    </row>
    <row r="15" spans="1:7" ht="27" customHeight="1" x14ac:dyDescent="0.25">
      <c r="A15" s="15" t="s">
        <v>65</v>
      </c>
      <c r="B15" s="10" t="s">
        <v>127</v>
      </c>
      <c r="C15" s="10" t="s">
        <v>128</v>
      </c>
      <c r="D15" s="10" t="s">
        <v>106</v>
      </c>
      <c r="E15" s="10" t="s">
        <v>129</v>
      </c>
      <c r="F15" s="10" t="s">
        <v>130</v>
      </c>
    </row>
    <row r="16" spans="1:7" ht="27" customHeight="1" x14ac:dyDescent="0.25">
      <c r="A16" s="15" t="s">
        <v>67</v>
      </c>
      <c r="B16" s="10" t="s">
        <v>131</v>
      </c>
      <c r="C16" s="10" t="s">
        <v>105</v>
      </c>
      <c r="D16" s="10" t="s">
        <v>132</v>
      </c>
      <c r="E16" s="10" t="s">
        <v>133</v>
      </c>
      <c r="F16" s="10" t="s">
        <v>134</v>
      </c>
    </row>
    <row r="17" spans="1:6" ht="27" customHeight="1" x14ac:dyDescent="0.25">
      <c r="A17" s="15" t="s">
        <v>68</v>
      </c>
      <c r="B17" s="10" t="s">
        <v>135</v>
      </c>
      <c r="C17" s="10" t="s">
        <v>136</v>
      </c>
      <c r="D17" s="10" t="s">
        <v>137</v>
      </c>
      <c r="E17" s="10" t="s">
        <v>138</v>
      </c>
      <c r="F17" s="10" t="s">
        <v>139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zoomScaleNormal="100" workbookViewId="0">
      <selection sqref="A1:K1"/>
    </sheetView>
  </sheetViews>
  <sheetFormatPr baseColWidth="10" defaultColWidth="8.7109375" defaultRowHeight="15" x14ac:dyDescent="0.25"/>
  <cols>
    <col min="1" max="1" width="16" customWidth="1"/>
    <col min="2" max="7" width="13" customWidth="1"/>
    <col min="8" max="8" width="12" customWidth="1"/>
    <col min="9" max="9" width="48" customWidth="1"/>
  </cols>
  <sheetData>
    <row r="1" spans="1:11" ht="24" customHeight="1" x14ac:dyDescent="0.25">
      <c r="A1" s="38" t="s">
        <v>202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3" spans="1:11" ht="18.75" customHeight="1" x14ac:dyDescent="0.25">
      <c r="A3" s="5" t="s">
        <v>25</v>
      </c>
      <c r="B3" s="5" t="s">
        <v>140</v>
      </c>
      <c r="C3" s="5" t="s">
        <v>141</v>
      </c>
      <c r="D3" s="5" t="s">
        <v>142</v>
      </c>
      <c r="E3" s="5" t="s">
        <v>143</v>
      </c>
      <c r="F3" s="5" t="s">
        <v>144</v>
      </c>
      <c r="G3" s="5" t="s">
        <v>145</v>
      </c>
      <c r="H3" s="5" t="s">
        <v>146</v>
      </c>
      <c r="I3" s="5" t="s">
        <v>147</v>
      </c>
    </row>
    <row r="4" spans="1:11" ht="15" customHeight="1" x14ac:dyDescent="0.25">
      <c r="A4" s="10" t="s">
        <v>62</v>
      </c>
      <c r="B4" s="11">
        <v>227.5</v>
      </c>
      <c r="C4" s="16">
        <v>947</v>
      </c>
      <c r="D4" s="10">
        <v>4.2</v>
      </c>
      <c r="E4" s="16">
        <v>188</v>
      </c>
      <c r="F4" s="10">
        <v>2.7</v>
      </c>
      <c r="G4" s="10">
        <v>6.8</v>
      </c>
      <c r="H4" s="14" t="s">
        <v>148</v>
      </c>
      <c r="I4" s="10" t="s">
        <v>149</v>
      </c>
    </row>
    <row r="5" spans="1:11" ht="15" customHeight="1" x14ac:dyDescent="0.25">
      <c r="A5" s="10" t="s">
        <v>48</v>
      </c>
      <c r="B5" s="11">
        <v>219.9</v>
      </c>
      <c r="C5" s="16">
        <v>1480</v>
      </c>
      <c r="D5" s="10">
        <v>6.7</v>
      </c>
      <c r="E5" s="16">
        <v>221</v>
      </c>
      <c r="F5" s="10">
        <v>2.4</v>
      </c>
      <c r="G5" s="10">
        <v>9.1</v>
      </c>
      <c r="H5" s="14" t="s">
        <v>148</v>
      </c>
      <c r="I5" s="10" t="s">
        <v>149</v>
      </c>
    </row>
    <row r="6" spans="1:11" ht="15" customHeight="1" x14ac:dyDescent="0.25">
      <c r="A6" s="10" t="s">
        <v>53</v>
      </c>
      <c r="B6" s="11">
        <v>97.1</v>
      </c>
      <c r="C6" s="16">
        <v>557</v>
      </c>
      <c r="D6" s="10">
        <v>5.7</v>
      </c>
      <c r="E6" s="16">
        <v>163</v>
      </c>
      <c r="F6" s="10">
        <v>3.6</v>
      </c>
      <c r="G6" s="10">
        <v>9.4</v>
      </c>
      <c r="H6" s="14" t="s">
        <v>148</v>
      </c>
      <c r="I6" s="10" t="s">
        <v>149</v>
      </c>
    </row>
    <row r="7" spans="1:11" ht="15" customHeight="1" x14ac:dyDescent="0.25">
      <c r="A7" s="10" t="s">
        <v>46</v>
      </c>
      <c r="B7" s="11">
        <v>198.7</v>
      </c>
      <c r="C7" s="16">
        <v>1679</v>
      </c>
      <c r="D7" s="10">
        <v>8.4</v>
      </c>
      <c r="E7" s="16">
        <v>142</v>
      </c>
      <c r="F7" s="10">
        <v>1.6</v>
      </c>
      <c r="G7" s="10">
        <v>10</v>
      </c>
      <c r="H7" s="7" t="s">
        <v>150</v>
      </c>
      <c r="I7" s="10" t="s">
        <v>151</v>
      </c>
    </row>
    <row r="8" spans="1:11" ht="15" customHeight="1" x14ac:dyDescent="0.25">
      <c r="A8" s="10" t="s">
        <v>44</v>
      </c>
      <c r="B8" s="11">
        <v>321.39999999999998</v>
      </c>
      <c r="C8" s="16">
        <v>1843</v>
      </c>
      <c r="D8" s="10">
        <v>5.7</v>
      </c>
      <c r="E8" s="16">
        <v>711</v>
      </c>
      <c r="F8" s="10">
        <v>4.9000000000000004</v>
      </c>
      <c r="G8" s="10">
        <v>10.7</v>
      </c>
      <c r="H8" s="7" t="s">
        <v>150</v>
      </c>
      <c r="I8" s="10" t="s">
        <v>151</v>
      </c>
    </row>
    <row r="9" spans="1:11" ht="15" customHeight="1" x14ac:dyDescent="0.25">
      <c r="A9" s="10" t="s">
        <v>60</v>
      </c>
      <c r="B9" s="11">
        <v>88.7</v>
      </c>
      <c r="C9" s="16">
        <v>983</v>
      </c>
      <c r="D9" s="10">
        <v>11.1</v>
      </c>
      <c r="E9" s="16">
        <v>0</v>
      </c>
      <c r="F9" s="10">
        <v>0</v>
      </c>
      <c r="G9" s="10">
        <v>11.1</v>
      </c>
      <c r="H9" s="7" t="s">
        <v>150</v>
      </c>
      <c r="I9" s="10" t="s">
        <v>151</v>
      </c>
    </row>
    <row r="10" spans="1:11" ht="15" customHeight="1" x14ac:dyDescent="0.25">
      <c r="A10" s="10" t="s">
        <v>39</v>
      </c>
      <c r="B10" s="11">
        <v>425.6</v>
      </c>
      <c r="C10" s="16">
        <v>3064</v>
      </c>
      <c r="D10" s="10">
        <v>7.2</v>
      </c>
      <c r="E10" s="16">
        <v>760</v>
      </c>
      <c r="F10" s="10">
        <v>4</v>
      </c>
      <c r="G10" s="10">
        <v>11.2</v>
      </c>
      <c r="H10" s="7" t="s">
        <v>150</v>
      </c>
      <c r="I10" s="10" t="s">
        <v>151</v>
      </c>
    </row>
    <row r="11" spans="1:11" ht="15" customHeight="1" x14ac:dyDescent="0.25">
      <c r="A11" s="10" t="s">
        <v>42</v>
      </c>
      <c r="B11" s="11">
        <v>345</v>
      </c>
      <c r="C11" s="16">
        <v>2291</v>
      </c>
      <c r="D11" s="10">
        <v>6.6</v>
      </c>
      <c r="E11" s="16">
        <v>864</v>
      </c>
      <c r="F11" s="10">
        <v>5.9</v>
      </c>
      <c r="G11" s="10">
        <v>12.5</v>
      </c>
      <c r="H11" s="7" t="s">
        <v>150</v>
      </c>
      <c r="I11" s="10" t="s">
        <v>151</v>
      </c>
    </row>
    <row r="12" spans="1:11" ht="15" customHeight="1" x14ac:dyDescent="0.25">
      <c r="A12" s="10" t="s">
        <v>59</v>
      </c>
      <c r="B12" s="11">
        <v>121.5</v>
      </c>
      <c r="C12" s="16">
        <v>1699</v>
      </c>
      <c r="D12" s="10">
        <v>14</v>
      </c>
      <c r="E12" s="16">
        <v>0</v>
      </c>
      <c r="F12" s="10">
        <v>0</v>
      </c>
      <c r="G12" s="10">
        <v>14</v>
      </c>
      <c r="H12" s="7" t="s">
        <v>150</v>
      </c>
      <c r="I12" s="10" t="s">
        <v>151</v>
      </c>
    </row>
    <row r="13" spans="1:11" ht="15" customHeight="1" x14ac:dyDescent="0.25">
      <c r="A13" s="10" t="s">
        <v>67</v>
      </c>
      <c r="B13" s="11">
        <v>61.6</v>
      </c>
      <c r="C13" s="16">
        <v>796</v>
      </c>
      <c r="D13" s="10">
        <v>12.9</v>
      </c>
      <c r="E13" s="16">
        <v>31</v>
      </c>
      <c r="F13" s="10">
        <v>1.4</v>
      </c>
      <c r="G13" s="10">
        <v>14.4</v>
      </c>
      <c r="H13" s="7" t="s">
        <v>150</v>
      </c>
      <c r="I13" s="10" t="s">
        <v>151</v>
      </c>
    </row>
    <row r="14" spans="1:11" ht="15" customHeight="1" x14ac:dyDescent="0.25">
      <c r="A14" s="10" t="s">
        <v>50</v>
      </c>
      <c r="B14" s="11">
        <v>146.69999999999999</v>
      </c>
      <c r="C14" s="16">
        <v>1423</v>
      </c>
      <c r="D14" s="10">
        <v>9.6999999999999993</v>
      </c>
      <c r="E14" s="16">
        <v>390</v>
      </c>
      <c r="F14" s="10">
        <v>5.9</v>
      </c>
      <c r="G14" s="10">
        <v>15.6</v>
      </c>
      <c r="H14" s="15" t="s">
        <v>152</v>
      </c>
      <c r="I14" s="10" t="s">
        <v>153</v>
      </c>
    </row>
    <row r="15" spans="1:11" ht="15" customHeight="1" x14ac:dyDescent="0.25">
      <c r="A15" s="10" t="s">
        <v>56</v>
      </c>
      <c r="B15" s="11">
        <v>113.3</v>
      </c>
      <c r="C15" s="16">
        <v>1387</v>
      </c>
      <c r="D15" s="10">
        <v>12.2</v>
      </c>
      <c r="E15" s="16">
        <v>175</v>
      </c>
      <c r="F15" s="10">
        <v>3.6</v>
      </c>
      <c r="G15" s="10">
        <v>15.8</v>
      </c>
      <c r="H15" s="15" t="s">
        <v>152</v>
      </c>
      <c r="I15" s="10" t="s">
        <v>153</v>
      </c>
    </row>
    <row r="16" spans="1:11" ht="15" customHeight="1" x14ac:dyDescent="0.25">
      <c r="A16" s="10" t="s">
        <v>65</v>
      </c>
      <c r="B16" s="11">
        <v>137.19999999999999</v>
      </c>
      <c r="C16" s="16">
        <v>1719</v>
      </c>
      <c r="D16" s="10">
        <v>12.5</v>
      </c>
      <c r="E16" s="16">
        <v>364</v>
      </c>
      <c r="F16" s="10">
        <v>6.2</v>
      </c>
      <c r="G16" s="10">
        <v>18.7</v>
      </c>
      <c r="H16" s="15" t="s">
        <v>152</v>
      </c>
      <c r="I16" s="10" t="s">
        <v>153</v>
      </c>
    </row>
    <row r="17" spans="1:9" ht="15" customHeight="1" x14ac:dyDescent="0.25">
      <c r="A17" s="10" t="s">
        <v>68</v>
      </c>
      <c r="B17" s="11">
        <v>54.6</v>
      </c>
      <c r="C17" s="16">
        <v>1327</v>
      </c>
      <c r="D17" s="10">
        <v>24.3</v>
      </c>
      <c r="E17" s="16">
        <v>58</v>
      </c>
      <c r="F17" s="10">
        <v>2.5</v>
      </c>
      <c r="G17" s="10">
        <v>26.8</v>
      </c>
      <c r="H17" s="15" t="s">
        <v>152</v>
      </c>
      <c r="I17" s="10" t="s">
        <v>153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topLeftCell="A15" zoomScaleNormal="100" workbookViewId="0">
      <selection activeCell="A49" sqref="A49:XFD49"/>
    </sheetView>
  </sheetViews>
  <sheetFormatPr baseColWidth="10" defaultColWidth="8.7109375" defaultRowHeight="15" x14ac:dyDescent="0.25"/>
  <cols>
    <col min="1" max="1" width="17" customWidth="1"/>
    <col min="2" max="12" width="13" customWidth="1"/>
  </cols>
  <sheetData>
    <row r="1" spans="1:12" ht="24" customHeight="1" x14ac:dyDescent="0.25">
      <c r="A1" s="3" t="s">
        <v>154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ht="15" customHeight="1" x14ac:dyDescent="0.25">
      <c r="A3" s="17" t="s">
        <v>155</v>
      </c>
    </row>
    <row r="4" spans="1:12" ht="15" customHeight="1" x14ac:dyDescent="0.25">
      <c r="A4" s="5" t="s">
        <v>25</v>
      </c>
      <c r="B4" s="5" t="s">
        <v>156</v>
      </c>
      <c r="C4" s="5" t="s">
        <v>157</v>
      </c>
      <c r="D4" s="5" t="s">
        <v>158</v>
      </c>
      <c r="E4" s="5" t="s">
        <v>159</v>
      </c>
      <c r="F4" s="5" t="s">
        <v>160</v>
      </c>
      <c r="G4" s="5" t="s">
        <v>161</v>
      </c>
      <c r="H4" s="5" t="s">
        <v>162</v>
      </c>
      <c r="I4" s="5" t="s">
        <v>163</v>
      </c>
    </row>
    <row r="5" spans="1:12" ht="15" customHeight="1" x14ac:dyDescent="0.25">
      <c r="A5" s="18" t="s">
        <v>39</v>
      </c>
      <c r="B5" s="19">
        <v>204</v>
      </c>
      <c r="C5" s="19">
        <v>73</v>
      </c>
      <c r="D5" s="19">
        <v>271</v>
      </c>
      <c r="E5" s="19">
        <v>919</v>
      </c>
      <c r="F5" s="19">
        <v>1194</v>
      </c>
      <c r="G5" s="19">
        <v>244</v>
      </c>
      <c r="H5" s="19">
        <v>159</v>
      </c>
      <c r="I5" s="20">
        <f t="shared" ref="I5:I18" si="0">SUM(B5:H5)</f>
        <v>3064</v>
      </c>
    </row>
    <row r="6" spans="1:12" ht="15" customHeight="1" x14ac:dyDescent="0.25">
      <c r="A6" s="18" t="s">
        <v>42</v>
      </c>
      <c r="B6" s="19">
        <v>283</v>
      </c>
      <c r="C6" s="19">
        <v>77</v>
      </c>
      <c r="D6" s="19">
        <v>127</v>
      </c>
      <c r="E6" s="19">
        <v>669</v>
      </c>
      <c r="F6" s="19">
        <v>920</v>
      </c>
      <c r="G6" s="19">
        <v>115</v>
      </c>
      <c r="H6" s="19">
        <v>100</v>
      </c>
      <c r="I6" s="20">
        <f t="shared" si="0"/>
        <v>2291</v>
      </c>
    </row>
    <row r="7" spans="1:12" ht="15" customHeight="1" x14ac:dyDescent="0.25">
      <c r="A7" s="18" t="s">
        <v>44</v>
      </c>
      <c r="B7" s="19">
        <v>98</v>
      </c>
      <c r="C7" s="19">
        <v>102</v>
      </c>
      <c r="D7" s="19">
        <v>6</v>
      </c>
      <c r="E7" s="19">
        <v>499</v>
      </c>
      <c r="F7" s="19">
        <v>1083</v>
      </c>
      <c r="G7" s="19">
        <v>2</v>
      </c>
      <c r="H7" s="19">
        <v>53</v>
      </c>
      <c r="I7" s="20">
        <f t="shared" si="0"/>
        <v>1843</v>
      </c>
    </row>
    <row r="8" spans="1:12" ht="15" customHeight="1" x14ac:dyDescent="0.25">
      <c r="A8" s="18" t="s">
        <v>62</v>
      </c>
      <c r="B8" s="19">
        <v>1</v>
      </c>
      <c r="C8" s="19">
        <v>0</v>
      </c>
      <c r="D8" s="19">
        <v>0</v>
      </c>
      <c r="E8" s="19">
        <v>246</v>
      </c>
      <c r="F8" s="19">
        <v>483</v>
      </c>
      <c r="G8" s="19">
        <v>0</v>
      </c>
      <c r="H8" s="19">
        <v>217</v>
      </c>
      <c r="I8" s="20">
        <f t="shared" si="0"/>
        <v>947</v>
      </c>
    </row>
    <row r="9" spans="1:12" ht="15" customHeight="1" x14ac:dyDescent="0.25">
      <c r="A9" s="18" t="s">
        <v>48</v>
      </c>
      <c r="B9" s="19">
        <v>6</v>
      </c>
      <c r="C9" s="19">
        <v>0</v>
      </c>
      <c r="D9" s="19">
        <v>51</v>
      </c>
      <c r="E9" s="19">
        <v>460</v>
      </c>
      <c r="F9" s="19">
        <v>823</v>
      </c>
      <c r="G9" s="19">
        <v>76</v>
      </c>
      <c r="H9" s="19">
        <v>64</v>
      </c>
      <c r="I9" s="20">
        <f t="shared" si="0"/>
        <v>1480</v>
      </c>
    </row>
    <row r="10" spans="1:12" ht="15" customHeight="1" x14ac:dyDescent="0.25">
      <c r="A10" s="18" t="s">
        <v>46</v>
      </c>
      <c r="B10" s="19">
        <v>94</v>
      </c>
      <c r="C10" s="19">
        <v>0</v>
      </c>
      <c r="D10" s="19">
        <v>103</v>
      </c>
      <c r="E10" s="19">
        <v>663</v>
      </c>
      <c r="F10" s="19">
        <v>716</v>
      </c>
      <c r="G10" s="19">
        <v>99</v>
      </c>
      <c r="H10" s="19">
        <v>4</v>
      </c>
      <c r="I10" s="20">
        <f t="shared" si="0"/>
        <v>1679</v>
      </c>
    </row>
    <row r="11" spans="1:12" ht="15" customHeight="1" x14ac:dyDescent="0.25">
      <c r="A11" s="18" t="s">
        <v>50</v>
      </c>
      <c r="B11" s="19">
        <v>61</v>
      </c>
      <c r="C11" s="19">
        <v>0</v>
      </c>
      <c r="D11" s="19">
        <v>2</v>
      </c>
      <c r="E11" s="19">
        <v>761</v>
      </c>
      <c r="F11" s="19">
        <v>577</v>
      </c>
      <c r="G11" s="19">
        <v>19</v>
      </c>
      <c r="H11" s="19">
        <v>3</v>
      </c>
      <c r="I11" s="20">
        <f t="shared" si="0"/>
        <v>1423</v>
      </c>
    </row>
    <row r="12" spans="1:12" ht="15" customHeight="1" x14ac:dyDescent="0.25">
      <c r="A12" s="18" t="s">
        <v>65</v>
      </c>
      <c r="B12" s="19">
        <v>30</v>
      </c>
      <c r="C12" s="19">
        <v>71</v>
      </c>
      <c r="D12" s="19">
        <v>45</v>
      </c>
      <c r="E12" s="19">
        <v>704</v>
      </c>
      <c r="F12" s="19">
        <v>719</v>
      </c>
      <c r="G12" s="19">
        <v>0</v>
      </c>
      <c r="H12" s="19">
        <v>150</v>
      </c>
      <c r="I12" s="20">
        <f t="shared" si="0"/>
        <v>1719</v>
      </c>
    </row>
    <row r="13" spans="1:12" ht="15" customHeight="1" x14ac:dyDescent="0.25">
      <c r="A13" s="18" t="s">
        <v>59</v>
      </c>
      <c r="B13" s="19">
        <v>12</v>
      </c>
      <c r="C13" s="19">
        <v>0</v>
      </c>
      <c r="D13" s="19">
        <v>3</v>
      </c>
      <c r="E13" s="19">
        <v>724</v>
      </c>
      <c r="F13" s="19">
        <v>888</v>
      </c>
      <c r="G13" s="19">
        <v>12</v>
      </c>
      <c r="H13" s="19">
        <v>60</v>
      </c>
      <c r="I13" s="20">
        <f t="shared" si="0"/>
        <v>1699</v>
      </c>
    </row>
    <row r="14" spans="1:12" ht="15" customHeight="1" x14ac:dyDescent="0.25">
      <c r="A14" s="18" t="s">
        <v>56</v>
      </c>
      <c r="B14" s="19">
        <v>187</v>
      </c>
      <c r="C14" s="19">
        <v>0</v>
      </c>
      <c r="D14" s="19">
        <v>43</v>
      </c>
      <c r="E14" s="19">
        <v>409</v>
      </c>
      <c r="F14" s="19">
        <v>623</v>
      </c>
      <c r="G14" s="19">
        <v>68</v>
      </c>
      <c r="H14" s="19">
        <v>57</v>
      </c>
      <c r="I14" s="20">
        <f t="shared" si="0"/>
        <v>1387</v>
      </c>
    </row>
    <row r="15" spans="1:12" ht="15" customHeight="1" x14ac:dyDescent="0.25">
      <c r="A15" s="18" t="s">
        <v>53</v>
      </c>
      <c r="B15" s="19">
        <v>32</v>
      </c>
      <c r="C15" s="19">
        <v>0</v>
      </c>
      <c r="D15" s="19">
        <v>4</v>
      </c>
      <c r="E15" s="19">
        <v>259</v>
      </c>
      <c r="F15" s="19">
        <v>261</v>
      </c>
      <c r="G15" s="19">
        <v>1</v>
      </c>
      <c r="H15" s="19">
        <v>0</v>
      </c>
      <c r="I15" s="20">
        <f t="shared" si="0"/>
        <v>557</v>
      </c>
    </row>
    <row r="16" spans="1:12" ht="15" customHeight="1" x14ac:dyDescent="0.25">
      <c r="A16" s="18" t="s">
        <v>60</v>
      </c>
      <c r="B16" s="19">
        <v>5</v>
      </c>
      <c r="C16" s="19">
        <v>0</v>
      </c>
      <c r="D16" s="19">
        <v>89</v>
      </c>
      <c r="E16" s="19">
        <v>278</v>
      </c>
      <c r="F16" s="19">
        <v>487</v>
      </c>
      <c r="G16" s="19">
        <v>123</v>
      </c>
      <c r="H16" s="19">
        <v>1</v>
      </c>
      <c r="I16" s="20">
        <f t="shared" si="0"/>
        <v>983</v>
      </c>
    </row>
    <row r="17" spans="1:9" ht="15" customHeight="1" x14ac:dyDescent="0.25">
      <c r="A17" s="18" t="s">
        <v>67</v>
      </c>
      <c r="B17" s="19">
        <v>0</v>
      </c>
      <c r="C17" s="19">
        <v>0</v>
      </c>
      <c r="D17" s="19">
        <v>0</v>
      </c>
      <c r="E17" s="19">
        <v>327</v>
      </c>
      <c r="F17" s="19">
        <v>355</v>
      </c>
      <c r="G17" s="19">
        <v>96</v>
      </c>
      <c r="H17" s="19">
        <v>18</v>
      </c>
      <c r="I17" s="20">
        <f t="shared" si="0"/>
        <v>796</v>
      </c>
    </row>
    <row r="18" spans="1:9" ht="15" customHeight="1" x14ac:dyDescent="0.25">
      <c r="A18" s="18" t="s">
        <v>68</v>
      </c>
      <c r="B18" s="19">
        <v>112</v>
      </c>
      <c r="C18" s="19">
        <v>0</v>
      </c>
      <c r="D18" s="19">
        <v>0</v>
      </c>
      <c r="E18" s="19">
        <v>716</v>
      </c>
      <c r="F18" s="19">
        <v>499</v>
      </c>
      <c r="G18" s="19">
        <v>0</v>
      </c>
      <c r="H18" s="19">
        <v>0</v>
      </c>
      <c r="I18" s="20">
        <f t="shared" si="0"/>
        <v>1327</v>
      </c>
    </row>
    <row r="19" spans="1:9" ht="15" customHeight="1" x14ac:dyDescent="0.25">
      <c r="A19" s="4" t="s">
        <v>163</v>
      </c>
      <c r="B19" s="21">
        <f t="shared" ref="B19:I19" si="1">SUM(B5:B18)</f>
        <v>1125</v>
      </c>
      <c r="C19" s="21">
        <f t="shared" si="1"/>
        <v>323</v>
      </c>
      <c r="D19" s="21">
        <f t="shared" si="1"/>
        <v>744</v>
      </c>
      <c r="E19" s="21">
        <f t="shared" si="1"/>
        <v>7634</v>
      </c>
      <c r="F19" s="21">
        <f t="shared" si="1"/>
        <v>9628</v>
      </c>
      <c r="G19" s="21">
        <f t="shared" si="1"/>
        <v>855</v>
      </c>
      <c r="H19" s="21">
        <f t="shared" si="1"/>
        <v>886</v>
      </c>
      <c r="I19" s="21">
        <f t="shared" si="1"/>
        <v>21195</v>
      </c>
    </row>
    <row r="21" spans="1:9" ht="15" customHeight="1" x14ac:dyDescent="0.25">
      <c r="A21" s="17" t="s">
        <v>164</v>
      </c>
    </row>
    <row r="22" spans="1:9" ht="15" customHeight="1" x14ac:dyDescent="0.25">
      <c r="A22" s="5" t="s">
        <v>165</v>
      </c>
      <c r="B22" s="5" t="s">
        <v>156</v>
      </c>
      <c r="C22" s="5" t="s">
        <v>157</v>
      </c>
      <c r="D22" s="5" t="s">
        <v>158</v>
      </c>
      <c r="E22" s="5" t="s">
        <v>159</v>
      </c>
      <c r="F22" s="5" t="s">
        <v>160</v>
      </c>
      <c r="G22" s="5" t="s">
        <v>161</v>
      </c>
      <c r="H22" s="5" t="s">
        <v>162</v>
      </c>
      <c r="I22" s="5" t="s">
        <v>163</v>
      </c>
    </row>
    <row r="23" spans="1:9" ht="15" customHeight="1" x14ac:dyDescent="0.25">
      <c r="A23" s="18" t="s">
        <v>166</v>
      </c>
      <c r="B23" s="19">
        <v>163</v>
      </c>
      <c r="C23" s="19">
        <v>32</v>
      </c>
      <c r="D23" s="19">
        <v>83</v>
      </c>
      <c r="E23" s="19">
        <v>802</v>
      </c>
      <c r="F23" s="19">
        <v>587</v>
      </c>
      <c r="G23" s="19">
        <v>1</v>
      </c>
      <c r="H23" s="19">
        <v>152</v>
      </c>
      <c r="I23" s="20">
        <f t="shared" ref="I23:I30" si="2">SUM(B23:H23)</f>
        <v>1820</v>
      </c>
    </row>
    <row r="24" spans="1:9" ht="15" customHeight="1" x14ac:dyDescent="0.25">
      <c r="A24" s="18" t="s">
        <v>167</v>
      </c>
      <c r="B24" s="19">
        <v>139</v>
      </c>
      <c r="C24" s="19">
        <v>31</v>
      </c>
      <c r="D24" s="19">
        <v>83</v>
      </c>
      <c r="E24" s="19">
        <v>772</v>
      </c>
      <c r="F24" s="19">
        <v>384</v>
      </c>
      <c r="G24" s="19">
        <v>0</v>
      </c>
      <c r="H24" s="19">
        <v>69</v>
      </c>
      <c r="I24" s="20">
        <f t="shared" si="2"/>
        <v>1478</v>
      </c>
    </row>
    <row r="25" spans="1:9" ht="15" customHeight="1" x14ac:dyDescent="0.25">
      <c r="A25" s="18" t="s">
        <v>168</v>
      </c>
      <c r="B25" s="19">
        <v>18</v>
      </c>
      <c r="C25" s="19">
        <v>22</v>
      </c>
      <c r="D25" s="19">
        <v>0</v>
      </c>
      <c r="E25" s="19">
        <v>398</v>
      </c>
      <c r="F25" s="19">
        <v>270</v>
      </c>
      <c r="G25" s="19">
        <v>0</v>
      </c>
      <c r="H25" s="19">
        <v>0</v>
      </c>
      <c r="I25" s="20">
        <f t="shared" si="2"/>
        <v>708</v>
      </c>
    </row>
    <row r="26" spans="1:9" ht="15" customHeight="1" x14ac:dyDescent="0.25">
      <c r="A26" s="18" t="s">
        <v>169</v>
      </c>
      <c r="B26" s="19">
        <v>95</v>
      </c>
      <c r="C26" s="19">
        <v>18</v>
      </c>
      <c r="D26" s="19">
        <v>53</v>
      </c>
      <c r="E26" s="19">
        <v>626</v>
      </c>
      <c r="F26" s="19">
        <v>652</v>
      </c>
      <c r="G26" s="19">
        <v>0</v>
      </c>
      <c r="H26" s="19">
        <v>119</v>
      </c>
      <c r="I26" s="20">
        <f t="shared" si="2"/>
        <v>1563</v>
      </c>
    </row>
    <row r="27" spans="1:9" ht="15" customHeight="1" x14ac:dyDescent="0.25">
      <c r="A27" s="18" t="s">
        <v>170</v>
      </c>
      <c r="B27" s="19">
        <v>78</v>
      </c>
      <c r="C27" s="19">
        <v>20</v>
      </c>
      <c r="D27" s="19">
        <v>96</v>
      </c>
      <c r="E27" s="19">
        <v>588</v>
      </c>
      <c r="F27" s="19">
        <v>525</v>
      </c>
      <c r="G27" s="19">
        <v>0</v>
      </c>
      <c r="H27" s="19">
        <v>107</v>
      </c>
      <c r="I27" s="20">
        <f t="shared" si="2"/>
        <v>1414</v>
      </c>
    </row>
    <row r="28" spans="1:9" ht="15" customHeight="1" x14ac:dyDescent="0.25">
      <c r="A28" s="18" t="s">
        <v>171</v>
      </c>
      <c r="B28" s="19">
        <v>157</v>
      </c>
      <c r="C28" s="19">
        <v>126</v>
      </c>
      <c r="D28" s="19">
        <v>363</v>
      </c>
      <c r="E28" s="19">
        <v>2392</v>
      </c>
      <c r="F28" s="19">
        <v>5897</v>
      </c>
      <c r="G28" s="19">
        <v>854</v>
      </c>
      <c r="H28" s="19">
        <v>360</v>
      </c>
      <c r="I28" s="20">
        <f t="shared" si="2"/>
        <v>10149</v>
      </c>
    </row>
    <row r="29" spans="1:9" ht="15" customHeight="1" x14ac:dyDescent="0.25">
      <c r="A29" s="18" t="s">
        <v>172</v>
      </c>
      <c r="B29" s="19">
        <v>235</v>
      </c>
      <c r="C29" s="19">
        <v>24</v>
      </c>
      <c r="D29" s="19">
        <v>52</v>
      </c>
      <c r="E29" s="19">
        <v>1153</v>
      </c>
      <c r="F29" s="19">
        <v>967</v>
      </c>
      <c r="G29" s="19">
        <v>0</v>
      </c>
      <c r="H29" s="19">
        <v>59</v>
      </c>
      <c r="I29" s="20">
        <f t="shared" si="2"/>
        <v>2490</v>
      </c>
    </row>
    <row r="30" spans="1:9" ht="15" customHeight="1" x14ac:dyDescent="0.25">
      <c r="A30" s="18" t="s">
        <v>173</v>
      </c>
      <c r="B30" s="19">
        <v>240</v>
      </c>
      <c r="C30" s="19">
        <v>50</v>
      </c>
      <c r="D30" s="19">
        <v>14</v>
      </c>
      <c r="E30" s="19">
        <v>905</v>
      </c>
      <c r="F30" s="19">
        <v>350</v>
      </c>
      <c r="G30" s="19">
        <v>0</v>
      </c>
      <c r="H30" s="19">
        <v>21</v>
      </c>
      <c r="I30" s="20">
        <f t="shared" si="2"/>
        <v>1580</v>
      </c>
    </row>
    <row r="31" spans="1:9" ht="15" customHeight="1" x14ac:dyDescent="0.25">
      <c r="A31" s="4" t="s">
        <v>163</v>
      </c>
      <c r="B31" s="21">
        <f t="shared" ref="B31:I31" si="3">SUM(B23:B30)</f>
        <v>1125</v>
      </c>
      <c r="C31" s="21">
        <f t="shared" si="3"/>
        <v>323</v>
      </c>
      <c r="D31" s="21">
        <f t="shared" si="3"/>
        <v>744</v>
      </c>
      <c r="E31" s="21">
        <f t="shared" si="3"/>
        <v>7636</v>
      </c>
      <c r="F31" s="21">
        <f t="shared" si="3"/>
        <v>9632</v>
      </c>
      <c r="G31" s="21">
        <f t="shared" si="3"/>
        <v>855</v>
      </c>
      <c r="H31" s="21">
        <f t="shared" si="3"/>
        <v>887</v>
      </c>
      <c r="I31" s="21">
        <f t="shared" si="3"/>
        <v>21202</v>
      </c>
    </row>
    <row r="33" spans="1:6" ht="15" customHeight="1" x14ac:dyDescent="0.25">
      <c r="A33" s="17" t="s">
        <v>174</v>
      </c>
    </row>
    <row r="34" spans="1:6" ht="18.75" customHeight="1" x14ac:dyDescent="0.25">
      <c r="A34" s="5" t="s">
        <v>25</v>
      </c>
      <c r="B34" s="5" t="s">
        <v>175</v>
      </c>
      <c r="C34" s="5" t="s">
        <v>176</v>
      </c>
      <c r="D34" s="5" t="s">
        <v>144</v>
      </c>
      <c r="E34" s="5" t="s">
        <v>142</v>
      </c>
      <c r="F34" s="5" t="s">
        <v>145</v>
      </c>
    </row>
    <row r="35" spans="1:6" ht="15" customHeight="1" x14ac:dyDescent="0.25">
      <c r="A35" s="18" t="s">
        <v>62</v>
      </c>
      <c r="B35" s="19">
        <v>188</v>
      </c>
      <c r="C35" s="22">
        <v>70.3</v>
      </c>
      <c r="D35" s="18">
        <v>2.7</v>
      </c>
      <c r="E35" s="18">
        <v>4.2</v>
      </c>
      <c r="F35" s="23">
        <v>6.8</v>
      </c>
    </row>
    <row r="36" spans="1:6" ht="15" customHeight="1" x14ac:dyDescent="0.25">
      <c r="A36" s="18" t="s">
        <v>48</v>
      </c>
      <c r="B36" s="19">
        <v>221</v>
      </c>
      <c r="C36" s="22">
        <v>93.4</v>
      </c>
      <c r="D36" s="18">
        <v>2.4</v>
      </c>
      <c r="E36" s="18">
        <v>6.7</v>
      </c>
      <c r="F36" s="23">
        <v>9.1</v>
      </c>
    </row>
    <row r="37" spans="1:6" ht="15" customHeight="1" x14ac:dyDescent="0.25">
      <c r="A37" s="18" t="s">
        <v>53</v>
      </c>
      <c r="B37" s="19">
        <v>163</v>
      </c>
      <c r="C37" s="22">
        <v>44.7</v>
      </c>
      <c r="D37" s="18">
        <v>3.6</v>
      </c>
      <c r="E37" s="18">
        <v>5.7</v>
      </c>
      <c r="F37" s="23">
        <v>9.4</v>
      </c>
    </row>
    <row r="38" spans="1:6" ht="15" customHeight="1" x14ac:dyDescent="0.25">
      <c r="A38" s="18" t="s">
        <v>46</v>
      </c>
      <c r="B38" s="19">
        <v>142</v>
      </c>
      <c r="C38" s="22">
        <v>89.7</v>
      </c>
      <c r="D38" s="18">
        <v>1.6</v>
      </c>
      <c r="E38" s="18">
        <v>8.4</v>
      </c>
      <c r="F38" s="24">
        <v>10</v>
      </c>
    </row>
    <row r="39" spans="1:6" ht="15" customHeight="1" x14ac:dyDescent="0.25">
      <c r="A39" s="18" t="s">
        <v>44</v>
      </c>
      <c r="B39" s="19">
        <v>711</v>
      </c>
      <c r="C39" s="22">
        <v>144</v>
      </c>
      <c r="D39" s="18">
        <v>4.9000000000000004</v>
      </c>
      <c r="E39" s="18">
        <v>5.7</v>
      </c>
      <c r="F39" s="24">
        <v>10.7</v>
      </c>
    </row>
    <row r="40" spans="1:6" ht="15" customHeight="1" x14ac:dyDescent="0.25">
      <c r="A40" s="18" t="s">
        <v>60</v>
      </c>
      <c r="B40" s="19">
        <v>0</v>
      </c>
      <c r="C40" s="22">
        <v>32.1</v>
      </c>
      <c r="D40" s="18">
        <v>0</v>
      </c>
      <c r="E40" s="18">
        <v>11.1</v>
      </c>
      <c r="F40" s="24">
        <v>11.1</v>
      </c>
    </row>
    <row r="41" spans="1:6" ht="15" customHeight="1" x14ac:dyDescent="0.25">
      <c r="A41" s="18" t="s">
        <v>39</v>
      </c>
      <c r="B41" s="19">
        <v>760</v>
      </c>
      <c r="C41" s="22">
        <v>192</v>
      </c>
      <c r="D41" s="18">
        <v>4</v>
      </c>
      <c r="E41" s="18">
        <v>7.2</v>
      </c>
      <c r="F41" s="24">
        <v>11.2</v>
      </c>
    </row>
    <row r="42" spans="1:6" ht="15" customHeight="1" x14ac:dyDescent="0.25">
      <c r="A42" s="18" t="s">
        <v>42</v>
      </c>
      <c r="B42" s="19">
        <v>864</v>
      </c>
      <c r="C42" s="22">
        <v>146.69999999999999</v>
      </c>
      <c r="D42" s="18">
        <v>5.9</v>
      </c>
      <c r="E42" s="18">
        <v>6.6</v>
      </c>
      <c r="F42" s="24">
        <v>12.5</v>
      </c>
    </row>
    <row r="43" spans="1:6" ht="15" customHeight="1" x14ac:dyDescent="0.25">
      <c r="A43" s="18" t="s">
        <v>59</v>
      </c>
      <c r="B43" s="19">
        <v>0</v>
      </c>
      <c r="C43" s="22">
        <v>52.4</v>
      </c>
      <c r="D43" s="18">
        <v>0</v>
      </c>
      <c r="E43" s="18">
        <v>14</v>
      </c>
      <c r="F43" s="24">
        <v>14</v>
      </c>
    </row>
    <row r="44" spans="1:6" ht="15" customHeight="1" x14ac:dyDescent="0.25">
      <c r="A44" s="18" t="s">
        <v>67</v>
      </c>
      <c r="B44" s="19">
        <v>31</v>
      </c>
      <c r="C44" s="22">
        <v>21.8</v>
      </c>
      <c r="D44" s="18">
        <v>1.4</v>
      </c>
      <c r="E44" s="18">
        <v>12.9</v>
      </c>
      <c r="F44" s="24">
        <v>14.4</v>
      </c>
    </row>
    <row r="45" spans="1:6" ht="15" customHeight="1" x14ac:dyDescent="0.25">
      <c r="A45" s="18" t="s">
        <v>50</v>
      </c>
      <c r="B45" s="19">
        <v>390</v>
      </c>
      <c r="C45" s="22">
        <v>65.7</v>
      </c>
      <c r="D45" s="18">
        <v>5.9</v>
      </c>
      <c r="E45" s="18">
        <v>9.6999999999999993</v>
      </c>
      <c r="F45" s="24">
        <v>15.6</v>
      </c>
    </row>
    <row r="46" spans="1:6" ht="15" customHeight="1" x14ac:dyDescent="0.25">
      <c r="A46" s="18" t="s">
        <v>56</v>
      </c>
      <c r="B46" s="19">
        <v>175</v>
      </c>
      <c r="C46" s="22">
        <v>49.4</v>
      </c>
      <c r="D46" s="18">
        <v>3.6</v>
      </c>
      <c r="E46" s="18">
        <v>12.2</v>
      </c>
      <c r="F46" s="24">
        <v>15.8</v>
      </c>
    </row>
    <row r="47" spans="1:6" ht="15" customHeight="1" x14ac:dyDescent="0.25">
      <c r="A47" s="18" t="s">
        <v>65</v>
      </c>
      <c r="B47" s="19">
        <v>364</v>
      </c>
      <c r="C47" s="22">
        <v>58.8</v>
      </c>
      <c r="D47" s="18">
        <v>6.2</v>
      </c>
      <c r="E47" s="18">
        <v>12.5</v>
      </c>
      <c r="F47" s="24">
        <v>18.7</v>
      </c>
    </row>
    <row r="48" spans="1:6" ht="15" customHeight="1" x14ac:dyDescent="0.25">
      <c r="A48" s="18" t="s">
        <v>68</v>
      </c>
      <c r="B48" s="19">
        <v>58</v>
      </c>
      <c r="C48" s="22">
        <v>23.5</v>
      </c>
      <c r="D48" s="18">
        <v>2.5</v>
      </c>
      <c r="E48" s="18">
        <v>24.3</v>
      </c>
      <c r="F48" s="24">
        <v>26.8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topLeftCell="A21" zoomScaleNormal="100" workbookViewId="0">
      <selection activeCell="J28" sqref="J28"/>
    </sheetView>
  </sheetViews>
  <sheetFormatPr baseColWidth="10" defaultColWidth="8.7109375" defaultRowHeight="15" x14ac:dyDescent="0.25"/>
  <cols>
    <col min="1" max="1" width="17" customWidth="1"/>
    <col min="2" max="6" width="10" customWidth="1"/>
    <col min="7" max="7" width="13.140625" customWidth="1"/>
    <col min="8" max="13" width="10" customWidth="1"/>
  </cols>
  <sheetData>
    <row r="1" spans="1:13" ht="24" customHeight="1" x14ac:dyDescent="0.25">
      <c r="A1" s="3" t="s">
        <v>177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 spans="1:13" ht="15" customHeight="1" x14ac:dyDescent="0.25">
      <c r="A3" s="17" t="s">
        <v>178</v>
      </c>
    </row>
    <row r="4" spans="1:13" ht="15" customHeight="1" x14ac:dyDescent="0.25">
      <c r="A4" s="5"/>
      <c r="B4" s="5" t="s">
        <v>179</v>
      </c>
      <c r="C4" s="5" t="s">
        <v>180</v>
      </c>
      <c r="D4" s="5" t="s">
        <v>181</v>
      </c>
      <c r="E4" s="5" t="s">
        <v>182</v>
      </c>
      <c r="F4" s="5" t="s">
        <v>183</v>
      </c>
      <c r="G4" s="5" t="s">
        <v>184</v>
      </c>
      <c r="H4" s="5" t="s">
        <v>185</v>
      </c>
      <c r="I4" s="5" t="s">
        <v>186</v>
      </c>
      <c r="J4" s="5" t="s">
        <v>187</v>
      </c>
      <c r="K4" s="5" t="s">
        <v>188</v>
      </c>
    </row>
    <row r="5" spans="1:13" ht="15" customHeight="1" x14ac:dyDescent="0.25">
      <c r="A5" s="4" t="s">
        <v>189</v>
      </c>
      <c r="B5" s="19">
        <v>2217</v>
      </c>
      <c r="C5" s="19">
        <v>2089</v>
      </c>
      <c r="D5" s="19">
        <v>4789</v>
      </c>
      <c r="E5" s="19">
        <v>1426</v>
      </c>
      <c r="F5" s="19">
        <v>2881</v>
      </c>
      <c r="G5" s="19">
        <v>4290</v>
      </c>
      <c r="H5" s="19">
        <v>2833</v>
      </c>
      <c r="I5" s="19">
        <v>2172</v>
      </c>
      <c r="J5" s="19">
        <v>2148</v>
      </c>
      <c r="K5" s="19">
        <v>1582</v>
      </c>
    </row>
    <row r="6" spans="1:13" ht="15" customHeight="1" x14ac:dyDescent="0.25">
      <c r="A6" s="4" t="s">
        <v>190</v>
      </c>
      <c r="B6" s="25">
        <v>0.90700000000000003</v>
      </c>
      <c r="C6" s="25">
        <v>0.85499999999999998</v>
      </c>
      <c r="D6" s="26">
        <v>1.96</v>
      </c>
      <c r="E6" s="25">
        <v>0.58399999999999996</v>
      </c>
      <c r="F6" s="25">
        <v>1.179</v>
      </c>
      <c r="G6" s="27">
        <v>1.756</v>
      </c>
      <c r="H6" s="25">
        <v>1.159</v>
      </c>
      <c r="I6" s="25">
        <v>0.88900000000000001</v>
      </c>
      <c r="J6" s="25">
        <v>0.879</v>
      </c>
      <c r="K6" s="25">
        <v>0.64700000000000002</v>
      </c>
    </row>
    <row r="8" spans="1:13" ht="15" customHeight="1" x14ac:dyDescent="0.25">
      <c r="A8" s="17" t="s">
        <v>203</v>
      </c>
    </row>
    <row r="9" spans="1:13" ht="15" customHeight="1" x14ac:dyDescent="0.25">
      <c r="A9" s="5" t="s">
        <v>25</v>
      </c>
      <c r="B9" s="5" t="s">
        <v>179</v>
      </c>
      <c r="C9" s="5" t="s">
        <v>180</v>
      </c>
      <c r="D9" s="5" t="s">
        <v>181</v>
      </c>
      <c r="E9" s="5" t="s">
        <v>182</v>
      </c>
      <c r="F9" s="5" t="s">
        <v>183</v>
      </c>
      <c r="G9" s="5" t="s">
        <v>184</v>
      </c>
      <c r="H9" s="5" t="s">
        <v>185</v>
      </c>
      <c r="I9" s="5" t="s">
        <v>186</v>
      </c>
      <c r="J9" s="5" t="s">
        <v>187</v>
      </c>
      <c r="K9" s="5" t="s">
        <v>188</v>
      </c>
      <c r="L9" s="5" t="s">
        <v>191</v>
      </c>
    </row>
    <row r="10" spans="1:13" ht="15" customHeight="1" x14ac:dyDescent="0.25">
      <c r="A10" s="18" t="s">
        <v>39</v>
      </c>
      <c r="B10" s="19">
        <v>357</v>
      </c>
      <c r="C10" s="19">
        <v>400</v>
      </c>
      <c r="D10" s="19">
        <v>856</v>
      </c>
      <c r="E10" s="19">
        <v>235</v>
      </c>
      <c r="F10" s="19">
        <v>423</v>
      </c>
      <c r="G10" s="19">
        <v>488</v>
      </c>
      <c r="H10" s="19">
        <v>487</v>
      </c>
      <c r="I10" s="19">
        <v>378</v>
      </c>
      <c r="J10" s="19">
        <v>372</v>
      </c>
      <c r="K10" s="19">
        <v>260</v>
      </c>
      <c r="L10" s="20">
        <f t="shared" ref="L10:L22" si="0">SUM(B10:K10)</f>
        <v>4256</v>
      </c>
    </row>
    <row r="11" spans="1:13" ht="15" customHeight="1" x14ac:dyDescent="0.25">
      <c r="A11" s="18" t="s">
        <v>42</v>
      </c>
      <c r="B11" s="19">
        <v>306</v>
      </c>
      <c r="C11" s="19">
        <v>310</v>
      </c>
      <c r="D11" s="19">
        <v>558</v>
      </c>
      <c r="E11" s="19">
        <v>182</v>
      </c>
      <c r="F11" s="19">
        <v>271</v>
      </c>
      <c r="G11" s="19">
        <v>479</v>
      </c>
      <c r="H11" s="19">
        <v>431</v>
      </c>
      <c r="I11" s="19">
        <v>330</v>
      </c>
      <c r="J11" s="19">
        <v>283</v>
      </c>
      <c r="K11" s="19">
        <v>300</v>
      </c>
      <c r="L11" s="20">
        <f t="shared" si="0"/>
        <v>3450</v>
      </c>
    </row>
    <row r="12" spans="1:13" ht="15" customHeight="1" x14ac:dyDescent="0.25">
      <c r="A12" s="18" t="s">
        <v>44</v>
      </c>
      <c r="B12" s="19">
        <v>206</v>
      </c>
      <c r="C12" s="19">
        <v>258</v>
      </c>
      <c r="D12" s="19">
        <v>633</v>
      </c>
      <c r="E12" s="19">
        <v>152</v>
      </c>
      <c r="F12" s="19">
        <v>322</v>
      </c>
      <c r="G12" s="19">
        <v>682</v>
      </c>
      <c r="H12" s="19">
        <v>258</v>
      </c>
      <c r="I12" s="19">
        <v>269</v>
      </c>
      <c r="J12" s="19">
        <v>279</v>
      </c>
      <c r="K12" s="19">
        <v>155</v>
      </c>
      <c r="L12" s="20">
        <f t="shared" si="0"/>
        <v>3214</v>
      </c>
    </row>
    <row r="13" spans="1:13" ht="15" customHeight="1" x14ac:dyDescent="0.25">
      <c r="A13" s="18" t="s">
        <v>62</v>
      </c>
      <c r="B13" s="19">
        <v>81</v>
      </c>
      <c r="C13" s="19">
        <v>49</v>
      </c>
      <c r="D13" s="19">
        <v>240</v>
      </c>
      <c r="E13" s="19">
        <v>61</v>
      </c>
      <c r="F13" s="19">
        <v>164</v>
      </c>
      <c r="G13" s="19">
        <v>1294</v>
      </c>
      <c r="H13" s="19">
        <v>96</v>
      </c>
      <c r="I13" s="19">
        <v>123</v>
      </c>
      <c r="J13" s="19">
        <v>82</v>
      </c>
      <c r="K13" s="19">
        <v>85</v>
      </c>
      <c r="L13" s="20">
        <f t="shared" si="0"/>
        <v>2275</v>
      </c>
    </row>
    <row r="14" spans="1:13" ht="15" customHeight="1" x14ac:dyDescent="0.25">
      <c r="A14" s="18" t="s">
        <v>48</v>
      </c>
      <c r="B14" s="19">
        <v>182</v>
      </c>
      <c r="C14" s="19">
        <v>144</v>
      </c>
      <c r="D14" s="19">
        <v>389</v>
      </c>
      <c r="E14" s="19">
        <v>89</v>
      </c>
      <c r="F14" s="19">
        <v>643</v>
      </c>
      <c r="G14" s="19">
        <v>182</v>
      </c>
      <c r="H14" s="19">
        <v>189</v>
      </c>
      <c r="I14" s="19">
        <v>138</v>
      </c>
      <c r="J14" s="19">
        <v>126</v>
      </c>
      <c r="K14" s="19">
        <v>117</v>
      </c>
      <c r="L14" s="20">
        <f t="shared" si="0"/>
        <v>2199</v>
      </c>
    </row>
    <row r="15" spans="1:13" ht="15" customHeight="1" x14ac:dyDescent="0.25">
      <c r="A15" s="18" t="s">
        <v>46</v>
      </c>
      <c r="B15" s="19">
        <v>129</v>
      </c>
      <c r="C15" s="19">
        <v>162</v>
      </c>
      <c r="D15" s="19">
        <v>432</v>
      </c>
      <c r="E15" s="19">
        <v>100</v>
      </c>
      <c r="F15" s="19">
        <v>162</v>
      </c>
      <c r="G15" s="19">
        <v>248</v>
      </c>
      <c r="H15" s="19">
        <v>186</v>
      </c>
      <c r="I15" s="19">
        <v>206</v>
      </c>
      <c r="J15" s="19">
        <v>199</v>
      </c>
      <c r="K15" s="19">
        <v>163</v>
      </c>
      <c r="L15" s="20">
        <f t="shared" si="0"/>
        <v>1987</v>
      </c>
    </row>
    <row r="16" spans="1:13" ht="15" customHeight="1" x14ac:dyDescent="0.25">
      <c r="A16" s="18" t="s">
        <v>50</v>
      </c>
      <c r="B16" s="19">
        <v>155</v>
      </c>
      <c r="C16" s="19">
        <v>125</v>
      </c>
      <c r="D16" s="19">
        <v>277</v>
      </c>
      <c r="E16" s="19">
        <v>75</v>
      </c>
      <c r="F16" s="19">
        <v>127</v>
      </c>
      <c r="G16" s="19">
        <v>171</v>
      </c>
      <c r="H16" s="19">
        <v>143</v>
      </c>
      <c r="I16" s="19">
        <v>142</v>
      </c>
      <c r="J16" s="19">
        <v>157</v>
      </c>
      <c r="K16" s="19">
        <v>95</v>
      </c>
      <c r="L16" s="20">
        <f t="shared" si="0"/>
        <v>1467</v>
      </c>
    </row>
    <row r="17" spans="1:12" ht="15" customHeight="1" x14ac:dyDescent="0.25">
      <c r="A17" s="18" t="s">
        <v>65</v>
      </c>
      <c r="B17" s="19">
        <v>86</v>
      </c>
      <c r="C17" s="19">
        <v>99</v>
      </c>
      <c r="D17" s="19">
        <v>276</v>
      </c>
      <c r="E17" s="19">
        <v>140</v>
      </c>
      <c r="F17" s="19">
        <v>117</v>
      </c>
      <c r="G17" s="19">
        <v>128</v>
      </c>
      <c r="H17" s="19">
        <v>261</v>
      </c>
      <c r="I17" s="19">
        <v>97</v>
      </c>
      <c r="J17" s="19">
        <v>90</v>
      </c>
      <c r="K17" s="19">
        <v>78</v>
      </c>
      <c r="L17" s="20">
        <f t="shared" si="0"/>
        <v>1372</v>
      </c>
    </row>
    <row r="18" spans="1:12" ht="15" customHeight="1" x14ac:dyDescent="0.25">
      <c r="A18" s="18" t="s">
        <v>59</v>
      </c>
      <c r="B18" s="19">
        <v>119</v>
      </c>
      <c r="C18" s="19">
        <v>137</v>
      </c>
      <c r="D18" s="19">
        <v>288</v>
      </c>
      <c r="E18" s="19">
        <v>90</v>
      </c>
      <c r="F18" s="19">
        <v>133</v>
      </c>
      <c r="G18" s="19">
        <v>112</v>
      </c>
      <c r="H18" s="19">
        <v>98</v>
      </c>
      <c r="I18" s="19">
        <v>85</v>
      </c>
      <c r="J18" s="19">
        <v>110</v>
      </c>
      <c r="K18" s="19">
        <v>43</v>
      </c>
      <c r="L18" s="20">
        <f t="shared" si="0"/>
        <v>1215</v>
      </c>
    </row>
    <row r="19" spans="1:12" ht="15" customHeight="1" x14ac:dyDescent="0.25">
      <c r="A19" s="18" t="s">
        <v>56</v>
      </c>
      <c r="B19" s="19">
        <v>48</v>
      </c>
      <c r="C19" s="19">
        <v>73</v>
      </c>
      <c r="D19" s="19">
        <v>190</v>
      </c>
      <c r="E19" s="19">
        <v>97</v>
      </c>
      <c r="F19" s="19">
        <v>132</v>
      </c>
      <c r="G19" s="19">
        <v>130</v>
      </c>
      <c r="H19" s="19">
        <v>142</v>
      </c>
      <c r="I19" s="19">
        <v>110</v>
      </c>
      <c r="J19" s="19">
        <v>119</v>
      </c>
      <c r="K19" s="19">
        <v>92</v>
      </c>
      <c r="L19" s="20">
        <f t="shared" si="0"/>
        <v>1133</v>
      </c>
    </row>
    <row r="20" spans="1:12" ht="15" customHeight="1" x14ac:dyDescent="0.25">
      <c r="A20" s="18" t="s">
        <v>53</v>
      </c>
      <c r="B20" s="19">
        <v>76</v>
      </c>
      <c r="C20" s="19">
        <v>72</v>
      </c>
      <c r="D20" s="19">
        <v>214</v>
      </c>
      <c r="E20" s="19">
        <v>53</v>
      </c>
      <c r="F20" s="19">
        <v>98</v>
      </c>
      <c r="G20" s="19">
        <v>147</v>
      </c>
      <c r="H20" s="19">
        <v>73</v>
      </c>
      <c r="I20" s="19">
        <v>82</v>
      </c>
      <c r="J20" s="19">
        <v>117</v>
      </c>
      <c r="K20" s="19">
        <v>39</v>
      </c>
      <c r="L20" s="20">
        <f t="shared" si="0"/>
        <v>971</v>
      </c>
    </row>
    <row r="21" spans="1:12" ht="15" customHeight="1" x14ac:dyDescent="0.25">
      <c r="A21" s="18" t="s">
        <v>60</v>
      </c>
      <c r="B21" s="19">
        <v>63</v>
      </c>
      <c r="C21" s="19">
        <v>64</v>
      </c>
      <c r="D21" s="19">
        <v>180</v>
      </c>
      <c r="E21" s="19">
        <v>72</v>
      </c>
      <c r="F21" s="19">
        <v>123</v>
      </c>
      <c r="G21" s="19">
        <v>97</v>
      </c>
      <c r="H21" s="19">
        <v>76</v>
      </c>
      <c r="I21" s="19">
        <v>76</v>
      </c>
      <c r="J21" s="19">
        <v>68</v>
      </c>
      <c r="K21" s="19">
        <v>68</v>
      </c>
      <c r="L21" s="20">
        <f t="shared" si="0"/>
        <v>887</v>
      </c>
    </row>
    <row r="22" spans="1:12" ht="15" customHeight="1" x14ac:dyDescent="0.25">
      <c r="A22" s="18" t="s">
        <v>67</v>
      </c>
      <c r="B22" s="19">
        <v>58</v>
      </c>
      <c r="C22" s="19">
        <v>50</v>
      </c>
      <c r="D22" s="19">
        <v>148</v>
      </c>
      <c r="E22" s="19">
        <v>29</v>
      </c>
      <c r="F22" s="19">
        <v>60</v>
      </c>
      <c r="G22" s="19">
        <v>49</v>
      </c>
      <c r="H22" s="19">
        <v>50</v>
      </c>
      <c r="I22" s="19">
        <v>64</v>
      </c>
      <c r="J22" s="19">
        <v>65</v>
      </c>
      <c r="K22" s="19">
        <v>43</v>
      </c>
      <c r="L22" s="20">
        <f t="shared" si="0"/>
        <v>616</v>
      </c>
    </row>
    <row r="24" spans="1:12" ht="15" customHeight="1" x14ac:dyDescent="0.25">
      <c r="A24" s="17" t="s">
        <v>192</v>
      </c>
    </row>
    <row r="25" spans="1:12" ht="18.75" customHeight="1" x14ac:dyDescent="0.25">
      <c r="A25" s="5" t="s">
        <v>25</v>
      </c>
      <c r="B25" s="5" t="s">
        <v>193</v>
      </c>
      <c r="C25" s="5" t="s">
        <v>194</v>
      </c>
      <c r="D25" s="5" t="s">
        <v>195</v>
      </c>
      <c r="E25" s="5" t="s">
        <v>196</v>
      </c>
      <c r="F25" s="5" t="s">
        <v>197</v>
      </c>
      <c r="G25" s="5" t="s">
        <v>198</v>
      </c>
    </row>
    <row r="26" spans="1:12" ht="15" customHeight="1" x14ac:dyDescent="0.25">
      <c r="A26" s="18" t="s">
        <v>39</v>
      </c>
      <c r="B26" s="19">
        <v>214</v>
      </c>
      <c r="C26" s="19">
        <v>383</v>
      </c>
      <c r="D26" s="19">
        <v>426</v>
      </c>
      <c r="E26" s="19">
        <v>562</v>
      </c>
      <c r="F26" s="19">
        <v>918</v>
      </c>
      <c r="G26" s="20">
        <f t="shared" ref="G26:G38" si="1">SUM(B26:F26)</f>
        <v>2503</v>
      </c>
    </row>
    <row r="27" spans="1:12" ht="15" customHeight="1" x14ac:dyDescent="0.25">
      <c r="A27" s="18" t="s">
        <v>42</v>
      </c>
      <c r="B27" s="19">
        <v>173</v>
      </c>
      <c r="C27" s="19">
        <v>310</v>
      </c>
      <c r="D27" s="19">
        <v>345</v>
      </c>
      <c r="E27" s="19">
        <v>455</v>
      </c>
      <c r="F27" s="19">
        <v>744</v>
      </c>
      <c r="G27" s="20">
        <f t="shared" si="1"/>
        <v>2027</v>
      </c>
    </row>
    <row r="28" spans="1:12" ht="15" customHeight="1" x14ac:dyDescent="0.25">
      <c r="A28" s="18" t="s">
        <v>44</v>
      </c>
      <c r="B28" s="19">
        <v>162</v>
      </c>
      <c r="C28" s="19">
        <v>289</v>
      </c>
      <c r="D28" s="19">
        <v>322</v>
      </c>
      <c r="E28" s="19">
        <v>424</v>
      </c>
      <c r="F28" s="19">
        <v>693</v>
      </c>
      <c r="G28" s="20">
        <f t="shared" si="1"/>
        <v>1890</v>
      </c>
    </row>
    <row r="29" spans="1:12" ht="15" customHeight="1" x14ac:dyDescent="0.25">
      <c r="A29" s="18" t="s">
        <v>62</v>
      </c>
      <c r="B29" s="19">
        <v>114</v>
      </c>
      <c r="C29" s="19">
        <v>205</v>
      </c>
      <c r="D29" s="19">
        <v>228</v>
      </c>
      <c r="E29" s="19">
        <v>300</v>
      </c>
      <c r="F29" s="19">
        <v>490</v>
      </c>
      <c r="G29" s="20">
        <f t="shared" si="1"/>
        <v>1337</v>
      </c>
    </row>
    <row r="30" spans="1:12" ht="15" customHeight="1" x14ac:dyDescent="0.25">
      <c r="A30" s="18" t="s">
        <v>48</v>
      </c>
      <c r="B30" s="19">
        <v>110</v>
      </c>
      <c r="C30" s="19">
        <v>198</v>
      </c>
      <c r="D30" s="19">
        <v>220</v>
      </c>
      <c r="E30" s="19">
        <v>290</v>
      </c>
      <c r="F30" s="19">
        <v>474</v>
      </c>
      <c r="G30" s="20">
        <f t="shared" si="1"/>
        <v>1292</v>
      </c>
    </row>
    <row r="31" spans="1:12" ht="15" customHeight="1" x14ac:dyDescent="0.25">
      <c r="A31" s="18" t="s">
        <v>46</v>
      </c>
      <c r="B31" s="19">
        <v>100</v>
      </c>
      <c r="C31" s="19">
        <v>179</v>
      </c>
      <c r="D31" s="19">
        <v>199</v>
      </c>
      <c r="E31" s="19">
        <v>262</v>
      </c>
      <c r="F31" s="19">
        <v>428</v>
      </c>
      <c r="G31" s="20">
        <f t="shared" si="1"/>
        <v>1168</v>
      </c>
    </row>
    <row r="32" spans="1:12" ht="15" customHeight="1" x14ac:dyDescent="0.25">
      <c r="A32" s="18" t="s">
        <v>50</v>
      </c>
      <c r="B32" s="19">
        <v>74</v>
      </c>
      <c r="C32" s="19">
        <v>132</v>
      </c>
      <c r="D32" s="19">
        <v>147</v>
      </c>
      <c r="E32" s="19">
        <v>194</v>
      </c>
      <c r="F32" s="19">
        <v>316</v>
      </c>
      <c r="G32" s="20">
        <f t="shared" si="1"/>
        <v>863</v>
      </c>
    </row>
    <row r="33" spans="1:12" ht="15" customHeight="1" x14ac:dyDescent="0.25">
      <c r="A33" s="18" t="s">
        <v>65</v>
      </c>
      <c r="B33" s="19">
        <v>69</v>
      </c>
      <c r="C33" s="19">
        <v>123</v>
      </c>
      <c r="D33" s="19">
        <v>137</v>
      </c>
      <c r="E33" s="19">
        <v>181</v>
      </c>
      <c r="F33" s="19">
        <v>296</v>
      </c>
      <c r="G33" s="20">
        <f t="shared" si="1"/>
        <v>806</v>
      </c>
    </row>
    <row r="34" spans="1:12" ht="15" customHeight="1" x14ac:dyDescent="0.25">
      <c r="A34" s="18" t="s">
        <v>59</v>
      </c>
      <c r="B34" s="19">
        <v>61</v>
      </c>
      <c r="C34" s="19">
        <v>109</v>
      </c>
      <c r="D34" s="19">
        <v>122</v>
      </c>
      <c r="E34" s="19">
        <v>160</v>
      </c>
      <c r="F34" s="19">
        <v>262</v>
      </c>
      <c r="G34" s="20">
        <f t="shared" si="1"/>
        <v>714</v>
      </c>
    </row>
    <row r="35" spans="1:12" ht="15" customHeight="1" x14ac:dyDescent="0.25">
      <c r="A35" s="18" t="s">
        <v>56</v>
      </c>
      <c r="B35" s="19">
        <v>57</v>
      </c>
      <c r="C35" s="19">
        <v>102</v>
      </c>
      <c r="D35" s="19">
        <v>113</v>
      </c>
      <c r="E35" s="19">
        <v>150</v>
      </c>
      <c r="F35" s="19">
        <v>244</v>
      </c>
      <c r="G35" s="20">
        <f t="shared" si="1"/>
        <v>666</v>
      </c>
    </row>
    <row r="36" spans="1:12" ht="15" customHeight="1" x14ac:dyDescent="0.25">
      <c r="A36" s="18" t="s">
        <v>53</v>
      </c>
      <c r="B36" s="19">
        <v>49</v>
      </c>
      <c r="C36" s="19">
        <v>87</v>
      </c>
      <c r="D36" s="19">
        <v>97</v>
      </c>
      <c r="E36" s="19">
        <v>128</v>
      </c>
      <c r="F36" s="19">
        <v>209</v>
      </c>
      <c r="G36" s="20">
        <f t="shared" si="1"/>
        <v>570</v>
      </c>
    </row>
    <row r="37" spans="1:12" ht="15" customHeight="1" x14ac:dyDescent="0.25">
      <c r="A37" s="18" t="s">
        <v>60</v>
      </c>
      <c r="B37" s="19">
        <v>45</v>
      </c>
      <c r="C37" s="19">
        <v>80</v>
      </c>
      <c r="D37" s="19">
        <v>89</v>
      </c>
      <c r="E37" s="19">
        <v>117</v>
      </c>
      <c r="F37" s="19">
        <v>191</v>
      </c>
      <c r="G37" s="20">
        <f t="shared" si="1"/>
        <v>522</v>
      </c>
    </row>
    <row r="38" spans="1:12" ht="15" customHeight="1" x14ac:dyDescent="0.25">
      <c r="A38" s="18" t="s">
        <v>67</v>
      </c>
      <c r="B38" s="19">
        <v>31</v>
      </c>
      <c r="C38" s="19">
        <v>55</v>
      </c>
      <c r="D38" s="19">
        <v>62</v>
      </c>
      <c r="E38" s="19">
        <v>81</v>
      </c>
      <c r="F38" s="19">
        <v>133</v>
      </c>
      <c r="G38" s="20">
        <f t="shared" si="1"/>
        <v>362</v>
      </c>
    </row>
    <row r="39" spans="1:12" ht="15" customHeight="1" x14ac:dyDescent="0.25">
      <c r="A39" s="4" t="s">
        <v>163</v>
      </c>
      <c r="B39" s="21">
        <f t="shared" ref="B39:G39" si="2">SUM(B26:B38)</f>
        <v>1259</v>
      </c>
      <c r="C39" s="21">
        <f t="shared" si="2"/>
        <v>2252</v>
      </c>
      <c r="D39" s="21">
        <f t="shared" si="2"/>
        <v>2507</v>
      </c>
      <c r="E39" s="21">
        <f t="shared" si="2"/>
        <v>3304</v>
      </c>
      <c r="F39" s="21">
        <f t="shared" si="2"/>
        <v>5398</v>
      </c>
      <c r="G39" s="21">
        <f t="shared" si="2"/>
        <v>14720</v>
      </c>
    </row>
    <row r="41" spans="1:12" ht="51.75" customHeight="1" x14ac:dyDescent="0.25">
      <c r="A41" s="4" t="s">
        <v>199</v>
      </c>
      <c r="B41" s="1" t="s">
        <v>204</v>
      </c>
      <c r="C41" s="1"/>
      <c r="D41" s="1"/>
      <c r="E41" s="1"/>
      <c r="F41" s="1"/>
      <c r="G41" s="1"/>
      <c r="H41" s="1"/>
      <c r="I41" s="1"/>
      <c r="J41" s="1"/>
      <c r="K41" s="1"/>
      <c r="L41" s="1"/>
    </row>
  </sheetData>
  <mergeCells count="2">
    <mergeCell ref="A1:M1"/>
    <mergeCell ref="B41:L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RANKING (14 COLORES)</vt:lpstr>
      <vt:lpstr>JUSTIFICACIÓN POR COLOR</vt:lpstr>
      <vt:lpstr>ROTACIÓN Y RIESGO</vt:lpstr>
      <vt:lpstr>CANTIDADES</vt:lpstr>
      <vt:lpstr>CONSUMO Y PROYECCIÓN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 13183</cp:lastModifiedBy>
  <cp:revision>0</cp:revision>
  <dcterms:created xsi:type="dcterms:W3CDTF">2026-08-11T17:54:14Z</dcterms:created>
  <dcterms:modified xsi:type="dcterms:W3CDTF">2026-08-12T03:09:27Z</dcterms:modified>
  <dc:language>en-US</dc:language>
</cp:coreProperties>
</file>