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 DE PRODUCTO" sheetId="1" r:id="rId5"/>
    <sheet state="visible" name="FICHA DE PATRONAJE" sheetId="2" r:id="rId6"/>
    <sheet state="visible" name="FICHA DE SECUENCIA " sheetId="3" r:id="rId7"/>
    <sheet state="visible" name="FICHA DE CONTROL DE CALIDAD " sheetId="4" r:id="rId8"/>
    <sheet state="visible" name="FICHA DE INSUMOS" sheetId="5" r:id="rId9"/>
    <sheet state="visible" name="FICHA DE ESTAMPADO" sheetId="6" r:id="rId10"/>
    <sheet state="hidden" name="OPERACIONES + I+D" sheetId="7" r:id="rId11"/>
    <sheet state="visible" name="FICHA DE COMPLEJIDAD" sheetId="8" r:id="rId12"/>
    <sheet state="visible" name="FICHA DE VALIDACION TEXTIL" sheetId="9"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tc={363f1a2a-3615-482f-b313-4ede39248afe}</author>
    <author>tc={59eede18-b20c-49b3-99bd-087d03096308}</author>
  </authors>
  <commentList>
    <comment authorId="0" xr:uid="{363f1a2a-3615-482f-b313-4ede39248afe}" ref="I22">
      <text>
        <t xml:space="preserve">[Threaded comment]
 Your version of Excel allows you to read this threaded comment; however, any edits to it will get removed if the file is opened in a newer version of Excel. Learn more: https://go.microsoft.com/fwlink/?linkid=870924
Comment:
	@supervisormpsum@gmail.com
</t>
      </text>
    </comment>
    <comment authorId="1" xr:uid="{59eede18-b20c-49b3-99bd-087d03096308}" ref="I21">
      <text>
        <t xml:space="preserve">[Threaded comment]
 Your version of Excel allows you to read this threaded comment; however, any edits to it will get removed if the file is opened in a newer version of Excel. Learn more: https://go.microsoft.com/fwlink/?linkid=870924
Comment:
	@analistaequipamientocuadro@gmail.com
</t>
      </text>
    </comment>
  </commentList>
</comments>
</file>

<file path=xl/sharedStrings.xml><?xml version="1.0" encoding="utf-8"?>
<sst xmlns="http://schemas.openxmlformats.org/spreadsheetml/2006/main" count="1049" uniqueCount="423">
  <si>
    <t xml:space="preserve">FICHA DE SECUENCIA </t>
  </si>
  <si>
    <t>FICHA DE PRODUCTO</t>
  </si>
  <si>
    <t>Empresa:</t>
  </si>
  <si>
    <t>Creco industrias</t>
  </si>
  <si>
    <t>Modelo:</t>
  </si>
  <si>
    <t>LITE PANT DAMA</t>
  </si>
  <si>
    <t xml:space="preserve">LITE PANT CAB </t>
  </si>
  <si>
    <t>LITE PANT CAB</t>
  </si>
  <si>
    <t>Marca:</t>
  </si>
  <si>
    <t>Cuadro</t>
  </si>
  <si>
    <t>Genero:</t>
  </si>
  <si>
    <t>DAMA</t>
  </si>
  <si>
    <t>CABALLERO</t>
  </si>
  <si>
    <t>Linea o colección:</t>
  </si>
  <si>
    <t>86% poliéster / 14% spandex.</t>
  </si>
  <si>
    <t>Curva de talla:</t>
  </si>
  <si>
    <t>XS-XL</t>
  </si>
  <si>
    <t xml:space="preserve">S-2XL </t>
  </si>
  <si>
    <t>S-2XL</t>
  </si>
  <si>
    <t>Base textil:</t>
  </si>
  <si>
    <t>VIORI</t>
  </si>
  <si>
    <t>Descripción:</t>
  </si>
  <si>
    <t>FICHA DE PATRON</t>
  </si>
  <si>
    <t>FICHA DE QA</t>
  </si>
  <si>
    <t>Nombre en Odoo</t>
  </si>
  <si>
    <t>NRO. DE OP.</t>
  </si>
  <si>
    <t>PROCESO</t>
  </si>
  <si>
    <t>PIEZAS INVOLUCRADAS</t>
  </si>
  <si>
    <t>MAQUINA</t>
  </si>
  <si>
    <t>OBSERVACIONES</t>
  </si>
  <si>
    <t xml:space="preserve">CABALLERO </t>
  </si>
  <si>
    <t xml:space="preserve">LITE PANT DAMA </t>
  </si>
  <si>
    <t xml:space="preserve">Ruedo de bolsillos </t>
  </si>
  <si>
    <t xml:space="preserve">SKU </t>
  </si>
  <si>
    <t>Bolsillos x3</t>
  </si>
  <si>
    <t>Collaretera (prensatela de teflon)</t>
  </si>
  <si>
    <t>Hacer ruedo en bolsillos a 2 cm</t>
  </si>
  <si>
    <t>Unir Tiros</t>
  </si>
  <si>
    <t xml:space="preserve">Delantero y posterior </t>
  </si>
  <si>
    <t>Overlock (puntada de seguridad)</t>
  </si>
  <si>
    <t xml:space="preserve">Unir tiros delantero + forro. Unir tiro posterior </t>
  </si>
  <si>
    <t>TABLA DE MEDIDAS</t>
  </si>
  <si>
    <t>Unir tiro</t>
  </si>
  <si>
    <t xml:space="preserve">Delantero y posterior   </t>
  </si>
  <si>
    <t xml:space="preserve">Overlock (prensatela de teflon) puntada de seguridad </t>
  </si>
  <si>
    <t xml:space="preserve">Unir tiros delantero y posterior </t>
  </si>
  <si>
    <t>Pespunte en tiros</t>
  </si>
  <si>
    <t>Nombre de la pieza</t>
  </si>
  <si>
    <t>COLORES DISPONIBLES</t>
  </si>
  <si>
    <t>ZONA</t>
  </si>
  <si>
    <t xml:space="preserve">Pasar costura de collaretera dos agujas por todo el recorrido del tiro, pestaña de over debe quedar hacia el lado izquierdo, las dos agujas deben quedar hacia la pierna izquierda </t>
  </si>
  <si>
    <t>Cant x talla</t>
  </si>
  <si>
    <t>REF</t>
  </si>
  <si>
    <t xml:space="preserve">Remate de elastica </t>
  </si>
  <si>
    <t xml:space="preserve">Elastica  </t>
  </si>
  <si>
    <t>Overlock (prensatela de teflon)</t>
  </si>
  <si>
    <t xml:space="preserve">Rematar bordes de elastica </t>
  </si>
  <si>
    <t>Bolsillos x2</t>
  </si>
  <si>
    <t xml:space="preserve">DELANTERO </t>
  </si>
  <si>
    <t xml:space="preserve">Hacer ruedo de bolsillos a 2cm </t>
  </si>
  <si>
    <t xml:space="preserve">Cerrar elatsica </t>
  </si>
  <si>
    <t xml:space="preserve">Recta </t>
  </si>
  <si>
    <t>A</t>
  </si>
  <si>
    <t xml:space="preserve">Cerrar elastica, haciendo el recorrido por la parte interna para que quede pisada, el rectangulo debe quedar derecho y a 1cm a cada lado de la union </t>
  </si>
  <si>
    <t xml:space="preserve">POSTERIOR SUPERIOR </t>
  </si>
  <si>
    <t xml:space="preserve">POSTERIOR </t>
  </si>
  <si>
    <t>B</t>
  </si>
  <si>
    <t xml:space="preserve">POSTERIOR INFERIOR </t>
  </si>
  <si>
    <t xml:space="preserve">LATERAL </t>
  </si>
  <si>
    <t>C</t>
  </si>
  <si>
    <t xml:space="preserve">DELANTERO SUPERIOR </t>
  </si>
  <si>
    <t>BOLSILLO 1</t>
  </si>
  <si>
    <t>XS</t>
  </si>
  <si>
    <t>Remate de ruedo forro delantero</t>
  </si>
  <si>
    <t>Forro delantero x2</t>
  </si>
  <si>
    <t xml:space="preserve">Pasar costura por orilla de forro </t>
  </si>
  <si>
    <t>D</t>
  </si>
  <si>
    <t xml:space="preserve">DELANTERO INFERIOR </t>
  </si>
  <si>
    <t xml:space="preserve">BOLSILLO 2 </t>
  </si>
  <si>
    <t>E</t>
  </si>
  <si>
    <t xml:space="preserve">ELASTICA </t>
  </si>
  <si>
    <t xml:space="preserve">BOLSILLOS </t>
  </si>
  <si>
    <t>F</t>
  </si>
  <si>
    <t xml:space="preserve">Fijar bolsillos </t>
  </si>
  <si>
    <t xml:space="preserve">bolsillos x3 + lateral </t>
  </si>
  <si>
    <t xml:space="preserve">Ubicar bolsillos en piquetes, encarar derecho de de bolsillo con derecho de lateral y pasar recta a 1cm, luego voltear bolsillo, la costura debe quedar por dentro del bolsillo. (El Lateral izquierdo lleva dos bolsillos, El lateral derecho lleva un bolsillo, Inclinacion mas alta del bolsillo va hacia el delantero y la mas baja hacia el posterior </t>
  </si>
  <si>
    <t>S</t>
  </si>
  <si>
    <t>M</t>
  </si>
  <si>
    <t>L</t>
  </si>
  <si>
    <t xml:space="preserve">Cerrar pinzas </t>
  </si>
  <si>
    <t>XL</t>
  </si>
  <si>
    <t xml:space="preserve">Delantero </t>
  </si>
  <si>
    <t>G</t>
  </si>
  <si>
    <t xml:space="preserve">Unir pinzas con piquetes y cerrar, la pinza debe quedar hacia abajo </t>
  </si>
  <si>
    <t>Unir Bota posterior a tiro posterior</t>
  </si>
  <si>
    <t xml:space="preserve">Dposterior superior + bota posterior </t>
  </si>
  <si>
    <t xml:space="preserve">Unir corte de bota, posterior superior con bota posterior </t>
  </si>
  <si>
    <t xml:space="preserve">NEGRO </t>
  </si>
  <si>
    <t xml:space="preserve">Unir costados con lateral </t>
  </si>
  <si>
    <t>delantero y posterior + lateral</t>
  </si>
  <si>
    <t xml:space="preserve">Unir costados delantero y posterior con pieza lateral,  ubicar etiqueta de agua en bota derecha a 13cm de la bota en el costado  </t>
  </si>
  <si>
    <t>LITPVIDA43T</t>
  </si>
  <si>
    <t xml:space="preserve">Bota delantera </t>
  </si>
  <si>
    <t xml:space="preserve">Overlock  </t>
  </si>
  <si>
    <t xml:space="preserve">Cerrar pinzas, hacer dobles en piequetes, profundidad de pinza 8,5cm, ancho de pinza 1cm </t>
  </si>
  <si>
    <t xml:space="preserve">Cerrar entrepiernas </t>
  </si>
  <si>
    <t xml:space="preserve">Delantero + posteior </t>
  </si>
  <si>
    <t xml:space="preserve">Unir entrepierna delantero y posterior envolviendo, asegurar que las pinzas queden a la misma altura </t>
  </si>
  <si>
    <t>reforzar pinzas</t>
  </si>
  <si>
    <t>CONTORNO CINTURA  (X2)</t>
  </si>
  <si>
    <t xml:space="preserve">Ruedo </t>
  </si>
  <si>
    <t xml:space="preserve">Hacer ruedos a 3m </t>
  </si>
  <si>
    <t xml:space="preserve">Pespunte en pinzas </t>
  </si>
  <si>
    <t>Bota delantera + pinzas x8</t>
  </si>
  <si>
    <t xml:space="preserve">Hacer recorrido recto en pinzas decorativas, la distancia de la pinza es de 3cm. Ubicar pirquetes </t>
  </si>
  <si>
    <t xml:space="preserve">Rematar contorno de cintura </t>
  </si>
  <si>
    <t xml:space="preserve">pasar costura por todo el contorno de cintura al ras </t>
  </si>
  <si>
    <t xml:space="preserve">MEDIDA DE ELASTICA 4.5CM </t>
  </si>
  <si>
    <t xml:space="preserve">Fijar bolsillos a lateral </t>
  </si>
  <si>
    <t xml:space="preserve">Bolsillos + Lateral </t>
  </si>
  <si>
    <t xml:space="preserve">Fijar bolsillos con recta, parte más alta del bolsillo queda hacia el delantero, ubicar bolsillos en piquetes </t>
  </si>
  <si>
    <t xml:space="preserve">Unir elastica </t>
  </si>
  <si>
    <t xml:space="preserve">Elastico + pantalon </t>
  </si>
  <si>
    <t>Collaretera  (prensatela de teflon)</t>
  </si>
  <si>
    <t xml:space="preserve">Unir elastica con pantalon, costura con 2 agujas. La union de la elastica debe quedar alineada con el tiro del pantalon </t>
  </si>
  <si>
    <t xml:space="preserve">VERDE MILITAR </t>
  </si>
  <si>
    <t xml:space="preserve">Unir delantero superior a bota </t>
  </si>
  <si>
    <t>LITPVIDA66T</t>
  </si>
  <si>
    <t xml:space="preserve">Consumo de elastica en Kg </t>
  </si>
  <si>
    <t xml:space="preserve">Delantero superior +Bota </t>
  </si>
  <si>
    <t>Unir delantero superior a bota, cuidar curva, evitar tension en hilos y no estirar las piezas, (el lado mas bajo de la curva es el lado de entrepierna, el lado mas alto es costado)</t>
  </si>
  <si>
    <t xml:space="preserve">Limpieza y terminacines </t>
  </si>
  <si>
    <t xml:space="preserve">Prenda completa </t>
  </si>
  <si>
    <t xml:space="preserve">Manual </t>
  </si>
  <si>
    <t>Control de calidad general</t>
  </si>
  <si>
    <t xml:space="preserve">Unir costados delantero y posterior,  ubicar etiqueta de agua en bota derecha a 13cm de la bota en el costado  </t>
  </si>
  <si>
    <t xml:space="preserve">ANCHO DE BOTA </t>
  </si>
  <si>
    <t>Consumo por pieza completa en cm VIORI</t>
  </si>
  <si>
    <t xml:space="preserve">VINOTINTO </t>
  </si>
  <si>
    <t xml:space="preserve">LARGO </t>
  </si>
  <si>
    <t>Consumo por pieza completa en kg VIORI</t>
  </si>
  <si>
    <t>LITPVIDA70T</t>
  </si>
  <si>
    <t>Tallas</t>
  </si>
  <si>
    <t>Dama</t>
  </si>
  <si>
    <t xml:space="preserve">ALTO DE BOLSILLOS </t>
  </si>
  <si>
    <t xml:space="preserve">Unir entrepierna delantero y posterior </t>
  </si>
  <si>
    <t>Talla XS</t>
  </si>
  <si>
    <t>NO NEGOCIABLES</t>
  </si>
  <si>
    <t xml:space="preserve">ESPECIFICACIONES DE COSTURA </t>
  </si>
  <si>
    <t xml:space="preserve">Remate de cintura posterior </t>
  </si>
  <si>
    <t xml:space="preserve">Overlock </t>
  </si>
  <si>
    <t xml:space="preserve">Remate en cintura hasta piquetes </t>
  </si>
  <si>
    <t xml:space="preserve">CATEGORIA </t>
  </si>
  <si>
    <t xml:space="preserve">ATRIBUTO / ZONA </t>
  </si>
  <si>
    <t xml:space="preserve">ESTANDAR </t>
  </si>
  <si>
    <t xml:space="preserve">CRITERIO DE RECHAZO / OBSERVACIONES </t>
  </si>
  <si>
    <t xml:space="preserve">Prensatela </t>
  </si>
  <si>
    <t xml:space="preserve">REFERENCIAS VISUAL </t>
  </si>
  <si>
    <t xml:space="preserve">Teflon </t>
  </si>
  <si>
    <t>Talla S</t>
  </si>
  <si>
    <t xml:space="preserve">Costura </t>
  </si>
  <si>
    <t xml:space="preserve">Elastica + Tiro delantero </t>
  </si>
  <si>
    <t xml:space="preserve">Overlock + recta </t>
  </si>
  <si>
    <t xml:space="preserve">Unir elastica a tiro delantero, la elastica debe quedar embonada, asegurar union con costura recta </t>
  </si>
  <si>
    <t xml:space="preserve">Tipo de Aguja: </t>
  </si>
  <si>
    <t>Talla M</t>
  </si>
  <si>
    <t xml:space="preserve">Elastica </t>
  </si>
  <si>
    <t xml:space="preserve">Fijar elastica a cintura </t>
  </si>
  <si>
    <t>Elastica + Cuerpo</t>
  </si>
  <si>
    <t>Pisar elastica con Collaretera 2 agujas, pisar elastica cuidando la distribucion de la elastica, fijando tambien la pretina lisa delantera</t>
  </si>
  <si>
    <t>Calibre de Aguja</t>
  </si>
  <si>
    <t>-El empate de la elastica debe ir alineado con la costura</t>
  </si>
  <si>
    <t>Talla L</t>
  </si>
  <si>
    <t xml:space="preserve">Si la union de la elastica esta desviada, el producto queda rechazado </t>
  </si>
  <si>
    <t>Ancho de Puntada (Overlock)</t>
  </si>
  <si>
    <t xml:space="preserve">Puntada de seguridad </t>
  </si>
  <si>
    <t xml:space="preserve">Pantalon completo </t>
  </si>
  <si>
    <t xml:space="preserve">-Las uniones deben estar lisas </t>
  </si>
  <si>
    <t>Densidad de Puntada:</t>
  </si>
  <si>
    <t xml:space="preserve">Si las uniones estan arrugadas, el producto queda rechazado </t>
  </si>
  <si>
    <t xml:space="preserve">Ruedo de bolsillo </t>
  </si>
  <si>
    <t xml:space="preserve">-Ruedo Plano </t>
  </si>
  <si>
    <t xml:space="preserve">Si el ruedo del bolsillo tiene ondas, el producto queda rechazado </t>
  </si>
  <si>
    <t xml:space="preserve">Talla Xl </t>
  </si>
  <si>
    <t xml:space="preserve">Ubicacion de Bolsillos </t>
  </si>
  <si>
    <t>Tensión de Máquina:</t>
  </si>
  <si>
    <t>-Bolsillo 1 lleva inclinacionacion alta hacia el delantero, inclinacion baja hacia el posterior</t>
  </si>
  <si>
    <t xml:space="preserve">Si la inclinacion esta al revez, el producto queda rechazado </t>
  </si>
  <si>
    <t>Tipo de Hilo Recomendado:</t>
  </si>
  <si>
    <t xml:space="preserve">Poliester </t>
  </si>
  <si>
    <t xml:space="preserve">-Bolsillo 2 va ubicado en el lateral izquierdo </t>
  </si>
  <si>
    <t>Si el segundo bolsillo queda del lado derecho, el producto queda rechazado</t>
  </si>
  <si>
    <t xml:space="preserve">FICHA DE INSUMOS </t>
  </si>
  <si>
    <t>INSUMO #1</t>
  </si>
  <si>
    <t>Nombre del insumo:</t>
  </si>
  <si>
    <t>Etiqueta de agua / SENCAMER</t>
  </si>
  <si>
    <t>Ubicación del insumo:</t>
  </si>
  <si>
    <t xml:space="preserve">Costado derecho </t>
  </si>
  <si>
    <t>Proveedor:</t>
  </si>
  <si>
    <t>FICHA DE ESTAMPADO</t>
  </si>
  <si>
    <t xml:space="preserve">Taller cuadro </t>
  </si>
  <si>
    <t>Tamaño:</t>
  </si>
  <si>
    <t>9cm x 3cm</t>
  </si>
  <si>
    <t xml:space="preserve">Consumo x pieza: </t>
  </si>
  <si>
    <t>Aplica para los colores:</t>
  </si>
  <si>
    <t>Todos</t>
  </si>
  <si>
    <t>Tipo de colocación:</t>
  </si>
  <si>
    <t>Diseño de Estampa</t>
  </si>
  <si>
    <t>Información descrita en la etiqueta:</t>
  </si>
  <si>
    <t>Distancia de logo delantero</t>
  </si>
  <si>
    <t>Composición:</t>
  </si>
  <si>
    <t>Zona de estampa:</t>
  </si>
  <si>
    <t xml:space="preserve">Tipo de tela: </t>
  </si>
  <si>
    <t>Bolsillo izquierdo</t>
  </si>
  <si>
    <t>VIORY</t>
  </si>
  <si>
    <t>MATERIA PRIMA</t>
  </si>
  <si>
    <t>INSUMO #2</t>
  </si>
  <si>
    <t>Color:</t>
  </si>
  <si>
    <t xml:space="preserve">Negro </t>
  </si>
  <si>
    <t xml:space="preserve">Se ubica a 1cm del centro frente del bolsillo y 2cm de la costura inferior del bolsillo </t>
  </si>
  <si>
    <t>Hilos</t>
  </si>
  <si>
    <t xml:space="preserve">5cm </t>
  </si>
  <si>
    <t>Tipo de insumo</t>
  </si>
  <si>
    <t>Nombre interno / textil</t>
  </si>
  <si>
    <t>Proveedor</t>
  </si>
  <si>
    <t>Color / Pantone</t>
  </si>
  <si>
    <t>Composición (si aplica) / Material</t>
  </si>
  <si>
    <t>Consumo por prenda</t>
  </si>
  <si>
    <t>Unidad de medida</t>
  </si>
  <si>
    <t>Uso o ubicación</t>
  </si>
  <si>
    <t>Observaciones</t>
  </si>
  <si>
    <t>Estatus</t>
  </si>
  <si>
    <t>Tela principal</t>
  </si>
  <si>
    <t>Lycra Strong</t>
  </si>
  <si>
    <t>Stilotex</t>
  </si>
  <si>
    <t>Azul Lago 7690C</t>
  </si>
  <si>
    <t>84% Poliamida – 16% Elastano</t>
  </si>
  <si>
    <t>0.9 m</t>
  </si>
  <si>
    <t>m</t>
  </si>
  <si>
    <t>Cuerpo principal</t>
  </si>
  <si>
    <t>Revisar encogimiento</t>
  </si>
  <si>
    <t>Sable</t>
  </si>
  <si>
    <t>Por orden de compra</t>
  </si>
  <si>
    <t>Talla XL</t>
  </si>
  <si>
    <t>Tela complemento</t>
  </si>
  <si>
    <t>Mesh</t>
  </si>
  <si>
    <t>—</t>
  </si>
  <si>
    <t>Negro</t>
  </si>
  <si>
    <t>85% Poliéster – 15% Elastano</t>
  </si>
  <si>
    <t>0.3 m</t>
  </si>
  <si>
    <t>Paneles laterales</t>
  </si>
  <si>
    <t>Elástico</t>
  </si>
  <si>
    <t>Tipo de estampa:</t>
  </si>
  <si>
    <t>4 cm negro</t>
  </si>
  <si>
    <t>0.7 m</t>
  </si>
  <si>
    <t>Pretina</t>
  </si>
  <si>
    <t>Confirmar tensión</t>
  </si>
  <si>
    <t>Etiqueta interior</t>
  </si>
  <si>
    <t>Cuadro textil</t>
  </si>
  <si>
    <t>Blanco</t>
  </si>
  <si>
    <t>Poliéster</t>
  </si>
  <si>
    <t>1 u</t>
  </si>
  <si>
    <t>un</t>
  </si>
  <si>
    <t>Interior cintura</t>
  </si>
  <si>
    <t>Vinil / estampado</t>
  </si>
  <si>
    <t>Puffy Logo</t>
  </si>
  <si>
    <t>Delantero</t>
  </si>
  <si>
    <t>Igual tono tela</t>
  </si>
  <si>
    <t>Hilo principal</t>
  </si>
  <si>
    <t>Coats Dual Duty</t>
  </si>
  <si>
    <t>1 cono</t>
  </si>
  <si>
    <t>Confección general</t>
  </si>
  <si>
    <t xml:space="preserve">100% Poliester </t>
  </si>
  <si>
    <t>Detalles de estampado</t>
  </si>
  <si>
    <t>Color de tela 1:</t>
  </si>
  <si>
    <t>Color de hilo 1:</t>
  </si>
  <si>
    <t xml:space="preserve">Pierna derecha posterior/interno </t>
  </si>
  <si>
    <t>Negro- N</t>
  </si>
  <si>
    <t xml:space="preserve">Se ubica a 1cm de la elastica hacia abajo </t>
  </si>
  <si>
    <t>Color de tela 2:</t>
  </si>
  <si>
    <t xml:space="preserve">Vinotinto </t>
  </si>
  <si>
    <t>Plateado</t>
  </si>
  <si>
    <t>Color de hilo 2:</t>
  </si>
  <si>
    <t>3cm</t>
  </si>
  <si>
    <t xml:space="preserve">FICHA DE COMPLEJIDAD </t>
  </si>
  <si>
    <t>Vinotinto -</t>
  </si>
  <si>
    <t>Color de tela 3:</t>
  </si>
  <si>
    <t xml:space="preserve">Verde Militar </t>
  </si>
  <si>
    <t xml:space="preserve">Aplica para todos los colores </t>
  </si>
  <si>
    <t>Color de hilo 3:</t>
  </si>
  <si>
    <t xml:space="preserve">Todos los colores </t>
  </si>
  <si>
    <t xml:space="preserve">Vinil plateado </t>
  </si>
  <si>
    <t>Verde Militar -</t>
  </si>
  <si>
    <t>INSUMO #3</t>
  </si>
  <si>
    <t>LOGO TALLA PEQUEÑO DAMA</t>
  </si>
  <si>
    <t>Categoría</t>
  </si>
  <si>
    <t>Variable / Factor técnico</t>
  </si>
  <si>
    <t>Descripción de referencia</t>
  </si>
  <si>
    <t>Puntaje (1–3)</t>
  </si>
  <si>
    <t xml:space="preserve">Pierna derecha </t>
  </si>
  <si>
    <t>Diseño</t>
  </si>
  <si>
    <t>Cantidad de piezas</t>
  </si>
  <si>
    <t>N° de moldes (1: ≤5, 2: 6–10, 3: &gt;10)</t>
  </si>
  <si>
    <t xml:space="preserve">Taller Cuadro </t>
  </si>
  <si>
    <t xml:space="preserve">Tipo de Fit </t>
  </si>
  <si>
    <t xml:space="preserve">Regulatr (1), Oversize (2), Ajustado (3) </t>
  </si>
  <si>
    <t>Patronaje</t>
  </si>
  <si>
    <t>Transformaciones sobre base</t>
  </si>
  <si>
    <t>Sin cambios (1), leves (2), nuevo anatómico (3)</t>
  </si>
  <si>
    <t>Corte funcional / anatómico</t>
  </si>
  <si>
    <t>Sin cortes (1), decorativos (2), paneles múltiples (3)</t>
  </si>
  <si>
    <t>Integración de elementos</t>
  </si>
  <si>
    <t>Sin accesorios (1), vistas/ pretinas/ bolsillos (2), forro/refuerzo (3)</t>
  </si>
  <si>
    <t>Textil</t>
  </si>
  <si>
    <t>Tipo de tejido</t>
  </si>
  <si>
    <t>Algodón/poliéster estable (1), fit (2), técnico (3)</t>
  </si>
  <si>
    <t>Comportamiento</t>
  </si>
  <si>
    <t>Estable (1), elástico controlado (2), alta elasticidad (3)</t>
  </si>
  <si>
    <t>Combinación de materiales</t>
  </si>
  <si>
    <t>Una tela (1), dos similares (2), distintas (3)</t>
  </si>
  <si>
    <t>Grosor / manipulación</t>
  </si>
  <si>
    <t>Fácil (1), moderada (2), delicada (3)</t>
  </si>
  <si>
    <t>Corte</t>
  </si>
  <si>
    <t xml:space="preserve">Tipo de forma de las piezas </t>
  </si>
  <si>
    <t>Rectas y simples(1), Curvas moderadas  (2), Curvas complejas / piezas muy pequeñas / piezas muy largas (3)</t>
  </si>
  <si>
    <t xml:space="preserve">Versión de logo: </t>
  </si>
  <si>
    <t>Riesgo de desplazamiento o distorsión al cortar</t>
  </si>
  <si>
    <t>Tela estable (1), Tela con ligera elasticidad o tendencia a deslizarse(2), Tela muy elástica, delgada o resbalosa (3)</t>
  </si>
  <si>
    <t xml:space="preserve">Talla </t>
  </si>
  <si>
    <t xml:space="preserve">Cantidad de Capas Tendidas </t>
  </si>
  <si>
    <t>De 50 a 100 (1), de 20 a 50 (2), de 1 a 20 (3)</t>
  </si>
  <si>
    <t>Cantidad total de piezas</t>
  </si>
  <si>
    <t>&lt;5 (1), 6-10 (2), &gt;10 (3)</t>
  </si>
  <si>
    <t>Confección</t>
  </si>
  <si>
    <t>Número de operaciones</t>
  </si>
  <si>
    <t>&lt;6 (1), 7-10 (2), &gt;11 (3)</t>
  </si>
  <si>
    <t>Secuencia de montaje</t>
  </si>
  <si>
    <t>Lineal (1), con retornos (2), combinada (3)</t>
  </si>
  <si>
    <t xml:space="preserve">Estampado </t>
  </si>
  <si>
    <t>Manipulación del textil</t>
  </si>
  <si>
    <t>Sencilla (1), control moderado (2), difícil (3)</t>
  </si>
  <si>
    <t>Maquinaria utilizada</t>
  </si>
  <si>
    <t>Collaretera/overlock (1), +recta (2), maquinaria especial (3)</t>
  </si>
  <si>
    <t>LOGO LINEAL 5CM (SILICONA TERMOFUSIONABLE)</t>
  </si>
  <si>
    <t xml:space="preserve">Complejidad de ruedos y terminciones </t>
  </si>
  <si>
    <t>Recto y estable (1), Curvo o elasticidad moderada (2),
Curvas complejas o tela delicada/elástica (3)</t>
  </si>
  <si>
    <t>Acabado</t>
  </si>
  <si>
    <t xml:space="preserve">Acabado funcional </t>
  </si>
  <si>
    <t xml:space="preserve">Sin detalles (1),  1–2 detalles (presilla, ojales, vistas), &gt;3 Detalles múltiples o precisos (cordones, elastica, etc)
</t>
  </si>
  <si>
    <t>Comportamiento de la tela en el estampado</t>
  </si>
  <si>
    <t>Estable (1), Sensible al calor (2), Muy delicada/inestable (3)</t>
  </si>
  <si>
    <t>Tiempo de estampado requerido</t>
  </si>
  <si>
    <t xml:space="preserve">(1) &lt;10 s + repasado 1 vez, (2) 10–15 s + repasado 2 veces, (3) &gt;15 s + de dos repasados </t>
  </si>
  <si>
    <t xml:space="preserve">Temperatua requerida </t>
  </si>
  <si>
    <t>&lt;  280°C (1), 280-320°C (2), &gt; 320°C (3)</t>
  </si>
  <si>
    <t>TOTAL DE PUNTOS</t>
  </si>
  <si>
    <t>5cm</t>
  </si>
  <si>
    <t xml:space="preserve">Consumo por pieza </t>
  </si>
  <si>
    <t xml:space="preserve">Color del Vinil </t>
  </si>
  <si>
    <t>PROMEDIO</t>
  </si>
  <si>
    <t xml:space="preserve">Nivel medio </t>
  </si>
  <si>
    <t xml:space="preserve">Logo lineal </t>
  </si>
  <si>
    <t>FICHA DE VALIDACIÓN TEXTIL</t>
  </si>
  <si>
    <t xml:space="preserve">Bolsillo Izquierdo </t>
  </si>
  <si>
    <t>INSUMO #4</t>
  </si>
  <si>
    <t>Elastica Felpa 45mm</t>
  </si>
  <si>
    <t xml:space="preserve">4,5cm </t>
  </si>
  <si>
    <t>Colores disponibles</t>
  </si>
  <si>
    <t xml:space="preserve">Vinotinto, Verde menta, Azul rey, Negro, Verde militar </t>
  </si>
  <si>
    <t xml:space="preserve">20gr/25gr </t>
  </si>
  <si>
    <t xml:space="preserve">Parachute </t>
  </si>
  <si>
    <t>Fecha</t>
  </si>
  <si>
    <t>Nombre de textil en sistema</t>
  </si>
  <si>
    <t>Viori</t>
  </si>
  <si>
    <t>Responsable I+D</t>
  </si>
  <si>
    <t>Crisol Orozco</t>
  </si>
  <si>
    <t>1.ENCOGIMIENTO X LAVADO</t>
  </si>
  <si>
    <t># de Muestra</t>
  </si>
  <si>
    <t>Color</t>
  </si>
  <si>
    <t>Medida inicial Largo (cm)</t>
  </si>
  <si>
    <t>Medida inicial Ancho (cm)</t>
  </si>
  <si>
    <t>Medida final Largo (cm)</t>
  </si>
  <si>
    <t>Medida final Ancho (cm)</t>
  </si>
  <si>
    <t>% Encog. Largo</t>
  </si>
  <si>
    <t>% Encog. Ancho</t>
  </si>
  <si>
    <t>Umbral encog. (Config)</t>
  </si>
  <si>
    <t>Vinotinto</t>
  </si>
  <si>
    <t>Verde menta</t>
  </si>
  <si>
    <t xml:space="preserve">Azul rey </t>
  </si>
  <si>
    <t xml:space="preserve">Verde militar </t>
  </si>
  <si>
    <t>2.ENCOGIMIENTO X SECADO</t>
  </si>
  <si>
    <t>3.TORSIÓN</t>
  </si>
  <si>
    <t>Muestra ID</t>
  </si>
  <si>
    <t>Evaluación líneas (retazo) [Visible/No visible]</t>
  </si>
  <si>
    <t>Curvatura/Rotación (descripción)</t>
  </si>
  <si>
    <t>Torsión tira 10×40 [Sin/Con]</t>
  </si>
  <si>
    <t>Enrollado bordes (SI/NO)</t>
  </si>
  <si>
    <t xml:space="preserve">No visible </t>
  </si>
  <si>
    <t xml:space="preserve">No presenta ninguna curvatura </t>
  </si>
  <si>
    <t>SIN</t>
  </si>
  <si>
    <t>NO</t>
  </si>
  <si>
    <t>4. RECUPERACIÓN ELÁSTICA</t>
  </si>
  <si>
    <t>Base (cm)</t>
  </si>
  <si>
    <t>Estirado (cm)</t>
  </si>
  <si>
    <t>Post 1 min (cm)</t>
  </si>
  <si>
    <t>Post 5 min (cm)</t>
  </si>
  <si>
    <t>% Recuperación 1 min</t>
  </si>
  <si>
    <t>% Recuperación 5 min</t>
  </si>
  <si>
    <t>5.MIGRACIÓN DE COLOR</t>
  </si>
  <si>
    <t xml:space="preserve"> en lavado (tela blanca) [Sí/No]</t>
  </si>
  <si>
    <t>Cambio de tono [Sí/No]</t>
  </si>
  <si>
    <t>Fricción seca transfiere [Sí/No]</t>
  </si>
  <si>
    <t>Fricción húmeda transfiere [Sí/No]</t>
  </si>
  <si>
    <t>Aprobado [Sí/No]</t>
  </si>
  <si>
    <t>6.ENCOGIMIENTO POST TENDIDO (SE REALIZA EL ESTUDIO CON LA PRE PRODRUCCIÓN)</t>
  </si>
  <si>
    <t>7. ESTAMPADO</t>
  </si>
  <si>
    <t>Color de base</t>
  </si>
  <si>
    <t>Tamaño</t>
  </si>
  <si>
    <t>Temperatura</t>
  </si>
  <si>
    <t>Tiempo</t>
  </si>
  <si>
    <t>Prueba de lavado</t>
  </si>
  <si>
    <t>Prueba de secado</t>
  </si>
  <si>
    <t>Aprobación [Sí/No]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</si>
</sst>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mm/yyyy"/>
    <numFmt numFmtId="165" formatCode="0.0"/>
    <numFmt numFmtId="166" formatCode="0.0%"/>
  </numFmts>
  <fonts count="31">
    <font>
      <sz val="10.0"/>
      <color rgb="FF000000"/>
      <name val="Arial"/>
      <scheme val="minor"/>
    </font>
    <font>
      <color theme="1"/>
      <name val="Arial"/>
      <scheme val="minor"/>
    </font>
    <font>
      <b/>
      <sz val="12.0"/>
      <color theme="1"/>
      <name val="Arial"/>
      <scheme val="minor"/>
    </font>
    <font/>
    <font>
      <b/>
      <color theme="1"/>
      <name val="Arial"/>
      <scheme val="minor"/>
    </font>
    <font>
      <b/>
      <sz val="10.0"/>
      <color theme="1"/>
      <name val="Arial"/>
    </font>
    <font>
      <color theme="1"/>
      <name val="Arial"/>
    </font>
    <font>
      <b/>
      <sz val="8.0"/>
      <color theme="1"/>
      <name val="Arial"/>
    </font>
    <font>
      <sz val="11.0"/>
      <color rgb="FF000000"/>
      <name val="Arial"/>
    </font>
    <font>
      <sz val="10.0"/>
      <color theme="1"/>
      <name val="Arial"/>
      <scheme val="minor"/>
    </font>
    <font>
      <sz val="10.0"/>
      <color rgb="FF000000"/>
      <name val="Arial"/>
    </font>
    <font>
      <sz val="8.0"/>
      <color theme="1"/>
      <name val="Arial"/>
      <scheme val="minor"/>
    </font>
    <font>
      <sz val="9.0"/>
      <color theme="1"/>
      <name val="Arial"/>
    </font>
    <font>
      <b/>
      <color theme="1"/>
      <name val="Arial"/>
    </font>
    <font>
      <sz val="11.0"/>
      <color rgb="FF000000"/>
      <name val="&quot;Aptos Narrow&quot;"/>
    </font>
    <font>
      <sz val="11.0"/>
      <color theme="1"/>
      <name val="Aptos Narrow"/>
    </font>
    <font>
      <sz val="10.0"/>
      <color theme="1"/>
      <name val="Arial"/>
    </font>
    <font>
      <sz val="11.0"/>
      <color theme="1"/>
      <name val="Arial"/>
    </font>
    <font>
      <sz val="8.0"/>
      <color rgb="FF000000"/>
      <name val="Arial"/>
    </font>
    <font>
      <sz val="8.0"/>
      <color theme="1"/>
      <name val="Arial"/>
    </font>
    <font>
      <color rgb="FF000000"/>
      <name val="Arial"/>
      <scheme val="minor"/>
    </font>
    <font>
      <color rgb="FF434343"/>
      <name val="Roboto"/>
    </font>
    <font>
      <b/>
      <sz val="12.0"/>
      <color theme="1"/>
      <name val="Arial"/>
    </font>
    <font>
      <b/>
      <sz val="13.0"/>
      <color theme="1"/>
      <name val="Arial"/>
    </font>
    <font>
      <color rgb="FF222222"/>
      <name val="Arial"/>
    </font>
    <font>
      <b/>
      <sz val="11.0"/>
      <color theme="1"/>
      <name val="Arial"/>
    </font>
    <font>
      <b/>
      <sz val="11.0"/>
      <color theme="1"/>
      <name val="Calibri"/>
    </font>
    <font>
      <sz val="11.0"/>
      <color theme="1"/>
      <name val="Calibri"/>
    </font>
    <font>
      <b/>
      <sz val="11.0"/>
      <color rgb="FFFFFFFF"/>
      <name val="Calibri"/>
    </font>
    <font>
      <sz val="11.0"/>
      <color rgb="FF008000"/>
      <name val="Calibri"/>
    </font>
    <font>
      <sz val="11.0"/>
      <color rgb="FF0000FF"/>
      <name val="Calibri"/>
    </font>
  </fonts>
  <fills count="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1F4E79"/>
        <bgColor rgb="FF1F4E79"/>
      </patternFill>
    </fill>
    <fill>
      <patternFill patternType="solid">
        <fgColor rgb="FFEFEFEF"/>
        <bgColor rgb="FFEFEFEF"/>
      </patternFill>
    </fill>
  </fills>
  <borders count="71">
    <border/>
    <border>
      <left style="thick">
        <color rgb="FF000000"/>
      </left>
      <right style="thin">
        <color rgb="FF000000"/>
      </right>
      <top style="thick">
        <color rgb="FF000000"/>
      </top>
    </border>
    <border>
      <left style="thin">
        <color rgb="FF000000"/>
      </left>
      <top style="thick">
        <color rgb="FF000000"/>
      </top>
      <bottom style="thin">
        <color rgb="FF000000"/>
      </bottom>
    </border>
    <border>
      <top style="thick">
        <color rgb="FF000000"/>
      </top>
      <bottom style="thin">
        <color rgb="FF000000"/>
      </bottom>
    </border>
    <border>
      <right style="thick">
        <color rgb="FF000000"/>
      </right>
      <top style="thick">
        <color rgb="FF000000"/>
      </top>
      <bottom style="thin">
        <color rgb="FF000000"/>
      </bottom>
    </border>
    <border>
      <left style="thick">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ck">
        <color rgb="FF000000"/>
      </right>
      <top style="thin">
        <color rgb="FF000000"/>
      </top>
      <bottom style="thin">
        <color rgb="FF000000"/>
      </bottom>
    </border>
    <border>
      <left style="thick">
        <color rgb="FF000000"/>
      </left>
      <right style="thin">
        <color rgb="FF000000"/>
      </right>
      <bottom style="thick">
        <color rgb="FF000000"/>
      </bottom>
    </border>
    <border>
      <left style="thin">
        <color rgb="FF000000"/>
      </left>
      <right style="thin">
        <color rgb="FF000000"/>
      </right>
      <top style="thin">
        <color rgb="FF000000"/>
      </top>
      <bottom style="thick">
        <color rgb="FF000000"/>
      </bottom>
    </border>
    <border>
      <right style="thin">
        <color rgb="FF000000"/>
      </right>
      <top style="thick">
        <color rgb="FF000000"/>
      </top>
      <bottom style="thin">
        <color rgb="FF000000"/>
      </bottom>
    </border>
    <border>
      <left style="thin">
        <color rgb="FF000000"/>
      </left>
      <top style="thin">
        <color rgb="FF000000"/>
      </top>
      <bottom style="thick">
        <color rgb="FF000000"/>
      </bottom>
    </border>
    <border>
      <right style="thick">
        <color rgb="FF000000"/>
      </right>
      <top style="thin">
        <color rgb="FF000000"/>
      </top>
      <bottom style="thick">
        <color rgb="FF000000"/>
      </bottom>
    </border>
    <border>
      <top style="thin">
        <color rgb="FF000000"/>
      </top>
      <bottom style="thin">
        <color rgb="FF000000"/>
      </bottom>
    </border>
    <border>
      <right style="thin">
        <color rgb="FF000000"/>
      </right>
      <top style="thin">
        <color rgb="FF000000"/>
      </top>
      <bottom style="thin">
        <color rgb="FF000000"/>
      </bottom>
    </border>
    <border>
      <bottom style="thick">
        <color rgb="FF000000"/>
      </bottom>
    </border>
    <border>
      <left style="thin">
        <color rgb="FF000000"/>
      </left>
      <bottom style="thick">
        <color rgb="FF000000"/>
      </bottom>
    </border>
    <border>
      <right style="thick">
        <color rgb="FF000000"/>
      </right>
      <bottom style="thick">
        <color rgb="FF000000"/>
      </bottom>
    </border>
    <border>
      <top style="thin">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medium">
        <color rgb="FF000000"/>
      </left>
      <top style="medium">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ck">
        <color rgb="FF000000"/>
      </left>
    </border>
    <border>
      <right style="thick">
        <color rgb="FF000000"/>
      </right>
    </border>
    <border>
      <top style="medium">
        <color rgb="FF000000"/>
      </top>
    </border>
    <border>
      <right style="medium">
        <color rgb="FF000000"/>
      </right>
      <top style="medium">
        <color rgb="FF000000"/>
      </top>
    </border>
    <border>
      <left style="thin">
        <color rgb="FF000000"/>
      </left>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thick">
        <color rgb="FF000000"/>
      </left>
      <top style="thin">
        <color rgb="FF000000"/>
      </top>
      <bottom style="thin">
        <color rgb="FF000000"/>
      </bottom>
    </border>
    <border>
      <left style="thick">
        <color rgb="FF000000"/>
      </left>
      <bottom style="thick">
        <color rgb="FF000000"/>
      </bottom>
    </border>
    <border>
      <left style="thin">
        <color rgb="FF000000"/>
      </left>
      <top style="thick">
        <color rgb="FF000000"/>
      </top>
      <bottom style="thick">
        <color rgb="FF000000"/>
      </bottom>
    </border>
    <border>
      <left style="thin">
        <color rgb="FF000000"/>
      </left>
      <right style="thin">
        <color rgb="FF000000"/>
      </right>
      <top style="thick">
        <color rgb="FF000000"/>
      </top>
      <bottom style="thick">
        <color rgb="FF000000"/>
      </bottom>
    </border>
    <border>
      <right style="thin">
        <color rgb="FF000000"/>
      </right>
      <top style="thick">
        <color rgb="FF000000"/>
      </top>
      <bottom style="thick">
        <color rgb="FF000000"/>
      </bottom>
    </border>
    <border>
      <right style="thin">
        <color rgb="FF000000"/>
      </right>
      <top style="thin">
        <color rgb="FF000000"/>
      </top>
      <bottom style="medium">
        <color rgb="FF000000"/>
      </bottom>
    </border>
    <border>
      <left style="thick">
        <color rgb="FF000000"/>
      </left>
      <top style="thin">
        <color rgb="FF000000"/>
      </top>
    </border>
    <border>
      <left style="thin">
        <color rgb="FF000000"/>
      </left>
      <right style="thick">
        <color rgb="FF000000"/>
      </right>
      <top style="thick">
        <color rgb="FF000000"/>
      </top>
      <bottom style="thick">
        <color rgb="FF000000"/>
      </bottom>
    </border>
    <border>
      <left style="thin">
        <color rgb="FF000000"/>
      </left>
      <right style="medium">
        <color rgb="FF000000"/>
      </right>
      <top style="thin">
        <color rgb="FF000000"/>
      </top>
      <bottom style="medium">
        <color rgb="FF000000"/>
      </bottom>
    </border>
    <border>
      <right style="thin">
        <color rgb="FF000000"/>
      </right>
      <top style="thin">
        <color rgb="FF000000"/>
      </top>
    </border>
    <border>
      <left style="thick">
        <color rgb="FF000000"/>
      </left>
      <right style="thick">
        <color rgb="FF000000"/>
      </right>
      <top style="thick">
        <color rgb="FF000000"/>
      </top>
      <bottom style="thin">
        <color rgb="FF000000"/>
      </bottom>
    </border>
    <border>
      <left style="thin">
        <color rgb="FF000000"/>
      </left>
      <right style="thin">
        <color rgb="FF000000"/>
      </right>
    </border>
    <border>
      <left style="thin">
        <color rgb="FF000000"/>
      </left>
      <right style="thick">
        <color rgb="FF000000"/>
      </right>
    </border>
    <border>
      <bottom style="thin">
        <color rgb="FF000000"/>
      </bottom>
    </border>
    <border>
      <left style="thick">
        <color rgb="FF000000"/>
      </left>
      <top style="thin">
        <color rgb="FF000000"/>
      </top>
      <bottom style="thick">
        <color rgb="FF000000"/>
      </bottom>
    </border>
    <border>
      <right style="thin">
        <color rgb="FF000000"/>
      </right>
      <top style="thin">
        <color rgb="FF000000"/>
      </top>
      <bottom style="thick">
        <color rgb="FF000000"/>
      </bottom>
    </border>
    <border>
      <right style="thick">
        <color rgb="FF000000"/>
      </right>
      <bottom style="thin">
        <color rgb="FF000000"/>
      </bottom>
    </border>
    <border>
      <left style="thin">
        <color rgb="FF000000"/>
      </left>
      <right style="thick">
        <color rgb="FF000000"/>
      </right>
      <top style="thin">
        <color rgb="FF000000"/>
      </top>
      <bottom style="thick">
        <color rgb="FF000000"/>
      </bottom>
    </border>
    <border>
      <left style="thick">
        <color rgb="FF000000"/>
      </left>
      <right style="thick">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left style="thick">
        <color rgb="FF000000"/>
      </left>
      <top style="thick">
        <color rgb="FF000000"/>
      </top>
      <bottom style="thin">
        <color rgb="FF000000"/>
      </bottom>
    </border>
    <border>
      <right style="thick">
        <color rgb="FF000000"/>
      </right>
      <top style="thick">
        <color rgb="FF000000"/>
      </top>
      <bottom style="thick">
        <color rgb="FF000000"/>
      </bottom>
    </border>
    <border>
      <left style="thick">
        <color rgb="FF000000"/>
      </left>
      <right style="thin">
        <color rgb="FF000000"/>
      </right>
      <top style="thick">
        <color rgb="FF000000"/>
      </top>
      <bottom style="thin">
        <color rgb="FF000000"/>
      </bottom>
    </border>
    <border>
      <left style="thick">
        <color rgb="FF000000"/>
      </left>
      <bottom style="thin">
        <color rgb="FF000000"/>
      </bottom>
    </border>
    <border>
      <left style="thin">
        <color rgb="FF000000"/>
      </left>
      <bottom style="thin">
        <color rgb="FF000000"/>
      </bottom>
    </border>
    <border>
      <left style="thick">
        <color rgb="FF000000"/>
      </left>
      <right style="thin">
        <color rgb="FF000000"/>
      </right>
      <top style="thin">
        <color rgb="FF000000"/>
      </top>
      <bottom style="thin">
        <color rgb="FF000000"/>
      </bottom>
    </border>
    <border>
      <left style="thick">
        <color rgb="FF000000"/>
      </left>
      <right style="thick">
        <color rgb="FF000000"/>
      </right>
      <top style="thin">
        <color rgb="FF000000"/>
      </top>
    </border>
    <border>
      <left style="thin">
        <color rgb="FF000000"/>
      </left>
      <top style="thin">
        <color rgb="FF000000"/>
      </top>
    </border>
    <border>
      <left style="thin">
        <color rgb="FF000000"/>
      </left>
      <right style="thick">
        <color rgb="FF000000"/>
      </right>
      <top style="thin">
        <color rgb="FF000000"/>
      </top>
    </border>
    <border>
      <left style="thick">
        <color rgb="FF000000"/>
      </left>
      <right style="thin">
        <color rgb="FF000000"/>
      </right>
      <top style="thin">
        <color rgb="FF000000"/>
      </top>
      <bottom style="thick">
        <color rgb="FF000000"/>
      </bottom>
    </border>
    <border>
      <top style="thin">
        <color rgb="FF000000"/>
      </top>
    </border>
    <border>
      <right style="thick">
        <color rgb="FF000000"/>
      </right>
      <top style="thin">
        <color rgb="FF000000"/>
      </top>
    </border>
    <border>
      <left style="thin">
        <color rgb="FF000000"/>
      </left>
      <top style="thick">
        <color rgb="FF000000"/>
      </top>
    </border>
    <border>
      <right style="thin">
        <color rgb="FF000000"/>
      </right>
    </border>
    <border>
      <right style="thin">
        <color rgb="FF000000"/>
      </right>
      <bottom style="thick">
        <color rgb="FF000000"/>
      </bottom>
    </border>
    <border>
      <left style="thin">
        <color rgb="FFA6A6A6"/>
      </left>
      <right style="thin">
        <color rgb="FFA6A6A6"/>
      </right>
      <top style="thin">
        <color rgb="FFA6A6A6"/>
      </top>
      <bottom style="thin">
        <color rgb="FFA6A6A6"/>
      </bottom>
    </border>
  </borders>
  <cellStyleXfs count="1">
    <xf borderId="0" fillId="0" fontId="0" numFmtId="0" applyAlignment="1" applyFont="1"/>
  </cellStyleXfs>
  <cellXfs count="281">
    <xf borderId="0" fillId="0" fontId="0" numFmtId="0" xfId="0" applyAlignment="1" applyFont="1">
      <alignment readingOrder="0" shrinkToFit="0" vertical="bottom" wrapText="0"/>
    </xf>
    <xf borderId="1" fillId="0" fontId="1" numFmtId="0" xfId="0" applyAlignment="1" applyBorder="1" applyFont="1">
      <alignment vertical="center"/>
    </xf>
    <xf borderId="2" fillId="0" fontId="2" numFmtId="0" xfId="0" applyAlignment="1" applyBorder="1" applyFont="1">
      <alignment horizontal="center" readingOrder="0"/>
    </xf>
    <xf borderId="3" fillId="0" fontId="3" numFmtId="0" xfId="0" applyBorder="1" applyFont="1"/>
    <xf borderId="4" fillId="0" fontId="3" numFmtId="0" xfId="0" applyBorder="1" applyFont="1"/>
    <xf borderId="0" fillId="0" fontId="2" numFmtId="0" xfId="0" applyAlignment="1" applyFont="1">
      <alignment horizontal="center" readingOrder="0"/>
    </xf>
    <xf borderId="0" fillId="0" fontId="1" numFmtId="0" xfId="0" applyAlignment="1" applyFont="1">
      <alignment vertical="center"/>
    </xf>
    <xf borderId="5" fillId="0" fontId="3" numFmtId="0" xfId="0" applyBorder="1" applyFont="1"/>
    <xf borderId="6" fillId="0" fontId="4" numFmtId="0" xfId="0" applyAlignment="1" applyBorder="1" applyFont="1">
      <alignment readingOrder="0"/>
    </xf>
    <xf borderId="6" fillId="0" fontId="1" numFmtId="0" xfId="0" applyAlignment="1" applyBorder="1" applyFont="1">
      <alignment readingOrder="0"/>
    </xf>
    <xf borderId="7" fillId="0" fontId="1" numFmtId="0" xfId="0" applyAlignment="1" applyBorder="1" applyFont="1">
      <alignment readingOrder="0"/>
    </xf>
    <xf borderId="8" fillId="0" fontId="3" numFmtId="0" xfId="0" applyBorder="1" applyFont="1"/>
    <xf borderId="0" fillId="0" fontId="1" numFmtId="0" xfId="0" applyAlignment="1" applyFont="1">
      <alignment readingOrder="0"/>
    </xf>
    <xf borderId="6" fillId="0" fontId="4" numFmtId="0" xfId="0" applyAlignment="1" applyBorder="1" applyFont="1">
      <alignment readingOrder="0" shrinkToFit="0" vertical="center" wrapText="1"/>
    </xf>
    <xf borderId="9" fillId="0" fontId="3" numFmtId="0" xfId="0" applyBorder="1" applyFont="1"/>
    <xf borderId="6" fillId="0" fontId="1" numFmtId="0" xfId="0" applyAlignment="1" applyBorder="1" applyFont="1">
      <alignment readingOrder="0" shrinkToFit="0" vertical="center" wrapText="1"/>
    </xf>
    <xf borderId="10" fillId="0" fontId="4" numFmtId="0" xfId="0" applyAlignment="1" applyBorder="1" applyFont="1">
      <alignment readingOrder="0" vertical="center"/>
    </xf>
    <xf borderId="7" fillId="0" fontId="1" numFmtId="0" xfId="0" applyAlignment="1" applyBorder="1" applyFont="1">
      <alignment readingOrder="0" shrinkToFit="0" wrapText="1"/>
    </xf>
    <xf borderId="0" fillId="0" fontId="1" numFmtId="0" xfId="0" applyAlignment="1" applyFont="1">
      <alignment shrinkToFit="0" wrapText="1"/>
    </xf>
    <xf borderId="11" fillId="0" fontId="3" numFmtId="0" xfId="0" applyBorder="1" applyFont="1"/>
    <xf borderId="10" fillId="0" fontId="1" numFmtId="0" xfId="0" applyAlignment="1" applyBorder="1" applyFont="1">
      <alignment readingOrder="0" vertical="center"/>
    </xf>
    <xf borderId="12" fillId="0" fontId="1" numFmtId="0" xfId="0" applyAlignment="1" applyBorder="1" applyFont="1">
      <alignment readingOrder="0" shrinkToFit="0" wrapText="1"/>
    </xf>
    <xf borderId="13" fillId="0" fontId="3" numFmtId="0" xfId="0" applyBorder="1" applyFont="1"/>
    <xf borderId="0" fillId="0" fontId="1" numFmtId="0" xfId="0" applyAlignment="1" applyFont="1">
      <alignment readingOrder="0" shrinkToFit="0" wrapText="1"/>
    </xf>
    <xf borderId="0" fillId="0" fontId="1" numFmtId="0" xfId="0" applyAlignment="1" applyFont="1">
      <alignment horizontal="center" readingOrder="0"/>
    </xf>
    <xf borderId="6" fillId="0" fontId="5" numFmtId="0" xfId="0" applyAlignment="1" applyBorder="1" applyFont="1">
      <alignment horizontal="center" vertical="bottom"/>
    </xf>
    <xf borderId="14" fillId="0" fontId="3" numFmtId="0" xfId="0" applyBorder="1" applyFont="1"/>
    <xf borderId="15" fillId="0" fontId="5" numFmtId="0" xfId="0" applyAlignment="1" applyBorder="1" applyFont="1">
      <alignment horizontal="center" shrinkToFit="0" vertical="bottom" wrapText="1"/>
    </xf>
    <xf borderId="7" fillId="0" fontId="5" numFmtId="0" xfId="0" applyAlignment="1" applyBorder="1" applyFont="1">
      <alignment horizontal="center" vertical="bottom"/>
    </xf>
    <xf borderId="15" fillId="0" fontId="3" numFmtId="0" xfId="0" applyBorder="1" applyFont="1"/>
    <xf borderId="0" fillId="0" fontId="6" numFmtId="0" xfId="0" applyAlignment="1" applyFont="1">
      <alignment vertical="bottom"/>
    </xf>
    <xf borderId="16" fillId="0" fontId="1" numFmtId="0" xfId="0" applyAlignment="1" applyBorder="1" applyFont="1">
      <alignment horizontal="center" readingOrder="0" vertical="center"/>
    </xf>
    <xf borderId="0" fillId="0" fontId="7" numFmtId="0" xfId="0" applyAlignment="1" applyFont="1">
      <alignment horizontal="center" vertical="bottom"/>
    </xf>
    <xf borderId="17" fillId="2" fontId="8" numFmtId="0" xfId="0" applyAlignment="1" applyBorder="1" applyFill="1" applyFont="1">
      <alignment horizontal="center" readingOrder="0" shrinkToFit="0" wrapText="0"/>
    </xf>
    <xf borderId="6" fillId="0" fontId="9" numFmtId="0" xfId="0" applyAlignment="1" applyBorder="1" applyFont="1">
      <alignment horizontal="center" readingOrder="0" vertical="center"/>
    </xf>
    <xf borderId="16" fillId="0" fontId="3" numFmtId="0" xfId="0" applyBorder="1" applyFont="1"/>
    <xf borderId="6" fillId="0" fontId="10" numFmtId="0" xfId="0" applyAlignment="1" applyBorder="1" applyFont="1">
      <alignment horizontal="left" readingOrder="0" shrinkToFit="0" vertical="center" wrapText="1"/>
    </xf>
    <xf borderId="16" fillId="2" fontId="8" numFmtId="0" xfId="0" applyAlignment="1" applyBorder="1" applyFill="1" applyFont="1">
      <alignment horizontal="center" readingOrder="0" shrinkToFit="0" wrapText="0"/>
    </xf>
    <xf borderId="7" fillId="0" fontId="10" numFmtId="0" xfId="0" applyAlignment="1" applyBorder="1" applyFont="1">
      <alignment horizontal="left" readingOrder="0" shrinkToFit="0" vertical="center" wrapText="1"/>
    </xf>
    <xf borderId="18" fillId="0" fontId="3" numFmtId="0" xfId="0" applyBorder="1" applyFont="1"/>
    <xf borderId="0" fillId="0" fontId="11" numFmtId="0" xfId="0" applyFont="1"/>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1"/>
    </xf>
    <xf borderId="0" fillId="0" fontId="12" numFmtId="0" xfId="0" applyAlignment="1" applyFont="1">
      <alignment readingOrder="0" shrinkToFit="0" vertical="center" wrapText="1"/>
    </xf>
    <xf borderId="3" fillId="0" fontId="13" numFmtId="0" xfId="0" applyAlignment="1" applyBorder="1" applyFont="1">
      <alignment horizontal="center" vertical="bottom"/>
    </xf>
    <xf borderId="7" fillId="0" fontId="9" numFmtId="0" xfId="0" applyAlignment="1" applyBorder="1" applyFont="1">
      <alignment readingOrder="0" vertical="center"/>
    </xf>
    <xf borderId="19" fillId="0" fontId="3" numFmtId="0" xfId="0" applyBorder="1" applyFont="1"/>
    <xf borderId="20" fillId="0" fontId="1" numFmtId="0" xfId="0" applyAlignment="1" applyBorder="1" applyFont="1">
      <alignment horizontal="center" vertical="center"/>
    </xf>
    <xf borderId="21" fillId="0" fontId="3" numFmtId="0" xfId="0" applyBorder="1" applyFont="1"/>
    <xf borderId="22" fillId="0" fontId="3" numFmtId="0" xfId="0" applyBorder="1" applyFont="1"/>
    <xf borderId="0" fillId="0" fontId="13" numFmtId="0" xfId="0" applyAlignment="1" applyFont="1">
      <alignment horizontal="center" vertical="bottom"/>
    </xf>
    <xf borderId="23" fillId="0" fontId="1" numFmtId="0" xfId="0" applyAlignment="1" applyBorder="1" applyFont="1">
      <alignment horizontal="center" readingOrder="0"/>
    </xf>
    <xf borderId="0" fillId="0" fontId="10" numFmtId="0" xfId="0" applyAlignment="1" applyFont="1">
      <alignment horizontal="left" readingOrder="0" shrinkToFit="0" vertical="center" wrapText="1"/>
    </xf>
    <xf borderId="24" fillId="0" fontId="6" numFmtId="0" xfId="0" applyAlignment="1" applyBorder="1" applyFont="1">
      <alignment horizontal="center"/>
    </xf>
    <xf borderId="25" fillId="0" fontId="6" numFmtId="0" xfId="0" applyAlignment="1" applyBorder="1" applyFont="1">
      <alignment horizontal="center"/>
    </xf>
    <xf borderId="26" fillId="0" fontId="3" numFmtId="0" xfId="0" applyBorder="1" applyFont="1"/>
    <xf borderId="27" fillId="0" fontId="3" numFmtId="0" xfId="0" applyBorder="1" applyFont="1"/>
    <xf borderId="15" fillId="0" fontId="6" numFmtId="0" xfId="0" applyAlignment="1" applyBorder="1" applyFont="1">
      <alignment readingOrder="0" vertical="bottom"/>
    </xf>
    <xf borderId="6" fillId="0" fontId="6" numFmtId="0" xfId="0" applyAlignment="1" applyBorder="1" applyFont="1">
      <alignment horizontal="center" readingOrder="0" vertical="bottom"/>
    </xf>
    <xf borderId="28" fillId="0" fontId="3" numFmtId="0" xfId="0" applyBorder="1" applyFont="1"/>
    <xf borderId="29" fillId="0" fontId="3" numFmtId="0" xfId="0" applyBorder="1" applyFont="1"/>
    <xf borderId="26" fillId="0" fontId="13" numFmtId="0" xfId="0" applyAlignment="1" applyBorder="1" applyFont="1">
      <alignment horizontal="center" vertical="bottom"/>
    </xf>
    <xf borderId="7" fillId="0" fontId="9" numFmtId="0" xfId="0" applyAlignment="1" applyBorder="1" applyFont="1">
      <alignment readingOrder="0" shrinkToFit="0" vertical="center" wrapText="1"/>
    </xf>
    <xf borderId="15" fillId="0" fontId="6" numFmtId="0" xfId="0" applyAlignment="1" applyBorder="1" applyFont="1">
      <alignment readingOrder="0" shrinkToFit="0" vertical="bottom" wrapText="1"/>
    </xf>
    <xf borderId="20" fillId="0" fontId="6" numFmtId="0" xfId="0" applyBorder="1" applyFont="1"/>
    <xf borderId="6" fillId="0" fontId="9" numFmtId="0" xfId="0" applyAlignment="1" applyBorder="1" applyFont="1">
      <alignment horizontal="center" readingOrder="0"/>
    </xf>
    <xf borderId="6" fillId="0" fontId="9" numFmtId="0" xfId="0" applyAlignment="1" applyBorder="1" applyFont="1">
      <alignment readingOrder="0" vertical="center"/>
    </xf>
    <xf borderId="6" fillId="0" fontId="6" numFmtId="0" xfId="0" applyAlignment="1" applyBorder="1" applyFont="1">
      <alignment horizontal="center" vertical="bottom"/>
    </xf>
    <xf borderId="30" fillId="0" fontId="1" numFmtId="0" xfId="0" applyAlignment="1" applyBorder="1" applyFont="1">
      <alignment horizontal="center" readingOrder="0"/>
    </xf>
    <xf borderId="23" fillId="0" fontId="6" numFmtId="0" xfId="0" applyAlignment="1" applyBorder="1" applyFont="1">
      <alignment horizontal="center" vertical="bottom"/>
    </xf>
    <xf borderId="6" fillId="0" fontId="9" numFmtId="0" xfId="0" applyAlignment="1" applyBorder="1" applyFont="1">
      <alignment readingOrder="0"/>
    </xf>
    <xf borderId="31" fillId="0" fontId="6" numFmtId="0" xfId="0" applyAlignment="1" applyBorder="1" applyFont="1">
      <alignment horizontal="center" vertical="bottom"/>
    </xf>
    <xf borderId="32" fillId="0" fontId="1" numFmtId="0" xfId="0" applyAlignment="1" applyBorder="1" applyFont="1">
      <alignment horizontal="center" readingOrder="0" vertical="center"/>
    </xf>
    <xf borderId="15" fillId="0" fontId="1" numFmtId="0" xfId="0" applyAlignment="1" applyBorder="1" applyFont="1">
      <alignment readingOrder="0"/>
    </xf>
    <xf borderId="33" fillId="2" fontId="14" numFmtId="0" xfId="0" applyAlignment="1" applyBorder="1" applyFill="1" applyFont="1">
      <alignment horizontal="center" readingOrder="0" shrinkToFit="0" wrapText="0"/>
    </xf>
    <xf borderId="32" fillId="0" fontId="6" numFmtId="0" xfId="0" applyAlignment="1" applyBorder="1" applyFont="1">
      <alignment horizontal="center" vertical="center"/>
    </xf>
    <xf borderId="15" fillId="0" fontId="6" numFmtId="0" xfId="0" applyAlignment="1" applyBorder="1" applyFont="1">
      <alignment vertical="bottom"/>
    </xf>
    <xf borderId="34" fillId="0" fontId="6" numFmtId="0" xfId="0" applyAlignment="1" applyBorder="1" applyFont="1">
      <alignment vertical="bottom"/>
    </xf>
    <xf borderId="35" fillId="0" fontId="3" numFmtId="0" xfId="0" applyBorder="1" applyFont="1"/>
    <xf borderId="33" fillId="2" fontId="15" numFmtId="0" xfId="0" applyAlignment="1" applyBorder="1" applyFill="1" applyFont="1">
      <alignment horizontal="center" vertical="bottom"/>
    </xf>
    <xf borderId="6" fillId="0" fontId="6" numFmtId="0" xfId="0" applyAlignment="1" applyBorder="1" applyFont="1">
      <alignment horizontal="center" shrinkToFit="0" vertical="bottom" wrapText="1"/>
    </xf>
    <xf borderId="36" fillId="0" fontId="6" numFmtId="0" xfId="0" applyAlignment="1" applyBorder="1" applyFont="1">
      <alignment horizontal="center" readingOrder="0" shrinkToFit="0" vertical="bottom" wrapText="1"/>
    </xf>
    <xf borderId="0" fillId="0" fontId="1" numFmtId="0" xfId="0" applyAlignment="1" applyFont="1">
      <alignment horizontal="left" readingOrder="0" shrinkToFit="0" vertical="center" wrapText="1"/>
    </xf>
    <xf borderId="33" fillId="2" fontId="8" numFmtId="0" xfId="0" applyAlignment="1" applyBorder="1" applyFill="1" applyFont="1">
      <alignment horizontal="center" readingOrder="0" shrinkToFit="0" wrapText="0"/>
    </xf>
    <xf borderId="7" fillId="0" fontId="16" numFmtId="0" xfId="0" applyAlignment="1" applyBorder="1" applyFont="1">
      <alignment vertical="center"/>
    </xf>
    <xf borderId="37" fillId="0" fontId="6" numFmtId="0" xfId="0" applyAlignment="1" applyBorder="1" applyFont="1">
      <alignment horizontal="center" readingOrder="0" shrinkToFit="0" vertical="bottom" wrapText="1"/>
    </xf>
    <xf borderId="33" fillId="2" fontId="17" numFmtId="0" xfId="0" applyAlignment="1" applyBorder="1" applyFill="1" applyFont="1">
      <alignment horizontal="center" vertical="bottom"/>
    </xf>
    <xf borderId="0" fillId="0" fontId="9" numFmtId="0" xfId="0" applyAlignment="1" applyFont="1">
      <alignment readingOrder="0" shrinkToFit="0" vertical="center" wrapText="1"/>
    </xf>
    <xf borderId="38" fillId="0" fontId="6" numFmtId="0" xfId="0" applyAlignment="1" applyBorder="1" applyFont="1">
      <alignment horizontal="center" readingOrder="0" shrinkToFit="0" vertical="bottom" wrapText="1"/>
    </xf>
    <xf borderId="39" fillId="0" fontId="1" numFmtId="0" xfId="0" applyAlignment="1" applyBorder="1" applyFont="1">
      <alignment readingOrder="0"/>
    </xf>
    <xf borderId="40" fillId="0" fontId="6" numFmtId="0" xfId="0" applyAlignment="1" applyBorder="1" applyFont="1">
      <alignment vertical="bottom"/>
    </xf>
    <xf borderId="0" fillId="0" fontId="11" numFmtId="0" xfId="0" applyAlignment="1" applyFont="1">
      <alignment horizontal="center" readingOrder="0" vertical="center"/>
    </xf>
    <xf borderId="41" fillId="0" fontId="6" numFmtId="0" xfId="0" applyAlignment="1" applyBorder="1" applyFont="1">
      <alignment horizontal="center" readingOrder="0" shrinkToFit="0" vertical="bottom" wrapText="1"/>
    </xf>
    <xf borderId="42" fillId="2" fontId="8" numFmtId="0" xfId="0" applyAlignment="1" applyBorder="1" applyFill="1" applyFont="1">
      <alignment horizontal="center" readingOrder="0" shrinkToFit="0" wrapText="0"/>
    </xf>
    <xf borderId="43" fillId="0" fontId="3" numFmtId="0" xfId="0" applyBorder="1" applyFont="1"/>
    <xf borderId="0" fillId="0" fontId="11" numFmtId="0" xfId="0" applyAlignment="1" applyFont="1">
      <alignment readingOrder="0" shrinkToFit="0" vertical="center" wrapText="1"/>
    </xf>
    <xf borderId="44" fillId="0" fontId="13" numFmtId="0" xfId="0" applyAlignment="1" applyBorder="1" applyFont="1">
      <alignment horizontal="center" vertical="bottom"/>
    </xf>
    <xf borderId="45" fillId="0" fontId="6" numFmtId="0" xfId="0" applyAlignment="1" applyBorder="1" applyFont="1">
      <alignment horizontal="center" readingOrder="0" vertical="bottom"/>
    </xf>
    <xf borderId="39" fillId="0" fontId="6" numFmtId="0" xfId="0" applyAlignment="1" applyBorder="1" applyFont="1">
      <alignment vertical="bottom"/>
    </xf>
    <xf borderId="46" fillId="0" fontId="6" numFmtId="0" xfId="0" applyAlignment="1" applyBorder="1" applyFont="1">
      <alignment horizontal="center" readingOrder="0" vertical="bottom"/>
    </xf>
    <xf borderId="42" fillId="2" fontId="17" numFmtId="0" xfId="0" applyAlignment="1" applyBorder="1" applyFill="1" applyFont="1">
      <alignment horizontal="center" vertical="bottom"/>
    </xf>
    <xf borderId="0" fillId="0" fontId="18" numFmtId="0" xfId="0" applyAlignment="1" applyFont="1">
      <alignment horizontal="left" readingOrder="0" shrinkToFit="0" vertical="center" wrapText="1"/>
    </xf>
    <xf borderId="0" fillId="0" fontId="6" numFmtId="0" xfId="0" applyFont="1"/>
    <xf borderId="47" fillId="0" fontId="13" numFmtId="0" xfId="0" applyAlignment="1" applyBorder="1" applyFont="1">
      <alignment horizontal="center" vertical="bottom"/>
    </xf>
    <xf borderId="0" fillId="0" fontId="11" numFmtId="0" xfId="0" applyAlignment="1" applyFont="1">
      <alignment readingOrder="0" shrinkToFit="0" wrapText="1"/>
    </xf>
    <xf borderId="48" fillId="0" fontId="6" numFmtId="0" xfId="0" applyAlignment="1" applyBorder="1" applyFont="1">
      <alignment readingOrder="0" vertical="bottom"/>
    </xf>
    <xf borderId="49" fillId="0" fontId="3" numFmtId="0" xfId="0" applyBorder="1" applyFont="1"/>
    <xf borderId="47" fillId="0" fontId="3" numFmtId="0" xfId="0" applyBorder="1" applyFont="1"/>
    <xf borderId="0" fillId="0" fontId="9" numFmtId="0" xfId="0" applyAlignment="1" applyFont="1">
      <alignment horizontal="center" readingOrder="0" vertical="center"/>
    </xf>
    <xf borderId="10" fillId="0" fontId="6" numFmtId="0" xfId="0" applyAlignment="1" applyBorder="1" applyFont="1">
      <alignment horizontal="center" vertical="bottom"/>
    </xf>
    <xf borderId="20" fillId="0" fontId="1" numFmtId="0" xfId="0" applyAlignment="1" applyBorder="1" applyFont="1">
      <alignment horizontal="center"/>
    </xf>
    <xf borderId="50" fillId="0" fontId="3" numFmtId="0" xfId="0" applyBorder="1" applyFont="1"/>
    <xf borderId="20" fillId="0" fontId="6" numFmtId="0" xfId="0" applyAlignment="1" applyBorder="1" applyFont="1">
      <alignment vertical="bottom"/>
    </xf>
    <xf borderId="0" fillId="0" fontId="11" numFmtId="0" xfId="0" applyAlignment="1" applyFont="1">
      <alignment horizontal="center" readingOrder="0" shrinkToFit="0" vertical="center" wrapText="1"/>
    </xf>
    <xf borderId="51" fillId="0" fontId="6" numFmtId="0" xfId="0" applyAlignment="1" applyBorder="1" applyFont="1">
      <alignment horizontal="center" vertical="bottom"/>
    </xf>
    <xf borderId="0" fillId="0" fontId="18" numFmtId="0" xfId="0" applyAlignment="1" applyFont="1">
      <alignment horizontal="center" readingOrder="0" shrinkToFit="0" vertical="center" wrapText="1"/>
    </xf>
    <xf borderId="0" fillId="0" fontId="19" numFmtId="0" xfId="0" applyAlignment="1" applyFont="1">
      <alignment shrinkToFit="0" vertical="center" wrapText="1"/>
    </xf>
    <xf borderId="0" fillId="0" fontId="6" numFmtId="0" xfId="0" applyAlignment="1" applyFont="1">
      <alignment vertical="bottom"/>
    </xf>
    <xf borderId="0" fillId="0" fontId="19" numFmtId="0" xfId="0" applyAlignment="1" applyFont="1">
      <alignment horizontal="center" shrinkToFit="0" wrapText="1"/>
    </xf>
    <xf borderId="52" fillId="0" fontId="6" numFmtId="0" xfId="0" applyAlignment="1" applyBorder="1" applyFont="1">
      <alignment vertical="bottom"/>
    </xf>
    <xf borderId="0" fillId="0" fontId="11" numFmtId="0" xfId="0" applyAlignment="1" applyFont="1">
      <alignment readingOrder="0"/>
    </xf>
    <xf borderId="53" fillId="0" fontId="6" numFmtId="0" xfId="0" applyAlignment="1" applyBorder="1" applyFont="1">
      <alignment horizontal="center" vertical="bottom"/>
    </xf>
    <xf borderId="54" fillId="0" fontId="3" numFmtId="0" xfId="0" applyBorder="1" applyFont="1"/>
    <xf borderId="47" fillId="0" fontId="1" numFmtId="0" xfId="0" applyAlignment="1" applyBorder="1" applyFont="1">
      <alignment horizontal="center" readingOrder="0"/>
    </xf>
    <xf borderId="55" fillId="2" fontId="6" numFmtId="0" xfId="0" applyAlignment="1" applyBorder="1" applyFill="1" applyFont="1">
      <alignment horizontal="center" vertical="bottom"/>
    </xf>
    <xf borderId="7" fillId="0" fontId="10" numFmtId="0" xfId="0" applyAlignment="1" applyBorder="1" applyFont="1">
      <alignment horizontal="center" readingOrder="0" shrinkToFit="0" wrapText="1"/>
    </xf>
    <xf borderId="56" fillId="0" fontId="3" numFmtId="0" xfId="0" applyBorder="1" applyFont="1"/>
    <xf borderId="31" fillId="3" fontId="20" numFmtId="0" xfId="0" applyAlignment="1" applyBorder="1" applyFill="1" applyFont="1">
      <alignment horizontal="center" readingOrder="0" shrinkToFit="0" wrapText="0"/>
    </xf>
    <xf borderId="57" fillId="0" fontId="6" numFmtId="0" xfId="0" applyBorder="1" applyFont="1"/>
    <xf borderId="0" fillId="0" fontId="12" numFmtId="0" xfId="0" applyAlignment="1" applyFont="1">
      <alignment horizontal="left" readingOrder="0" shrinkToFit="0" vertical="center" wrapText="1"/>
    </xf>
    <xf borderId="2" fillId="0" fontId="6" numFmtId="0" xfId="0" applyAlignment="1" applyBorder="1" applyFont="1">
      <alignment horizontal="center" shrinkToFit="0" wrapText="1"/>
    </xf>
    <xf borderId="0" fillId="3" fontId="21" numFmtId="0" xfId="0" applyAlignment="1" applyFill="1" applyFont="1">
      <alignment horizontal="center" shrinkToFit="0" wrapText="0"/>
    </xf>
    <xf borderId="58" fillId="2" fontId="6" numFmtId="0" xfId="0" applyAlignment="1" applyBorder="1" applyFill="1" applyFont="1">
      <alignment shrinkToFit="0" vertical="bottom" wrapText="1"/>
    </xf>
    <xf borderId="2" fillId="0" fontId="6" numFmtId="0" xfId="0" applyAlignment="1" applyBorder="1" applyFont="1">
      <alignment horizontal="center" shrinkToFit="0" wrapText="1"/>
    </xf>
    <xf borderId="59" fillId="0" fontId="6" numFmtId="0" xfId="0" applyAlignment="1" applyBorder="1" applyFont="1">
      <alignment readingOrder="0" vertical="bottom"/>
    </xf>
    <xf borderId="14" fillId="0" fontId="1" numFmtId="0" xfId="0" applyAlignment="1" applyBorder="1" applyFont="1">
      <alignment horizontal="center" readingOrder="0"/>
    </xf>
    <xf borderId="34" fillId="2" fontId="6" numFmtId="0" xfId="0" applyAlignment="1" applyBorder="1" applyFill="1" applyFont="1">
      <alignment shrinkToFit="0" vertical="center" wrapText="1"/>
    </xf>
    <xf borderId="60" fillId="0" fontId="6" numFmtId="0" xfId="0" applyAlignment="1" applyBorder="1" applyFont="1">
      <alignment horizontal="center" readingOrder="0"/>
    </xf>
    <xf borderId="14" fillId="0" fontId="10" numFmtId="0" xfId="0" applyAlignment="1" applyBorder="1" applyFont="1">
      <alignment horizontal="center" readingOrder="0" shrinkToFit="0" wrapText="1"/>
    </xf>
    <xf borderId="7" fillId="0" fontId="6" numFmtId="0" xfId="0" applyAlignment="1" applyBorder="1" applyFont="1">
      <alignment vertical="bottom"/>
    </xf>
    <xf borderId="7" fillId="0" fontId="1" numFmtId="0" xfId="0" applyAlignment="1" applyBorder="1" applyFont="1">
      <alignment horizontal="center" readingOrder="0"/>
    </xf>
    <xf borderId="7" fillId="0" fontId="6" numFmtId="0" xfId="0" applyAlignment="1" applyBorder="1" applyFont="1">
      <alignment readingOrder="0" vertical="bottom"/>
    </xf>
    <xf borderId="34" fillId="2" fontId="6" numFmtId="0" xfId="0" applyAlignment="1" applyBorder="1" applyFill="1" applyFont="1">
      <alignment shrinkToFit="0" vertical="bottom" wrapText="1"/>
    </xf>
    <xf borderId="7" fillId="0" fontId="6" numFmtId="0" xfId="0" applyAlignment="1" applyBorder="1" applyFont="1">
      <alignment readingOrder="0" shrinkToFit="0" vertical="bottom" wrapText="1"/>
    </xf>
    <xf borderId="0" fillId="0" fontId="16" numFmtId="0" xfId="0" applyAlignment="1" applyFont="1">
      <alignment shrinkToFit="0" vertical="center" wrapText="1"/>
    </xf>
    <xf borderId="61" fillId="0" fontId="6" numFmtId="0" xfId="0" applyAlignment="1" applyBorder="1" applyFont="1">
      <alignment vertical="bottom"/>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7" fillId="0" fontId="6" numFmtId="0" xfId="0" applyAlignment="1" applyBorder="1" applyFont="1">
      <alignment readingOrder="0" shrinkToFit="0" wrapText="1"/>
    </xf>
    <xf borderId="62" fillId="0" fontId="10" numFmtId="0" xfId="0" applyAlignment="1" applyBorder="1" applyFont="1">
      <alignment horizontal="center" readingOrder="0" shrinkToFit="0" wrapText="1"/>
    </xf>
    <xf borderId="63" fillId="3" fontId="20" numFmtId="0" xfId="0" applyAlignment="1" applyBorder="1" applyFill="1" applyFont="1">
      <alignment horizontal="center" readingOrder="0" shrinkToFit="0" wrapText="0"/>
    </xf>
    <xf borderId="34" fillId="2" fontId="6" numFmtId="0" xfId="0" applyAlignment="1" applyBorder="1" applyFill="1" applyFont="1">
      <alignment vertical="bottom"/>
    </xf>
    <xf borderId="64" fillId="0" fontId="6" numFmtId="0" xfId="0" applyAlignment="1" applyBorder="1" applyFont="1">
      <alignment horizontal="center" vertical="bottom"/>
    </xf>
    <xf borderId="19" fillId="0" fontId="1" numFmtId="0" xfId="0" applyAlignment="1" applyBorder="1" applyFont="1">
      <alignment horizontal="center" readingOrder="0"/>
    </xf>
    <xf borderId="10" fillId="0" fontId="6" numFmtId="0" xfId="0" applyAlignment="1" applyBorder="1" applyFont="1">
      <alignment horizontal="center" readingOrder="0" vertical="bottom"/>
    </xf>
    <xf borderId="48" fillId="2" fontId="6" numFmtId="0" xfId="0" applyAlignment="1" applyBorder="1" applyFill="1" applyFont="1">
      <alignment vertical="bottom"/>
    </xf>
    <xf borderId="51" fillId="0" fontId="20" numFmtId="0" xfId="0" applyAlignment="1" applyBorder="1" applyFont="1">
      <alignment horizontal="center" readingOrder="0" vertical="bottom"/>
    </xf>
    <xf borderId="12" fillId="0" fontId="6" numFmtId="0" xfId="0" applyAlignment="1" applyBorder="1" applyFont="1">
      <alignment readingOrder="0" vertical="bottom"/>
    </xf>
    <xf borderId="7" fillId="0" fontId="6" numFmtId="0" xfId="0" applyAlignment="1" applyBorder="1" applyFont="1">
      <alignment vertical="bottom"/>
    </xf>
    <xf borderId="0" fillId="3" fontId="1" numFmtId="0" xfId="0" applyFill="1" applyFont="1"/>
    <xf borderId="60" fillId="0" fontId="6" numFmtId="0" xfId="0" applyBorder="1" applyFont="1"/>
    <xf borderId="7" fillId="0" fontId="6" numFmtId="0" xfId="0" applyAlignment="1" applyBorder="1" applyFont="1">
      <alignment shrinkToFit="0" wrapText="1"/>
    </xf>
    <xf borderId="0" fillId="3" fontId="6" numFmtId="0" xfId="0" applyAlignment="1" applyFill="1" applyFont="1">
      <alignment horizontal="center" shrinkToFit="0" vertical="bottom" wrapText="0"/>
    </xf>
    <xf borderId="64" fillId="0" fontId="6" numFmtId="0" xfId="0" applyBorder="1" applyFont="1"/>
    <xf borderId="12" fillId="0" fontId="6" numFmtId="0" xfId="0" applyAlignment="1" applyBorder="1" applyFont="1">
      <alignment vertical="bottom"/>
    </xf>
    <xf borderId="0" fillId="3" fontId="6" numFmtId="0" xfId="0" applyAlignment="1" applyFill="1" applyFont="1">
      <alignment horizontal="center" readingOrder="0" shrinkToFit="0" wrapText="1"/>
    </xf>
    <xf borderId="12" fillId="0" fontId="6" numFmtId="0" xfId="0" applyAlignment="1" applyBorder="1" applyFont="1">
      <alignment shrinkToFit="0" vertical="bottom" wrapText="1"/>
    </xf>
    <xf borderId="0" fillId="0" fontId="6" numFmtId="0" xfId="0" applyAlignment="1" applyFont="1">
      <alignment horizontal="center" readingOrder="0" shrinkToFit="0" wrapText="1"/>
    </xf>
    <xf borderId="0" fillId="2" fontId="6" numFmtId="0" xfId="0" applyAlignment="1" applyFill="1" applyFont="1">
      <alignment horizontal="center" vertical="bottom"/>
    </xf>
    <xf borderId="0" fillId="0" fontId="22" numFmtId="0" xfId="0" applyAlignment="1" applyFont="1">
      <alignment horizontal="center" vertical="bottom"/>
    </xf>
    <xf borderId="6" fillId="0" fontId="1" numFmtId="0" xfId="0" applyAlignment="1" applyBorder="1" applyFont="1">
      <alignment readingOrder="0" shrinkToFit="0" wrapText="1"/>
    </xf>
    <xf borderId="20" fillId="0" fontId="6" numFmtId="0" xfId="0" applyAlignment="1" applyBorder="1" applyFont="1">
      <alignment horizontal="center" vertical="bottom"/>
    </xf>
    <xf borderId="53" fillId="0" fontId="23" numFmtId="0" xfId="0" applyAlignment="1" applyBorder="1" applyFont="1">
      <alignment horizontal="center" vertical="bottom"/>
    </xf>
    <xf borderId="0" fillId="0" fontId="23" numFmtId="0" xfId="0" applyAlignment="1" applyFont="1">
      <alignment horizontal="center" vertical="bottom"/>
    </xf>
    <xf borderId="55" fillId="0" fontId="13" numFmtId="0" xfId="0" applyAlignment="1" applyBorder="1" applyFont="1">
      <alignment vertical="bottom"/>
    </xf>
    <xf borderId="2" fillId="0" fontId="6" numFmtId="0" xfId="0" applyAlignment="1" applyBorder="1" applyFont="1">
      <alignment vertical="bottom"/>
    </xf>
    <xf borderId="34" fillId="0" fontId="13" numFmtId="0" xfId="0" applyAlignment="1" applyBorder="1" applyFont="1">
      <alignment shrinkToFit="0" vertical="bottom" wrapText="1"/>
    </xf>
    <xf borderId="7" fillId="0" fontId="6" numFmtId="0" xfId="0" applyAlignment="1" applyBorder="1" applyFont="1">
      <alignment horizontal="left" vertical="bottom"/>
    </xf>
    <xf borderId="0" fillId="0" fontId="6" numFmtId="0" xfId="0" applyAlignment="1" applyFont="1">
      <alignment horizontal="left" vertical="bottom"/>
    </xf>
    <xf borderId="7" fillId="0" fontId="6" numFmtId="0" xfId="0" applyAlignment="1" applyBorder="1" applyFont="1">
      <alignment shrinkToFit="0" vertical="bottom" wrapText="1"/>
    </xf>
    <xf borderId="0" fillId="0" fontId="6" numFmtId="0" xfId="0" applyAlignment="1" applyFont="1">
      <alignment shrinkToFit="0" vertical="bottom" wrapText="1"/>
    </xf>
    <xf borderId="40" fillId="0" fontId="13" numFmtId="0" xfId="0" applyAlignment="1" applyBorder="1" applyFont="1">
      <alignment vertical="bottom"/>
    </xf>
    <xf borderId="65" fillId="0" fontId="3" numFmtId="0" xfId="0" applyBorder="1" applyFont="1"/>
    <xf borderId="62" fillId="0" fontId="6" numFmtId="0" xfId="0" applyAlignment="1" applyBorder="1" applyFont="1">
      <alignment vertical="bottom"/>
    </xf>
    <xf borderId="66" fillId="0" fontId="3" numFmtId="0" xfId="0" applyBorder="1" applyFont="1"/>
    <xf borderId="55" fillId="0" fontId="4" numFmtId="0" xfId="0" applyAlignment="1" applyBorder="1" applyFont="1">
      <alignment horizontal="center" readingOrder="0"/>
    </xf>
    <xf borderId="53" fillId="0" fontId="13" numFmtId="0" xfId="0" applyAlignment="1" applyBorder="1" applyFont="1">
      <alignment horizontal="center" vertical="bottom"/>
    </xf>
    <xf borderId="67" fillId="0" fontId="1" numFmtId="0" xfId="0" applyAlignment="1" applyBorder="1" applyFont="1">
      <alignment horizontal="center" vertical="center"/>
    </xf>
    <xf borderId="58" fillId="0" fontId="4" numFmtId="0" xfId="0" applyAlignment="1" applyBorder="1" applyFont="1">
      <alignment horizontal="center" readingOrder="0" shrinkToFit="0" vertical="center" wrapText="1"/>
    </xf>
    <xf borderId="58" fillId="0" fontId="13" numFmtId="0" xfId="0" applyAlignment="1" applyBorder="1" applyFont="1">
      <alignment vertical="bottom"/>
    </xf>
    <xf borderId="24" fillId="0" fontId="3" numFmtId="0" xfId="0" applyBorder="1" applyFont="1"/>
    <xf borderId="47" fillId="2" fontId="24" numFmtId="0" xfId="0" applyAlignment="1" applyBorder="1" applyFill="1" applyFont="1">
      <alignment readingOrder="0"/>
    </xf>
    <xf borderId="60" fillId="0" fontId="1" numFmtId="0" xfId="0" applyAlignment="1" applyBorder="1" applyFont="1">
      <alignment readingOrder="0" vertical="center"/>
    </xf>
    <xf borderId="40" fillId="0" fontId="13" numFmtId="0" xfId="0" applyAlignment="1" applyBorder="1" applyFont="1">
      <alignment shrinkToFit="0" vertical="bottom" wrapText="1"/>
    </xf>
    <xf borderId="30" fillId="0" fontId="3" numFmtId="0" xfId="0" applyBorder="1" applyFont="1"/>
    <xf borderId="17" fillId="0" fontId="6" numFmtId="0" xfId="0" applyAlignment="1" applyBorder="1" applyFont="1">
      <alignment readingOrder="0" shrinkToFit="0" vertical="bottom" wrapText="1"/>
    </xf>
    <xf borderId="1" fillId="0" fontId="6" numFmtId="0" xfId="0" applyAlignment="1" applyBorder="1" applyFont="1">
      <alignment horizontal="center"/>
    </xf>
    <xf borderId="60" fillId="0" fontId="4" numFmtId="0" xfId="0" applyAlignment="1" applyBorder="1" applyFont="1">
      <alignment horizontal="center" readingOrder="0"/>
    </xf>
    <xf borderId="0" fillId="0" fontId="6" numFmtId="0" xfId="0" applyAlignment="1" applyFont="1">
      <alignment readingOrder="0" shrinkToFit="0" vertical="bottom" wrapText="1"/>
    </xf>
    <xf borderId="2" fillId="0" fontId="22" numFmtId="0" xfId="0" applyAlignment="1" applyBorder="1" applyFont="1">
      <alignment horizontal="center" readingOrder="0" vertical="bottom"/>
    </xf>
    <xf borderId="7" fillId="0" fontId="4" numFmtId="0" xfId="0" applyAlignment="1" applyBorder="1" applyFont="1">
      <alignment horizontal="center" readingOrder="0" vertical="center"/>
    </xf>
    <xf borderId="7" fillId="0" fontId="13" numFmtId="0" xfId="0" applyAlignment="1" applyBorder="1" applyFont="1">
      <alignment vertical="bottom"/>
    </xf>
    <xf borderId="53" fillId="0" fontId="23" numFmtId="0" xfId="0" applyAlignment="1" applyBorder="1" applyFont="1">
      <alignment horizontal="center" readingOrder="0" vertical="bottom"/>
    </xf>
    <xf borderId="60" fillId="0" fontId="9" numFmtId="0" xfId="0" applyAlignment="1" applyBorder="1" applyFont="1">
      <alignment readingOrder="0"/>
    </xf>
    <xf borderId="62" fillId="0" fontId="9" numFmtId="0" xfId="0" applyAlignment="1" applyBorder="1" applyFont="1">
      <alignment horizontal="center" readingOrder="0" shrinkToFit="0" vertical="center" wrapText="1"/>
    </xf>
    <xf borderId="60" fillId="0" fontId="1" numFmtId="0" xfId="0" applyAlignment="1" applyBorder="1" applyFont="1">
      <alignment readingOrder="0"/>
    </xf>
    <xf borderId="59" fillId="0" fontId="6" numFmtId="0" xfId="0" applyAlignment="1" applyBorder="1" applyFont="1">
      <alignment vertical="bottom"/>
    </xf>
    <xf borderId="0" fillId="0" fontId="4" numFmtId="0" xfId="0" applyAlignment="1" applyFont="1">
      <alignment horizontal="center" readingOrder="0"/>
    </xf>
    <xf borderId="40" fillId="0" fontId="1" numFmtId="0" xfId="0" applyAlignment="1" applyBorder="1" applyFont="1">
      <alignment horizontal="center" vertical="center"/>
    </xf>
    <xf borderId="68" fillId="0" fontId="3" numFmtId="0" xfId="0" applyBorder="1" applyFont="1"/>
    <xf borderId="57" fillId="0" fontId="4" numFmtId="0" xfId="0" applyAlignment="1" applyBorder="1" applyFont="1">
      <alignment readingOrder="0"/>
    </xf>
    <xf borderId="2" fillId="0" fontId="1" numFmtId="0" xfId="0" applyAlignment="1" applyBorder="1" applyFont="1">
      <alignment horizontal="left" readingOrder="0"/>
    </xf>
    <xf borderId="34" fillId="0" fontId="13" numFmtId="0" xfId="0" applyAlignment="1" applyBorder="1" applyFont="1">
      <alignment vertical="bottom"/>
    </xf>
    <xf borderId="69" fillId="0" fontId="3" numFmtId="0" xfId="0" applyBorder="1" applyFont="1"/>
    <xf borderId="17" fillId="0" fontId="3" numFmtId="0" xfId="0" applyBorder="1" applyFont="1"/>
    <xf borderId="34" fillId="0" fontId="4" numFmtId="0" xfId="0" applyAlignment="1" applyBorder="1" applyFont="1">
      <alignment horizontal="center" readingOrder="0" vertical="center"/>
    </xf>
    <xf borderId="0" fillId="0" fontId="6" numFmtId="0" xfId="0" applyAlignment="1" applyFont="1">
      <alignment readingOrder="0" vertical="bottom"/>
    </xf>
    <xf borderId="57" fillId="0" fontId="1" numFmtId="0" xfId="0" applyAlignment="1" applyBorder="1" applyFont="1">
      <alignment readingOrder="0"/>
    </xf>
    <xf borderId="2" fillId="0" fontId="1" numFmtId="0" xfId="0" applyAlignment="1" applyBorder="1" applyFont="1">
      <alignment readingOrder="0" shrinkToFit="0" wrapText="1"/>
    </xf>
    <xf borderId="26" fillId="0" fontId="1" numFmtId="0" xfId="0" applyAlignment="1" applyBorder="1" applyFont="1">
      <alignment horizontal="center" vertical="center"/>
    </xf>
    <xf borderId="0" fillId="0" fontId="6" numFmtId="0" xfId="0" applyAlignment="1" applyFont="1">
      <alignment horizontal="left" readingOrder="0" vertical="bottom"/>
    </xf>
    <xf borderId="34" fillId="0" fontId="13" numFmtId="0" xfId="0" applyAlignment="1" applyBorder="1" applyFont="1">
      <alignment readingOrder="0" vertical="bottom"/>
    </xf>
    <xf borderId="0" fillId="0" fontId="23" numFmtId="0" xfId="0" applyAlignment="1" applyFont="1">
      <alignment horizontal="center" readingOrder="0" vertical="bottom"/>
    </xf>
    <xf borderId="20" fillId="0" fontId="4" numFmtId="0" xfId="0" applyAlignment="1" applyBorder="1" applyFont="1">
      <alignment horizontal="center" readingOrder="0"/>
    </xf>
    <xf borderId="48" fillId="0" fontId="13" numFmtId="0" xfId="0" applyAlignment="1" applyBorder="1" applyFont="1">
      <alignment readingOrder="0" vertical="bottom"/>
    </xf>
    <xf borderId="62" fillId="0" fontId="1" numFmtId="0" xfId="0" applyAlignment="1" applyBorder="1" applyFont="1">
      <alignment horizontal="center" readingOrder="0" vertical="center"/>
    </xf>
    <xf borderId="0" fillId="2" fontId="7" numFmtId="0" xfId="0" applyAlignment="1" applyFill="1" applyFont="1">
      <alignment horizontal="center" vertical="bottom"/>
    </xf>
    <xf borderId="0" fillId="2" fontId="7" numFmtId="0" xfId="0" applyAlignment="1" applyFill="1" applyFont="1">
      <alignment horizontal="center" shrinkToFit="0" vertical="bottom" wrapText="1"/>
    </xf>
    <xf borderId="0" fillId="0" fontId="19" numFmtId="0" xfId="0" applyAlignment="1" applyFont="1">
      <alignment vertical="bottom"/>
    </xf>
    <xf borderId="0" fillId="0" fontId="19" numFmtId="0" xfId="0" applyAlignment="1" applyFont="1">
      <alignment shrinkToFit="0" vertical="bottom" wrapText="1"/>
    </xf>
    <xf borderId="0" fillId="0" fontId="19" numFmtId="0" xfId="0" applyAlignment="1" applyFont="1">
      <alignment horizontal="right" readingOrder="0" shrinkToFit="0" vertical="bottom" wrapText="1"/>
    </xf>
    <xf borderId="7" fillId="0" fontId="6" numFmtId="0" xfId="0" applyAlignment="1" applyBorder="1" applyFont="1">
      <alignment horizontal="left" readingOrder="0" vertical="bottom"/>
    </xf>
    <xf borderId="0" fillId="0" fontId="19" numFmtId="0" xfId="0" applyAlignment="1" applyFont="1">
      <alignment readingOrder="0" shrinkToFit="0" vertical="bottom" wrapText="1"/>
    </xf>
    <xf borderId="7" fillId="0" fontId="6" numFmtId="0" xfId="0" applyAlignment="1" applyBorder="1" applyFont="1">
      <alignment horizontal="left" shrinkToFit="0" vertical="bottom" wrapText="1"/>
    </xf>
    <xf borderId="62" fillId="0" fontId="6" numFmtId="0" xfId="0" applyAlignment="1" applyBorder="1" applyFont="1">
      <alignment readingOrder="0" shrinkToFit="0" vertical="bottom" wrapText="1"/>
    </xf>
    <xf borderId="48" fillId="0" fontId="13" numFmtId="0" xfId="0" applyAlignment="1" applyBorder="1" applyFont="1">
      <alignment vertical="bottom"/>
    </xf>
    <xf borderId="62" fillId="0" fontId="6" numFmtId="0" xfId="0" applyAlignment="1" applyBorder="1" applyFont="1">
      <alignment shrinkToFit="0" vertical="bottom" wrapText="1"/>
    </xf>
    <xf borderId="0" fillId="0" fontId="19" numFmtId="0" xfId="0" applyAlignment="1" applyFont="1">
      <alignment vertical="bottom"/>
    </xf>
    <xf borderId="0" fillId="0" fontId="19" numFmtId="0" xfId="0" applyAlignment="1" applyFont="1">
      <alignment shrinkToFit="0" vertical="bottom" wrapText="1"/>
    </xf>
    <xf borderId="26" fillId="0" fontId="6" numFmtId="0" xfId="0" applyAlignment="1" applyBorder="1" applyFont="1">
      <alignment vertical="bottom"/>
    </xf>
    <xf borderId="2" fillId="0" fontId="6" numFmtId="0" xfId="0" applyAlignment="1" applyBorder="1" applyFont="1">
      <alignment readingOrder="0" vertical="bottom"/>
    </xf>
    <xf borderId="58" fillId="0" fontId="6" numFmtId="0" xfId="0" applyAlignment="1" applyBorder="1" applyFont="1">
      <alignment vertical="bottom"/>
    </xf>
    <xf borderId="0" fillId="0" fontId="19" numFmtId="0" xfId="0" applyAlignment="1" applyFont="1">
      <alignment horizontal="right" shrinkToFit="0" vertical="bottom" wrapText="1"/>
    </xf>
    <xf borderId="34" fillId="0" fontId="13" numFmtId="0" xfId="0" applyAlignment="1" applyBorder="1" applyFont="1">
      <alignment readingOrder="0" shrinkToFit="0" vertical="bottom" wrapText="1"/>
    </xf>
    <xf borderId="0" fillId="0" fontId="6" numFmtId="1" xfId="0" applyAlignment="1" applyFont="1" applyNumberFormat="1">
      <alignment horizontal="right" readingOrder="0" vertical="bottom"/>
    </xf>
    <xf borderId="1" fillId="0" fontId="1" numFmtId="0" xfId="0" applyAlignment="1" applyBorder="1" applyFont="1">
      <alignment horizontal="center" vertical="center"/>
    </xf>
    <xf borderId="0" fillId="0" fontId="19" numFmtId="0" xfId="0" applyAlignment="1" applyFont="1">
      <alignment readingOrder="0" vertical="bottom"/>
    </xf>
    <xf borderId="12" fillId="0" fontId="6" numFmtId="0" xfId="0" applyAlignment="1" applyBorder="1" applyFont="1">
      <alignment readingOrder="0" shrinkToFit="0" vertical="bottom" wrapText="1"/>
    </xf>
    <xf borderId="55" fillId="0" fontId="22" numFmtId="0" xfId="0" applyAlignment="1" applyBorder="1" applyFont="1">
      <alignment horizontal="center" vertical="bottom"/>
    </xf>
    <xf borderId="26" fillId="0" fontId="13" numFmtId="0" xfId="0" applyAlignment="1" applyBorder="1" applyFont="1">
      <alignment vertical="bottom"/>
    </xf>
    <xf borderId="26" fillId="0" fontId="23" numFmtId="0" xfId="0" applyAlignment="1" applyBorder="1" applyFont="1">
      <alignment horizontal="center" readingOrder="0" vertical="bottom"/>
    </xf>
    <xf borderId="34" fillId="0" fontId="25" numFmtId="0" xfId="0" applyAlignment="1" applyBorder="1" applyFont="1">
      <alignment vertical="bottom"/>
    </xf>
    <xf borderId="7" fillId="0" fontId="17" numFmtId="0" xfId="0" applyAlignment="1" applyBorder="1" applyFont="1">
      <alignment vertical="bottom"/>
    </xf>
    <xf borderId="6" fillId="0" fontId="26" numFmtId="0" xfId="0" applyAlignment="1" applyBorder="1" applyFont="1">
      <alignment vertical="bottom"/>
    </xf>
    <xf borderId="35" fillId="0" fontId="13" numFmtId="0" xfId="0" applyAlignment="1" applyBorder="1" applyFont="1">
      <alignment vertical="bottom"/>
    </xf>
    <xf borderId="17" fillId="0" fontId="6" numFmtId="0" xfId="0" applyAlignment="1" applyBorder="1" applyFont="1">
      <alignment vertical="bottom"/>
    </xf>
    <xf borderId="7" fillId="0" fontId="27" numFmtId="0" xfId="0" applyAlignment="1" applyBorder="1" applyFont="1">
      <alignment vertical="bottom"/>
    </xf>
    <xf borderId="7" fillId="0" fontId="17" numFmtId="0" xfId="0" applyAlignment="1" applyBorder="1" applyFont="1">
      <alignment readingOrder="0" vertical="bottom"/>
    </xf>
    <xf borderId="7" fillId="0" fontId="17" numFmtId="164" xfId="0" applyAlignment="1" applyBorder="1" applyFont="1" applyNumberFormat="1">
      <alignment horizontal="left" vertical="bottom"/>
    </xf>
    <xf borderId="48" fillId="0" fontId="25" numFmtId="0" xfId="0" applyAlignment="1" applyBorder="1" applyFont="1">
      <alignment vertical="bottom"/>
    </xf>
    <xf borderId="12" fillId="0" fontId="17" numFmtId="0" xfId="0" applyAlignment="1" applyBorder="1" applyFont="1">
      <alignment vertical="bottom"/>
    </xf>
    <xf borderId="10" fillId="0" fontId="26" numFmtId="0" xfId="0" applyAlignment="1" applyBorder="1" applyFont="1">
      <alignment vertical="bottom"/>
    </xf>
    <xf borderId="0" fillId="0" fontId="23" numFmtId="0" xfId="0" applyAlignment="1" applyFont="1">
      <alignment horizontal="center"/>
    </xf>
    <xf borderId="0" fillId="0" fontId="27" numFmtId="0" xfId="0" applyAlignment="1" applyFont="1">
      <alignment horizontal="center" vertical="bottom"/>
    </xf>
    <xf borderId="0" fillId="0" fontId="27" numFmtId="0" xfId="0" applyAlignment="1" applyFont="1">
      <alignment vertical="bottom"/>
    </xf>
    <xf borderId="0" fillId="4" fontId="28" numFmtId="0" xfId="0" applyAlignment="1" applyFill="1" applyFont="1">
      <alignment horizontal="center" shrinkToFit="0" vertical="bottom" wrapText="1"/>
    </xf>
    <xf borderId="70" fillId="4" fontId="28" numFmtId="0" xfId="0" applyAlignment="1" applyBorder="1" applyFill="1" applyFont="1">
      <alignment horizontal="center" shrinkToFit="0" vertical="bottom" wrapText="1"/>
    </xf>
    <xf borderId="70" fillId="4" fontId="28" numFmtId="0" xfId="0" applyAlignment="1" applyBorder="1" applyFill="1" applyFont="1">
      <alignment horizontal="center" shrinkToFit="0" wrapText="1"/>
    </xf>
    <xf borderId="70" fillId="5" fontId="27" numFmtId="165" xfId="0" applyAlignment="1" applyBorder="1" applyFill="1" applyFont="1" applyNumberFormat="1">
      <alignment horizontal="center" shrinkToFit="0" vertical="top" wrapText="1"/>
    </xf>
    <xf borderId="70" fillId="5" fontId="27" numFmtId="165" xfId="0" applyAlignment="1" applyBorder="1" applyFill="1" applyFont="1" applyNumberFormat="1">
      <alignment vertical="top"/>
    </xf>
    <xf borderId="70" fillId="5" fontId="27" numFmtId="165" xfId="0" applyAlignment="1" applyBorder="1" applyFill="1" applyFont="1" applyNumberFormat="1">
      <alignment horizontal="right" vertical="top"/>
    </xf>
    <xf borderId="70" fillId="5" fontId="27" numFmtId="166" xfId="0" applyAlignment="1" applyBorder="1" applyFill="1" applyFont="1" applyNumberFormat="1">
      <alignment horizontal="right" vertical="bottom"/>
    </xf>
    <xf borderId="70" fillId="5" fontId="29" numFmtId="166" xfId="0" applyAlignment="1" applyBorder="1" applyFill="1" applyFont="1" applyNumberFormat="1">
      <alignment horizontal="center" shrinkToFit="0" wrapText="1"/>
    </xf>
    <xf borderId="70" fillId="5" fontId="27" numFmtId="166" xfId="0" applyAlignment="1" applyBorder="1" applyFill="1" applyFont="1" applyNumberFormat="1">
      <alignment vertical="bottom"/>
    </xf>
    <xf borderId="70" fillId="5" fontId="27" numFmtId="165" xfId="0" applyAlignment="1" applyBorder="1" applyFill="1" applyFont="1" applyNumberFormat="1">
      <alignment shrinkToFit="0" vertical="top" wrapText="1"/>
    </xf>
    <xf borderId="70" fillId="5" fontId="27" numFmtId="0" xfId="0" applyAlignment="1" applyBorder="1" applyFill="1" applyFont="1">
      <alignment shrinkToFit="0" vertical="bottom" wrapText="1"/>
    </xf>
    <xf borderId="70" fillId="5" fontId="30" numFmtId="0" xfId="0" applyAlignment="1" applyBorder="1" applyFill="1" applyFont="1">
      <alignment horizontal="right" shrinkToFit="0" vertical="top" wrapText="1"/>
    </xf>
    <xf borderId="70" fillId="5" fontId="27" numFmtId="1" xfId="0" applyAlignment="1" applyBorder="1" applyFill="1" applyFont="1" applyNumberFormat="1">
      <alignment horizontal="right" vertical="top"/>
    </xf>
    <xf borderId="70" fillId="5" fontId="27" numFmtId="9" xfId="0" applyAlignment="1" applyBorder="1" applyFill="1" applyFont="1" applyNumberFormat="1">
      <alignment horizontal="right" vertical="bottom"/>
    </xf>
    <xf borderId="70" fillId="5" fontId="27" numFmtId="165" xfId="0" applyAlignment="1" applyBorder="1" applyFill="1" applyFont="1" applyNumberFormat="1">
      <alignment horizontal="center" vertical="top"/>
    </xf>
    <xf borderId="0" fillId="0" fontId="1" numFmtId="0" xfId="0" applyAlignment="1" applyFont="1">
      <alignment horizontal="center"/>
    </xf>
  </cellXfs>
  <cellStyles count="1">
    <cellStyle xfId="0" name="Normal" builtinId="0"/>
  </cellStyles>
  <dxfs count="3">
    <dxf>
      <font/>
      <fill>
        <patternFill patternType="none"/>
      </fill>
      <border/>
    </dxf>
    <dxf>
      <font/>
      <fill>
        <patternFill patternType="solid">
          <fgColor rgb="FFF6F8F9"/>
          <bgColor rgb="FFF6F8F9"/>
        </patternFill>
      </fill>
      <border/>
    </dxf>
    <dxf>
      <font/>
      <fill>
        <patternFill patternType="solid">
          <fgColor rgb="FFFFFFFF"/>
          <bgColor rgb="FFFFFFFF"/>
        </patternFill>
      </fill>
      <border/>
    </dxf>
  </dxfs>
  <tableStyles count="1">
    <tableStyle count="2" pivot="0" name="FICHA DE PATRONAJ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7.png"/><Relationship Id="rId4" Type="http://schemas.openxmlformats.org/officeDocument/2006/relationships/image" Target="../media/image4.jp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4.jpg"/><Relationship Id="rId3"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09550" cy="2286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30</xdr:row>
      <xdr:rowOff>0</xdr:rowOff>
    </xdr:from>
    <xdr:ext cx="628650" cy="2286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0</xdr:rowOff>
    </xdr:from>
    <xdr:ext cx="247650" cy="2286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xdr:row>
      <xdr:rowOff>0</xdr:rowOff>
    </xdr:from>
    <xdr:ext cx="209550" cy="2286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6</xdr:row>
      <xdr:rowOff>0</xdr:rowOff>
    </xdr:from>
    <xdr:ext cx="209550" cy="2286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49</xdr:row>
      <xdr:rowOff>0</xdr:rowOff>
    </xdr:from>
    <xdr:ext cx="228600" cy="2286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49</xdr:row>
      <xdr:rowOff>0</xdr:rowOff>
    </xdr:from>
    <xdr:ext cx="228600" cy="2286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4</xdr:col>
      <xdr:colOff>0</xdr:colOff>
      <xdr:row>57</xdr:row>
      <xdr:rowOff>0</xdr:rowOff>
    </xdr:from>
    <xdr:ext cx="733425" cy="228600"/>
    <xdr:pic>
      <xdr:nvPicPr>
        <xdr:cNvPr id="0" name="image4.jp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9</xdr:row>
      <xdr:rowOff>0</xdr:rowOff>
    </xdr:from>
    <xdr:ext cx="733425" cy="228600"/>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0</xdr:colOff>
      <xdr:row>9</xdr:row>
      <xdr:rowOff>0</xdr:rowOff>
    </xdr:from>
    <xdr:ext cx="733425" cy="228600"/>
    <xdr:pic>
      <xdr:nvPicPr>
        <xdr:cNvPr id="0" name="image4.jpg"/>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17</xdr:row>
      <xdr:rowOff>0</xdr:rowOff>
    </xdr:from>
    <xdr:ext cx="228600" cy="2286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17</xdr:row>
      <xdr:rowOff>0</xdr:rowOff>
    </xdr:from>
    <xdr:ext cx="228600" cy="22860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0</xdr:colOff>
      <xdr:row>0</xdr:row>
      <xdr:rowOff>0</xdr:rowOff>
    </xdr:from>
    <xdr:ext cx="228600" cy="22860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00025"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upervisormpsum@gmail.com" id="{e5224e3f-5b7a-4581-90a5-b3198efad9fb}" userId="supervisormpsum@gmail.com" providerId="google-sheets"/>
  <x18tc:person displayName="analistaequipamientocuadro@gmail.com" id="{d8d6c412-d634-429e-a5a3-6971b4dbdd98}" userId="analistaequipamientocuadro@gmail.com" providerId="google-sheets"/>
  <x18tc:person displayName="Valeria Palacios" id="{6891d866-74e4-46e1-8777-dbcd68457182}" providerId="google-sheets"/>
</x18tc:personList>
</file>

<file path=xl/tables/table1.xml><?xml version="1.0" encoding="utf-8"?>
<table xmlns="http://schemas.openxmlformats.org/spreadsheetml/2006/main" headerRowCount="0" ref="E30:H34" displayName="Table_1" name="Table_1" id="1">
  <tableColumns count="4">
    <tableColumn name="Column1" id="1"/>
    <tableColumn name="Column2" id="2"/>
    <tableColumn name="Column3" id="3"/>
    <tableColumn name="Column4" id="4"/>
  </tableColumns>
  <tableStyleInfo name="FICHA DE PATRONAJ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21" dT="2026-09-03T17:19:54.00" personId="{6891d866-74e4-46e1-8777-dbcd68457182}" id="{59eede18-b20c-49b3-99bd-087d03096308}" done="1">
    <x18tc:text xml:space="preserve">@analistaequipamientocuadro@gmail.com</x18tc:text>
    <x18tc:mentions>
      <x18tc:mention mentionpersonId="{d8d6c412-d634-429e-a5a3-6971b4dbdd98}" mentionId="{c3093276-2035-49e2-8a8e-1d05074c9dd8}" startIndex="0" length="37"/>
    </x18tc:mentions>
  </x18tc:threadedComment>
  <x18tc:threadedComment ref="I22" dT="2026-09-03T19:22:07.00" personId="{6891d866-74e4-46e1-8777-dbcd68457182}" id="{363f1a2a-3615-482f-b313-4ede39248afe}" done="1">
    <x18tc:text xml:space="preserve">@supervisormpsum@gmail.com</x18tc:text>
    <x18tc:mentions>
      <x18tc:mention mentionpersonId="{e5224e3f-5b7a-4581-90a5-b3198efad9fb}" mentionId="{06423379-b456-48ac-b498-436bf3058fd9}" startIndex="0" length="26"/>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2" width="15.38"/>
    <col customWidth="1" min="3" max="3" width="23.0"/>
    <col customWidth="1" min="4" max="8" width="15.38"/>
    <col customWidth="1" min="9" max="9" width="17.88"/>
    <col customWidth="1" min="10" max="10" width="15.63"/>
    <col customWidth="1" min="11" max="20" width="15.38"/>
  </cols>
  <sheetData>
    <row r="1" ht="18.0" customHeight="1">
      <c r="A1" s="1"/>
      <c r="B1" s="2" t="s">
        <v>1</v>
      </c>
      <c r="C1" s="3"/>
      <c r="D1" s="3"/>
      <c r="E1" s="3"/>
      <c r="F1" s="4"/>
      <c r="H1" s="6"/>
      <c r="I1" s="6"/>
      <c r="K1" s="1"/>
      <c r="L1" s="2" t="s">
        <v>1</v>
      </c>
      <c r="M1" s="3"/>
      <c r="N1" s="3"/>
      <c r="O1" s="3"/>
      <c r="P1" s="4"/>
    </row>
    <row r="2" ht="18.0" customHeight="1">
      <c r="A2" s="7"/>
      <c r="B2" s="8" t="s">
        <v>2</v>
      </c>
      <c r="C2" s="9" t="s">
        <v>3</v>
      </c>
      <c r="D2" s="8" t="s">
        <v>4</v>
      </c>
      <c r="E2" s="10" t="s">
        <v>5</v>
      </c>
      <c r="F2" s="11"/>
      <c r="H2" s="6"/>
      <c r="I2" s="6"/>
      <c r="K2" s="7"/>
      <c r="L2" s="8" t="s">
        <v>2</v>
      </c>
      <c r="M2" s="9" t="s">
        <v>3</v>
      </c>
      <c r="N2" s="8" t="s">
        <v>4</v>
      </c>
      <c r="O2" s="10" t="s">
        <v>6</v>
      </c>
      <c r="P2" s="11"/>
    </row>
    <row r="3" ht="18.0" customHeight="1">
      <c r="A3" s="7"/>
      <c r="B3" s="8" t="s">
        <v>8</v>
      </c>
      <c r="C3" s="9" t="s">
        <v>9</v>
      </c>
      <c r="D3" s="8" t="s">
        <v>10</v>
      </c>
      <c r="E3" s="10" t="s">
        <v>11</v>
      </c>
      <c r="F3" s="11"/>
      <c r="H3" s="6"/>
      <c r="I3" s="6"/>
      <c r="K3" s="7"/>
      <c r="L3" s="8" t="s">
        <v>8</v>
      </c>
      <c r="M3" s="9" t="s">
        <v>9</v>
      </c>
      <c r="N3" s="8" t="s">
        <v>10</v>
      </c>
      <c r="O3" s="10" t="s">
        <v>12</v>
      </c>
      <c r="P3" s="11"/>
    </row>
    <row r="4" ht="18.0" customHeight="1">
      <c r="A4" s="7"/>
      <c r="B4" s="8" t="s">
        <v>13</v>
      </c>
      <c r="C4" s="9" t="s">
        <v>14</v>
      </c>
      <c r="D4" s="8" t="s">
        <v>15</v>
      </c>
      <c r="E4" s="10" t="s">
        <v>16</v>
      </c>
      <c r="F4" s="11"/>
      <c r="H4" s="6"/>
      <c r="I4" s="6"/>
      <c r="K4" s="7"/>
      <c r="L4" s="8" t="s">
        <v>13</v>
      </c>
      <c r="M4" s="9" t="s">
        <v>14</v>
      </c>
      <c r="N4" s="8" t="s">
        <v>15</v>
      </c>
      <c r="O4" s="10" t="s">
        <v>17</v>
      </c>
      <c r="P4" s="11"/>
    </row>
    <row r="5" ht="63.0" customHeight="1">
      <c r="A5" s="7"/>
      <c r="B5" s="13" t="s">
        <v>19</v>
      </c>
      <c r="C5" s="15" t="s">
        <v>20</v>
      </c>
      <c r="D5" s="13" t="s">
        <v>21</v>
      </c>
      <c r="E5" s="17"/>
      <c r="F5" s="11"/>
      <c r="G5" s="18"/>
      <c r="H5" s="6"/>
      <c r="I5" s="6"/>
      <c r="K5" s="7"/>
      <c r="L5" s="13" t="s">
        <v>19</v>
      </c>
      <c r="M5" s="15" t="s">
        <v>20</v>
      </c>
      <c r="N5" s="13" t="s">
        <v>21</v>
      </c>
      <c r="O5" s="17"/>
      <c r="P5" s="11"/>
      <c r="Q5" s="18"/>
      <c r="R5" s="18"/>
      <c r="S5" s="18"/>
      <c r="T5" s="18"/>
    </row>
    <row r="6" ht="18.0" customHeight="1">
      <c r="A6" s="14"/>
      <c r="B6" s="31" t="s">
        <v>24</v>
      </c>
      <c r="C6" s="33" t="s">
        <v>31</v>
      </c>
      <c r="D6" s="35"/>
      <c r="E6" s="35"/>
      <c r="F6" s="35"/>
      <c r="H6" s="6"/>
      <c r="I6" s="6"/>
      <c r="K6" s="14"/>
      <c r="L6" s="31" t="s">
        <v>33</v>
      </c>
      <c r="M6" s="37" t="s">
        <v>7</v>
      </c>
      <c r="N6" s="35"/>
      <c r="O6" s="35"/>
      <c r="P6" s="39"/>
    </row>
    <row r="7" ht="18.0" customHeight="1">
      <c r="A7" s="47"/>
      <c r="B7" s="48"/>
      <c r="C7" s="48"/>
      <c r="D7" s="48"/>
      <c r="E7" s="48"/>
      <c r="F7" s="49"/>
      <c r="G7" s="51" t="s">
        <v>48</v>
      </c>
      <c r="H7" s="59"/>
      <c r="I7" s="60"/>
      <c r="J7" s="6"/>
      <c r="K7" s="64"/>
      <c r="L7" s="48"/>
      <c r="M7" s="48"/>
      <c r="N7" s="48"/>
      <c r="O7" s="48"/>
      <c r="P7" s="49"/>
      <c r="Q7" s="69" t="s">
        <v>48</v>
      </c>
      <c r="R7" s="59"/>
      <c r="S7" s="60"/>
    </row>
    <row r="8" ht="18.0" customHeight="1">
      <c r="A8" s="55"/>
      <c r="F8" s="56"/>
      <c r="G8" s="72" t="s">
        <v>33</v>
      </c>
      <c r="H8" s="73" t="s">
        <v>97</v>
      </c>
      <c r="I8" s="74" t="s">
        <v>101</v>
      </c>
      <c r="J8" s="6"/>
      <c r="K8" s="55"/>
      <c r="P8" s="56"/>
      <c r="Q8" s="75" t="s">
        <v>33</v>
      </c>
      <c r="R8" s="76"/>
      <c r="S8" s="79"/>
    </row>
    <row r="9" ht="18.0" customHeight="1">
      <c r="A9" s="55"/>
      <c r="F9" s="56"/>
      <c r="G9" s="7"/>
      <c r="H9" s="73" t="s">
        <v>125</v>
      </c>
      <c r="I9" s="83" t="s">
        <v>127</v>
      </c>
      <c r="J9" s="6"/>
      <c r="K9" s="55"/>
      <c r="P9" s="56"/>
      <c r="Q9" s="7"/>
      <c r="R9" s="76"/>
      <c r="S9" s="86"/>
    </row>
    <row r="10" ht="18.0" customHeight="1">
      <c r="A10" s="55"/>
      <c r="F10" s="56"/>
      <c r="G10" s="14"/>
      <c r="H10" s="89" t="s">
        <v>138</v>
      </c>
      <c r="I10" s="93" t="s">
        <v>141</v>
      </c>
      <c r="J10" s="6"/>
      <c r="K10" s="55"/>
      <c r="P10" s="56"/>
      <c r="Q10" s="14"/>
      <c r="R10" s="98"/>
      <c r="S10" s="100"/>
    </row>
    <row r="11" ht="18.0" customHeight="1">
      <c r="A11" s="55"/>
      <c r="F11" s="56"/>
      <c r="H11" s="6"/>
      <c r="I11" s="6"/>
      <c r="J11" s="6"/>
      <c r="K11" s="55"/>
      <c r="P11" s="56"/>
      <c r="Q11" s="30"/>
      <c r="R11" s="102"/>
      <c r="S11" s="102"/>
    </row>
    <row r="12" ht="18.0" customHeight="1">
      <c r="A12" s="55"/>
      <c r="F12" s="56"/>
      <c r="H12" s="6"/>
      <c r="I12" s="6"/>
      <c r="J12" s="6"/>
      <c r="K12" s="55"/>
      <c r="P12" s="56"/>
      <c r="Q12" s="30"/>
      <c r="R12" s="102"/>
      <c r="S12" s="102"/>
    </row>
    <row r="13" ht="18.0" customHeight="1">
      <c r="A13" s="55"/>
      <c r="F13" s="56"/>
      <c r="H13" s="6"/>
      <c r="I13" s="6"/>
      <c r="J13" s="6"/>
      <c r="K13" s="55"/>
      <c r="P13" s="56"/>
      <c r="Q13" s="30"/>
      <c r="R13" s="102"/>
      <c r="S13" s="102"/>
    </row>
    <row r="14" ht="18.0" customHeight="1">
      <c r="A14" s="55"/>
      <c r="F14" s="56"/>
      <c r="H14" s="6"/>
      <c r="I14" s="6"/>
      <c r="J14" s="6"/>
      <c r="K14" s="55"/>
      <c r="P14" s="56"/>
      <c r="Q14" s="30"/>
      <c r="R14" s="102"/>
      <c r="S14" s="102"/>
    </row>
    <row r="15" ht="18.0" customHeight="1">
      <c r="A15" s="55"/>
      <c r="F15" s="56"/>
      <c r="H15" s="6"/>
      <c r="I15" s="6"/>
      <c r="J15" s="6"/>
      <c r="K15" s="55"/>
      <c r="P15" s="56"/>
      <c r="Q15" s="30"/>
      <c r="R15" s="102"/>
      <c r="S15" s="102"/>
    </row>
    <row r="16" ht="18.0" customHeight="1">
      <c r="A16" s="55"/>
      <c r="F16" s="56"/>
      <c r="H16" s="6"/>
      <c r="I16" s="6"/>
      <c r="J16" s="6"/>
      <c r="K16" s="55"/>
      <c r="P16" s="56"/>
      <c r="Q16" s="30"/>
      <c r="R16" s="102"/>
      <c r="S16" s="102"/>
    </row>
    <row r="17" ht="18.0" customHeight="1">
      <c r="A17" s="55"/>
      <c r="F17" s="56"/>
      <c r="H17" s="6"/>
      <c r="I17" s="6"/>
      <c r="J17" s="6"/>
      <c r="K17" s="55"/>
      <c r="P17" s="56"/>
      <c r="Q17" s="30"/>
      <c r="R17" s="102"/>
      <c r="S17" s="102"/>
    </row>
    <row r="18" ht="18.0" customHeight="1">
      <c r="A18" s="55"/>
      <c r="F18" s="56"/>
      <c r="H18" s="6"/>
      <c r="I18" s="6"/>
      <c r="J18" s="6"/>
      <c r="K18" s="55"/>
      <c r="P18" s="56"/>
      <c r="Q18" s="30"/>
      <c r="R18" s="102"/>
      <c r="S18" s="102"/>
    </row>
    <row r="19" ht="18.0" customHeight="1">
      <c r="A19" s="55"/>
      <c r="F19" s="56"/>
      <c r="H19" s="6"/>
      <c r="I19" s="6"/>
      <c r="J19" s="6"/>
      <c r="K19" s="55"/>
      <c r="P19" s="56"/>
      <c r="Q19" s="30"/>
      <c r="R19" s="102"/>
      <c r="S19" s="102"/>
    </row>
    <row r="20" ht="18.0" customHeight="1">
      <c r="A20" s="55"/>
      <c r="F20" s="56"/>
      <c r="H20" s="6"/>
      <c r="I20" s="6"/>
      <c r="J20" s="6"/>
      <c r="K20" s="55"/>
      <c r="P20" s="56"/>
      <c r="Q20" s="30"/>
      <c r="R20" s="102"/>
      <c r="S20" s="102"/>
    </row>
    <row r="21" ht="18.0" customHeight="1">
      <c r="A21" s="55"/>
      <c r="F21" s="56"/>
      <c r="H21" s="6"/>
      <c r="I21" s="6"/>
      <c r="J21" s="6"/>
      <c r="K21" s="55"/>
      <c r="P21" s="56"/>
      <c r="Q21" s="30"/>
      <c r="R21" s="102"/>
      <c r="S21" s="102"/>
    </row>
    <row r="22">
      <c r="A22" s="55"/>
      <c r="F22" s="56"/>
      <c r="H22" s="6"/>
      <c r="I22" s="6"/>
      <c r="J22" s="6"/>
      <c r="K22" s="55"/>
      <c r="P22" s="56"/>
      <c r="Q22" s="30"/>
      <c r="R22" s="102"/>
      <c r="S22" s="102"/>
    </row>
    <row r="23" ht="18.0" customHeight="1">
      <c r="A23" s="55"/>
      <c r="F23" s="56"/>
      <c r="H23" s="6"/>
      <c r="I23" s="6"/>
      <c r="J23" s="6"/>
      <c r="K23" s="55"/>
      <c r="P23" s="56"/>
      <c r="Q23" s="30"/>
      <c r="R23" s="102"/>
      <c r="S23" s="102"/>
    </row>
    <row r="24" ht="18.0" customHeight="1">
      <c r="A24" s="55"/>
      <c r="F24" s="56"/>
      <c r="H24" s="6"/>
      <c r="I24" s="6"/>
      <c r="J24" s="6"/>
      <c r="K24" s="55"/>
      <c r="P24" s="56"/>
      <c r="Q24" s="30"/>
      <c r="R24" s="102"/>
      <c r="S24" s="102"/>
    </row>
    <row r="25" ht="18.0" customHeight="1">
      <c r="A25" s="55"/>
      <c r="F25" s="56"/>
      <c r="H25" s="6"/>
      <c r="I25" s="6"/>
      <c r="J25" s="6"/>
      <c r="K25" s="55"/>
      <c r="P25" s="56"/>
      <c r="Q25" s="30"/>
      <c r="R25" s="102"/>
      <c r="S25" s="102"/>
    </row>
    <row r="26" ht="18.0" customHeight="1">
      <c r="A26" s="55"/>
      <c r="F26" s="56"/>
      <c r="H26" s="6"/>
      <c r="I26" s="6"/>
      <c r="J26" s="6"/>
      <c r="K26" s="55"/>
      <c r="P26" s="56"/>
      <c r="Q26" s="30"/>
      <c r="R26" s="102"/>
      <c r="S26" s="102"/>
    </row>
    <row r="27" ht="18.0" customHeight="1">
      <c r="A27" s="55"/>
      <c r="F27" s="56"/>
      <c r="H27" s="6"/>
      <c r="I27" s="6"/>
      <c r="J27" s="6"/>
      <c r="K27" s="55"/>
      <c r="P27" s="56"/>
      <c r="Q27" s="30"/>
      <c r="R27" s="102"/>
      <c r="S27" s="102"/>
    </row>
    <row r="28" ht="18.0" customHeight="1">
      <c r="A28" s="55"/>
      <c r="F28" s="56"/>
      <c r="H28" s="6"/>
      <c r="I28" s="6"/>
      <c r="J28" s="6"/>
      <c r="K28" s="55"/>
      <c r="P28" s="56"/>
      <c r="Q28" s="30"/>
      <c r="R28" s="102"/>
      <c r="S28" s="102"/>
    </row>
    <row r="29" ht="18.0" customHeight="1">
      <c r="A29" s="55"/>
      <c r="F29" s="56"/>
      <c r="H29" s="6"/>
      <c r="I29" s="6"/>
      <c r="J29" s="6"/>
      <c r="K29" s="55"/>
      <c r="P29" s="56"/>
      <c r="Q29" s="30"/>
      <c r="R29" s="102"/>
      <c r="S29" s="102"/>
    </row>
    <row r="30" ht="18.0" customHeight="1">
      <c r="A30" s="78"/>
      <c r="B30" s="35"/>
      <c r="C30" s="35"/>
      <c r="D30" s="35"/>
      <c r="E30" s="35"/>
      <c r="F30" s="39"/>
      <c r="H30" s="6"/>
      <c r="I30" s="6"/>
      <c r="J30" s="6"/>
      <c r="K30" s="78"/>
      <c r="L30" s="35"/>
      <c r="M30" s="35"/>
      <c r="N30" s="35"/>
      <c r="O30" s="35"/>
      <c r="P30" s="39"/>
      <c r="Q30" s="30"/>
      <c r="R30" s="102"/>
      <c r="S30" s="102"/>
    </row>
    <row r="31" ht="18.0" customHeight="1">
      <c r="A31" s="110"/>
      <c r="B31" s="48"/>
      <c r="C31" s="48"/>
      <c r="D31" s="48"/>
      <c r="E31" s="48"/>
      <c r="F31" s="49"/>
      <c r="K31" s="112"/>
      <c r="L31" s="48"/>
      <c r="M31" s="48"/>
      <c r="N31" s="48"/>
      <c r="O31" s="48"/>
      <c r="P31" s="49"/>
      <c r="Q31" s="30"/>
      <c r="R31" s="30"/>
      <c r="S31" s="30"/>
    </row>
    <row r="32" ht="18.0" customHeight="1">
      <c r="A32" s="55"/>
      <c r="F32" s="56"/>
      <c r="K32" s="55"/>
      <c r="P32" s="56"/>
      <c r="Q32" s="30"/>
      <c r="R32" s="30"/>
      <c r="S32" s="30"/>
    </row>
    <row r="33" ht="18.0" customHeight="1">
      <c r="A33" s="55"/>
      <c r="F33" s="56"/>
      <c r="K33" s="55"/>
      <c r="P33" s="56"/>
      <c r="Q33" s="30"/>
      <c r="R33" s="30"/>
      <c r="S33" s="30"/>
    </row>
    <row r="34" ht="18.0" customHeight="1">
      <c r="A34" s="55"/>
      <c r="F34" s="56"/>
      <c r="K34" s="55"/>
      <c r="P34" s="56"/>
      <c r="Q34" s="30"/>
      <c r="R34" s="30"/>
      <c r="S34" s="30"/>
    </row>
    <row r="35" ht="18.0" customHeight="1">
      <c r="A35" s="55"/>
      <c r="F35" s="56"/>
      <c r="K35" s="55"/>
      <c r="P35" s="56"/>
      <c r="Q35" s="30"/>
      <c r="R35" s="30"/>
      <c r="S35" s="30"/>
    </row>
    <row r="36" ht="18.0" customHeight="1">
      <c r="A36" s="55"/>
      <c r="F36" s="56"/>
      <c r="K36" s="55"/>
      <c r="P36" s="56"/>
      <c r="Q36" s="30"/>
      <c r="R36" s="30"/>
      <c r="S36" s="30"/>
    </row>
    <row r="37" ht="18.0" customHeight="1">
      <c r="A37" s="55"/>
      <c r="F37" s="56"/>
      <c r="K37" s="55"/>
      <c r="P37" s="56"/>
      <c r="Q37" s="30"/>
      <c r="R37" s="30"/>
      <c r="S37" s="30"/>
    </row>
    <row r="38" ht="18.0" customHeight="1">
      <c r="A38" s="55"/>
      <c r="F38" s="56"/>
      <c r="K38" s="55"/>
      <c r="P38" s="56"/>
      <c r="Q38" s="30"/>
      <c r="R38" s="30"/>
      <c r="S38" s="30"/>
    </row>
    <row r="39" ht="18.0" customHeight="1">
      <c r="A39" s="55"/>
      <c r="F39" s="56"/>
      <c r="K39" s="55"/>
      <c r="P39" s="56"/>
      <c r="Q39" s="30"/>
      <c r="R39" s="30"/>
      <c r="S39" s="30"/>
    </row>
    <row r="40" ht="18.0" customHeight="1">
      <c r="A40" s="78"/>
      <c r="B40" s="35"/>
      <c r="C40" s="35"/>
      <c r="D40" s="35"/>
      <c r="E40" s="35"/>
      <c r="F40" s="39"/>
      <c r="K40" s="78"/>
      <c r="L40" s="35"/>
      <c r="M40" s="35"/>
      <c r="N40" s="35"/>
      <c r="O40" s="35"/>
      <c r="P40" s="39"/>
      <c r="Q40" s="30"/>
      <c r="R40" s="30"/>
      <c r="S40" s="30"/>
    </row>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sheetData>
  <mergeCells count="22">
    <mergeCell ref="E3:F3"/>
    <mergeCell ref="E4:F4"/>
    <mergeCell ref="E2:F2"/>
    <mergeCell ref="E5:F5"/>
    <mergeCell ref="B1:F1"/>
    <mergeCell ref="C6:F6"/>
    <mergeCell ref="A7:F30"/>
    <mergeCell ref="A31:F40"/>
    <mergeCell ref="M6:P6"/>
    <mergeCell ref="G7:I7"/>
    <mergeCell ref="K7:P30"/>
    <mergeCell ref="G8:G10"/>
    <mergeCell ref="Q8:Q10"/>
    <mergeCell ref="K31:P40"/>
    <mergeCell ref="A1:A6"/>
    <mergeCell ref="K1:K6"/>
    <mergeCell ref="L1:P1"/>
    <mergeCell ref="O2:P2"/>
    <mergeCell ref="O3:P3"/>
    <mergeCell ref="O4:P4"/>
    <mergeCell ref="O5:P5"/>
    <mergeCell ref="Q7:S7"/>
  </mergeCells>
  <printOptions gridLines="1" horizontalCentered="1"/>
  <pageMargins bottom="0.75" footer="0.0" header="0.0" left="0.7" right="0.7" top="0.75"/>
  <pageSetup fitToHeight="0" paperSize="9" cellComments="atEnd"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2" width="15.38"/>
    <col customWidth="1" min="3" max="3" width="23.75"/>
    <col customWidth="1" min="4" max="4" width="15.38"/>
    <col customWidth="1" min="5" max="5" width="19.38"/>
    <col customWidth="1" min="6" max="6" width="13.5"/>
    <col customWidth="1" min="7" max="7" width="14.75"/>
    <col customWidth="1" min="8" max="8" width="14.0"/>
    <col customWidth="1" min="9" max="11" width="15.38"/>
    <col customWidth="1" min="12" max="12" width="26.5"/>
    <col customWidth="1" min="13" max="13" width="15.38"/>
    <col customWidth="1" min="14" max="14" width="22.0"/>
    <col customWidth="1" min="15" max="15" width="19.13"/>
    <col customWidth="1" min="16" max="16" width="20.75"/>
    <col customWidth="1" min="17" max="17" width="20.63"/>
    <col customWidth="1" min="18" max="18" width="18.63"/>
    <col customWidth="1" min="19" max="26" width="15.38"/>
  </cols>
  <sheetData>
    <row r="1" ht="18.0" customHeight="1">
      <c r="A1" s="1"/>
      <c r="B1" s="2" t="s">
        <v>22</v>
      </c>
      <c r="C1" s="3"/>
      <c r="D1" s="3"/>
      <c r="E1" s="3"/>
      <c r="F1" s="3"/>
      <c r="G1" s="19"/>
      <c r="J1" s="1"/>
      <c r="K1" s="2" t="s">
        <v>22</v>
      </c>
      <c r="L1" s="3"/>
      <c r="M1" s="3"/>
      <c r="N1" s="3"/>
      <c r="O1" s="3"/>
      <c r="P1" s="19"/>
      <c r="R1" s="6"/>
      <c r="S1" s="6"/>
    </row>
    <row r="2" ht="18.0" customHeight="1">
      <c r="A2" s="7"/>
      <c r="B2" s="8" t="s">
        <v>2</v>
      </c>
      <c r="C2" s="9" t="s">
        <v>3</v>
      </c>
      <c r="D2" s="8" t="s">
        <v>4</v>
      </c>
      <c r="E2" s="10" t="s">
        <v>5</v>
      </c>
      <c r="F2" s="26"/>
      <c r="G2" s="11"/>
      <c r="J2" s="7"/>
      <c r="K2" s="8" t="s">
        <v>2</v>
      </c>
      <c r="L2" s="9" t="s">
        <v>3</v>
      </c>
      <c r="M2" s="8" t="s">
        <v>4</v>
      </c>
      <c r="N2" s="10" t="s">
        <v>6</v>
      </c>
      <c r="O2" s="26"/>
      <c r="P2" s="11"/>
      <c r="R2" s="6"/>
      <c r="S2" s="6"/>
    </row>
    <row r="3" ht="18.0" customHeight="1">
      <c r="A3" s="7"/>
      <c r="B3" s="8" t="s">
        <v>8</v>
      </c>
      <c r="C3" s="9" t="s">
        <v>9</v>
      </c>
      <c r="D3" s="8" t="s">
        <v>10</v>
      </c>
      <c r="E3" s="10" t="s">
        <v>11</v>
      </c>
      <c r="F3" s="26"/>
      <c r="G3" s="11"/>
      <c r="J3" s="7"/>
      <c r="K3" s="8" t="s">
        <v>8</v>
      </c>
      <c r="L3" s="9" t="s">
        <v>9</v>
      </c>
      <c r="M3" s="8" t="s">
        <v>10</v>
      </c>
      <c r="N3" s="10" t="s">
        <v>30</v>
      </c>
      <c r="O3" s="26"/>
      <c r="P3" s="11"/>
      <c r="R3" s="6"/>
      <c r="S3" s="6"/>
    </row>
    <row r="4" ht="18.0" customHeight="1">
      <c r="A4" s="7"/>
      <c r="B4" s="8" t="s">
        <v>13</v>
      </c>
      <c r="C4" s="9" t="s">
        <v>14</v>
      </c>
      <c r="D4" s="8" t="s">
        <v>15</v>
      </c>
      <c r="E4" s="10" t="s">
        <v>16</v>
      </c>
      <c r="F4" s="26"/>
      <c r="G4" s="11"/>
      <c r="J4" s="7"/>
      <c r="K4" s="8" t="s">
        <v>13</v>
      </c>
      <c r="L4" s="9" t="s">
        <v>14</v>
      </c>
      <c r="M4" s="8" t="s">
        <v>15</v>
      </c>
      <c r="N4" s="10" t="s">
        <v>18</v>
      </c>
      <c r="O4" s="26"/>
      <c r="P4" s="11"/>
      <c r="R4" s="6"/>
      <c r="S4" s="6"/>
    </row>
    <row r="5" ht="53.25" customHeight="1">
      <c r="A5" s="14"/>
      <c r="B5" s="16" t="s">
        <v>19</v>
      </c>
      <c r="C5" s="20" t="s">
        <v>20</v>
      </c>
      <c r="D5" s="16" t="s">
        <v>21</v>
      </c>
      <c r="E5" s="21"/>
      <c r="F5" s="46"/>
      <c r="G5" s="22"/>
      <c r="J5" s="14"/>
      <c r="K5" s="16" t="s">
        <v>19</v>
      </c>
      <c r="L5" s="20" t="s">
        <v>20</v>
      </c>
      <c r="M5" s="16" t="s">
        <v>21</v>
      </c>
      <c r="N5" s="21"/>
      <c r="O5" s="46"/>
      <c r="P5" s="22"/>
      <c r="R5" s="6"/>
      <c r="S5" s="6"/>
    </row>
    <row r="6" ht="18.0" customHeight="1">
      <c r="A6" s="47"/>
      <c r="B6" s="48"/>
      <c r="C6" s="48"/>
      <c r="D6" s="49"/>
      <c r="E6" s="53" t="s">
        <v>47</v>
      </c>
      <c r="F6" s="54" t="s">
        <v>51</v>
      </c>
      <c r="G6" s="54" t="s">
        <v>52</v>
      </c>
      <c r="J6" s="47"/>
      <c r="K6" s="48"/>
      <c r="L6" s="48"/>
      <c r="M6" s="49"/>
      <c r="N6" s="53" t="s">
        <v>47</v>
      </c>
      <c r="O6" s="54" t="s">
        <v>51</v>
      </c>
      <c r="P6" s="54" t="s">
        <v>52</v>
      </c>
      <c r="R6" s="6"/>
      <c r="S6" s="6"/>
    </row>
    <row r="7" ht="18.0" customHeight="1">
      <c r="A7" s="55"/>
      <c r="D7" s="56"/>
      <c r="E7" s="57" t="s">
        <v>58</v>
      </c>
      <c r="F7" s="58">
        <v>2.0</v>
      </c>
      <c r="G7" s="58" t="s">
        <v>62</v>
      </c>
      <c r="J7" s="55"/>
      <c r="M7" s="56"/>
      <c r="N7" s="57" t="s">
        <v>64</v>
      </c>
      <c r="O7" s="58">
        <v>2.0</v>
      </c>
      <c r="P7" s="58" t="s">
        <v>62</v>
      </c>
      <c r="R7" s="6"/>
      <c r="S7" s="6"/>
    </row>
    <row r="8" ht="18.0" customHeight="1">
      <c r="A8" s="55"/>
      <c r="D8" s="56"/>
      <c r="E8" s="57" t="s">
        <v>65</v>
      </c>
      <c r="F8" s="58">
        <v>2.0</v>
      </c>
      <c r="G8" s="58" t="s">
        <v>66</v>
      </c>
      <c r="J8" s="55"/>
      <c r="M8" s="56"/>
      <c r="N8" s="57" t="s">
        <v>67</v>
      </c>
      <c r="O8" s="58">
        <v>2.0</v>
      </c>
      <c r="P8" s="58" t="s">
        <v>66</v>
      </c>
      <c r="R8" s="6"/>
      <c r="S8" s="6"/>
    </row>
    <row r="9" ht="18.0" customHeight="1">
      <c r="A9" s="55"/>
      <c r="D9" s="56"/>
      <c r="E9" s="57" t="s">
        <v>68</v>
      </c>
      <c r="F9" s="58">
        <v>2.0</v>
      </c>
      <c r="G9" s="58" t="s">
        <v>69</v>
      </c>
      <c r="J9" s="55"/>
      <c r="M9" s="56"/>
      <c r="N9" s="57" t="s">
        <v>70</v>
      </c>
      <c r="O9" s="58">
        <v>2.0</v>
      </c>
      <c r="P9" s="58" t="s">
        <v>69</v>
      </c>
      <c r="R9" s="6"/>
      <c r="S9" s="6"/>
    </row>
    <row r="10" ht="30.75" customHeight="1">
      <c r="A10" s="55"/>
      <c r="D10" s="56"/>
      <c r="E10" s="63" t="s">
        <v>71</v>
      </c>
      <c r="F10" s="58">
        <v>2.0</v>
      </c>
      <c r="G10" s="58" t="s">
        <v>76</v>
      </c>
      <c r="J10" s="55"/>
      <c r="M10" s="56"/>
      <c r="N10" s="63" t="s">
        <v>77</v>
      </c>
      <c r="O10" s="58">
        <v>2.0</v>
      </c>
      <c r="P10" s="58" t="s">
        <v>76</v>
      </c>
      <c r="R10" s="6"/>
      <c r="S10" s="6"/>
    </row>
    <row r="11" ht="18.0" customHeight="1">
      <c r="A11" s="55"/>
      <c r="D11" s="56"/>
      <c r="E11" s="57" t="s">
        <v>78</v>
      </c>
      <c r="F11" s="58">
        <v>1.0</v>
      </c>
      <c r="G11" s="58" t="s">
        <v>79</v>
      </c>
      <c r="J11" s="55"/>
      <c r="M11" s="56"/>
      <c r="N11" s="57" t="s">
        <v>68</v>
      </c>
      <c r="O11" s="58">
        <v>2.0</v>
      </c>
      <c r="P11" s="58" t="s">
        <v>79</v>
      </c>
      <c r="R11" s="6"/>
      <c r="S11" s="6"/>
    </row>
    <row r="12" ht="18.0" customHeight="1">
      <c r="A12" s="55"/>
      <c r="D12" s="56"/>
      <c r="E12" s="57" t="s">
        <v>80</v>
      </c>
      <c r="F12" s="58">
        <v>1.0</v>
      </c>
      <c r="G12" s="58"/>
      <c r="J12" s="55"/>
      <c r="M12" s="56"/>
      <c r="N12" s="57" t="s">
        <v>81</v>
      </c>
      <c r="O12" s="58">
        <v>2.0</v>
      </c>
      <c r="P12" s="58" t="s">
        <v>82</v>
      </c>
      <c r="R12" s="6"/>
      <c r="S12" s="6"/>
    </row>
    <row r="13" ht="18.0" customHeight="1">
      <c r="A13" s="55"/>
      <c r="D13" s="56"/>
      <c r="F13" s="68"/>
      <c r="G13" s="58"/>
      <c r="J13" s="55"/>
      <c r="M13" s="56"/>
      <c r="N13" s="12" t="s">
        <v>80</v>
      </c>
      <c r="O13" s="68">
        <v>1.0</v>
      </c>
      <c r="P13" s="58" t="s">
        <v>92</v>
      </c>
      <c r="R13" s="6"/>
      <c r="S13" s="6"/>
    </row>
    <row r="14" ht="18.0" customHeight="1">
      <c r="A14" s="55"/>
      <c r="D14" s="56"/>
      <c r="E14" s="57"/>
      <c r="F14" s="58"/>
      <c r="G14" s="58"/>
      <c r="J14" s="55"/>
      <c r="M14" s="56"/>
      <c r="N14" s="57"/>
      <c r="O14" s="58"/>
      <c r="P14" s="58"/>
      <c r="R14" s="6"/>
      <c r="S14" s="6"/>
    </row>
    <row r="15" ht="18.0" customHeight="1">
      <c r="A15" s="55"/>
      <c r="D15" s="56"/>
      <c r="E15" s="57"/>
      <c r="F15" s="58"/>
      <c r="G15" s="58"/>
      <c r="J15" s="55"/>
      <c r="M15" s="56"/>
      <c r="N15" s="57"/>
      <c r="O15" s="58"/>
      <c r="P15" s="58"/>
      <c r="R15" s="6"/>
      <c r="S15" s="6"/>
    </row>
    <row r="16" ht="28.5" customHeight="1">
      <c r="A16" s="55"/>
      <c r="D16" s="56"/>
      <c r="E16" s="63"/>
      <c r="F16" s="58"/>
      <c r="G16" s="58"/>
      <c r="J16" s="55"/>
      <c r="M16" s="56"/>
      <c r="N16" s="63"/>
      <c r="O16" s="58"/>
      <c r="P16" s="58"/>
      <c r="R16" s="6"/>
      <c r="S16" s="6"/>
    </row>
    <row r="17" ht="18.0" customHeight="1">
      <c r="A17" s="55"/>
      <c r="D17" s="56"/>
      <c r="J17" s="55"/>
      <c r="M17" s="56"/>
      <c r="R17" s="6"/>
      <c r="S17" s="6"/>
    </row>
    <row r="18">
      <c r="A18" s="55"/>
      <c r="D18" s="56"/>
      <c r="J18" s="55"/>
      <c r="M18" s="56"/>
      <c r="R18" s="6"/>
      <c r="S18" s="6"/>
    </row>
    <row r="19" ht="18.0" customHeight="1">
      <c r="A19" s="55"/>
      <c r="D19" s="56"/>
      <c r="J19" s="55"/>
      <c r="M19" s="56"/>
      <c r="R19" s="6"/>
      <c r="S19" s="6"/>
    </row>
    <row r="20" ht="18.0" customHeight="1">
      <c r="A20" s="55"/>
      <c r="D20" s="56"/>
      <c r="J20" s="55"/>
      <c r="M20" s="56"/>
      <c r="R20" s="6"/>
      <c r="S20" s="6"/>
    </row>
    <row r="21" ht="45.0" customHeight="1">
      <c r="A21" s="78"/>
      <c r="B21" s="35"/>
      <c r="C21" s="35"/>
      <c r="D21" s="39"/>
      <c r="E21" s="81" t="s">
        <v>117</v>
      </c>
      <c r="F21" s="85" t="s">
        <v>128</v>
      </c>
      <c r="G21" s="88" t="s">
        <v>137</v>
      </c>
      <c r="H21" s="92" t="s">
        <v>140</v>
      </c>
      <c r="J21" s="78"/>
      <c r="K21" s="35"/>
      <c r="L21" s="35"/>
      <c r="M21" s="39"/>
      <c r="N21" s="81" t="s">
        <v>117</v>
      </c>
      <c r="O21" s="85" t="s">
        <v>128</v>
      </c>
      <c r="P21" s="88" t="s">
        <v>137</v>
      </c>
      <c r="Q21" s="92" t="s">
        <v>140</v>
      </c>
      <c r="R21" s="6"/>
      <c r="S21" s="6"/>
    </row>
    <row r="22" ht="18.0" customHeight="1">
      <c r="D22" s="96" t="s">
        <v>142</v>
      </c>
      <c r="E22" s="103" t="s">
        <v>143</v>
      </c>
      <c r="F22" s="107"/>
      <c r="G22" s="107"/>
      <c r="H22" s="111"/>
      <c r="I22" s="50"/>
      <c r="M22" s="96" t="s">
        <v>142</v>
      </c>
      <c r="N22" s="103" t="s">
        <v>143</v>
      </c>
      <c r="O22" s="107"/>
      <c r="P22" s="107"/>
      <c r="Q22" s="111"/>
      <c r="R22" s="6"/>
      <c r="S22" s="6"/>
    </row>
    <row r="23" ht="18.0" customHeight="1">
      <c r="D23" s="119" t="s">
        <v>146</v>
      </c>
      <c r="E23" s="67">
        <v>67.0</v>
      </c>
      <c r="F23" s="123">
        <v>0.021</v>
      </c>
      <c r="G23" s="125">
        <v>1.45</v>
      </c>
      <c r="H23" s="127">
        <v>0.165</v>
      </c>
      <c r="I23" s="131"/>
      <c r="M23" s="119" t="s">
        <v>146</v>
      </c>
      <c r="N23" s="67"/>
      <c r="O23" s="123"/>
      <c r="P23" s="125"/>
      <c r="Q23" s="127"/>
      <c r="R23" s="6"/>
      <c r="S23" s="6"/>
    </row>
    <row r="24" ht="18.0" customHeight="1">
      <c r="D24" s="119" t="s">
        <v>159</v>
      </c>
      <c r="E24" s="67">
        <v>69.0</v>
      </c>
      <c r="F24" s="135">
        <v>0.021</v>
      </c>
      <c r="G24" s="125">
        <v>1.48</v>
      </c>
      <c r="H24" s="127">
        <v>0.172</v>
      </c>
      <c r="I24" s="131"/>
      <c r="M24" s="119" t="s">
        <v>159</v>
      </c>
      <c r="N24" s="67"/>
      <c r="O24" s="135"/>
      <c r="P24" s="125"/>
      <c r="Q24" s="127"/>
      <c r="R24" s="6"/>
      <c r="S24" s="6"/>
    </row>
    <row r="25" ht="18.0" customHeight="1">
      <c r="D25" s="119" t="s">
        <v>165</v>
      </c>
      <c r="E25" s="138">
        <v>72.0</v>
      </c>
      <c r="F25" s="140">
        <v>0.022</v>
      </c>
      <c r="G25" s="125">
        <v>1.58</v>
      </c>
      <c r="H25" s="127">
        <v>0.177</v>
      </c>
      <c r="I25" s="131"/>
      <c r="M25" s="119" t="s">
        <v>165</v>
      </c>
      <c r="N25" s="138"/>
      <c r="O25" s="140"/>
      <c r="P25" s="125">
        <v>148.0</v>
      </c>
      <c r="Q25" s="127"/>
      <c r="R25" s="6"/>
      <c r="S25" s="6"/>
    </row>
    <row r="26" ht="33.75" customHeight="1">
      <c r="D26" s="145" t="s">
        <v>172</v>
      </c>
      <c r="E26" s="67">
        <v>75.0</v>
      </c>
      <c r="F26" s="135">
        <v>0.022</v>
      </c>
      <c r="G26" s="149">
        <v>1.63</v>
      </c>
      <c r="H26" s="150">
        <v>0.187</v>
      </c>
      <c r="I26" s="131"/>
      <c r="M26" s="145" t="s">
        <v>172</v>
      </c>
      <c r="N26" s="67"/>
      <c r="O26" s="135"/>
      <c r="P26" s="149"/>
      <c r="Q26" s="150"/>
      <c r="R26" s="6"/>
      <c r="S26" s="6"/>
    </row>
    <row r="27" ht="21.0" customHeight="1">
      <c r="D27" s="105" t="s">
        <v>183</v>
      </c>
      <c r="E27" s="152">
        <v>77.0</v>
      </c>
      <c r="F27" s="153">
        <v>0.023</v>
      </c>
      <c r="G27" s="154">
        <v>1.66</v>
      </c>
      <c r="H27" s="156">
        <v>0.206</v>
      </c>
      <c r="I27" s="30"/>
      <c r="M27" s="105" t="s">
        <v>183</v>
      </c>
      <c r="N27" s="152"/>
      <c r="O27" s="153"/>
      <c r="P27" s="154"/>
      <c r="Q27" s="156"/>
      <c r="R27" s="6"/>
      <c r="S27" s="6"/>
    </row>
    <row r="28" ht="18.0" customHeight="1">
      <c r="J28" s="6"/>
      <c r="K28" s="6"/>
      <c r="L28" s="6"/>
      <c r="M28" s="6"/>
      <c r="N28" s="6"/>
      <c r="O28" s="6"/>
      <c r="P28" s="6"/>
      <c r="Q28" s="6"/>
      <c r="R28" s="6"/>
      <c r="S28" s="6"/>
    </row>
    <row r="29" ht="18.0" customHeight="1">
      <c r="E29" s="159"/>
      <c r="F29" s="159"/>
      <c r="G29" s="159"/>
      <c r="H29" s="159"/>
      <c r="J29" s="6"/>
      <c r="K29" s="6"/>
      <c r="L29" s="6"/>
      <c r="M29" s="6"/>
      <c r="N29" s="6"/>
      <c r="O29" s="6"/>
      <c r="P29" s="6"/>
      <c r="Q29" s="6"/>
      <c r="R29" s="6"/>
    </row>
    <row r="30" ht="18.0" customHeight="1">
      <c r="E30" s="159"/>
      <c r="F30" s="159"/>
      <c r="G30" s="159"/>
      <c r="H30" s="159"/>
      <c r="J30" s="6"/>
      <c r="K30" s="6"/>
      <c r="L30" s="6"/>
      <c r="M30" s="6"/>
      <c r="N30" s="6"/>
      <c r="O30" s="6"/>
      <c r="P30" s="6"/>
      <c r="Q30" s="6"/>
      <c r="R30" s="6"/>
    </row>
    <row r="31" ht="18.0" customHeight="1">
      <c r="E31" s="159"/>
      <c r="F31" s="159"/>
      <c r="G31" s="159"/>
      <c r="H31" s="159"/>
      <c r="J31" s="6"/>
      <c r="K31" s="6"/>
      <c r="L31" s="6"/>
      <c r="M31" s="6"/>
      <c r="N31" s="6"/>
      <c r="O31" s="6"/>
      <c r="P31" s="6"/>
      <c r="Q31" s="6"/>
      <c r="R31" s="6"/>
    </row>
    <row r="32" ht="18.0" customHeight="1">
      <c r="E32" s="159"/>
      <c r="F32" s="159"/>
      <c r="G32" s="159"/>
      <c r="H32" s="159"/>
      <c r="J32" s="6"/>
      <c r="K32" s="6"/>
      <c r="L32" s="6"/>
      <c r="M32" s="6"/>
      <c r="N32" s="6"/>
      <c r="O32" s="6"/>
      <c r="P32" s="6"/>
      <c r="Q32" s="6"/>
      <c r="R32" s="6"/>
    </row>
    <row r="33" ht="18.0" customHeight="1">
      <c r="E33" s="159"/>
      <c r="F33" s="159"/>
      <c r="G33" s="159"/>
      <c r="H33" s="159"/>
    </row>
    <row r="34" ht="18.0" customHeight="1">
      <c r="E34" s="162"/>
      <c r="F34" s="162"/>
      <c r="G34" s="162"/>
      <c r="H34" s="162"/>
    </row>
    <row r="35" ht="18.0" customHeight="1">
      <c r="E35" s="159"/>
      <c r="F35" s="159"/>
      <c r="G35" s="159"/>
      <c r="H35" s="159"/>
    </row>
    <row r="36" ht="18.0" customHeight="1">
      <c r="E36" s="159"/>
      <c r="F36" s="159"/>
      <c r="G36" s="159"/>
      <c r="H36" s="159"/>
    </row>
    <row r="37" ht="18.0" customHeight="1">
      <c r="E37" s="165"/>
      <c r="F37" s="165"/>
      <c r="G37" s="165"/>
      <c r="H37" s="159"/>
    </row>
    <row r="38" ht="18.0" customHeight="1">
      <c r="E38" s="165"/>
      <c r="F38" s="165"/>
      <c r="G38" s="165"/>
      <c r="H38" s="159"/>
    </row>
    <row r="39" ht="18.0" customHeight="1">
      <c r="E39" s="167"/>
      <c r="F39" s="167"/>
      <c r="G39" s="167"/>
    </row>
    <row r="40" ht="18.0" customHeight="1">
      <c r="E40" s="167"/>
      <c r="F40" s="167"/>
      <c r="G40" s="167"/>
    </row>
    <row r="41" ht="18.0" customHeight="1">
      <c r="E41" s="167"/>
      <c r="F41" s="167"/>
      <c r="G41" s="167"/>
    </row>
    <row r="42" ht="18.0" customHeight="1">
      <c r="E42" s="167"/>
      <c r="F42" s="167"/>
      <c r="G42" s="167"/>
    </row>
    <row r="43" ht="18.0" customHeight="1">
      <c r="E43" s="167"/>
      <c r="F43" s="167"/>
      <c r="G43" s="167"/>
    </row>
    <row r="44" ht="18.0" customHeight="1">
      <c r="E44" s="167"/>
      <c r="F44" s="167"/>
      <c r="G44" s="167"/>
    </row>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sheetData>
  <mergeCells count="16">
    <mergeCell ref="E3:G3"/>
    <mergeCell ref="E4:G4"/>
    <mergeCell ref="A6:D21"/>
    <mergeCell ref="J6:M21"/>
    <mergeCell ref="E22:H22"/>
    <mergeCell ref="N22:Q22"/>
    <mergeCell ref="E2:G2"/>
    <mergeCell ref="E5:G5"/>
    <mergeCell ref="A1:A5"/>
    <mergeCell ref="B1:G1"/>
    <mergeCell ref="J1:J5"/>
    <mergeCell ref="K1:P1"/>
    <mergeCell ref="N2:P2"/>
    <mergeCell ref="N3:P3"/>
    <mergeCell ref="N4:P4"/>
    <mergeCell ref="N5:P5"/>
  </mergeCells>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18.63"/>
    <col customWidth="1" min="3" max="3" width="22.88"/>
    <col customWidth="1" min="4" max="4" width="17.0"/>
    <col customWidth="1" min="5" max="5" width="15.38"/>
    <col customWidth="1" min="6" max="6" width="22.25"/>
    <col customWidth="1" min="7" max="8" width="15.38"/>
    <col customWidth="1" min="9" max="9" width="25.13"/>
    <col customWidth="1" min="10" max="10" width="23.0"/>
    <col customWidth="1" min="11" max="11" width="14.63"/>
    <col customWidth="1" min="12" max="12" width="15.38"/>
    <col customWidth="1" min="13" max="13" width="23.38"/>
    <col customWidth="1" min="14" max="31" width="15.38"/>
  </cols>
  <sheetData>
    <row r="1" ht="18.0" customHeight="1">
      <c r="A1" s="1"/>
      <c r="B1" s="2" t="s">
        <v>0</v>
      </c>
      <c r="C1" s="3"/>
      <c r="D1" s="3"/>
      <c r="E1" s="3"/>
      <c r="F1" s="4"/>
      <c r="G1" s="5"/>
      <c r="H1" s="1"/>
      <c r="I1" s="2" t="s">
        <v>0</v>
      </c>
      <c r="J1" s="3"/>
      <c r="K1" s="3"/>
      <c r="L1" s="3"/>
      <c r="M1" s="4"/>
      <c r="O1" s="6"/>
      <c r="P1" s="6"/>
      <c r="Q1" s="6"/>
      <c r="R1" s="6"/>
      <c r="S1" s="6"/>
      <c r="T1" s="6"/>
      <c r="U1" s="6"/>
    </row>
    <row r="2" ht="18.0" customHeight="1">
      <c r="A2" s="7"/>
      <c r="B2" s="8" t="s">
        <v>2</v>
      </c>
      <c r="C2" s="9" t="s">
        <v>3</v>
      </c>
      <c r="D2" s="8" t="s">
        <v>4</v>
      </c>
      <c r="E2" s="10" t="s">
        <v>5</v>
      </c>
      <c r="F2" s="11"/>
      <c r="G2" s="12"/>
      <c r="H2" s="7"/>
      <c r="I2" s="8" t="s">
        <v>2</v>
      </c>
      <c r="J2" s="9" t="s">
        <v>3</v>
      </c>
      <c r="K2" s="8" t="s">
        <v>4</v>
      </c>
      <c r="L2" s="10" t="s">
        <v>7</v>
      </c>
      <c r="M2" s="11"/>
      <c r="O2" s="6"/>
      <c r="P2" s="6"/>
      <c r="Q2" s="6"/>
      <c r="R2" s="6"/>
      <c r="S2" s="6"/>
      <c r="T2" s="6"/>
      <c r="U2" s="6"/>
    </row>
    <row r="3" ht="18.0" customHeight="1">
      <c r="A3" s="7"/>
      <c r="B3" s="8" t="s">
        <v>8</v>
      </c>
      <c r="C3" s="9" t="s">
        <v>9</v>
      </c>
      <c r="D3" s="8" t="s">
        <v>10</v>
      </c>
      <c r="E3" s="10" t="s">
        <v>11</v>
      </c>
      <c r="F3" s="11"/>
      <c r="G3" s="12"/>
      <c r="H3" s="7"/>
      <c r="I3" s="8" t="s">
        <v>8</v>
      </c>
      <c r="J3" s="9" t="s">
        <v>9</v>
      </c>
      <c r="K3" s="8" t="s">
        <v>10</v>
      </c>
      <c r="L3" s="10" t="s">
        <v>12</v>
      </c>
      <c r="M3" s="11"/>
      <c r="O3" s="6"/>
      <c r="P3" s="6"/>
      <c r="Q3" s="6"/>
      <c r="R3" s="6"/>
      <c r="S3" s="6"/>
      <c r="T3" s="6"/>
      <c r="U3" s="6"/>
    </row>
    <row r="4" ht="18.0" customHeight="1">
      <c r="A4" s="7"/>
      <c r="B4" s="8" t="s">
        <v>13</v>
      </c>
      <c r="C4" s="9" t="s">
        <v>14</v>
      </c>
      <c r="D4" s="8" t="s">
        <v>15</v>
      </c>
      <c r="E4" s="10" t="s">
        <v>16</v>
      </c>
      <c r="F4" s="11"/>
      <c r="G4" s="12"/>
      <c r="H4" s="7"/>
      <c r="I4" s="8" t="s">
        <v>13</v>
      </c>
      <c r="J4" s="9" t="s">
        <v>14</v>
      </c>
      <c r="K4" s="8" t="s">
        <v>15</v>
      </c>
      <c r="L4" s="10" t="s">
        <v>18</v>
      </c>
      <c r="M4" s="11"/>
      <c r="O4" s="6"/>
      <c r="P4" s="6"/>
      <c r="Q4" s="6"/>
      <c r="R4" s="6"/>
      <c r="S4" s="6"/>
      <c r="T4" s="6"/>
      <c r="U4" s="6"/>
    </row>
    <row r="5">
      <c r="A5" s="14"/>
      <c r="B5" s="16" t="s">
        <v>19</v>
      </c>
      <c r="C5" s="20" t="s">
        <v>20</v>
      </c>
      <c r="D5" s="16" t="s">
        <v>21</v>
      </c>
      <c r="E5" s="21"/>
      <c r="F5" s="22"/>
      <c r="G5" s="23"/>
      <c r="H5" s="14"/>
      <c r="I5" s="16" t="s">
        <v>19</v>
      </c>
      <c r="J5" s="20" t="s">
        <v>20</v>
      </c>
      <c r="K5" s="16" t="s">
        <v>21</v>
      </c>
      <c r="L5" s="21"/>
      <c r="M5" s="22"/>
      <c r="O5" s="6"/>
      <c r="P5" s="6"/>
      <c r="Q5" s="6"/>
      <c r="R5" s="6"/>
      <c r="S5" s="6"/>
      <c r="T5" s="6"/>
      <c r="U5" s="6"/>
    </row>
    <row r="6" ht="18.0" customHeight="1">
      <c r="A6" s="24"/>
      <c r="H6" s="24"/>
      <c r="O6" s="6"/>
      <c r="P6" s="6"/>
      <c r="Q6" s="6"/>
      <c r="R6" s="6"/>
      <c r="S6" s="6"/>
      <c r="T6" s="6"/>
      <c r="U6" s="6"/>
    </row>
    <row r="7">
      <c r="A7" s="25" t="s">
        <v>25</v>
      </c>
      <c r="B7" s="25" t="s">
        <v>26</v>
      </c>
      <c r="C7" s="27" t="s">
        <v>27</v>
      </c>
      <c r="D7" s="28" t="s">
        <v>28</v>
      </c>
      <c r="E7" s="28" t="s">
        <v>29</v>
      </c>
      <c r="F7" s="29"/>
      <c r="G7" s="30"/>
      <c r="H7" s="25" t="s">
        <v>25</v>
      </c>
      <c r="I7" s="25" t="s">
        <v>26</v>
      </c>
      <c r="J7" s="27" t="s">
        <v>27</v>
      </c>
      <c r="K7" s="28" t="s">
        <v>28</v>
      </c>
      <c r="L7" s="28" t="s">
        <v>29</v>
      </c>
      <c r="M7" s="29"/>
      <c r="O7" s="6"/>
      <c r="P7" s="6"/>
      <c r="Q7" s="6"/>
      <c r="R7" s="6"/>
      <c r="S7" s="6"/>
      <c r="T7" s="6"/>
      <c r="U7" s="6"/>
      <c r="W7" s="32"/>
      <c r="X7" s="32"/>
      <c r="Y7" s="32"/>
      <c r="Z7" s="32"/>
      <c r="AA7" s="32"/>
      <c r="AB7" s="32"/>
      <c r="AC7" s="32"/>
    </row>
    <row r="8" ht="42.0" customHeight="1">
      <c r="A8" s="34">
        <v>1.0</v>
      </c>
      <c r="B8" s="36" t="s">
        <v>32</v>
      </c>
      <c r="C8" s="36" t="s">
        <v>34</v>
      </c>
      <c r="D8" s="36" t="s">
        <v>35</v>
      </c>
      <c r="E8" s="38" t="s">
        <v>36</v>
      </c>
      <c r="F8" s="29"/>
      <c r="G8" s="40"/>
      <c r="H8" s="41">
        <v>1.0</v>
      </c>
      <c r="I8" s="42" t="s">
        <v>37</v>
      </c>
      <c r="J8" s="42" t="s">
        <v>38</v>
      </c>
      <c r="K8" s="42" t="s">
        <v>39</v>
      </c>
      <c r="L8" s="43" t="s">
        <v>40</v>
      </c>
      <c r="N8" s="40"/>
      <c r="O8" s="6"/>
      <c r="P8" s="6"/>
      <c r="Q8" s="6"/>
      <c r="R8" s="6"/>
      <c r="S8" s="6"/>
      <c r="T8" s="6"/>
      <c r="U8" s="6"/>
    </row>
    <row r="9">
      <c r="A9" s="34">
        <v>2.0</v>
      </c>
      <c r="B9" s="36" t="s">
        <v>42</v>
      </c>
      <c r="C9" s="36" t="s">
        <v>43</v>
      </c>
      <c r="D9" s="36" t="s">
        <v>44</v>
      </c>
      <c r="E9" s="45" t="s">
        <v>45</v>
      </c>
      <c r="F9" s="29"/>
      <c r="G9" s="40"/>
      <c r="H9" s="24">
        <v>2.0</v>
      </c>
      <c r="I9" s="12" t="s">
        <v>46</v>
      </c>
      <c r="J9" s="12" t="s">
        <v>38</v>
      </c>
      <c r="K9" s="52" t="s">
        <v>35</v>
      </c>
      <c r="L9" s="12" t="s">
        <v>50</v>
      </c>
      <c r="O9" s="6"/>
      <c r="P9" s="6"/>
      <c r="Q9" s="6"/>
      <c r="R9" s="6"/>
      <c r="S9" s="6"/>
      <c r="T9" s="6"/>
      <c r="U9" s="6"/>
    </row>
    <row r="10">
      <c r="A10" s="34">
        <v>3.0</v>
      </c>
      <c r="B10" s="36" t="s">
        <v>53</v>
      </c>
      <c r="C10" s="36" t="s">
        <v>54</v>
      </c>
      <c r="D10" s="36" t="s">
        <v>55</v>
      </c>
      <c r="E10" s="45" t="s">
        <v>56</v>
      </c>
      <c r="F10" s="29"/>
      <c r="G10" s="40"/>
      <c r="H10" s="41">
        <v>3.0</v>
      </c>
      <c r="I10" s="42" t="s">
        <v>32</v>
      </c>
      <c r="J10" s="42" t="s">
        <v>57</v>
      </c>
      <c r="K10" s="52" t="s">
        <v>35</v>
      </c>
      <c r="L10" s="43" t="s">
        <v>59</v>
      </c>
      <c r="N10" s="40"/>
      <c r="O10" s="6"/>
      <c r="P10" s="6"/>
      <c r="Q10" s="6"/>
      <c r="R10" s="6"/>
      <c r="S10" s="6"/>
      <c r="T10" s="6"/>
      <c r="U10" s="6"/>
    </row>
    <row r="11">
      <c r="A11" s="34">
        <v>4.0</v>
      </c>
      <c r="B11" s="36" t="s">
        <v>60</v>
      </c>
      <c r="C11" s="36" t="s">
        <v>54</v>
      </c>
      <c r="D11" s="36" t="s">
        <v>61</v>
      </c>
      <c r="E11" s="62" t="s">
        <v>63</v>
      </c>
      <c r="F11" s="29"/>
      <c r="G11" s="40"/>
      <c r="H11" s="24">
        <v>4.0</v>
      </c>
      <c r="I11" s="12" t="s">
        <v>73</v>
      </c>
      <c r="J11" s="12" t="s">
        <v>74</v>
      </c>
      <c r="K11" s="42" t="s">
        <v>39</v>
      </c>
      <c r="L11" s="12" t="s">
        <v>75</v>
      </c>
      <c r="N11" s="40"/>
      <c r="O11" s="6"/>
      <c r="P11" s="6"/>
      <c r="Q11" s="6"/>
      <c r="R11" s="6"/>
      <c r="S11" s="6"/>
      <c r="T11" s="6"/>
      <c r="U11" s="6"/>
    </row>
    <row r="12">
      <c r="A12" s="65">
        <v>5.0</v>
      </c>
      <c r="B12" s="66" t="s">
        <v>83</v>
      </c>
      <c r="C12" s="66" t="s">
        <v>84</v>
      </c>
      <c r="D12" s="66" t="s">
        <v>61</v>
      </c>
      <c r="E12" s="62" t="s">
        <v>85</v>
      </c>
      <c r="F12" s="29"/>
      <c r="G12" s="40"/>
      <c r="H12" s="41">
        <v>5.0</v>
      </c>
      <c r="I12" s="42" t="s">
        <v>37</v>
      </c>
      <c r="J12" s="42" t="s">
        <v>38</v>
      </c>
      <c r="K12" s="42" t="s">
        <v>39</v>
      </c>
      <c r="L12" s="43" t="s">
        <v>40</v>
      </c>
      <c r="N12" s="40"/>
      <c r="O12" s="6"/>
      <c r="P12" s="6"/>
      <c r="Q12" s="6"/>
      <c r="R12" s="6"/>
      <c r="S12" s="6"/>
      <c r="T12" s="6"/>
      <c r="U12" s="6"/>
    </row>
    <row r="13">
      <c r="A13" s="65">
        <v>6.0</v>
      </c>
      <c r="B13" s="70" t="s">
        <v>89</v>
      </c>
      <c r="C13" s="70" t="s">
        <v>91</v>
      </c>
      <c r="D13" s="70" t="s">
        <v>61</v>
      </c>
      <c r="E13" s="62" t="s">
        <v>93</v>
      </c>
      <c r="F13" s="29"/>
      <c r="G13" s="40"/>
      <c r="H13" s="41">
        <v>6.0</v>
      </c>
      <c r="I13" s="42" t="s">
        <v>94</v>
      </c>
      <c r="J13" s="42" t="s">
        <v>95</v>
      </c>
      <c r="K13" s="42" t="s">
        <v>39</v>
      </c>
      <c r="L13" s="43" t="s">
        <v>96</v>
      </c>
      <c r="N13" s="40"/>
      <c r="O13" s="6"/>
      <c r="P13" s="6"/>
      <c r="Q13" s="6"/>
      <c r="R13" s="6"/>
      <c r="S13" s="6"/>
      <c r="T13" s="6"/>
      <c r="U13" s="6"/>
    </row>
    <row r="14">
      <c r="A14" s="34">
        <v>7.0</v>
      </c>
      <c r="B14" s="36" t="s">
        <v>98</v>
      </c>
      <c r="C14" s="36" t="s">
        <v>99</v>
      </c>
      <c r="D14" s="36" t="s">
        <v>44</v>
      </c>
      <c r="E14" s="62" t="s">
        <v>100</v>
      </c>
      <c r="F14" s="29"/>
      <c r="G14" s="40"/>
      <c r="H14" s="41">
        <v>8.0</v>
      </c>
      <c r="I14" s="42" t="s">
        <v>89</v>
      </c>
      <c r="J14" s="42" t="s">
        <v>102</v>
      </c>
      <c r="K14" s="42" t="s">
        <v>103</v>
      </c>
      <c r="L14" s="12" t="s">
        <v>104</v>
      </c>
      <c r="N14" s="40"/>
      <c r="O14" s="6"/>
      <c r="P14" s="6"/>
      <c r="Q14" s="6"/>
      <c r="R14" s="6"/>
      <c r="S14" s="6"/>
      <c r="T14" s="6"/>
      <c r="U14" s="6"/>
    </row>
    <row r="15">
      <c r="A15" s="34">
        <v>8.0</v>
      </c>
      <c r="B15" s="36" t="s">
        <v>105</v>
      </c>
      <c r="C15" s="36" t="s">
        <v>106</v>
      </c>
      <c r="D15" s="36" t="s">
        <v>44</v>
      </c>
      <c r="E15" s="38" t="s">
        <v>107</v>
      </c>
      <c r="F15" s="29"/>
      <c r="G15" s="40"/>
      <c r="H15" s="41">
        <v>9.0</v>
      </c>
      <c r="I15" s="42" t="s">
        <v>108</v>
      </c>
      <c r="J15" s="42" t="s">
        <v>102</v>
      </c>
      <c r="K15" s="42" t="s">
        <v>61</v>
      </c>
      <c r="L15" s="12" t="s">
        <v>104</v>
      </c>
      <c r="N15" s="40"/>
      <c r="O15" s="6"/>
      <c r="P15" s="6"/>
      <c r="Q15" s="6"/>
      <c r="R15" s="6"/>
      <c r="S15" s="6"/>
      <c r="T15" s="6"/>
      <c r="U15" s="6"/>
    </row>
    <row r="16" ht="27.0" customHeight="1">
      <c r="A16" s="34">
        <v>9.0</v>
      </c>
      <c r="B16" s="36" t="s">
        <v>110</v>
      </c>
      <c r="C16" s="36" t="s">
        <v>43</v>
      </c>
      <c r="D16" s="36" t="s">
        <v>35</v>
      </c>
      <c r="E16" s="45" t="s">
        <v>111</v>
      </c>
      <c r="F16" s="29"/>
      <c r="G16" s="40"/>
      <c r="H16" s="41">
        <v>10.0</v>
      </c>
      <c r="I16" s="42" t="s">
        <v>112</v>
      </c>
      <c r="J16" s="42" t="s">
        <v>113</v>
      </c>
      <c r="K16" s="42" t="s">
        <v>61</v>
      </c>
      <c r="L16" s="12" t="s">
        <v>114</v>
      </c>
      <c r="N16" s="40"/>
      <c r="O16" s="6"/>
      <c r="P16" s="6"/>
      <c r="Q16" s="6"/>
      <c r="R16" s="6"/>
      <c r="S16" s="6"/>
      <c r="T16" s="6"/>
      <c r="U16" s="6"/>
    </row>
    <row r="17">
      <c r="A17" s="34">
        <v>10.0</v>
      </c>
      <c r="B17" s="36" t="s">
        <v>115</v>
      </c>
      <c r="C17" s="36" t="s">
        <v>106</v>
      </c>
      <c r="D17" s="36" t="s">
        <v>103</v>
      </c>
      <c r="E17" s="38" t="s">
        <v>116</v>
      </c>
      <c r="F17" s="29"/>
      <c r="G17" s="40"/>
      <c r="H17" s="41">
        <v>11.0</v>
      </c>
      <c r="I17" s="42" t="s">
        <v>118</v>
      </c>
      <c r="J17" s="42" t="s">
        <v>119</v>
      </c>
      <c r="K17" s="42" t="s">
        <v>61</v>
      </c>
      <c r="L17" s="43" t="s">
        <v>120</v>
      </c>
      <c r="N17" s="40"/>
      <c r="O17" s="6"/>
      <c r="P17" s="6"/>
      <c r="Q17" s="6"/>
      <c r="R17" s="6"/>
      <c r="S17" s="6"/>
      <c r="T17" s="6"/>
      <c r="U17" s="6"/>
    </row>
    <row r="18">
      <c r="A18" s="34">
        <v>11.0</v>
      </c>
      <c r="B18" s="36" t="s">
        <v>121</v>
      </c>
      <c r="C18" s="36" t="s">
        <v>122</v>
      </c>
      <c r="D18" s="36" t="s">
        <v>123</v>
      </c>
      <c r="E18" s="62" t="s">
        <v>124</v>
      </c>
      <c r="F18" s="29"/>
      <c r="G18" s="40"/>
      <c r="H18" s="41">
        <v>12.0</v>
      </c>
      <c r="I18" s="82" t="s">
        <v>126</v>
      </c>
      <c r="J18" s="82" t="s">
        <v>129</v>
      </c>
      <c r="K18" s="82" t="s">
        <v>39</v>
      </c>
      <c r="L18" s="82" t="s">
        <v>130</v>
      </c>
      <c r="N18" s="6"/>
      <c r="P18" s="6"/>
      <c r="Q18" s="6"/>
      <c r="R18" s="6"/>
      <c r="S18" s="6"/>
      <c r="T18" s="6"/>
      <c r="U18" s="6"/>
    </row>
    <row r="19">
      <c r="A19" s="34">
        <v>12.0</v>
      </c>
      <c r="B19" s="36" t="s">
        <v>131</v>
      </c>
      <c r="C19" s="36" t="s">
        <v>132</v>
      </c>
      <c r="D19" s="36" t="s">
        <v>133</v>
      </c>
      <c r="E19" s="84" t="s">
        <v>134</v>
      </c>
      <c r="F19" s="29"/>
      <c r="G19" s="40"/>
      <c r="H19" s="41">
        <v>13.0</v>
      </c>
      <c r="I19" s="52" t="s">
        <v>98</v>
      </c>
      <c r="J19" s="52" t="s">
        <v>99</v>
      </c>
      <c r="K19" s="52" t="s">
        <v>44</v>
      </c>
      <c r="L19" s="87" t="s">
        <v>135</v>
      </c>
      <c r="N19" s="6"/>
      <c r="P19" s="6"/>
      <c r="Q19" s="6"/>
      <c r="R19" s="6"/>
      <c r="S19" s="6"/>
      <c r="T19" s="6"/>
      <c r="U19" s="6"/>
    </row>
    <row r="20">
      <c r="A20" s="91"/>
      <c r="B20" s="95"/>
      <c r="C20" s="95"/>
      <c r="D20" s="101"/>
      <c r="E20" s="104"/>
      <c r="G20" s="40"/>
      <c r="H20" s="108">
        <v>14.0</v>
      </c>
      <c r="I20" s="52" t="s">
        <v>105</v>
      </c>
      <c r="J20" s="52" t="s">
        <v>106</v>
      </c>
      <c r="K20" s="52" t="s">
        <v>44</v>
      </c>
      <c r="L20" s="52" t="s">
        <v>145</v>
      </c>
      <c r="N20" s="40"/>
      <c r="O20" s="113"/>
      <c r="P20" s="115"/>
      <c r="Q20" s="115"/>
      <c r="R20" s="115"/>
      <c r="S20" s="116"/>
      <c r="W20" s="118"/>
    </row>
    <row r="21">
      <c r="A21" s="91"/>
      <c r="B21" s="120"/>
      <c r="C21" s="120"/>
      <c r="D21" s="91"/>
      <c r="E21" s="101"/>
      <c r="F21" s="101"/>
      <c r="G21" s="101"/>
      <c r="H21" s="41">
        <v>15.0</v>
      </c>
      <c r="I21" s="52" t="s">
        <v>110</v>
      </c>
      <c r="J21" s="52" t="s">
        <v>43</v>
      </c>
      <c r="K21" s="52" t="s">
        <v>35</v>
      </c>
      <c r="L21" s="87" t="s">
        <v>111</v>
      </c>
    </row>
    <row r="22" ht="18.0" customHeight="1">
      <c r="A22" s="124" t="s">
        <v>148</v>
      </c>
      <c r="B22" s="3"/>
      <c r="C22" s="3"/>
      <c r="D22" s="3"/>
      <c r="E22" s="4"/>
      <c r="H22" s="41">
        <v>16.0</v>
      </c>
      <c r="I22" s="82" t="s">
        <v>149</v>
      </c>
      <c r="J22" s="82" t="s">
        <v>106</v>
      </c>
      <c r="K22" s="82" t="s">
        <v>150</v>
      </c>
      <c r="L22" s="129" t="s">
        <v>151</v>
      </c>
    </row>
    <row r="23">
      <c r="A23" s="132" t="s">
        <v>156</v>
      </c>
      <c r="B23" s="107"/>
      <c r="C23" s="134" t="s">
        <v>158</v>
      </c>
      <c r="D23" s="107"/>
      <c r="E23" s="111"/>
      <c r="H23" s="41">
        <v>17.0</v>
      </c>
      <c r="I23" s="82" t="s">
        <v>121</v>
      </c>
      <c r="J23" s="82" t="s">
        <v>161</v>
      </c>
      <c r="K23" s="82" t="s">
        <v>162</v>
      </c>
      <c r="L23" s="129" t="s">
        <v>163</v>
      </c>
    </row>
    <row r="24">
      <c r="A24" s="136" t="s">
        <v>164</v>
      </c>
      <c r="B24" s="29"/>
      <c r="C24" s="139"/>
      <c r="D24" s="26"/>
      <c r="E24" s="11"/>
      <c r="H24" s="41">
        <v>18.0</v>
      </c>
      <c r="I24" s="82" t="s">
        <v>167</v>
      </c>
      <c r="J24" s="82" t="s">
        <v>168</v>
      </c>
      <c r="K24" s="82" t="s">
        <v>35</v>
      </c>
      <c r="L24" s="129" t="s">
        <v>169</v>
      </c>
    </row>
    <row r="25">
      <c r="A25" s="142" t="s">
        <v>170</v>
      </c>
      <c r="B25" s="29"/>
      <c r="C25" s="139"/>
      <c r="D25" s="26"/>
      <c r="E25" s="11"/>
      <c r="H25" s="41">
        <v>19.0</v>
      </c>
      <c r="I25" s="52" t="s">
        <v>131</v>
      </c>
      <c r="J25" s="52" t="s">
        <v>132</v>
      </c>
      <c r="K25" s="52" t="s">
        <v>133</v>
      </c>
      <c r="L25" s="144" t="s">
        <v>134</v>
      </c>
    </row>
    <row r="26" ht="18.0" customHeight="1">
      <c r="A26" s="142" t="s">
        <v>174</v>
      </c>
      <c r="B26" s="29"/>
      <c r="C26" s="141" t="s">
        <v>175</v>
      </c>
      <c r="D26" s="26"/>
      <c r="E26" s="11"/>
      <c r="H26" s="146"/>
      <c r="I26" s="147"/>
      <c r="J26" s="147"/>
      <c r="K26" s="147"/>
      <c r="L26" s="129"/>
    </row>
    <row r="27" ht="18.0" customHeight="1">
      <c r="A27" s="151" t="s">
        <v>178</v>
      </c>
      <c r="B27" s="29"/>
      <c r="C27" s="139"/>
      <c r="D27" s="26"/>
      <c r="E27" s="11"/>
      <c r="H27" s="6"/>
      <c r="I27" s="6"/>
      <c r="J27" s="6"/>
      <c r="K27" s="6"/>
      <c r="L27" s="6"/>
      <c r="M27" s="6"/>
    </row>
    <row r="28" ht="18.0" customHeight="1">
      <c r="A28" s="151" t="s">
        <v>185</v>
      </c>
      <c r="B28" s="29"/>
      <c r="C28" s="139"/>
      <c r="D28" s="26"/>
      <c r="E28" s="11"/>
    </row>
    <row r="29" ht="18.0" customHeight="1">
      <c r="A29" s="155" t="s">
        <v>188</v>
      </c>
      <c r="B29" s="106"/>
      <c r="C29" s="157" t="s">
        <v>189</v>
      </c>
      <c r="D29" s="46"/>
      <c r="E29" s="22"/>
    </row>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sheetData>
  <mergeCells count="63">
    <mergeCell ref="L21:M21"/>
    <mergeCell ref="L22:M22"/>
    <mergeCell ref="L26:M26"/>
    <mergeCell ref="L12:M12"/>
    <mergeCell ref="L13:M13"/>
    <mergeCell ref="L14:M14"/>
    <mergeCell ref="L15:M15"/>
    <mergeCell ref="L16:M16"/>
    <mergeCell ref="L17:M17"/>
    <mergeCell ref="L18:M18"/>
    <mergeCell ref="A26:B26"/>
    <mergeCell ref="C26:E26"/>
    <mergeCell ref="A27:B27"/>
    <mergeCell ref="C27:E27"/>
    <mergeCell ref="A28:B28"/>
    <mergeCell ref="C28:E28"/>
    <mergeCell ref="A29:B29"/>
    <mergeCell ref="C29:E29"/>
    <mergeCell ref="E19:F19"/>
    <mergeCell ref="E20:F20"/>
    <mergeCell ref="A22:E22"/>
    <mergeCell ref="A23:B23"/>
    <mergeCell ref="C23:E23"/>
    <mergeCell ref="A24:B24"/>
    <mergeCell ref="C24:E24"/>
    <mergeCell ref="E3:F3"/>
    <mergeCell ref="E4:F4"/>
    <mergeCell ref="A1:A5"/>
    <mergeCell ref="B1:F1"/>
    <mergeCell ref="H1:H5"/>
    <mergeCell ref="I1:M1"/>
    <mergeCell ref="L2:M2"/>
    <mergeCell ref="L3:M3"/>
    <mergeCell ref="L4:M4"/>
    <mergeCell ref="E2:F2"/>
    <mergeCell ref="E5:F5"/>
    <mergeCell ref="E7:F7"/>
    <mergeCell ref="E8:F8"/>
    <mergeCell ref="E9:F9"/>
    <mergeCell ref="E10:F10"/>
    <mergeCell ref="E11:F11"/>
    <mergeCell ref="L5:M5"/>
    <mergeCell ref="A6:F6"/>
    <mergeCell ref="H6:M6"/>
    <mergeCell ref="L7:M7"/>
    <mergeCell ref="L8:M8"/>
    <mergeCell ref="L9:M9"/>
    <mergeCell ref="L10:M10"/>
    <mergeCell ref="E12:F12"/>
    <mergeCell ref="E13:F13"/>
    <mergeCell ref="E14:F14"/>
    <mergeCell ref="E15:F15"/>
    <mergeCell ref="E16:F16"/>
    <mergeCell ref="E17:F17"/>
    <mergeCell ref="E18:F18"/>
    <mergeCell ref="L19:M19"/>
    <mergeCell ref="L20:M20"/>
    <mergeCell ref="S20:U20"/>
    <mergeCell ref="L23:M23"/>
    <mergeCell ref="L24:M24"/>
    <mergeCell ref="A25:B25"/>
    <mergeCell ref="C25:E25"/>
    <mergeCell ref="L25:M25"/>
  </mergeCell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2.63"/>
    <col customWidth="1" min="2" max="2" width="18.63"/>
    <col customWidth="1" min="3" max="3" width="22.88"/>
    <col customWidth="1" min="4" max="4" width="17.0"/>
    <col customWidth="1" min="5" max="5" width="15.38"/>
    <col customWidth="1" min="6" max="6" width="22.25"/>
    <col customWidth="1" min="7" max="12" width="15.38"/>
    <col customWidth="1" min="13" max="13" width="23.38"/>
    <col customWidth="1" min="14" max="31" width="15.38"/>
  </cols>
  <sheetData>
    <row r="1" ht="18.0" customHeight="1">
      <c r="A1" s="1"/>
      <c r="B1" s="2" t="s">
        <v>23</v>
      </c>
      <c r="C1" s="3"/>
      <c r="D1" s="3"/>
      <c r="E1" s="3"/>
      <c r="F1" s="4"/>
      <c r="G1" s="5"/>
      <c r="H1" s="6"/>
      <c r="I1" s="6"/>
      <c r="J1" s="6"/>
      <c r="K1" s="1"/>
      <c r="L1" s="2" t="s">
        <v>23</v>
      </c>
      <c r="M1" s="3"/>
      <c r="N1" s="3"/>
      <c r="O1" s="3"/>
      <c r="P1" s="4"/>
      <c r="Q1" s="5"/>
      <c r="R1" s="6"/>
      <c r="S1" s="6"/>
      <c r="T1" s="6"/>
      <c r="U1" s="6"/>
    </row>
    <row r="2" ht="18.0" customHeight="1">
      <c r="A2" s="7"/>
      <c r="B2" s="8" t="s">
        <v>2</v>
      </c>
      <c r="C2" s="9" t="s">
        <v>3</v>
      </c>
      <c r="D2" s="8" t="s">
        <v>4</v>
      </c>
      <c r="E2" s="10" t="s">
        <v>5</v>
      </c>
      <c r="F2" s="11"/>
      <c r="G2" s="12"/>
      <c r="H2" s="6"/>
      <c r="I2" s="6"/>
      <c r="J2" s="6"/>
      <c r="K2" s="7"/>
      <c r="L2" s="8" t="s">
        <v>2</v>
      </c>
      <c r="M2" s="9" t="s">
        <v>3</v>
      </c>
      <c r="N2" s="8" t="s">
        <v>4</v>
      </c>
      <c r="O2" s="10" t="s">
        <v>7</v>
      </c>
      <c r="P2" s="11"/>
      <c r="Q2" s="12"/>
      <c r="R2" s="6"/>
      <c r="S2" s="6"/>
      <c r="T2" s="6"/>
      <c r="U2" s="6"/>
    </row>
    <row r="3" ht="18.0" customHeight="1">
      <c r="A3" s="7"/>
      <c r="B3" s="8" t="s">
        <v>8</v>
      </c>
      <c r="C3" s="9" t="s">
        <v>9</v>
      </c>
      <c r="D3" s="8" t="s">
        <v>10</v>
      </c>
      <c r="E3" s="10" t="s">
        <v>11</v>
      </c>
      <c r="F3" s="11"/>
      <c r="G3" s="12"/>
      <c r="H3" s="6"/>
      <c r="I3" s="6"/>
      <c r="J3" s="6"/>
      <c r="K3" s="7"/>
      <c r="L3" s="8" t="s">
        <v>8</v>
      </c>
      <c r="M3" s="9" t="s">
        <v>9</v>
      </c>
      <c r="N3" s="8" t="s">
        <v>10</v>
      </c>
      <c r="O3" s="10" t="s">
        <v>30</v>
      </c>
      <c r="P3" s="11"/>
      <c r="Q3" s="12"/>
      <c r="R3" s="6"/>
      <c r="S3" s="6"/>
      <c r="T3" s="6"/>
      <c r="U3" s="6"/>
    </row>
    <row r="4" ht="18.0" customHeight="1">
      <c r="A4" s="7"/>
      <c r="B4" s="8" t="s">
        <v>13</v>
      </c>
      <c r="C4" s="9" t="s">
        <v>14</v>
      </c>
      <c r="D4" s="8" t="s">
        <v>15</v>
      </c>
      <c r="E4" s="10" t="s">
        <v>16</v>
      </c>
      <c r="F4" s="11"/>
      <c r="G4" s="12"/>
      <c r="H4" s="6"/>
      <c r="I4" s="6"/>
      <c r="J4" s="6"/>
      <c r="K4" s="7"/>
      <c r="L4" s="8" t="s">
        <v>13</v>
      </c>
      <c r="M4" s="9" t="s">
        <v>14</v>
      </c>
      <c r="N4" s="8" t="s">
        <v>15</v>
      </c>
      <c r="O4" s="10" t="s">
        <v>18</v>
      </c>
      <c r="P4" s="11"/>
      <c r="Q4" s="12"/>
      <c r="R4" s="6"/>
      <c r="S4" s="6"/>
      <c r="T4" s="6"/>
      <c r="U4" s="6"/>
    </row>
    <row r="5">
      <c r="A5" s="14"/>
      <c r="B5" s="16" t="s">
        <v>19</v>
      </c>
      <c r="C5" s="20" t="s">
        <v>20</v>
      </c>
      <c r="D5" s="16" t="s">
        <v>21</v>
      </c>
      <c r="E5" s="21"/>
      <c r="F5" s="22"/>
      <c r="G5" s="23"/>
      <c r="H5" s="6"/>
      <c r="I5" s="6"/>
      <c r="J5" s="6"/>
      <c r="K5" s="14"/>
      <c r="L5" s="16" t="s">
        <v>19</v>
      </c>
      <c r="M5" s="20" t="s">
        <v>20</v>
      </c>
      <c r="N5" s="16" t="s">
        <v>21</v>
      </c>
      <c r="O5" s="21"/>
      <c r="P5" s="22"/>
      <c r="Q5" s="23"/>
      <c r="R5" s="6"/>
      <c r="S5" s="6"/>
      <c r="T5" s="6"/>
      <c r="U5" s="6"/>
    </row>
    <row r="6" ht="18.0" customHeight="1">
      <c r="A6" s="24"/>
      <c r="H6" s="6"/>
      <c r="I6" s="6"/>
      <c r="J6" s="6"/>
      <c r="K6" s="24"/>
      <c r="R6" s="6"/>
      <c r="S6" s="6"/>
      <c r="T6" s="6"/>
      <c r="U6" s="6"/>
    </row>
    <row r="7">
      <c r="A7" s="44" t="s">
        <v>41</v>
      </c>
      <c r="B7" s="3"/>
      <c r="C7" s="3"/>
      <c r="D7" s="3"/>
      <c r="E7" s="3"/>
      <c r="F7" s="3"/>
      <c r="G7" s="4"/>
      <c r="H7" s="30"/>
      <c r="I7" s="50"/>
      <c r="J7" s="50"/>
      <c r="K7" s="44" t="s">
        <v>41</v>
      </c>
      <c r="L7" s="3"/>
      <c r="M7" s="3"/>
      <c r="N7" s="3"/>
      <c r="O7" s="3"/>
      <c r="P7" s="3"/>
      <c r="Q7" s="4"/>
      <c r="R7" s="6"/>
      <c r="S7" s="6"/>
      <c r="T7" s="6"/>
      <c r="U7" s="6"/>
      <c r="W7" s="32"/>
      <c r="X7" s="32"/>
      <c r="Y7" s="32"/>
      <c r="Z7" s="32"/>
      <c r="AA7" s="32"/>
      <c r="AB7" s="32"/>
      <c r="AC7" s="32"/>
    </row>
    <row r="8" ht="18.75" customHeight="1">
      <c r="A8" s="61" t="s">
        <v>49</v>
      </c>
      <c r="C8" s="67" t="s">
        <v>72</v>
      </c>
      <c r="D8" s="67" t="s">
        <v>86</v>
      </c>
      <c r="E8" s="67" t="s">
        <v>87</v>
      </c>
      <c r="F8" s="67" t="s">
        <v>88</v>
      </c>
      <c r="G8" s="71" t="s">
        <v>90</v>
      </c>
      <c r="H8" s="30"/>
      <c r="I8" s="50"/>
      <c r="J8" s="50"/>
      <c r="K8" s="61" t="s">
        <v>49</v>
      </c>
      <c r="M8" s="67" t="s">
        <v>72</v>
      </c>
      <c r="N8" s="67" t="s">
        <v>86</v>
      </c>
      <c r="O8" s="67" t="s">
        <v>87</v>
      </c>
      <c r="P8" s="67" t="s">
        <v>88</v>
      </c>
      <c r="Q8" s="71" t="s">
        <v>90</v>
      </c>
      <c r="R8" s="6"/>
      <c r="S8" s="6"/>
      <c r="T8" s="6"/>
      <c r="U8" s="6"/>
    </row>
    <row r="9">
      <c r="A9" s="77" t="s">
        <v>109</v>
      </c>
      <c r="B9" s="29"/>
      <c r="C9" s="80"/>
      <c r="D9" s="80"/>
      <c r="E9" s="80"/>
      <c r="F9" s="80"/>
      <c r="G9" s="71"/>
      <c r="H9" s="30"/>
      <c r="I9" s="50"/>
      <c r="J9" s="50"/>
      <c r="K9" s="77" t="s">
        <v>109</v>
      </c>
      <c r="L9" s="29"/>
      <c r="M9" s="80"/>
      <c r="N9" s="80"/>
      <c r="O9" s="80"/>
      <c r="P9" s="80"/>
      <c r="Q9" s="71"/>
      <c r="R9" s="6"/>
      <c r="S9" s="6"/>
      <c r="T9" s="6"/>
      <c r="U9" s="6"/>
    </row>
    <row r="10">
      <c r="A10" s="77" t="s">
        <v>136</v>
      </c>
      <c r="B10" s="29"/>
      <c r="C10" s="67"/>
      <c r="D10" s="67"/>
      <c r="E10" s="67"/>
      <c r="F10" s="67"/>
      <c r="G10" s="71"/>
      <c r="H10" s="30"/>
      <c r="I10" s="50"/>
      <c r="J10" s="50"/>
      <c r="K10" s="77" t="s">
        <v>136</v>
      </c>
      <c r="L10" s="29"/>
      <c r="M10" s="67"/>
      <c r="N10" s="67"/>
      <c r="O10" s="67"/>
      <c r="P10" s="67"/>
      <c r="Q10" s="71"/>
      <c r="R10" s="6"/>
      <c r="S10" s="6"/>
      <c r="T10" s="6"/>
      <c r="U10" s="6"/>
    </row>
    <row r="11" ht="18.0" customHeight="1">
      <c r="A11" s="90" t="s">
        <v>139</v>
      </c>
      <c r="B11" s="94"/>
      <c r="C11" s="97">
        <v>76.0</v>
      </c>
      <c r="D11" s="97">
        <v>78.0</v>
      </c>
      <c r="E11" s="97">
        <v>78.0</v>
      </c>
      <c r="F11" s="97">
        <v>80.0</v>
      </c>
      <c r="G11" s="99">
        <v>80.0</v>
      </c>
      <c r="H11" s="30"/>
      <c r="I11" s="50"/>
      <c r="J11" s="50"/>
      <c r="K11" s="90" t="s">
        <v>139</v>
      </c>
      <c r="L11" s="94"/>
      <c r="M11" s="97"/>
      <c r="N11" s="97"/>
      <c r="O11" s="97"/>
      <c r="P11" s="97"/>
      <c r="Q11" s="99"/>
      <c r="R11" s="6"/>
      <c r="S11" s="6"/>
      <c r="T11" s="6"/>
      <c r="U11" s="6"/>
    </row>
    <row r="12">
      <c r="A12" s="105" t="s">
        <v>144</v>
      </c>
      <c r="B12" s="106"/>
      <c r="C12" s="109"/>
      <c r="D12" s="109"/>
      <c r="E12" s="109"/>
      <c r="F12" s="109"/>
      <c r="G12" s="114"/>
      <c r="H12" s="30"/>
      <c r="I12" s="50"/>
      <c r="J12" s="50"/>
      <c r="K12" s="105" t="s">
        <v>144</v>
      </c>
      <c r="L12" s="106"/>
      <c r="M12" s="109"/>
      <c r="N12" s="109"/>
      <c r="O12" s="109"/>
      <c r="P12" s="109"/>
      <c r="Q12" s="114"/>
      <c r="R12" s="6"/>
      <c r="S12" s="6"/>
      <c r="T12" s="6"/>
      <c r="U12" s="6"/>
    </row>
    <row r="13">
      <c r="A13" s="117"/>
      <c r="B13" s="117"/>
      <c r="C13" s="117"/>
      <c r="D13" s="117"/>
      <c r="E13" s="117"/>
      <c r="F13" s="117"/>
      <c r="G13" s="102"/>
      <c r="H13" s="30"/>
      <c r="I13" s="30"/>
      <c r="J13" s="30"/>
      <c r="K13" s="30"/>
      <c r="L13" s="30"/>
      <c r="M13" s="30"/>
      <c r="N13" s="30"/>
      <c r="O13" s="30"/>
      <c r="P13" s="6"/>
      <c r="Q13" s="6"/>
      <c r="R13" s="6"/>
      <c r="S13" s="6"/>
      <c r="T13" s="6"/>
      <c r="U13" s="6"/>
    </row>
    <row r="14">
      <c r="A14" s="117"/>
      <c r="B14" s="117"/>
      <c r="C14" s="117"/>
      <c r="D14" s="117"/>
      <c r="E14" s="117"/>
      <c r="F14" s="117"/>
      <c r="G14" s="30"/>
      <c r="H14" s="30"/>
      <c r="I14" s="30"/>
      <c r="J14" s="30"/>
      <c r="K14" s="30"/>
      <c r="L14" s="30"/>
      <c r="M14" s="30"/>
      <c r="N14" s="30"/>
      <c r="O14" s="30"/>
      <c r="P14" s="6"/>
      <c r="Q14" s="6"/>
      <c r="R14" s="6"/>
      <c r="S14" s="6"/>
      <c r="T14" s="6"/>
      <c r="U14" s="6"/>
    </row>
    <row r="15">
      <c r="A15" s="121" t="s">
        <v>147</v>
      </c>
      <c r="B15" s="122"/>
      <c r="C15" s="122"/>
      <c r="D15" s="122"/>
      <c r="E15" s="122"/>
      <c r="F15" s="122"/>
      <c r="G15" s="122"/>
      <c r="H15" s="122"/>
      <c r="I15" s="126"/>
      <c r="J15" s="30"/>
      <c r="K15" s="30"/>
      <c r="L15" s="30"/>
      <c r="M15" s="30"/>
      <c r="N15" s="30"/>
      <c r="O15" s="30"/>
      <c r="P15" s="6"/>
      <c r="Q15" s="6"/>
      <c r="R15" s="6"/>
      <c r="S15" s="6"/>
      <c r="T15" s="6"/>
      <c r="U15" s="6"/>
    </row>
    <row r="16" ht="27.0" customHeight="1">
      <c r="A16" s="128" t="s">
        <v>152</v>
      </c>
      <c r="B16" s="130" t="s">
        <v>153</v>
      </c>
      <c r="C16" s="19"/>
      <c r="D16" s="130" t="s">
        <v>154</v>
      </c>
      <c r="E16" s="19"/>
      <c r="F16" s="130" t="s">
        <v>155</v>
      </c>
      <c r="G16" s="19"/>
      <c r="H16" s="133" t="s">
        <v>157</v>
      </c>
      <c r="I16" s="4"/>
      <c r="J16" s="30"/>
      <c r="K16" s="30"/>
      <c r="L16" s="30"/>
      <c r="M16" s="30"/>
      <c r="N16" s="30"/>
      <c r="O16" s="30"/>
      <c r="P16" s="6"/>
      <c r="Q16" s="6"/>
      <c r="R16" s="6"/>
      <c r="S16" s="6"/>
      <c r="T16" s="6"/>
      <c r="U16" s="6"/>
    </row>
    <row r="17">
      <c r="A17" s="137" t="s">
        <v>160</v>
      </c>
      <c r="B17" s="141" t="s">
        <v>166</v>
      </c>
      <c r="C17" s="29"/>
      <c r="D17" s="143" t="s">
        <v>171</v>
      </c>
      <c r="E17" s="29"/>
      <c r="F17" s="143" t="s">
        <v>173</v>
      </c>
      <c r="G17" s="29"/>
      <c r="H17" s="139"/>
      <c r="I17" s="11"/>
      <c r="J17" s="30"/>
      <c r="K17" s="30"/>
      <c r="L17" s="30"/>
      <c r="M17" s="30"/>
      <c r="N17" s="30"/>
      <c r="O17" s="30"/>
      <c r="P17" s="6"/>
      <c r="Q17" s="6"/>
      <c r="R17" s="6"/>
      <c r="S17" s="6"/>
      <c r="T17" s="6"/>
      <c r="U17" s="6"/>
    </row>
    <row r="18">
      <c r="A18" s="137" t="s">
        <v>160</v>
      </c>
      <c r="B18" s="148" t="s">
        <v>176</v>
      </c>
      <c r="C18" s="29"/>
      <c r="D18" s="143" t="s">
        <v>177</v>
      </c>
      <c r="E18" s="29"/>
      <c r="F18" s="143" t="s">
        <v>179</v>
      </c>
      <c r="G18" s="29"/>
      <c r="H18" s="139"/>
      <c r="I18" s="11"/>
      <c r="J18" s="30"/>
      <c r="K18" s="30"/>
      <c r="L18" s="30"/>
      <c r="M18" s="30"/>
      <c r="N18" s="30"/>
      <c r="O18" s="30"/>
      <c r="P18" s="6"/>
      <c r="Q18" s="6"/>
      <c r="R18" s="6"/>
      <c r="S18" s="6"/>
      <c r="T18" s="6"/>
      <c r="U18" s="6"/>
    </row>
    <row r="19">
      <c r="A19" s="137" t="s">
        <v>160</v>
      </c>
      <c r="B19" s="141" t="s">
        <v>180</v>
      </c>
      <c r="C19" s="29"/>
      <c r="D19" s="141" t="s">
        <v>181</v>
      </c>
      <c r="E19" s="29"/>
      <c r="F19" s="143" t="s">
        <v>182</v>
      </c>
      <c r="G19" s="29"/>
      <c r="H19" s="139"/>
      <c r="I19" s="11"/>
      <c r="J19" s="30"/>
      <c r="K19" s="30"/>
      <c r="L19" s="30"/>
      <c r="M19" s="30"/>
      <c r="N19" s="30"/>
      <c r="O19" s="30"/>
      <c r="P19" s="6"/>
      <c r="Q19" s="6"/>
      <c r="R19" s="6"/>
      <c r="S19" s="6"/>
      <c r="T19" s="6"/>
      <c r="U19" s="6"/>
    </row>
    <row r="20">
      <c r="A20" s="137" t="s">
        <v>160</v>
      </c>
      <c r="B20" s="143" t="s">
        <v>184</v>
      </c>
      <c r="C20" s="29"/>
      <c r="D20" s="143" t="s">
        <v>186</v>
      </c>
      <c r="E20" s="29"/>
      <c r="F20" s="143" t="s">
        <v>187</v>
      </c>
      <c r="G20" s="29"/>
      <c r="H20" s="158"/>
      <c r="I20" s="11"/>
      <c r="J20" s="30"/>
      <c r="K20" s="30"/>
      <c r="L20" s="30"/>
      <c r="M20" s="30"/>
      <c r="N20" s="30"/>
      <c r="O20" s="117"/>
      <c r="P20" s="115"/>
      <c r="Q20" s="115"/>
      <c r="R20" s="115"/>
      <c r="S20" s="116"/>
      <c r="W20" s="118"/>
    </row>
    <row r="21">
      <c r="A21" s="160"/>
      <c r="B21" s="161"/>
      <c r="C21" s="29"/>
      <c r="D21" s="143" t="s">
        <v>190</v>
      </c>
      <c r="E21" s="29"/>
      <c r="F21" s="148" t="s">
        <v>191</v>
      </c>
      <c r="G21" s="29"/>
      <c r="H21" s="139"/>
      <c r="I21" s="11"/>
      <c r="J21" s="30"/>
      <c r="K21" s="30"/>
      <c r="L21" s="30"/>
      <c r="M21" s="30"/>
      <c r="N21" s="30"/>
      <c r="O21" s="30"/>
    </row>
    <row r="22" ht="18.0" customHeight="1">
      <c r="A22" s="163"/>
      <c r="B22" s="164"/>
      <c r="C22" s="106"/>
      <c r="D22" s="166"/>
      <c r="E22" s="106"/>
      <c r="F22" s="166"/>
      <c r="G22" s="106"/>
      <c r="H22" s="164"/>
      <c r="I22" s="22"/>
      <c r="J22" s="30"/>
      <c r="K22" s="30"/>
      <c r="L22" s="30"/>
      <c r="M22" s="30"/>
      <c r="N22" s="30"/>
      <c r="O22" s="30"/>
    </row>
    <row r="23" ht="18.0" customHeight="1">
      <c r="A23" s="168"/>
      <c r="B23" s="168"/>
      <c r="C23" s="168"/>
      <c r="D23" s="168"/>
      <c r="E23" s="168"/>
      <c r="H23" s="6"/>
      <c r="I23" s="6"/>
      <c r="J23" s="6"/>
      <c r="K23" s="6"/>
      <c r="L23" s="6"/>
      <c r="M23" s="6"/>
    </row>
    <row r="24" ht="18.0" customHeight="1">
      <c r="A24" s="168"/>
      <c r="B24" s="168"/>
      <c r="C24" s="168"/>
      <c r="D24" s="168"/>
      <c r="E24" s="168"/>
      <c r="H24" s="6"/>
      <c r="I24" s="6"/>
      <c r="J24" s="6"/>
      <c r="K24" s="6"/>
      <c r="L24" s="6"/>
      <c r="M24" s="6"/>
    </row>
    <row r="25" ht="18.0" customHeight="1">
      <c r="A25" s="168"/>
      <c r="B25" s="168"/>
      <c r="C25" s="168"/>
      <c r="D25" s="168"/>
      <c r="E25" s="168"/>
      <c r="H25" s="6"/>
      <c r="I25" s="6"/>
      <c r="J25" s="6"/>
      <c r="K25" s="6"/>
      <c r="L25" s="6"/>
      <c r="M25" s="6"/>
    </row>
    <row r="26" ht="18.0" customHeight="1">
      <c r="A26" s="168"/>
      <c r="B26" s="168"/>
      <c r="C26" s="168"/>
      <c r="D26" s="168"/>
      <c r="E26" s="168"/>
      <c r="H26" s="6"/>
      <c r="I26" s="6"/>
      <c r="J26" s="6"/>
      <c r="K26" s="6"/>
      <c r="L26" s="6"/>
      <c r="M26" s="6"/>
    </row>
    <row r="27" ht="18.0" customHeight="1">
      <c r="A27" s="168"/>
      <c r="B27" s="168"/>
      <c r="C27" s="168"/>
      <c r="D27" s="168"/>
      <c r="E27" s="168"/>
      <c r="H27" s="6"/>
      <c r="I27" s="6"/>
      <c r="J27" s="6"/>
      <c r="K27" s="6"/>
      <c r="L27" s="6"/>
      <c r="M27" s="6"/>
    </row>
    <row r="28" ht="18.0" customHeight="1">
      <c r="A28" s="168"/>
      <c r="B28" s="168"/>
      <c r="C28" s="168"/>
      <c r="D28" s="168"/>
      <c r="E28" s="168"/>
    </row>
    <row r="29" ht="18.0" customHeight="1">
      <c r="A29" s="168"/>
      <c r="B29" s="168"/>
      <c r="C29" s="168"/>
      <c r="D29" s="168"/>
      <c r="E29" s="168"/>
    </row>
    <row r="30" ht="18.0" customHeight="1">
      <c r="A30" s="168"/>
      <c r="B30" s="168"/>
      <c r="C30" s="168"/>
      <c r="D30" s="168"/>
      <c r="E30" s="168"/>
    </row>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sheetData>
  <mergeCells count="56">
    <mergeCell ref="B16:C16"/>
    <mergeCell ref="D16:E16"/>
    <mergeCell ref="F16:G16"/>
    <mergeCell ref="H16:I16"/>
    <mergeCell ref="D17:E17"/>
    <mergeCell ref="F17:G17"/>
    <mergeCell ref="H17:I17"/>
    <mergeCell ref="B20:C20"/>
    <mergeCell ref="D20:E20"/>
    <mergeCell ref="F20:G20"/>
    <mergeCell ref="H20:I20"/>
    <mergeCell ref="S20:U20"/>
    <mergeCell ref="B21:C21"/>
    <mergeCell ref="D21:E21"/>
    <mergeCell ref="F21:G21"/>
    <mergeCell ref="H21:I21"/>
    <mergeCell ref="B22:C22"/>
    <mergeCell ref="D22:E22"/>
    <mergeCell ref="F22:G22"/>
    <mergeCell ref="H22:I22"/>
    <mergeCell ref="B17:C17"/>
    <mergeCell ref="B18:C18"/>
    <mergeCell ref="D18:E18"/>
    <mergeCell ref="F18:G18"/>
    <mergeCell ref="H18:I18"/>
    <mergeCell ref="B19:C19"/>
    <mergeCell ref="D19:E19"/>
    <mergeCell ref="E3:F3"/>
    <mergeCell ref="E4:F4"/>
    <mergeCell ref="E2:F2"/>
    <mergeCell ref="E5:F5"/>
    <mergeCell ref="A1:A5"/>
    <mergeCell ref="B1:F1"/>
    <mergeCell ref="K1:K5"/>
    <mergeCell ref="L1:P1"/>
    <mergeCell ref="O2:P2"/>
    <mergeCell ref="O3:P3"/>
    <mergeCell ref="O4:P4"/>
    <mergeCell ref="K8:L8"/>
    <mergeCell ref="K9:L9"/>
    <mergeCell ref="O5:P5"/>
    <mergeCell ref="A6:F6"/>
    <mergeCell ref="K6:P6"/>
    <mergeCell ref="A7:G7"/>
    <mergeCell ref="K7:Q7"/>
    <mergeCell ref="A8:B8"/>
    <mergeCell ref="A9:B9"/>
    <mergeCell ref="A10:B10"/>
    <mergeCell ref="K10:L10"/>
    <mergeCell ref="A11:B11"/>
    <mergeCell ref="K11:L11"/>
    <mergeCell ref="A12:B12"/>
    <mergeCell ref="K12:L12"/>
    <mergeCell ref="A15:I15"/>
    <mergeCell ref="F19:G19"/>
    <mergeCell ref="H19:I19"/>
  </mergeCell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15.38"/>
    <col customWidth="1" min="3" max="3" width="23.0"/>
    <col customWidth="1" min="4" max="4" width="20.63"/>
    <col customWidth="1" min="5" max="10" width="15.38"/>
    <col customWidth="1" min="11" max="11" width="25.75"/>
    <col customWidth="1" min="12" max="26" width="15.38"/>
  </cols>
  <sheetData>
    <row r="1" ht="18.0" customHeight="1">
      <c r="A1" s="1"/>
      <c r="B1" s="2" t="s">
        <v>192</v>
      </c>
      <c r="C1" s="3"/>
      <c r="D1" s="3"/>
      <c r="E1" s="3"/>
      <c r="F1" s="3"/>
      <c r="G1" s="19"/>
      <c r="H1" s="169"/>
      <c r="I1" s="1"/>
      <c r="J1" s="2" t="s">
        <v>192</v>
      </c>
      <c r="K1" s="3"/>
      <c r="L1" s="3"/>
      <c r="M1" s="3"/>
      <c r="N1" s="3"/>
      <c r="O1" s="19"/>
      <c r="P1" s="6"/>
      <c r="Q1" s="6"/>
      <c r="R1" s="6"/>
      <c r="S1" s="6"/>
    </row>
    <row r="2" ht="27.0" customHeight="1">
      <c r="A2" s="7"/>
      <c r="B2" s="8" t="s">
        <v>2</v>
      </c>
      <c r="C2" s="9" t="s">
        <v>3</v>
      </c>
      <c r="D2" s="8" t="s">
        <v>4</v>
      </c>
      <c r="E2" s="10" t="s">
        <v>5</v>
      </c>
      <c r="F2" s="26"/>
      <c r="G2" s="11"/>
      <c r="H2" s="12"/>
      <c r="I2" s="7"/>
      <c r="J2" s="8" t="s">
        <v>2</v>
      </c>
      <c r="K2" s="9" t="s">
        <v>3</v>
      </c>
      <c r="L2" s="8" t="s">
        <v>4</v>
      </c>
      <c r="M2" s="10" t="s">
        <v>7</v>
      </c>
      <c r="N2" s="26"/>
      <c r="O2" s="11"/>
      <c r="P2" s="6"/>
      <c r="Q2" s="6"/>
      <c r="R2" s="6"/>
      <c r="S2" s="6"/>
    </row>
    <row r="3" ht="18.0" customHeight="1">
      <c r="A3" s="7"/>
      <c r="B3" s="8" t="s">
        <v>8</v>
      </c>
      <c r="C3" s="9" t="s">
        <v>9</v>
      </c>
      <c r="D3" s="8" t="s">
        <v>10</v>
      </c>
      <c r="E3" s="10" t="s">
        <v>11</v>
      </c>
      <c r="F3" s="26"/>
      <c r="G3" s="11"/>
      <c r="H3" s="12"/>
      <c r="I3" s="7"/>
      <c r="J3" s="8" t="s">
        <v>8</v>
      </c>
      <c r="K3" s="9" t="s">
        <v>9</v>
      </c>
      <c r="L3" s="8" t="s">
        <v>10</v>
      </c>
      <c r="M3" s="10" t="s">
        <v>30</v>
      </c>
      <c r="N3" s="26"/>
      <c r="O3" s="11"/>
      <c r="P3" s="6"/>
      <c r="Q3" s="6"/>
      <c r="R3" s="6"/>
      <c r="S3" s="6"/>
    </row>
    <row r="4" ht="18.0" customHeight="1">
      <c r="A4" s="7"/>
      <c r="B4" s="8" t="s">
        <v>13</v>
      </c>
      <c r="C4" s="170" t="s">
        <v>14</v>
      </c>
      <c r="D4" s="8" t="s">
        <v>15</v>
      </c>
      <c r="E4" s="10" t="s">
        <v>16</v>
      </c>
      <c r="F4" s="26"/>
      <c r="G4" s="11"/>
      <c r="H4" s="12"/>
      <c r="I4" s="7"/>
      <c r="J4" s="8" t="s">
        <v>13</v>
      </c>
      <c r="K4" s="170" t="s">
        <v>14</v>
      </c>
      <c r="L4" s="8" t="s">
        <v>15</v>
      </c>
      <c r="M4" s="10" t="s">
        <v>18</v>
      </c>
      <c r="N4" s="26"/>
      <c r="O4" s="11"/>
      <c r="P4" s="6"/>
      <c r="Q4" s="6"/>
      <c r="R4" s="6"/>
      <c r="S4" s="6"/>
    </row>
    <row r="5">
      <c r="A5" s="14"/>
      <c r="B5" s="16" t="s">
        <v>19</v>
      </c>
      <c r="C5" s="20" t="s">
        <v>20</v>
      </c>
      <c r="D5" s="16" t="s">
        <v>21</v>
      </c>
      <c r="E5" s="21"/>
      <c r="F5" s="46"/>
      <c r="G5" s="22"/>
      <c r="H5" s="23"/>
      <c r="I5" s="14"/>
      <c r="J5" s="16" t="s">
        <v>19</v>
      </c>
      <c r="K5" s="20" t="s">
        <v>20</v>
      </c>
      <c r="L5" s="16" t="s">
        <v>21</v>
      </c>
      <c r="M5" s="21"/>
      <c r="N5" s="46"/>
      <c r="O5" s="22"/>
      <c r="P5" s="6"/>
      <c r="Q5" s="6"/>
      <c r="R5" s="6"/>
      <c r="S5" s="6"/>
    </row>
    <row r="6" ht="18.0" customHeight="1">
      <c r="A6" s="64"/>
      <c r="B6" s="48"/>
      <c r="C6" s="48"/>
      <c r="D6" s="48"/>
      <c r="E6" s="48"/>
      <c r="F6" s="48"/>
      <c r="G6" s="49"/>
      <c r="I6" s="64"/>
      <c r="J6" s="48"/>
      <c r="K6" s="48"/>
      <c r="L6" s="48"/>
      <c r="M6" s="48"/>
      <c r="N6" s="48"/>
      <c r="O6" s="49"/>
      <c r="P6" s="6"/>
      <c r="Q6" s="6"/>
      <c r="R6" s="6"/>
      <c r="S6" s="6"/>
    </row>
    <row r="7" ht="18.0" customHeight="1">
      <c r="A7" s="171"/>
      <c r="B7" s="48"/>
      <c r="C7" s="48"/>
      <c r="D7" s="48"/>
      <c r="E7" s="48"/>
      <c r="F7" s="48"/>
      <c r="G7" s="49"/>
      <c r="I7" s="171"/>
      <c r="J7" s="48"/>
      <c r="K7" s="48"/>
      <c r="L7" s="48"/>
      <c r="M7" s="48"/>
      <c r="N7" s="48"/>
      <c r="O7" s="49"/>
      <c r="P7" s="30"/>
      <c r="Q7" s="30"/>
      <c r="R7" s="30"/>
      <c r="S7" s="30"/>
    </row>
    <row r="8" ht="18.0" customHeight="1">
      <c r="A8" s="55"/>
      <c r="G8" s="56"/>
      <c r="I8" s="55"/>
      <c r="O8" s="56"/>
      <c r="P8" s="30"/>
      <c r="Q8" s="30"/>
      <c r="R8" s="30"/>
      <c r="S8" s="30"/>
    </row>
    <row r="9" ht="18.0" customHeight="1">
      <c r="A9" s="55"/>
      <c r="G9" s="56"/>
      <c r="I9" s="55"/>
      <c r="O9" s="56"/>
      <c r="P9" s="30"/>
      <c r="Q9" s="30"/>
      <c r="R9" s="30"/>
      <c r="S9" s="30"/>
    </row>
    <row r="10" ht="18.0" customHeight="1">
      <c r="A10" s="55"/>
      <c r="G10" s="56"/>
      <c r="I10" s="55"/>
      <c r="O10" s="56"/>
      <c r="P10" s="30"/>
      <c r="Q10" s="30"/>
      <c r="R10" s="30"/>
      <c r="S10" s="30"/>
    </row>
    <row r="11" ht="18.0" customHeight="1">
      <c r="A11" s="55"/>
      <c r="G11" s="56"/>
      <c r="I11" s="55"/>
      <c r="O11" s="56"/>
      <c r="P11" s="30"/>
      <c r="Q11" s="30"/>
      <c r="R11" s="30"/>
      <c r="S11" s="30"/>
    </row>
    <row r="12" ht="18.0" customHeight="1">
      <c r="A12" s="55"/>
      <c r="G12" s="56"/>
      <c r="I12" s="55"/>
      <c r="O12" s="56"/>
      <c r="P12" s="30"/>
      <c r="Q12" s="30"/>
      <c r="R12" s="30"/>
      <c r="S12" s="30"/>
    </row>
    <row r="13" ht="18.0" customHeight="1">
      <c r="A13" s="55"/>
      <c r="G13" s="56"/>
      <c r="I13" s="55"/>
      <c r="O13" s="56"/>
      <c r="P13" s="30"/>
      <c r="Q13" s="30"/>
      <c r="R13" s="30"/>
      <c r="S13" s="30"/>
    </row>
    <row r="14" ht="18.0" customHeight="1">
      <c r="A14" s="55"/>
      <c r="G14" s="56"/>
      <c r="I14" s="55"/>
      <c r="O14" s="56"/>
      <c r="P14" s="30"/>
      <c r="Q14" s="30"/>
      <c r="R14" s="30"/>
      <c r="S14" s="30"/>
    </row>
    <row r="15" ht="18.0" customHeight="1">
      <c r="A15" s="55"/>
      <c r="G15" s="56"/>
      <c r="I15" s="55"/>
      <c r="O15" s="56"/>
      <c r="P15" s="30"/>
      <c r="Q15" s="30"/>
      <c r="R15" s="30"/>
      <c r="S15" s="30"/>
    </row>
    <row r="16" ht="18.0" customHeight="1">
      <c r="A16" s="55"/>
      <c r="G16" s="56"/>
      <c r="I16" s="55"/>
      <c r="O16" s="56"/>
      <c r="P16" s="30"/>
      <c r="Q16" s="30"/>
      <c r="R16" s="30"/>
      <c r="S16" s="30"/>
    </row>
    <row r="17" ht="18.0" customHeight="1">
      <c r="A17" s="55"/>
      <c r="G17" s="56"/>
      <c r="I17" s="55"/>
      <c r="O17" s="56"/>
      <c r="P17" s="30"/>
      <c r="Q17" s="30"/>
      <c r="R17" s="30"/>
      <c r="S17" s="30"/>
    </row>
    <row r="18" ht="18.0" customHeight="1">
      <c r="A18" s="55"/>
      <c r="G18" s="56"/>
      <c r="I18" s="55"/>
      <c r="O18" s="56"/>
      <c r="P18" s="30"/>
      <c r="Q18" s="30"/>
      <c r="R18" s="30"/>
      <c r="S18" s="30"/>
    </row>
    <row r="19" ht="18.0" customHeight="1">
      <c r="A19" s="55"/>
      <c r="G19" s="56"/>
      <c r="I19" s="55"/>
      <c r="O19" s="56"/>
      <c r="P19" s="30"/>
      <c r="Q19" s="30"/>
      <c r="R19" s="30"/>
      <c r="S19" s="30"/>
    </row>
    <row r="20" ht="18.0" customHeight="1">
      <c r="A20" s="55"/>
      <c r="G20" s="56"/>
      <c r="I20" s="55"/>
      <c r="O20" s="56"/>
      <c r="P20" s="30"/>
      <c r="Q20" s="30"/>
      <c r="R20" s="30"/>
      <c r="S20" s="30"/>
    </row>
    <row r="21" ht="18.0" customHeight="1">
      <c r="A21" s="55"/>
      <c r="G21" s="56"/>
      <c r="I21" s="55"/>
      <c r="O21" s="56"/>
      <c r="P21" s="30"/>
      <c r="Q21" s="30"/>
      <c r="R21" s="30"/>
      <c r="S21" s="30"/>
    </row>
    <row r="22" ht="18.0" customHeight="1">
      <c r="A22" s="55"/>
      <c r="G22" s="56"/>
      <c r="I22" s="55"/>
      <c r="O22" s="56"/>
      <c r="P22" s="30"/>
      <c r="Q22" s="30"/>
      <c r="R22" s="30"/>
      <c r="S22" s="30"/>
    </row>
    <row r="23" ht="18.0" customHeight="1">
      <c r="A23" s="55"/>
      <c r="G23" s="56"/>
      <c r="I23" s="55"/>
      <c r="O23" s="56"/>
      <c r="P23" s="30"/>
      <c r="Q23" s="30"/>
      <c r="R23" s="30"/>
      <c r="S23" s="30"/>
    </row>
    <row r="24" ht="18.0" customHeight="1">
      <c r="A24" s="55"/>
      <c r="G24" s="56"/>
      <c r="I24" s="55"/>
      <c r="O24" s="56"/>
      <c r="P24" s="30"/>
      <c r="Q24" s="30"/>
      <c r="R24" s="30"/>
      <c r="S24" s="30"/>
    </row>
    <row r="25" ht="18.0" customHeight="1">
      <c r="A25" s="55"/>
      <c r="G25" s="56"/>
      <c r="I25" s="55"/>
      <c r="O25" s="56"/>
      <c r="P25" s="30"/>
      <c r="Q25" s="30"/>
      <c r="R25" s="30"/>
      <c r="S25" s="30"/>
    </row>
    <row r="26" ht="26.25" customHeight="1">
      <c r="A26" s="55"/>
      <c r="G26" s="56"/>
      <c r="I26" s="55"/>
      <c r="O26" s="56"/>
      <c r="P26" s="30"/>
      <c r="Q26" s="30"/>
      <c r="R26" s="30"/>
      <c r="S26" s="30"/>
    </row>
    <row r="27" ht="18.0" customHeight="1">
      <c r="A27" s="172" t="s">
        <v>193</v>
      </c>
      <c r="B27" s="122"/>
      <c r="C27" s="122"/>
      <c r="D27" s="122"/>
      <c r="E27" s="122"/>
      <c r="F27" s="122"/>
      <c r="G27" s="126"/>
      <c r="I27" s="172" t="s">
        <v>193</v>
      </c>
      <c r="J27" s="122"/>
      <c r="K27" s="122"/>
      <c r="L27" s="122"/>
      <c r="M27" s="122"/>
      <c r="N27" s="122"/>
      <c r="O27" s="126"/>
      <c r="P27" s="173"/>
      <c r="Q27" s="173"/>
      <c r="R27" s="173"/>
      <c r="S27" s="173"/>
    </row>
    <row r="28" ht="18.0" customHeight="1">
      <c r="A28" s="174" t="s">
        <v>194</v>
      </c>
      <c r="B28" s="3"/>
      <c r="C28" s="3"/>
      <c r="D28" s="19"/>
      <c r="E28" s="175" t="s">
        <v>195</v>
      </c>
      <c r="F28" s="3"/>
      <c r="G28" s="4"/>
      <c r="I28" s="174" t="s">
        <v>194</v>
      </c>
      <c r="J28" s="3"/>
      <c r="K28" s="3"/>
      <c r="L28" s="19"/>
      <c r="M28" s="175" t="s">
        <v>195</v>
      </c>
      <c r="N28" s="3"/>
      <c r="O28" s="4"/>
      <c r="P28" s="30"/>
      <c r="Q28" s="30"/>
      <c r="R28" s="30"/>
      <c r="S28" s="30"/>
    </row>
    <row r="29" ht="18.0" customHeight="1">
      <c r="A29" s="176" t="s">
        <v>196</v>
      </c>
      <c r="B29" s="26"/>
      <c r="C29" s="26"/>
      <c r="D29" s="29"/>
      <c r="E29" s="139" t="s">
        <v>197</v>
      </c>
      <c r="F29" s="26"/>
      <c r="G29" s="11"/>
      <c r="I29" s="176" t="s">
        <v>196</v>
      </c>
      <c r="J29" s="26"/>
      <c r="K29" s="26"/>
      <c r="L29" s="29"/>
      <c r="M29" s="139" t="s">
        <v>197</v>
      </c>
      <c r="N29" s="26"/>
      <c r="O29" s="11"/>
      <c r="P29" s="30"/>
      <c r="Q29" s="30"/>
      <c r="R29" s="30"/>
      <c r="S29" s="30"/>
    </row>
    <row r="30" ht="18.0" customHeight="1">
      <c r="A30" s="176" t="s">
        <v>198</v>
      </c>
      <c r="B30" s="26"/>
      <c r="C30" s="26"/>
      <c r="D30" s="29"/>
      <c r="E30" s="139" t="s">
        <v>200</v>
      </c>
      <c r="F30" s="26"/>
      <c r="G30" s="11"/>
      <c r="I30" s="176" t="s">
        <v>198</v>
      </c>
      <c r="J30" s="26"/>
      <c r="K30" s="26"/>
      <c r="L30" s="29"/>
      <c r="M30" s="139" t="s">
        <v>200</v>
      </c>
      <c r="N30" s="26"/>
      <c r="O30" s="11"/>
      <c r="P30" s="30"/>
      <c r="Q30" s="30"/>
      <c r="R30" s="30"/>
      <c r="S30" s="30"/>
    </row>
    <row r="31" ht="18.0" customHeight="1">
      <c r="A31" s="176" t="s">
        <v>201</v>
      </c>
      <c r="B31" s="26"/>
      <c r="C31" s="26"/>
      <c r="D31" s="29"/>
      <c r="E31" s="158" t="s">
        <v>202</v>
      </c>
      <c r="F31" s="26"/>
      <c r="G31" s="11"/>
      <c r="I31" s="176" t="s">
        <v>201</v>
      </c>
      <c r="J31" s="26"/>
      <c r="K31" s="26"/>
      <c r="L31" s="29"/>
      <c r="M31" s="158" t="s">
        <v>202</v>
      </c>
      <c r="N31" s="26"/>
      <c r="O31" s="11"/>
      <c r="P31" s="117"/>
      <c r="Q31" s="117"/>
      <c r="R31" s="117"/>
      <c r="S31" s="117"/>
    </row>
    <row r="32" ht="18.0" customHeight="1">
      <c r="A32" s="176" t="s">
        <v>203</v>
      </c>
      <c r="B32" s="26"/>
      <c r="C32" s="26"/>
      <c r="D32" s="29"/>
      <c r="E32" s="177">
        <v>1.0</v>
      </c>
      <c r="F32" s="26"/>
      <c r="G32" s="11"/>
      <c r="I32" s="176" t="s">
        <v>203</v>
      </c>
      <c r="J32" s="26"/>
      <c r="K32" s="26"/>
      <c r="L32" s="29"/>
      <c r="M32" s="177">
        <v>1.0</v>
      </c>
      <c r="N32" s="26"/>
      <c r="O32" s="11"/>
      <c r="P32" s="178"/>
      <c r="Q32" s="178"/>
      <c r="R32" s="178"/>
      <c r="S32" s="178"/>
    </row>
    <row r="33" ht="18.0" customHeight="1">
      <c r="A33" s="176" t="s">
        <v>204</v>
      </c>
      <c r="B33" s="26"/>
      <c r="C33" s="26"/>
      <c r="D33" s="29"/>
      <c r="E33" s="179" t="s">
        <v>205</v>
      </c>
      <c r="F33" s="26"/>
      <c r="G33" s="11"/>
      <c r="I33" s="176" t="s">
        <v>204</v>
      </c>
      <c r="J33" s="26"/>
      <c r="K33" s="26"/>
      <c r="L33" s="29"/>
      <c r="M33" s="179" t="s">
        <v>205</v>
      </c>
      <c r="N33" s="26"/>
      <c r="O33" s="11"/>
      <c r="P33" s="180"/>
      <c r="Q33" s="180"/>
      <c r="R33" s="180"/>
      <c r="S33" s="180"/>
    </row>
    <row r="34" ht="18.0" customHeight="1">
      <c r="A34" s="181" t="s">
        <v>206</v>
      </c>
      <c r="B34" s="182"/>
      <c r="C34" s="182"/>
      <c r="D34" s="94"/>
      <c r="E34" s="183" t="s">
        <v>150</v>
      </c>
      <c r="F34" s="182"/>
      <c r="G34" s="184"/>
      <c r="I34" s="181" t="s">
        <v>206</v>
      </c>
      <c r="J34" s="182"/>
      <c r="K34" s="182"/>
      <c r="L34" s="94"/>
      <c r="M34" s="183" t="s">
        <v>150</v>
      </c>
      <c r="N34" s="182"/>
      <c r="O34" s="184"/>
      <c r="P34" s="30"/>
      <c r="Q34" s="30"/>
      <c r="R34" s="30"/>
      <c r="S34" s="30"/>
    </row>
    <row r="35" ht="18.0" customHeight="1">
      <c r="A35" s="186" t="s">
        <v>208</v>
      </c>
      <c r="B35" s="122"/>
      <c r="C35" s="122"/>
      <c r="D35" s="122"/>
      <c r="E35" s="122"/>
      <c r="F35" s="122"/>
      <c r="G35" s="126"/>
      <c r="I35" s="186" t="s">
        <v>208</v>
      </c>
      <c r="J35" s="122"/>
      <c r="K35" s="122"/>
      <c r="L35" s="122"/>
      <c r="M35" s="122"/>
      <c r="N35" s="122"/>
      <c r="O35" s="126"/>
      <c r="P35" s="50"/>
      <c r="Q35" s="50"/>
      <c r="R35" s="50"/>
      <c r="S35" s="50"/>
    </row>
    <row r="36" ht="18.0" customHeight="1">
      <c r="A36" s="189" t="s">
        <v>210</v>
      </c>
      <c r="B36" s="107"/>
      <c r="C36" s="107"/>
      <c r="D36" s="190"/>
      <c r="E36" s="191" t="s">
        <v>14</v>
      </c>
      <c r="F36" s="107"/>
      <c r="G36" s="111"/>
      <c r="I36" s="189" t="s">
        <v>210</v>
      </c>
      <c r="J36" s="107"/>
      <c r="K36" s="107"/>
      <c r="L36" s="190"/>
      <c r="M36" s="191" t="s">
        <v>14</v>
      </c>
      <c r="N36" s="107"/>
      <c r="O36" s="111"/>
      <c r="P36" s="102"/>
      <c r="Q36" s="102"/>
      <c r="R36" s="102"/>
      <c r="S36" s="102"/>
    </row>
    <row r="37" ht="18.0" customHeight="1">
      <c r="A37" s="193" t="s">
        <v>212</v>
      </c>
      <c r="B37" s="182"/>
      <c r="C37" s="182"/>
      <c r="D37" s="94"/>
      <c r="E37" s="195" t="s">
        <v>214</v>
      </c>
      <c r="F37" s="35"/>
      <c r="G37" s="39"/>
      <c r="I37" s="193" t="s">
        <v>212</v>
      </c>
      <c r="J37" s="182"/>
      <c r="K37" s="182"/>
      <c r="L37" s="94"/>
      <c r="M37" s="195" t="s">
        <v>214</v>
      </c>
      <c r="N37" s="35"/>
      <c r="O37" s="39"/>
      <c r="P37" s="198"/>
      <c r="Q37" s="198"/>
      <c r="R37" s="198"/>
      <c r="S37" s="198"/>
    </row>
    <row r="38" ht="18.0" customHeight="1">
      <c r="A38" s="202" t="s">
        <v>216</v>
      </c>
      <c r="B38" s="122"/>
      <c r="C38" s="122"/>
      <c r="D38" s="122"/>
      <c r="E38" s="122"/>
      <c r="F38" s="122"/>
      <c r="G38" s="126"/>
      <c r="I38" s="202" t="s">
        <v>216</v>
      </c>
      <c r="J38" s="122"/>
      <c r="K38" s="122"/>
      <c r="L38" s="122"/>
      <c r="M38" s="122"/>
      <c r="N38" s="122"/>
      <c r="O38" s="126"/>
      <c r="P38" s="30"/>
      <c r="Q38" s="30"/>
      <c r="R38" s="30"/>
      <c r="S38" s="30"/>
    </row>
    <row r="39" ht="18.0" customHeight="1">
      <c r="A39" s="189" t="s">
        <v>194</v>
      </c>
      <c r="B39" s="107"/>
      <c r="C39" s="107"/>
      <c r="D39" s="190"/>
      <c r="E39" s="206" t="s">
        <v>220</v>
      </c>
      <c r="F39" s="107"/>
      <c r="G39" s="111"/>
      <c r="I39" s="189" t="s">
        <v>194</v>
      </c>
      <c r="J39" s="107"/>
      <c r="K39" s="107"/>
      <c r="L39" s="190"/>
      <c r="M39" s="206" t="s">
        <v>220</v>
      </c>
      <c r="N39" s="107"/>
      <c r="O39" s="111"/>
      <c r="P39" s="30"/>
      <c r="Q39" s="30"/>
      <c r="R39" s="30"/>
      <c r="S39" s="30"/>
    </row>
    <row r="40" ht="18.0" customHeight="1">
      <c r="A40" s="176" t="s">
        <v>198</v>
      </c>
      <c r="B40" s="26"/>
      <c r="C40" s="26"/>
      <c r="D40" s="29"/>
      <c r="E40" s="139" t="s">
        <v>241</v>
      </c>
      <c r="F40" s="26"/>
      <c r="G40" s="11"/>
      <c r="I40" s="176" t="s">
        <v>198</v>
      </c>
      <c r="J40" s="26"/>
      <c r="K40" s="26"/>
      <c r="L40" s="29"/>
      <c r="M40" s="139" t="s">
        <v>241</v>
      </c>
      <c r="N40" s="26"/>
      <c r="O40" s="11"/>
      <c r="P40" s="30"/>
      <c r="Q40" s="30"/>
      <c r="R40" s="30"/>
      <c r="S40" s="30"/>
    </row>
    <row r="41" ht="18.0" customHeight="1">
      <c r="A41" s="176" t="s">
        <v>201</v>
      </c>
      <c r="B41" s="26"/>
      <c r="C41" s="26"/>
      <c r="D41" s="29"/>
      <c r="E41" s="30"/>
      <c r="G41" s="56"/>
      <c r="I41" s="176" t="s">
        <v>201</v>
      </c>
      <c r="J41" s="26"/>
      <c r="K41" s="26"/>
      <c r="L41" s="29"/>
      <c r="M41" s="30"/>
      <c r="O41" s="56"/>
      <c r="P41" s="30"/>
      <c r="Q41" s="30"/>
      <c r="R41" s="30"/>
      <c r="S41" s="30"/>
    </row>
    <row r="42" ht="18.0" customHeight="1">
      <c r="A42" s="212" t="s">
        <v>210</v>
      </c>
      <c r="B42" s="26"/>
      <c r="C42" s="26"/>
      <c r="D42" s="29"/>
      <c r="E42" s="139" t="s">
        <v>272</v>
      </c>
      <c r="F42" s="26"/>
      <c r="G42" s="11"/>
      <c r="I42" s="212" t="s">
        <v>210</v>
      </c>
      <c r="J42" s="26"/>
      <c r="K42" s="26"/>
      <c r="L42" s="29"/>
      <c r="M42" s="139" t="s">
        <v>272</v>
      </c>
      <c r="N42" s="26"/>
      <c r="O42" s="11"/>
      <c r="P42" s="30"/>
      <c r="Q42" s="30"/>
      <c r="R42" s="30"/>
      <c r="S42" s="30"/>
    </row>
    <row r="43" ht="18.0" customHeight="1">
      <c r="A43" s="212" t="s">
        <v>274</v>
      </c>
      <c r="B43" s="26"/>
      <c r="C43" s="26"/>
      <c r="D43" s="29"/>
      <c r="E43" s="139" t="s">
        <v>218</v>
      </c>
      <c r="F43" s="26"/>
      <c r="G43" s="11"/>
      <c r="I43" s="212" t="s">
        <v>274</v>
      </c>
      <c r="J43" s="26"/>
      <c r="K43" s="26"/>
      <c r="L43" s="29"/>
      <c r="M43" s="139" t="s">
        <v>218</v>
      </c>
      <c r="N43" s="26"/>
      <c r="O43" s="11"/>
      <c r="P43" s="216"/>
      <c r="Q43" s="216"/>
      <c r="R43" s="216"/>
      <c r="S43" s="216"/>
    </row>
    <row r="44" ht="18.0" customHeight="1">
      <c r="A44" s="212" t="s">
        <v>275</v>
      </c>
      <c r="B44" s="26"/>
      <c r="C44" s="26"/>
      <c r="D44" s="29"/>
      <c r="E44" s="141" t="s">
        <v>277</v>
      </c>
      <c r="F44" s="26"/>
      <c r="G44" s="11"/>
      <c r="I44" s="212" t="s">
        <v>275</v>
      </c>
      <c r="J44" s="26"/>
      <c r="K44" s="26"/>
      <c r="L44" s="29"/>
      <c r="M44" s="141" t="s">
        <v>277</v>
      </c>
      <c r="N44" s="26"/>
      <c r="O44" s="11"/>
    </row>
    <row r="45" ht="18.0" customHeight="1">
      <c r="A45" s="212" t="s">
        <v>279</v>
      </c>
      <c r="B45" s="26"/>
      <c r="C45" s="26"/>
      <c r="D45" s="29"/>
      <c r="E45" s="141" t="s">
        <v>280</v>
      </c>
      <c r="F45" s="26"/>
      <c r="G45" s="11"/>
      <c r="I45" s="212" t="s">
        <v>279</v>
      </c>
      <c r="J45" s="26"/>
      <c r="K45" s="26"/>
      <c r="L45" s="29"/>
      <c r="M45" s="141" t="s">
        <v>280</v>
      </c>
      <c r="N45" s="26"/>
      <c r="O45" s="11"/>
      <c r="P45" s="216"/>
      <c r="Q45" s="216"/>
      <c r="R45" s="216"/>
      <c r="S45" s="216"/>
    </row>
    <row r="46" ht="18.0" customHeight="1">
      <c r="A46" s="212" t="s">
        <v>282</v>
      </c>
      <c r="B46" s="26"/>
      <c r="C46" s="26"/>
      <c r="D46" s="29"/>
      <c r="E46" s="141" t="s">
        <v>285</v>
      </c>
      <c r="F46" s="26"/>
      <c r="G46" s="11"/>
      <c r="I46" s="212" t="s">
        <v>282</v>
      </c>
      <c r="J46" s="26"/>
      <c r="K46" s="26"/>
      <c r="L46" s="29"/>
      <c r="M46" s="141" t="s">
        <v>285</v>
      </c>
      <c r="N46" s="26"/>
      <c r="O46" s="11"/>
      <c r="P46" s="220"/>
      <c r="Q46" s="220"/>
      <c r="R46" s="220"/>
      <c r="S46" s="220"/>
    </row>
    <row r="47" ht="18.0" customHeight="1">
      <c r="A47" s="221" t="s">
        <v>286</v>
      </c>
      <c r="B47" s="26"/>
      <c r="C47" s="26"/>
      <c r="D47" s="29"/>
      <c r="E47" s="141" t="s">
        <v>287</v>
      </c>
      <c r="F47" s="26"/>
      <c r="G47" s="11"/>
      <c r="I47" s="221" t="s">
        <v>286</v>
      </c>
      <c r="J47" s="26"/>
      <c r="K47" s="26"/>
      <c r="L47" s="29"/>
      <c r="M47" s="141" t="s">
        <v>287</v>
      </c>
      <c r="N47" s="26"/>
      <c r="O47" s="11"/>
      <c r="P47" s="222"/>
      <c r="Q47" s="222"/>
      <c r="R47" s="222"/>
      <c r="S47" s="222"/>
    </row>
    <row r="48" ht="18.0" customHeight="1">
      <c r="A48" s="224" t="s">
        <v>289</v>
      </c>
      <c r="B48" s="46"/>
      <c r="C48" s="46"/>
      <c r="D48" s="106"/>
      <c r="E48" s="141" t="s">
        <v>292</v>
      </c>
      <c r="F48" s="26"/>
      <c r="G48" s="11"/>
      <c r="I48" s="224" t="s">
        <v>289</v>
      </c>
      <c r="J48" s="46"/>
      <c r="K48" s="46"/>
      <c r="L48" s="106"/>
      <c r="M48" s="141" t="s">
        <v>292</v>
      </c>
      <c r="N48" s="26"/>
      <c r="O48" s="11"/>
      <c r="P48" s="102"/>
      <c r="Q48" s="102"/>
      <c r="R48" s="102"/>
      <c r="S48" s="102"/>
    </row>
    <row r="49" ht="18.0" customHeight="1">
      <c r="A49" s="202" t="s">
        <v>293</v>
      </c>
      <c r="B49" s="122"/>
      <c r="C49" s="122"/>
      <c r="D49" s="122"/>
      <c r="E49" s="122"/>
      <c r="F49" s="122"/>
      <c r="G49" s="126"/>
      <c r="I49" s="202" t="s">
        <v>293</v>
      </c>
      <c r="J49" s="122"/>
      <c r="K49" s="122"/>
      <c r="L49" s="122"/>
      <c r="M49" s="122"/>
      <c r="N49" s="122"/>
      <c r="O49" s="126"/>
      <c r="P49" s="102"/>
      <c r="Q49" s="102"/>
      <c r="R49" s="102"/>
      <c r="S49" s="102"/>
    </row>
    <row r="50" ht="18.0" customHeight="1">
      <c r="A50" s="189" t="s">
        <v>194</v>
      </c>
      <c r="B50" s="107"/>
      <c r="C50" s="134" t="s">
        <v>294</v>
      </c>
      <c r="D50" s="107"/>
      <c r="E50" s="219"/>
      <c r="G50" s="56"/>
      <c r="I50" s="189" t="s">
        <v>194</v>
      </c>
      <c r="J50" s="107"/>
      <c r="K50" s="134" t="s">
        <v>294</v>
      </c>
      <c r="L50" s="107"/>
      <c r="M50" s="219"/>
      <c r="O50" s="56"/>
      <c r="P50" s="102"/>
      <c r="Q50" s="102"/>
      <c r="R50" s="102"/>
      <c r="S50" s="102"/>
    </row>
    <row r="51" ht="18.0" customHeight="1">
      <c r="A51" s="176" t="s">
        <v>196</v>
      </c>
      <c r="B51" s="26"/>
      <c r="C51" s="141" t="s">
        <v>299</v>
      </c>
      <c r="D51" s="26"/>
      <c r="E51" s="55"/>
      <c r="G51" s="56"/>
      <c r="I51" s="176" t="s">
        <v>196</v>
      </c>
      <c r="J51" s="26"/>
      <c r="K51" s="141" t="s">
        <v>299</v>
      </c>
      <c r="L51" s="26"/>
      <c r="M51" s="55"/>
      <c r="O51" s="56"/>
      <c r="P51" s="102"/>
      <c r="Q51" s="102"/>
      <c r="R51" s="102"/>
      <c r="S51" s="102"/>
    </row>
    <row r="52" ht="18.0" customHeight="1">
      <c r="A52" s="176" t="s">
        <v>198</v>
      </c>
      <c r="B52" s="29"/>
      <c r="C52" s="216" t="s">
        <v>303</v>
      </c>
      <c r="E52" s="55"/>
      <c r="G52" s="56"/>
      <c r="I52" s="176" t="s">
        <v>198</v>
      </c>
      <c r="J52" s="29"/>
      <c r="K52" s="216" t="s">
        <v>303</v>
      </c>
      <c r="M52" s="55"/>
      <c r="O52" s="56"/>
      <c r="P52" s="102"/>
      <c r="Q52" s="102"/>
      <c r="R52" s="102"/>
      <c r="S52" s="102"/>
    </row>
    <row r="53" ht="18.0" customHeight="1">
      <c r="A53" s="176" t="s">
        <v>201</v>
      </c>
      <c r="B53" s="26"/>
      <c r="C53" s="231" t="s">
        <v>283</v>
      </c>
      <c r="D53" s="26"/>
      <c r="E53" s="55"/>
      <c r="G53" s="56"/>
      <c r="I53" s="176" t="s">
        <v>201</v>
      </c>
      <c r="J53" s="26"/>
      <c r="K53" s="231" t="s">
        <v>283</v>
      </c>
      <c r="L53" s="26"/>
      <c r="M53" s="55"/>
      <c r="O53" s="56"/>
      <c r="P53" s="102"/>
      <c r="Q53" s="102"/>
      <c r="R53" s="102"/>
      <c r="S53" s="102"/>
    </row>
    <row r="54" ht="18.0" customHeight="1">
      <c r="A54" s="176" t="s">
        <v>203</v>
      </c>
      <c r="B54" s="26"/>
      <c r="C54" s="233">
        <v>1.0</v>
      </c>
      <c r="D54" s="26"/>
      <c r="E54" s="55"/>
      <c r="G54" s="56"/>
      <c r="I54" s="176" t="s">
        <v>203</v>
      </c>
      <c r="J54" s="26"/>
      <c r="K54" s="233">
        <v>1.0</v>
      </c>
      <c r="L54" s="26"/>
      <c r="M54" s="55"/>
      <c r="O54" s="56"/>
      <c r="P54" s="102"/>
      <c r="Q54" s="102"/>
      <c r="R54" s="102"/>
      <c r="S54" s="102"/>
    </row>
    <row r="55" ht="18.0" customHeight="1">
      <c r="A55" s="176" t="s">
        <v>204</v>
      </c>
      <c r="B55" s="26"/>
      <c r="C55" s="179" t="s">
        <v>205</v>
      </c>
      <c r="D55" s="26"/>
      <c r="E55" s="55"/>
      <c r="G55" s="56"/>
      <c r="I55" s="176" t="s">
        <v>204</v>
      </c>
      <c r="J55" s="26"/>
      <c r="K55" s="179" t="s">
        <v>205</v>
      </c>
      <c r="L55" s="26"/>
      <c r="M55" s="55"/>
      <c r="O55" s="56"/>
      <c r="P55" s="102"/>
      <c r="Q55" s="102"/>
      <c r="R55" s="102"/>
      <c r="S55" s="102"/>
    </row>
    <row r="56" ht="18.0" customHeight="1">
      <c r="A56" s="181" t="s">
        <v>325</v>
      </c>
      <c r="B56" s="182"/>
      <c r="C56" s="234" t="s">
        <v>328</v>
      </c>
      <c r="D56" s="182"/>
      <c r="E56" s="55"/>
      <c r="G56" s="56"/>
      <c r="I56" s="181" t="s">
        <v>325</v>
      </c>
      <c r="J56" s="182"/>
      <c r="K56" s="234" t="s">
        <v>328</v>
      </c>
      <c r="L56" s="182"/>
      <c r="M56" s="55"/>
      <c r="O56" s="56"/>
      <c r="P56" s="102"/>
      <c r="Q56" s="102"/>
      <c r="R56" s="102"/>
      <c r="S56" s="102"/>
    </row>
    <row r="57" ht="18.0" customHeight="1">
      <c r="A57" s="235" t="s">
        <v>206</v>
      </c>
      <c r="B57" s="46"/>
      <c r="C57" s="236" t="s">
        <v>338</v>
      </c>
      <c r="D57" s="182"/>
      <c r="E57" s="78"/>
      <c r="F57" s="35"/>
      <c r="G57" s="39"/>
      <c r="I57" s="235" t="s">
        <v>206</v>
      </c>
      <c r="J57" s="46"/>
      <c r="K57" s="236" t="s">
        <v>338</v>
      </c>
      <c r="L57" s="182"/>
      <c r="M57" s="78"/>
      <c r="N57" s="35"/>
      <c r="O57" s="39"/>
      <c r="P57" s="102"/>
      <c r="Q57" s="102"/>
      <c r="R57" s="102"/>
      <c r="S57" s="102"/>
    </row>
    <row r="58" ht="18.0" customHeight="1">
      <c r="A58" s="239" t="s">
        <v>194</v>
      </c>
      <c r="C58" s="240" t="s">
        <v>343</v>
      </c>
      <c r="D58" s="19"/>
      <c r="E58" s="208"/>
      <c r="F58" s="182"/>
      <c r="G58" s="94"/>
      <c r="I58" s="30"/>
      <c r="J58" s="30"/>
      <c r="K58" s="30"/>
      <c r="L58" s="30"/>
      <c r="M58" s="30"/>
      <c r="N58" s="30"/>
      <c r="O58" s="30"/>
      <c r="P58" s="102"/>
      <c r="Q58" s="102"/>
      <c r="R58" s="102"/>
      <c r="S58" s="102"/>
    </row>
    <row r="59" ht="18.0" customHeight="1">
      <c r="A59" s="176" t="s">
        <v>198</v>
      </c>
      <c r="B59" s="26"/>
      <c r="C59" s="141"/>
      <c r="D59" s="26"/>
      <c r="E59" s="55"/>
      <c r="G59" s="209"/>
      <c r="I59" s="30"/>
      <c r="J59" s="30"/>
      <c r="K59" s="30"/>
      <c r="L59" s="30"/>
      <c r="M59" s="30"/>
      <c r="N59" s="30"/>
      <c r="O59" s="30"/>
      <c r="P59" s="102"/>
      <c r="Q59" s="102"/>
      <c r="R59" s="102"/>
      <c r="S59" s="102"/>
    </row>
    <row r="60" ht="18.0" customHeight="1">
      <c r="A60" s="176" t="s">
        <v>201</v>
      </c>
      <c r="B60" s="26"/>
      <c r="C60" s="141" t="s">
        <v>356</v>
      </c>
      <c r="D60" s="29"/>
      <c r="E60" s="55"/>
      <c r="G60" s="209"/>
      <c r="I60" s="30"/>
      <c r="J60" s="30"/>
      <c r="K60" s="30"/>
      <c r="L60" s="30"/>
      <c r="M60" s="30"/>
      <c r="N60" s="30"/>
      <c r="O60" s="30"/>
      <c r="P60" s="102"/>
      <c r="Q60" s="102"/>
      <c r="R60" s="102"/>
      <c r="S60" s="102"/>
    </row>
    <row r="61" ht="18.0" customHeight="1">
      <c r="A61" s="241" t="s">
        <v>357</v>
      </c>
      <c r="B61" s="107"/>
      <c r="C61" s="231">
        <v>1.0</v>
      </c>
      <c r="D61" s="26"/>
      <c r="E61" s="55"/>
      <c r="G61" s="209"/>
      <c r="I61" s="30"/>
      <c r="J61" s="30"/>
      <c r="K61" s="30"/>
      <c r="L61" s="30"/>
      <c r="M61" s="30"/>
      <c r="N61" s="30"/>
      <c r="O61" s="30"/>
      <c r="P61" s="102"/>
      <c r="Q61" s="102"/>
      <c r="R61" s="102"/>
      <c r="S61" s="102"/>
    </row>
    <row r="62" ht="18.0" customHeight="1">
      <c r="A62" s="243" t="s">
        <v>358</v>
      </c>
      <c r="B62" s="26"/>
      <c r="C62" s="143" t="s">
        <v>218</v>
      </c>
      <c r="D62" s="26"/>
      <c r="E62" s="55"/>
      <c r="G62" s="209"/>
      <c r="I62" s="30"/>
      <c r="J62" s="30"/>
      <c r="K62" s="30"/>
      <c r="L62" s="30"/>
      <c r="M62" s="30"/>
      <c r="N62" s="30"/>
      <c r="O62" s="30"/>
      <c r="P62" s="102"/>
      <c r="Q62" s="102"/>
      <c r="R62" s="102"/>
      <c r="S62" s="102"/>
    </row>
    <row r="63" ht="18.0" customHeight="1">
      <c r="A63" s="181" t="s">
        <v>325</v>
      </c>
      <c r="B63" s="182"/>
      <c r="C63" s="234" t="s">
        <v>361</v>
      </c>
      <c r="D63" s="182"/>
      <c r="E63" s="55"/>
      <c r="G63" s="209"/>
      <c r="I63" s="30"/>
      <c r="J63" s="30"/>
      <c r="K63" s="30"/>
      <c r="L63" s="30"/>
      <c r="M63" s="30"/>
      <c r="N63" s="30"/>
      <c r="O63" s="30"/>
      <c r="P63" s="102"/>
      <c r="Q63" s="102"/>
      <c r="R63" s="102"/>
      <c r="S63" s="102"/>
    </row>
    <row r="64" ht="18.0" customHeight="1">
      <c r="A64" s="193" t="s">
        <v>196</v>
      </c>
      <c r="B64" s="182"/>
      <c r="C64" s="247" t="s">
        <v>363</v>
      </c>
      <c r="D64" s="46"/>
      <c r="E64" s="78"/>
      <c r="F64" s="35"/>
      <c r="G64" s="213"/>
      <c r="I64" s="30"/>
      <c r="J64" s="30"/>
      <c r="K64" s="30"/>
      <c r="L64" s="30"/>
      <c r="M64" s="30"/>
      <c r="N64" s="30"/>
      <c r="O64" s="30"/>
      <c r="P64" s="222"/>
      <c r="Q64" s="222"/>
      <c r="R64" s="222"/>
      <c r="S64" s="222"/>
    </row>
    <row r="65" ht="18.0" customHeight="1">
      <c r="A65" s="202" t="s">
        <v>364</v>
      </c>
      <c r="B65" s="122"/>
      <c r="C65" s="122"/>
      <c r="D65" s="122"/>
      <c r="E65" s="122"/>
      <c r="F65" s="122"/>
      <c r="G65" s="126"/>
      <c r="I65" s="30"/>
      <c r="J65" s="30"/>
      <c r="K65" s="30"/>
      <c r="L65" s="30"/>
      <c r="M65" s="30"/>
      <c r="N65" s="30"/>
      <c r="O65" s="30"/>
      <c r="P65" s="216"/>
      <c r="Q65" s="216"/>
      <c r="R65" s="216"/>
      <c r="S65" s="216"/>
    </row>
    <row r="66" ht="27.0" customHeight="1">
      <c r="A66" s="249" t="s">
        <v>194</v>
      </c>
      <c r="C66" s="206" t="s">
        <v>365</v>
      </c>
      <c r="D66" s="107"/>
      <c r="E66" s="250"/>
      <c r="G66" s="56"/>
      <c r="I66" s="30"/>
      <c r="J66" s="30"/>
      <c r="K66" s="30"/>
      <c r="L66" s="30"/>
      <c r="M66" s="30"/>
      <c r="N66" s="30"/>
      <c r="O66" s="30"/>
      <c r="P66" s="30"/>
      <c r="Q66" s="30"/>
      <c r="R66" s="30"/>
      <c r="S66" s="30"/>
    </row>
    <row r="67" ht="18.0" customHeight="1">
      <c r="A67" s="176" t="s">
        <v>198</v>
      </c>
      <c r="B67" s="26"/>
      <c r="C67" s="183" t="s">
        <v>303</v>
      </c>
      <c r="D67" s="182"/>
      <c r="E67" s="55"/>
      <c r="G67" s="56"/>
      <c r="I67" s="30"/>
      <c r="J67" s="30"/>
      <c r="K67" s="30"/>
      <c r="L67" s="30"/>
      <c r="M67" s="30"/>
      <c r="N67" s="30"/>
      <c r="O67" s="30"/>
      <c r="P67" s="30"/>
      <c r="Q67" s="30"/>
      <c r="R67" s="30"/>
      <c r="S67" s="30"/>
    </row>
    <row r="68" ht="18.0" customHeight="1">
      <c r="A68" s="176" t="s">
        <v>201</v>
      </c>
      <c r="B68" s="26"/>
      <c r="C68" s="141" t="s">
        <v>366</v>
      </c>
      <c r="D68" s="26"/>
      <c r="E68" s="55"/>
      <c r="G68" s="56"/>
      <c r="I68" s="30"/>
      <c r="J68" s="30"/>
      <c r="K68" s="30"/>
      <c r="L68" s="30"/>
      <c r="M68" s="30"/>
      <c r="N68" s="30"/>
      <c r="O68" s="30"/>
      <c r="P68" s="178"/>
      <c r="Q68" s="178"/>
      <c r="R68" s="178"/>
      <c r="S68" s="178"/>
    </row>
    <row r="69" ht="18.0" customHeight="1">
      <c r="A69" s="254" t="s">
        <v>357</v>
      </c>
      <c r="B69" s="35"/>
      <c r="C69" s="255" t="s">
        <v>369</v>
      </c>
      <c r="D69" s="35"/>
      <c r="E69" s="78"/>
      <c r="F69" s="35"/>
      <c r="G69" s="39"/>
      <c r="I69" s="30"/>
      <c r="J69" s="30"/>
      <c r="K69" s="30"/>
      <c r="L69" s="30"/>
      <c r="M69" s="30"/>
      <c r="N69" s="30"/>
      <c r="O69" s="30"/>
      <c r="P69" s="222"/>
      <c r="Q69" s="222"/>
      <c r="R69" s="222"/>
      <c r="S69" s="222"/>
    </row>
    <row r="70" ht="18.0" customHeight="1">
      <c r="A70" s="222"/>
      <c r="B70" s="222"/>
      <c r="C70" s="222"/>
      <c r="D70" s="222"/>
      <c r="E70" s="222"/>
      <c r="F70" s="222"/>
      <c r="G70" s="222"/>
      <c r="I70" s="30"/>
      <c r="J70" s="30"/>
      <c r="K70" s="30"/>
      <c r="L70" s="30"/>
      <c r="M70" s="30"/>
      <c r="N70" s="30"/>
      <c r="O70" s="30"/>
      <c r="P70" s="30"/>
      <c r="Q70" s="30"/>
      <c r="R70" s="30"/>
      <c r="S70" s="30"/>
    </row>
    <row r="71" ht="18.0" customHeight="1">
      <c r="A71" s="222"/>
      <c r="B71" s="222"/>
      <c r="C71" s="222"/>
      <c r="D71" s="222"/>
      <c r="E71" s="222"/>
      <c r="F71" s="222"/>
      <c r="G71" s="222"/>
      <c r="I71" s="30"/>
      <c r="J71" s="30"/>
      <c r="K71" s="30"/>
      <c r="L71" s="30"/>
      <c r="M71" s="30"/>
      <c r="N71" s="30"/>
      <c r="O71" s="30"/>
      <c r="P71" s="30"/>
      <c r="Q71" s="30"/>
      <c r="R71" s="30"/>
      <c r="S71" s="30"/>
    </row>
    <row r="72" ht="18.0" customHeight="1">
      <c r="A72" s="222"/>
      <c r="B72" s="222"/>
      <c r="C72" s="222"/>
      <c r="D72" s="222"/>
      <c r="E72" s="222"/>
      <c r="F72" s="222"/>
      <c r="G72" s="222"/>
      <c r="I72" s="30"/>
      <c r="J72" s="30"/>
      <c r="K72" s="30"/>
      <c r="L72" s="30"/>
      <c r="M72" s="30"/>
      <c r="N72" s="30"/>
      <c r="O72" s="30"/>
      <c r="P72" s="30"/>
      <c r="Q72" s="30"/>
      <c r="R72" s="30"/>
      <c r="S72" s="30"/>
    </row>
    <row r="73" ht="18.0" customHeight="1">
      <c r="A73" s="222"/>
      <c r="B73" s="222"/>
      <c r="C73" s="222"/>
      <c r="D73" s="222"/>
      <c r="E73" s="222"/>
      <c r="F73" s="222"/>
      <c r="G73" s="222"/>
      <c r="I73" s="30"/>
      <c r="J73" s="30"/>
      <c r="K73" s="30"/>
      <c r="L73" s="30"/>
      <c r="M73" s="30"/>
      <c r="N73" s="30"/>
      <c r="O73" s="30"/>
      <c r="P73" s="30"/>
      <c r="Q73" s="30"/>
      <c r="R73" s="30"/>
      <c r="S73" s="30"/>
    </row>
    <row r="74" ht="18.0" customHeight="1">
      <c r="A74" s="222"/>
      <c r="B74" s="222"/>
      <c r="C74" s="222"/>
      <c r="D74" s="222"/>
      <c r="E74" s="222"/>
      <c r="F74" s="222"/>
      <c r="G74" s="222"/>
      <c r="I74" s="30"/>
      <c r="J74" s="30"/>
      <c r="K74" s="30"/>
      <c r="L74" s="30"/>
      <c r="M74" s="30"/>
      <c r="N74" s="30"/>
      <c r="O74" s="30"/>
    </row>
    <row r="75" ht="18.0" customHeight="1">
      <c r="A75" s="222"/>
      <c r="B75" s="222"/>
      <c r="C75" s="222"/>
      <c r="D75" s="222"/>
      <c r="E75" s="222"/>
      <c r="F75" s="222"/>
      <c r="G75" s="222"/>
      <c r="I75" s="30"/>
      <c r="J75" s="30"/>
      <c r="K75" s="30"/>
      <c r="L75" s="30"/>
      <c r="M75" s="30"/>
      <c r="N75" s="30"/>
      <c r="O75" s="30"/>
    </row>
    <row r="76" ht="18.0" customHeight="1">
      <c r="A76" s="222"/>
      <c r="B76" s="222"/>
      <c r="C76" s="222"/>
      <c r="D76" s="222"/>
      <c r="E76" s="222"/>
      <c r="F76" s="222"/>
      <c r="G76" s="222"/>
      <c r="I76" s="30"/>
      <c r="J76" s="30"/>
      <c r="K76" s="30"/>
      <c r="L76" s="30"/>
      <c r="M76" s="30"/>
      <c r="N76" s="30"/>
      <c r="O76" s="30"/>
    </row>
    <row r="77" ht="18.0" customHeight="1">
      <c r="A77" s="222"/>
      <c r="B77" s="222"/>
      <c r="C77" s="222"/>
      <c r="D77" s="222"/>
      <c r="E77" s="222"/>
      <c r="F77" s="222"/>
      <c r="G77" s="222"/>
      <c r="I77" s="30"/>
      <c r="J77" s="30"/>
      <c r="K77" s="30"/>
      <c r="L77" s="30"/>
      <c r="M77" s="30"/>
      <c r="N77" s="30"/>
      <c r="O77" s="30"/>
    </row>
    <row r="78" ht="18.0" customHeight="1">
      <c r="A78" s="222"/>
      <c r="B78" s="222"/>
      <c r="C78" s="222"/>
      <c r="D78" s="222"/>
      <c r="E78" s="222"/>
      <c r="F78" s="222"/>
      <c r="G78" s="222"/>
      <c r="I78" s="30"/>
      <c r="J78" s="30"/>
      <c r="K78" s="30"/>
      <c r="L78" s="30"/>
      <c r="M78" s="30"/>
      <c r="N78" s="30"/>
      <c r="O78" s="30"/>
    </row>
    <row r="79" ht="18.0" customHeight="1">
      <c r="A79" s="222"/>
      <c r="B79" s="222"/>
      <c r="C79" s="222"/>
      <c r="D79" s="222"/>
      <c r="E79" s="222"/>
      <c r="F79" s="222"/>
      <c r="G79" s="222"/>
      <c r="I79" s="30"/>
      <c r="J79" s="30"/>
      <c r="K79" s="30"/>
      <c r="L79" s="30"/>
      <c r="M79" s="30"/>
      <c r="N79" s="30"/>
      <c r="O79" s="30"/>
    </row>
    <row r="80" ht="18.0" customHeight="1">
      <c r="A80" s="222"/>
      <c r="B80" s="222"/>
      <c r="C80" s="222"/>
      <c r="D80" s="222"/>
      <c r="E80" s="222"/>
      <c r="F80" s="222"/>
      <c r="G80" s="222"/>
      <c r="H80" s="222"/>
      <c r="I80" s="222"/>
    </row>
    <row r="81" ht="18.0" customHeight="1">
      <c r="A81" s="222"/>
      <c r="B81" s="222"/>
      <c r="C81" s="222"/>
      <c r="D81" s="222"/>
      <c r="E81" s="222"/>
      <c r="F81" s="222"/>
      <c r="G81" s="222"/>
      <c r="H81" s="222"/>
      <c r="I81" s="222"/>
    </row>
    <row r="82" ht="18.0" customHeight="1">
      <c r="A82" s="222"/>
      <c r="B82" s="222"/>
      <c r="C82" s="222"/>
      <c r="D82" s="216"/>
      <c r="F82" s="117"/>
      <c r="G82" s="222"/>
      <c r="H82" s="222"/>
      <c r="I82" s="222"/>
    </row>
    <row r="83" ht="18.0" customHeight="1">
      <c r="A83" s="222"/>
      <c r="B83" s="222"/>
      <c r="C83" s="222"/>
      <c r="D83" s="222"/>
      <c r="E83" s="222"/>
      <c r="F83" s="222"/>
      <c r="G83" s="222"/>
      <c r="H83" s="222"/>
      <c r="I83" s="222"/>
    </row>
    <row r="84" ht="18.0" customHeight="1">
      <c r="A84" s="222"/>
      <c r="B84" s="222"/>
      <c r="C84" s="222"/>
      <c r="D84" s="222"/>
      <c r="E84" s="222"/>
      <c r="F84" s="222"/>
      <c r="G84" s="222"/>
      <c r="H84" s="222"/>
      <c r="I84" s="222"/>
    </row>
    <row r="85" ht="18.0" customHeight="1"/>
    <row r="86" ht="18.0" customHeight="1">
      <c r="A86" s="262"/>
      <c r="B86" s="262"/>
      <c r="C86" s="262"/>
      <c r="D86" s="262"/>
      <c r="E86" s="262"/>
      <c r="F86" s="262"/>
      <c r="G86" s="262"/>
      <c r="H86" s="262"/>
    </row>
    <row r="87" ht="18.0" customHeight="1">
      <c r="A87" s="262"/>
      <c r="B87" s="262"/>
      <c r="C87" s="262"/>
      <c r="D87" s="262"/>
      <c r="E87" s="262"/>
      <c r="F87" s="262"/>
      <c r="G87" s="262"/>
      <c r="H87" s="262"/>
    </row>
    <row r="88" ht="18.0" customHeight="1">
      <c r="A88" s="262"/>
      <c r="B88" s="262"/>
      <c r="C88" s="262"/>
      <c r="D88" s="262"/>
      <c r="E88" s="262"/>
      <c r="F88" s="262"/>
      <c r="G88" s="262"/>
      <c r="H88" s="262"/>
    </row>
    <row r="89" ht="18.0" customHeight="1">
      <c r="A89" s="262"/>
      <c r="B89" s="262"/>
      <c r="C89" s="262"/>
      <c r="D89" s="262"/>
      <c r="E89" s="262"/>
      <c r="F89" s="262"/>
      <c r="G89" s="262"/>
      <c r="H89" s="262"/>
    </row>
    <row r="90" ht="18.0" customHeight="1">
      <c r="A90" s="262"/>
      <c r="B90" s="262"/>
      <c r="C90" s="262"/>
      <c r="D90" s="262"/>
      <c r="E90" s="262"/>
      <c r="F90" s="262"/>
      <c r="G90" s="262"/>
      <c r="H90" s="262"/>
    </row>
    <row r="91" ht="18.0" customHeight="1">
      <c r="A91" s="262"/>
      <c r="B91" s="262"/>
      <c r="C91" s="262"/>
      <c r="D91" s="262"/>
      <c r="E91" s="262"/>
      <c r="F91" s="262"/>
      <c r="G91" s="262"/>
      <c r="H91" s="262"/>
    </row>
    <row r="92" ht="18.0" customHeight="1">
      <c r="A92" s="262"/>
      <c r="B92" s="262"/>
      <c r="C92" s="262"/>
      <c r="D92" s="262"/>
      <c r="E92" s="262"/>
      <c r="F92" s="262"/>
      <c r="G92" s="262"/>
      <c r="H92" s="262"/>
    </row>
    <row r="93" ht="18.0" customHeight="1">
      <c r="A93" s="262"/>
      <c r="B93" s="262"/>
      <c r="C93" s="262"/>
      <c r="D93" s="262"/>
      <c r="E93" s="262"/>
      <c r="F93" s="262"/>
      <c r="G93" s="262"/>
      <c r="H93" s="262"/>
    </row>
    <row r="94" ht="18.0" customHeight="1">
      <c r="A94" s="262"/>
      <c r="B94" s="262"/>
      <c r="C94" s="262"/>
      <c r="D94" s="262"/>
      <c r="E94" s="262"/>
      <c r="F94" s="262"/>
      <c r="G94" s="262"/>
      <c r="H94" s="262"/>
    </row>
    <row r="95" ht="18.0" customHeight="1">
      <c r="A95" s="262"/>
      <c r="B95" s="262"/>
      <c r="C95" s="262"/>
      <c r="D95" s="262"/>
      <c r="E95" s="262"/>
      <c r="F95" s="262"/>
      <c r="G95" s="262"/>
      <c r="H95" s="262"/>
    </row>
    <row r="96" ht="18.0" customHeight="1">
      <c r="A96" s="262"/>
      <c r="B96" s="262"/>
      <c r="C96" s="262"/>
      <c r="D96" s="262"/>
      <c r="E96" s="262"/>
      <c r="F96" s="262"/>
      <c r="G96" s="262"/>
      <c r="H96" s="262"/>
    </row>
    <row r="97" ht="18.0" customHeight="1">
      <c r="A97" s="262"/>
      <c r="B97" s="262"/>
      <c r="C97" s="262"/>
      <c r="D97" s="262"/>
      <c r="E97" s="262"/>
      <c r="F97" s="262"/>
      <c r="G97" s="262"/>
      <c r="H97" s="262"/>
    </row>
    <row r="98" ht="18.0" customHeight="1">
      <c r="A98" s="262"/>
      <c r="B98" s="262"/>
      <c r="C98" s="262"/>
      <c r="D98" s="262"/>
      <c r="E98" s="262"/>
      <c r="F98" s="262"/>
      <c r="G98" s="262"/>
      <c r="H98" s="262"/>
    </row>
    <row r="99" ht="18.0" customHeight="1">
      <c r="A99" s="262"/>
      <c r="B99" s="262"/>
      <c r="C99" s="262"/>
      <c r="D99" s="262"/>
      <c r="E99" s="262"/>
      <c r="F99" s="262"/>
      <c r="G99" s="262"/>
      <c r="H99" s="262"/>
    </row>
    <row r="100" ht="18.0" customHeight="1">
      <c r="A100" s="262"/>
      <c r="B100" s="262"/>
      <c r="C100" s="262"/>
      <c r="D100" s="262"/>
      <c r="E100" s="262"/>
      <c r="F100" s="262"/>
      <c r="G100" s="262"/>
      <c r="H100" s="262"/>
    </row>
    <row r="101" ht="18.0" customHeight="1">
      <c r="A101" s="262"/>
      <c r="B101" s="262"/>
      <c r="C101" s="262"/>
      <c r="D101" s="262"/>
      <c r="E101" s="262"/>
      <c r="F101" s="262"/>
      <c r="G101" s="262"/>
      <c r="H101" s="262"/>
    </row>
    <row r="102" ht="18.0" customHeight="1">
      <c r="A102" s="262"/>
      <c r="B102" s="262"/>
      <c r="C102" s="262"/>
      <c r="D102" s="262"/>
      <c r="E102" s="262"/>
      <c r="F102" s="262"/>
      <c r="G102" s="262"/>
      <c r="H102" s="262"/>
    </row>
    <row r="103" ht="18.0" customHeight="1">
      <c r="A103" s="262"/>
      <c r="B103" s="262"/>
      <c r="C103" s="262"/>
      <c r="D103" s="262"/>
      <c r="E103" s="262"/>
      <c r="F103" s="262"/>
      <c r="G103" s="262"/>
      <c r="H103" s="262"/>
    </row>
    <row r="104" ht="18.0" customHeight="1">
      <c r="A104" s="262"/>
      <c r="B104" s="262"/>
      <c r="C104" s="262"/>
      <c r="D104" s="262"/>
      <c r="E104" s="262"/>
      <c r="F104" s="262"/>
      <c r="G104" s="262"/>
      <c r="H104" s="262"/>
    </row>
    <row r="105" ht="18.0" customHeight="1">
      <c r="A105" s="262"/>
      <c r="B105" s="262"/>
      <c r="C105" s="262"/>
      <c r="D105" s="262"/>
      <c r="E105" s="262"/>
      <c r="F105" s="262"/>
      <c r="G105" s="262"/>
      <c r="H105" s="262"/>
    </row>
    <row r="106" ht="18.0" customHeight="1">
      <c r="A106" s="262"/>
      <c r="B106" s="262"/>
      <c r="C106" s="262"/>
      <c r="D106" s="262"/>
      <c r="E106" s="262"/>
      <c r="F106" s="262"/>
      <c r="G106" s="262"/>
      <c r="H106" s="262"/>
    </row>
    <row r="107" ht="18.0" customHeight="1">
      <c r="A107" s="262"/>
      <c r="B107" s="262"/>
      <c r="C107" s="262"/>
      <c r="D107" s="262"/>
      <c r="E107" s="262"/>
      <c r="F107" s="262"/>
      <c r="G107" s="262"/>
      <c r="H107" s="262"/>
    </row>
    <row r="108" ht="18.0" customHeight="1">
      <c r="A108" s="262"/>
      <c r="B108" s="262"/>
      <c r="C108" s="262"/>
      <c r="D108" s="262"/>
      <c r="E108" s="262"/>
      <c r="F108" s="262"/>
      <c r="G108" s="262"/>
      <c r="H108" s="262"/>
    </row>
    <row r="109" ht="18.0" customHeight="1">
      <c r="A109" s="262"/>
      <c r="B109" s="262"/>
      <c r="C109" s="262"/>
      <c r="D109" s="262"/>
      <c r="E109" s="262"/>
      <c r="F109" s="262"/>
      <c r="G109" s="262"/>
      <c r="H109" s="262"/>
    </row>
    <row r="110" ht="18.0" customHeight="1">
      <c r="A110" s="262"/>
      <c r="B110" s="262"/>
      <c r="C110" s="262"/>
      <c r="D110" s="262"/>
      <c r="E110" s="262"/>
      <c r="F110" s="262"/>
      <c r="G110" s="262"/>
      <c r="H110" s="262"/>
    </row>
    <row r="111" ht="18.0" customHeight="1">
      <c r="A111" s="262"/>
      <c r="B111" s="262"/>
      <c r="C111" s="262"/>
      <c r="D111" s="262"/>
      <c r="E111" s="262"/>
      <c r="F111" s="262"/>
      <c r="G111" s="262"/>
      <c r="H111" s="262"/>
    </row>
    <row r="112" ht="18.0" customHeight="1">
      <c r="A112" s="262"/>
      <c r="B112" s="262"/>
      <c r="C112" s="262"/>
      <c r="D112" s="262"/>
      <c r="E112" s="262"/>
      <c r="F112" s="262"/>
      <c r="G112" s="262"/>
      <c r="H112" s="262"/>
    </row>
    <row r="113" ht="18.0" customHeight="1">
      <c r="A113" s="262"/>
      <c r="B113" s="262"/>
      <c r="C113" s="262"/>
      <c r="D113" s="262"/>
      <c r="E113" s="262"/>
      <c r="F113" s="262"/>
      <c r="G113" s="262"/>
      <c r="H113" s="262"/>
    </row>
    <row r="114" ht="18.0" customHeight="1">
      <c r="A114" s="262"/>
      <c r="B114" s="262"/>
      <c r="C114" s="262"/>
      <c r="D114" s="262"/>
      <c r="E114" s="262"/>
      <c r="F114" s="262"/>
      <c r="G114" s="262"/>
      <c r="H114" s="262"/>
    </row>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sheetData>
  <mergeCells count="160">
    <mergeCell ref="A32:D32"/>
    <mergeCell ref="E32:G32"/>
    <mergeCell ref="I32:L32"/>
    <mergeCell ref="M32:O32"/>
    <mergeCell ref="A33:D33"/>
    <mergeCell ref="E33:G33"/>
    <mergeCell ref="I33:L33"/>
    <mergeCell ref="M33:O33"/>
    <mergeCell ref="E34:G34"/>
    <mergeCell ref="I34:L34"/>
    <mergeCell ref="M34:O34"/>
    <mergeCell ref="E2:G2"/>
    <mergeCell ref="E5:G5"/>
    <mergeCell ref="M5:O5"/>
    <mergeCell ref="A6:G6"/>
    <mergeCell ref="I6:O6"/>
    <mergeCell ref="A1:A5"/>
    <mergeCell ref="B1:G1"/>
    <mergeCell ref="I1:I5"/>
    <mergeCell ref="J1:O1"/>
    <mergeCell ref="M2:O2"/>
    <mergeCell ref="M3:O3"/>
    <mergeCell ref="M4:O4"/>
    <mergeCell ref="E28:G28"/>
    <mergeCell ref="I28:L28"/>
    <mergeCell ref="I29:L29"/>
    <mergeCell ref="M29:O29"/>
    <mergeCell ref="I30:L30"/>
    <mergeCell ref="M30:O30"/>
    <mergeCell ref="I31:L31"/>
    <mergeCell ref="M31:O31"/>
    <mergeCell ref="E3:G3"/>
    <mergeCell ref="E4:G4"/>
    <mergeCell ref="A7:G26"/>
    <mergeCell ref="I7:O26"/>
    <mergeCell ref="A27:G27"/>
    <mergeCell ref="I27:O27"/>
    <mergeCell ref="M28:O28"/>
    <mergeCell ref="A28:D28"/>
    <mergeCell ref="A29:D29"/>
    <mergeCell ref="E29:G29"/>
    <mergeCell ref="A30:D30"/>
    <mergeCell ref="E30:G30"/>
    <mergeCell ref="A31:D31"/>
    <mergeCell ref="E31:G31"/>
    <mergeCell ref="A34:D34"/>
    <mergeCell ref="A35:G35"/>
    <mergeCell ref="I35:O35"/>
    <mergeCell ref="A36:D36"/>
    <mergeCell ref="E36:G36"/>
    <mergeCell ref="I36:L36"/>
    <mergeCell ref="M36:O36"/>
    <mergeCell ref="A45:D45"/>
    <mergeCell ref="A46:D46"/>
    <mergeCell ref="E46:G46"/>
    <mergeCell ref="I46:L46"/>
    <mergeCell ref="M46:O46"/>
    <mergeCell ref="A47:D47"/>
    <mergeCell ref="E47:G47"/>
    <mergeCell ref="I50:J50"/>
    <mergeCell ref="K50:L50"/>
    <mergeCell ref="A48:D48"/>
    <mergeCell ref="I48:L48"/>
    <mergeCell ref="M48:O48"/>
    <mergeCell ref="A49:G49"/>
    <mergeCell ref="I49:O49"/>
    <mergeCell ref="A50:B50"/>
    <mergeCell ref="C50:D50"/>
    <mergeCell ref="I55:J55"/>
    <mergeCell ref="K55:L55"/>
    <mergeCell ref="I56:J56"/>
    <mergeCell ref="K56:L56"/>
    <mergeCell ref="I57:J57"/>
    <mergeCell ref="K57:L57"/>
    <mergeCell ref="I47:L47"/>
    <mergeCell ref="M47:O47"/>
    <mergeCell ref="M50:O57"/>
    <mergeCell ref="I51:J51"/>
    <mergeCell ref="K51:L51"/>
    <mergeCell ref="I52:J52"/>
    <mergeCell ref="K52:L52"/>
    <mergeCell ref="E39:G39"/>
    <mergeCell ref="I39:L39"/>
    <mergeCell ref="I40:L40"/>
    <mergeCell ref="M40:O40"/>
    <mergeCell ref="I41:L41"/>
    <mergeCell ref="M41:O41"/>
    <mergeCell ref="I42:L42"/>
    <mergeCell ref="M42:O42"/>
    <mergeCell ref="A37:D37"/>
    <mergeCell ref="E37:G37"/>
    <mergeCell ref="I37:L37"/>
    <mergeCell ref="M37:O37"/>
    <mergeCell ref="A38:G38"/>
    <mergeCell ref="I38:O38"/>
    <mergeCell ref="M39:O39"/>
    <mergeCell ref="A43:D43"/>
    <mergeCell ref="E43:G43"/>
    <mergeCell ref="I43:L43"/>
    <mergeCell ref="M43:O43"/>
    <mergeCell ref="A39:D39"/>
    <mergeCell ref="A40:D40"/>
    <mergeCell ref="E40:G40"/>
    <mergeCell ref="A41:D41"/>
    <mergeCell ref="E41:G41"/>
    <mergeCell ref="A42:D42"/>
    <mergeCell ref="E42:G42"/>
    <mergeCell ref="A44:D44"/>
    <mergeCell ref="E44:G44"/>
    <mergeCell ref="I44:L44"/>
    <mergeCell ref="M44:O44"/>
    <mergeCell ref="E45:G45"/>
    <mergeCell ref="I45:L45"/>
    <mergeCell ref="M45:O45"/>
    <mergeCell ref="I53:J53"/>
    <mergeCell ref="K53:L53"/>
    <mergeCell ref="I54:J54"/>
    <mergeCell ref="K54:L54"/>
    <mergeCell ref="E48:G48"/>
    <mergeCell ref="E50:G57"/>
    <mergeCell ref="A51:B51"/>
    <mergeCell ref="C51:D51"/>
    <mergeCell ref="A52:B52"/>
    <mergeCell ref="C52:D52"/>
    <mergeCell ref="C53:D53"/>
    <mergeCell ref="A64:B64"/>
    <mergeCell ref="C64:D64"/>
    <mergeCell ref="A57:B57"/>
    <mergeCell ref="C57:D57"/>
    <mergeCell ref="A58:B58"/>
    <mergeCell ref="C58:D58"/>
    <mergeCell ref="E58:G64"/>
    <mergeCell ref="A59:B59"/>
    <mergeCell ref="C59:D59"/>
    <mergeCell ref="A68:B68"/>
    <mergeCell ref="A69:B69"/>
    <mergeCell ref="D82:E82"/>
    <mergeCell ref="A65:G65"/>
    <mergeCell ref="A66:B66"/>
    <mergeCell ref="C66:D66"/>
    <mergeCell ref="E66:G69"/>
    <mergeCell ref="A67:B67"/>
    <mergeCell ref="C67:D67"/>
    <mergeCell ref="C68:D68"/>
    <mergeCell ref="C69:D69"/>
    <mergeCell ref="A53:B53"/>
    <mergeCell ref="A54:B54"/>
    <mergeCell ref="C54:D54"/>
    <mergeCell ref="A55:B55"/>
    <mergeCell ref="C55:D55"/>
    <mergeCell ref="A56:B56"/>
    <mergeCell ref="C56:D56"/>
    <mergeCell ref="A60:B60"/>
    <mergeCell ref="C60:D60"/>
    <mergeCell ref="A61:B61"/>
    <mergeCell ref="C61:D61"/>
    <mergeCell ref="A62:B62"/>
    <mergeCell ref="C62:D62"/>
    <mergeCell ref="A63:B63"/>
    <mergeCell ref="C63:D63"/>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5.38"/>
    <col customWidth="1" min="3" max="3" width="24.63"/>
    <col customWidth="1" min="4" max="5" width="15.38"/>
    <col customWidth="1" min="6" max="6" width="9.0"/>
    <col customWidth="1" min="7" max="7" width="21.0"/>
    <col customWidth="1" min="8" max="10" width="15.38"/>
    <col customWidth="1" min="11" max="11" width="21.5"/>
    <col customWidth="1" min="12" max="12" width="15.38"/>
    <col customWidth="1" min="13" max="13" width="16.63"/>
    <col customWidth="1" min="14" max="14" width="10.88"/>
    <col customWidth="1" min="15" max="15" width="11.25"/>
    <col customWidth="1" min="16" max="26" width="15.38"/>
  </cols>
  <sheetData>
    <row r="1" ht="18.0" customHeight="1">
      <c r="A1" s="1"/>
      <c r="B1" s="2" t="s">
        <v>199</v>
      </c>
      <c r="C1" s="3"/>
      <c r="D1" s="3"/>
      <c r="E1" s="3"/>
      <c r="F1" s="3"/>
      <c r="G1" s="19"/>
      <c r="I1" s="1"/>
      <c r="J1" s="2" t="s">
        <v>199</v>
      </c>
      <c r="K1" s="3"/>
      <c r="L1" s="3"/>
      <c r="M1" s="3"/>
      <c r="N1" s="3"/>
      <c r="O1" s="19"/>
    </row>
    <row r="2" ht="18.0" customHeight="1">
      <c r="A2" s="7"/>
      <c r="B2" s="8" t="s">
        <v>2</v>
      </c>
      <c r="C2" s="9" t="s">
        <v>3</v>
      </c>
      <c r="D2" s="8" t="s">
        <v>4</v>
      </c>
      <c r="E2" s="10" t="s">
        <v>5</v>
      </c>
      <c r="F2" s="26"/>
      <c r="G2" s="11"/>
      <c r="I2" s="7"/>
      <c r="J2" s="8" t="s">
        <v>2</v>
      </c>
      <c r="K2" s="9" t="s">
        <v>3</v>
      </c>
      <c r="L2" s="8" t="s">
        <v>4</v>
      </c>
      <c r="M2" s="10" t="s">
        <v>7</v>
      </c>
      <c r="N2" s="26"/>
      <c r="O2" s="11"/>
    </row>
    <row r="3" ht="18.0" customHeight="1">
      <c r="A3" s="7"/>
      <c r="B3" s="8" t="s">
        <v>8</v>
      </c>
      <c r="C3" s="9" t="s">
        <v>9</v>
      </c>
      <c r="D3" s="8" t="s">
        <v>10</v>
      </c>
      <c r="E3" s="10" t="s">
        <v>11</v>
      </c>
      <c r="F3" s="26"/>
      <c r="G3" s="11"/>
      <c r="I3" s="7"/>
      <c r="J3" s="8" t="s">
        <v>8</v>
      </c>
      <c r="K3" s="9" t="s">
        <v>9</v>
      </c>
      <c r="L3" s="8" t="s">
        <v>10</v>
      </c>
      <c r="M3" s="10" t="s">
        <v>30</v>
      </c>
      <c r="N3" s="26"/>
      <c r="O3" s="11"/>
    </row>
    <row r="4" ht="18.0" customHeight="1">
      <c r="A4" s="7"/>
      <c r="B4" s="8" t="s">
        <v>13</v>
      </c>
      <c r="C4" s="9" t="s">
        <v>14</v>
      </c>
      <c r="D4" s="8" t="s">
        <v>15</v>
      </c>
      <c r="E4" s="10" t="s">
        <v>16</v>
      </c>
      <c r="F4" s="26"/>
      <c r="G4" s="11"/>
      <c r="I4" s="7"/>
      <c r="J4" s="8" t="s">
        <v>13</v>
      </c>
      <c r="K4" s="9" t="s">
        <v>14</v>
      </c>
      <c r="L4" s="8" t="s">
        <v>15</v>
      </c>
      <c r="M4" s="10" t="s">
        <v>18</v>
      </c>
      <c r="N4" s="26"/>
      <c r="O4" s="11"/>
    </row>
    <row r="5" ht="42.0" customHeight="1">
      <c r="A5" s="14"/>
      <c r="B5" s="16" t="s">
        <v>19</v>
      </c>
      <c r="C5" s="20" t="s">
        <v>20</v>
      </c>
      <c r="D5" s="16" t="s">
        <v>21</v>
      </c>
      <c r="E5" s="21"/>
      <c r="F5" s="46"/>
      <c r="G5" s="22"/>
      <c r="I5" s="14"/>
      <c r="J5" s="16" t="s">
        <v>19</v>
      </c>
      <c r="K5" s="20" t="s">
        <v>20</v>
      </c>
      <c r="L5" s="16" t="s">
        <v>21</v>
      </c>
      <c r="M5" s="21"/>
      <c r="N5" s="46"/>
      <c r="O5" s="22"/>
    </row>
    <row r="6" ht="18.0" customHeight="1">
      <c r="A6" s="185" t="s">
        <v>207</v>
      </c>
      <c r="B6" s="19"/>
      <c r="C6" s="187"/>
      <c r="D6" s="49"/>
      <c r="E6" s="188" t="s">
        <v>209</v>
      </c>
      <c r="F6" s="107"/>
      <c r="G6" s="111"/>
      <c r="I6" s="185" t="s">
        <v>207</v>
      </c>
      <c r="J6" s="19"/>
      <c r="K6" s="187"/>
      <c r="L6" s="49"/>
      <c r="M6" s="188" t="s">
        <v>209</v>
      </c>
      <c r="N6" s="107"/>
      <c r="O6" s="111"/>
    </row>
    <row r="7">
      <c r="A7" s="192" t="s">
        <v>211</v>
      </c>
      <c r="B7" s="170" t="s">
        <v>213</v>
      </c>
      <c r="C7" s="194"/>
      <c r="D7" s="56"/>
      <c r="E7" s="197" t="s">
        <v>142</v>
      </c>
      <c r="F7" s="200" t="s">
        <v>143</v>
      </c>
      <c r="G7" s="11"/>
      <c r="I7" s="192" t="s">
        <v>211</v>
      </c>
      <c r="J7" s="170" t="s">
        <v>213</v>
      </c>
      <c r="K7" s="194"/>
      <c r="L7" s="56"/>
      <c r="M7" s="197" t="s">
        <v>142</v>
      </c>
      <c r="N7" s="200" t="s">
        <v>143</v>
      </c>
      <c r="O7" s="11"/>
    </row>
    <row r="8">
      <c r="A8" s="192" t="s">
        <v>217</v>
      </c>
      <c r="B8" s="15" t="s">
        <v>218</v>
      </c>
      <c r="C8" s="194"/>
      <c r="D8" s="56"/>
      <c r="E8" s="203" t="s">
        <v>146</v>
      </c>
      <c r="F8" s="204" t="s">
        <v>219</v>
      </c>
      <c r="G8" s="184"/>
      <c r="I8" s="192" t="s">
        <v>217</v>
      </c>
      <c r="J8" s="15" t="s">
        <v>218</v>
      </c>
      <c r="K8" s="194"/>
      <c r="L8" s="56"/>
      <c r="M8" s="203" t="s">
        <v>146</v>
      </c>
      <c r="N8" s="204" t="s">
        <v>219</v>
      </c>
      <c r="O8" s="184"/>
    </row>
    <row r="9" ht="18.0" customHeight="1">
      <c r="A9" s="205" t="s">
        <v>201</v>
      </c>
      <c r="B9" s="9" t="s">
        <v>221</v>
      </c>
      <c r="C9" s="194"/>
      <c r="D9" s="56"/>
      <c r="E9" s="203" t="s">
        <v>159</v>
      </c>
      <c r="F9" s="194"/>
      <c r="G9" s="56"/>
      <c r="I9" s="205" t="s">
        <v>201</v>
      </c>
      <c r="J9" s="9" t="s">
        <v>221</v>
      </c>
      <c r="K9" s="194"/>
      <c r="L9" s="56"/>
      <c r="M9" s="203" t="s">
        <v>159</v>
      </c>
      <c r="N9" s="194"/>
      <c r="O9" s="56"/>
    </row>
    <row r="10" ht="18.0" customHeight="1">
      <c r="A10" s="208"/>
      <c r="B10" s="94"/>
      <c r="C10" s="194"/>
      <c r="D10" s="56"/>
      <c r="E10" s="203" t="s">
        <v>165</v>
      </c>
      <c r="F10" s="194"/>
      <c r="G10" s="56"/>
      <c r="I10" s="208"/>
      <c r="J10" s="94"/>
      <c r="K10" s="194"/>
      <c r="L10" s="56"/>
      <c r="M10" s="203" t="s">
        <v>165</v>
      </c>
      <c r="N10" s="194"/>
      <c r="O10" s="56"/>
    </row>
    <row r="11" ht="18.0" customHeight="1">
      <c r="A11" s="55"/>
      <c r="B11" s="209"/>
      <c r="C11" s="194"/>
      <c r="D11" s="56"/>
      <c r="E11" s="203" t="s">
        <v>172</v>
      </c>
      <c r="F11" s="194"/>
      <c r="G11" s="56"/>
      <c r="I11" s="55"/>
      <c r="J11" s="209"/>
      <c r="K11" s="194"/>
      <c r="L11" s="56"/>
      <c r="M11" s="203" t="s">
        <v>172</v>
      </c>
      <c r="N11" s="194"/>
      <c r="O11" s="56"/>
    </row>
    <row r="12" ht="18.0" customHeight="1">
      <c r="A12" s="55"/>
      <c r="B12" s="209"/>
      <c r="C12" s="194"/>
      <c r="D12" s="56"/>
      <c r="E12" s="203" t="s">
        <v>243</v>
      </c>
      <c r="F12" s="194"/>
      <c r="G12" s="56"/>
      <c r="H12" s="24"/>
      <c r="I12" s="55"/>
      <c r="J12" s="209"/>
      <c r="K12" s="194"/>
      <c r="L12" s="56"/>
      <c r="M12" s="203" t="s">
        <v>243</v>
      </c>
      <c r="N12" s="194"/>
      <c r="O12" s="56"/>
    </row>
    <row r="13" ht="18.0" customHeight="1">
      <c r="A13" s="55"/>
      <c r="B13" s="209"/>
      <c r="C13" s="194"/>
      <c r="D13" s="56"/>
      <c r="E13" s="210" t="s">
        <v>252</v>
      </c>
      <c r="F13" s="211"/>
      <c r="G13" s="4"/>
      <c r="I13" s="55"/>
      <c r="J13" s="209"/>
      <c r="K13" s="194"/>
      <c r="L13" s="56"/>
      <c r="M13" s="210" t="s">
        <v>252</v>
      </c>
      <c r="N13" s="211"/>
      <c r="O13" s="4"/>
    </row>
    <row r="14" ht="18.0" customHeight="1">
      <c r="A14" s="78"/>
      <c r="B14" s="213"/>
      <c r="C14" s="214"/>
      <c r="D14" s="39"/>
      <c r="E14" s="215" t="s">
        <v>273</v>
      </c>
      <c r="F14" s="26"/>
      <c r="G14" s="11"/>
      <c r="I14" s="78"/>
      <c r="J14" s="213"/>
      <c r="K14" s="214"/>
      <c r="L14" s="39"/>
      <c r="M14" s="215" t="s">
        <v>273</v>
      </c>
      <c r="N14" s="26"/>
      <c r="O14" s="11"/>
    </row>
    <row r="15" ht="30.0" customHeight="1">
      <c r="A15" s="217" t="s">
        <v>211</v>
      </c>
      <c r="B15" s="218" t="s">
        <v>276</v>
      </c>
      <c r="C15" s="219"/>
      <c r="D15" s="56"/>
      <c r="E15" s="204" t="s">
        <v>278</v>
      </c>
      <c r="F15" s="182"/>
      <c r="G15" s="184"/>
      <c r="I15" s="217" t="s">
        <v>211</v>
      </c>
      <c r="J15" s="218" t="s">
        <v>276</v>
      </c>
      <c r="K15" s="219"/>
      <c r="L15" s="56"/>
      <c r="M15" s="204" t="s">
        <v>278</v>
      </c>
      <c r="N15" s="182"/>
      <c r="O15" s="184"/>
    </row>
    <row r="16" ht="18.0" customHeight="1">
      <c r="A16" s="205" t="s">
        <v>217</v>
      </c>
      <c r="B16" s="10" t="s">
        <v>281</v>
      </c>
      <c r="C16" s="55"/>
      <c r="D16" s="56"/>
      <c r="E16" s="194"/>
      <c r="G16" s="56"/>
      <c r="I16" s="205" t="s">
        <v>217</v>
      </c>
      <c r="J16" s="10" t="s">
        <v>281</v>
      </c>
      <c r="K16" s="55"/>
      <c r="L16" s="56"/>
      <c r="M16" s="194"/>
      <c r="O16" s="56"/>
    </row>
    <row r="17" ht="18.0" customHeight="1">
      <c r="A17" s="205" t="s">
        <v>201</v>
      </c>
      <c r="B17" s="10" t="s">
        <v>283</v>
      </c>
      <c r="C17" s="55"/>
      <c r="D17" s="56"/>
      <c r="E17" s="194"/>
      <c r="G17" s="56"/>
      <c r="I17" s="205" t="s">
        <v>201</v>
      </c>
      <c r="J17" s="10" t="s">
        <v>283</v>
      </c>
      <c r="K17" s="55"/>
      <c r="L17" s="56"/>
      <c r="M17" s="194"/>
      <c r="O17" s="56"/>
    </row>
    <row r="18" ht="18.0" customHeight="1">
      <c r="A18" s="208"/>
      <c r="B18" s="94"/>
      <c r="C18" s="55"/>
      <c r="D18" s="56"/>
      <c r="E18" s="194"/>
      <c r="G18" s="56"/>
      <c r="I18" s="208"/>
      <c r="J18" s="94"/>
      <c r="K18" s="55"/>
      <c r="L18" s="56"/>
      <c r="M18" s="194"/>
      <c r="O18" s="56"/>
    </row>
    <row r="19" ht="18.0" customHeight="1">
      <c r="A19" s="55"/>
      <c r="B19" s="209"/>
      <c r="C19" s="55"/>
      <c r="D19" s="56"/>
      <c r="E19" s="194"/>
      <c r="G19" s="56"/>
      <c r="I19" s="55"/>
      <c r="J19" s="209"/>
      <c r="K19" s="55"/>
      <c r="L19" s="56"/>
      <c r="M19" s="194"/>
      <c r="O19" s="56"/>
    </row>
    <row r="20" ht="18.0" customHeight="1">
      <c r="A20" s="55"/>
      <c r="B20" s="209"/>
      <c r="C20" s="55"/>
      <c r="D20" s="56"/>
      <c r="E20" s="223" t="s">
        <v>288</v>
      </c>
      <c r="F20" s="48"/>
      <c r="G20" s="49"/>
      <c r="I20" s="55"/>
      <c r="J20" s="209"/>
      <c r="K20" s="55"/>
      <c r="L20" s="56"/>
      <c r="M20" s="223" t="s">
        <v>288</v>
      </c>
      <c r="N20" s="48"/>
      <c r="O20" s="49"/>
    </row>
    <row r="21" ht="18.0" customHeight="1">
      <c r="A21" s="55"/>
      <c r="B21" s="209"/>
      <c r="C21" s="55"/>
      <c r="D21" s="56"/>
      <c r="E21" s="72" t="s">
        <v>290</v>
      </c>
      <c r="F21" s="225" t="s">
        <v>291</v>
      </c>
      <c r="G21" s="184"/>
      <c r="I21" s="55"/>
      <c r="J21" s="209"/>
      <c r="K21" s="55"/>
      <c r="L21" s="56"/>
      <c r="M21" s="72" t="s">
        <v>290</v>
      </c>
      <c r="N21" s="225" t="s">
        <v>291</v>
      </c>
      <c r="O21" s="184"/>
    </row>
    <row r="22" ht="18.0" customHeight="1">
      <c r="A22" s="78"/>
      <c r="B22" s="213"/>
      <c r="C22" s="78"/>
      <c r="D22" s="39"/>
      <c r="E22" s="14"/>
      <c r="F22" s="214"/>
      <c r="G22" s="39"/>
      <c r="I22" s="78"/>
      <c r="J22" s="213"/>
      <c r="K22" s="78"/>
      <c r="L22" s="39"/>
      <c r="M22" s="14"/>
      <c r="N22" s="214"/>
      <c r="O22" s="39"/>
    </row>
    <row r="23" ht="18.0" customHeight="1">
      <c r="I23" s="6"/>
      <c r="J23" s="6"/>
      <c r="K23" s="6"/>
      <c r="L23" s="6"/>
      <c r="M23" s="6"/>
      <c r="N23" s="6"/>
      <c r="O23" s="6"/>
    </row>
    <row r="24" ht="18.0" customHeight="1">
      <c r="I24" s="6"/>
      <c r="J24" s="6"/>
      <c r="K24" s="6"/>
      <c r="L24" s="6"/>
      <c r="M24" s="6"/>
      <c r="N24" s="6"/>
      <c r="O24" s="6"/>
    </row>
    <row r="25" ht="18.0" customHeight="1"/>
    <row r="26" ht="18.0" customHeight="1"/>
    <row r="27" ht="18.0" customHeight="1"/>
    <row r="28" ht="18.0" customHeight="1"/>
    <row r="29" ht="18.0" customHeight="1"/>
    <row r="30" ht="18.0" customHeight="1"/>
    <row r="31" ht="18.0" customHeight="1"/>
    <row r="32" ht="18.0" customHeight="1"/>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row r="1002" ht="18.0" customHeight="1"/>
    <row r="1003" ht="18.0" customHeight="1"/>
    <row r="1004" ht="18.0" customHeight="1"/>
  </sheetData>
  <mergeCells count="40">
    <mergeCell ref="E3:G3"/>
    <mergeCell ref="E4:G4"/>
    <mergeCell ref="A1:A5"/>
    <mergeCell ref="A6:B6"/>
    <mergeCell ref="C6:D14"/>
    <mergeCell ref="A10:B14"/>
    <mergeCell ref="C15:D22"/>
    <mergeCell ref="A18:B22"/>
    <mergeCell ref="B1:G1"/>
    <mergeCell ref="I1:I5"/>
    <mergeCell ref="J1:O1"/>
    <mergeCell ref="M2:O2"/>
    <mergeCell ref="M3:O3"/>
    <mergeCell ref="M4:O4"/>
    <mergeCell ref="I6:J6"/>
    <mergeCell ref="F13:G13"/>
    <mergeCell ref="E14:G14"/>
    <mergeCell ref="E15:G19"/>
    <mergeCell ref="K15:L22"/>
    <mergeCell ref="I18:J22"/>
    <mergeCell ref="E20:G20"/>
    <mergeCell ref="E21:E22"/>
    <mergeCell ref="F21:G22"/>
    <mergeCell ref="E2:G2"/>
    <mergeCell ref="E5:G5"/>
    <mergeCell ref="E6:G6"/>
    <mergeCell ref="K6:L14"/>
    <mergeCell ref="F7:G7"/>
    <mergeCell ref="F8:G12"/>
    <mergeCell ref="I10:J14"/>
    <mergeCell ref="M20:O20"/>
    <mergeCell ref="M21:M22"/>
    <mergeCell ref="N21:O22"/>
    <mergeCell ref="M5:O5"/>
    <mergeCell ref="M6:O6"/>
    <mergeCell ref="N7:O7"/>
    <mergeCell ref="N8:O12"/>
    <mergeCell ref="N13:O13"/>
    <mergeCell ref="M14:O14"/>
    <mergeCell ref="M15:O19"/>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5.13"/>
    <col customWidth="1" min="5" max="5" width="31.63"/>
    <col customWidth="1" min="6" max="26" width="25.13"/>
  </cols>
  <sheetData>
    <row r="1">
      <c r="A1" s="196"/>
      <c r="B1" s="199" t="s">
        <v>215</v>
      </c>
      <c r="C1" s="3"/>
      <c r="D1" s="3"/>
      <c r="E1" s="3"/>
      <c r="F1" s="3"/>
      <c r="G1" s="3"/>
      <c r="H1" s="3"/>
      <c r="I1" s="3"/>
      <c r="J1" s="4"/>
    </row>
    <row r="2">
      <c r="A2" s="7"/>
      <c r="B2" s="201" t="s">
        <v>2</v>
      </c>
      <c r="C2" s="29"/>
      <c r="D2" s="139" t="s">
        <v>3</v>
      </c>
      <c r="E2" s="26"/>
      <c r="F2" s="29"/>
      <c r="G2" s="201" t="s">
        <v>4</v>
      </c>
      <c r="H2" s="29"/>
      <c r="I2" s="139"/>
      <c r="J2" s="11"/>
    </row>
    <row r="3">
      <c r="A3" s="7"/>
      <c r="B3" s="201" t="s">
        <v>8</v>
      </c>
      <c r="C3" s="29"/>
      <c r="D3" s="139" t="s">
        <v>9</v>
      </c>
      <c r="E3" s="26"/>
      <c r="F3" s="29"/>
      <c r="G3" s="201" t="s">
        <v>10</v>
      </c>
      <c r="H3" s="29"/>
      <c r="I3" s="139"/>
      <c r="J3" s="11"/>
    </row>
    <row r="4">
      <c r="A4" s="14"/>
      <c r="B4" s="201" t="s">
        <v>13</v>
      </c>
      <c r="C4" s="29"/>
      <c r="D4" s="139"/>
      <c r="E4" s="26"/>
      <c r="F4" s="29"/>
      <c r="G4" s="201" t="s">
        <v>15</v>
      </c>
      <c r="H4" s="29"/>
      <c r="I4" s="139"/>
      <c r="J4" s="11"/>
    </row>
    <row r="5">
      <c r="A5" s="207" t="s">
        <v>222</v>
      </c>
      <c r="B5" s="207" t="s">
        <v>223</v>
      </c>
      <c r="C5" s="207" t="s">
        <v>224</v>
      </c>
      <c r="D5" s="207" t="s">
        <v>225</v>
      </c>
      <c r="E5" s="207" t="s">
        <v>226</v>
      </c>
      <c r="F5" s="207" t="s">
        <v>227</v>
      </c>
      <c r="G5" s="207" t="s">
        <v>228</v>
      </c>
      <c r="H5" s="207" t="s">
        <v>229</v>
      </c>
      <c r="I5" s="207" t="s">
        <v>230</v>
      </c>
      <c r="J5" s="207" t="s">
        <v>231</v>
      </c>
    </row>
    <row r="6">
      <c r="A6" s="12" t="s">
        <v>232</v>
      </c>
      <c r="B6" s="12" t="s">
        <v>233</v>
      </c>
      <c r="C6" s="12" t="s">
        <v>234</v>
      </c>
      <c r="D6" s="12" t="s">
        <v>235</v>
      </c>
      <c r="E6" s="12" t="s">
        <v>236</v>
      </c>
      <c r="F6" s="12" t="s">
        <v>237</v>
      </c>
      <c r="G6" s="12" t="s">
        <v>238</v>
      </c>
      <c r="H6" s="12" t="s">
        <v>239</v>
      </c>
      <c r="I6" s="12" t="s">
        <v>240</v>
      </c>
      <c r="J6" s="12" t="s">
        <v>242</v>
      </c>
    </row>
    <row r="7">
      <c r="A7" s="12" t="s">
        <v>244</v>
      </c>
      <c r="B7" s="12" t="s">
        <v>245</v>
      </c>
      <c r="C7" s="12" t="s">
        <v>246</v>
      </c>
      <c r="D7" s="12" t="s">
        <v>247</v>
      </c>
      <c r="E7" s="12" t="s">
        <v>248</v>
      </c>
      <c r="F7" s="12" t="s">
        <v>249</v>
      </c>
      <c r="G7" s="12" t="s">
        <v>238</v>
      </c>
      <c r="H7" s="12" t="s">
        <v>250</v>
      </c>
      <c r="I7" s="12" t="s">
        <v>246</v>
      </c>
      <c r="J7" s="12" t="s">
        <v>242</v>
      </c>
    </row>
    <row r="8">
      <c r="A8" s="12" t="s">
        <v>251</v>
      </c>
      <c r="B8" s="12" t="s">
        <v>253</v>
      </c>
      <c r="C8" s="12" t="s">
        <v>246</v>
      </c>
      <c r="D8" s="12" t="s">
        <v>247</v>
      </c>
      <c r="E8" s="12" t="s">
        <v>246</v>
      </c>
      <c r="F8" s="12" t="s">
        <v>254</v>
      </c>
      <c r="G8" s="12" t="s">
        <v>238</v>
      </c>
      <c r="H8" s="12" t="s">
        <v>255</v>
      </c>
      <c r="I8" s="12" t="s">
        <v>256</v>
      </c>
      <c r="J8" s="12" t="s">
        <v>242</v>
      </c>
    </row>
    <row r="9">
      <c r="A9" s="12" t="s">
        <v>257</v>
      </c>
      <c r="B9" s="12" t="s">
        <v>258</v>
      </c>
      <c r="C9" s="12" t="s">
        <v>246</v>
      </c>
      <c r="D9" s="12" t="s">
        <v>259</v>
      </c>
      <c r="E9" s="12" t="s">
        <v>260</v>
      </c>
      <c r="F9" s="12" t="s">
        <v>261</v>
      </c>
      <c r="G9" s="12" t="s">
        <v>262</v>
      </c>
      <c r="H9" s="12" t="s">
        <v>263</v>
      </c>
      <c r="I9" s="12" t="s">
        <v>246</v>
      </c>
      <c r="J9" s="12" t="s">
        <v>242</v>
      </c>
    </row>
    <row r="10">
      <c r="A10" s="12" t="s">
        <v>264</v>
      </c>
      <c r="B10" s="12" t="s">
        <v>265</v>
      </c>
      <c r="C10" s="12" t="s">
        <v>246</v>
      </c>
      <c r="D10" s="12" t="s">
        <v>259</v>
      </c>
      <c r="E10" s="12" t="s">
        <v>246</v>
      </c>
      <c r="F10" s="12" t="s">
        <v>261</v>
      </c>
      <c r="G10" s="12" t="s">
        <v>262</v>
      </c>
      <c r="H10" s="12" t="s">
        <v>266</v>
      </c>
      <c r="I10" s="12" t="s">
        <v>267</v>
      </c>
      <c r="J10" s="12" t="s">
        <v>242</v>
      </c>
    </row>
    <row r="11">
      <c r="A11" s="12" t="s">
        <v>268</v>
      </c>
      <c r="B11" s="12" t="s">
        <v>269</v>
      </c>
      <c r="C11" s="12" t="s">
        <v>246</v>
      </c>
      <c r="D11" s="12" t="s">
        <v>247</v>
      </c>
      <c r="E11" s="12" t="s">
        <v>260</v>
      </c>
      <c r="F11" s="12" t="s">
        <v>270</v>
      </c>
      <c r="G11" s="12" t="s">
        <v>262</v>
      </c>
      <c r="H11" s="12" t="s">
        <v>271</v>
      </c>
      <c r="I11" s="12" t="s">
        <v>246</v>
      </c>
      <c r="J11" s="12" t="s">
        <v>242</v>
      </c>
    </row>
  </sheetData>
  <mergeCells count="14">
    <mergeCell ref="D3:F3"/>
    <mergeCell ref="G3:H3"/>
    <mergeCell ref="B3:C3"/>
    <mergeCell ref="B4:C4"/>
    <mergeCell ref="D4:F4"/>
    <mergeCell ref="G4:H4"/>
    <mergeCell ref="A1:A4"/>
    <mergeCell ref="B1:J1"/>
    <mergeCell ref="B2:C2"/>
    <mergeCell ref="D2:F2"/>
    <mergeCell ref="G2:H2"/>
    <mergeCell ref="I2:J2"/>
    <mergeCell ref="I3:J3"/>
    <mergeCell ref="I4:J4"/>
  </mergeCells>
  <dataValidations>
    <dataValidation type="list" allowBlank="1" showErrorMessage="1" sqref="J6:J11">
      <formula1>"Compra realizada,Por orden de compra"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 customWidth="1" min="2" max="2" width="15.38"/>
    <col customWidth="1" min="3" max="3" width="27.88"/>
    <col customWidth="1" min="4" max="5" width="15.38"/>
    <col customWidth="1" min="6" max="6" width="9.0"/>
    <col customWidth="1" min="7" max="7" width="10.75"/>
    <col customWidth="1" min="8" max="10" width="15.38"/>
    <col customWidth="1" min="11" max="11" width="21.5"/>
    <col customWidth="1" min="12" max="12" width="15.38"/>
    <col customWidth="1" min="13" max="13" width="11.75"/>
    <col customWidth="1" min="14" max="14" width="10.88"/>
    <col customWidth="1" min="15" max="15" width="11.25"/>
    <col customWidth="1" min="16" max="26" width="15.38"/>
  </cols>
  <sheetData>
    <row r="1" ht="18.0" customHeight="1">
      <c r="A1" s="1"/>
      <c r="B1" s="2" t="s">
        <v>284</v>
      </c>
      <c r="C1" s="3"/>
      <c r="D1" s="3"/>
      <c r="E1" s="3"/>
      <c r="F1" s="3"/>
      <c r="G1" s="19"/>
      <c r="I1" s="1"/>
      <c r="J1" s="2" t="s">
        <v>284</v>
      </c>
      <c r="K1" s="3"/>
      <c r="L1" s="3"/>
      <c r="M1" s="3"/>
      <c r="N1" s="3"/>
      <c r="O1" s="19"/>
    </row>
    <row r="2" ht="18.0" customHeight="1">
      <c r="A2" s="7"/>
      <c r="B2" s="8" t="s">
        <v>2</v>
      </c>
      <c r="C2" s="9" t="s">
        <v>3</v>
      </c>
      <c r="D2" s="8" t="s">
        <v>4</v>
      </c>
      <c r="E2" s="10" t="s">
        <v>5</v>
      </c>
      <c r="F2" s="26"/>
      <c r="G2" s="11"/>
      <c r="I2" s="7"/>
      <c r="J2" s="8" t="s">
        <v>2</v>
      </c>
      <c r="K2" s="9" t="s">
        <v>3</v>
      </c>
      <c r="L2" s="8" t="s">
        <v>4</v>
      </c>
      <c r="M2" s="10" t="s">
        <v>7</v>
      </c>
      <c r="N2" s="26"/>
      <c r="O2" s="11"/>
    </row>
    <row r="3" ht="18.0" customHeight="1">
      <c r="A3" s="7"/>
      <c r="B3" s="8" t="s">
        <v>8</v>
      </c>
      <c r="C3" s="9" t="s">
        <v>9</v>
      </c>
      <c r="D3" s="8" t="s">
        <v>10</v>
      </c>
      <c r="E3" s="10" t="s">
        <v>11</v>
      </c>
      <c r="F3" s="26"/>
      <c r="G3" s="11"/>
      <c r="I3" s="7"/>
      <c r="J3" s="8" t="s">
        <v>8</v>
      </c>
      <c r="K3" s="9" t="s">
        <v>9</v>
      </c>
      <c r="L3" s="8" t="s">
        <v>10</v>
      </c>
      <c r="M3" s="10" t="s">
        <v>30</v>
      </c>
      <c r="N3" s="26"/>
      <c r="O3" s="11"/>
    </row>
    <row r="4" ht="18.0" customHeight="1">
      <c r="A4" s="7"/>
      <c r="B4" s="8" t="s">
        <v>13</v>
      </c>
      <c r="C4" s="9" t="s">
        <v>14</v>
      </c>
      <c r="D4" s="8" t="s">
        <v>15</v>
      </c>
      <c r="E4" s="10" t="s">
        <v>16</v>
      </c>
      <c r="F4" s="26"/>
      <c r="G4" s="11"/>
      <c r="I4" s="7"/>
      <c r="J4" s="8" t="s">
        <v>13</v>
      </c>
      <c r="K4" s="9" t="s">
        <v>14</v>
      </c>
      <c r="L4" s="8" t="s">
        <v>15</v>
      </c>
      <c r="M4" s="10" t="s">
        <v>18</v>
      </c>
      <c r="N4" s="26"/>
      <c r="O4" s="11"/>
    </row>
    <row r="5" ht="52.5" customHeight="1">
      <c r="A5" s="14"/>
      <c r="B5" s="16" t="s">
        <v>19</v>
      </c>
      <c r="C5" s="20" t="s">
        <v>20</v>
      </c>
      <c r="D5" s="16" t="s">
        <v>21</v>
      </c>
      <c r="E5" s="21"/>
      <c r="F5" s="46"/>
      <c r="G5" s="22"/>
      <c r="I5" s="14"/>
      <c r="J5" s="16" t="s">
        <v>19</v>
      </c>
      <c r="K5" s="20" t="s">
        <v>20</v>
      </c>
      <c r="L5" s="16" t="s">
        <v>21</v>
      </c>
      <c r="M5" s="21"/>
      <c r="N5" s="46"/>
      <c r="O5" s="22"/>
    </row>
    <row r="6" ht="18.0" customHeight="1">
      <c r="A6" s="207"/>
      <c r="B6" s="207"/>
      <c r="C6" s="207"/>
      <c r="D6" s="207"/>
      <c r="E6" s="207"/>
      <c r="F6" s="207"/>
      <c r="G6" s="207"/>
      <c r="H6" s="207"/>
      <c r="I6" s="207"/>
      <c r="J6" s="207"/>
      <c r="K6" s="207"/>
      <c r="L6" s="207"/>
      <c r="M6" s="207"/>
      <c r="N6" s="207"/>
      <c r="O6" s="207"/>
      <c r="P6" s="207"/>
    </row>
    <row r="7">
      <c r="A7" s="226" t="s">
        <v>295</v>
      </c>
      <c r="B7" s="227" t="s">
        <v>296</v>
      </c>
      <c r="C7" s="227" t="s">
        <v>297</v>
      </c>
      <c r="E7" s="226" t="s">
        <v>298</v>
      </c>
      <c r="F7" s="226" t="s">
        <v>230</v>
      </c>
      <c r="H7" s="207"/>
      <c r="I7" s="226" t="s">
        <v>295</v>
      </c>
      <c r="J7" s="227" t="s">
        <v>296</v>
      </c>
      <c r="K7" s="227" t="s">
        <v>297</v>
      </c>
      <c r="M7" s="226" t="s">
        <v>298</v>
      </c>
      <c r="N7" s="226" t="s">
        <v>230</v>
      </c>
      <c r="P7" s="207"/>
    </row>
    <row r="8">
      <c r="A8" s="228" t="s">
        <v>300</v>
      </c>
      <c r="B8" s="229" t="s">
        <v>301</v>
      </c>
      <c r="C8" s="229" t="s">
        <v>302</v>
      </c>
      <c r="E8" s="230">
        <v>2.0</v>
      </c>
      <c r="F8" s="117"/>
      <c r="G8" s="207"/>
      <c r="H8" s="207"/>
      <c r="I8" s="228" t="s">
        <v>300</v>
      </c>
      <c r="J8" s="229" t="s">
        <v>301</v>
      </c>
      <c r="K8" s="229" t="s">
        <v>302</v>
      </c>
      <c r="M8" s="230">
        <v>2.0</v>
      </c>
      <c r="N8" s="117"/>
      <c r="O8" s="207"/>
      <c r="P8" s="207"/>
    </row>
    <row r="9" ht="18.0" customHeight="1">
      <c r="A9" s="228" t="s">
        <v>300</v>
      </c>
      <c r="B9" s="229" t="s">
        <v>304</v>
      </c>
      <c r="C9" s="229" t="s">
        <v>305</v>
      </c>
      <c r="E9" s="230">
        <v>2.0</v>
      </c>
      <c r="F9" s="117"/>
      <c r="G9" s="207"/>
      <c r="H9" s="207"/>
      <c r="I9" s="228" t="s">
        <v>300</v>
      </c>
      <c r="J9" s="229" t="s">
        <v>304</v>
      </c>
      <c r="K9" s="229" t="s">
        <v>305</v>
      </c>
      <c r="M9" s="230">
        <v>2.0</v>
      </c>
      <c r="N9" s="117"/>
      <c r="O9" s="207"/>
      <c r="P9" s="207"/>
    </row>
    <row r="10" ht="26.25" customHeight="1">
      <c r="A10" s="228" t="s">
        <v>306</v>
      </c>
      <c r="B10" s="229" t="s">
        <v>307</v>
      </c>
      <c r="C10" s="229" t="s">
        <v>308</v>
      </c>
      <c r="E10" s="230">
        <v>3.0</v>
      </c>
      <c r="F10" s="117"/>
      <c r="G10" s="207"/>
      <c r="H10" s="207"/>
      <c r="I10" s="228" t="s">
        <v>306</v>
      </c>
      <c r="J10" s="229" t="s">
        <v>307</v>
      </c>
      <c r="K10" s="229" t="s">
        <v>308</v>
      </c>
      <c r="M10" s="230">
        <v>3.0</v>
      </c>
      <c r="N10" s="117"/>
      <c r="O10" s="207"/>
      <c r="P10" s="207"/>
    </row>
    <row r="11" ht="21.75" customHeight="1">
      <c r="A11" s="228" t="s">
        <v>306</v>
      </c>
      <c r="B11" s="229" t="s">
        <v>309</v>
      </c>
      <c r="C11" s="229" t="s">
        <v>310</v>
      </c>
      <c r="E11" s="230">
        <v>3.0</v>
      </c>
      <c r="F11" s="117"/>
      <c r="G11" s="207"/>
      <c r="H11" s="207"/>
      <c r="I11" s="228" t="s">
        <v>306</v>
      </c>
      <c r="J11" s="229" t="s">
        <v>309</v>
      </c>
      <c r="K11" s="229" t="s">
        <v>310</v>
      </c>
      <c r="M11" s="230">
        <v>3.0</v>
      </c>
      <c r="N11" s="117"/>
      <c r="O11" s="207"/>
      <c r="P11" s="207"/>
    </row>
    <row r="12" ht="26.25" customHeight="1">
      <c r="A12" s="228" t="s">
        <v>306</v>
      </c>
      <c r="B12" s="229" t="s">
        <v>311</v>
      </c>
      <c r="C12" s="232" t="s">
        <v>312</v>
      </c>
      <c r="E12" s="230">
        <v>2.0</v>
      </c>
      <c r="F12" s="117"/>
      <c r="G12" s="207"/>
      <c r="H12" s="207"/>
      <c r="I12" s="228" t="s">
        <v>306</v>
      </c>
      <c r="J12" s="229" t="s">
        <v>311</v>
      </c>
      <c r="K12" s="232" t="s">
        <v>312</v>
      </c>
      <c r="M12" s="230">
        <v>2.0</v>
      </c>
      <c r="N12" s="117"/>
      <c r="O12" s="207"/>
      <c r="P12" s="207"/>
    </row>
    <row r="13" ht="18.0" customHeight="1">
      <c r="A13" s="228" t="s">
        <v>313</v>
      </c>
      <c r="B13" s="229" t="s">
        <v>314</v>
      </c>
      <c r="C13" s="229" t="s">
        <v>315</v>
      </c>
      <c r="E13" s="230">
        <v>2.0</v>
      </c>
      <c r="F13" s="117"/>
      <c r="G13" s="207"/>
      <c r="H13" s="207"/>
      <c r="I13" s="228" t="s">
        <v>313</v>
      </c>
      <c r="J13" s="229" t="s">
        <v>314</v>
      </c>
      <c r="K13" s="229" t="s">
        <v>315</v>
      </c>
      <c r="M13" s="230">
        <v>2.0</v>
      </c>
      <c r="N13" s="117"/>
      <c r="O13" s="207"/>
      <c r="P13" s="207"/>
    </row>
    <row r="14" ht="18.0" customHeight="1">
      <c r="A14" s="228" t="s">
        <v>313</v>
      </c>
      <c r="B14" s="229" t="s">
        <v>316</v>
      </c>
      <c r="C14" s="229" t="s">
        <v>317</v>
      </c>
      <c r="E14" s="230">
        <v>1.0</v>
      </c>
      <c r="F14" s="117"/>
      <c r="G14" s="207"/>
      <c r="H14" s="207"/>
      <c r="I14" s="228" t="s">
        <v>313</v>
      </c>
      <c r="J14" s="229" t="s">
        <v>316</v>
      </c>
      <c r="K14" s="229" t="s">
        <v>317</v>
      </c>
      <c r="M14" s="230">
        <v>1.0</v>
      </c>
      <c r="N14" s="117"/>
      <c r="O14" s="207"/>
      <c r="P14" s="207"/>
    </row>
    <row r="15">
      <c r="A15" s="228" t="s">
        <v>313</v>
      </c>
      <c r="B15" s="229" t="s">
        <v>318</v>
      </c>
      <c r="C15" s="229" t="s">
        <v>319</v>
      </c>
      <c r="E15" s="230">
        <v>1.0</v>
      </c>
      <c r="F15" s="117"/>
      <c r="G15" s="207"/>
      <c r="H15" s="207"/>
      <c r="I15" s="228" t="s">
        <v>313</v>
      </c>
      <c r="J15" s="229" t="s">
        <v>318</v>
      </c>
      <c r="K15" s="229" t="s">
        <v>319</v>
      </c>
      <c r="M15" s="230">
        <v>1.0</v>
      </c>
      <c r="N15" s="117"/>
      <c r="O15" s="207"/>
      <c r="P15" s="207"/>
    </row>
    <row r="16" ht="18.0" customHeight="1">
      <c r="A16" s="228" t="s">
        <v>313</v>
      </c>
      <c r="B16" s="229" t="s">
        <v>320</v>
      </c>
      <c r="C16" s="229" t="s">
        <v>321</v>
      </c>
      <c r="E16" s="230">
        <v>1.0</v>
      </c>
      <c r="F16" s="117"/>
      <c r="G16" s="207"/>
      <c r="H16" s="207"/>
      <c r="I16" s="228" t="s">
        <v>313</v>
      </c>
      <c r="J16" s="229" t="s">
        <v>320</v>
      </c>
      <c r="K16" s="229" t="s">
        <v>321</v>
      </c>
      <c r="M16" s="230">
        <v>1.0</v>
      </c>
      <c r="N16" s="117"/>
      <c r="O16" s="207"/>
      <c r="P16" s="207"/>
    </row>
    <row r="17" ht="24.75" customHeight="1">
      <c r="A17" s="228" t="s">
        <v>322</v>
      </c>
      <c r="B17" s="229" t="s">
        <v>323</v>
      </c>
      <c r="C17" s="229" t="s">
        <v>324</v>
      </c>
      <c r="E17" s="230">
        <v>1.0</v>
      </c>
      <c r="F17" s="117"/>
      <c r="G17" s="207"/>
      <c r="H17" s="207"/>
      <c r="I17" s="228" t="s">
        <v>322</v>
      </c>
      <c r="J17" s="229" t="s">
        <v>323</v>
      </c>
      <c r="K17" s="229" t="s">
        <v>324</v>
      </c>
      <c r="M17" s="230">
        <v>1.0</v>
      </c>
      <c r="N17" s="117"/>
      <c r="O17" s="207"/>
      <c r="P17" s="207"/>
    </row>
    <row r="18" ht="32.25" customHeight="1">
      <c r="A18" s="228" t="s">
        <v>322</v>
      </c>
      <c r="B18" s="229" t="s">
        <v>326</v>
      </c>
      <c r="C18" s="229" t="s">
        <v>327</v>
      </c>
      <c r="E18" s="230">
        <v>1.0</v>
      </c>
      <c r="F18" s="117"/>
      <c r="G18" s="207"/>
      <c r="H18" s="207"/>
      <c r="I18" s="228" t="s">
        <v>322</v>
      </c>
      <c r="J18" s="229" t="s">
        <v>326</v>
      </c>
      <c r="K18" s="229" t="s">
        <v>327</v>
      </c>
      <c r="M18" s="230">
        <v>1.0</v>
      </c>
      <c r="N18" s="117"/>
      <c r="O18" s="207"/>
      <c r="P18" s="207"/>
    </row>
    <row r="19" ht="21.0" customHeight="1">
      <c r="A19" s="228" t="s">
        <v>322</v>
      </c>
      <c r="B19" s="229" t="s">
        <v>329</v>
      </c>
      <c r="C19" s="229" t="s">
        <v>330</v>
      </c>
      <c r="E19" s="230">
        <v>2.0</v>
      </c>
      <c r="F19" s="117"/>
      <c r="G19" s="207"/>
      <c r="H19" s="207"/>
      <c r="I19" s="228" t="s">
        <v>322</v>
      </c>
      <c r="J19" s="229" t="s">
        <v>329</v>
      </c>
      <c r="K19" s="229" t="s">
        <v>330</v>
      </c>
      <c r="M19" s="230">
        <v>2.0</v>
      </c>
      <c r="N19" s="117"/>
      <c r="O19" s="207"/>
      <c r="P19" s="207"/>
    </row>
    <row r="20" ht="18.0" customHeight="1">
      <c r="A20" s="228" t="s">
        <v>322</v>
      </c>
      <c r="B20" s="229" t="s">
        <v>331</v>
      </c>
      <c r="C20" s="229" t="s">
        <v>332</v>
      </c>
      <c r="E20" s="230">
        <v>3.0</v>
      </c>
      <c r="F20" s="117"/>
      <c r="G20" s="207"/>
      <c r="H20" s="207"/>
      <c r="I20" s="228" t="s">
        <v>322</v>
      </c>
      <c r="J20" s="229" t="s">
        <v>331</v>
      </c>
      <c r="K20" s="229" t="s">
        <v>332</v>
      </c>
      <c r="M20" s="230">
        <v>3.0</v>
      </c>
      <c r="N20" s="117"/>
      <c r="O20" s="207"/>
      <c r="P20" s="207"/>
    </row>
    <row r="21" ht="18.0" customHeight="1">
      <c r="A21" s="228" t="s">
        <v>333</v>
      </c>
      <c r="B21" s="229" t="s">
        <v>334</v>
      </c>
      <c r="C21" s="229" t="s">
        <v>335</v>
      </c>
      <c r="E21" s="230">
        <v>3.0</v>
      </c>
      <c r="F21" s="117"/>
      <c r="G21" s="207"/>
      <c r="H21" s="207"/>
      <c r="I21" s="228" t="s">
        <v>333</v>
      </c>
      <c r="J21" s="229" t="s">
        <v>334</v>
      </c>
      <c r="K21" s="229" t="s">
        <v>335</v>
      </c>
      <c r="M21" s="230">
        <v>3.0</v>
      </c>
      <c r="N21" s="117"/>
      <c r="O21" s="207"/>
      <c r="P21" s="207"/>
    </row>
    <row r="22" ht="18.0" customHeight="1">
      <c r="A22" s="228" t="s">
        <v>333</v>
      </c>
      <c r="B22" s="229" t="s">
        <v>336</v>
      </c>
      <c r="C22" s="229" t="s">
        <v>337</v>
      </c>
      <c r="E22" s="230">
        <v>3.0</v>
      </c>
      <c r="F22" s="117"/>
      <c r="G22" s="207"/>
      <c r="H22" s="207"/>
      <c r="I22" s="228" t="s">
        <v>333</v>
      </c>
      <c r="J22" s="229" t="s">
        <v>336</v>
      </c>
      <c r="K22" s="229" t="s">
        <v>337</v>
      </c>
      <c r="M22" s="230">
        <v>3.0</v>
      </c>
      <c r="N22" s="117"/>
      <c r="O22" s="207"/>
      <c r="P22" s="207"/>
    </row>
    <row r="23" ht="18.0" customHeight="1">
      <c r="A23" s="237" t="s">
        <v>333</v>
      </c>
      <c r="B23" s="238" t="s">
        <v>339</v>
      </c>
      <c r="C23" s="238" t="s">
        <v>340</v>
      </c>
      <c r="E23" s="230">
        <v>2.0</v>
      </c>
      <c r="F23" s="30"/>
      <c r="I23" s="237" t="s">
        <v>333</v>
      </c>
      <c r="J23" s="238" t="s">
        <v>339</v>
      </c>
      <c r="K23" s="238" t="s">
        <v>340</v>
      </c>
      <c r="M23" s="230">
        <v>2.0</v>
      </c>
      <c r="N23" s="30"/>
    </row>
    <row r="24" ht="18.0" customHeight="1">
      <c r="A24" s="237" t="s">
        <v>333</v>
      </c>
      <c r="B24" s="238" t="s">
        <v>341</v>
      </c>
      <c r="C24" s="238" t="s">
        <v>342</v>
      </c>
      <c r="E24" s="230">
        <v>3.0</v>
      </c>
      <c r="F24" s="30"/>
      <c r="I24" s="237" t="s">
        <v>333</v>
      </c>
      <c r="J24" s="238" t="s">
        <v>341</v>
      </c>
      <c r="K24" s="238" t="s">
        <v>342</v>
      </c>
      <c r="M24" s="230">
        <v>3.0</v>
      </c>
      <c r="N24" s="30"/>
    </row>
    <row r="25" ht="21.75" customHeight="1">
      <c r="A25" s="237" t="s">
        <v>333</v>
      </c>
      <c r="B25" s="238" t="s">
        <v>344</v>
      </c>
      <c r="C25" s="238" t="s">
        <v>345</v>
      </c>
      <c r="E25" s="230">
        <v>2.0</v>
      </c>
      <c r="F25" s="30"/>
      <c r="I25" s="237" t="s">
        <v>333</v>
      </c>
      <c r="J25" s="238" t="s">
        <v>344</v>
      </c>
      <c r="K25" s="238" t="s">
        <v>345</v>
      </c>
      <c r="M25" s="230">
        <v>2.0</v>
      </c>
      <c r="N25" s="30"/>
    </row>
    <row r="26" ht="23.25" customHeight="1">
      <c r="A26" s="237" t="s">
        <v>346</v>
      </c>
      <c r="B26" s="238" t="s">
        <v>347</v>
      </c>
      <c r="C26" s="238" t="s">
        <v>348</v>
      </c>
      <c r="E26" s="230">
        <v>3.0</v>
      </c>
      <c r="F26" s="30"/>
      <c r="I26" s="237" t="s">
        <v>346</v>
      </c>
      <c r="J26" s="238" t="s">
        <v>347</v>
      </c>
      <c r="K26" s="238" t="s">
        <v>348</v>
      </c>
      <c r="M26" s="230">
        <v>3.0</v>
      </c>
      <c r="N26" s="30"/>
    </row>
    <row r="27" ht="23.25" customHeight="1">
      <c r="A27" s="237" t="s">
        <v>338</v>
      </c>
      <c r="B27" s="238" t="s">
        <v>349</v>
      </c>
      <c r="C27" s="238" t="s">
        <v>350</v>
      </c>
      <c r="E27" s="230">
        <v>1.0</v>
      </c>
      <c r="F27" s="30"/>
      <c r="I27" s="237" t="s">
        <v>338</v>
      </c>
      <c r="J27" s="238" t="s">
        <v>349</v>
      </c>
      <c r="K27" s="238" t="s">
        <v>350</v>
      </c>
      <c r="M27" s="230">
        <v>1.0</v>
      </c>
      <c r="N27" s="30"/>
    </row>
    <row r="28" ht="23.25" customHeight="1">
      <c r="A28" s="237" t="s">
        <v>338</v>
      </c>
      <c r="B28" s="238" t="s">
        <v>351</v>
      </c>
      <c r="C28" s="238" t="s">
        <v>352</v>
      </c>
      <c r="E28" s="230">
        <v>3.0</v>
      </c>
      <c r="F28" s="30"/>
      <c r="I28" s="237" t="s">
        <v>338</v>
      </c>
      <c r="J28" s="238" t="s">
        <v>351</v>
      </c>
      <c r="K28" s="238" t="s">
        <v>352</v>
      </c>
      <c r="M28" s="230">
        <v>3.0</v>
      </c>
      <c r="N28" s="30"/>
    </row>
    <row r="29" ht="18.0" customHeight="1">
      <c r="A29" s="237" t="s">
        <v>338</v>
      </c>
      <c r="B29" s="238" t="s">
        <v>353</v>
      </c>
      <c r="C29" s="237" t="s">
        <v>354</v>
      </c>
      <c r="E29" s="230">
        <v>3.0</v>
      </c>
      <c r="F29" s="30"/>
      <c r="I29" s="237" t="s">
        <v>338</v>
      </c>
      <c r="J29" s="238" t="s">
        <v>353</v>
      </c>
      <c r="K29" s="237" t="s">
        <v>354</v>
      </c>
      <c r="M29" s="230">
        <v>3.0</v>
      </c>
      <c r="N29" s="30"/>
    </row>
    <row r="30" ht="18.0" customHeight="1">
      <c r="A30" s="30"/>
      <c r="B30" s="30"/>
      <c r="C30" s="30"/>
      <c r="D30" s="237" t="s">
        <v>355</v>
      </c>
      <c r="E30" s="242">
        <f>SUM(E8:E29)</f>
        <v>47</v>
      </c>
      <c r="F30" s="30"/>
      <c r="I30" s="30"/>
      <c r="J30" s="30"/>
      <c r="K30" s="30"/>
      <c r="L30" s="237" t="s">
        <v>355</v>
      </c>
      <c r="M30" s="242">
        <f>SUM(M8:M29)</f>
        <v>47</v>
      </c>
      <c r="N30" s="30"/>
    </row>
    <row r="31" ht="18.0" customHeight="1">
      <c r="A31" s="30"/>
      <c r="B31" s="30"/>
      <c r="C31" s="30"/>
      <c r="D31" s="237" t="s">
        <v>359</v>
      </c>
      <c r="E31" s="244">
        <v>2.0</v>
      </c>
      <c r="F31" s="246" t="s">
        <v>360</v>
      </c>
      <c r="I31" s="30"/>
      <c r="J31" s="30"/>
      <c r="K31" s="30"/>
      <c r="L31" s="237" t="s">
        <v>359</v>
      </c>
      <c r="M31" s="244">
        <v>2.0</v>
      </c>
      <c r="N31" s="246" t="s">
        <v>360</v>
      </c>
    </row>
    <row r="32" ht="18.0" customHeight="1">
      <c r="I32" s="6"/>
      <c r="J32" s="6"/>
      <c r="K32" s="6"/>
      <c r="L32" s="6"/>
      <c r="M32" s="6"/>
      <c r="N32" s="6"/>
      <c r="O32" s="6"/>
    </row>
    <row r="33" ht="18.0" customHeight="1"/>
    <row r="34" ht="18.0" customHeight="1"/>
    <row r="35" ht="18.0" customHeight="1"/>
    <row r="36" ht="18.0" customHeight="1"/>
    <row r="37" ht="18.0" customHeight="1"/>
    <row r="38" ht="18.0" customHeight="1"/>
    <row r="39" ht="18.0" customHeight="1"/>
    <row r="40" ht="18.0" customHeight="1"/>
    <row r="41" ht="18.0" customHeight="1"/>
    <row r="42" ht="18.0" customHeight="1"/>
    <row r="43" ht="18.0" customHeight="1"/>
    <row r="44" ht="18.0" customHeight="1"/>
    <row r="45" ht="18.0" customHeight="1"/>
    <row r="46" ht="18.0" customHeight="1"/>
    <row r="47" ht="18.0" customHeight="1"/>
    <row r="48" ht="18.0" customHeight="1"/>
    <row r="49" ht="18.0" customHeight="1"/>
    <row r="50" ht="18.0" customHeight="1"/>
    <row r="51" ht="18.0" customHeight="1"/>
    <row r="52" ht="18.0" customHeight="1"/>
    <row r="53" ht="18.0" customHeight="1"/>
    <row r="54" ht="18.0" customHeight="1"/>
    <row r="55" ht="18.0" customHeight="1"/>
    <row r="56" ht="18.0" customHeight="1"/>
    <row r="57" ht="18.0" customHeight="1"/>
    <row r="58" ht="18.0" customHeight="1"/>
    <row r="59" ht="18.0" customHeight="1"/>
    <row r="60" ht="18.0" customHeight="1"/>
    <row r="61" ht="18.0" customHeight="1"/>
    <row r="62" ht="18.0" customHeight="1"/>
    <row r="63" ht="18.0" customHeight="1"/>
    <row r="64" ht="18.0" customHeight="1"/>
    <row r="65" ht="18.0" customHeight="1"/>
    <row r="66" ht="18.0" customHeight="1"/>
    <row r="67" ht="18.0" customHeight="1"/>
    <row r="68" ht="18.0" customHeight="1"/>
    <row r="69" ht="18.0" customHeight="1"/>
    <row r="70" ht="18.0" customHeight="1"/>
    <row r="71" ht="18.0" customHeight="1"/>
    <row r="72" ht="18.0" customHeight="1"/>
    <row r="73" ht="18.0" customHeight="1"/>
    <row r="74" ht="18.0" customHeight="1"/>
    <row r="75" ht="18.0" customHeight="1"/>
    <row r="76" ht="18.0" customHeight="1"/>
    <row r="77" ht="18.0" customHeight="1"/>
    <row r="78" ht="18.0" customHeight="1"/>
    <row r="79" ht="18.0" customHeight="1"/>
    <row r="80" ht="18.0" customHeight="1"/>
    <row r="81" ht="18.0" customHeight="1"/>
    <row r="82" ht="18.0" customHeight="1"/>
    <row r="83" ht="18.0" customHeight="1"/>
    <row r="84" ht="18.0" customHeight="1"/>
    <row r="85" ht="18.0" customHeight="1"/>
    <row r="86" ht="18.0" customHeight="1"/>
    <row r="87" ht="18.0" customHeight="1"/>
    <row r="88" ht="18.0" customHeight="1"/>
    <row r="89" ht="18.0" customHeight="1"/>
    <row r="90" ht="18.0" customHeight="1"/>
    <row r="91" ht="18.0" customHeight="1"/>
    <row r="92" ht="18.0" customHeight="1"/>
    <row r="93" ht="18.0" customHeight="1"/>
    <row r="94" ht="18.0" customHeight="1"/>
    <row r="95" ht="18.0" customHeight="1"/>
    <row r="96" ht="18.0" customHeight="1"/>
    <row r="97" ht="18.0" customHeight="1"/>
    <row r="98" ht="18.0" customHeight="1"/>
    <row r="99" ht="18.0" customHeight="1"/>
    <row r="100" ht="18.0" customHeight="1"/>
    <row r="101" ht="18.0" customHeight="1"/>
    <row r="102" ht="18.0" customHeight="1"/>
    <row r="103" ht="18.0" customHeight="1"/>
    <row r="104" ht="18.0" customHeight="1"/>
    <row r="105" ht="18.0" customHeight="1"/>
    <row r="106" ht="18.0" customHeight="1"/>
    <row r="107" ht="18.0" customHeight="1"/>
    <row r="108" ht="18.0" customHeight="1"/>
    <row r="109" ht="18.0" customHeight="1"/>
    <row r="110" ht="18.0" customHeight="1"/>
    <row r="111" ht="18.0" customHeight="1"/>
    <row r="112" ht="18.0" customHeight="1"/>
    <row r="113" ht="18.0" customHeight="1"/>
    <row r="114" ht="18.0" customHeight="1"/>
    <row r="115" ht="18.0" customHeight="1"/>
    <row r="116" ht="18.0" customHeight="1"/>
    <row r="117" ht="18.0" customHeight="1"/>
    <row r="118" ht="18.0" customHeight="1"/>
    <row r="119" ht="18.0" customHeight="1"/>
    <row r="120" ht="18.0" customHeight="1"/>
    <row r="121" ht="18.0" customHeight="1"/>
    <row r="122" ht="18.0" customHeight="1"/>
    <row r="123" ht="18.0" customHeight="1"/>
    <row r="124" ht="18.0" customHeight="1"/>
    <row r="125" ht="18.0" customHeight="1"/>
    <row r="126" ht="18.0" customHeight="1"/>
    <row r="127" ht="18.0" customHeight="1"/>
    <row r="128" ht="18.0" customHeight="1"/>
    <row r="129" ht="18.0" customHeight="1"/>
    <row r="130" ht="18.0" customHeight="1"/>
    <row r="131" ht="18.0" customHeight="1"/>
    <row r="132" ht="18.0" customHeight="1"/>
    <row r="133" ht="18.0" customHeight="1"/>
    <row r="134" ht="18.0" customHeight="1"/>
    <row r="135" ht="18.0" customHeight="1"/>
    <row r="136" ht="18.0" customHeight="1"/>
    <row r="137" ht="18.0" customHeight="1"/>
    <row r="138" ht="18.0" customHeight="1"/>
    <row r="139" ht="18.0" customHeight="1"/>
    <row r="140" ht="18.0" customHeight="1"/>
    <row r="141" ht="18.0" customHeight="1"/>
    <row r="142" ht="18.0" customHeight="1"/>
    <row r="143" ht="18.0" customHeight="1"/>
    <row r="144" ht="18.0" customHeight="1"/>
    <row r="145" ht="18.0" customHeight="1"/>
    <row r="146" ht="18.0" customHeight="1"/>
    <row r="147" ht="18.0" customHeight="1"/>
    <row r="148" ht="18.0" customHeight="1"/>
    <row r="149" ht="18.0" customHeight="1"/>
    <row r="150" ht="18.0" customHeight="1"/>
    <row r="151" ht="18.0" customHeight="1"/>
    <row r="152" ht="18.0" customHeight="1"/>
    <row r="153" ht="18.0" customHeight="1"/>
    <row r="154" ht="18.0" customHeight="1"/>
    <row r="155" ht="18.0" customHeight="1"/>
    <row r="156" ht="18.0" customHeight="1"/>
    <row r="157" ht="18.0" customHeight="1"/>
    <row r="158" ht="18.0" customHeight="1"/>
    <row r="159" ht="18.0" customHeight="1"/>
    <row r="160" ht="18.0" customHeight="1"/>
    <row r="161" ht="18.0" customHeight="1"/>
    <row r="162" ht="18.0" customHeight="1"/>
    <row r="163" ht="18.0" customHeight="1"/>
    <row r="164" ht="18.0" customHeight="1"/>
    <row r="165" ht="18.0" customHeight="1"/>
    <row r="166" ht="18.0" customHeight="1"/>
    <row r="167" ht="18.0" customHeight="1"/>
    <row r="168" ht="18.0" customHeight="1"/>
    <row r="169" ht="18.0" customHeight="1"/>
    <row r="170" ht="18.0" customHeight="1"/>
    <row r="171" ht="18.0" customHeight="1"/>
    <row r="172" ht="18.0" customHeight="1"/>
    <row r="173" ht="18.0" customHeight="1"/>
    <row r="174" ht="18.0" customHeight="1"/>
    <row r="175" ht="18.0" customHeight="1"/>
    <row r="176" ht="18.0" customHeight="1"/>
    <row r="177" ht="18.0" customHeight="1"/>
    <row r="178" ht="18.0" customHeight="1"/>
    <row r="179" ht="18.0" customHeight="1"/>
    <row r="180" ht="18.0" customHeight="1"/>
    <row r="181" ht="18.0" customHeight="1"/>
    <row r="182" ht="18.0" customHeight="1"/>
    <row r="183" ht="18.0" customHeight="1"/>
    <row r="184" ht="18.0" customHeight="1"/>
    <row r="185" ht="18.0" customHeight="1"/>
    <row r="186" ht="18.0" customHeight="1"/>
    <row r="187" ht="18.0" customHeight="1"/>
    <row r="188" ht="18.0" customHeight="1"/>
    <row r="189" ht="18.0" customHeight="1"/>
    <row r="190" ht="18.0" customHeight="1"/>
    <row r="191" ht="18.0" customHeight="1"/>
    <row r="192" ht="18.0" customHeight="1"/>
    <row r="193" ht="18.0" customHeight="1"/>
    <row r="194" ht="18.0" customHeight="1"/>
    <row r="195" ht="18.0" customHeight="1"/>
    <row r="196" ht="18.0" customHeight="1"/>
    <row r="197" ht="18.0" customHeight="1"/>
    <row r="198" ht="18.0" customHeight="1"/>
    <row r="199" ht="18.0" customHeight="1"/>
    <row r="200" ht="18.0" customHeight="1"/>
    <row r="201" ht="18.0" customHeight="1"/>
    <row r="202" ht="18.0" customHeight="1"/>
    <row r="203" ht="18.0" customHeight="1"/>
    <row r="204" ht="18.0" customHeight="1"/>
    <row r="205" ht="18.0" customHeight="1"/>
    <row r="206" ht="18.0" customHeight="1"/>
    <row r="207" ht="18.0" customHeight="1"/>
    <row r="208" ht="18.0" customHeight="1"/>
    <row r="209" ht="18.0" customHeight="1"/>
    <row r="210" ht="18.0" customHeight="1"/>
    <row r="211" ht="18.0" customHeight="1"/>
    <row r="212" ht="18.0" customHeight="1"/>
    <row r="213" ht="18.0" customHeight="1"/>
    <row r="214" ht="18.0" customHeight="1"/>
    <row r="215" ht="18.0" customHeight="1"/>
    <row r="216" ht="18.0" customHeight="1"/>
    <row r="217" ht="18.0" customHeight="1"/>
    <row r="218" ht="18.0" customHeight="1"/>
    <row r="219" ht="18.0" customHeight="1"/>
    <row r="220" ht="18.0" customHeight="1"/>
    <row r="221" ht="18.0" customHeight="1"/>
    <row r="222" ht="18.0" customHeight="1"/>
    <row r="223" ht="18.0" customHeight="1"/>
    <row r="224" ht="18.0" customHeight="1"/>
    <row r="225" ht="18.0" customHeight="1"/>
    <row r="226" ht="18.0" customHeight="1"/>
    <row r="227" ht="18.0" customHeight="1"/>
    <row r="228" ht="18.0" customHeight="1"/>
    <row r="229" ht="18.0" customHeight="1"/>
    <row r="230" ht="18.0" customHeight="1"/>
    <row r="231" ht="18.0" customHeight="1"/>
    <row r="232" ht="18.0" customHeight="1"/>
    <row r="233" ht="18.0" customHeight="1"/>
    <row r="234" ht="18.0" customHeight="1"/>
    <row r="235" ht="18.0" customHeight="1"/>
    <row r="236" ht="18.0" customHeight="1"/>
    <row r="237" ht="18.0" customHeight="1"/>
    <row r="238" ht="18.0" customHeight="1"/>
    <row r="239" ht="18.0" customHeight="1"/>
    <row r="240" ht="18.0" customHeight="1"/>
    <row r="241" ht="18.0" customHeight="1"/>
    <row r="242" ht="18.0" customHeight="1"/>
    <row r="243" ht="18.0" customHeight="1"/>
    <row r="244" ht="18.0" customHeight="1"/>
    <row r="245" ht="18.0" customHeight="1"/>
    <row r="246" ht="18.0" customHeight="1"/>
    <row r="247" ht="18.0" customHeight="1"/>
    <row r="248" ht="18.0" customHeight="1"/>
    <row r="249" ht="18.0" customHeight="1"/>
    <row r="250" ht="18.0" customHeight="1"/>
    <row r="251" ht="18.0" customHeight="1"/>
    <row r="252" ht="18.0" customHeight="1"/>
    <row r="253" ht="18.0" customHeight="1"/>
    <row r="254" ht="18.0" customHeight="1"/>
    <row r="255" ht="18.0" customHeight="1"/>
    <row r="256" ht="18.0" customHeight="1"/>
    <row r="257" ht="18.0" customHeight="1"/>
    <row r="258" ht="18.0" customHeight="1"/>
    <row r="259" ht="18.0" customHeight="1"/>
    <row r="260" ht="18.0" customHeight="1"/>
    <row r="261" ht="18.0" customHeight="1"/>
    <row r="262" ht="18.0" customHeight="1"/>
    <row r="263" ht="18.0" customHeight="1"/>
    <row r="264" ht="18.0" customHeight="1"/>
    <row r="265" ht="18.0" customHeight="1"/>
    <row r="266" ht="18.0" customHeight="1"/>
    <row r="267" ht="18.0" customHeight="1"/>
    <row r="268" ht="18.0" customHeight="1"/>
    <row r="269" ht="18.0" customHeight="1"/>
    <row r="270" ht="18.0" customHeight="1"/>
    <row r="271" ht="18.0" customHeight="1"/>
    <row r="272" ht="18.0" customHeight="1"/>
    <row r="273" ht="18.0" customHeight="1"/>
    <row r="274" ht="18.0" customHeight="1"/>
    <row r="275" ht="18.0" customHeight="1"/>
    <row r="276" ht="18.0" customHeight="1"/>
    <row r="277" ht="18.0" customHeight="1"/>
    <row r="278" ht="18.0" customHeight="1"/>
    <row r="279" ht="18.0" customHeight="1"/>
    <row r="280" ht="18.0" customHeight="1"/>
    <row r="281" ht="18.0" customHeight="1"/>
    <row r="282" ht="18.0" customHeight="1"/>
    <row r="283" ht="18.0" customHeight="1"/>
    <row r="284" ht="18.0" customHeight="1"/>
    <row r="285" ht="18.0" customHeight="1"/>
    <row r="286" ht="18.0" customHeight="1"/>
    <row r="287" ht="18.0" customHeight="1"/>
    <row r="288" ht="18.0" customHeight="1"/>
    <row r="289" ht="18.0" customHeight="1"/>
    <row r="290" ht="18.0" customHeight="1"/>
    <row r="291" ht="18.0" customHeight="1"/>
    <row r="292" ht="18.0" customHeight="1"/>
    <row r="293" ht="18.0" customHeight="1"/>
    <row r="294" ht="18.0" customHeight="1"/>
    <row r="295" ht="18.0" customHeight="1"/>
    <row r="296" ht="18.0" customHeight="1"/>
    <row r="297" ht="18.0" customHeight="1"/>
    <row r="298" ht="18.0" customHeight="1"/>
    <row r="299" ht="18.0" customHeight="1"/>
    <row r="300" ht="18.0" customHeight="1"/>
    <row r="301" ht="18.0" customHeight="1"/>
    <row r="302" ht="18.0" customHeight="1"/>
    <row r="303" ht="18.0" customHeight="1"/>
    <row r="304" ht="18.0" customHeight="1"/>
    <row r="305" ht="18.0" customHeight="1"/>
    <row r="306" ht="18.0" customHeight="1"/>
    <row r="307" ht="18.0" customHeight="1"/>
    <row r="308" ht="18.0" customHeight="1"/>
    <row r="309" ht="18.0" customHeight="1"/>
    <row r="310" ht="18.0" customHeight="1"/>
    <row r="311" ht="18.0" customHeight="1"/>
    <row r="312" ht="18.0" customHeight="1"/>
    <row r="313" ht="18.0" customHeight="1"/>
    <row r="314" ht="18.0" customHeight="1"/>
    <row r="315" ht="18.0" customHeight="1"/>
    <row r="316" ht="18.0" customHeight="1"/>
    <row r="317" ht="18.0" customHeight="1"/>
    <row r="318" ht="18.0" customHeight="1"/>
    <row r="319" ht="18.0" customHeight="1"/>
    <row r="320" ht="18.0" customHeight="1"/>
    <row r="321" ht="18.0" customHeight="1"/>
    <row r="322" ht="18.0" customHeight="1"/>
    <row r="323" ht="18.0" customHeight="1"/>
    <row r="324" ht="18.0" customHeight="1"/>
    <row r="325" ht="18.0" customHeight="1"/>
    <row r="326" ht="18.0" customHeight="1"/>
    <row r="327" ht="18.0" customHeight="1"/>
    <row r="328" ht="18.0" customHeight="1"/>
    <row r="329" ht="18.0" customHeight="1"/>
    <row r="330" ht="18.0" customHeight="1"/>
    <row r="331" ht="18.0" customHeight="1"/>
    <row r="332" ht="18.0" customHeight="1"/>
    <row r="333" ht="18.0" customHeight="1"/>
    <row r="334" ht="18.0" customHeight="1"/>
    <row r="335" ht="18.0" customHeight="1"/>
    <row r="336" ht="18.0" customHeight="1"/>
    <row r="337" ht="18.0" customHeight="1"/>
    <row r="338" ht="18.0" customHeight="1"/>
    <row r="339" ht="18.0" customHeight="1"/>
    <row r="340" ht="18.0" customHeight="1"/>
    <row r="341" ht="18.0" customHeight="1"/>
    <row r="342" ht="18.0" customHeight="1"/>
    <row r="343" ht="18.0" customHeight="1"/>
    <row r="344" ht="18.0" customHeight="1"/>
    <row r="345" ht="18.0" customHeight="1"/>
    <row r="346" ht="18.0" customHeight="1"/>
    <row r="347" ht="18.0" customHeight="1"/>
    <row r="348" ht="18.0" customHeight="1"/>
    <row r="349" ht="18.0" customHeight="1"/>
    <row r="350" ht="18.0" customHeight="1"/>
    <row r="351" ht="18.0" customHeight="1"/>
    <row r="352" ht="18.0" customHeight="1"/>
    <row r="353" ht="18.0" customHeight="1"/>
    <row r="354" ht="18.0" customHeight="1"/>
    <row r="355" ht="18.0" customHeight="1"/>
    <row r="356" ht="18.0" customHeight="1"/>
    <row r="357" ht="18.0" customHeight="1"/>
    <row r="358" ht="18.0" customHeight="1"/>
    <row r="359" ht="18.0" customHeight="1"/>
    <row r="360" ht="18.0" customHeight="1"/>
    <row r="361" ht="18.0" customHeight="1"/>
    <row r="362" ht="18.0" customHeight="1"/>
    <row r="363" ht="18.0" customHeight="1"/>
    <row r="364" ht="18.0" customHeight="1"/>
    <row r="365" ht="18.0" customHeight="1"/>
    <row r="366" ht="18.0" customHeight="1"/>
    <row r="367" ht="18.0" customHeight="1"/>
    <row r="368" ht="18.0" customHeight="1"/>
    <row r="369" ht="18.0" customHeight="1"/>
    <row r="370" ht="18.0" customHeight="1"/>
    <row r="371" ht="18.0" customHeight="1"/>
    <row r="372" ht="18.0" customHeight="1"/>
    <row r="373" ht="18.0" customHeight="1"/>
    <row r="374" ht="18.0" customHeight="1"/>
    <row r="375" ht="18.0" customHeight="1"/>
    <row r="376" ht="18.0" customHeight="1"/>
    <row r="377" ht="18.0" customHeight="1"/>
    <row r="378" ht="18.0" customHeight="1"/>
    <row r="379" ht="18.0" customHeight="1"/>
    <row r="380" ht="18.0" customHeight="1"/>
    <row r="381" ht="18.0" customHeight="1"/>
    <row r="382" ht="18.0" customHeight="1"/>
    <row r="383" ht="18.0" customHeight="1"/>
    <row r="384" ht="18.0" customHeight="1"/>
    <row r="385" ht="18.0" customHeight="1"/>
    <row r="386" ht="18.0" customHeight="1"/>
    <row r="387" ht="18.0" customHeight="1"/>
    <row r="388" ht="18.0" customHeight="1"/>
    <row r="389" ht="18.0" customHeight="1"/>
    <row r="390" ht="18.0" customHeight="1"/>
    <row r="391" ht="18.0" customHeight="1"/>
    <row r="392" ht="18.0" customHeight="1"/>
    <row r="393" ht="18.0" customHeight="1"/>
    <row r="394" ht="18.0" customHeight="1"/>
    <row r="395" ht="18.0" customHeight="1"/>
    <row r="396" ht="18.0" customHeight="1"/>
    <row r="397" ht="18.0" customHeight="1"/>
    <row r="398" ht="18.0" customHeight="1"/>
    <row r="399" ht="18.0" customHeight="1"/>
    <row r="400" ht="18.0" customHeight="1"/>
    <row r="401" ht="18.0" customHeight="1"/>
    <row r="402" ht="18.0" customHeight="1"/>
    <row r="403" ht="18.0" customHeight="1"/>
    <row r="404" ht="18.0" customHeight="1"/>
    <row r="405" ht="18.0" customHeight="1"/>
    <row r="406" ht="18.0" customHeight="1"/>
    <row r="407" ht="18.0" customHeight="1"/>
    <row r="408" ht="18.0" customHeight="1"/>
    <row r="409" ht="18.0" customHeight="1"/>
    <row r="410" ht="18.0" customHeight="1"/>
    <row r="411" ht="18.0" customHeight="1"/>
    <row r="412" ht="18.0" customHeight="1"/>
    <row r="413" ht="18.0" customHeight="1"/>
    <row r="414" ht="18.0" customHeight="1"/>
    <row r="415" ht="18.0" customHeight="1"/>
    <row r="416" ht="18.0" customHeight="1"/>
    <row r="417" ht="18.0" customHeight="1"/>
    <row r="418" ht="18.0" customHeight="1"/>
    <row r="419" ht="18.0" customHeight="1"/>
    <row r="420" ht="18.0" customHeight="1"/>
    <row r="421" ht="18.0" customHeight="1"/>
    <row r="422" ht="18.0" customHeight="1"/>
    <row r="423" ht="18.0" customHeight="1"/>
    <row r="424" ht="18.0" customHeight="1"/>
    <row r="425" ht="18.0" customHeight="1"/>
    <row r="426" ht="18.0" customHeight="1"/>
    <row r="427" ht="18.0" customHeight="1"/>
    <row r="428" ht="18.0" customHeight="1"/>
    <row r="429" ht="18.0" customHeight="1"/>
    <row r="430" ht="18.0" customHeight="1"/>
    <row r="431" ht="18.0" customHeight="1"/>
    <row r="432" ht="18.0" customHeight="1"/>
    <row r="433" ht="18.0" customHeight="1"/>
    <row r="434" ht="18.0" customHeight="1"/>
    <row r="435" ht="18.0" customHeight="1"/>
    <row r="436" ht="18.0" customHeight="1"/>
    <row r="437" ht="18.0" customHeight="1"/>
    <row r="438" ht="18.0" customHeight="1"/>
    <row r="439" ht="18.0" customHeight="1"/>
    <row r="440" ht="18.0" customHeight="1"/>
    <row r="441" ht="18.0" customHeight="1"/>
    <row r="442" ht="18.0" customHeight="1"/>
    <row r="443" ht="18.0" customHeight="1"/>
    <row r="444" ht="18.0" customHeight="1"/>
    <row r="445" ht="18.0" customHeight="1"/>
    <row r="446" ht="18.0" customHeight="1"/>
    <row r="447" ht="18.0" customHeight="1"/>
    <row r="448" ht="18.0" customHeight="1"/>
    <row r="449" ht="18.0" customHeight="1"/>
    <row r="450" ht="18.0" customHeight="1"/>
    <row r="451" ht="18.0" customHeight="1"/>
    <row r="452" ht="18.0" customHeight="1"/>
    <row r="453" ht="18.0" customHeight="1"/>
    <row r="454" ht="18.0" customHeight="1"/>
    <row r="455" ht="18.0" customHeight="1"/>
    <row r="456" ht="18.0" customHeight="1"/>
    <row r="457" ht="18.0" customHeight="1"/>
    <row r="458" ht="18.0" customHeight="1"/>
    <row r="459" ht="18.0" customHeight="1"/>
    <row r="460" ht="18.0" customHeight="1"/>
    <row r="461" ht="18.0" customHeight="1"/>
    <row r="462" ht="18.0" customHeight="1"/>
    <row r="463" ht="18.0" customHeight="1"/>
    <row r="464" ht="18.0" customHeight="1"/>
    <row r="465" ht="18.0" customHeight="1"/>
    <row r="466" ht="18.0" customHeight="1"/>
    <row r="467" ht="18.0" customHeight="1"/>
    <row r="468" ht="18.0" customHeight="1"/>
    <row r="469" ht="18.0" customHeight="1"/>
    <row r="470" ht="18.0" customHeight="1"/>
    <row r="471" ht="18.0" customHeight="1"/>
    <row r="472" ht="18.0" customHeight="1"/>
    <row r="473" ht="18.0" customHeight="1"/>
    <row r="474" ht="18.0" customHeight="1"/>
    <row r="475" ht="18.0" customHeight="1"/>
    <row r="476" ht="18.0" customHeight="1"/>
    <row r="477" ht="18.0" customHeight="1"/>
    <row r="478" ht="18.0" customHeight="1"/>
    <row r="479" ht="18.0" customHeight="1"/>
    <row r="480" ht="18.0" customHeight="1"/>
    <row r="481" ht="18.0" customHeight="1"/>
    <row r="482" ht="18.0" customHeight="1"/>
    <row r="483" ht="18.0" customHeight="1"/>
    <row r="484" ht="18.0" customHeight="1"/>
    <row r="485" ht="18.0" customHeight="1"/>
    <row r="486" ht="18.0" customHeight="1"/>
    <row r="487" ht="18.0" customHeight="1"/>
    <row r="488" ht="18.0" customHeight="1"/>
    <row r="489" ht="18.0" customHeight="1"/>
    <row r="490" ht="18.0" customHeight="1"/>
    <row r="491" ht="18.0" customHeight="1"/>
    <row r="492" ht="18.0" customHeight="1"/>
    <row r="493" ht="18.0" customHeight="1"/>
    <row r="494" ht="18.0" customHeight="1"/>
    <row r="495" ht="18.0" customHeight="1"/>
    <row r="496" ht="18.0" customHeight="1"/>
    <row r="497" ht="18.0" customHeight="1"/>
    <row r="498" ht="18.0" customHeight="1"/>
    <row r="499" ht="18.0" customHeight="1"/>
    <row r="500" ht="18.0" customHeight="1"/>
    <row r="501" ht="18.0" customHeight="1"/>
    <row r="502" ht="18.0" customHeight="1"/>
    <row r="503" ht="18.0" customHeight="1"/>
    <row r="504" ht="18.0" customHeight="1"/>
    <row r="505" ht="18.0" customHeight="1"/>
    <row r="506" ht="18.0" customHeight="1"/>
    <row r="507" ht="18.0" customHeight="1"/>
    <row r="508" ht="18.0" customHeight="1"/>
    <row r="509" ht="18.0" customHeight="1"/>
    <row r="510" ht="18.0" customHeight="1"/>
    <row r="511" ht="18.0" customHeight="1"/>
    <row r="512" ht="18.0" customHeight="1"/>
    <row r="513" ht="18.0" customHeight="1"/>
    <row r="514" ht="18.0" customHeight="1"/>
    <row r="515" ht="18.0" customHeight="1"/>
    <row r="516" ht="18.0" customHeight="1"/>
    <row r="517" ht="18.0" customHeight="1"/>
    <row r="518" ht="18.0" customHeight="1"/>
    <row r="519" ht="18.0" customHeight="1"/>
    <row r="520" ht="18.0" customHeight="1"/>
    <row r="521" ht="18.0" customHeight="1"/>
    <row r="522" ht="18.0" customHeight="1"/>
    <row r="523" ht="18.0" customHeight="1"/>
    <row r="524" ht="18.0" customHeight="1"/>
    <row r="525" ht="18.0" customHeight="1"/>
    <row r="526" ht="18.0" customHeight="1"/>
    <row r="527" ht="18.0" customHeight="1"/>
    <row r="528" ht="18.0" customHeight="1"/>
    <row r="529" ht="18.0" customHeight="1"/>
    <row r="530" ht="18.0" customHeight="1"/>
    <row r="531" ht="18.0" customHeight="1"/>
    <row r="532" ht="18.0" customHeight="1"/>
    <row r="533" ht="18.0" customHeight="1"/>
    <row r="534" ht="18.0" customHeight="1"/>
    <row r="535" ht="18.0" customHeight="1"/>
    <row r="536" ht="18.0" customHeight="1"/>
    <row r="537" ht="18.0" customHeight="1"/>
    <row r="538" ht="18.0" customHeight="1"/>
    <row r="539" ht="18.0" customHeight="1"/>
    <row r="540" ht="18.0" customHeight="1"/>
    <row r="541" ht="18.0" customHeight="1"/>
    <row r="542" ht="18.0" customHeight="1"/>
    <row r="543" ht="18.0" customHeight="1"/>
    <row r="544" ht="18.0" customHeight="1"/>
    <row r="545" ht="18.0" customHeight="1"/>
    <row r="546" ht="18.0" customHeight="1"/>
    <row r="547" ht="18.0" customHeight="1"/>
    <row r="548" ht="18.0" customHeight="1"/>
    <row r="549" ht="18.0" customHeight="1"/>
    <row r="550" ht="18.0" customHeight="1"/>
    <row r="551" ht="18.0" customHeight="1"/>
    <row r="552" ht="18.0" customHeight="1"/>
    <row r="553" ht="18.0" customHeight="1"/>
    <row r="554" ht="18.0" customHeight="1"/>
    <row r="555" ht="18.0" customHeight="1"/>
    <row r="556" ht="18.0" customHeight="1"/>
    <row r="557" ht="18.0" customHeight="1"/>
    <row r="558" ht="18.0" customHeight="1"/>
    <row r="559" ht="18.0" customHeight="1"/>
    <row r="560" ht="18.0" customHeight="1"/>
    <row r="561" ht="18.0" customHeight="1"/>
    <row r="562" ht="18.0" customHeight="1"/>
    <row r="563" ht="18.0" customHeight="1"/>
    <row r="564" ht="18.0" customHeight="1"/>
    <row r="565" ht="18.0" customHeight="1"/>
    <row r="566" ht="18.0" customHeight="1"/>
    <row r="567" ht="18.0" customHeight="1"/>
    <row r="568" ht="18.0" customHeight="1"/>
    <row r="569" ht="18.0" customHeight="1"/>
    <row r="570" ht="18.0" customHeight="1"/>
    <row r="571" ht="18.0" customHeight="1"/>
    <row r="572" ht="18.0" customHeight="1"/>
    <row r="573" ht="18.0" customHeight="1"/>
    <row r="574" ht="18.0" customHeight="1"/>
    <row r="575" ht="18.0" customHeight="1"/>
    <row r="576" ht="18.0" customHeight="1"/>
    <row r="577" ht="18.0" customHeight="1"/>
    <row r="578" ht="18.0" customHeight="1"/>
    <row r="579" ht="18.0" customHeight="1"/>
    <row r="580" ht="18.0" customHeight="1"/>
    <row r="581" ht="18.0" customHeight="1"/>
    <row r="582" ht="18.0" customHeight="1"/>
    <row r="583" ht="18.0" customHeight="1"/>
    <row r="584" ht="18.0" customHeight="1"/>
    <row r="585" ht="18.0" customHeight="1"/>
    <row r="586" ht="18.0" customHeight="1"/>
    <row r="587" ht="18.0" customHeight="1"/>
    <row r="588" ht="18.0" customHeight="1"/>
    <row r="589" ht="18.0" customHeight="1"/>
    <row r="590" ht="18.0" customHeight="1"/>
    <row r="591" ht="18.0" customHeight="1"/>
    <row r="592" ht="18.0" customHeight="1"/>
    <row r="593" ht="18.0" customHeight="1"/>
    <row r="594" ht="18.0" customHeight="1"/>
    <row r="595" ht="18.0" customHeight="1"/>
    <row r="596" ht="18.0" customHeight="1"/>
    <row r="597" ht="18.0" customHeight="1"/>
    <row r="598" ht="18.0" customHeight="1"/>
    <row r="599" ht="18.0" customHeight="1"/>
    <row r="600" ht="18.0" customHeight="1"/>
    <row r="601" ht="18.0" customHeight="1"/>
    <row r="602" ht="18.0" customHeight="1"/>
    <row r="603" ht="18.0" customHeight="1"/>
    <row r="604" ht="18.0" customHeight="1"/>
    <row r="605" ht="18.0" customHeight="1"/>
    <row r="606" ht="18.0" customHeight="1"/>
    <row r="607" ht="18.0" customHeight="1"/>
    <row r="608" ht="18.0" customHeight="1"/>
    <row r="609" ht="18.0" customHeight="1"/>
    <row r="610" ht="18.0" customHeight="1"/>
    <row r="611" ht="18.0" customHeight="1"/>
    <row r="612" ht="18.0" customHeight="1"/>
    <row r="613" ht="18.0" customHeight="1"/>
    <row r="614" ht="18.0" customHeight="1"/>
    <row r="615" ht="18.0" customHeight="1"/>
    <row r="616" ht="18.0" customHeight="1"/>
    <row r="617" ht="18.0" customHeight="1"/>
    <row r="618" ht="18.0" customHeight="1"/>
    <row r="619" ht="18.0" customHeight="1"/>
    <row r="620" ht="18.0" customHeight="1"/>
    <row r="621" ht="18.0" customHeight="1"/>
    <row r="622" ht="18.0" customHeight="1"/>
    <row r="623" ht="18.0" customHeight="1"/>
    <row r="624" ht="18.0" customHeight="1"/>
    <row r="625" ht="18.0" customHeight="1"/>
    <row r="626" ht="18.0" customHeight="1"/>
    <row r="627" ht="18.0" customHeight="1"/>
    <row r="628" ht="18.0" customHeight="1"/>
    <row r="629" ht="18.0" customHeight="1"/>
    <row r="630" ht="18.0" customHeight="1"/>
    <row r="631" ht="18.0" customHeight="1"/>
    <row r="632" ht="18.0" customHeight="1"/>
    <row r="633" ht="18.0" customHeight="1"/>
    <row r="634" ht="18.0" customHeight="1"/>
    <row r="635" ht="18.0" customHeight="1"/>
    <row r="636" ht="18.0" customHeight="1"/>
    <row r="637" ht="18.0" customHeight="1"/>
    <row r="638" ht="18.0" customHeight="1"/>
    <row r="639" ht="18.0" customHeight="1"/>
    <row r="640" ht="18.0" customHeight="1"/>
    <row r="641" ht="18.0" customHeight="1"/>
    <row r="642" ht="18.0" customHeight="1"/>
    <row r="643" ht="18.0" customHeight="1"/>
    <row r="644" ht="18.0" customHeight="1"/>
    <row r="645" ht="18.0" customHeight="1"/>
    <row r="646" ht="18.0" customHeight="1"/>
    <row r="647" ht="18.0" customHeight="1"/>
    <row r="648" ht="18.0" customHeight="1"/>
    <row r="649" ht="18.0" customHeight="1"/>
    <row r="650" ht="18.0" customHeight="1"/>
    <row r="651" ht="18.0" customHeight="1"/>
    <row r="652" ht="18.0" customHeight="1"/>
    <row r="653" ht="18.0" customHeight="1"/>
    <row r="654" ht="18.0" customHeight="1"/>
    <row r="655" ht="18.0" customHeight="1"/>
    <row r="656" ht="18.0" customHeight="1"/>
    <row r="657" ht="18.0" customHeight="1"/>
    <row r="658" ht="18.0" customHeight="1"/>
    <row r="659" ht="18.0" customHeight="1"/>
    <row r="660" ht="18.0" customHeight="1"/>
    <row r="661" ht="18.0" customHeight="1"/>
    <row r="662" ht="18.0" customHeight="1"/>
    <row r="663" ht="18.0" customHeight="1"/>
    <row r="664" ht="18.0" customHeight="1"/>
    <row r="665" ht="18.0" customHeight="1"/>
    <row r="666" ht="18.0" customHeight="1"/>
    <row r="667" ht="18.0" customHeight="1"/>
    <row r="668" ht="18.0" customHeight="1"/>
    <row r="669" ht="18.0" customHeight="1"/>
    <row r="670" ht="18.0" customHeight="1"/>
    <row r="671" ht="18.0" customHeight="1"/>
    <row r="672" ht="18.0" customHeight="1"/>
    <row r="673" ht="18.0" customHeight="1"/>
    <row r="674" ht="18.0" customHeight="1"/>
    <row r="675" ht="18.0" customHeight="1"/>
    <row r="676" ht="18.0" customHeight="1"/>
    <row r="677" ht="18.0" customHeight="1"/>
    <row r="678" ht="18.0" customHeight="1"/>
    <row r="679" ht="18.0" customHeight="1"/>
    <row r="680" ht="18.0" customHeight="1"/>
    <row r="681" ht="18.0" customHeight="1"/>
    <row r="682" ht="18.0" customHeight="1"/>
    <row r="683" ht="18.0" customHeight="1"/>
    <row r="684" ht="18.0" customHeight="1"/>
    <row r="685" ht="18.0" customHeight="1"/>
    <row r="686" ht="18.0" customHeight="1"/>
    <row r="687" ht="18.0" customHeight="1"/>
    <row r="688" ht="18.0" customHeight="1"/>
    <row r="689" ht="18.0" customHeight="1"/>
    <row r="690" ht="18.0" customHeight="1"/>
    <row r="691" ht="18.0" customHeight="1"/>
    <row r="692" ht="18.0" customHeight="1"/>
    <row r="693" ht="18.0" customHeight="1"/>
    <row r="694" ht="18.0" customHeight="1"/>
    <row r="695" ht="18.0" customHeight="1"/>
    <row r="696" ht="18.0" customHeight="1"/>
    <row r="697" ht="18.0" customHeight="1"/>
    <row r="698" ht="18.0" customHeight="1"/>
    <row r="699" ht="18.0" customHeight="1"/>
    <row r="700" ht="18.0" customHeight="1"/>
    <row r="701" ht="18.0" customHeight="1"/>
    <row r="702" ht="18.0" customHeight="1"/>
    <row r="703" ht="18.0" customHeight="1"/>
    <row r="704" ht="18.0" customHeight="1"/>
    <row r="705" ht="18.0" customHeight="1"/>
    <row r="706" ht="18.0" customHeight="1"/>
    <row r="707" ht="18.0" customHeight="1"/>
    <row r="708" ht="18.0" customHeight="1"/>
    <row r="709" ht="18.0" customHeight="1"/>
    <row r="710" ht="18.0" customHeight="1"/>
    <row r="711" ht="18.0" customHeight="1"/>
    <row r="712" ht="18.0" customHeight="1"/>
    <row r="713" ht="18.0" customHeight="1"/>
    <row r="714" ht="18.0" customHeight="1"/>
    <row r="715" ht="18.0" customHeight="1"/>
    <row r="716" ht="18.0" customHeight="1"/>
    <row r="717" ht="18.0" customHeight="1"/>
    <row r="718" ht="18.0" customHeight="1"/>
    <row r="719" ht="18.0" customHeight="1"/>
    <row r="720" ht="18.0" customHeight="1"/>
    <row r="721" ht="18.0" customHeight="1"/>
    <row r="722" ht="18.0" customHeight="1"/>
    <row r="723" ht="18.0" customHeight="1"/>
    <row r="724" ht="18.0" customHeight="1"/>
    <row r="725" ht="18.0" customHeight="1"/>
    <row r="726" ht="18.0" customHeight="1"/>
    <row r="727" ht="18.0" customHeight="1"/>
    <row r="728" ht="18.0" customHeight="1"/>
    <row r="729" ht="18.0" customHeight="1"/>
    <row r="730" ht="18.0" customHeight="1"/>
    <row r="731" ht="18.0" customHeight="1"/>
    <row r="732" ht="18.0" customHeight="1"/>
    <row r="733" ht="18.0" customHeight="1"/>
    <row r="734" ht="18.0" customHeight="1"/>
    <row r="735" ht="18.0" customHeight="1"/>
    <row r="736" ht="18.0" customHeight="1"/>
    <row r="737" ht="18.0" customHeight="1"/>
    <row r="738" ht="18.0" customHeight="1"/>
    <row r="739" ht="18.0" customHeight="1"/>
    <row r="740" ht="18.0" customHeight="1"/>
    <row r="741" ht="18.0" customHeight="1"/>
    <row r="742" ht="18.0" customHeight="1"/>
    <row r="743" ht="18.0" customHeight="1"/>
    <row r="744" ht="18.0" customHeight="1"/>
    <row r="745" ht="18.0" customHeight="1"/>
    <row r="746" ht="18.0" customHeight="1"/>
    <row r="747" ht="18.0" customHeight="1"/>
    <row r="748" ht="18.0" customHeight="1"/>
    <row r="749" ht="18.0" customHeight="1"/>
    <row r="750" ht="18.0" customHeight="1"/>
    <row r="751" ht="18.0" customHeight="1"/>
    <row r="752" ht="18.0" customHeight="1"/>
    <row r="753" ht="18.0" customHeight="1"/>
    <row r="754" ht="18.0" customHeight="1"/>
    <row r="755" ht="18.0" customHeight="1"/>
    <row r="756" ht="18.0" customHeight="1"/>
    <row r="757" ht="18.0" customHeight="1"/>
    <row r="758" ht="18.0" customHeight="1"/>
    <row r="759" ht="18.0" customHeight="1"/>
    <row r="760" ht="18.0" customHeight="1"/>
    <row r="761" ht="18.0" customHeight="1"/>
    <row r="762" ht="18.0" customHeight="1"/>
    <row r="763" ht="18.0" customHeight="1"/>
    <row r="764" ht="18.0" customHeight="1"/>
    <row r="765" ht="18.0" customHeight="1"/>
    <row r="766" ht="18.0" customHeight="1"/>
    <row r="767" ht="18.0" customHeight="1"/>
    <row r="768" ht="18.0" customHeight="1"/>
    <row r="769" ht="18.0" customHeight="1"/>
    <row r="770" ht="18.0" customHeight="1"/>
    <row r="771" ht="18.0" customHeight="1"/>
    <row r="772" ht="18.0" customHeight="1"/>
    <row r="773" ht="18.0" customHeight="1"/>
    <row r="774" ht="18.0" customHeight="1"/>
    <row r="775" ht="18.0" customHeight="1"/>
    <row r="776" ht="18.0" customHeight="1"/>
    <row r="777" ht="18.0" customHeight="1"/>
    <row r="778" ht="18.0" customHeight="1"/>
    <row r="779" ht="18.0" customHeight="1"/>
    <row r="780" ht="18.0" customHeight="1"/>
    <row r="781" ht="18.0" customHeight="1"/>
    <row r="782" ht="18.0" customHeight="1"/>
    <row r="783" ht="18.0" customHeight="1"/>
    <row r="784" ht="18.0" customHeight="1"/>
    <row r="785" ht="18.0" customHeight="1"/>
    <row r="786" ht="18.0" customHeight="1"/>
    <row r="787" ht="18.0" customHeight="1"/>
    <row r="788" ht="18.0" customHeight="1"/>
    <row r="789" ht="18.0" customHeight="1"/>
    <row r="790" ht="18.0" customHeight="1"/>
    <row r="791" ht="18.0" customHeight="1"/>
    <row r="792" ht="18.0" customHeight="1"/>
    <row r="793" ht="18.0" customHeight="1"/>
    <row r="794" ht="18.0" customHeight="1"/>
    <row r="795" ht="18.0" customHeight="1"/>
    <row r="796" ht="18.0" customHeight="1"/>
    <row r="797" ht="18.0" customHeight="1"/>
    <row r="798" ht="18.0" customHeight="1"/>
    <row r="799" ht="18.0" customHeight="1"/>
    <row r="800" ht="18.0" customHeight="1"/>
    <row r="801" ht="18.0" customHeight="1"/>
    <row r="802" ht="18.0" customHeight="1"/>
    <row r="803" ht="18.0" customHeight="1"/>
    <row r="804" ht="18.0" customHeight="1"/>
    <row r="805" ht="18.0" customHeight="1"/>
    <row r="806" ht="18.0" customHeight="1"/>
    <row r="807" ht="18.0" customHeight="1"/>
    <row r="808" ht="18.0" customHeight="1"/>
    <row r="809" ht="18.0" customHeight="1"/>
    <row r="810" ht="18.0" customHeight="1"/>
    <row r="811" ht="18.0" customHeight="1"/>
    <row r="812" ht="18.0" customHeight="1"/>
    <row r="813" ht="18.0" customHeight="1"/>
    <row r="814" ht="18.0" customHeight="1"/>
    <row r="815" ht="18.0" customHeight="1"/>
    <row r="816" ht="18.0" customHeight="1"/>
    <row r="817" ht="18.0" customHeight="1"/>
    <row r="818" ht="18.0" customHeight="1"/>
    <row r="819" ht="18.0" customHeight="1"/>
    <row r="820" ht="18.0" customHeight="1"/>
    <row r="821" ht="18.0" customHeight="1"/>
    <row r="822" ht="18.0" customHeight="1"/>
    <row r="823" ht="18.0" customHeight="1"/>
    <row r="824" ht="18.0" customHeight="1"/>
    <row r="825" ht="18.0" customHeight="1"/>
    <row r="826" ht="18.0" customHeight="1"/>
    <row r="827" ht="18.0" customHeight="1"/>
    <row r="828" ht="18.0" customHeight="1"/>
    <row r="829" ht="18.0" customHeight="1"/>
    <row r="830" ht="18.0" customHeight="1"/>
    <row r="831" ht="18.0" customHeight="1"/>
    <row r="832" ht="18.0" customHeight="1"/>
    <row r="833" ht="18.0" customHeight="1"/>
    <row r="834" ht="18.0" customHeight="1"/>
    <row r="835" ht="18.0" customHeight="1"/>
    <row r="836" ht="18.0" customHeight="1"/>
    <row r="837" ht="18.0" customHeight="1"/>
    <row r="838" ht="18.0" customHeight="1"/>
    <row r="839" ht="18.0" customHeight="1"/>
    <row r="840" ht="18.0" customHeight="1"/>
    <row r="841" ht="18.0" customHeight="1"/>
    <row r="842" ht="18.0" customHeight="1"/>
    <row r="843" ht="18.0" customHeight="1"/>
    <row r="844" ht="18.0" customHeight="1"/>
    <row r="845" ht="18.0" customHeight="1"/>
    <row r="846" ht="18.0" customHeight="1"/>
    <row r="847" ht="18.0" customHeight="1"/>
    <row r="848" ht="18.0" customHeight="1"/>
    <row r="849" ht="18.0" customHeight="1"/>
    <row r="850" ht="18.0" customHeight="1"/>
    <row r="851" ht="18.0" customHeight="1"/>
    <row r="852" ht="18.0" customHeight="1"/>
    <row r="853" ht="18.0" customHeight="1"/>
    <row r="854" ht="18.0" customHeight="1"/>
    <row r="855" ht="18.0" customHeight="1"/>
    <row r="856" ht="18.0" customHeight="1"/>
    <row r="857" ht="18.0" customHeight="1"/>
    <row r="858" ht="18.0" customHeight="1"/>
    <row r="859" ht="18.0" customHeight="1"/>
    <row r="860" ht="18.0" customHeight="1"/>
    <row r="861" ht="18.0" customHeight="1"/>
    <row r="862" ht="18.0" customHeight="1"/>
    <row r="863" ht="18.0" customHeight="1"/>
    <row r="864" ht="18.0" customHeight="1"/>
    <row r="865" ht="18.0" customHeight="1"/>
    <row r="866" ht="18.0" customHeight="1"/>
    <row r="867" ht="18.0" customHeight="1"/>
    <row r="868" ht="18.0" customHeight="1"/>
    <row r="869" ht="18.0" customHeight="1"/>
    <row r="870" ht="18.0" customHeight="1"/>
    <row r="871" ht="18.0" customHeight="1"/>
    <row r="872" ht="18.0" customHeight="1"/>
    <row r="873" ht="18.0" customHeight="1"/>
    <row r="874" ht="18.0" customHeight="1"/>
    <row r="875" ht="18.0" customHeight="1"/>
    <row r="876" ht="18.0" customHeight="1"/>
    <row r="877" ht="18.0" customHeight="1"/>
    <row r="878" ht="18.0" customHeight="1"/>
    <row r="879" ht="18.0" customHeight="1"/>
    <row r="880" ht="18.0" customHeight="1"/>
    <row r="881" ht="18.0" customHeight="1"/>
    <row r="882" ht="18.0" customHeight="1"/>
    <row r="883" ht="18.0" customHeight="1"/>
    <row r="884" ht="18.0" customHeight="1"/>
    <row r="885" ht="18.0" customHeight="1"/>
    <row r="886" ht="18.0" customHeight="1"/>
    <row r="887" ht="18.0" customHeight="1"/>
    <row r="888" ht="18.0" customHeight="1"/>
    <row r="889" ht="18.0" customHeight="1"/>
    <row r="890" ht="18.0" customHeight="1"/>
    <row r="891" ht="18.0" customHeight="1"/>
    <row r="892" ht="18.0" customHeight="1"/>
    <row r="893" ht="18.0" customHeight="1"/>
    <row r="894" ht="18.0" customHeight="1"/>
    <row r="895" ht="18.0" customHeight="1"/>
    <row r="896" ht="18.0" customHeight="1"/>
    <row r="897" ht="18.0" customHeight="1"/>
    <row r="898" ht="18.0" customHeight="1"/>
    <row r="899" ht="18.0" customHeight="1"/>
    <row r="900" ht="18.0" customHeight="1"/>
    <row r="901" ht="18.0" customHeight="1"/>
    <row r="902" ht="18.0" customHeight="1"/>
    <row r="903" ht="18.0" customHeight="1"/>
    <row r="904" ht="18.0" customHeight="1"/>
    <row r="905" ht="18.0" customHeight="1"/>
    <row r="906" ht="18.0" customHeight="1"/>
    <row r="907" ht="18.0" customHeight="1"/>
    <row r="908" ht="18.0" customHeight="1"/>
    <row r="909" ht="18.0" customHeight="1"/>
    <row r="910" ht="18.0" customHeight="1"/>
    <row r="911" ht="18.0" customHeight="1"/>
    <row r="912" ht="18.0" customHeight="1"/>
    <row r="913" ht="18.0" customHeight="1"/>
    <row r="914" ht="18.0" customHeight="1"/>
    <row r="915" ht="18.0" customHeight="1"/>
    <row r="916" ht="18.0" customHeight="1"/>
    <row r="917" ht="18.0" customHeight="1"/>
    <row r="918" ht="18.0" customHeight="1"/>
    <row r="919" ht="18.0" customHeight="1"/>
    <row r="920" ht="18.0" customHeight="1"/>
    <row r="921" ht="18.0" customHeight="1"/>
    <row r="922" ht="18.0" customHeight="1"/>
    <row r="923" ht="18.0" customHeight="1"/>
    <row r="924" ht="18.0" customHeight="1"/>
    <row r="925" ht="18.0" customHeight="1"/>
    <row r="926" ht="18.0" customHeight="1"/>
    <row r="927" ht="18.0" customHeight="1"/>
    <row r="928" ht="18.0" customHeight="1"/>
    <row r="929" ht="18.0" customHeight="1"/>
    <row r="930" ht="18.0" customHeight="1"/>
    <row r="931" ht="18.0" customHeight="1"/>
    <row r="932" ht="18.0" customHeight="1"/>
    <row r="933" ht="18.0" customHeight="1"/>
    <row r="934" ht="18.0" customHeight="1"/>
    <row r="935" ht="18.0" customHeight="1"/>
    <row r="936" ht="18.0" customHeight="1"/>
    <row r="937" ht="18.0" customHeight="1"/>
    <row r="938" ht="18.0" customHeight="1"/>
    <row r="939" ht="18.0" customHeight="1"/>
    <row r="940" ht="18.0" customHeight="1"/>
    <row r="941" ht="18.0" customHeight="1"/>
    <row r="942" ht="18.0" customHeight="1"/>
    <row r="943" ht="18.0" customHeight="1"/>
    <row r="944" ht="18.0" customHeight="1"/>
    <row r="945" ht="18.0" customHeight="1"/>
    <row r="946" ht="18.0" customHeight="1"/>
    <row r="947" ht="18.0" customHeight="1"/>
    <row r="948" ht="18.0" customHeight="1"/>
    <row r="949" ht="18.0" customHeight="1"/>
    <row r="950" ht="18.0" customHeight="1"/>
    <row r="951" ht="18.0" customHeight="1"/>
    <row r="952" ht="18.0" customHeight="1"/>
    <row r="953" ht="18.0" customHeight="1"/>
    <row r="954" ht="18.0" customHeight="1"/>
    <row r="955" ht="18.0" customHeight="1"/>
    <row r="956" ht="18.0" customHeight="1"/>
    <row r="957" ht="18.0" customHeight="1"/>
    <row r="958" ht="18.0" customHeight="1"/>
    <row r="959" ht="18.0" customHeight="1"/>
    <row r="960" ht="18.0" customHeight="1"/>
    <row r="961" ht="18.0" customHeight="1"/>
    <row r="962" ht="18.0" customHeight="1"/>
    <row r="963" ht="18.0" customHeight="1"/>
    <row r="964" ht="18.0" customHeight="1"/>
    <row r="965" ht="18.0" customHeight="1"/>
    <row r="966" ht="18.0" customHeight="1"/>
    <row r="967" ht="18.0" customHeight="1"/>
    <row r="968" ht="18.0" customHeight="1"/>
    <row r="969" ht="18.0" customHeight="1"/>
    <row r="970" ht="18.0" customHeight="1"/>
    <row r="971" ht="18.0" customHeight="1"/>
    <row r="972" ht="18.0" customHeight="1"/>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row r="1002" ht="18.0" customHeight="1"/>
    <row r="1003" ht="18.0" customHeight="1"/>
    <row r="1004" ht="18.0" customHeight="1"/>
  </sheetData>
  <mergeCells count="60">
    <mergeCell ref="C25:D25"/>
    <mergeCell ref="C26:D26"/>
    <mergeCell ref="C27:D27"/>
    <mergeCell ref="C28:D28"/>
    <mergeCell ref="C29:D29"/>
    <mergeCell ref="C18:D18"/>
    <mergeCell ref="C19:D19"/>
    <mergeCell ref="C20:D20"/>
    <mergeCell ref="C21:D21"/>
    <mergeCell ref="C22:D22"/>
    <mergeCell ref="C23:D23"/>
    <mergeCell ref="C24:D24"/>
    <mergeCell ref="E3:G3"/>
    <mergeCell ref="E4:G4"/>
    <mergeCell ref="A1:A5"/>
    <mergeCell ref="B1:G1"/>
    <mergeCell ref="I1:I5"/>
    <mergeCell ref="J1:O1"/>
    <mergeCell ref="M2:O2"/>
    <mergeCell ref="M3:O3"/>
    <mergeCell ref="M4:O4"/>
    <mergeCell ref="E2:G2"/>
    <mergeCell ref="E5:G5"/>
    <mergeCell ref="C7:D7"/>
    <mergeCell ref="F7:G7"/>
    <mergeCell ref="C8:D8"/>
    <mergeCell ref="C9:D9"/>
    <mergeCell ref="C10:D10"/>
    <mergeCell ref="M5:O5"/>
    <mergeCell ref="K7:L7"/>
    <mergeCell ref="N7:O7"/>
    <mergeCell ref="K8:L8"/>
    <mergeCell ref="K9:L9"/>
    <mergeCell ref="K10:L10"/>
    <mergeCell ref="K11:L11"/>
    <mergeCell ref="C11:D11"/>
    <mergeCell ref="C12:D12"/>
    <mergeCell ref="C13:D13"/>
    <mergeCell ref="C14:D14"/>
    <mergeCell ref="C15:D15"/>
    <mergeCell ref="C16:D16"/>
    <mergeCell ref="C17:D17"/>
    <mergeCell ref="K12:L12"/>
    <mergeCell ref="K13:L13"/>
    <mergeCell ref="K14:L14"/>
    <mergeCell ref="K15:L15"/>
    <mergeCell ref="K16:L16"/>
    <mergeCell ref="K17:L17"/>
    <mergeCell ref="K18:L18"/>
    <mergeCell ref="K26:L26"/>
    <mergeCell ref="K27:L27"/>
    <mergeCell ref="K28:L28"/>
    <mergeCell ref="K29:L29"/>
    <mergeCell ref="K19:L19"/>
    <mergeCell ref="K20:L20"/>
    <mergeCell ref="K21:L21"/>
    <mergeCell ref="K22:L22"/>
    <mergeCell ref="K23:L23"/>
    <mergeCell ref="K24:L24"/>
    <mergeCell ref="K25:L2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38"/>
    <col customWidth="1" min="3" max="3" width="20.38"/>
    <col customWidth="1" min="4" max="4" width="22.75"/>
    <col customWidth="1" min="5" max="5" width="21.88"/>
    <col customWidth="1" min="6" max="6" width="19.75"/>
    <col customWidth="1" min="8" max="8" width="18.25"/>
    <col customWidth="1" min="9" max="9" width="18.38"/>
    <col customWidth="1" min="10" max="10" width="22.13"/>
  </cols>
  <sheetData>
    <row r="1">
      <c r="A1" s="245"/>
      <c r="B1" s="248" t="s">
        <v>362</v>
      </c>
      <c r="C1" s="3"/>
      <c r="D1" s="3"/>
      <c r="E1" s="3"/>
      <c r="F1" s="3"/>
      <c r="G1" s="3"/>
      <c r="H1" s="3"/>
      <c r="I1" s="3"/>
      <c r="J1" s="4"/>
    </row>
    <row r="2">
      <c r="A2" s="7"/>
      <c r="B2" s="251" t="s">
        <v>2</v>
      </c>
      <c r="C2" s="29"/>
      <c r="D2" s="252" t="s">
        <v>3</v>
      </c>
      <c r="E2" s="29"/>
      <c r="F2" s="253" t="s">
        <v>367</v>
      </c>
      <c r="G2" s="252" t="s">
        <v>368</v>
      </c>
      <c r="H2" s="26"/>
      <c r="I2" s="26"/>
      <c r="J2" s="11"/>
    </row>
    <row r="3">
      <c r="A3" s="7"/>
      <c r="B3" s="251" t="s">
        <v>8</v>
      </c>
      <c r="C3" s="29"/>
      <c r="D3" s="252" t="s">
        <v>9</v>
      </c>
      <c r="E3" s="29"/>
      <c r="F3" s="253" t="s">
        <v>224</v>
      </c>
      <c r="G3" s="256"/>
      <c r="H3" s="26"/>
      <c r="I3" s="26"/>
      <c r="J3" s="11"/>
    </row>
    <row r="4">
      <c r="A4" s="7"/>
      <c r="B4" s="251" t="s">
        <v>13</v>
      </c>
      <c r="C4" s="29"/>
      <c r="D4" s="257" t="s">
        <v>370</v>
      </c>
      <c r="E4" s="29"/>
      <c r="F4" s="253" t="s">
        <v>371</v>
      </c>
      <c r="G4" s="258">
        <v>45673.0</v>
      </c>
      <c r="H4" s="26"/>
      <c r="I4" s="26"/>
      <c r="J4" s="11"/>
    </row>
    <row r="5">
      <c r="A5" s="14"/>
      <c r="B5" s="259" t="s">
        <v>372</v>
      </c>
      <c r="C5" s="106"/>
      <c r="D5" s="260" t="s">
        <v>373</v>
      </c>
      <c r="E5" s="106"/>
      <c r="F5" s="261" t="s">
        <v>374</v>
      </c>
      <c r="G5" s="260" t="s">
        <v>375</v>
      </c>
      <c r="H5" s="46"/>
      <c r="I5" s="46"/>
      <c r="J5" s="22"/>
    </row>
    <row r="6">
      <c r="A6" s="263"/>
      <c r="B6" s="264"/>
      <c r="C6" s="264"/>
      <c r="D6" s="264"/>
      <c r="E6" s="264"/>
      <c r="F6" s="264"/>
      <c r="G6" s="264"/>
      <c r="H6" s="264"/>
      <c r="I6" s="264"/>
      <c r="J6" s="264"/>
    </row>
    <row r="7">
      <c r="A7" s="263"/>
      <c r="B7" s="264"/>
      <c r="C7" s="264"/>
      <c r="D7" s="264"/>
      <c r="E7" s="264"/>
      <c r="F7" s="264"/>
      <c r="G7" s="264"/>
      <c r="H7" s="264"/>
      <c r="I7" s="264"/>
      <c r="J7" s="264"/>
    </row>
    <row r="8">
      <c r="A8" s="265" t="s">
        <v>376</v>
      </c>
    </row>
    <row r="9">
      <c r="A9" s="266" t="s">
        <v>377</v>
      </c>
      <c r="B9" s="266" t="s">
        <v>378</v>
      </c>
      <c r="C9" s="266" t="s">
        <v>379</v>
      </c>
      <c r="D9" s="266" t="s">
        <v>380</v>
      </c>
      <c r="E9" s="266" t="s">
        <v>381</v>
      </c>
      <c r="F9" s="266" t="s">
        <v>382</v>
      </c>
      <c r="G9" s="266" t="s">
        <v>383</v>
      </c>
      <c r="H9" s="266" t="s">
        <v>384</v>
      </c>
      <c r="I9" s="267" t="s">
        <v>385</v>
      </c>
      <c r="J9" s="267" t="s">
        <v>230</v>
      </c>
    </row>
    <row r="10">
      <c r="A10" s="268">
        <v>1.0</v>
      </c>
      <c r="B10" s="269" t="s">
        <v>386</v>
      </c>
      <c r="C10" s="270">
        <v>30.0</v>
      </c>
      <c r="D10" s="270">
        <v>30.0</v>
      </c>
      <c r="E10" s="270">
        <v>30.0</v>
      </c>
      <c r="F10" s="270">
        <v>30.0</v>
      </c>
      <c r="G10" s="271">
        <f t="shared" ref="G10:H10" si="1">IF(C10&gt;0,(C10-E10)/C10,"")</f>
        <v>0</v>
      </c>
      <c r="H10" s="271">
        <f t="shared" si="1"/>
        <v>0</v>
      </c>
      <c r="I10" s="272">
        <f t="shared" ref="I10:I14" si="3">(G10+H10)/2</f>
        <v>0</v>
      </c>
      <c r="J10" s="273"/>
    </row>
    <row r="11">
      <c r="A11" s="268">
        <v>2.0</v>
      </c>
      <c r="B11" s="269" t="s">
        <v>387</v>
      </c>
      <c r="C11" s="270">
        <v>30.0</v>
      </c>
      <c r="D11" s="270">
        <v>30.0</v>
      </c>
      <c r="E11" s="270">
        <v>30.0</v>
      </c>
      <c r="F11" s="270">
        <v>30.0</v>
      </c>
      <c r="G11" s="271">
        <f t="shared" ref="G11:H11" si="2">IF(C11&gt;0,(C11-E11)/C11,"")</f>
        <v>0</v>
      </c>
      <c r="H11" s="271">
        <f t="shared" si="2"/>
        <v>0</v>
      </c>
      <c r="I11" s="272">
        <f t="shared" si="3"/>
        <v>0</v>
      </c>
      <c r="J11" s="273"/>
    </row>
    <row r="12">
      <c r="A12" s="268">
        <v>3.0</v>
      </c>
      <c r="B12" s="269" t="s">
        <v>388</v>
      </c>
      <c r="C12" s="270">
        <v>30.0</v>
      </c>
      <c r="D12" s="270">
        <v>30.0</v>
      </c>
      <c r="E12" s="270">
        <v>30.0</v>
      </c>
      <c r="F12" s="270">
        <v>30.0</v>
      </c>
      <c r="G12" s="271">
        <f t="shared" ref="G12:H12" si="4">IF(C12&gt;0,(C12-E12)/C12,"")</f>
        <v>0</v>
      </c>
      <c r="H12" s="271">
        <f t="shared" si="4"/>
        <v>0</v>
      </c>
      <c r="I12" s="272">
        <f t="shared" si="3"/>
        <v>0</v>
      </c>
      <c r="J12" s="273"/>
    </row>
    <row r="13">
      <c r="A13" s="268">
        <v>4.0</v>
      </c>
      <c r="B13" s="269" t="s">
        <v>218</v>
      </c>
      <c r="C13" s="270">
        <v>30.0</v>
      </c>
      <c r="D13" s="270">
        <v>30.0</v>
      </c>
      <c r="E13" s="270">
        <v>30.0</v>
      </c>
      <c r="F13" s="270">
        <v>30.0</v>
      </c>
      <c r="G13" s="271">
        <f t="shared" ref="G13:H13" si="5">IF(C13&gt;0,(C13-E13)/C13,"")</f>
        <v>0</v>
      </c>
      <c r="H13" s="271">
        <f t="shared" si="5"/>
        <v>0</v>
      </c>
      <c r="I13" s="272">
        <f t="shared" si="3"/>
        <v>0</v>
      </c>
      <c r="J13" s="273"/>
    </row>
    <row r="14">
      <c r="A14" s="268">
        <v>5.0</v>
      </c>
      <c r="B14" s="269" t="s">
        <v>389</v>
      </c>
      <c r="C14" s="270">
        <v>30.0</v>
      </c>
      <c r="D14" s="270">
        <v>30.0</v>
      </c>
      <c r="E14" s="270">
        <v>30.0</v>
      </c>
      <c r="F14" s="270">
        <v>30.0</v>
      </c>
      <c r="G14" s="271">
        <f t="shared" ref="G14:H14" si="6">IF(C14&gt;0,(C14-E14)/C14,"")</f>
        <v>0</v>
      </c>
      <c r="H14" s="271">
        <f t="shared" si="6"/>
        <v>0</v>
      </c>
      <c r="I14" s="272">
        <f t="shared" si="3"/>
        <v>0</v>
      </c>
      <c r="J14" s="273"/>
    </row>
    <row r="15">
      <c r="A15" s="263"/>
      <c r="B15" s="264"/>
      <c r="C15" s="264"/>
      <c r="D15" s="264"/>
      <c r="E15" s="264"/>
      <c r="F15" s="264"/>
      <c r="G15" s="264"/>
      <c r="H15" s="264"/>
      <c r="I15" s="264"/>
      <c r="J15" s="264"/>
    </row>
    <row r="16">
      <c r="A16" s="265" t="s">
        <v>390</v>
      </c>
    </row>
    <row r="17">
      <c r="A17" s="266" t="s">
        <v>377</v>
      </c>
      <c r="B17" s="266" t="s">
        <v>378</v>
      </c>
      <c r="C17" s="266" t="s">
        <v>379</v>
      </c>
      <c r="D17" s="266" t="s">
        <v>380</v>
      </c>
      <c r="E17" s="266" t="s">
        <v>381</v>
      </c>
      <c r="F17" s="266" t="s">
        <v>382</v>
      </c>
      <c r="G17" s="266" t="s">
        <v>383</v>
      </c>
      <c r="H17" s="266" t="s">
        <v>384</v>
      </c>
      <c r="I17" s="267" t="s">
        <v>385</v>
      </c>
      <c r="J17" s="267" t="s">
        <v>230</v>
      </c>
    </row>
    <row r="18">
      <c r="A18" s="268">
        <v>1.0</v>
      </c>
      <c r="B18" s="269" t="s">
        <v>386</v>
      </c>
      <c r="C18" s="270">
        <v>30.0</v>
      </c>
      <c r="D18" s="270">
        <v>30.0</v>
      </c>
      <c r="E18" s="270">
        <v>30.0</v>
      </c>
      <c r="F18" s="270">
        <v>30.0</v>
      </c>
      <c r="G18" s="271">
        <f t="shared" ref="G18:H18" si="7">IF(C18&gt;0,(C18-E18)/C18,"")</f>
        <v>0</v>
      </c>
      <c r="H18" s="271">
        <f t="shared" si="7"/>
        <v>0</v>
      </c>
      <c r="I18" s="272">
        <f t="shared" ref="I18:I22" si="9">(G18+H18)/2</f>
        <v>0</v>
      </c>
      <c r="J18" s="273"/>
    </row>
    <row r="19">
      <c r="A19" s="268">
        <v>2.0</v>
      </c>
      <c r="B19" s="269" t="s">
        <v>387</v>
      </c>
      <c r="C19" s="270">
        <v>30.0</v>
      </c>
      <c r="D19" s="270">
        <v>30.0</v>
      </c>
      <c r="E19" s="270">
        <v>30.0</v>
      </c>
      <c r="F19" s="270">
        <v>29.0</v>
      </c>
      <c r="G19" s="271">
        <f t="shared" ref="G19:H19" si="8">IF(C19&gt;0,(C19-E19)/C19,"")</f>
        <v>0</v>
      </c>
      <c r="H19" s="271">
        <f t="shared" si="8"/>
        <v>0.03333333333</v>
      </c>
      <c r="I19" s="272">
        <f t="shared" si="9"/>
        <v>0.01666666667</v>
      </c>
      <c r="J19" s="273"/>
    </row>
    <row r="20">
      <c r="A20" s="268">
        <v>3.0</v>
      </c>
      <c r="B20" s="269" t="s">
        <v>388</v>
      </c>
      <c r="C20" s="270">
        <v>30.0</v>
      </c>
      <c r="D20" s="270">
        <v>30.0</v>
      </c>
      <c r="E20" s="270">
        <v>29.5</v>
      </c>
      <c r="F20" s="270">
        <v>29.5</v>
      </c>
      <c r="G20" s="271">
        <f t="shared" ref="G20:H20" si="10">IF(C20&gt;0,(C20-E20)/C20,"")</f>
        <v>0.01666666667</v>
      </c>
      <c r="H20" s="271">
        <f t="shared" si="10"/>
        <v>0.01666666667</v>
      </c>
      <c r="I20" s="272">
        <f t="shared" si="9"/>
        <v>0.01666666667</v>
      </c>
      <c r="J20" s="273"/>
    </row>
    <row r="21">
      <c r="A21" s="268">
        <v>4.0</v>
      </c>
      <c r="B21" s="269" t="s">
        <v>218</v>
      </c>
      <c r="C21" s="270">
        <v>30.0</v>
      </c>
      <c r="D21" s="270">
        <v>30.0</v>
      </c>
      <c r="E21" s="270">
        <v>29.0</v>
      </c>
      <c r="F21" s="270">
        <v>30.0</v>
      </c>
      <c r="G21" s="271">
        <f t="shared" ref="G21:H21" si="11">IF(C21&gt;0,(C21-E21)/C21,"")</f>
        <v>0.03333333333</v>
      </c>
      <c r="H21" s="271">
        <f t="shared" si="11"/>
        <v>0</v>
      </c>
      <c r="I21" s="272">
        <f t="shared" si="9"/>
        <v>0.01666666667</v>
      </c>
      <c r="J21" s="273"/>
    </row>
    <row r="22">
      <c r="A22" s="268">
        <v>5.0</v>
      </c>
      <c r="B22" s="269" t="s">
        <v>389</v>
      </c>
      <c r="C22" s="270">
        <v>30.0</v>
      </c>
      <c r="D22" s="270">
        <v>30.0</v>
      </c>
      <c r="E22" s="270">
        <v>29.5</v>
      </c>
      <c r="F22" s="270">
        <v>30.0</v>
      </c>
      <c r="G22" s="271">
        <f t="shared" ref="G22:H22" si="12">IF(C22&gt;0,(C22-E22)/C22,"")</f>
        <v>0.01666666667</v>
      </c>
      <c r="H22" s="271">
        <f t="shared" si="12"/>
        <v>0</v>
      </c>
      <c r="I22" s="272">
        <f t="shared" si="9"/>
        <v>0.008333333333</v>
      </c>
      <c r="J22" s="273"/>
    </row>
    <row r="23">
      <c r="A23" s="263"/>
      <c r="B23" s="264"/>
      <c r="C23" s="264"/>
      <c r="D23" s="264"/>
      <c r="E23" s="264"/>
      <c r="F23" s="264"/>
      <c r="G23" s="264"/>
      <c r="H23" s="264"/>
      <c r="I23" s="264"/>
      <c r="J23" s="264"/>
    </row>
    <row r="24">
      <c r="A24" s="265" t="s">
        <v>391</v>
      </c>
      <c r="I24" s="264"/>
      <c r="J24" s="264"/>
    </row>
    <row r="25">
      <c r="A25" s="266" t="s">
        <v>377</v>
      </c>
      <c r="B25" s="266" t="s">
        <v>378</v>
      </c>
      <c r="C25" s="266" t="s">
        <v>392</v>
      </c>
      <c r="D25" s="266" t="s">
        <v>393</v>
      </c>
      <c r="E25" s="266" t="s">
        <v>394</v>
      </c>
      <c r="F25" s="266" t="s">
        <v>395</v>
      </c>
      <c r="G25" s="266" t="s">
        <v>396</v>
      </c>
      <c r="H25" s="267" t="s">
        <v>230</v>
      </c>
      <c r="I25" s="264"/>
      <c r="J25" s="264"/>
    </row>
    <row r="26">
      <c r="A26" s="268">
        <v>1.0</v>
      </c>
      <c r="B26" s="274" t="s">
        <v>386</v>
      </c>
      <c r="C26" s="269"/>
      <c r="D26" s="275" t="s">
        <v>397</v>
      </c>
      <c r="E26" s="275" t="s">
        <v>398</v>
      </c>
      <c r="F26" s="275" t="s">
        <v>399</v>
      </c>
      <c r="G26" s="275" t="s">
        <v>400</v>
      </c>
      <c r="H26" s="273"/>
      <c r="I26" s="264"/>
      <c r="J26" s="264"/>
    </row>
    <row r="27">
      <c r="A27" s="268">
        <v>2.0</v>
      </c>
      <c r="B27" s="274" t="s">
        <v>387</v>
      </c>
      <c r="C27" s="269"/>
      <c r="D27" s="275" t="s">
        <v>397</v>
      </c>
      <c r="E27" s="275" t="s">
        <v>398</v>
      </c>
      <c r="F27" s="275" t="s">
        <v>399</v>
      </c>
      <c r="G27" s="275" t="s">
        <v>400</v>
      </c>
      <c r="H27" s="273"/>
      <c r="I27" s="264"/>
      <c r="J27" s="264"/>
    </row>
    <row r="28">
      <c r="A28" s="268">
        <v>3.0</v>
      </c>
      <c r="B28" s="274" t="s">
        <v>388</v>
      </c>
      <c r="C28" s="269"/>
      <c r="D28" s="275" t="s">
        <v>397</v>
      </c>
      <c r="E28" s="275" t="s">
        <v>398</v>
      </c>
      <c r="F28" s="275" t="s">
        <v>399</v>
      </c>
      <c r="G28" s="275" t="s">
        <v>400</v>
      </c>
      <c r="H28" s="273"/>
      <c r="I28" s="264"/>
      <c r="J28" s="264"/>
    </row>
    <row r="29">
      <c r="A29" s="268">
        <v>4.0</v>
      </c>
      <c r="B29" s="274" t="s">
        <v>218</v>
      </c>
      <c r="C29" s="269"/>
      <c r="D29" s="275" t="s">
        <v>397</v>
      </c>
      <c r="E29" s="275" t="s">
        <v>398</v>
      </c>
      <c r="F29" s="275" t="s">
        <v>399</v>
      </c>
      <c r="G29" s="275" t="s">
        <v>400</v>
      </c>
      <c r="H29" s="273"/>
      <c r="I29" s="264"/>
      <c r="J29" s="264"/>
    </row>
    <row r="30">
      <c r="A30" s="268">
        <v>5.0</v>
      </c>
      <c r="B30" s="274" t="s">
        <v>389</v>
      </c>
      <c r="C30" s="269"/>
      <c r="D30" s="275" t="s">
        <v>397</v>
      </c>
      <c r="E30" s="275" t="s">
        <v>398</v>
      </c>
      <c r="F30" s="275" t="s">
        <v>399</v>
      </c>
      <c r="G30" s="275" t="s">
        <v>400</v>
      </c>
      <c r="H30" s="273"/>
      <c r="I30" s="264"/>
      <c r="J30" s="264"/>
    </row>
    <row r="31">
      <c r="A31" s="263"/>
      <c r="B31" s="264"/>
      <c r="C31" s="264"/>
      <c r="D31" s="264"/>
      <c r="E31" s="264"/>
      <c r="F31" s="264"/>
      <c r="G31" s="264"/>
      <c r="H31" s="264"/>
      <c r="I31" s="264"/>
      <c r="J31" s="264"/>
    </row>
    <row r="32">
      <c r="A32" s="265" t="s">
        <v>401</v>
      </c>
      <c r="J32" s="264"/>
    </row>
    <row r="33">
      <c r="A33" s="266" t="s">
        <v>377</v>
      </c>
      <c r="B33" s="266" t="s">
        <v>378</v>
      </c>
      <c r="C33" s="266" t="s">
        <v>402</v>
      </c>
      <c r="D33" s="266" t="s">
        <v>403</v>
      </c>
      <c r="E33" s="266" t="s">
        <v>404</v>
      </c>
      <c r="F33" s="266" t="s">
        <v>405</v>
      </c>
      <c r="G33" s="266" t="s">
        <v>406</v>
      </c>
      <c r="H33" s="266" t="s">
        <v>407</v>
      </c>
      <c r="I33" s="267" t="s">
        <v>230</v>
      </c>
      <c r="J33" s="264"/>
    </row>
    <row r="34">
      <c r="A34" s="268">
        <v>1.0</v>
      </c>
      <c r="B34" s="269" t="s">
        <v>386</v>
      </c>
      <c r="C34" s="276">
        <v>10.0</v>
      </c>
      <c r="D34" s="277">
        <v>12.0</v>
      </c>
      <c r="E34" s="277">
        <v>10.0</v>
      </c>
      <c r="F34" s="277">
        <v>10.0</v>
      </c>
      <c r="G34" s="278">
        <f t="shared" ref="G34:G38" si="13">IF((D34-C34)&gt;0,(D34-E34)/(D34-C34),"")</f>
        <v>1</v>
      </c>
      <c r="H34" s="278">
        <f t="shared" ref="H34:H38" si="14">IF((D34-C34)&gt;0,(D34-F34)/(D34-C34),"")</f>
        <v>1</v>
      </c>
      <c r="I34" s="273"/>
      <c r="J34" s="264"/>
    </row>
    <row r="35">
      <c r="A35" s="268">
        <v>2.0</v>
      </c>
      <c r="B35" s="269" t="s">
        <v>387</v>
      </c>
      <c r="C35" s="276">
        <v>10.0</v>
      </c>
      <c r="D35" s="277">
        <v>12.0</v>
      </c>
      <c r="E35" s="277">
        <v>10.0</v>
      </c>
      <c r="F35" s="277">
        <v>10.0</v>
      </c>
      <c r="G35" s="278">
        <f t="shared" si="13"/>
        <v>1</v>
      </c>
      <c r="H35" s="278">
        <f t="shared" si="14"/>
        <v>1</v>
      </c>
      <c r="I35" s="273"/>
      <c r="J35" s="264"/>
    </row>
    <row r="36">
      <c r="A36" s="268">
        <v>3.0</v>
      </c>
      <c r="B36" s="269" t="s">
        <v>388</v>
      </c>
      <c r="C36" s="276">
        <v>10.0</v>
      </c>
      <c r="D36" s="277">
        <v>12.0</v>
      </c>
      <c r="E36" s="277">
        <v>10.0</v>
      </c>
      <c r="F36" s="277">
        <v>10.0</v>
      </c>
      <c r="G36" s="278">
        <f t="shared" si="13"/>
        <v>1</v>
      </c>
      <c r="H36" s="278">
        <f t="shared" si="14"/>
        <v>1</v>
      </c>
      <c r="I36" s="273"/>
      <c r="J36" s="264"/>
    </row>
    <row r="37">
      <c r="A37" s="268">
        <v>4.0</v>
      </c>
      <c r="B37" s="269" t="s">
        <v>218</v>
      </c>
      <c r="C37" s="276">
        <v>10.0</v>
      </c>
      <c r="D37" s="277">
        <v>12.0</v>
      </c>
      <c r="E37" s="277">
        <v>10.0</v>
      </c>
      <c r="F37" s="277">
        <v>10.0</v>
      </c>
      <c r="G37" s="278">
        <f t="shared" si="13"/>
        <v>1</v>
      </c>
      <c r="H37" s="278">
        <f t="shared" si="14"/>
        <v>1</v>
      </c>
      <c r="I37" s="273"/>
      <c r="J37" s="264"/>
    </row>
    <row r="38">
      <c r="A38" s="268">
        <v>5.0</v>
      </c>
      <c r="B38" s="269" t="s">
        <v>389</v>
      </c>
      <c r="C38" s="276">
        <v>10.0</v>
      </c>
      <c r="D38" s="277">
        <v>12.0</v>
      </c>
      <c r="E38" s="277">
        <v>10.0</v>
      </c>
      <c r="F38" s="277">
        <v>10.0</v>
      </c>
      <c r="G38" s="278">
        <f t="shared" si="13"/>
        <v>1</v>
      </c>
      <c r="H38" s="278">
        <f t="shared" si="14"/>
        <v>1</v>
      </c>
      <c r="I38" s="273"/>
      <c r="J38" s="264"/>
    </row>
    <row r="39">
      <c r="A39" s="263"/>
      <c r="B39" s="264"/>
      <c r="C39" s="264"/>
      <c r="D39" s="264"/>
      <c r="E39" s="264"/>
      <c r="F39" s="264"/>
      <c r="G39" s="264"/>
      <c r="H39" s="264"/>
      <c r="I39" s="264"/>
      <c r="J39" s="264"/>
    </row>
    <row r="40">
      <c r="A40" s="265" t="s">
        <v>408</v>
      </c>
      <c r="I40" s="264"/>
      <c r="J40" s="264"/>
    </row>
    <row r="41">
      <c r="A41" s="266" t="s">
        <v>377</v>
      </c>
      <c r="B41" s="266" t="s">
        <v>378</v>
      </c>
      <c r="C41" s="266" t="s">
        <v>409</v>
      </c>
      <c r="D41" s="266" t="s">
        <v>410</v>
      </c>
      <c r="E41" s="266" t="s">
        <v>411</v>
      </c>
      <c r="F41" s="266" t="s">
        <v>412</v>
      </c>
      <c r="G41" s="266" t="s">
        <v>413</v>
      </c>
      <c r="H41" s="266" t="s">
        <v>230</v>
      </c>
      <c r="I41" s="264"/>
      <c r="J41" s="264"/>
    </row>
    <row r="42">
      <c r="A42" s="268">
        <v>1.0</v>
      </c>
      <c r="B42" s="269" t="s">
        <v>386</v>
      </c>
      <c r="C42" s="269" t="s">
        <v>400</v>
      </c>
      <c r="D42" s="269" t="s">
        <v>400</v>
      </c>
      <c r="E42" s="269" t="s">
        <v>400</v>
      </c>
      <c r="F42" s="269" t="s">
        <v>400</v>
      </c>
      <c r="G42" s="269"/>
      <c r="H42" s="273"/>
      <c r="I42" s="264"/>
      <c r="J42" s="264"/>
    </row>
    <row r="43">
      <c r="A43" s="268">
        <v>2.0</v>
      </c>
      <c r="B43" s="269" t="s">
        <v>387</v>
      </c>
      <c r="C43" s="269" t="s">
        <v>400</v>
      </c>
      <c r="D43" s="269" t="s">
        <v>400</v>
      </c>
      <c r="E43" s="269" t="s">
        <v>400</v>
      </c>
      <c r="F43" s="269" t="s">
        <v>400</v>
      </c>
      <c r="G43" s="269"/>
      <c r="H43" s="273"/>
      <c r="I43" s="264"/>
      <c r="J43" s="264"/>
    </row>
    <row r="44">
      <c r="A44" s="268">
        <v>3.0</v>
      </c>
      <c r="B44" s="269" t="s">
        <v>388</v>
      </c>
      <c r="C44" s="269" t="s">
        <v>400</v>
      </c>
      <c r="D44" s="269" t="s">
        <v>400</v>
      </c>
      <c r="E44" s="269" t="s">
        <v>400</v>
      </c>
      <c r="F44" s="269" t="s">
        <v>400</v>
      </c>
      <c r="G44" s="269"/>
      <c r="H44" s="273"/>
      <c r="I44" s="264"/>
      <c r="J44" s="264"/>
    </row>
    <row r="45">
      <c r="A45" s="268">
        <v>4.0</v>
      </c>
      <c r="B45" s="269" t="s">
        <v>218</v>
      </c>
      <c r="C45" s="269" t="s">
        <v>400</v>
      </c>
      <c r="D45" s="269" t="s">
        <v>400</v>
      </c>
      <c r="E45" s="269" t="s">
        <v>400</v>
      </c>
      <c r="F45" s="269" t="s">
        <v>400</v>
      </c>
      <c r="G45" s="269"/>
      <c r="H45" s="273"/>
      <c r="I45" s="264"/>
      <c r="J45" s="264"/>
    </row>
    <row r="46">
      <c r="A46" s="268">
        <v>5.0</v>
      </c>
      <c r="B46" s="269" t="s">
        <v>389</v>
      </c>
      <c r="C46" s="269" t="s">
        <v>400</v>
      </c>
      <c r="D46" s="269" t="s">
        <v>400</v>
      </c>
      <c r="E46" s="269" t="s">
        <v>400</v>
      </c>
      <c r="F46" s="269" t="s">
        <v>400</v>
      </c>
      <c r="G46" s="269"/>
      <c r="H46" s="273"/>
      <c r="I46" s="264"/>
      <c r="J46" s="264"/>
    </row>
    <row r="47">
      <c r="A47" s="263"/>
      <c r="B47" s="264"/>
      <c r="C47" s="264"/>
      <c r="D47" s="264"/>
      <c r="E47" s="264"/>
      <c r="F47" s="264"/>
      <c r="G47" s="264"/>
      <c r="H47" s="264"/>
      <c r="I47" s="264"/>
      <c r="J47" s="264"/>
    </row>
    <row r="48">
      <c r="A48" s="265" t="s">
        <v>414</v>
      </c>
    </row>
    <row r="49">
      <c r="A49" s="266" t="s">
        <v>377</v>
      </c>
      <c r="B49" s="266" t="s">
        <v>378</v>
      </c>
      <c r="C49" s="266" t="s">
        <v>379</v>
      </c>
      <c r="D49" s="266" t="s">
        <v>380</v>
      </c>
      <c r="E49" s="266" t="s">
        <v>381</v>
      </c>
      <c r="F49" s="266" t="s">
        <v>382</v>
      </c>
      <c r="G49" s="266" t="s">
        <v>383</v>
      </c>
      <c r="H49" s="266" t="s">
        <v>384</v>
      </c>
      <c r="I49" s="267" t="s">
        <v>385</v>
      </c>
      <c r="J49" s="266" t="s">
        <v>230</v>
      </c>
    </row>
    <row r="50">
      <c r="A50" s="279"/>
      <c r="B50" s="269"/>
      <c r="C50" s="269"/>
      <c r="D50" s="269"/>
      <c r="E50" s="269"/>
      <c r="F50" s="269"/>
      <c r="G50" s="273" t="str">
        <f t="shared" ref="G50:H50" si="15">IF(C50&gt;0,(C50-E50)/C50,"")</f>
        <v/>
      </c>
      <c r="H50" s="273" t="str">
        <f t="shared" si="15"/>
        <v/>
      </c>
      <c r="I50" s="272">
        <f t="shared" ref="I50:I53" si="17">(G50+H50)/2</f>
        <v>0</v>
      </c>
      <c r="J50" s="273"/>
    </row>
    <row r="51">
      <c r="A51" s="279"/>
      <c r="B51" s="269"/>
      <c r="C51" s="269"/>
      <c r="D51" s="269"/>
      <c r="E51" s="269"/>
      <c r="F51" s="269"/>
      <c r="G51" s="273" t="str">
        <f t="shared" ref="G51:H51" si="16">IF(C51&gt;0,(C51-E51)/C51,"")</f>
        <v/>
      </c>
      <c r="H51" s="273" t="str">
        <f t="shared" si="16"/>
        <v/>
      </c>
      <c r="I51" s="272">
        <f t="shared" si="17"/>
        <v>0</v>
      </c>
      <c r="J51" s="273"/>
    </row>
    <row r="52">
      <c r="A52" s="279"/>
      <c r="B52" s="269"/>
      <c r="C52" s="269"/>
      <c r="D52" s="269"/>
      <c r="E52" s="269"/>
      <c r="F52" s="269"/>
      <c r="G52" s="273" t="str">
        <f t="shared" ref="G52:H52" si="18">IF(C52&gt;0,(C52-E52)/C52,"")</f>
        <v/>
      </c>
      <c r="H52" s="273" t="str">
        <f t="shared" si="18"/>
        <v/>
      </c>
      <c r="I52" s="272">
        <f t="shared" si="17"/>
        <v>0</v>
      </c>
      <c r="J52" s="273"/>
    </row>
    <row r="53">
      <c r="A53" s="279"/>
      <c r="B53" s="269"/>
      <c r="C53" s="269"/>
      <c r="D53" s="269"/>
      <c r="E53" s="269"/>
      <c r="F53" s="269"/>
      <c r="G53" s="273" t="str">
        <f t="shared" ref="G53:H53" si="19">IF(C53&gt;0,(C53-E53)/C53,"")</f>
        <v/>
      </c>
      <c r="H53" s="273" t="str">
        <f t="shared" si="19"/>
        <v/>
      </c>
      <c r="I53" s="272">
        <f t="shared" si="17"/>
        <v>0</v>
      </c>
      <c r="J53" s="273"/>
    </row>
    <row r="54">
      <c r="A54" s="263"/>
      <c r="B54" s="264"/>
      <c r="C54" s="264"/>
      <c r="D54" s="264"/>
      <c r="E54" s="264"/>
      <c r="F54" s="264"/>
      <c r="G54" s="264"/>
      <c r="H54" s="264"/>
      <c r="I54" s="264"/>
      <c r="J54" s="264"/>
    </row>
    <row r="55">
      <c r="A55" s="263"/>
      <c r="B55" s="264"/>
      <c r="C55" s="264"/>
      <c r="D55" s="264"/>
      <c r="E55" s="264"/>
      <c r="F55" s="264"/>
      <c r="G55" s="264"/>
      <c r="H55" s="264"/>
      <c r="I55" s="264"/>
      <c r="J55" s="264"/>
    </row>
    <row r="56">
      <c r="A56" s="265" t="s">
        <v>415</v>
      </c>
    </row>
    <row r="57">
      <c r="A57" s="266" t="s">
        <v>377</v>
      </c>
      <c r="B57" s="266" t="s">
        <v>416</v>
      </c>
      <c r="C57" s="266" t="s">
        <v>300</v>
      </c>
      <c r="D57" s="266" t="s">
        <v>417</v>
      </c>
      <c r="E57" s="266" t="s">
        <v>418</v>
      </c>
      <c r="F57" s="266" t="s">
        <v>419</v>
      </c>
      <c r="G57" s="266" t="s">
        <v>420</v>
      </c>
      <c r="H57" s="266" t="s">
        <v>421</v>
      </c>
      <c r="I57" s="266" t="s">
        <v>422</v>
      </c>
      <c r="J57" s="266" t="s">
        <v>230</v>
      </c>
    </row>
    <row r="58">
      <c r="A58" s="279"/>
      <c r="B58" s="269" t="s">
        <v>386</v>
      </c>
      <c r="C58" s="269"/>
      <c r="D58" s="269"/>
      <c r="E58" s="269"/>
      <c r="F58" s="269"/>
      <c r="G58" s="269"/>
      <c r="H58" s="269"/>
      <c r="I58" s="269"/>
      <c r="J58" s="273"/>
    </row>
    <row r="59">
      <c r="A59" s="279"/>
      <c r="B59" s="269" t="s">
        <v>387</v>
      </c>
      <c r="C59" s="269"/>
      <c r="D59" s="269"/>
      <c r="E59" s="269"/>
      <c r="F59" s="269"/>
      <c r="G59" s="269"/>
      <c r="H59" s="269"/>
      <c r="I59" s="269"/>
      <c r="J59" s="273"/>
    </row>
    <row r="60">
      <c r="A60" s="279"/>
      <c r="B60" s="269" t="s">
        <v>388</v>
      </c>
      <c r="C60" s="269"/>
      <c r="D60" s="269"/>
      <c r="E60" s="269"/>
      <c r="F60" s="269"/>
      <c r="G60" s="269"/>
      <c r="H60" s="269"/>
      <c r="I60" s="269"/>
      <c r="J60" s="273"/>
    </row>
    <row r="61">
      <c r="A61" s="279"/>
      <c r="B61" s="269" t="s">
        <v>218</v>
      </c>
      <c r="C61" s="269"/>
      <c r="D61" s="269"/>
      <c r="E61" s="269"/>
      <c r="F61" s="269"/>
      <c r="G61" s="269"/>
      <c r="H61" s="269"/>
      <c r="I61" s="269"/>
      <c r="J61" s="273"/>
    </row>
    <row r="62">
      <c r="A62" s="279"/>
      <c r="B62" s="269" t="s">
        <v>389</v>
      </c>
      <c r="C62" s="269"/>
      <c r="D62" s="269"/>
      <c r="E62" s="269"/>
      <c r="F62" s="269"/>
      <c r="G62" s="269"/>
      <c r="H62" s="269"/>
      <c r="I62" s="269"/>
      <c r="J62" s="273"/>
    </row>
    <row r="63">
      <c r="A63" s="280"/>
    </row>
    <row r="64">
      <c r="A64" s="280"/>
    </row>
    <row r="65">
      <c r="A65" s="280"/>
    </row>
    <row r="66">
      <c r="A66" s="280"/>
    </row>
    <row r="67">
      <c r="A67" s="280"/>
    </row>
    <row r="68">
      <c r="A68" s="280"/>
    </row>
    <row r="69">
      <c r="A69" s="280"/>
    </row>
    <row r="70">
      <c r="A70" s="280"/>
    </row>
    <row r="71">
      <c r="A71" s="280"/>
    </row>
    <row r="72">
      <c r="A72" s="280"/>
    </row>
    <row r="73">
      <c r="A73" s="280"/>
    </row>
    <row r="74">
      <c r="A74" s="280"/>
    </row>
    <row r="75">
      <c r="A75" s="280"/>
    </row>
    <row r="76">
      <c r="A76" s="280"/>
    </row>
    <row r="77">
      <c r="A77" s="280"/>
    </row>
    <row r="78">
      <c r="A78" s="280"/>
    </row>
    <row r="79">
      <c r="A79" s="280"/>
    </row>
    <row r="80">
      <c r="A80" s="280"/>
    </row>
    <row r="81">
      <c r="A81" s="280"/>
    </row>
    <row r="82">
      <c r="A82" s="280"/>
    </row>
    <row r="83">
      <c r="A83" s="280"/>
    </row>
    <row r="84">
      <c r="A84" s="280"/>
    </row>
    <row r="85">
      <c r="A85" s="280"/>
    </row>
    <row r="86">
      <c r="A86" s="280"/>
    </row>
    <row r="87">
      <c r="A87" s="280"/>
    </row>
    <row r="88">
      <c r="A88" s="280"/>
    </row>
    <row r="89">
      <c r="A89" s="280"/>
    </row>
    <row r="90">
      <c r="A90" s="280"/>
    </row>
    <row r="91">
      <c r="A91" s="280"/>
    </row>
    <row r="92">
      <c r="A92" s="280"/>
    </row>
    <row r="93">
      <c r="A93" s="280"/>
    </row>
    <row r="94">
      <c r="A94" s="280"/>
    </row>
    <row r="95">
      <c r="A95" s="280"/>
    </row>
    <row r="96">
      <c r="A96" s="280"/>
    </row>
    <row r="97">
      <c r="A97" s="280"/>
    </row>
    <row r="98">
      <c r="A98" s="280"/>
    </row>
    <row r="99">
      <c r="A99" s="280"/>
    </row>
    <row r="100">
      <c r="A100" s="280"/>
    </row>
    <row r="101">
      <c r="A101" s="280"/>
    </row>
    <row r="102">
      <c r="A102" s="280"/>
    </row>
    <row r="103">
      <c r="A103" s="280"/>
    </row>
    <row r="104">
      <c r="A104" s="280"/>
    </row>
    <row r="105">
      <c r="A105" s="280"/>
    </row>
    <row r="106">
      <c r="A106" s="280"/>
    </row>
    <row r="107">
      <c r="A107" s="280"/>
    </row>
    <row r="108">
      <c r="A108" s="280"/>
    </row>
    <row r="109">
      <c r="A109" s="280"/>
    </row>
    <row r="110">
      <c r="A110" s="280"/>
    </row>
    <row r="111">
      <c r="A111" s="280"/>
    </row>
    <row r="112">
      <c r="A112" s="280"/>
    </row>
    <row r="113">
      <c r="A113" s="280"/>
    </row>
    <row r="114">
      <c r="A114" s="280"/>
    </row>
    <row r="115">
      <c r="A115" s="280"/>
    </row>
    <row r="116">
      <c r="A116" s="280"/>
    </row>
    <row r="117">
      <c r="A117" s="280"/>
    </row>
    <row r="118">
      <c r="A118" s="280"/>
    </row>
    <row r="119">
      <c r="A119" s="280"/>
    </row>
    <row r="120">
      <c r="A120" s="280"/>
    </row>
    <row r="121">
      <c r="A121" s="280"/>
    </row>
    <row r="122">
      <c r="A122" s="280"/>
    </row>
    <row r="123">
      <c r="A123" s="280"/>
    </row>
    <row r="124">
      <c r="A124" s="280"/>
    </row>
    <row r="125">
      <c r="A125" s="280"/>
    </row>
    <row r="126">
      <c r="A126" s="280"/>
    </row>
    <row r="127">
      <c r="A127" s="280"/>
    </row>
    <row r="128">
      <c r="A128" s="280"/>
    </row>
    <row r="129">
      <c r="A129" s="280"/>
    </row>
    <row r="130">
      <c r="A130" s="280"/>
    </row>
    <row r="131">
      <c r="A131" s="280"/>
    </row>
    <row r="132">
      <c r="A132" s="280"/>
    </row>
    <row r="133">
      <c r="A133" s="280"/>
    </row>
    <row r="134">
      <c r="A134" s="280"/>
    </row>
    <row r="135">
      <c r="A135" s="280"/>
    </row>
    <row r="136">
      <c r="A136" s="280"/>
    </row>
    <row r="137">
      <c r="A137" s="280"/>
    </row>
    <row r="138">
      <c r="A138" s="280"/>
    </row>
    <row r="139">
      <c r="A139" s="280"/>
    </row>
    <row r="140">
      <c r="A140" s="280"/>
    </row>
    <row r="141">
      <c r="A141" s="280"/>
    </row>
    <row r="142">
      <c r="A142" s="280"/>
    </row>
    <row r="143">
      <c r="A143" s="280"/>
    </row>
    <row r="144">
      <c r="A144" s="280"/>
    </row>
    <row r="145">
      <c r="A145" s="280"/>
    </row>
    <row r="146">
      <c r="A146" s="280"/>
    </row>
    <row r="147">
      <c r="A147" s="280"/>
    </row>
    <row r="148">
      <c r="A148" s="280"/>
    </row>
    <row r="149">
      <c r="A149" s="280"/>
    </row>
    <row r="150">
      <c r="A150" s="280"/>
    </row>
    <row r="151">
      <c r="A151" s="280"/>
    </row>
    <row r="152">
      <c r="A152" s="280"/>
    </row>
    <row r="153">
      <c r="A153" s="280"/>
    </row>
    <row r="154">
      <c r="A154" s="280"/>
    </row>
    <row r="155">
      <c r="A155" s="280"/>
    </row>
    <row r="156">
      <c r="A156" s="280"/>
    </row>
    <row r="157">
      <c r="A157" s="280"/>
    </row>
    <row r="158">
      <c r="A158" s="280"/>
    </row>
    <row r="159">
      <c r="A159" s="280"/>
    </row>
    <row r="160">
      <c r="A160" s="280"/>
    </row>
    <row r="161">
      <c r="A161" s="280"/>
    </row>
    <row r="162">
      <c r="A162" s="280"/>
    </row>
    <row r="163">
      <c r="A163" s="280"/>
    </row>
    <row r="164">
      <c r="A164" s="280"/>
    </row>
    <row r="165">
      <c r="A165" s="280"/>
    </row>
    <row r="166">
      <c r="A166" s="280"/>
    </row>
    <row r="167">
      <c r="A167" s="280"/>
    </row>
    <row r="168">
      <c r="A168" s="280"/>
    </row>
    <row r="169">
      <c r="A169" s="280"/>
    </row>
    <row r="170">
      <c r="A170" s="280"/>
    </row>
    <row r="171">
      <c r="A171" s="280"/>
    </row>
    <row r="172">
      <c r="A172" s="280"/>
    </row>
    <row r="173">
      <c r="A173" s="280"/>
    </row>
    <row r="174">
      <c r="A174" s="280"/>
    </row>
    <row r="175">
      <c r="A175" s="280"/>
    </row>
    <row r="176">
      <c r="A176" s="280"/>
    </row>
    <row r="177">
      <c r="A177" s="280"/>
    </row>
    <row r="178">
      <c r="A178" s="280"/>
    </row>
    <row r="179">
      <c r="A179" s="280"/>
    </row>
    <row r="180">
      <c r="A180" s="280"/>
    </row>
    <row r="181">
      <c r="A181" s="280"/>
    </row>
    <row r="182">
      <c r="A182" s="280"/>
    </row>
    <row r="183">
      <c r="A183" s="280"/>
    </row>
    <row r="184">
      <c r="A184" s="280"/>
    </row>
    <row r="185">
      <c r="A185" s="280"/>
    </row>
    <row r="186">
      <c r="A186" s="280"/>
    </row>
    <row r="187">
      <c r="A187" s="280"/>
    </row>
    <row r="188">
      <c r="A188" s="280"/>
    </row>
    <row r="189">
      <c r="A189" s="280"/>
    </row>
    <row r="190">
      <c r="A190" s="280"/>
    </row>
    <row r="191">
      <c r="A191" s="280"/>
    </row>
    <row r="192">
      <c r="A192" s="280"/>
    </row>
    <row r="193">
      <c r="A193" s="280"/>
    </row>
    <row r="194">
      <c r="A194" s="280"/>
    </row>
    <row r="195">
      <c r="A195" s="280"/>
    </row>
    <row r="196">
      <c r="A196" s="280"/>
    </row>
    <row r="197">
      <c r="A197" s="280"/>
    </row>
    <row r="198">
      <c r="A198" s="280"/>
    </row>
    <row r="199">
      <c r="A199" s="280"/>
    </row>
    <row r="200">
      <c r="A200" s="280"/>
    </row>
    <row r="201">
      <c r="A201" s="280"/>
    </row>
    <row r="202">
      <c r="A202" s="280"/>
    </row>
    <row r="203">
      <c r="A203" s="280"/>
    </row>
    <row r="204">
      <c r="A204" s="280"/>
    </row>
    <row r="205">
      <c r="A205" s="280"/>
    </row>
    <row r="206">
      <c r="A206" s="280"/>
    </row>
    <row r="207">
      <c r="A207" s="280"/>
    </row>
    <row r="208">
      <c r="A208" s="280"/>
    </row>
    <row r="209">
      <c r="A209" s="280"/>
    </row>
    <row r="210">
      <c r="A210" s="280"/>
    </row>
    <row r="211">
      <c r="A211" s="280"/>
    </row>
    <row r="212">
      <c r="A212" s="280"/>
    </row>
    <row r="213">
      <c r="A213" s="280"/>
    </row>
    <row r="214">
      <c r="A214" s="280"/>
    </row>
    <row r="215">
      <c r="A215" s="280"/>
    </row>
    <row r="216">
      <c r="A216" s="280"/>
    </row>
    <row r="217">
      <c r="A217" s="280"/>
    </row>
    <row r="218">
      <c r="A218" s="280"/>
    </row>
    <row r="219">
      <c r="A219" s="280"/>
    </row>
    <row r="220">
      <c r="A220" s="280"/>
    </row>
    <row r="221">
      <c r="A221" s="280"/>
    </row>
    <row r="222">
      <c r="A222" s="280"/>
    </row>
    <row r="223">
      <c r="A223" s="280"/>
    </row>
    <row r="224">
      <c r="A224" s="280"/>
    </row>
    <row r="225">
      <c r="A225" s="280"/>
    </row>
    <row r="226">
      <c r="A226" s="280"/>
    </row>
    <row r="227">
      <c r="A227" s="280"/>
    </row>
    <row r="228">
      <c r="A228" s="280"/>
    </row>
    <row r="229">
      <c r="A229" s="280"/>
    </row>
    <row r="230">
      <c r="A230" s="280"/>
    </row>
    <row r="231">
      <c r="A231" s="280"/>
    </row>
    <row r="232">
      <c r="A232" s="280"/>
    </row>
    <row r="233">
      <c r="A233" s="280"/>
    </row>
    <row r="234">
      <c r="A234" s="280"/>
    </row>
    <row r="235">
      <c r="A235" s="280"/>
    </row>
    <row r="236">
      <c r="A236" s="280"/>
    </row>
    <row r="237">
      <c r="A237" s="280"/>
    </row>
    <row r="238">
      <c r="A238" s="280"/>
    </row>
    <row r="239">
      <c r="A239" s="280"/>
    </row>
    <row r="240">
      <c r="A240" s="280"/>
    </row>
    <row r="241">
      <c r="A241" s="280"/>
    </row>
    <row r="242">
      <c r="A242" s="280"/>
    </row>
    <row r="243">
      <c r="A243" s="280"/>
    </row>
    <row r="244">
      <c r="A244" s="280"/>
    </row>
    <row r="245">
      <c r="A245" s="280"/>
    </row>
    <row r="246">
      <c r="A246" s="280"/>
    </row>
    <row r="247">
      <c r="A247" s="280"/>
    </row>
    <row r="248">
      <c r="A248" s="280"/>
    </row>
    <row r="249">
      <c r="A249" s="280"/>
    </row>
    <row r="250">
      <c r="A250" s="280"/>
    </row>
    <row r="251">
      <c r="A251" s="280"/>
    </row>
    <row r="252">
      <c r="A252" s="280"/>
    </row>
    <row r="253">
      <c r="A253" s="280"/>
    </row>
    <row r="254">
      <c r="A254" s="280"/>
    </row>
    <row r="255">
      <c r="A255" s="280"/>
    </row>
    <row r="256">
      <c r="A256" s="280"/>
    </row>
    <row r="257">
      <c r="A257" s="280"/>
    </row>
    <row r="258">
      <c r="A258" s="280"/>
    </row>
    <row r="259">
      <c r="A259" s="280"/>
    </row>
    <row r="260">
      <c r="A260" s="280"/>
    </row>
    <row r="261">
      <c r="A261" s="280"/>
    </row>
    <row r="262">
      <c r="A262" s="280"/>
    </row>
    <row r="263">
      <c r="A263" s="280"/>
    </row>
    <row r="264">
      <c r="A264" s="280"/>
    </row>
    <row r="265">
      <c r="A265" s="280"/>
    </row>
    <row r="266">
      <c r="A266" s="280"/>
    </row>
    <row r="267">
      <c r="A267" s="280"/>
    </row>
    <row r="268">
      <c r="A268" s="280"/>
    </row>
    <row r="269">
      <c r="A269" s="280"/>
    </row>
    <row r="270">
      <c r="A270" s="280"/>
    </row>
    <row r="271">
      <c r="A271" s="280"/>
    </row>
    <row r="272">
      <c r="A272" s="280"/>
    </row>
    <row r="273">
      <c r="A273" s="280"/>
    </row>
    <row r="274">
      <c r="A274" s="280"/>
    </row>
    <row r="275">
      <c r="A275" s="280"/>
    </row>
    <row r="276">
      <c r="A276" s="280"/>
    </row>
    <row r="277">
      <c r="A277" s="280"/>
    </row>
    <row r="278">
      <c r="A278" s="280"/>
    </row>
    <row r="279">
      <c r="A279" s="280"/>
    </row>
    <row r="280">
      <c r="A280" s="280"/>
    </row>
    <row r="281">
      <c r="A281" s="280"/>
    </row>
    <row r="282">
      <c r="A282" s="280"/>
    </row>
    <row r="283">
      <c r="A283" s="280"/>
    </row>
    <row r="284">
      <c r="A284" s="280"/>
    </row>
    <row r="285">
      <c r="A285" s="280"/>
    </row>
    <row r="286">
      <c r="A286" s="280"/>
    </row>
    <row r="287">
      <c r="A287" s="280"/>
    </row>
    <row r="288">
      <c r="A288" s="280"/>
    </row>
    <row r="289">
      <c r="A289" s="280"/>
    </row>
    <row r="290">
      <c r="A290" s="280"/>
    </row>
    <row r="291">
      <c r="A291" s="280"/>
    </row>
    <row r="292">
      <c r="A292" s="280"/>
    </row>
    <row r="293">
      <c r="A293" s="280"/>
    </row>
    <row r="294">
      <c r="A294" s="280"/>
    </row>
    <row r="295">
      <c r="A295" s="280"/>
    </row>
    <row r="296">
      <c r="A296" s="280"/>
    </row>
    <row r="297">
      <c r="A297" s="280"/>
    </row>
    <row r="298">
      <c r="A298" s="280"/>
    </row>
    <row r="299">
      <c r="A299" s="280"/>
    </row>
    <row r="300">
      <c r="A300" s="280"/>
    </row>
    <row r="301">
      <c r="A301" s="280"/>
    </row>
    <row r="302">
      <c r="A302" s="280"/>
    </row>
    <row r="303">
      <c r="A303" s="280"/>
    </row>
    <row r="304">
      <c r="A304" s="280"/>
    </row>
    <row r="305">
      <c r="A305" s="280"/>
    </row>
    <row r="306">
      <c r="A306" s="280"/>
    </row>
    <row r="307">
      <c r="A307" s="280"/>
    </row>
    <row r="308">
      <c r="A308" s="280"/>
    </row>
    <row r="309">
      <c r="A309" s="280"/>
    </row>
    <row r="310">
      <c r="A310" s="280"/>
    </row>
    <row r="311">
      <c r="A311" s="280"/>
    </row>
    <row r="312">
      <c r="A312" s="280"/>
    </row>
    <row r="313">
      <c r="A313" s="280"/>
    </row>
    <row r="314">
      <c r="A314" s="280"/>
    </row>
    <row r="315">
      <c r="A315" s="280"/>
    </row>
    <row r="316">
      <c r="A316" s="280"/>
    </row>
    <row r="317">
      <c r="A317" s="280"/>
    </row>
    <row r="318">
      <c r="A318" s="280"/>
    </row>
    <row r="319">
      <c r="A319" s="280"/>
    </row>
    <row r="320">
      <c r="A320" s="280"/>
    </row>
    <row r="321">
      <c r="A321" s="280"/>
    </row>
    <row r="322">
      <c r="A322" s="280"/>
    </row>
    <row r="323">
      <c r="A323" s="280"/>
    </row>
    <row r="324">
      <c r="A324" s="280"/>
    </row>
    <row r="325">
      <c r="A325" s="280"/>
    </row>
    <row r="326">
      <c r="A326" s="280"/>
    </row>
    <row r="327">
      <c r="A327" s="280"/>
    </row>
    <row r="328">
      <c r="A328" s="280"/>
    </row>
    <row r="329">
      <c r="A329" s="280"/>
    </row>
    <row r="330">
      <c r="A330" s="280"/>
    </row>
    <row r="331">
      <c r="A331" s="280"/>
    </row>
    <row r="332">
      <c r="A332" s="280"/>
    </row>
    <row r="333">
      <c r="A333" s="280"/>
    </row>
    <row r="334">
      <c r="A334" s="280"/>
    </row>
    <row r="335">
      <c r="A335" s="280"/>
    </row>
    <row r="336">
      <c r="A336" s="280"/>
    </row>
    <row r="337">
      <c r="A337" s="280"/>
    </row>
    <row r="338">
      <c r="A338" s="280"/>
    </row>
    <row r="339">
      <c r="A339" s="280"/>
    </row>
    <row r="340">
      <c r="A340" s="280"/>
    </row>
    <row r="341">
      <c r="A341" s="280"/>
    </row>
    <row r="342">
      <c r="A342" s="280"/>
    </row>
    <row r="343">
      <c r="A343" s="280"/>
    </row>
    <row r="344">
      <c r="A344" s="280"/>
    </row>
    <row r="345">
      <c r="A345" s="280"/>
    </row>
    <row r="346">
      <c r="A346" s="280"/>
    </row>
    <row r="347">
      <c r="A347" s="280"/>
    </row>
    <row r="348">
      <c r="A348" s="280"/>
    </row>
    <row r="349">
      <c r="A349" s="280"/>
    </row>
    <row r="350">
      <c r="A350" s="280"/>
    </row>
    <row r="351">
      <c r="A351" s="280"/>
    </row>
    <row r="352">
      <c r="A352" s="280"/>
    </row>
    <row r="353">
      <c r="A353" s="280"/>
    </row>
    <row r="354">
      <c r="A354" s="280"/>
    </row>
    <row r="355">
      <c r="A355" s="280"/>
    </row>
    <row r="356">
      <c r="A356" s="280"/>
    </row>
    <row r="357">
      <c r="A357" s="280"/>
    </row>
    <row r="358">
      <c r="A358" s="280"/>
    </row>
    <row r="359">
      <c r="A359" s="280"/>
    </row>
    <row r="360">
      <c r="A360" s="280"/>
    </row>
    <row r="361">
      <c r="A361" s="280"/>
    </row>
    <row r="362">
      <c r="A362" s="280"/>
    </row>
    <row r="363">
      <c r="A363" s="280"/>
    </row>
    <row r="364">
      <c r="A364" s="280"/>
    </row>
    <row r="365">
      <c r="A365" s="280"/>
    </row>
    <row r="366">
      <c r="A366" s="280"/>
    </row>
    <row r="367">
      <c r="A367" s="280"/>
    </row>
    <row r="368">
      <c r="A368" s="280"/>
    </row>
    <row r="369">
      <c r="A369" s="280"/>
    </row>
    <row r="370">
      <c r="A370" s="280"/>
    </row>
    <row r="371">
      <c r="A371" s="280"/>
    </row>
    <row r="372">
      <c r="A372" s="280"/>
    </row>
    <row r="373">
      <c r="A373" s="280"/>
    </row>
    <row r="374">
      <c r="A374" s="280"/>
    </row>
    <row r="375">
      <c r="A375" s="280"/>
    </row>
    <row r="376">
      <c r="A376" s="280"/>
    </row>
    <row r="377">
      <c r="A377" s="280"/>
    </row>
    <row r="378">
      <c r="A378" s="280"/>
    </row>
    <row r="379">
      <c r="A379" s="280"/>
    </row>
    <row r="380">
      <c r="A380" s="280"/>
    </row>
    <row r="381">
      <c r="A381" s="280"/>
    </row>
    <row r="382">
      <c r="A382" s="280"/>
    </row>
    <row r="383">
      <c r="A383" s="280"/>
    </row>
    <row r="384">
      <c r="A384" s="280"/>
    </row>
    <row r="385">
      <c r="A385" s="280"/>
    </row>
    <row r="386">
      <c r="A386" s="280"/>
    </row>
    <row r="387">
      <c r="A387" s="280"/>
    </row>
    <row r="388">
      <c r="A388" s="280"/>
    </row>
    <row r="389">
      <c r="A389" s="280"/>
    </row>
    <row r="390">
      <c r="A390" s="280"/>
    </row>
    <row r="391">
      <c r="A391" s="280"/>
    </row>
    <row r="392">
      <c r="A392" s="280"/>
    </row>
    <row r="393">
      <c r="A393" s="280"/>
    </row>
    <row r="394">
      <c r="A394" s="280"/>
    </row>
    <row r="395">
      <c r="A395" s="280"/>
    </row>
    <row r="396">
      <c r="A396" s="280"/>
    </row>
    <row r="397">
      <c r="A397" s="280"/>
    </row>
    <row r="398">
      <c r="A398" s="280"/>
    </row>
    <row r="399">
      <c r="A399" s="280"/>
    </row>
    <row r="400">
      <c r="A400" s="280"/>
    </row>
    <row r="401">
      <c r="A401" s="280"/>
    </row>
    <row r="402">
      <c r="A402" s="280"/>
    </row>
    <row r="403">
      <c r="A403" s="280"/>
    </row>
    <row r="404">
      <c r="A404" s="280"/>
    </row>
    <row r="405">
      <c r="A405" s="280"/>
    </row>
    <row r="406">
      <c r="A406" s="280"/>
    </row>
    <row r="407">
      <c r="A407" s="280"/>
    </row>
    <row r="408">
      <c r="A408" s="280"/>
    </row>
    <row r="409">
      <c r="A409" s="280"/>
    </row>
    <row r="410">
      <c r="A410" s="280"/>
    </row>
    <row r="411">
      <c r="A411" s="280"/>
    </row>
    <row r="412">
      <c r="A412" s="280"/>
    </row>
    <row r="413">
      <c r="A413" s="280"/>
    </row>
    <row r="414">
      <c r="A414" s="280"/>
    </row>
    <row r="415">
      <c r="A415" s="280"/>
    </row>
    <row r="416">
      <c r="A416" s="280"/>
    </row>
    <row r="417">
      <c r="A417" s="280"/>
    </row>
    <row r="418">
      <c r="A418" s="280"/>
    </row>
    <row r="419">
      <c r="A419" s="280"/>
    </row>
    <row r="420">
      <c r="A420" s="280"/>
    </row>
    <row r="421">
      <c r="A421" s="280"/>
    </row>
    <row r="422">
      <c r="A422" s="280"/>
    </row>
    <row r="423">
      <c r="A423" s="280"/>
    </row>
    <row r="424">
      <c r="A424" s="280"/>
    </row>
    <row r="425">
      <c r="A425" s="280"/>
    </row>
    <row r="426">
      <c r="A426" s="280"/>
    </row>
    <row r="427">
      <c r="A427" s="280"/>
    </row>
    <row r="428">
      <c r="A428" s="280"/>
    </row>
    <row r="429">
      <c r="A429" s="280"/>
    </row>
    <row r="430">
      <c r="A430" s="280"/>
    </row>
    <row r="431">
      <c r="A431" s="280"/>
    </row>
    <row r="432">
      <c r="A432" s="280"/>
    </row>
    <row r="433">
      <c r="A433" s="280"/>
    </row>
    <row r="434">
      <c r="A434" s="280"/>
    </row>
    <row r="435">
      <c r="A435" s="280"/>
    </row>
    <row r="436">
      <c r="A436" s="280"/>
    </row>
    <row r="437">
      <c r="A437" s="280"/>
    </row>
    <row r="438">
      <c r="A438" s="280"/>
    </row>
    <row r="439">
      <c r="A439" s="280"/>
    </row>
    <row r="440">
      <c r="A440" s="280"/>
    </row>
    <row r="441">
      <c r="A441" s="280"/>
    </row>
    <row r="442">
      <c r="A442" s="280"/>
    </row>
    <row r="443">
      <c r="A443" s="280"/>
    </row>
    <row r="444">
      <c r="A444" s="280"/>
    </row>
    <row r="445">
      <c r="A445" s="280"/>
    </row>
    <row r="446">
      <c r="A446" s="280"/>
    </row>
    <row r="447">
      <c r="A447" s="280"/>
    </row>
    <row r="448">
      <c r="A448" s="280"/>
    </row>
    <row r="449">
      <c r="A449" s="280"/>
    </row>
    <row r="450">
      <c r="A450" s="280"/>
    </row>
    <row r="451">
      <c r="A451" s="280"/>
    </row>
    <row r="452">
      <c r="A452" s="280"/>
    </row>
    <row r="453">
      <c r="A453" s="280"/>
    </row>
    <row r="454">
      <c r="A454" s="280"/>
    </row>
    <row r="455">
      <c r="A455" s="280"/>
    </row>
    <row r="456">
      <c r="A456" s="280"/>
    </row>
    <row r="457">
      <c r="A457" s="280"/>
    </row>
    <row r="458">
      <c r="A458" s="280"/>
    </row>
    <row r="459">
      <c r="A459" s="280"/>
    </row>
    <row r="460">
      <c r="A460" s="280"/>
    </row>
    <row r="461">
      <c r="A461" s="280"/>
    </row>
    <row r="462">
      <c r="A462" s="280"/>
    </row>
    <row r="463">
      <c r="A463" s="280"/>
    </row>
    <row r="464">
      <c r="A464" s="280"/>
    </row>
    <row r="465">
      <c r="A465" s="280"/>
    </row>
    <row r="466">
      <c r="A466" s="280"/>
    </row>
    <row r="467">
      <c r="A467" s="280"/>
    </row>
    <row r="468">
      <c r="A468" s="280"/>
    </row>
    <row r="469">
      <c r="A469" s="280"/>
    </row>
    <row r="470">
      <c r="A470" s="280"/>
    </row>
    <row r="471">
      <c r="A471" s="280"/>
    </row>
    <row r="472">
      <c r="A472" s="280"/>
    </row>
    <row r="473">
      <c r="A473" s="280"/>
    </row>
    <row r="474">
      <c r="A474" s="280"/>
    </row>
    <row r="475">
      <c r="A475" s="280"/>
    </row>
    <row r="476">
      <c r="A476" s="280"/>
    </row>
    <row r="477">
      <c r="A477" s="280"/>
    </row>
    <row r="478">
      <c r="A478" s="280"/>
    </row>
    <row r="479">
      <c r="A479" s="280"/>
    </row>
    <row r="480">
      <c r="A480" s="280"/>
    </row>
    <row r="481">
      <c r="A481" s="280"/>
    </row>
    <row r="482">
      <c r="A482" s="280"/>
    </row>
    <row r="483">
      <c r="A483" s="280"/>
    </row>
    <row r="484">
      <c r="A484" s="280"/>
    </row>
    <row r="485">
      <c r="A485" s="280"/>
    </row>
    <row r="486">
      <c r="A486" s="280"/>
    </row>
    <row r="487">
      <c r="A487" s="280"/>
    </row>
    <row r="488">
      <c r="A488" s="280"/>
    </row>
    <row r="489">
      <c r="A489" s="280"/>
    </row>
    <row r="490">
      <c r="A490" s="280"/>
    </row>
    <row r="491">
      <c r="A491" s="280"/>
    </row>
    <row r="492">
      <c r="A492" s="280"/>
    </row>
    <row r="493">
      <c r="A493" s="280"/>
    </row>
    <row r="494">
      <c r="A494" s="280"/>
    </row>
    <row r="495">
      <c r="A495" s="280"/>
    </row>
    <row r="496">
      <c r="A496" s="280"/>
    </row>
    <row r="497">
      <c r="A497" s="280"/>
    </row>
    <row r="498">
      <c r="A498" s="280"/>
    </row>
    <row r="499">
      <c r="A499" s="280"/>
    </row>
    <row r="500">
      <c r="A500" s="280"/>
    </row>
    <row r="501">
      <c r="A501" s="280"/>
    </row>
    <row r="502">
      <c r="A502" s="280"/>
    </row>
    <row r="503">
      <c r="A503" s="280"/>
    </row>
    <row r="504">
      <c r="A504" s="280"/>
    </row>
    <row r="505">
      <c r="A505" s="280"/>
    </row>
    <row r="506">
      <c r="A506" s="280"/>
    </row>
    <row r="507">
      <c r="A507" s="280"/>
    </row>
    <row r="508">
      <c r="A508" s="280"/>
    </row>
    <row r="509">
      <c r="A509" s="280"/>
    </row>
    <row r="510">
      <c r="A510" s="280"/>
    </row>
    <row r="511">
      <c r="A511" s="280"/>
    </row>
    <row r="512">
      <c r="A512" s="280"/>
    </row>
    <row r="513">
      <c r="A513" s="280"/>
    </row>
    <row r="514">
      <c r="A514" s="280"/>
    </row>
    <row r="515">
      <c r="A515" s="280"/>
    </row>
    <row r="516">
      <c r="A516" s="280"/>
    </row>
    <row r="517">
      <c r="A517" s="280"/>
    </row>
    <row r="518">
      <c r="A518" s="280"/>
    </row>
    <row r="519">
      <c r="A519" s="280"/>
    </row>
    <row r="520">
      <c r="A520" s="280"/>
    </row>
    <row r="521">
      <c r="A521" s="280"/>
    </row>
    <row r="522">
      <c r="A522" s="280"/>
    </row>
    <row r="523">
      <c r="A523" s="280"/>
    </row>
    <row r="524">
      <c r="A524" s="280"/>
    </row>
    <row r="525">
      <c r="A525" s="280"/>
    </row>
    <row r="526">
      <c r="A526" s="280"/>
    </row>
    <row r="527">
      <c r="A527" s="280"/>
    </row>
    <row r="528">
      <c r="A528" s="280"/>
    </row>
    <row r="529">
      <c r="A529" s="280"/>
    </row>
    <row r="530">
      <c r="A530" s="280"/>
    </row>
    <row r="531">
      <c r="A531" s="280"/>
    </row>
    <row r="532">
      <c r="A532" s="280"/>
    </row>
    <row r="533">
      <c r="A533" s="280"/>
    </row>
    <row r="534">
      <c r="A534" s="280"/>
    </row>
    <row r="535">
      <c r="A535" s="280"/>
    </row>
    <row r="536">
      <c r="A536" s="280"/>
    </row>
    <row r="537">
      <c r="A537" s="280"/>
    </row>
    <row r="538">
      <c r="A538" s="280"/>
    </row>
    <row r="539">
      <c r="A539" s="280"/>
    </row>
    <row r="540">
      <c r="A540" s="280"/>
    </row>
    <row r="541">
      <c r="A541" s="280"/>
    </row>
    <row r="542">
      <c r="A542" s="280"/>
    </row>
    <row r="543">
      <c r="A543" s="280"/>
    </row>
    <row r="544">
      <c r="A544" s="280"/>
    </row>
    <row r="545">
      <c r="A545" s="280"/>
    </row>
    <row r="546">
      <c r="A546" s="280"/>
    </row>
    <row r="547">
      <c r="A547" s="280"/>
    </row>
    <row r="548">
      <c r="A548" s="280"/>
    </row>
    <row r="549">
      <c r="A549" s="280"/>
    </row>
    <row r="550">
      <c r="A550" s="280"/>
    </row>
    <row r="551">
      <c r="A551" s="280"/>
    </row>
    <row r="552">
      <c r="A552" s="280"/>
    </row>
    <row r="553">
      <c r="A553" s="280"/>
    </row>
    <row r="554">
      <c r="A554" s="280"/>
    </row>
    <row r="555">
      <c r="A555" s="280"/>
    </row>
    <row r="556">
      <c r="A556" s="280"/>
    </row>
    <row r="557">
      <c r="A557" s="280"/>
    </row>
    <row r="558">
      <c r="A558" s="280"/>
    </row>
    <row r="559">
      <c r="A559" s="280"/>
    </row>
    <row r="560">
      <c r="A560" s="280"/>
    </row>
    <row r="561">
      <c r="A561" s="280"/>
    </row>
    <row r="562">
      <c r="A562" s="280"/>
    </row>
    <row r="563">
      <c r="A563" s="280"/>
    </row>
    <row r="564">
      <c r="A564" s="280"/>
    </row>
    <row r="565">
      <c r="A565" s="280"/>
    </row>
    <row r="566">
      <c r="A566" s="280"/>
    </row>
    <row r="567">
      <c r="A567" s="280"/>
    </row>
    <row r="568">
      <c r="A568" s="280"/>
    </row>
    <row r="569">
      <c r="A569" s="280"/>
    </row>
    <row r="570">
      <c r="A570" s="280"/>
    </row>
    <row r="571">
      <c r="A571" s="280"/>
    </row>
    <row r="572">
      <c r="A572" s="280"/>
    </row>
    <row r="573">
      <c r="A573" s="280"/>
    </row>
    <row r="574">
      <c r="A574" s="280"/>
    </row>
    <row r="575">
      <c r="A575" s="280"/>
    </row>
    <row r="576">
      <c r="A576" s="280"/>
    </row>
    <row r="577">
      <c r="A577" s="280"/>
    </row>
    <row r="578">
      <c r="A578" s="280"/>
    </row>
    <row r="579">
      <c r="A579" s="280"/>
    </row>
    <row r="580">
      <c r="A580" s="280"/>
    </row>
    <row r="581">
      <c r="A581" s="280"/>
    </row>
    <row r="582">
      <c r="A582" s="280"/>
    </row>
    <row r="583">
      <c r="A583" s="280"/>
    </row>
    <row r="584">
      <c r="A584" s="280"/>
    </row>
    <row r="585">
      <c r="A585" s="280"/>
    </row>
    <row r="586">
      <c r="A586" s="280"/>
    </row>
    <row r="587">
      <c r="A587" s="280"/>
    </row>
    <row r="588">
      <c r="A588" s="280"/>
    </row>
    <row r="589">
      <c r="A589" s="280"/>
    </row>
    <row r="590">
      <c r="A590" s="280"/>
    </row>
    <row r="591">
      <c r="A591" s="280"/>
    </row>
    <row r="592">
      <c r="A592" s="280"/>
    </row>
    <row r="593">
      <c r="A593" s="280"/>
    </row>
    <row r="594">
      <c r="A594" s="280"/>
    </row>
    <row r="595">
      <c r="A595" s="280"/>
    </row>
    <row r="596">
      <c r="A596" s="280"/>
    </row>
    <row r="597">
      <c r="A597" s="280"/>
    </row>
    <row r="598">
      <c r="A598" s="280"/>
    </row>
    <row r="599">
      <c r="A599" s="280"/>
    </row>
    <row r="600">
      <c r="A600" s="280"/>
    </row>
    <row r="601">
      <c r="A601" s="280"/>
    </row>
    <row r="602">
      <c r="A602" s="280"/>
    </row>
    <row r="603">
      <c r="A603" s="280"/>
    </row>
    <row r="604">
      <c r="A604" s="280"/>
    </row>
    <row r="605">
      <c r="A605" s="280"/>
    </row>
    <row r="606">
      <c r="A606" s="280"/>
    </row>
    <row r="607">
      <c r="A607" s="280"/>
    </row>
    <row r="608">
      <c r="A608" s="280"/>
    </row>
    <row r="609">
      <c r="A609" s="280"/>
    </row>
    <row r="610">
      <c r="A610" s="280"/>
    </row>
    <row r="611">
      <c r="A611" s="280"/>
    </row>
    <row r="612">
      <c r="A612" s="280"/>
    </row>
    <row r="613">
      <c r="A613" s="280"/>
    </row>
    <row r="614">
      <c r="A614" s="280"/>
    </row>
    <row r="615">
      <c r="A615" s="280"/>
    </row>
    <row r="616">
      <c r="A616" s="280"/>
    </row>
    <row r="617">
      <c r="A617" s="280"/>
    </row>
    <row r="618">
      <c r="A618" s="280"/>
    </row>
    <row r="619">
      <c r="A619" s="280"/>
    </row>
    <row r="620">
      <c r="A620" s="280"/>
    </row>
    <row r="621">
      <c r="A621" s="280"/>
    </row>
    <row r="622">
      <c r="A622" s="280"/>
    </row>
    <row r="623">
      <c r="A623" s="280"/>
    </row>
    <row r="624">
      <c r="A624" s="280"/>
    </row>
    <row r="625">
      <c r="A625" s="280"/>
    </row>
    <row r="626">
      <c r="A626" s="280"/>
    </row>
    <row r="627">
      <c r="A627" s="280"/>
    </row>
    <row r="628">
      <c r="A628" s="280"/>
    </row>
    <row r="629">
      <c r="A629" s="280"/>
    </row>
    <row r="630">
      <c r="A630" s="280"/>
    </row>
    <row r="631">
      <c r="A631" s="280"/>
    </row>
    <row r="632">
      <c r="A632" s="280"/>
    </row>
    <row r="633">
      <c r="A633" s="280"/>
    </row>
    <row r="634">
      <c r="A634" s="280"/>
    </row>
    <row r="635">
      <c r="A635" s="280"/>
    </row>
    <row r="636">
      <c r="A636" s="280"/>
    </row>
    <row r="637">
      <c r="A637" s="280"/>
    </row>
    <row r="638">
      <c r="A638" s="280"/>
    </row>
    <row r="639">
      <c r="A639" s="280"/>
    </row>
    <row r="640">
      <c r="A640" s="280"/>
    </row>
    <row r="641">
      <c r="A641" s="280"/>
    </row>
    <row r="642">
      <c r="A642" s="280"/>
    </row>
    <row r="643">
      <c r="A643" s="280"/>
    </row>
    <row r="644">
      <c r="A644" s="280"/>
    </row>
    <row r="645">
      <c r="A645" s="280"/>
    </row>
    <row r="646">
      <c r="A646" s="280"/>
    </row>
    <row r="647">
      <c r="A647" s="280"/>
    </row>
    <row r="648">
      <c r="A648" s="280"/>
    </row>
    <row r="649">
      <c r="A649" s="280"/>
    </row>
    <row r="650">
      <c r="A650" s="280"/>
    </row>
    <row r="651">
      <c r="A651" s="280"/>
    </row>
    <row r="652">
      <c r="A652" s="280"/>
    </row>
    <row r="653">
      <c r="A653" s="280"/>
    </row>
    <row r="654">
      <c r="A654" s="280"/>
    </row>
    <row r="655">
      <c r="A655" s="280"/>
    </row>
    <row r="656">
      <c r="A656" s="280"/>
    </row>
    <row r="657">
      <c r="A657" s="280"/>
    </row>
    <row r="658">
      <c r="A658" s="280"/>
    </row>
    <row r="659">
      <c r="A659" s="280"/>
    </row>
    <row r="660">
      <c r="A660" s="280"/>
    </row>
    <row r="661">
      <c r="A661" s="280"/>
    </row>
    <row r="662">
      <c r="A662" s="280"/>
    </row>
    <row r="663">
      <c r="A663" s="280"/>
    </row>
    <row r="664">
      <c r="A664" s="280"/>
    </row>
    <row r="665">
      <c r="A665" s="280"/>
    </row>
    <row r="666">
      <c r="A666" s="280"/>
    </row>
    <row r="667">
      <c r="A667" s="280"/>
    </row>
    <row r="668">
      <c r="A668" s="280"/>
    </row>
    <row r="669">
      <c r="A669" s="280"/>
    </row>
    <row r="670">
      <c r="A670" s="280"/>
    </row>
    <row r="671">
      <c r="A671" s="280"/>
    </row>
    <row r="672">
      <c r="A672" s="280"/>
    </row>
    <row r="673">
      <c r="A673" s="280"/>
    </row>
    <row r="674">
      <c r="A674" s="280"/>
    </row>
    <row r="675">
      <c r="A675" s="280"/>
    </row>
    <row r="676">
      <c r="A676" s="280"/>
    </row>
    <row r="677">
      <c r="A677" s="280"/>
    </row>
    <row r="678">
      <c r="A678" s="280"/>
    </row>
    <row r="679">
      <c r="A679" s="280"/>
    </row>
    <row r="680">
      <c r="A680" s="280"/>
    </row>
    <row r="681">
      <c r="A681" s="280"/>
    </row>
    <row r="682">
      <c r="A682" s="280"/>
    </row>
    <row r="683">
      <c r="A683" s="280"/>
    </row>
    <row r="684">
      <c r="A684" s="280"/>
    </row>
    <row r="685">
      <c r="A685" s="280"/>
    </row>
    <row r="686">
      <c r="A686" s="280"/>
    </row>
    <row r="687">
      <c r="A687" s="280"/>
    </row>
    <row r="688">
      <c r="A688" s="280"/>
    </row>
    <row r="689">
      <c r="A689" s="280"/>
    </row>
    <row r="690">
      <c r="A690" s="280"/>
    </row>
    <row r="691">
      <c r="A691" s="280"/>
    </row>
    <row r="692">
      <c r="A692" s="280"/>
    </row>
    <row r="693">
      <c r="A693" s="280"/>
    </row>
    <row r="694">
      <c r="A694" s="280"/>
    </row>
    <row r="695">
      <c r="A695" s="280"/>
    </row>
    <row r="696">
      <c r="A696" s="280"/>
    </row>
    <row r="697">
      <c r="A697" s="280"/>
    </row>
    <row r="698">
      <c r="A698" s="280"/>
    </row>
    <row r="699">
      <c r="A699" s="280"/>
    </row>
    <row r="700">
      <c r="A700" s="280"/>
    </row>
    <row r="701">
      <c r="A701" s="280"/>
    </row>
    <row r="702">
      <c r="A702" s="280"/>
    </row>
    <row r="703">
      <c r="A703" s="280"/>
    </row>
    <row r="704">
      <c r="A704" s="280"/>
    </row>
    <row r="705">
      <c r="A705" s="280"/>
    </row>
    <row r="706">
      <c r="A706" s="280"/>
    </row>
    <row r="707">
      <c r="A707" s="280"/>
    </row>
    <row r="708">
      <c r="A708" s="280"/>
    </row>
    <row r="709">
      <c r="A709" s="280"/>
    </row>
    <row r="710">
      <c r="A710" s="280"/>
    </row>
    <row r="711">
      <c r="A711" s="280"/>
    </row>
    <row r="712">
      <c r="A712" s="280"/>
    </row>
    <row r="713">
      <c r="A713" s="280"/>
    </row>
    <row r="714">
      <c r="A714" s="280"/>
    </row>
    <row r="715">
      <c r="A715" s="280"/>
    </row>
    <row r="716">
      <c r="A716" s="280"/>
    </row>
    <row r="717">
      <c r="A717" s="280"/>
    </row>
    <row r="718">
      <c r="A718" s="280"/>
    </row>
    <row r="719">
      <c r="A719" s="280"/>
    </row>
    <row r="720">
      <c r="A720" s="280"/>
    </row>
    <row r="721">
      <c r="A721" s="280"/>
    </row>
    <row r="722">
      <c r="A722" s="280"/>
    </row>
    <row r="723">
      <c r="A723" s="280"/>
    </row>
    <row r="724">
      <c r="A724" s="280"/>
    </row>
    <row r="725">
      <c r="A725" s="280"/>
    </row>
    <row r="726">
      <c r="A726" s="280"/>
    </row>
    <row r="727">
      <c r="A727" s="280"/>
    </row>
    <row r="728">
      <c r="A728" s="280"/>
    </row>
    <row r="729">
      <c r="A729" s="280"/>
    </row>
    <row r="730">
      <c r="A730" s="280"/>
    </row>
    <row r="731">
      <c r="A731" s="280"/>
    </row>
    <row r="732">
      <c r="A732" s="280"/>
    </row>
    <row r="733">
      <c r="A733" s="280"/>
    </row>
    <row r="734">
      <c r="A734" s="280"/>
    </row>
    <row r="735">
      <c r="A735" s="280"/>
    </row>
    <row r="736">
      <c r="A736" s="280"/>
    </row>
    <row r="737">
      <c r="A737" s="280"/>
    </row>
    <row r="738">
      <c r="A738" s="280"/>
    </row>
    <row r="739">
      <c r="A739" s="280"/>
    </row>
    <row r="740">
      <c r="A740" s="280"/>
    </row>
    <row r="741">
      <c r="A741" s="280"/>
    </row>
    <row r="742">
      <c r="A742" s="280"/>
    </row>
    <row r="743">
      <c r="A743" s="280"/>
    </row>
    <row r="744">
      <c r="A744" s="280"/>
    </row>
    <row r="745">
      <c r="A745" s="280"/>
    </row>
    <row r="746">
      <c r="A746" s="280"/>
    </row>
    <row r="747">
      <c r="A747" s="280"/>
    </row>
    <row r="748">
      <c r="A748" s="280"/>
    </row>
    <row r="749">
      <c r="A749" s="280"/>
    </row>
    <row r="750">
      <c r="A750" s="280"/>
    </row>
    <row r="751">
      <c r="A751" s="280"/>
    </row>
    <row r="752">
      <c r="A752" s="280"/>
    </row>
    <row r="753">
      <c r="A753" s="280"/>
    </row>
    <row r="754">
      <c r="A754" s="280"/>
    </row>
    <row r="755">
      <c r="A755" s="280"/>
    </row>
    <row r="756">
      <c r="A756" s="280"/>
    </row>
    <row r="757">
      <c r="A757" s="280"/>
    </row>
    <row r="758">
      <c r="A758" s="280"/>
    </row>
    <row r="759">
      <c r="A759" s="280"/>
    </row>
    <row r="760">
      <c r="A760" s="280"/>
    </row>
    <row r="761">
      <c r="A761" s="280"/>
    </row>
    <row r="762">
      <c r="A762" s="280"/>
    </row>
    <row r="763">
      <c r="A763" s="280"/>
    </row>
    <row r="764">
      <c r="A764" s="280"/>
    </row>
    <row r="765">
      <c r="A765" s="280"/>
    </row>
    <row r="766">
      <c r="A766" s="280"/>
    </row>
    <row r="767">
      <c r="A767" s="280"/>
    </row>
    <row r="768">
      <c r="A768" s="280"/>
    </row>
    <row r="769">
      <c r="A769" s="280"/>
    </row>
    <row r="770">
      <c r="A770" s="280"/>
    </row>
    <row r="771">
      <c r="A771" s="280"/>
    </row>
    <row r="772">
      <c r="A772" s="280"/>
    </row>
    <row r="773">
      <c r="A773" s="280"/>
    </row>
    <row r="774">
      <c r="A774" s="280"/>
    </row>
    <row r="775">
      <c r="A775" s="280"/>
    </row>
    <row r="776">
      <c r="A776" s="280"/>
    </row>
    <row r="777">
      <c r="A777" s="280"/>
    </row>
    <row r="778">
      <c r="A778" s="280"/>
    </row>
    <row r="779">
      <c r="A779" s="280"/>
    </row>
    <row r="780">
      <c r="A780" s="280"/>
    </row>
    <row r="781">
      <c r="A781" s="280"/>
    </row>
    <row r="782">
      <c r="A782" s="280"/>
    </row>
    <row r="783">
      <c r="A783" s="280"/>
    </row>
    <row r="784">
      <c r="A784" s="280"/>
    </row>
    <row r="785">
      <c r="A785" s="280"/>
    </row>
    <row r="786">
      <c r="A786" s="280"/>
    </row>
    <row r="787">
      <c r="A787" s="280"/>
    </row>
    <row r="788">
      <c r="A788" s="280"/>
    </row>
    <row r="789">
      <c r="A789" s="280"/>
    </row>
    <row r="790">
      <c r="A790" s="280"/>
    </row>
    <row r="791">
      <c r="A791" s="280"/>
    </row>
    <row r="792">
      <c r="A792" s="280"/>
    </row>
    <row r="793">
      <c r="A793" s="280"/>
    </row>
    <row r="794">
      <c r="A794" s="280"/>
    </row>
    <row r="795">
      <c r="A795" s="280"/>
    </row>
    <row r="796">
      <c r="A796" s="280"/>
    </row>
    <row r="797">
      <c r="A797" s="280"/>
    </row>
    <row r="798">
      <c r="A798" s="280"/>
    </row>
    <row r="799">
      <c r="A799" s="280"/>
    </row>
    <row r="800">
      <c r="A800" s="280"/>
    </row>
    <row r="801">
      <c r="A801" s="280"/>
    </row>
    <row r="802">
      <c r="A802" s="280"/>
    </row>
    <row r="803">
      <c r="A803" s="280"/>
    </row>
    <row r="804">
      <c r="A804" s="280"/>
    </row>
    <row r="805">
      <c r="A805" s="280"/>
    </row>
    <row r="806">
      <c r="A806" s="280"/>
    </row>
    <row r="807">
      <c r="A807" s="280"/>
    </row>
    <row r="808">
      <c r="A808" s="280"/>
    </row>
    <row r="809">
      <c r="A809" s="280"/>
    </row>
    <row r="810">
      <c r="A810" s="280"/>
    </row>
    <row r="811">
      <c r="A811" s="280"/>
    </row>
    <row r="812">
      <c r="A812" s="280"/>
    </row>
    <row r="813">
      <c r="A813" s="280"/>
    </row>
    <row r="814">
      <c r="A814" s="280"/>
    </row>
    <row r="815">
      <c r="A815" s="280"/>
    </row>
    <row r="816">
      <c r="A816" s="280"/>
    </row>
    <row r="817">
      <c r="A817" s="280"/>
    </row>
    <row r="818">
      <c r="A818" s="280"/>
    </row>
    <row r="819">
      <c r="A819" s="280"/>
    </row>
    <row r="820">
      <c r="A820" s="280"/>
    </row>
    <row r="821">
      <c r="A821" s="280"/>
    </row>
    <row r="822">
      <c r="A822" s="280"/>
    </row>
    <row r="823">
      <c r="A823" s="280"/>
    </row>
    <row r="824">
      <c r="A824" s="280"/>
    </row>
    <row r="825">
      <c r="A825" s="280"/>
    </row>
    <row r="826">
      <c r="A826" s="280"/>
    </row>
    <row r="827">
      <c r="A827" s="280"/>
    </row>
    <row r="828">
      <c r="A828" s="280"/>
    </row>
    <row r="829">
      <c r="A829" s="280"/>
    </row>
    <row r="830">
      <c r="A830" s="280"/>
    </row>
    <row r="831">
      <c r="A831" s="280"/>
    </row>
    <row r="832">
      <c r="A832" s="280"/>
    </row>
    <row r="833">
      <c r="A833" s="280"/>
    </row>
    <row r="834">
      <c r="A834" s="280"/>
    </row>
    <row r="835">
      <c r="A835" s="280"/>
    </row>
    <row r="836">
      <c r="A836" s="280"/>
    </row>
    <row r="837">
      <c r="A837" s="280"/>
    </row>
    <row r="838">
      <c r="A838" s="280"/>
    </row>
    <row r="839">
      <c r="A839" s="280"/>
    </row>
    <row r="840">
      <c r="A840" s="280"/>
    </row>
    <row r="841">
      <c r="A841" s="280"/>
    </row>
    <row r="842">
      <c r="A842" s="280"/>
    </row>
    <row r="843">
      <c r="A843" s="280"/>
    </row>
    <row r="844">
      <c r="A844" s="280"/>
    </row>
    <row r="845">
      <c r="A845" s="280"/>
    </row>
    <row r="846">
      <c r="A846" s="280"/>
    </row>
    <row r="847">
      <c r="A847" s="280"/>
    </row>
    <row r="848">
      <c r="A848" s="280"/>
    </row>
    <row r="849">
      <c r="A849" s="280"/>
    </row>
    <row r="850">
      <c r="A850" s="280"/>
    </row>
    <row r="851">
      <c r="A851" s="280"/>
    </row>
    <row r="852">
      <c r="A852" s="280"/>
    </row>
    <row r="853">
      <c r="A853" s="280"/>
    </row>
    <row r="854">
      <c r="A854" s="280"/>
    </row>
    <row r="855">
      <c r="A855" s="280"/>
    </row>
    <row r="856">
      <c r="A856" s="280"/>
    </row>
    <row r="857">
      <c r="A857" s="280"/>
    </row>
    <row r="858">
      <c r="A858" s="280"/>
    </row>
    <row r="859">
      <c r="A859" s="280"/>
    </row>
    <row r="860">
      <c r="A860" s="280"/>
    </row>
    <row r="861">
      <c r="A861" s="280"/>
    </row>
    <row r="862">
      <c r="A862" s="280"/>
    </row>
    <row r="863">
      <c r="A863" s="280"/>
    </row>
    <row r="864">
      <c r="A864" s="280"/>
    </row>
    <row r="865">
      <c r="A865" s="280"/>
    </row>
    <row r="866">
      <c r="A866" s="280"/>
    </row>
    <row r="867">
      <c r="A867" s="280"/>
    </row>
    <row r="868">
      <c r="A868" s="280"/>
    </row>
    <row r="869">
      <c r="A869" s="280"/>
    </row>
    <row r="870">
      <c r="A870" s="280"/>
    </row>
    <row r="871">
      <c r="A871" s="280"/>
    </row>
    <row r="872">
      <c r="A872" s="280"/>
    </row>
    <row r="873">
      <c r="A873" s="280"/>
    </row>
    <row r="874">
      <c r="A874" s="280"/>
    </row>
    <row r="875">
      <c r="A875" s="280"/>
    </row>
    <row r="876">
      <c r="A876" s="280"/>
    </row>
    <row r="877">
      <c r="A877" s="280"/>
    </row>
    <row r="878">
      <c r="A878" s="280"/>
    </row>
    <row r="879">
      <c r="A879" s="280"/>
    </row>
    <row r="880">
      <c r="A880" s="280"/>
    </row>
    <row r="881">
      <c r="A881" s="280"/>
    </row>
    <row r="882">
      <c r="A882" s="280"/>
    </row>
    <row r="883">
      <c r="A883" s="280"/>
    </row>
    <row r="884">
      <c r="A884" s="280"/>
    </row>
    <row r="885">
      <c r="A885" s="280"/>
    </row>
    <row r="886">
      <c r="A886" s="280"/>
    </row>
    <row r="887">
      <c r="A887" s="280"/>
    </row>
    <row r="888">
      <c r="A888" s="280"/>
    </row>
    <row r="889">
      <c r="A889" s="280"/>
    </row>
    <row r="890">
      <c r="A890" s="280"/>
    </row>
    <row r="891">
      <c r="A891" s="280"/>
    </row>
    <row r="892">
      <c r="A892" s="280"/>
    </row>
    <row r="893">
      <c r="A893" s="280"/>
    </row>
    <row r="894">
      <c r="A894" s="280"/>
    </row>
    <row r="895">
      <c r="A895" s="280"/>
    </row>
    <row r="896">
      <c r="A896" s="280"/>
    </row>
    <row r="897">
      <c r="A897" s="280"/>
    </row>
    <row r="898">
      <c r="A898" s="280"/>
    </row>
    <row r="899">
      <c r="A899" s="280"/>
    </row>
    <row r="900">
      <c r="A900" s="280"/>
    </row>
    <row r="901">
      <c r="A901" s="280"/>
    </row>
    <row r="902">
      <c r="A902" s="280"/>
    </row>
    <row r="903">
      <c r="A903" s="280"/>
    </row>
    <row r="904">
      <c r="A904" s="280"/>
    </row>
    <row r="905">
      <c r="A905" s="280"/>
    </row>
    <row r="906">
      <c r="A906" s="280"/>
    </row>
    <row r="907">
      <c r="A907" s="280"/>
    </row>
    <row r="908">
      <c r="A908" s="280"/>
    </row>
    <row r="909">
      <c r="A909" s="280"/>
    </row>
    <row r="910">
      <c r="A910" s="280"/>
    </row>
    <row r="911">
      <c r="A911" s="280"/>
    </row>
    <row r="912">
      <c r="A912" s="280"/>
    </row>
    <row r="913">
      <c r="A913" s="280"/>
    </row>
    <row r="914">
      <c r="A914" s="280"/>
    </row>
    <row r="915">
      <c r="A915" s="280"/>
    </row>
    <row r="916">
      <c r="A916" s="280"/>
    </row>
    <row r="917">
      <c r="A917" s="280"/>
    </row>
    <row r="918">
      <c r="A918" s="280"/>
    </row>
    <row r="919">
      <c r="A919" s="280"/>
    </row>
    <row r="920">
      <c r="A920" s="280"/>
    </row>
    <row r="921">
      <c r="A921" s="280"/>
    </row>
    <row r="922">
      <c r="A922" s="280"/>
    </row>
    <row r="923">
      <c r="A923" s="280"/>
    </row>
    <row r="924">
      <c r="A924" s="280"/>
    </row>
    <row r="925">
      <c r="A925" s="280"/>
    </row>
    <row r="926">
      <c r="A926" s="280"/>
    </row>
    <row r="927">
      <c r="A927" s="280"/>
    </row>
    <row r="928">
      <c r="A928" s="280"/>
    </row>
    <row r="929">
      <c r="A929" s="280"/>
    </row>
    <row r="930">
      <c r="A930" s="280"/>
    </row>
    <row r="931">
      <c r="A931" s="280"/>
    </row>
    <row r="932">
      <c r="A932" s="280"/>
    </row>
    <row r="933">
      <c r="A933" s="280"/>
    </row>
    <row r="934">
      <c r="A934" s="280"/>
    </row>
    <row r="935">
      <c r="A935" s="280"/>
    </row>
    <row r="936">
      <c r="A936" s="280"/>
    </row>
    <row r="937">
      <c r="A937" s="280"/>
    </row>
    <row r="938">
      <c r="A938" s="280"/>
    </row>
    <row r="939">
      <c r="A939" s="280"/>
    </row>
    <row r="940">
      <c r="A940" s="280"/>
    </row>
    <row r="941">
      <c r="A941" s="280"/>
    </row>
    <row r="942">
      <c r="A942" s="280"/>
    </row>
    <row r="943">
      <c r="A943" s="280"/>
    </row>
    <row r="944">
      <c r="A944" s="280"/>
    </row>
    <row r="945">
      <c r="A945" s="280"/>
    </row>
    <row r="946">
      <c r="A946" s="280"/>
    </row>
    <row r="947">
      <c r="A947" s="280"/>
    </row>
    <row r="948">
      <c r="A948" s="280"/>
    </row>
    <row r="949">
      <c r="A949" s="280"/>
    </row>
    <row r="950">
      <c r="A950" s="280"/>
    </row>
    <row r="951">
      <c r="A951" s="280"/>
    </row>
    <row r="952">
      <c r="A952" s="280"/>
    </row>
    <row r="953">
      <c r="A953" s="280"/>
    </row>
    <row r="954">
      <c r="A954" s="280"/>
    </row>
    <row r="955">
      <c r="A955" s="280"/>
    </row>
    <row r="956">
      <c r="A956" s="280"/>
    </row>
    <row r="957">
      <c r="A957" s="280"/>
    </row>
    <row r="958">
      <c r="A958" s="280"/>
    </row>
    <row r="959">
      <c r="A959" s="280"/>
    </row>
    <row r="960">
      <c r="A960" s="280"/>
    </row>
    <row r="961">
      <c r="A961" s="280"/>
    </row>
    <row r="962">
      <c r="A962" s="280"/>
    </row>
    <row r="963">
      <c r="A963" s="280"/>
    </row>
    <row r="964">
      <c r="A964" s="280"/>
    </row>
    <row r="965">
      <c r="A965" s="280"/>
    </row>
    <row r="966">
      <c r="A966" s="280"/>
    </row>
    <row r="967">
      <c r="A967" s="280"/>
    </row>
    <row r="968">
      <c r="A968" s="280"/>
    </row>
    <row r="969">
      <c r="A969" s="280"/>
    </row>
    <row r="970">
      <c r="A970" s="280"/>
    </row>
    <row r="971">
      <c r="A971" s="280"/>
    </row>
    <row r="972">
      <c r="A972" s="280"/>
    </row>
    <row r="973">
      <c r="A973" s="280"/>
    </row>
    <row r="974">
      <c r="A974" s="280"/>
    </row>
    <row r="975">
      <c r="A975" s="280"/>
    </row>
    <row r="976">
      <c r="A976" s="280"/>
    </row>
    <row r="977">
      <c r="A977" s="280"/>
    </row>
    <row r="978">
      <c r="A978" s="280"/>
    </row>
    <row r="979">
      <c r="A979" s="280"/>
    </row>
    <row r="980">
      <c r="A980" s="280"/>
    </row>
    <row r="981">
      <c r="A981" s="280"/>
    </row>
    <row r="982">
      <c r="A982" s="280"/>
    </row>
    <row r="983">
      <c r="A983" s="280"/>
    </row>
    <row r="984">
      <c r="A984" s="280"/>
    </row>
    <row r="985">
      <c r="A985" s="280"/>
    </row>
    <row r="986">
      <c r="A986" s="280"/>
    </row>
    <row r="987">
      <c r="A987" s="280"/>
    </row>
    <row r="988">
      <c r="A988" s="280"/>
    </row>
    <row r="989">
      <c r="A989" s="280"/>
    </row>
    <row r="990">
      <c r="A990" s="280"/>
    </row>
    <row r="991">
      <c r="A991" s="280"/>
    </row>
    <row r="992">
      <c r="A992" s="280"/>
    </row>
    <row r="993">
      <c r="A993" s="280"/>
    </row>
    <row r="994">
      <c r="A994" s="280"/>
    </row>
    <row r="995">
      <c r="A995" s="280"/>
    </row>
    <row r="996">
      <c r="A996" s="280"/>
    </row>
    <row r="997">
      <c r="A997" s="280"/>
    </row>
    <row r="998">
      <c r="A998" s="280"/>
    </row>
    <row r="999">
      <c r="A999" s="280"/>
    </row>
    <row r="1000">
      <c r="A1000" s="280"/>
    </row>
  </sheetData>
  <mergeCells count="21">
    <mergeCell ref="B3:C3"/>
    <mergeCell ref="B4:C4"/>
    <mergeCell ref="G3:J3"/>
    <mergeCell ref="G4:J4"/>
    <mergeCell ref="B5:C5"/>
    <mergeCell ref="D5:E5"/>
    <mergeCell ref="G5:J5"/>
    <mergeCell ref="A8:J8"/>
    <mergeCell ref="A16:J16"/>
    <mergeCell ref="A24:H24"/>
    <mergeCell ref="A32:I32"/>
    <mergeCell ref="A40:H40"/>
    <mergeCell ref="A48:J48"/>
    <mergeCell ref="A56:J56"/>
    <mergeCell ref="A1:A5"/>
    <mergeCell ref="B1:J1"/>
    <mergeCell ref="B2:C2"/>
    <mergeCell ref="D2:E2"/>
    <mergeCell ref="G2:J2"/>
    <mergeCell ref="D3:E3"/>
    <mergeCell ref="D4:E4"/>
  </mergeCells>
  <drawing r:id="rId1"/>
</worksheet>
</file>